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imeline" sheetId="2" state="visible" r:id="rId2"/>
    <sheet xmlns:r="http://schemas.openxmlformats.org/officeDocument/2006/relationships" name="Series" sheetId="3" state="visible" r:id="rId3"/>
    <sheet xmlns:r="http://schemas.openxmlformats.org/officeDocument/2006/relationships" name="Series members" sheetId="4" state="visible" r:id="rId4"/>
    <sheet xmlns:r="http://schemas.openxmlformats.org/officeDocument/2006/relationships" name="Add new events" sheetId="5" state="visible" r:id="rId5"/>
    <sheet xmlns:r="http://schemas.openxmlformats.org/officeDocument/2006/relationships" name="Sources" sheetId="6" state="visible" r:id="rId6"/>
    <sheet xmlns:r="http://schemas.openxmlformats.org/officeDocument/2006/relationships" name="Categories" sheetId="7" state="visible" r:id="rId7"/>
    <sheet xmlns:r="http://schemas.openxmlformats.org/officeDocument/2006/relationships" name="Summary" sheetId="8" state="visible" r:id="rId8"/>
  </sheets>
  <definedNames>
    <definedName name="_xlnm._FilterDatabase" localSheetId="1" hidden="1">'Timeline'!$A$1:$AQ$1903</definedName>
    <definedName name="_xlnm._FilterDatabase" localSheetId="2" hidden="1">'Series'!$A$1:$M$35</definedName>
    <definedName name="_xlnm._FilterDatabase" localSheetId="3" hidden="1">'Series members'!$A$1:$M$789</definedName>
    <definedName name="_xlnm._FilterDatabase" localSheetId="5" hidden="1">'Sources'!$A$1:$F$516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font>
    <font>
      <name val="Arial"/>
      <sz val="10"/>
    </font>
    <font>
      <name val="Arial"/>
      <color rgb="000563C1"/>
      <sz val="10"/>
      <u val="single"/>
    </font>
    <font>
      <name val="Arial"/>
      <b val="1"/>
      <sz val="10"/>
    </font>
    <font>
      <name val="Arial"/>
      <i val="1"/>
      <color rgb="007F7F7F"/>
      <sz val="10"/>
    </font>
    <font>
      <name val="Arial"/>
      <i val="1"/>
      <color rgb="007F7F7F"/>
      <sz val="9"/>
    </font>
    <font>
      <name val="Arial"/>
      <b val="1"/>
      <sz val="11"/>
    </font>
    <font>
      <name val="Arial"/>
      <sz val="11"/>
    </font>
    <font>
      <name val="Arial"/>
      <b val="1"/>
      <color rgb="001F3864"/>
      <sz val="16"/>
    </font>
  </fonts>
  <fills count="8">
    <fill>
      <patternFill/>
    </fill>
    <fill>
      <patternFill patternType="gray125"/>
    </fill>
    <fill>
      <patternFill patternType="solid">
        <fgColor rgb="001F3864"/>
      </patternFill>
    </fill>
    <fill>
      <patternFill patternType="solid">
        <fgColor rgb="00DDEBF7"/>
      </patternFill>
    </fill>
    <fill>
      <patternFill patternType="solid">
        <fgColor rgb="00FFF2CC"/>
      </patternFill>
    </fill>
    <fill>
      <patternFill patternType="solid">
        <fgColor rgb="00FCE4D6"/>
      </patternFill>
    </fill>
    <fill>
      <patternFill patternType="solid">
        <fgColor rgb="00E2EFDA"/>
      </patternFill>
    </fill>
    <fill>
      <patternFill patternType="solid">
        <fgColor rgb="00E4DFE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9" fillId="0" borderId="0" applyAlignment="1" pivotButton="0" quotePrefix="0" xfId="0">
      <alignment vertical="top"/>
    </xf>
    <xf numFmtId="0" fontId="2" fillId="0" borderId="0" applyAlignment="1" pivotButton="0" quotePrefix="0" xfId="0">
      <alignment vertical="top" wrapText="1"/>
    </xf>
    <xf numFmtId="0" fontId="8" fillId="0" borderId="0" applyAlignment="1" pivotButton="0" quotePrefix="0" xfId="0">
      <alignment vertical="top"/>
    </xf>
    <xf numFmtId="0" fontId="7" fillId="0" borderId="0" applyAlignment="1" pivotButton="0" quotePrefix="0" xfId="0">
      <alignment vertical="top"/>
    </xf>
    <xf numFmtId="0" fontId="8" fillId="4" borderId="0" applyAlignment="1" pivotButton="0" quotePrefix="0" xfId="0">
      <alignment vertical="top"/>
    </xf>
    <xf numFmtId="0" fontId="1" fillId="2" borderId="0" applyAlignment="1" pivotButton="0" quotePrefix="0" xfId="0">
      <alignment vertical="center" wrapText="1"/>
    </xf>
    <xf numFmtId="0" fontId="2" fillId="0" borderId="0" applyAlignment="1" pivotButton="0" quotePrefix="0" xfId="0">
      <alignment vertical="top"/>
    </xf>
    <xf numFmtId="0" fontId="2" fillId="3" borderId="0" applyAlignment="1" pivotButton="0" quotePrefix="0" xfId="0">
      <alignment vertical="top"/>
    </xf>
    <xf numFmtId="0" fontId="3" fillId="0" borderId="0" applyAlignment="1" pivotButton="0" quotePrefix="0" xfId="0">
      <alignment vertical="top"/>
    </xf>
    <xf numFmtId="0" fontId="2" fillId="4" borderId="1" applyAlignment="1" pivotButton="0" quotePrefix="0" xfId="0">
      <alignment vertical="top"/>
    </xf>
    <xf numFmtId="0" fontId="4" fillId="0"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2" fillId="7" borderId="0" applyAlignment="1" pivotButton="0" quotePrefix="0" xfId="0">
      <alignment vertical="top"/>
    </xf>
    <xf numFmtId="0" fontId="2" fillId="0" borderId="0" pivotButton="0" quotePrefix="0" xfId="0"/>
    <xf numFmtId="0" fontId="2" fillId="4" borderId="0" pivotButton="0" quotePrefix="0" xfId="0"/>
    <xf numFmtId="0" fontId="5" fillId="0" borderId="0" pivotButton="0" quotePrefix="0" xfId="0"/>
    <xf numFmtId="0" fontId="2" fillId="4" borderId="1" pivotButton="0" quotePrefix="0" xfId="0"/>
    <xf numFmtId="0" fontId="3" fillId="0" borderId="0" pivotButton="0" quotePrefix="0" xfId="0"/>
    <xf numFmtId="0" fontId="2" fillId="3" borderId="0" pivotButton="0" quotePrefix="0" xfId="0"/>
    <xf numFmtId="0" fontId="2" fillId="5" borderId="0" pivotButton="0" quotePrefix="0" xfId="0"/>
    <xf numFmtId="0" fontId="2" fillId="6" borderId="0" pivotButton="0" quotePrefix="0" xfId="0"/>
    <xf numFmtId="0" fontId="2" fillId="7" borderId="0" pivotButton="0" quotePrefix="0" xfId="0"/>
    <xf numFmtId="0" fontId="4"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ol.jw.org/en/wol/d/r1/lp-e/1101990130" TargetMode="External" Id="rId1"/><Relationship Type="http://schemas.openxmlformats.org/officeDocument/2006/relationships/hyperlink" Target="https://wol.jw.org/ta/wol/d/r122/lp-tl/1101990130" TargetMode="External" Id="rId2"/><Relationship Type="http://schemas.openxmlformats.org/officeDocument/2006/relationships/hyperlink" Target="https://wol.jw.org/en/wol/d/r1/lp-e/1101990130" TargetMode="External" Id="rId3"/><Relationship Type="http://schemas.openxmlformats.org/officeDocument/2006/relationships/hyperlink" Target="https://wol.jw.org/ta/wol/d/r122/lp-tl/1101990130" TargetMode="External" Id="rId4"/><Relationship Type="http://schemas.openxmlformats.org/officeDocument/2006/relationships/hyperlink" Target="https://wol.jw.org/en/wol/d/r1/lp-e/1101990130" TargetMode="External" Id="rId5"/><Relationship Type="http://schemas.openxmlformats.org/officeDocument/2006/relationships/hyperlink" Target="https://wol.jw.org/ta/wol/d/r122/lp-tl/1101990130" TargetMode="External" Id="rId6"/><Relationship Type="http://schemas.openxmlformats.org/officeDocument/2006/relationships/hyperlink" Target="https://wol.jw.org/en/wol/d/r1/lp-e/1101990130" TargetMode="External" Id="rId7"/><Relationship Type="http://schemas.openxmlformats.org/officeDocument/2006/relationships/hyperlink" Target="https://wol.jw.org/ta/wol/d/r122/lp-tl/1101990130" TargetMode="External" Id="rId8"/><Relationship Type="http://schemas.openxmlformats.org/officeDocument/2006/relationships/hyperlink" Target="https://wol.jw.org/en/wol/d/r1/lp-e/1101990130" TargetMode="External" Id="rId9"/><Relationship Type="http://schemas.openxmlformats.org/officeDocument/2006/relationships/hyperlink" Target="https://wol.jw.org/ta/wol/d/r122/lp-tl/1101990130" TargetMode="External" Id="rId10"/><Relationship Type="http://schemas.openxmlformats.org/officeDocument/2006/relationships/hyperlink" Target="https://wol.jw.org/en/wol/d/r1/lp-e/1101990130" TargetMode="External" Id="rId11"/><Relationship Type="http://schemas.openxmlformats.org/officeDocument/2006/relationships/hyperlink" Target="https://wol.jw.org/ta/wol/d/r122/lp-tl/1101990130" TargetMode="External" Id="rId12"/><Relationship Type="http://schemas.openxmlformats.org/officeDocument/2006/relationships/hyperlink" Target="https://wol.jw.org/en/wol/d/r1/lp-e/1200002329" TargetMode="External" Id="rId13"/><Relationship Type="http://schemas.openxmlformats.org/officeDocument/2006/relationships/hyperlink" Target="https://wol.jw.org/en/wol/d/r1/lp-e/1200002329" TargetMode="External" Id="rId14"/><Relationship Type="http://schemas.openxmlformats.org/officeDocument/2006/relationships/hyperlink" Target="https://wol.jw.org/en/wol/d/r1/lp-e/1101990130" TargetMode="External" Id="rId15"/><Relationship Type="http://schemas.openxmlformats.org/officeDocument/2006/relationships/hyperlink" Target="https://wol.jw.org/ta/wol/d/r122/lp-tl/1101990130" TargetMode="External" Id="rId16"/><Relationship Type="http://schemas.openxmlformats.org/officeDocument/2006/relationships/hyperlink" Target="https://wol.jw.org/en/wol/d/r1/lp-e/1101990130" TargetMode="External" Id="rId17"/><Relationship Type="http://schemas.openxmlformats.org/officeDocument/2006/relationships/hyperlink" Target="https://wol.jw.org/ta/wol/d/r122/lp-tl/1101990130" TargetMode="External" Id="rId18"/><Relationship Type="http://schemas.openxmlformats.org/officeDocument/2006/relationships/hyperlink" Target="https://wol.jw.org/en/wol/d/r1/lp-e/1101990130" TargetMode="External" Id="rId19"/><Relationship Type="http://schemas.openxmlformats.org/officeDocument/2006/relationships/hyperlink" Target="https://wol.jw.org/ta/wol/d/r122/lp-tl/1101990130" TargetMode="External" Id="rId20"/><Relationship Type="http://schemas.openxmlformats.org/officeDocument/2006/relationships/hyperlink" Target="https://wol.jw.org/en/wol/d/r1/lp-e/1101990130" TargetMode="External" Id="rId21"/><Relationship Type="http://schemas.openxmlformats.org/officeDocument/2006/relationships/hyperlink" Target="https://wol.jw.org/ta/wol/d/r122/lp-tl/1101990130" TargetMode="External" Id="rId22"/><Relationship Type="http://schemas.openxmlformats.org/officeDocument/2006/relationships/hyperlink" Target="https://wol.jw.org/en/wol/d/r1/lp-e/1101990130" TargetMode="External" Id="rId23"/><Relationship Type="http://schemas.openxmlformats.org/officeDocument/2006/relationships/hyperlink" Target="https://wol.jw.org/ta/wol/d/r122/lp-tl/1101990130" TargetMode="External" Id="rId24"/><Relationship Type="http://schemas.openxmlformats.org/officeDocument/2006/relationships/hyperlink" Target="https://wol.jw.org/en/wol/d/r1/lp-e/1101990130" TargetMode="External" Id="rId25"/><Relationship Type="http://schemas.openxmlformats.org/officeDocument/2006/relationships/hyperlink" Target="https://wol.jw.org/ta/wol/d/r122/lp-tl/1101990130" TargetMode="External" Id="rId26"/><Relationship Type="http://schemas.openxmlformats.org/officeDocument/2006/relationships/hyperlink" Target="https://wol.jw.org/en/wol/d/r1/lp-e/1101990130" TargetMode="External" Id="rId27"/><Relationship Type="http://schemas.openxmlformats.org/officeDocument/2006/relationships/hyperlink" Target="https://wol.jw.org/ta/wol/d/r122/lp-tl/1101990130" TargetMode="External" Id="rId28"/><Relationship Type="http://schemas.openxmlformats.org/officeDocument/2006/relationships/hyperlink" Target="https://wol.jw.org/en/wol/d/r1/lp-e/1200003911" TargetMode="External" Id="rId29"/><Relationship Type="http://schemas.openxmlformats.org/officeDocument/2006/relationships/hyperlink" Target="https://wol.jw.org/en/wol/d/r1/lp-e/1101990130" TargetMode="External" Id="rId30"/><Relationship Type="http://schemas.openxmlformats.org/officeDocument/2006/relationships/hyperlink" Target="https://wol.jw.org/ta/wol/d/r122/lp-tl/1101990130" TargetMode="External" Id="rId31"/><Relationship Type="http://schemas.openxmlformats.org/officeDocument/2006/relationships/hyperlink" Target="https://wol.jw.org/en/wol/d/r1/lp-e/1101990130" TargetMode="External" Id="rId32"/><Relationship Type="http://schemas.openxmlformats.org/officeDocument/2006/relationships/hyperlink" Target="https://wol.jw.org/ta/wol/d/r122/lp-tl/1101990130" TargetMode="External" Id="rId33"/><Relationship Type="http://schemas.openxmlformats.org/officeDocument/2006/relationships/hyperlink" Target="https://wol.jw.org/en/wol/d/r1/lp-e/1200002329" TargetMode="External" Id="rId34"/><Relationship Type="http://schemas.openxmlformats.org/officeDocument/2006/relationships/hyperlink" Target="https://wol.jw.org/en/wol/d/r1/lp-e/1101990130" TargetMode="External" Id="rId35"/><Relationship Type="http://schemas.openxmlformats.org/officeDocument/2006/relationships/hyperlink" Target="https://wol.jw.org/ta/wol/d/r122/lp-tl/1101990130" TargetMode="External" Id="rId36"/><Relationship Type="http://schemas.openxmlformats.org/officeDocument/2006/relationships/hyperlink" Target="https://wol.jw.org/en/wol/d/r1/lp-e/1101990130" TargetMode="External" Id="rId37"/><Relationship Type="http://schemas.openxmlformats.org/officeDocument/2006/relationships/hyperlink" Target="https://wol.jw.org/ta/wol/d/r122/lp-tl/1101990130" TargetMode="External" Id="rId38"/><Relationship Type="http://schemas.openxmlformats.org/officeDocument/2006/relationships/hyperlink" Target="https://wol.jw.org/en/wol/d/r1/lp-e/1200001832" TargetMode="External" Id="rId39"/><Relationship Type="http://schemas.openxmlformats.org/officeDocument/2006/relationships/hyperlink" Target="https://wol.jw.org/en/wol/d/r1/lp-e/1101990130" TargetMode="External" Id="rId40"/><Relationship Type="http://schemas.openxmlformats.org/officeDocument/2006/relationships/hyperlink" Target="https://wol.jw.org/ta/wol/d/r122/lp-tl/1101990130" TargetMode="External" Id="rId41"/><Relationship Type="http://schemas.openxmlformats.org/officeDocument/2006/relationships/hyperlink" Target="https://wol.jw.org/en/wol/d/r1/lp-e/1101990130" TargetMode="External" Id="rId42"/><Relationship Type="http://schemas.openxmlformats.org/officeDocument/2006/relationships/hyperlink" Target="https://wol.jw.org/ta/wol/d/r122/lp-tl/1101990130" TargetMode="External" Id="rId43"/><Relationship Type="http://schemas.openxmlformats.org/officeDocument/2006/relationships/hyperlink" Target="https://wol.jw.org/en/wol/d/r1/lp-e/1101990130" TargetMode="External" Id="rId44"/><Relationship Type="http://schemas.openxmlformats.org/officeDocument/2006/relationships/hyperlink" Target="https://wol.jw.org/ta/wol/d/r122/lp-tl/1101990130" TargetMode="External" Id="rId45"/><Relationship Type="http://schemas.openxmlformats.org/officeDocument/2006/relationships/hyperlink" Target="https://wol.jw.org/en/wol/d/r1/lp-e/1101990130" TargetMode="External" Id="rId46"/><Relationship Type="http://schemas.openxmlformats.org/officeDocument/2006/relationships/hyperlink" Target="https://wol.jw.org/ta/wol/d/r122/lp-tl/1101990130" TargetMode="External" Id="rId47"/><Relationship Type="http://schemas.openxmlformats.org/officeDocument/2006/relationships/hyperlink" Target="https://wol.jw.org/en/wol/d/r1/lp-e/1200000367" TargetMode="External" Id="rId48"/><Relationship Type="http://schemas.openxmlformats.org/officeDocument/2006/relationships/hyperlink" Target="https://wol.jw.org/en/wol/d/r1/lp-e/1200000970" TargetMode="External" Id="rId49"/><Relationship Type="http://schemas.openxmlformats.org/officeDocument/2006/relationships/hyperlink" Target="https://wol.jw.org/en/wol/d/r1/lp-e/1101990130" TargetMode="External" Id="rId50"/><Relationship Type="http://schemas.openxmlformats.org/officeDocument/2006/relationships/hyperlink" Target="https://wol.jw.org/ta/wol/d/r122/lp-tl/1101990130" TargetMode="External" Id="rId51"/><Relationship Type="http://schemas.openxmlformats.org/officeDocument/2006/relationships/hyperlink" Target="https://wol.jw.org/en/wol/d/r1/lp-e/1101990130" TargetMode="External" Id="rId52"/><Relationship Type="http://schemas.openxmlformats.org/officeDocument/2006/relationships/hyperlink" Target="https://wol.jw.org/ta/wol/d/r122/lp-tl/1101990130" TargetMode="External" Id="rId53"/><Relationship Type="http://schemas.openxmlformats.org/officeDocument/2006/relationships/hyperlink" Target="https://wol.jw.org/en/wol/d/r1/lp-e/1200003988" TargetMode="External" Id="rId54"/><Relationship Type="http://schemas.openxmlformats.org/officeDocument/2006/relationships/hyperlink" Target="https://wol.jw.org/en/wol/d/r1/lp-e/1200003988" TargetMode="External" Id="rId55"/><Relationship Type="http://schemas.openxmlformats.org/officeDocument/2006/relationships/hyperlink" Target="https://wol.jw.org/en/wol/d/r1/lp-e/1200003421" TargetMode="External" Id="rId56"/><Relationship Type="http://schemas.openxmlformats.org/officeDocument/2006/relationships/hyperlink" Target="https://wol.jw.org/en/wol/d/r1/lp-e/1200003421" TargetMode="External" Id="rId57"/><Relationship Type="http://schemas.openxmlformats.org/officeDocument/2006/relationships/hyperlink" Target="https://wol.jw.org/en/wol/d/r1/lp-e/1101990130" TargetMode="External" Id="rId58"/><Relationship Type="http://schemas.openxmlformats.org/officeDocument/2006/relationships/hyperlink" Target="https://wol.jw.org/ta/wol/d/r122/lp-tl/1101990130" TargetMode="External" Id="rId59"/><Relationship Type="http://schemas.openxmlformats.org/officeDocument/2006/relationships/hyperlink" Target="https://wol.jw.org/en/wol/d/r1/lp-e/1200003712" TargetMode="External" Id="rId60"/><Relationship Type="http://schemas.openxmlformats.org/officeDocument/2006/relationships/hyperlink" Target="https://wol.jw.org/en/wol/d/r1/lp-e/1200003712" TargetMode="External" Id="rId61"/><Relationship Type="http://schemas.openxmlformats.org/officeDocument/2006/relationships/hyperlink" Target="https://wol.jw.org/en/wol/d/r1/lp-e/1200003909" TargetMode="External" Id="rId62"/><Relationship Type="http://schemas.openxmlformats.org/officeDocument/2006/relationships/hyperlink" Target="https://wol.jw.org/en/wol/d/r1/lp-e/1200003909" TargetMode="External" Id="rId63"/><Relationship Type="http://schemas.openxmlformats.org/officeDocument/2006/relationships/hyperlink" Target="https://wol.jw.org/en/wol/d/r1/lp-e/1200003170" TargetMode="External" Id="rId64"/><Relationship Type="http://schemas.openxmlformats.org/officeDocument/2006/relationships/hyperlink" Target="https://wol.jw.org/en/wol/d/r1/lp-e/1200003170" TargetMode="External" Id="rId65"/><Relationship Type="http://schemas.openxmlformats.org/officeDocument/2006/relationships/hyperlink" Target="https://wol.jw.org/en/wol/d/r1/lp-e/1200003421" TargetMode="External" Id="rId66"/><Relationship Type="http://schemas.openxmlformats.org/officeDocument/2006/relationships/hyperlink" Target="https://wol.jw.org/en/wol/d/r1/lp-e/1200003170" TargetMode="External" Id="rId67"/><Relationship Type="http://schemas.openxmlformats.org/officeDocument/2006/relationships/hyperlink" Target="https://wol.jw.org/en/wol/d/r1/lp-e/1101990130" TargetMode="External" Id="rId68"/><Relationship Type="http://schemas.openxmlformats.org/officeDocument/2006/relationships/hyperlink" Target="https://wol.jw.org/ta/wol/d/r122/lp-tl/1101990130" TargetMode="External" Id="rId69"/><Relationship Type="http://schemas.openxmlformats.org/officeDocument/2006/relationships/hyperlink" Target="https://wol.jw.org/en/wol/d/r1/lp-e/1101990130" TargetMode="External" Id="rId70"/><Relationship Type="http://schemas.openxmlformats.org/officeDocument/2006/relationships/hyperlink" Target="https://wol.jw.org/ta/wol/d/r122/lp-tl/1101990130" TargetMode="External" Id="rId71"/><Relationship Type="http://schemas.openxmlformats.org/officeDocument/2006/relationships/hyperlink" Target="https://wol.jw.org/en/wol/mp/r1/lp-e/it-1/2018/11" TargetMode="External" Id="rId72"/><Relationship Type="http://schemas.openxmlformats.org/officeDocument/2006/relationships/hyperlink" Target="https://wol.jw.org/en/wol/d/r1/lp-e/1101990130" TargetMode="External" Id="rId73"/><Relationship Type="http://schemas.openxmlformats.org/officeDocument/2006/relationships/hyperlink" Target="https://wol.jw.org/ta/wol/d/r122/lp-tl/1101990130" TargetMode="External" Id="rId74"/><Relationship Type="http://schemas.openxmlformats.org/officeDocument/2006/relationships/hyperlink" Target="https://wol.jw.org/en/wol/d/r1/lp-e/1200003712" TargetMode="External" Id="rId75"/><Relationship Type="http://schemas.openxmlformats.org/officeDocument/2006/relationships/hyperlink" Target="https://wol.jw.org/en/wol/d/r1/lp-e/1200003909" TargetMode="External" Id="rId76"/><Relationship Type="http://schemas.openxmlformats.org/officeDocument/2006/relationships/hyperlink" Target="https://wol.jw.org/en/wol/d/r1/lp-e/1200004368" TargetMode="External" Id="rId77"/><Relationship Type="http://schemas.openxmlformats.org/officeDocument/2006/relationships/hyperlink" Target="https://wol.jw.org/en/wol/d/r1/lp-e/1101990130" TargetMode="External" Id="rId78"/><Relationship Type="http://schemas.openxmlformats.org/officeDocument/2006/relationships/hyperlink" Target="https://wol.jw.org/ta/wol/d/r122/lp-tl/1101990130" TargetMode="External" Id="rId79"/><Relationship Type="http://schemas.openxmlformats.org/officeDocument/2006/relationships/hyperlink" Target="https://wol.jw.org/en/wol/d/r1/lp-e/1101990130" TargetMode="External" Id="rId80"/><Relationship Type="http://schemas.openxmlformats.org/officeDocument/2006/relationships/hyperlink" Target="https://wol.jw.org/ta/wol/d/r122/lp-tl/1101990130" TargetMode="External" Id="rId81"/><Relationship Type="http://schemas.openxmlformats.org/officeDocument/2006/relationships/hyperlink" Target="https://wol.jw.org/en/wol/d/r1/lp-e/1101990130" TargetMode="External" Id="rId82"/><Relationship Type="http://schemas.openxmlformats.org/officeDocument/2006/relationships/hyperlink" Target="https://wol.jw.org/ta/wol/d/r122/lp-tl/1101990130" TargetMode="External" Id="rId83"/><Relationship Type="http://schemas.openxmlformats.org/officeDocument/2006/relationships/hyperlink" Target="https://wol.jw.org/en/wol/d/r1/lp-e/1101990130" TargetMode="External" Id="rId84"/><Relationship Type="http://schemas.openxmlformats.org/officeDocument/2006/relationships/hyperlink" Target="https://wol.jw.org/ta/wol/d/r122/lp-tl/1101990130" TargetMode="External" Id="rId85"/><Relationship Type="http://schemas.openxmlformats.org/officeDocument/2006/relationships/hyperlink" Target="https://wol.jw.org/en/wol/d/r1/lp-e/1101990130" TargetMode="External" Id="rId86"/><Relationship Type="http://schemas.openxmlformats.org/officeDocument/2006/relationships/hyperlink" Target="https://wol.jw.org/ta/wol/d/r122/lp-tl/1101990130" TargetMode="External" Id="rId87"/><Relationship Type="http://schemas.openxmlformats.org/officeDocument/2006/relationships/hyperlink" Target="https://wol.jw.org/en/wol/d/r1/lp-e/1101990130" TargetMode="External" Id="rId88"/><Relationship Type="http://schemas.openxmlformats.org/officeDocument/2006/relationships/hyperlink" Target="https://wol.jw.org/ta/wol/d/r122/lp-tl/1101990130" TargetMode="External" Id="rId89"/><Relationship Type="http://schemas.openxmlformats.org/officeDocument/2006/relationships/hyperlink" Target="https://wol.jw.org/en/wol/d/r1/lp-e/1101990130" TargetMode="External" Id="rId90"/><Relationship Type="http://schemas.openxmlformats.org/officeDocument/2006/relationships/hyperlink" Target="https://wol.jw.org/ta/wol/d/r122/lp-tl/1101990130" TargetMode="External" Id="rId91"/><Relationship Type="http://schemas.openxmlformats.org/officeDocument/2006/relationships/hyperlink" Target="https://wol.jw.org/en/wol/d/r1/lp-e/1101990130" TargetMode="External" Id="rId92"/><Relationship Type="http://schemas.openxmlformats.org/officeDocument/2006/relationships/hyperlink" Target="https://wol.jw.org/ta/wol/d/r122/lp-tl/1101990130" TargetMode="External" Id="rId93"/><Relationship Type="http://schemas.openxmlformats.org/officeDocument/2006/relationships/hyperlink" Target="https://wol.jw.org/en/wol/d/r1/lp-e/1101990130" TargetMode="External" Id="rId94"/><Relationship Type="http://schemas.openxmlformats.org/officeDocument/2006/relationships/hyperlink" Target="https://wol.jw.org/ta/wol/d/r122/lp-tl/1101990130" TargetMode="External" Id="rId95"/><Relationship Type="http://schemas.openxmlformats.org/officeDocument/2006/relationships/hyperlink" Target="https://wol.jw.org/en/wol/d/r1/lp-e/1101990130" TargetMode="External" Id="rId96"/><Relationship Type="http://schemas.openxmlformats.org/officeDocument/2006/relationships/hyperlink" Target="https://wol.jw.org/ta/wol/d/r122/lp-tl/1101990130" TargetMode="External" Id="rId97"/><Relationship Type="http://schemas.openxmlformats.org/officeDocument/2006/relationships/hyperlink" Target="https://wol.jw.org/en/wol/d/r1/lp-e/1101990130" TargetMode="External" Id="rId98"/><Relationship Type="http://schemas.openxmlformats.org/officeDocument/2006/relationships/hyperlink" Target="https://wol.jw.org/ta/wol/d/r122/lp-tl/1101990130" TargetMode="External" Id="rId99"/><Relationship Type="http://schemas.openxmlformats.org/officeDocument/2006/relationships/hyperlink" Target="https://wol.jw.org/en/wol/d/r1/lp-e/1101990130" TargetMode="External" Id="rId100"/><Relationship Type="http://schemas.openxmlformats.org/officeDocument/2006/relationships/hyperlink" Target="https://wol.jw.org/ta/wol/d/r122/lp-tl/1101990130" TargetMode="External" Id="rId101"/><Relationship Type="http://schemas.openxmlformats.org/officeDocument/2006/relationships/hyperlink" Target="https://wol.jw.org/en/wol/d/r1/lp-e/1200000970" TargetMode="External" Id="rId102"/><Relationship Type="http://schemas.openxmlformats.org/officeDocument/2006/relationships/hyperlink" Target="https://wol.jw.org/en/wol/d/r1/lp-e/1101990130" TargetMode="External" Id="rId103"/><Relationship Type="http://schemas.openxmlformats.org/officeDocument/2006/relationships/hyperlink" Target="https://wol.jw.org/ta/wol/d/r122/lp-tl/1101990130" TargetMode="External" Id="rId104"/><Relationship Type="http://schemas.openxmlformats.org/officeDocument/2006/relationships/hyperlink" Target="https://wol.jw.org/en/wol/d/r1/lp-e/1101990130" TargetMode="External" Id="rId105"/><Relationship Type="http://schemas.openxmlformats.org/officeDocument/2006/relationships/hyperlink" Target="https://wol.jw.org/ta/wol/d/r122/lp-tl/1101990130" TargetMode="External" Id="rId106"/><Relationship Type="http://schemas.openxmlformats.org/officeDocument/2006/relationships/hyperlink" Target="https://wol.jw.org/en/wol/d/r1/lp-e/1101990130" TargetMode="External" Id="rId107"/><Relationship Type="http://schemas.openxmlformats.org/officeDocument/2006/relationships/hyperlink" Target="https://wol.jw.org/ta/wol/d/r122/lp-tl/1101990130" TargetMode="External" Id="rId108"/><Relationship Type="http://schemas.openxmlformats.org/officeDocument/2006/relationships/hyperlink" Target="https://wol.jw.org/en/wol/d/r1/lp-e/1101990130" TargetMode="External" Id="rId109"/><Relationship Type="http://schemas.openxmlformats.org/officeDocument/2006/relationships/hyperlink" Target="https://wol.jw.org/ta/wol/d/r122/lp-tl/1101990130" TargetMode="External" Id="rId110"/><Relationship Type="http://schemas.openxmlformats.org/officeDocument/2006/relationships/hyperlink" Target="https://wol.jw.org/en/wol/d/r1/lp-e/1200003988" TargetMode="External" Id="rId111"/><Relationship Type="http://schemas.openxmlformats.org/officeDocument/2006/relationships/hyperlink" Target="https://wol.jw.org/en/wol/d/r1/lp-e/1101990130" TargetMode="External" Id="rId112"/><Relationship Type="http://schemas.openxmlformats.org/officeDocument/2006/relationships/hyperlink" Target="https://wol.jw.org/ta/wol/d/r122/lp-tl/1101990130" TargetMode="External" Id="rId113"/><Relationship Type="http://schemas.openxmlformats.org/officeDocument/2006/relationships/hyperlink" Target="https://wol.jw.org/en/wol/d/r1/lp-e/1101990130" TargetMode="External" Id="rId114"/><Relationship Type="http://schemas.openxmlformats.org/officeDocument/2006/relationships/hyperlink" Target="https://wol.jw.org/ta/wol/d/r122/lp-tl/1101990130" TargetMode="External" Id="rId115"/><Relationship Type="http://schemas.openxmlformats.org/officeDocument/2006/relationships/hyperlink" Target="https://wol.jw.org/en/wol/mp/r1/lp-e/it-1/2018/561" TargetMode="External" Id="rId116"/><Relationship Type="http://schemas.openxmlformats.org/officeDocument/2006/relationships/hyperlink" Target="https://wol.jw.org/en/wol/d/r1/lp-e/1101990130" TargetMode="External" Id="rId117"/><Relationship Type="http://schemas.openxmlformats.org/officeDocument/2006/relationships/hyperlink" Target="https://wol.jw.org/ta/wol/d/r122/lp-tl/1101990130" TargetMode="External" Id="rId118"/><Relationship Type="http://schemas.openxmlformats.org/officeDocument/2006/relationships/hyperlink" Target="https://wol.jw.org/en/wol/d/r1/lp-e/1101990130" TargetMode="External" Id="rId119"/><Relationship Type="http://schemas.openxmlformats.org/officeDocument/2006/relationships/hyperlink" Target="https://wol.jw.org/ta/wol/d/r122/lp-tl/1101990130" TargetMode="External" Id="rId120"/><Relationship Type="http://schemas.openxmlformats.org/officeDocument/2006/relationships/hyperlink" Target="https://wol.jw.org/en/wol/d/r1/lp-e/1101990130" TargetMode="External" Id="rId121"/><Relationship Type="http://schemas.openxmlformats.org/officeDocument/2006/relationships/hyperlink" Target="https://wol.jw.org/ta/wol/d/r122/lp-tl/1101990130" TargetMode="External" Id="rId122"/><Relationship Type="http://schemas.openxmlformats.org/officeDocument/2006/relationships/hyperlink" Target="https://wol.jw.org/en/wol/d/r1/lp-e/1101990130" TargetMode="External" Id="rId123"/><Relationship Type="http://schemas.openxmlformats.org/officeDocument/2006/relationships/hyperlink" Target="https://wol.jw.org/ta/wol/d/r122/lp-tl/1101990130" TargetMode="External" Id="rId124"/><Relationship Type="http://schemas.openxmlformats.org/officeDocument/2006/relationships/hyperlink" Target="https://wol.jw.org/en/wol/d/r1/lp-e/1101990130" TargetMode="External" Id="rId125"/><Relationship Type="http://schemas.openxmlformats.org/officeDocument/2006/relationships/hyperlink" Target="https://wol.jw.org/ta/wol/d/r122/lp-tl/1101990130" TargetMode="External" Id="rId126"/><Relationship Type="http://schemas.openxmlformats.org/officeDocument/2006/relationships/hyperlink" Target="https://wol.jw.org/en/wol/d/r1/lp-e/1101990130" TargetMode="External" Id="rId127"/><Relationship Type="http://schemas.openxmlformats.org/officeDocument/2006/relationships/hyperlink" Target="https://wol.jw.org/ta/wol/d/r122/lp-tl/1101990130" TargetMode="External" Id="rId128"/><Relationship Type="http://schemas.openxmlformats.org/officeDocument/2006/relationships/hyperlink" Target="https://wol.jw.org/en/wol/d/r1/lp-e/1101990130" TargetMode="External" Id="rId129"/><Relationship Type="http://schemas.openxmlformats.org/officeDocument/2006/relationships/hyperlink" Target="https://wol.jw.org/ta/wol/d/r122/lp-tl/1101990130" TargetMode="External" Id="rId130"/><Relationship Type="http://schemas.openxmlformats.org/officeDocument/2006/relationships/hyperlink" Target="https://wol.jw.org/en/wol/d/r1/lp-e/1101990130" TargetMode="External" Id="rId131"/><Relationship Type="http://schemas.openxmlformats.org/officeDocument/2006/relationships/hyperlink" Target="https://wol.jw.org/ta/wol/d/r122/lp-tl/1101990130" TargetMode="External" Id="rId132"/><Relationship Type="http://schemas.openxmlformats.org/officeDocument/2006/relationships/hyperlink" Target="https://wol.jw.org/en/wol/d/r1/lp-e/1101990130" TargetMode="External" Id="rId133"/><Relationship Type="http://schemas.openxmlformats.org/officeDocument/2006/relationships/hyperlink" Target="https://wol.jw.org/ta/wol/d/r122/lp-tl/1101990130" TargetMode="External" Id="rId134"/><Relationship Type="http://schemas.openxmlformats.org/officeDocument/2006/relationships/hyperlink" Target="https://wol.jw.org/en/wol/d/r1/lp-e/1101990130" TargetMode="External" Id="rId135"/><Relationship Type="http://schemas.openxmlformats.org/officeDocument/2006/relationships/hyperlink" Target="https://wol.jw.org/ta/wol/d/r122/lp-tl/1101990130" TargetMode="External" Id="rId136"/><Relationship Type="http://schemas.openxmlformats.org/officeDocument/2006/relationships/hyperlink" Target="https://wol.jw.org/en/wol/d/r1/lp-e/1101990130" TargetMode="External" Id="rId137"/><Relationship Type="http://schemas.openxmlformats.org/officeDocument/2006/relationships/hyperlink" Target="https://wol.jw.org/ta/wol/d/r122/lp-tl/1101990130" TargetMode="External" Id="rId138"/><Relationship Type="http://schemas.openxmlformats.org/officeDocument/2006/relationships/hyperlink" Target="https://wol.jw.org/en/wol/d/r1/lp-e/1101990130" TargetMode="External" Id="rId139"/><Relationship Type="http://schemas.openxmlformats.org/officeDocument/2006/relationships/hyperlink" Target="https://wol.jw.org/ta/wol/d/r122/lp-tl/1101990130" TargetMode="External" Id="rId140"/><Relationship Type="http://schemas.openxmlformats.org/officeDocument/2006/relationships/hyperlink" Target="https://wol.jw.org/en/wol/d/r1/lp-e/1101990130" TargetMode="External" Id="rId141"/><Relationship Type="http://schemas.openxmlformats.org/officeDocument/2006/relationships/hyperlink" Target="https://wol.jw.org/ta/wol/d/r122/lp-tl/1101990130" TargetMode="External" Id="rId142"/><Relationship Type="http://schemas.openxmlformats.org/officeDocument/2006/relationships/hyperlink" Target="https://wol.jw.org/en/wol/mp/r1/lp-e/it-1/2018/241" TargetMode="External" Id="rId143"/><Relationship Type="http://schemas.openxmlformats.org/officeDocument/2006/relationships/hyperlink" Target="https://wol.jw.org/en/wol/d/r1/lp-e/1200271562" TargetMode="External" Id="rId144"/><Relationship Type="http://schemas.openxmlformats.org/officeDocument/2006/relationships/hyperlink" Target="https://wol.jw.org/en/wol/mp/r1/lp-e/w15/2015/219" TargetMode="External" Id="rId145"/><Relationship Type="http://schemas.openxmlformats.org/officeDocument/2006/relationships/hyperlink" Target="https://wol.jw.org/en/wol/d/r1/lp-e/1101990130" TargetMode="External" Id="rId146"/><Relationship Type="http://schemas.openxmlformats.org/officeDocument/2006/relationships/hyperlink" Target="https://wol.jw.org/ta/wol/d/r122/lp-tl/1101990130" TargetMode="External" Id="rId147"/><Relationship Type="http://schemas.openxmlformats.org/officeDocument/2006/relationships/hyperlink" Target="https://wol.jw.org/en/wol/d/r1/lp-e/1101990130" TargetMode="External" Id="rId148"/><Relationship Type="http://schemas.openxmlformats.org/officeDocument/2006/relationships/hyperlink" Target="https://wol.jw.org/ta/wol/d/r122/lp-tl/1101990130" TargetMode="External" Id="rId149"/><Relationship Type="http://schemas.openxmlformats.org/officeDocument/2006/relationships/hyperlink" Target="https://wol.jw.org/en/wol/mp/r1/lp-e/it-2/2018/30" TargetMode="External" Id="rId150"/><Relationship Type="http://schemas.openxmlformats.org/officeDocument/2006/relationships/hyperlink" Target="https://wol.jw.org/en/wol/d/r1/lp-e/1101990130" TargetMode="External" Id="rId151"/><Relationship Type="http://schemas.openxmlformats.org/officeDocument/2006/relationships/hyperlink" Target="https://wol.jw.org/ta/wol/d/r122/lp-tl/1101990130" TargetMode="External" Id="rId152"/><Relationship Type="http://schemas.openxmlformats.org/officeDocument/2006/relationships/hyperlink" Target="https://wol.jw.org/en/wol/mp/r1/lp-e/wcg/2025/1363" TargetMode="External" Id="rId153"/><Relationship Type="http://schemas.openxmlformats.org/officeDocument/2006/relationships/hyperlink" Target="https://wol.jw.org/en/wol/d/r1/lp-e/1200000970" TargetMode="External" Id="rId154"/><Relationship Type="http://schemas.openxmlformats.org/officeDocument/2006/relationships/hyperlink" Target="https://wol.jw.org/en/wol/d/r1/lp-e/1101990130" TargetMode="External" Id="rId155"/><Relationship Type="http://schemas.openxmlformats.org/officeDocument/2006/relationships/hyperlink" Target="https://wol.jw.org/ta/wol/d/r122/lp-tl/1101990130" TargetMode="External" Id="rId156"/><Relationship Type="http://schemas.openxmlformats.org/officeDocument/2006/relationships/hyperlink" Target="https://wol.jw.org/en/wol/d/r1/lp-e/1101990130" TargetMode="External" Id="rId157"/><Relationship Type="http://schemas.openxmlformats.org/officeDocument/2006/relationships/hyperlink" Target="https://wol.jw.org/ta/wol/d/r122/lp-tl/1101990130" TargetMode="External" Id="rId158"/><Relationship Type="http://schemas.openxmlformats.org/officeDocument/2006/relationships/hyperlink" Target="https://wol.jw.org/en/wol/d/r1/lp-e/1200002475" TargetMode="External" Id="rId159"/><Relationship Type="http://schemas.openxmlformats.org/officeDocument/2006/relationships/hyperlink" Target="https://wol.jw.org/en/wol/d/r1/lp-e/1101990130" TargetMode="External" Id="rId160"/><Relationship Type="http://schemas.openxmlformats.org/officeDocument/2006/relationships/hyperlink" Target="https://wol.jw.org/ta/wol/d/r122/lp-tl/1101990130" TargetMode="External" Id="rId161"/><Relationship Type="http://schemas.openxmlformats.org/officeDocument/2006/relationships/hyperlink" Target="https://wol.jw.org/en/wol/d/r1/lp-e/1101990130" TargetMode="External" Id="rId162"/><Relationship Type="http://schemas.openxmlformats.org/officeDocument/2006/relationships/hyperlink" Target="https://wol.jw.org/ta/wol/d/r122/lp-tl/1101990130" TargetMode="External" Id="rId163"/><Relationship Type="http://schemas.openxmlformats.org/officeDocument/2006/relationships/hyperlink" Target="https://wol.jw.org/en/wol/d/r1/lp-e/1200000005" TargetMode="External" Id="rId164"/><Relationship Type="http://schemas.openxmlformats.org/officeDocument/2006/relationships/hyperlink" Target="https://wol.jw.org/en/wol/d/r1/lp-e/1200000005" TargetMode="External" Id="rId165"/><Relationship Type="http://schemas.openxmlformats.org/officeDocument/2006/relationships/hyperlink" Target="https://wol.jw.org/en/wol/d/r1/lp-e/1101990130" TargetMode="External" Id="rId166"/><Relationship Type="http://schemas.openxmlformats.org/officeDocument/2006/relationships/hyperlink" Target="https://wol.jw.org/ta/wol/d/r122/lp-tl/1101990130" TargetMode="External" Id="rId167"/><Relationship Type="http://schemas.openxmlformats.org/officeDocument/2006/relationships/hyperlink" Target="https://wol.jw.org/en/wol/d/r1/lp-e/1101990130" TargetMode="External" Id="rId168"/><Relationship Type="http://schemas.openxmlformats.org/officeDocument/2006/relationships/hyperlink" Target="https://wol.jw.org/ta/wol/d/r122/lp-tl/1101990130" TargetMode="External" Id="rId169"/><Relationship Type="http://schemas.openxmlformats.org/officeDocument/2006/relationships/hyperlink" Target="https://wol.jw.org/en/wol/d/r1/lp-e/1102025962" TargetMode="External" Id="rId170"/><Relationship Type="http://schemas.openxmlformats.org/officeDocument/2006/relationships/hyperlink" Target="https://wol.jw.org/ta/wol/d/r122/lp-tl/1102025962" TargetMode="External" Id="rId171"/><Relationship Type="http://schemas.openxmlformats.org/officeDocument/2006/relationships/hyperlink" Target="https://wol.jw.org/en/wol/d/r1/lp-e/1102025962" TargetMode="External" Id="rId172"/><Relationship Type="http://schemas.openxmlformats.org/officeDocument/2006/relationships/hyperlink" Target="https://wol.jw.org/ta/wol/d/r122/lp-tl/1102025962" TargetMode="External" Id="rId173"/><Relationship Type="http://schemas.openxmlformats.org/officeDocument/2006/relationships/hyperlink" Target="https://wol.jw.org/en/wol/d/r1/lp-e/1101990130" TargetMode="External" Id="rId174"/><Relationship Type="http://schemas.openxmlformats.org/officeDocument/2006/relationships/hyperlink" Target="https://wol.jw.org/ta/wol/d/r122/lp-tl/1101990130" TargetMode="External" Id="rId175"/><Relationship Type="http://schemas.openxmlformats.org/officeDocument/2006/relationships/hyperlink" Target="https://wol.jw.org/en/wol/d/r1/lp-e/1102025962" TargetMode="External" Id="rId176"/><Relationship Type="http://schemas.openxmlformats.org/officeDocument/2006/relationships/hyperlink" Target="https://wol.jw.org/ta/wol/d/r122/lp-tl/1102025962" TargetMode="External" Id="rId177"/><Relationship Type="http://schemas.openxmlformats.org/officeDocument/2006/relationships/hyperlink" Target="https://wol.jw.org/en/wol/d/r1/lp-e/1102025962" TargetMode="External" Id="rId178"/><Relationship Type="http://schemas.openxmlformats.org/officeDocument/2006/relationships/hyperlink" Target="https://wol.jw.org/ta/wol/d/r122/lp-tl/1102025962" TargetMode="External" Id="rId179"/><Relationship Type="http://schemas.openxmlformats.org/officeDocument/2006/relationships/hyperlink" Target="https://wol.jw.org/en/wol/d/r1/lp-e/1101990130" TargetMode="External" Id="rId180"/><Relationship Type="http://schemas.openxmlformats.org/officeDocument/2006/relationships/hyperlink" Target="https://wol.jw.org/ta/wol/d/r122/lp-tl/1101990130" TargetMode="External" Id="rId181"/><Relationship Type="http://schemas.openxmlformats.org/officeDocument/2006/relationships/hyperlink" Target="https://wol.jw.org/en/wol/d/r1/lp-e/1001070071" TargetMode="External" Id="rId182"/><Relationship Type="http://schemas.openxmlformats.org/officeDocument/2006/relationships/hyperlink" Target="https://wol.jw.org/ta/wol/d/r122/lp-tl/1001070071" TargetMode="External" Id="rId183"/><Relationship Type="http://schemas.openxmlformats.org/officeDocument/2006/relationships/hyperlink" Target="https://wol.jw.org/en/wol/d/r1/lp-e/1200001065" TargetMode="External" Id="rId184"/><Relationship Type="http://schemas.openxmlformats.org/officeDocument/2006/relationships/hyperlink" Target="https://wol.jw.org/en/wol/d/r1/lp-e/1101990130" TargetMode="External" Id="rId185"/><Relationship Type="http://schemas.openxmlformats.org/officeDocument/2006/relationships/hyperlink" Target="https://wol.jw.org/ta/wol/d/r122/lp-tl/1101990130" TargetMode="External" Id="rId186"/><Relationship Type="http://schemas.openxmlformats.org/officeDocument/2006/relationships/hyperlink" Target="https://wol.jw.org/en/wol/mp/r1/lp-e/wcg/2025/1365" TargetMode="External" Id="rId187"/><Relationship Type="http://schemas.openxmlformats.org/officeDocument/2006/relationships/hyperlink" Target="https://wol.jw.org/en/wol/d/r1/lp-e/1200000970" TargetMode="External" Id="rId188"/><Relationship Type="http://schemas.openxmlformats.org/officeDocument/2006/relationships/hyperlink" Target="https://wol.jw.org/en/wol/d/r1/lp-e/1200001065" TargetMode="External" Id="rId189"/><Relationship Type="http://schemas.openxmlformats.org/officeDocument/2006/relationships/hyperlink" Target="https://wol.jw.org/en/wol/d/r1/lp-e/1101990130" TargetMode="External" Id="rId190"/><Relationship Type="http://schemas.openxmlformats.org/officeDocument/2006/relationships/hyperlink" Target="https://wol.jw.org/ta/wol/d/r122/lp-tl/1101990130" TargetMode="External" Id="rId191"/><Relationship Type="http://schemas.openxmlformats.org/officeDocument/2006/relationships/hyperlink" Target="https://wol.jw.org/en/wol/mp/r1/lp-e/it-1/2018/249" TargetMode="External" Id="rId192"/><Relationship Type="http://schemas.openxmlformats.org/officeDocument/2006/relationships/hyperlink" Target="https://wol.jw.org/en/wol/d/r1/lp-e/1200002523" TargetMode="External" Id="rId193"/><Relationship Type="http://schemas.openxmlformats.org/officeDocument/2006/relationships/hyperlink" Target="https://wol.jw.org/en/wol/d/r1/lp-e/1200002888" TargetMode="External" Id="rId194"/><Relationship Type="http://schemas.openxmlformats.org/officeDocument/2006/relationships/hyperlink" Target="https://wol.jw.org/en/wol/d/r1/lp-e/1101990130" TargetMode="External" Id="rId195"/><Relationship Type="http://schemas.openxmlformats.org/officeDocument/2006/relationships/hyperlink" Target="https://wol.jw.org/ta/wol/d/r122/lp-tl/1101990130" TargetMode="External" Id="rId196"/><Relationship Type="http://schemas.openxmlformats.org/officeDocument/2006/relationships/hyperlink" Target="https://wol.jw.org/en/wol/d/r1/lp-e/502016227" TargetMode="External" Id="rId197"/><Relationship Type="http://schemas.openxmlformats.org/officeDocument/2006/relationships/hyperlink" Target="https://wol.jw.org/en/wol/d/r1/lp-e/1101990062" TargetMode="External" Id="rId198"/><Relationship Type="http://schemas.openxmlformats.org/officeDocument/2006/relationships/hyperlink" Target="https://wol.jw.org/ta/wol/d/r122/lp-tl/1101990062" TargetMode="External" Id="rId199"/><Relationship Type="http://schemas.openxmlformats.org/officeDocument/2006/relationships/hyperlink" Target="https://wol.jw.org/en/wol/d/r1/lp-e/1001070071" TargetMode="External" Id="rId200"/><Relationship Type="http://schemas.openxmlformats.org/officeDocument/2006/relationships/hyperlink" Target="https://wol.jw.org/ta/wol/d/r122/lp-tl/1001070071" TargetMode="External" Id="rId201"/><Relationship Type="http://schemas.openxmlformats.org/officeDocument/2006/relationships/hyperlink" Target="https://wol.jw.org/en/wol/d/r1/lp-e/1001070071" TargetMode="External" Id="rId202"/><Relationship Type="http://schemas.openxmlformats.org/officeDocument/2006/relationships/hyperlink" Target="https://wol.jw.org/ta/wol/d/r122/lp-tl/1001070071" TargetMode="External" Id="rId203"/><Relationship Type="http://schemas.openxmlformats.org/officeDocument/2006/relationships/hyperlink" Target="https://wol.jw.org/en/wol/d/r1/lp-e/1101990130" TargetMode="External" Id="rId204"/><Relationship Type="http://schemas.openxmlformats.org/officeDocument/2006/relationships/hyperlink" Target="https://wol.jw.org/ta/wol/d/r122/lp-tl/1101990130" TargetMode="External" Id="rId205"/><Relationship Type="http://schemas.openxmlformats.org/officeDocument/2006/relationships/hyperlink" Target="https://wol.jw.org/en/wol/mp/r1/lp-e/nwt/2013/107" TargetMode="External" Id="rId206"/><Relationship Type="http://schemas.openxmlformats.org/officeDocument/2006/relationships/hyperlink" Target="https://wol.jw.org/en/wol/d/r1/lp-e/1101990130" TargetMode="External" Id="rId207"/><Relationship Type="http://schemas.openxmlformats.org/officeDocument/2006/relationships/hyperlink" Target="https://wol.jw.org/ta/wol/d/r122/lp-tl/1101990130" TargetMode="External" Id="rId208"/><Relationship Type="http://schemas.openxmlformats.org/officeDocument/2006/relationships/hyperlink" Target="https://wol.jw.org/en/wol/d/r1/lp-e/1200003397" TargetMode="External" Id="rId209"/><Relationship Type="http://schemas.openxmlformats.org/officeDocument/2006/relationships/hyperlink" Target="https://wol.jw.org/en/wol/d/r1/lp-e/1200010959" TargetMode="External" Id="rId210"/><Relationship Type="http://schemas.openxmlformats.org/officeDocument/2006/relationships/hyperlink" Target="https://wol.jw.org/en/wol/d/r1/lp-e/1200010959" TargetMode="External" Id="rId211"/><Relationship Type="http://schemas.openxmlformats.org/officeDocument/2006/relationships/hyperlink" Target="https://wol.jw.org/en/wol/d/r1/lp-e/1102025962" TargetMode="External" Id="rId212"/><Relationship Type="http://schemas.openxmlformats.org/officeDocument/2006/relationships/hyperlink" Target="https://wol.jw.org/ta/wol/d/r122/lp-tl/1102025962" TargetMode="External" Id="rId213"/><Relationship Type="http://schemas.openxmlformats.org/officeDocument/2006/relationships/hyperlink" Target="https://wol.jw.org/en/wol/d/r1/lp-e/1102025962" TargetMode="External" Id="rId214"/><Relationship Type="http://schemas.openxmlformats.org/officeDocument/2006/relationships/hyperlink" Target="https://wol.jw.org/ta/wol/d/r122/lp-tl/1102025962" TargetMode="External" Id="rId215"/><Relationship Type="http://schemas.openxmlformats.org/officeDocument/2006/relationships/hyperlink" Target="https://wol.jw.org/en/wol/d/r1/lp-e/1200003074" TargetMode="External" Id="rId216"/><Relationship Type="http://schemas.openxmlformats.org/officeDocument/2006/relationships/hyperlink" Target="https://wol.jw.org/en/wol/d/r1/lp-e/1200000005" TargetMode="External" Id="rId217"/><Relationship Type="http://schemas.openxmlformats.org/officeDocument/2006/relationships/hyperlink" Target="https://wol.jw.org/en/wol/d/r1/lp-e/1200000382" TargetMode="External" Id="rId218"/><Relationship Type="http://schemas.openxmlformats.org/officeDocument/2006/relationships/hyperlink" Target="https://wol.jw.org/en/wol/d/r1/lp-e/1200000130" TargetMode="External" Id="rId219"/><Relationship Type="http://schemas.openxmlformats.org/officeDocument/2006/relationships/hyperlink" Target="https://wol.jw.org/en/wol/d/r1/lp-e/1200000381" TargetMode="External" Id="rId220"/><Relationship Type="http://schemas.openxmlformats.org/officeDocument/2006/relationships/hyperlink" Target="https://wol.jw.org/en/wol/d/r1/lp-e/1101990130" TargetMode="External" Id="rId221"/><Relationship Type="http://schemas.openxmlformats.org/officeDocument/2006/relationships/hyperlink" Target="https://wol.jw.org/ta/wol/d/r122/lp-tl/1101990130" TargetMode="External" Id="rId222"/><Relationship Type="http://schemas.openxmlformats.org/officeDocument/2006/relationships/hyperlink" Target="https://wol.jw.org/en/wol/d/r1/lp-e/1001070071" TargetMode="External" Id="rId223"/><Relationship Type="http://schemas.openxmlformats.org/officeDocument/2006/relationships/hyperlink" Target="https://wol.jw.org/ta/wol/d/r122/lp-tl/1001070071" TargetMode="External" Id="rId224"/><Relationship Type="http://schemas.openxmlformats.org/officeDocument/2006/relationships/hyperlink" Target="https://wol.jw.org/en/wol/d/r1/lp-e/1001070071" TargetMode="External" Id="rId225"/><Relationship Type="http://schemas.openxmlformats.org/officeDocument/2006/relationships/hyperlink" Target="https://wol.jw.org/ta/wol/d/r122/lp-tl/1001070071" TargetMode="External" Id="rId226"/><Relationship Type="http://schemas.openxmlformats.org/officeDocument/2006/relationships/hyperlink" Target="https://wol.jw.org/en/wol/d/r1/lp-e/1001070071" TargetMode="External" Id="rId227"/><Relationship Type="http://schemas.openxmlformats.org/officeDocument/2006/relationships/hyperlink" Target="https://wol.jw.org/ta/wol/d/r122/lp-tl/1001070071" TargetMode="External" Id="rId228"/><Relationship Type="http://schemas.openxmlformats.org/officeDocument/2006/relationships/hyperlink" Target="https://wol.jw.org/en/wol/d/r1/lp-e/1200003118" TargetMode="External" Id="rId229"/><Relationship Type="http://schemas.openxmlformats.org/officeDocument/2006/relationships/hyperlink" Target="https://wol.jw.org/en/wol/d/r1/lp-e/1101990130" TargetMode="External" Id="rId230"/><Relationship Type="http://schemas.openxmlformats.org/officeDocument/2006/relationships/hyperlink" Target="https://wol.jw.org/ta/wol/d/r122/lp-tl/1101990130" TargetMode="External" Id="rId231"/><Relationship Type="http://schemas.openxmlformats.org/officeDocument/2006/relationships/hyperlink" Target="https://wol.jw.org/en/wol/d/r1/lp-e/1200003623" TargetMode="External" Id="rId232"/><Relationship Type="http://schemas.openxmlformats.org/officeDocument/2006/relationships/hyperlink" Target="https://wol.jw.org/en/wol/d/r1/lp-e/1101990130" TargetMode="External" Id="rId233"/><Relationship Type="http://schemas.openxmlformats.org/officeDocument/2006/relationships/hyperlink" Target="https://wol.jw.org/ta/wol/d/r122/lp-tl/1101990130" TargetMode="External" Id="rId234"/><Relationship Type="http://schemas.openxmlformats.org/officeDocument/2006/relationships/hyperlink" Target="https://wol.jw.org/en/wol/mp/r1/lp-e/wcg/2025/1367" TargetMode="External" Id="rId235"/><Relationship Type="http://schemas.openxmlformats.org/officeDocument/2006/relationships/hyperlink" Target="https://wol.jw.org/en/wol/d/r1/lp-e/1101990130" TargetMode="External" Id="rId236"/><Relationship Type="http://schemas.openxmlformats.org/officeDocument/2006/relationships/hyperlink" Target="https://wol.jw.org/ta/wol/d/r122/lp-tl/1101990130" TargetMode="External" Id="rId237"/><Relationship Type="http://schemas.openxmlformats.org/officeDocument/2006/relationships/hyperlink" Target="https://wol.jw.org/en/wol/d/r1/lp-e/1200271562" TargetMode="External" Id="rId238"/><Relationship Type="http://schemas.openxmlformats.org/officeDocument/2006/relationships/hyperlink" Target="https://wol.jw.org/en/wol/d/r1/lp-e/1200003397" TargetMode="External" Id="rId239"/><Relationship Type="http://schemas.openxmlformats.org/officeDocument/2006/relationships/hyperlink" Target="https://wol.jw.org/en/wol/d/r1/lp-e/1200002888" TargetMode="External" Id="rId240"/><Relationship Type="http://schemas.openxmlformats.org/officeDocument/2006/relationships/hyperlink" Target="https://wol.jw.org/en/wol/d/r1/lp-e/1200002426" TargetMode="External" Id="rId241"/><Relationship Type="http://schemas.openxmlformats.org/officeDocument/2006/relationships/hyperlink" Target="https://wol.jw.org/en/wol/mp/r1/lp-e/it-2/2018/17" TargetMode="External" Id="rId242"/><Relationship Type="http://schemas.openxmlformats.org/officeDocument/2006/relationships/hyperlink" Target="https://wol.jw.org/en/wol/d/r1/lp-e/1200000178" TargetMode="External" Id="rId243"/><Relationship Type="http://schemas.openxmlformats.org/officeDocument/2006/relationships/hyperlink" Target="https://wol.jw.org/en/wol/d/r1/lp-e/1101990130" TargetMode="External" Id="rId244"/><Relationship Type="http://schemas.openxmlformats.org/officeDocument/2006/relationships/hyperlink" Target="https://wol.jw.org/ta/wol/d/r122/lp-tl/1101990130" TargetMode="External" Id="rId245"/><Relationship Type="http://schemas.openxmlformats.org/officeDocument/2006/relationships/hyperlink" Target="https://wol.jw.org/en/wol/d/r1/lp-e/1001061226" TargetMode="External" Id="rId246"/><Relationship Type="http://schemas.openxmlformats.org/officeDocument/2006/relationships/hyperlink" Target="https://wol.jw.org/ta/wol/d/r122/lp-tl/1001061226" TargetMode="External" Id="rId247"/><Relationship Type="http://schemas.openxmlformats.org/officeDocument/2006/relationships/hyperlink" Target="https://wol.jw.org/en/wol/mp/r1/lp-e/nwt/2013/109" TargetMode="External" Id="rId248"/><Relationship Type="http://schemas.openxmlformats.org/officeDocument/2006/relationships/hyperlink" Target="https://wol.jw.org/en/wol/d/r1/lp-e/1200000369" TargetMode="External" Id="rId249"/><Relationship Type="http://schemas.openxmlformats.org/officeDocument/2006/relationships/hyperlink" Target="https://wol.jw.org/en/wol/d/r1/lp-e/1101990130" TargetMode="External" Id="rId250"/><Relationship Type="http://schemas.openxmlformats.org/officeDocument/2006/relationships/hyperlink" Target="https://wol.jw.org/ta/wol/d/r122/lp-tl/1101990130" TargetMode="External" Id="rId251"/><Relationship Type="http://schemas.openxmlformats.org/officeDocument/2006/relationships/hyperlink" Target="https://wol.jw.org/en/wol/d/r1/lp-e/1001070071" TargetMode="External" Id="rId252"/><Relationship Type="http://schemas.openxmlformats.org/officeDocument/2006/relationships/hyperlink" Target="https://wol.jw.org/ta/wol/d/r122/lp-tl/1001070071" TargetMode="External" Id="rId253"/><Relationship Type="http://schemas.openxmlformats.org/officeDocument/2006/relationships/hyperlink" Target="https://wol.jw.org/en/wol/d/r1/lp-e/1102025962" TargetMode="External" Id="rId254"/><Relationship Type="http://schemas.openxmlformats.org/officeDocument/2006/relationships/hyperlink" Target="https://wol.jw.org/ta/wol/d/r122/lp-tl/1102025962" TargetMode="External" Id="rId255"/><Relationship Type="http://schemas.openxmlformats.org/officeDocument/2006/relationships/hyperlink" Target="https://wol.jw.org/en/wol/d/r1/lp-e/1102025962" TargetMode="External" Id="rId256"/><Relationship Type="http://schemas.openxmlformats.org/officeDocument/2006/relationships/hyperlink" Target="https://wol.jw.org/ta/wol/d/r122/lp-tl/1102025962" TargetMode="External" Id="rId257"/><Relationship Type="http://schemas.openxmlformats.org/officeDocument/2006/relationships/hyperlink" Target="https://wol.jw.org/en/wol/d/r1/lp-e/1200003349" TargetMode="External" Id="rId258"/><Relationship Type="http://schemas.openxmlformats.org/officeDocument/2006/relationships/hyperlink" Target="https://wol.jw.org/en/wol/d/r1/lp-e/1200002536" TargetMode="External" Id="rId259"/><Relationship Type="http://schemas.openxmlformats.org/officeDocument/2006/relationships/hyperlink" Target="https://wol.jw.org/en/wol/d/r1/lp-e/1200001268" TargetMode="External" Id="rId260"/><Relationship Type="http://schemas.openxmlformats.org/officeDocument/2006/relationships/hyperlink" Target="https://wol.jw.org/en/wol/d/r1/lp-e/1102025962" TargetMode="External" Id="rId261"/><Relationship Type="http://schemas.openxmlformats.org/officeDocument/2006/relationships/hyperlink" Target="https://wol.jw.org/ta/wol/d/r122/lp-tl/1102025962" TargetMode="External" Id="rId262"/><Relationship Type="http://schemas.openxmlformats.org/officeDocument/2006/relationships/hyperlink" Target="https://wol.jw.org/en/wol/d/r1/lp-e/1200002545" TargetMode="External" Id="rId263"/><Relationship Type="http://schemas.openxmlformats.org/officeDocument/2006/relationships/hyperlink" Target="https://wol.jw.org/en/wol/d/r1/lp-e/1200001138" TargetMode="External" Id="rId264"/><Relationship Type="http://schemas.openxmlformats.org/officeDocument/2006/relationships/hyperlink" Target="https://wol.jw.org/en/wol/d/r1/lp-e/1200003777" TargetMode="External" Id="rId265"/><Relationship Type="http://schemas.openxmlformats.org/officeDocument/2006/relationships/hyperlink" Target="https://wol.jw.org/en/wol/d/r1/lp-e/1200001685" TargetMode="External" Id="rId266"/><Relationship Type="http://schemas.openxmlformats.org/officeDocument/2006/relationships/hyperlink" Target="https://wol.jw.org/en/wol/d/r1/lp-e/1200010959" TargetMode="External" Id="rId267"/><Relationship Type="http://schemas.openxmlformats.org/officeDocument/2006/relationships/hyperlink" Target="https://wol.jw.org/en/wol/d/r1/lp-e/1200002545" TargetMode="External" Id="rId268"/><Relationship Type="http://schemas.openxmlformats.org/officeDocument/2006/relationships/hyperlink" Target="https://wol.jw.org/en/wol/d/r1/lp-e/1200002545" TargetMode="External" Id="rId269"/><Relationship Type="http://schemas.openxmlformats.org/officeDocument/2006/relationships/hyperlink" Target="https://wol.jw.org/en/wol/d/r1/lp-e/1102025962" TargetMode="External" Id="rId270"/><Relationship Type="http://schemas.openxmlformats.org/officeDocument/2006/relationships/hyperlink" Target="https://wol.jw.org/ta/wol/d/r122/lp-tl/1102025962" TargetMode="External" Id="rId271"/><Relationship Type="http://schemas.openxmlformats.org/officeDocument/2006/relationships/hyperlink" Target="https://wol.jw.org/en/wol/d/r1/lp-e/1200001290" TargetMode="External" Id="rId272"/><Relationship Type="http://schemas.openxmlformats.org/officeDocument/2006/relationships/hyperlink" Target="https://wol.jw.org/en/wol/d/r1/lp-e/1200002413" TargetMode="External" Id="rId273"/><Relationship Type="http://schemas.openxmlformats.org/officeDocument/2006/relationships/hyperlink" Target="https://wol.jw.org/en/wol/d/r1/lp-e/1200002545" TargetMode="External" Id="rId274"/><Relationship Type="http://schemas.openxmlformats.org/officeDocument/2006/relationships/hyperlink" Target="https://wol.jw.org/en/wol/d/r1/lp-e/1200002545" TargetMode="External" Id="rId275"/><Relationship Type="http://schemas.openxmlformats.org/officeDocument/2006/relationships/hyperlink" Target="https://wol.jw.org/en/wol/d/r1/lp-e/1200002545" TargetMode="External" Id="rId276"/><Relationship Type="http://schemas.openxmlformats.org/officeDocument/2006/relationships/hyperlink" Target="https://wol.jw.org/en/wol/d/r1/lp-e/1200003823" TargetMode="External" Id="rId277"/><Relationship Type="http://schemas.openxmlformats.org/officeDocument/2006/relationships/hyperlink" Target="https://wol.jw.org/en/wol/d/r1/lp-e/1200001290" TargetMode="External" Id="rId278"/><Relationship Type="http://schemas.openxmlformats.org/officeDocument/2006/relationships/hyperlink" Target="https://wol.jw.org/en/wol/d/r1/lp-e/502016227" TargetMode="External" Id="rId279"/><Relationship Type="http://schemas.openxmlformats.org/officeDocument/2006/relationships/hyperlink" Target="https://wol.jw.org/en/wol/d/r1/lp-e/1200003824" TargetMode="External" Id="rId280"/><Relationship Type="http://schemas.openxmlformats.org/officeDocument/2006/relationships/hyperlink" Target="https://wol.jw.org/en/wol/d/r1/lp-e/1101990130" TargetMode="External" Id="rId281"/><Relationship Type="http://schemas.openxmlformats.org/officeDocument/2006/relationships/hyperlink" Target="https://wol.jw.org/ta/wol/d/r122/lp-tl/1101990130" TargetMode="External" Id="rId282"/><Relationship Type="http://schemas.openxmlformats.org/officeDocument/2006/relationships/hyperlink" Target="https://wol.jw.org/en/wol/d/r1/lp-e/1200000970" TargetMode="External" Id="rId283"/><Relationship Type="http://schemas.openxmlformats.org/officeDocument/2006/relationships/hyperlink" Target="https://wol.jw.org/en/wol/d/r1/lp-e/1200000970" TargetMode="External" Id="rId284"/><Relationship Type="http://schemas.openxmlformats.org/officeDocument/2006/relationships/hyperlink" Target="https://wol.jw.org/en/wol/d/r1/lp-e/1101990130" TargetMode="External" Id="rId285"/><Relationship Type="http://schemas.openxmlformats.org/officeDocument/2006/relationships/hyperlink" Target="https://wol.jw.org/ta/wol/d/r122/lp-tl/1101990130" TargetMode="External" Id="rId286"/><Relationship Type="http://schemas.openxmlformats.org/officeDocument/2006/relationships/hyperlink" Target="https://wol.jw.org/en/wol/d/r1/lp-e/1101990130" TargetMode="External" Id="rId287"/><Relationship Type="http://schemas.openxmlformats.org/officeDocument/2006/relationships/hyperlink" Target="https://wol.jw.org/ta/wol/d/r122/lp-tl/1101990130" TargetMode="External" Id="rId288"/><Relationship Type="http://schemas.openxmlformats.org/officeDocument/2006/relationships/hyperlink" Target="https://wol.jw.org/en/wol/d/r1/lp-e/1001070071" TargetMode="External" Id="rId289"/><Relationship Type="http://schemas.openxmlformats.org/officeDocument/2006/relationships/hyperlink" Target="https://wol.jw.org/ta/wol/d/r122/lp-tl/1001070071" TargetMode="External" Id="rId290"/><Relationship Type="http://schemas.openxmlformats.org/officeDocument/2006/relationships/hyperlink" Target="https://wol.jw.org/en/wol/d/r1/lp-e/1001070071" TargetMode="External" Id="rId291"/><Relationship Type="http://schemas.openxmlformats.org/officeDocument/2006/relationships/hyperlink" Target="https://wol.jw.org/ta/wol/d/r122/lp-tl/1001070071" TargetMode="External" Id="rId292"/><Relationship Type="http://schemas.openxmlformats.org/officeDocument/2006/relationships/hyperlink" Target="https://wol.jw.org/en/wol/d/r1/lp-e/1001070071" TargetMode="External" Id="rId293"/><Relationship Type="http://schemas.openxmlformats.org/officeDocument/2006/relationships/hyperlink" Target="https://wol.jw.org/ta/wol/d/r122/lp-tl/1001070071" TargetMode="External" Id="rId294"/><Relationship Type="http://schemas.openxmlformats.org/officeDocument/2006/relationships/hyperlink" Target="https://wol.jw.org/en/wol/d/r1/lp-e/1101990130" TargetMode="External" Id="rId295"/><Relationship Type="http://schemas.openxmlformats.org/officeDocument/2006/relationships/hyperlink" Target="https://wol.jw.org/ta/wol/d/r122/lp-tl/1101990130" TargetMode="External" Id="rId296"/><Relationship Type="http://schemas.openxmlformats.org/officeDocument/2006/relationships/hyperlink" Target="https://wol.jw.org/en/wol/mp/r1/lp-e/it-1/2018/312" TargetMode="External" Id="rId297"/><Relationship Type="http://schemas.openxmlformats.org/officeDocument/2006/relationships/hyperlink" Target="https://wol.jw.org/en/wol/d/r1/lp-e/1101990130" TargetMode="External" Id="rId298"/><Relationship Type="http://schemas.openxmlformats.org/officeDocument/2006/relationships/hyperlink" Target="https://wol.jw.org/ta/wol/d/r122/lp-tl/1101990130" TargetMode="External" Id="rId299"/><Relationship Type="http://schemas.openxmlformats.org/officeDocument/2006/relationships/hyperlink" Target="https://wol.jw.org/en/wol/d/r1/lp-e/1001061227" TargetMode="External" Id="rId300"/><Relationship Type="http://schemas.openxmlformats.org/officeDocument/2006/relationships/hyperlink" Target="https://wol.jw.org/ta/wol/d/r122/lp-tl/1001061227" TargetMode="External" Id="rId301"/><Relationship Type="http://schemas.openxmlformats.org/officeDocument/2006/relationships/hyperlink" Target="https://wol.jw.org/en/wol/d/r1/lp-e/1101990130" TargetMode="External" Id="rId302"/><Relationship Type="http://schemas.openxmlformats.org/officeDocument/2006/relationships/hyperlink" Target="https://wol.jw.org/ta/wol/d/r122/lp-tl/1101990130" TargetMode="External" Id="rId303"/><Relationship Type="http://schemas.openxmlformats.org/officeDocument/2006/relationships/hyperlink" Target="https://wol.jw.org/en/wol/d/r1/lp-e/1101990130" TargetMode="External" Id="rId304"/><Relationship Type="http://schemas.openxmlformats.org/officeDocument/2006/relationships/hyperlink" Target="https://wol.jw.org/ta/wol/d/r122/lp-tl/1101990130" TargetMode="External" Id="rId305"/><Relationship Type="http://schemas.openxmlformats.org/officeDocument/2006/relationships/hyperlink" Target="https://wol.jw.org/en/wol/d/r1/lp-e/1101990130" TargetMode="External" Id="rId306"/><Relationship Type="http://schemas.openxmlformats.org/officeDocument/2006/relationships/hyperlink" Target="https://wol.jw.org/ta/wol/d/r122/lp-tl/1101990130" TargetMode="External" Id="rId307"/><Relationship Type="http://schemas.openxmlformats.org/officeDocument/2006/relationships/hyperlink" Target="https://wol.jw.org/en/wol/d/r1/lp-e/1001070071" TargetMode="External" Id="rId308"/><Relationship Type="http://schemas.openxmlformats.org/officeDocument/2006/relationships/hyperlink" Target="https://wol.jw.org/ta/wol/d/r122/lp-tl/1001070071" TargetMode="External" Id="rId309"/><Relationship Type="http://schemas.openxmlformats.org/officeDocument/2006/relationships/hyperlink" Target="https://wol.jw.org/en/wol/d/r1/lp-e/1101990130" TargetMode="External" Id="rId310"/><Relationship Type="http://schemas.openxmlformats.org/officeDocument/2006/relationships/hyperlink" Target="https://wol.jw.org/ta/wol/d/r122/lp-tl/1101990130" TargetMode="External" Id="rId311"/><Relationship Type="http://schemas.openxmlformats.org/officeDocument/2006/relationships/hyperlink" Target="https://wol.jw.org/en/wol/d/r1/lp-e/1001061227" TargetMode="External" Id="rId312"/><Relationship Type="http://schemas.openxmlformats.org/officeDocument/2006/relationships/hyperlink" Target="https://wol.jw.org/ta/wol/d/r122/lp-tl/1001061227" TargetMode="External" Id="rId313"/><Relationship Type="http://schemas.openxmlformats.org/officeDocument/2006/relationships/hyperlink" Target="https://wol.jw.org/en/wol/d/r1/lp-e/1101990130" TargetMode="External" Id="rId314"/><Relationship Type="http://schemas.openxmlformats.org/officeDocument/2006/relationships/hyperlink" Target="https://wol.jw.org/ta/wol/d/r122/lp-tl/1101990130" TargetMode="External" Id="rId315"/><Relationship Type="http://schemas.openxmlformats.org/officeDocument/2006/relationships/hyperlink" Target="https://wol.jw.org/en/wol/d/r1/lp-e/1200004359" TargetMode="External" Id="rId316"/><Relationship Type="http://schemas.openxmlformats.org/officeDocument/2006/relationships/hyperlink" Target="https://wol.jw.org/en/wol/d/r1/lp-e/1101990130" TargetMode="External" Id="rId317"/><Relationship Type="http://schemas.openxmlformats.org/officeDocument/2006/relationships/hyperlink" Target="https://wol.jw.org/ta/wol/d/r122/lp-tl/1101990130" TargetMode="External" Id="rId318"/><Relationship Type="http://schemas.openxmlformats.org/officeDocument/2006/relationships/hyperlink" Target="https://wol.jw.org/en/wol/d/r1/lp-e/1200004359" TargetMode="External" Id="rId319"/><Relationship Type="http://schemas.openxmlformats.org/officeDocument/2006/relationships/hyperlink" Target="https://wol.jw.org/en/wol/d/r1/lp-e/1200004359" TargetMode="External" Id="rId320"/><Relationship Type="http://schemas.openxmlformats.org/officeDocument/2006/relationships/hyperlink" Target="https://wol.jw.org/en/wol/d/r1/lp-e/1001070071" TargetMode="External" Id="rId321"/><Relationship Type="http://schemas.openxmlformats.org/officeDocument/2006/relationships/hyperlink" Target="https://wol.jw.org/ta/wol/d/r122/lp-tl/1001070071" TargetMode="External" Id="rId322"/><Relationship Type="http://schemas.openxmlformats.org/officeDocument/2006/relationships/hyperlink" Target="https://wol.jw.org/en/wol/d/r1/lp-e/1001070071" TargetMode="External" Id="rId323"/><Relationship Type="http://schemas.openxmlformats.org/officeDocument/2006/relationships/hyperlink" Target="https://wol.jw.org/ta/wol/d/r122/lp-tl/1001070071" TargetMode="External" Id="rId324"/><Relationship Type="http://schemas.openxmlformats.org/officeDocument/2006/relationships/hyperlink" Target="https://wol.jw.org/en/wol/d/r1/lp-e/1001070206" TargetMode="External" Id="rId325"/><Relationship Type="http://schemas.openxmlformats.org/officeDocument/2006/relationships/hyperlink" Target="https://wol.jw.org/ta/wol/d/r122/lp-tl/1001070206" TargetMode="External" Id="rId326"/><Relationship Type="http://schemas.openxmlformats.org/officeDocument/2006/relationships/hyperlink" Target="https://wol.jw.org/en/wol/mp/r1/lp-e/nwtsty/2026/29" TargetMode="External" Id="rId327"/><Relationship Type="http://schemas.openxmlformats.org/officeDocument/2006/relationships/hyperlink" Target="https://wol.jw.org/en/wol/d/r1/lp-e/1001070206" TargetMode="External" Id="rId328"/><Relationship Type="http://schemas.openxmlformats.org/officeDocument/2006/relationships/hyperlink" Target="https://wol.jw.org/ta/wol/d/r122/lp-tl/1001070206" TargetMode="External" Id="rId329"/><Relationship Type="http://schemas.openxmlformats.org/officeDocument/2006/relationships/hyperlink" Target="https://wol.jw.org/en/wol/d/r1/lp-e/1001070206" TargetMode="External" Id="rId330"/><Relationship Type="http://schemas.openxmlformats.org/officeDocument/2006/relationships/hyperlink" Target="https://wol.jw.org/ta/wol/d/r122/lp-tl/1001070206" TargetMode="External" Id="rId331"/><Relationship Type="http://schemas.openxmlformats.org/officeDocument/2006/relationships/hyperlink" Target="https://wol.jw.org/en/wol/mp/r1/lp-e/nwtsty/2026/29" TargetMode="External" Id="rId332"/><Relationship Type="http://schemas.openxmlformats.org/officeDocument/2006/relationships/hyperlink" Target="https://wol.jw.org/en/wol/d/r1/lp-e/1001070206" TargetMode="External" Id="rId333"/><Relationship Type="http://schemas.openxmlformats.org/officeDocument/2006/relationships/hyperlink" Target="https://wol.jw.org/ta/wol/d/r122/lp-tl/1001070206" TargetMode="External" Id="rId334"/><Relationship Type="http://schemas.openxmlformats.org/officeDocument/2006/relationships/hyperlink" Target="https://wol.jw.org/en/wol/d/r1/lp-e/1101990130" TargetMode="External" Id="rId335"/><Relationship Type="http://schemas.openxmlformats.org/officeDocument/2006/relationships/hyperlink" Target="https://wol.jw.org/ta/wol/d/r122/lp-tl/1101990130" TargetMode="External" Id="rId336"/><Relationship Type="http://schemas.openxmlformats.org/officeDocument/2006/relationships/hyperlink" Target="https://wol.jw.org/en/wol/mp/r1/lp-e/nwtsty/2026/29" TargetMode="External" Id="rId337"/><Relationship Type="http://schemas.openxmlformats.org/officeDocument/2006/relationships/hyperlink" Target="https://wol.jw.org/en/wol/d/r1/lp-e/1200002613" TargetMode="External" Id="rId338"/><Relationship Type="http://schemas.openxmlformats.org/officeDocument/2006/relationships/hyperlink" Target="https://wol.jw.org/en/wol/d/r1/lp-e/1200002613" TargetMode="External" Id="rId339"/><Relationship Type="http://schemas.openxmlformats.org/officeDocument/2006/relationships/hyperlink" Target="https://wol.jw.org/en/wol/d/r1/lp-e/1101990130" TargetMode="External" Id="rId340"/><Relationship Type="http://schemas.openxmlformats.org/officeDocument/2006/relationships/hyperlink" Target="https://wol.jw.org/ta/wol/d/r122/lp-tl/1101990130" TargetMode="External" Id="rId341"/><Relationship Type="http://schemas.openxmlformats.org/officeDocument/2006/relationships/hyperlink" Target="https://wol.jw.org/en/wol/d/r1/lp-e/1101990130" TargetMode="External" Id="rId342"/><Relationship Type="http://schemas.openxmlformats.org/officeDocument/2006/relationships/hyperlink" Target="https://wol.jw.org/ta/wol/d/r122/lp-tl/1101990130" TargetMode="External" Id="rId343"/><Relationship Type="http://schemas.openxmlformats.org/officeDocument/2006/relationships/hyperlink" Target="https://wol.jw.org/en/wol/d/r1/lp-e/1001070206" TargetMode="External" Id="rId344"/><Relationship Type="http://schemas.openxmlformats.org/officeDocument/2006/relationships/hyperlink" Target="https://wol.jw.org/ta/wol/d/r122/lp-tl/1001070206" TargetMode="External" Id="rId345"/><Relationship Type="http://schemas.openxmlformats.org/officeDocument/2006/relationships/hyperlink" Target="https://wol.jw.org/en/wol/mp/r1/lp-e/nwtsty/2026/29" TargetMode="External" Id="rId346"/><Relationship Type="http://schemas.openxmlformats.org/officeDocument/2006/relationships/hyperlink" Target="https://wol.jw.org/en/wol/d/r1/lp-e/1001070206" TargetMode="External" Id="rId347"/><Relationship Type="http://schemas.openxmlformats.org/officeDocument/2006/relationships/hyperlink" Target="https://wol.jw.org/ta/wol/d/r122/lp-tl/1001070206" TargetMode="External" Id="rId348"/><Relationship Type="http://schemas.openxmlformats.org/officeDocument/2006/relationships/hyperlink" Target="https://wol.jw.org/en/wol/d/r1/lp-e/1001070206" TargetMode="External" Id="rId349"/><Relationship Type="http://schemas.openxmlformats.org/officeDocument/2006/relationships/hyperlink" Target="https://wol.jw.org/ta/wol/d/r122/lp-tl/1001070206" TargetMode="External" Id="rId350"/><Relationship Type="http://schemas.openxmlformats.org/officeDocument/2006/relationships/hyperlink" Target="https://wol.jw.org/en/wol/mp/r1/lp-e/nwtsty/2026/29" TargetMode="External" Id="rId351"/><Relationship Type="http://schemas.openxmlformats.org/officeDocument/2006/relationships/hyperlink" Target="https://wol.jw.org/en/wol/d/r1/lp-e/1001070206" TargetMode="External" Id="rId352"/><Relationship Type="http://schemas.openxmlformats.org/officeDocument/2006/relationships/hyperlink" Target="https://wol.jw.org/ta/wol/d/r122/lp-tl/1001070206" TargetMode="External" Id="rId353"/><Relationship Type="http://schemas.openxmlformats.org/officeDocument/2006/relationships/hyperlink" Target="https://wol.jw.org/en/wol/d/r1/lp-e/1001070206" TargetMode="External" Id="rId354"/><Relationship Type="http://schemas.openxmlformats.org/officeDocument/2006/relationships/hyperlink" Target="https://wol.jw.org/ta/wol/d/r122/lp-tl/1001070206" TargetMode="External" Id="rId355"/><Relationship Type="http://schemas.openxmlformats.org/officeDocument/2006/relationships/hyperlink" Target="https://wol.jw.org/en/wol/mp/r1/lp-e/nwtsty/2026/29" TargetMode="External" Id="rId356"/><Relationship Type="http://schemas.openxmlformats.org/officeDocument/2006/relationships/hyperlink" Target="https://wol.jw.org/en/wol/d/r1/lp-e/1001070206" TargetMode="External" Id="rId357"/><Relationship Type="http://schemas.openxmlformats.org/officeDocument/2006/relationships/hyperlink" Target="https://wol.jw.org/ta/wol/d/r122/lp-tl/1001070206" TargetMode="External" Id="rId358"/><Relationship Type="http://schemas.openxmlformats.org/officeDocument/2006/relationships/hyperlink" Target="https://wol.jw.org/en/wol/d/r1/lp-e/1001070206" TargetMode="External" Id="rId359"/><Relationship Type="http://schemas.openxmlformats.org/officeDocument/2006/relationships/hyperlink" Target="https://wol.jw.org/ta/wol/d/r122/lp-tl/1001070206" TargetMode="External" Id="rId360"/><Relationship Type="http://schemas.openxmlformats.org/officeDocument/2006/relationships/hyperlink" Target="https://wol.jw.org/en/wol/mp/r1/lp-e/nwtsty/2026/29" TargetMode="External" Id="rId361"/><Relationship Type="http://schemas.openxmlformats.org/officeDocument/2006/relationships/hyperlink" Target="https://wol.jw.org/en/wol/d/r1/lp-e/1001070206" TargetMode="External" Id="rId362"/><Relationship Type="http://schemas.openxmlformats.org/officeDocument/2006/relationships/hyperlink" Target="https://wol.jw.org/ta/wol/d/r122/lp-tl/1001070206" TargetMode="External" Id="rId363"/><Relationship Type="http://schemas.openxmlformats.org/officeDocument/2006/relationships/hyperlink" Target="https://wol.jw.org/en/wol/d/r1/lp-e/1200000970" TargetMode="External" Id="rId364"/><Relationship Type="http://schemas.openxmlformats.org/officeDocument/2006/relationships/hyperlink" Target="https://wol.jw.org/en/wol/d/r1/lp-e/1200010959" TargetMode="External" Id="rId365"/><Relationship Type="http://schemas.openxmlformats.org/officeDocument/2006/relationships/hyperlink" Target="https://wol.jw.org/en/wol/d/r1/lp-e/1001070206" TargetMode="External" Id="rId366"/><Relationship Type="http://schemas.openxmlformats.org/officeDocument/2006/relationships/hyperlink" Target="https://wol.jw.org/ta/wol/d/r122/lp-tl/1001070206" TargetMode="External" Id="rId367"/><Relationship Type="http://schemas.openxmlformats.org/officeDocument/2006/relationships/hyperlink" Target="https://wol.jw.org/en/wol/mp/r1/lp-e/nwtsty/2026/29" TargetMode="External" Id="rId368"/><Relationship Type="http://schemas.openxmlformats.org/officeDocument/2006/relationships/hyperlink" Target="https://wol.jw.org/en/wol/d/r1/lp-e/1001070206" TargetMode="External" Id="rId369"/><Relationship Type="http://schemas.openxmlformats.org/officeDocument/2006/relationships/hyperlink" Target="https://wol.jw.org/ta/wol/d/r122/lp-tl/1001070206" TargetMode="External" Id="rId370"/><Relationship Type="http://schemas.openxmlformats.org/officeDocument/2006/relationships/hyperlink" Target="https://wol.jw.org/en/wol/d/r1/lp-e/1001070206" TargetMode="External" Id="rId371"/><Relationship Type="http://schemas.openxmlformats.org/officeDocument/2006/relationships/hyperlink" Target="https://wol.jw.org/ta/wol/d/r122/lp-tl/1001070206" TargetMode="External" Id="rId372"/><Relationship Type="http://schemas.openxmlformats.org/officeDocument/2006/relationships/hyperlink" Target="https://wol.jw.org/en/wol/mp/r1/lp-e/nwtsty/2026/29" TargetMode="External" Id="rId373"/><Relationship Type="http://schemas.openxmlformats.org/officeDocument/2006/relationships/hyperlink" Target="https://wol.jw.org/en/wol/d/r1/lp-e/1001070206" TargetMode="External" Id="rId374"/><Relationship Type="http://schemas.openxmlformats.org/officeDocument/2006/relationships/hyperlink" Target="https://wol.jw.org/ta/wol/d/r122/lp-tl/1001070206" TargetMode="External" Id="rId375"/><Relationship Type="http://schemas.openxmlformats.org/officeDocument/2006/relationships/hyperlink" Target="https://wol.jw.org/en/wol/d/r1/lp-e/1001070206" TargetMode="External" Id="rId376"/><Relationship Type="http://schemas.openxmlformats.org/officeDocument/2006/relationships/hyperlink" Target="https://wol.jw.org/ta/wol/d/r122/lp-tl/1001070206" TargetMode="External" Id="rId377"/><Relationship Type="http://schemas.openxmlformats.org/officeDocument/2006/relationships/hyperlink" Target="https://wol.jw.org/en/wol/mp/r1/lp-e/nwtsty/2026/29" TargetMode="External" Id="rId378"/><Relationship Type="http://schemas.openxmlformats.org/officeDocument/2006/relationships/hyperlink" Target="https://wol.jw.org/en/wol/d/r1/lp-e/1001070206" TargetMode="External" Id="rId379"/><Relationship Type="http://schemas.openxmlformats.org/officeDocument/2006/relationships/hyperlink" Target="https://wol.jw.org/ta/wol/d/r122/lp-tl/1001070206" TargetMode="External" Id="rId380"/><Relationship Type="http://schemas.openxmlformats.org/officeDocument/2006/relationships/hyperlink" Target="https://wol.jw.org/en/wol/d/r1/lp-e/1001070206" TargetMode="External" Id="rId381"/><Relationship Type="http://schemas.openxmlformats.org/officeDocument/2006/relationships/hyperlink" Target="https://wol.jw.org/ta/wol/d/r122/lp-tl/1001070206" TargetMode="External" Id="rId382"/><Relationship Type="http://schemas.openxmlformats.org/officeDocument/2006/relationships/hyperlink" Target="https://wol.jw.org/en/wol/mp/r1/lp-e/nwtsty/2026/29" TargetMode="External" Id="rId383"/><Relationship Type="http://schemas.openxmlformats.org/officeDocument/2006/relationships/hyperlink" Target="https://wol.jw.org/en/wol/d/r1/lp-e/1200000970" TargetMode="External" Id="rId384"/><Relationship Type="http://schemas.openxmlformats.org/officeDocument/2006/relationships/hyperlink" Target="https://wol.jw.org/en/wol/d/r1/lp-e/1001070206" TargetMode="External" Id="rId385"/><Relationship Type="http://schemas.openxmlformats.org/officeDocument/2006/relationships/hyperlink" Target="https://wol.jw.org/ta/wol/d/r122/lp-tl/1001070206" TargetMode="External" Id="rId386"/><Relationship Type="http://schemas.openxmlformats.org/officeDocument/2006/relationships/hyperlink" Target="https://wol.jw.org/en/wol/mp/r1/lp-e/nwtsty/2026/29" TargetMode="External" Id="rId387"/><Relationship Type="http://schemas.openxmlformats.org/officeDocument/2006/relationships/hyperlink" Target="https://wol.jw.org/en/wol/d/r1/lp-e/1001070206" TargetMode="External" Id="rId388"/><Relationship Type="http://schemas.openxmlformats.org/officeDocument/2006/relationships/hyperlink" Target="https://wol.jw.org/ta/wol/d/r122/lp-tl/1001070206" TargetMode="External" Id="rId389"/><Relationship Type="http://schemas.openxmlformats.org/officeDocument/2006/relationships/hyperlink" Target="https://wol.jw.org/en/wol/mp/r1/lp-e/nwtsty/2026/29" TargetMode="External" Id="rId390"/><Relationship Type="http://schemas.openxmlformats.org/officeDocument/2006/relationships/hyperlink" Target="https://wol.jw.org/en/wol/d/r1/lp-e/1001070206" TargetMode="External" Id="rId391"/><Relationship Type="http://schemas.openxmlformats.org/officeDocument/2006/relationships/hyperlink" Target="https://wol.jw.org/ta/wol/d/r122/lp-tl/1001070206" TargetMode="External" Id="rId392"/><Relationship Type="http://schemas.openxmlformats.org/officeDocument/2006/relationships/hyperlink" Target="https://wol.jw.org/en/wol/d/r1/lp-e/1001070206" TargetMode="External" Id="rId393"/><Relationship Type="http://schemas.openxmlformats.org/officeDocument/2006/relationships/hyperlink" Target="https://wol.jw.org/ta/wol/d/r122/lp-tl/1001070206" TargetMode="External" Id="rId394"/><Relationship Type="http://schemas.openxmlformats.org/officeDocument/2006/relationships/hyperlink" Target="https://wol.jw.org/en/wol/mp/r1/lp-e/nwtsty/2026/29" TargetMode="External" Id="rId395"/><Relationship Type="http://schemas.openxmlformats.org/officeDocument/2006/relationships/hyperlink" Target="https://wol.jw.org/en/wol/d/r1/lp-e/1001070206" TargetMode="External" Id="rId396"/><Relationship Type="http://schemas.openxmlformats.org/officeDocument/2006/relationships/hyperlink" Target="https://wol.jw.org/ta/wol/d/r122/lp-tl/1001070206" TargetMode="External" Id="rId397"/><Relationship Type="http://schemas.openxmlformats.org/officeDocument/2006/relationships/hyperlink" Target="https://wol.jw.org/en/wol/d/r1/lp-e/1200010959" TargetMode="External" Id="rId398"/><Relationship Type="http://schemas.openxmlformats.org/officeDocument/2006/relationships/hyperlink" Target="https://wol.jw.org/en/wol/d/r1/lp-e/1001070206" TargetMode="External" Id="rId399"/><Relationship Type="http://schemas.openxmlformats.org/officeDocument/2006/relationships/hyperlink" Target="https://wol.jw.org/ta/wol/d/r122/lp-tl/1001070206" TargetMode="External" Id="rId400"/><Relationship Type="http://schemas.openxmlformats.org/officeDocument/2006/relationships/hyperlink" Target="https://wol.jw.org/en/wol/mp/r1/lp-e/nwtsty/2026/29" TargetMode="External" Id="rId401"/><Relationship Type="http://schemas.openxmlformats.org/officeDocument/2006/relationships/hyperlink" Target="https://wol.jw.org/en/wol/d/r1/lp-e/1001070206" TargetMode="External" Id="rId402"/><Relationship Type="http://schemas.openxmlformats.org/officeDocument/2006/relationships/hyperlink" Target="https://wol.jw.org/ta/wol/d/r122/lp-tl/1001070206" TargetMode="External" Id="rId403"/><Relationship Type="http://schemas.openxmlformats.org/officeDocument/2006/relationships/hyperlink" Target="https://wol.jw.org/en/wol/d/r1/lp-e/1200000970" TargetMode="External" Id="rId404"/><Relationship Type="http://schemas.openxmlformats.org/officeDocument/2006/relationships/hyperlink" Target="https://wol.jw.org/en/wol/d/r1/lp-e/1001070206" TargetMode="External" Id="rId405"/><Relationship Type="http://schemas.openxmlformats.org/officeDocument/2006/relationships/hyperlink" Target="https://wol.jw.org/ta/wol/d/r122/lp-tl/1001070206" TargetMode="External" Id="rId406"/><Relationship Type="http://schemas.openxmlformats.org/officeDocument/2006/relationships/hyperlink" Target="https://wol.jw.org/en/wol/mp/r1/lp-e/nwtsty/2026/29" TargetMode="External" Id="rId407"/><Relationship Type="http://schemas.openxmlformats.org/officeDocument/2006/relationships/hyperlink" Target="https://wol.jw.org/en/wol/d/r1/lp-e/1001070206" TargetMode="External" Id="rId408"/><Relationship Type="http://schemas.openxmlformats.org/officeDocument/2006/relationships/hyperlink" Target="https://wol.jw.org/ta/wol/d/r122/lp-tl/1001070206" TargetMode="External" Id="rId409"/><Relationship Type="http://schemas.openxmlformats.org/officeDocument/2006/relationships/hyperlink" Target="https://wol.jw.org/en/wol/mp/r1/lp-e/nwtsty/2026/29" TargetMode="External" Id="rId410"/><Relationship Type="http://schemas.openxmlformats.org/officeDocument/2006/relationships/hyperlink" Target="https://wol.jw.org/en/wol/d/r1/lp-e/1001070206" TargetMode="External" Id="rId411"/><Relationship Type="http://schemas.openxmlformats.org/officeDocument/2006/relationships/hyperlink" Target="https://wol.jw.org/ta/wol/d/r122/lp-tl/1001070206" TargetMode="External" Id="rId412"/><Relationship Type="http://schemas.openxmlformats.org/officeDocument/2006/relationships/hyperlink" Target="https://wol.jw.org/en/wol/d/r1/lp-e/1001070206" TargetMode="External" Id="rId413"/><Relationship Type="http://schemas.openxmlformats.org/officeDocument/2006/relationships/hyperlink" Target="https://wol.jw.org/ta/wol/d/r122/lp-tl/1001070206" TargetMode="External" Id="rId414"/><Relationship Type="http://schemas.openxmlformats.org/officeDocument/2006/relationships/hyperlink" Target="https://wol.jw.org/en/wol/mp/r1/lp-e/nwtsty/2026/29" TargetMode="External" Id="rId415"/><Relationship Type="http://schemas.openxmlformats.org/officeDocument/2006/relationships/hyperlink" Target="https://wol.jw.org/en/wol/d/r1/lp-e/1001070206" TargetMode="External" Id="rId416"/><Relationship Type="http://schemas.openxmlformats.org/officeDocument/2006/relationships/hyperlink" Target="https://wol.jw.org/ta/wol/d/r122/lp-tl/1001070206" TargetMode="External" Id="rId417"/><Relationship Type="http://schemas.openxmlformats.org/officeDocument/2006/relationships/hyperlink" Target="https://wol.jw.org/en/wol/d/r1/lp-e/1200000970" TargetMode="External" Id="rId418"/><Relationship Type="http://schemas.openxmlformats.org/officeDocument/2006/relationships/hyperlink" Target="https://wol.jw.org/en/wol/d/r1/lp-e/1001070206" TargetMode="External" Id="rId419"/><Relationship Type="http://schemas.openxmlformats.org/officeDocument/2006/relationships/hyperlink" Target="https://wol.jw.org/ta/wol/d/r122/lp-tl/1001070206" TargetMode="External" Id="rId420"/><Relationship Type="http://schemas.openxmlformats.org/officeDocument/2006/relationships/hyperlink" Target="https://wol.jw.org/en/wol/mp/r1/lp-e/nwtsty/2026/29" TargetMode="External" Id="rId421"/><Relationship Type="http://schemas.openxmlformats.org/officeDocument/2006/relationships/hyperlink" Target="https://wol.jw.org/en/wol/d/r1/lp-e/1001070206" TargetMode="External" Id="rId422"/><Relationship Type="http://schemas.openxmlformats.org/officeDocument/2006/relationships/hyperlink" Target="https://wol.jw.org/ta/wol/d/r122/lp-tl/1001070206" TargetMode="External" Id="rId423"/><Relationship Type="http://schemas.openxmlformats.org/officeDocument/2006/relationships/hyperlink" Target="https://wol.jw.org/en/wol/d/r1/lp-e/1001070206" TargetMode="External" Id="rId424"/><Relationship Type="http://schemas.openxmlformats.org/officeDocument/2006/relationships/hyperlink" Target="https://wol.jw.org/ta/wol/d/r122/lp-tl/1001070206" TargetMode="External" Id="rId425"/><Relationship Type="http://schemas.openxmlformats.org/officeDocument/2006/relationships/hyperlink" Target="https://wol.jw.org/en/wol/mp/r1/lp-e/nwtsty/2026/29" TargetMode="External" Id="rId426"/><Relationship Type="http://schemas.openxmlformats.org/officeDocument/2006/relationships/hyperlink" Target="https://wol.jw.org/en/wol/d/r1/lp-e/1001070206" TargetMode="External" Id="rId427"/><Relationship Type="http://schemas.openxmlformats.org/officeDocument/2006/relationships/hyperlink" Target="https://wol.jw.org/ta/wol/d/r122/lp-tl/1001070206" TargetMode="External" Id="rId428"/><Relationship Type="http://schemas.openxmlformats.org/officeDocument/2006/relationships/hyperlink" Target="https://wol.jw.org/en/wol/d/r1/lp-e/1001070206" TargetMode="External" Id="rId429"/><Relationship Type="http://schemas.openxmlformats.org/officeDocument/2006/relationships/hyperlink" Target="https://wol.jw.org/ta/wol/d/r122/lp-tl/1001070206" TargetMode="External" Id="rId430"/><Relationship Type="http://schemas.openxmlformats.org/officeDocument/2006/relationships/hyperlink" Target="https://wol.jw.org/en/wol/mp/r1/lp-e/nwtsty/2026/29" TargetMode="External" Id="rId431"/><Relationship Type="http://schemas.openxmlformats.org/officeDocument/2006/relationships/hyperlink" Target="https://wol.jw.org/en/wol/d/r1/lp-e/1001070206" TargetMode="External" Id="rId432"/><Relationship Type="http://schemas.openxmlformats.org/officeDocument/2006/relationships/hyperlink" Target="https://wol.jw.org/ta/wol/d/r122/lp-tl/1001070206" TargetMode="External" Id="rId433"/><Relationship Type="http://schemas.openxmlformats.org/officeDocument/2006/relationships/hyperlink" Target="https://wol.jw.org/en/wol/d/r1/lp-e/1001070206" TargetMode="External" Id="rId434"/><Relationship Type="http://schemas.openxmlformats.org/officeDocument/2006/relationships/hyperlink" Target="https://wol.jw.org/ta/wol/d/r122/lp-tl/1001070206" TargetMode="External" Id="rId435"/><Relationship Type="http://schemas.openxmlformats.org/officeDocument/2006/relationships/hyperlink" Target="https://wol.jw.org/en/wol/mp/r1/lp-e/nwtsty/2026/29" TargetMode="External" Id="rId436"/><Relationship Type="http://schemas.openxmlformats.org/officeDocument/2006/relationships/hyperlink" Target="https://wol.jw.org/en/wol/d/r1/lp-e/1001070206" TargetMode="External" Id="rId437"/><Relationship Type="http://schemas.openxmlformats.org/officeDocument/2006/relationships/hyperlink" Target="https://wol.jw.org/ta/wol/d/r122/lp-tl/1001070206" TargetMode="External" Id="rId438"/><Relationship Type="http://schemas.openxmlformats.org/officeDocument/2006/relationships/hyperlink" Target="https://wol.jw.org/en/wol/d/r1/lp-e/1001070206" TargetMode="External" Id="rId439"/><Relationship Type="http://schemas.openxmlformats.org/officeDocument/2006/relationships/hyperlink" Target="https://wol.jw.org/ta/wol/d/r122/lp-tl/1001070206" TargetMode="External" Id="rId440"/><Relationship Type="http://schemas.openxmlformats.org/officeDocument/2006/relationships/hyperlink" Target="https://wol.jw.org/en/wol/mp/r1/lp-e/nwtsty/2026/29" TargetMode="External" Id="rId441"/><Relationship Type="http://schemas.openxmlformats.org/officeDocument/2006/relationships/hyperlink" Target="https://wol.jw.org/en/wol/d/r1/lp-e/1001070206" TargetMode="External" Id="rId442"/><Relationship Type="http://schemas.openxmlformats.org/officeDocument/2006/relationships/hyperlink" Target="https://wol.jw.org/ta/wol/d/r122/lp-tl/1001070206" TargetMode="External" Id="rId443"/><Relationship Type="http://schemas.openxmlformats.org/officeDocument/2006/relationships/hyperlink" Target="https://wol.jw.org/en/wol/d/r1/lp-e/1001070206" TargetMode="External" Id="rId444"/><Relationship Type="http://schemas.openxmlformats.org/officeDocument/2006/relationships/hyperlink" Target="https://wol.jw.org/ta/wol/d/r122/lp-tl/1001070206" TargetMode="External" Id="rId445"/><Relationship Type="http://schemas.openxmlformats.org/officeDocument/2006/relationships/hyperlink" Target="https://wol.jw.org/en/wol/mp/r1/lp-e/nwtsty/2026/29" TargetMode="External" Id="rId446"/><Relationship Type="http://schemas.openxmlformats.org/officeDocument/2006/relationships/hyperlink" Target="https://wol.jw.org/en/wol/d/r1/lp-e/1001070206" TargetMode="External" Id="rId447"/><Relationship Type="http://schemas.openxmlformats.org/officeDocument/2006/relationships/hyperlink" Target="https://wol.jw.org/ta/wol/d/r122/lp-tl/1001070206" TargetMode="External" Id="rId448"/><Relationship Type="http://schemas.openxmlformats.org/officeDocument/2006/relationships/hyperlink" Target="https://wol.jw.org/en/wol/mp/r1/lp-e/nwtsty/2026/29" TargetMode="External" Id="rId449"/><Relationship Type="http://schemas.openxmlformats.org/officeDocument/2006/relationships/hyperlink" Target="https://wol.jw.org/en/wol/d/r1/lp-e/1001070206" TargetMode="External" Id="rId450"/><Relationship Type="http://schemas.openxmlformats.org/officeDocument/2006/relationships/hyperlink" Target="https://wol.jw.org/ta/wol/d/r122/lp-tl/1001070206" TargetMode="External" Id="rId451"/><Relationship Type="http://schemas.openxmlformats.org/officeDocument/2006/relationships/hyperlink" Target="https://wol.jw.org/en/wol/d/r1/lp-e/1001070206" TargetMode="External" Id="rId452"/><Relationship Type="http://schemas.openxmlformats.org/officeDocument/2006/relationships/hyperlink" Target="https://wol.jw.org/ta/wol/d/r122/lp-tl/1001070206" TargetMode="External" Id="rId453"/><Relationship Type="http://schemas.openxmlformats.org/officeDocument/2006/relationships/hyperlink" Target="https://wol.jw.org/en/wol/mp/r1/lp-e/nwtsty/2026/29" TargetMode="External" Id="rId454"/><Relationship Type="http://schemas.openxmlformats.org/officeDocument/2006/relationships/hyperlink" Target="https://wol.jw.org/en/wol/d/r1/lp-e/1001070206" TargetMode="External" Id="rId455"/><Relationship Type="http://schemas.openxmlformats.org/officeDocument/2006/relationships/hyperlink" Target="https://wol.jw.org/ta/wol/d/r122/lp-tl/1001070206" TargetMode="External" Id="rId456"/><Relationship Type="http://schemas.openxmlformats.org/officeDocument/2006/relationships/hyperlink" Target="https://wol.jw.org/en/wol/d/r1/lp-e/1200000970" TargetMode="External" Id="rId457"/><Relationship Type="http://schemas.openxmlformats.org/officeDocument/2006/relationships/hyperlink" Target="https://wol.jw.org/en/wol/d/r1/lp-e/1001070206" TargetMode="External" Id="rId458"/><Relationship Type="http://schemas.openxmlformats.org/officeDocument/2006/relationships/hyperlink" Target="https://wol.jw.org/ta/wol/d/r122/lp-tl/1001070206" TargetMode="External" Id="rId459"/><Relationship Type="http://schemas.openxmlformats.org/officeDocument/2006/relationships/hyperlink" Target="https://wol.jw.org/en/wol/mp/r1/lp-e/nwtsty/2026/29" TargetMode="External" Id="rId460"/><Relationship Type="http://schemas.openxmlformats.org/officeDocument/2006/relationships/hyperlink" Target="https://wol.jw.org/en/wol/d/r1/lp-e/1001070071" TargetMode="External" Id="rId461"/><Relationship Type="http://schemas.openxmlformats.org/officeDocument/2006/relationships/hyperlink" Target="https://wol.jw.org/ta/wol/d/r122/lp-tl/1001070071" TargetMode="External" Id="rId462"/><Relationship Type="http://schemas.openxmlformats.org/officeDocument/2006/relationships/hyperlink" Target="https://wol.jw.org/en/wol/d/r1/lp-e/1001070206" TargetMode="External" Id="rId463"/><Relationship Type="http://schemas.openxmlformats.org/officeDocument/2006/relationships/hyperlink" Target="https://wol.jw.org/ta/wol/d/r122/lp-tl/1001070206" TargetMode="External" Id="rId464"/><Relationship Type="http://schemas.openxmlformats.org/officeDocument/2006/relationships/hyperlink" Target="https://wol.jw.org/en/wol/mp/r1/lp-e/nwtsty/2026/29" TargetMode="External" Id="rId465"/><Relationship Type="http://schemas.openxmlformats.org/officeDocument/2006/relationships/hyperlink" Target="https://wol.jw.org/en/wol/d/r1/lp-e/1001070206" TargetMode="External" Id="rId466"/><Relationship Type="http://schemas.openxmlformats.org/officeDocument/2006/relationships/hyperlink" Target="https://wol.jw.org/ta/wol/d/r122/lp-tl/1001070206" TargetMode="External" Id="rId467"/><Relationship Type="http://schemas.openxmlformats.org/officeDocument/2006/relationships/hyperlink" Target="https://wol.jw.org/en/wol/d/r1/lp-e/1001070206" TargetMode="External" Id="rId468"/><Relationship Type="http://schemas.openxmlformats.org/officeDocument/2006/relationships/hyperlink" Target="https://wol.jw.org/ta/wol/d/r122/lp-tl/1001070206" TargetMode="External" Id="rId469"/><Relationship Type="http://schemas.openxmlformats.org/officeDocument/2006/relationships/hyperlink" Target="https://wol.jw.org/en/wol/mp/r1/lp-e/nwtsty/2026/29" TargetMode="External" Id="rId470"/><Relationship Type="http://schemas.openxmlformats.org/officeDocument/2006/relationships/hyperlink" Target="https://wol.jw.org/en/wol/d/r1/lp-e/1001070206" TargetMode="External" Id="rId471"/><Relationship Type="http://schemas.openxmlformats.org/officeDocument/2006/relationships/hyperlink" Target="https://wol.jw.org/ta/wol/d/r122/lp-tl/1001070206" TargetMode="External" Id="rId472"/><Relationship Type="http://schemas.openxmlformats.org/officeDocument/2006/relationships/hyperlink" Target="https://wol.jw.org/en/wol/mp/r1/lp-e/nwtsty/2026/29" TargetMode="External" Id="rId473"/><Relationship Type="http://schemas.openxmlformats.org/officeDocument/2006/relationships/hyperlink" Target="https://wol.jw.org/en/wol/d/r1/lp-e/1001070206" TargetMode="External" Id="rId474"/><Relationship Type="http://schemas.openxmlformats.org/officeDocument/2006/relationships/hyperlink" Target="https://wol.jw.org/ta/wol/d/r122/lp-tl/1001070206" TargetMode="External" Id="rId475"/><Relationship Type="http://schemas.openxmlformats.org/officeDocument/2006/relationships/hyperlink" Target="https://wol.jw.org/en/wol/d/r1/lp-e/1001070206" TargetMode="External" Id="rId476"/><Relationship Type="http://schemas.openxmlformats.org/officeDocument/2006/relationships/hyperlink" Target="https://wol.jw.org/ta/wol/d/r122/lp-tl/1001070206" TargetMode="External" Id="rId477"/><Relationship Type="http://schemas.openxmlformats.org/officeDocument/2006/relationships/hyperlink" Target="https://wol.jw.org/en/wol/mp/r1/lp-e/nwtsty/2026/29" TargetMode="External" Id="rId478"/><Relationship Type="http://schemas.openxmlformats.org/officeDocument/2006/relationships/hyperlink" Target="https://wol.jw.org/en/wol/d/r1/lp-e/1001070071" TargetMode="External" Id="rId479"/><Relationship Type="http://schemas.openxmlformats.org/officeDocument/2006/relationships/hyperlink" Target="https://wol.jw.org/ta/wol/d/r122/lp-tl/1001070071" TargetMode="External" Id="rId480"/><Relationship Type="http://schemas.openxmlformats.org/officeDocument/2006/relationships/hyperlink" Target="https://wol.jw.org/en/wol/d/r1/lp-e/1200000970" TargetMode="External" Id="rId481"/><Relationship Type="http://schemas.openxmlformats.org/officeDocument/2006/relationships/hyperlink" Target="https://wol.jw.org/en/wol/d/r1/lp-e/1001061215" TargetMode="External" Id="rId482"/><Relationship Type="http://schemas.openxmlformats.org/officeDocument/2006/relationships/hyperlink" Target="https://wol.jw.org/ta/wol/d/r122/lp-tl/1001061215" TargetMode="External" Id="rId483"/><Relationship Type="http://schemas.openxmlformats.org/officeDocument/2006/relationships/hyperlink" Target="https://wol.jw.org/en/wol/mp/r1/lp-e/nwt/2013/80" TargetMode="External" Id="rId484"/><Relationship Type="http://schemas.openxmlformats.org/officeDocument/2006/relationships/hyperlink" Target="https://wol.jw.org/en/wol/d/r1/lp-e/1001070071" TargetMode="External" Id="rId485"/><Relationship Type="http://schemas.openxmlformats.org/officeDocument/2006/relationships/hyperlink" Target="https://wol.jw.org/ta/wol/d/r122/lp-tl/1001070071" TargetMode="External" Id="rId486"/><Relationship Type="http://schemas.openxmlformats.org/officeDocument/2006/relationships/hyperlink" Target="https://wol.jw.org/en/wol/d/r1/lp-e/1001061215" TargetMode="External" Id="rId487"/><Relationship Type="http://schemas.openxmlformats.org/officeDocument/2006/relationships/hyperlink" Target="https://wol.jw.org/ta/wol/d/r122/lp-tl/1001061215" TargetMode="External" Id="rId488"/><Relationship Type="http://schemas.openxmlformats.org/officeDocument/2006/relationships/hyperlink" Target="https://wol.jw.org/en/wol/mp/r1/lp-e/nwt/2013/80" TargetMode="External" Id="rId489"/><Relationship Type="http://schemas.openxmlformats.org/officeDocument/2006/relationships/hyperlink" Target="https://wol.jw.org/en/wol/d/r1/lp-e/1001061215" TargetMode="External" Id="rId490"/><Relationship Type="http://schemas.openxmlformats.org/officeDocument/2006/relationships/hyperlink" Target="https://wol.jw.org/ta/wol/d/r122/lp-tl/1001061215" TargetMode="External" Id="rId491"/><Relationship Type="http://schemas.openxmlformats.org/officeDocument/2006/relationships/hyperlink" Target="https://wol.jw.org/en/wol/d/r1/lp-e/1001070215" TargetMode="External" Id="rId492"/><Relationship Type="http://schemas.openxmlformats.org/officeDocument/2006/relationships/hyperlink" Target="https://wol.jw.org/ta/wol/d/r122/lp-tl/1001070215" TargetMode="External" Id="rId493"/><Relationship Type="http://schemas.openxmlformats.org/officeDocument/2006/relationships/hyperlink" Target="https://wol.jw.org/en/wol/d/r1/lp-e/1001061215" TargetMode="External" Id="rId494"/><Relationship Type="http://schemas.openxmlformats.org/officeDocument/2006/relationships/hyperlink" Target="https://wol.jw.org/ta/wol/d/r122/lp-tl/1001061215" TargetMode="External" Id="rId495"/><Relationship Type="http://schemas.openxmlformats.org/officeDocument/2006/relationships/hyperlink" Target="https://wol.jw.org/en/wol/mp/r1/lp-e/nwt/2013/80" TargetMode="External" Id="rId496"/><Relationship Type="http://schemas.openxmlformats.org/officeDocument/2006/relationships/hyperlink" Target="https://wol.jw.org/en/wol/d/r1/lp-e/1001061215" TargetMode="External" Id="rId497"/><Relationship Type="http://schemas.openxmlformats.org/officeDocument/2006/relationships/hyperlink" Target="https://wol.jw.org/ta/wol/d/r122/lp-tl/1001061215" TargetMode="External" Id="rId498"/><Relationship Type="http://schemas.openxmlformats.org/officeDocument/2006/relationships/hyperlink" Target="https://wol.jw.org/en/wol/d/r1/lp-e/1001061215" TargetMode="External" Id="rId499"/><Relationship Type="http://schemas.openxmlformats.org/officeDocument/2006/relationships/hyperlink" Target="https://wol.jw.org/ta/wol/d/r122/lp-tl/1001061215" TargetMode="External" Id="rId500"/><Relationship Type="http://schemas.openxmlformats.org/officeDocument/2006/relationships/hyperlink" Target="https://wol.jw.org/en/wol/mp/r1/lp-e/nwt/2013/80" TargetMode="External" Id="rId501"/><Relationship Type="http://schemas.openxmlformats.org/officeDocument/2006/relationships/hyperlink" Target="https://wol.jw.org/en/wol/d/r1/lp-e/1001061215" TargetMode="External" Id="rId502"/><Relationship Type="http://schemas.openxmlformats.org/officeDocument/2006/relationships/hyperlink" Target="https://wol.jw.org/ta/wol/d/r122/lp-tl/1001061215" TargetMode="External" Id="rId503"/><Relationship Type="http://schemas.openxmlformats.org/officeDocument/2006/relationships/hyperlink" Target="https://wol.jw.org/en/wol/d/r1/lp-e/1001061215" TargetMode="External" Id="rId504"/><Relationship Type="http://schemas.openxmlformats.org/officeDocument/2006/relationships/hyperlink" Target="https://wol.jw.org/ta/wol/d/r122/lp-tl/1001061215" TargetMode="External" Id="rId505"/><Relationship Type="http://schemas.openxmlformats.org/officeDocument/2006/relationships/hyperlink" Target="https://wol.jw.org/en/wol/mp/r1/lp-e/nwt/2013/80" TargetMode="External" Id="rId506"/><Relationship Type="http://schemas.openxmlformats.org/officeDocument/2006/relationships/hyperlink" Target="https://wol.jw.org/en/wol/d/r1/lp-e/1001061215" TargetMode="External" Id="rId507"/><Relationship Type="http://schemas.openxmlformats.org/officeDocument/2006/relationships/hyperlink" Target="https://wol.jw.org/ta/wol/d/r122/lp-tl/1001061215" TargetMode="External" Id="rId508"/><Relationship Type="http://schemas.openxmlformats.org/officeDocument/2006/relationships/hyperlink" Target="https://wol.jw.org/en/wol/d/r1/lp-e/1001061215" TargetMode="External" Id="rId509"/><Relationship Type="http://schemas.openxmlformats.org/officeDocument/2006/relationships/hyperlink" Target="https://wol.jw.org/ta/wol/d/r122/lp-tl/1001061215" TargetMode="External" Id="rId510"/><Relationship Type="http://schemas.openxmlformats.org/officeDocument/2006/relationships/hyperlink" Target="https://wol.jw.org/en/wol/mp/r1/lp-e/nwt/2013/80" TargetMode="External" Id="rId511"/><Relationship Type="http://schemas.openxmlformats.org/officeDocument/2006/relationships/hyperlink" Target="https://wol.jw.org/en/wol/d/r1/lp-e/1001061215" TargetMode="External" Id="rId512"/><Relationship Type="http://schemas.openxmlformats.org/officeDocument/2006/relationships/hyperlink" Target="https://wol.jw.org/ta/wol/d/r122/lp-tl/1001061215" TargetMode="External" Id="rId513"/><Relationship Type="http://schemas.openxmlformats.org/officeDocument/2006/relationships/hyperlink" Target="https://wol.jw.org/en/wol/d/r1/lp-e/1001061215" TargetMode="External" Id="rId514"/><Relationship Type="http://schemas.openxmlformats.org/officeDocument/2006/relationships/hyperlink" Target="https://wol.jw.org/ta/wol/d/r122/lp-tl/1001061215" TargetMode="External" Id="rId515"/><Relationship Type="http://schemas.openxmlformats.org/officeDocument/2006/relationships/hyperlink" Target="https://wol.jw.org/en/wol/mp/r1/lp-e/nwt/2013/80" TargetMode="External" Id="rId516"/><Relationship Type="http://schemas.openxmlformats.org/officeDocument/2006/relationships/hyperlink" Target="https://wol.jw.org/en/wol/d/r1/lp-e/1001061215" TargetMode="External" Id="rId517"/><Relationship Type="http://schemas.openxmlformats.org/officeDocument/2006/relationships/hyperlink" Target="https://wol.jw.org/ta/wol/d/r122/lp-tl/1001061215" TargetMode="External" Id="rId518"/><Relationship Type="http://schemas.openxmlformats.org/officeDocument/2006/relationships/hyperlink" Target="https://wol.jw.org/en/wol/mp/r1/lp-e/nwt/2013/80" TargetMode="External" Id="rId519"/><Relationship Type="http://schemas.openxmlformats.org/officeDocument/2006/relationships/hyperlink" Target="https://wol.jw.org/en/wol/d/r1/lp-e/1001061215" TargetMode="External" Id="rId520"/><Relationship Type="http://schemas.openxmlformats.org/officeDocument/2006/relationships/hyperlink" Target="https://wol.jw.org/ta/wol/d/r122/lp-tl/1001061215" TargetMode="External" Id="rId521"/><Relationship Type="http://schemas.openxmlformats.org/officeDocument/2006/relationships/hyperlink" Target="https://wol.jw.org/en/wol/d/r1/lp-e/1001061215" TargetMode="External" Id="rId522"/><Relationship Type="http://schemas.openxmlformats.org/officeDocument/2006/relationships/hyperlink" Target="https://wol.jw.org/ta/wol/d/r122/lp-tl/1001061215" TargetMode="External" Id="rId523"/><Relationship Type="http://schemas.openxmlformats.org/officeDocument/2006/relationships/hyperlink" Target="https://wol.jw.org/en/wol/mp/r1/lp-e/nwt/2013/80" TargetMode="External" Id="rId524"/><Relationship Type="http://schemas.openxmlformats.org/officeDocument/2006/relationships/hyperlink" Target="https://wol.jw.org/en/wol/d/r1/lp-e/1001061215" TargetMode="External" Id="rId525"/><Relationship Type="http://schemas.openxmlformats.org/officeDocument/2006/relationships/hyperlink" Target="https://wol.jw.org/ta/wol/d/r122/lp-tl/1001061215" TargetMode="External" Id="rId526"/><Relationship Type="http://schemas.openxmlformats.org/officeDocument/2006/relationships/hyperlink" Target="https://wol.jw.org/en/wol/mp/r1/lp-e/nwt/2013/80" TargetMode="External" Id="rId527"/><Relationship Type="http://schemas.openxmlformats.org/officeDocument/2006/relationships/hyperlink" Target="https://wol.jw.org/en/wol/d/r1/lp-e/1001061215" TargetMode="External" Id="rId528"/><Relationship Type="http://schemas.openxmlformats.org/officeDocument/2006/relationships/hyperlink" Target="https://wol.jw.org/ta/wol/d/r122/lp-tl/1001061215" TargetMode="External" Id="rId529"/><Relationship Type="http://schemas.openxmlformats.org/officeDocument/2006/relationships/hyperlink" Target="https://wol.jw.org/en/wol/d/r1/lp-e/1200000970" TargetMode="External" Id="rId530"/><Relationship Type="http://schemas.openxmlformats.org/officeDocument/2006/relationships/hyperlink" Target="https://wol.jw.org/en/wol/d/r1/lp-e/1200001265" TargetMode="External" Id="rId531"/><Relationship Type="http://schemas.openxmlformats.org/officeDocument/2006/relationships/hyperlink" Target="https://wol.jw.org/en/wol/d/r1/lp-e/1001061215" TargetMode="External" Id="rId532"/><Relationship Type="http://schemas.openxmlformats.org/officeDocument/2006/relationships/hyperlink" Target="https://wol.jw.org/ta/wol/d/r122/lp-tl/1001061215" TargetMode="External" Id="rId533"/><Relationship Type="http://schemas.openxmlformats.org/officeDocument/2006/relationships/hyperlink" Target="https://wol.jw.org/en/wol/mp/r1/lp-e/nwt/2013/80" TargetMode="External" Id="rId534"/><Relationship Type="http://schemas.openxmlformats.org/officeDocument/2006/relationships/hyperlink" Target="https://wol.jw.org/en/wol/d/r1/lp-e/1001061215" TargetMode="External" Id="rId535"/><Relationship Type="http://schemas.openxmlformats.org/officeDocument/2006/relationships/hyperlink" Target="https://wol.jw.org/ta/wol/d/r122/lp-tl/1001061215" TargetMode="External" Id="rId536"/><Relationship Type="http://schemas.openxmlformats.org/officeDocument/2006/relationships/hyperlink" Target="https://wol.jw.org/en/wol/d/r1/lp-e/1001061215" TargetMode="External" Id="rId537"/><Relationship Type="http://schemas.openxmlformats.org/officeDocument/2006/relationships/hyperlink" Target="https://wol.jw.org/ta/wol/d/r122/lp-tl/1001061215" TargetMode="External" Id="rId538"/><Relationship Type="http://schemas.openxmlformats.org/officeDocument/2006/relationships/hyperlink" Target="https://wol.jw.org/en/wol/mp/r1/lp-e/nwt/2013/80" TargetMode="External" Id="rId539"/><Relationship Type="http://schemas.openxmlformats.org/officeDocument/2006/relationships/hyperlink" Target="https://wol.jw.org/en/wol/d/r1/lp-e/1001061215" TargetMode="External" Id="rId540"/><Relationship Type="http://schemas.openxmlformats.org/officeDocument/2006/relationships/hyperlink" Target="https://wol.jw.org/ta/wol/d/r122/lp-tl/1001061215" TargetMode="External" Id="rId541"/><Relationship Type="http://schemas.openxmlformats.org/officeDocument/2006/relationships/hyperlink" Target="https://wol.jw.org/en/wol/mp/r1/lp-e/nwt/2013/80" TargetMode="External" Id="rId542"/><Relationship Type="http://schemas.openxmlformats.org/officeDocument/2006/relationships/hyperlink" Target="https://wol.jw.org/en/wol/d/r1/lp-e/1001061215" TargetMode="External" Id="rId543"/><Relationship Type="http://schemas.openxmlformats.org/officeDocument/2006/relationships/hyperlink" Target="https://wol.jw.org/ta/wol/d/r122/lp-tl/1001061215" TargetMode="External" Id="rId544"/><Relationship Type="http://schemas.openxmlformats.org/officeDocument/2006/relationships/hyperlink" Target="https://wol.jw.org/en/wol/d/r1/lp-e/1001070071" TargetMode="External" Id="rId545"/><Relationship Type="http://schemas.openxmlformats.org/officeDocument/2006/relationships/hyperlink" Target="https://wol.jw.org/ta/wol/d/r122/lp-tl/1001070071" TargetMode="External" Id="rId546"/><Relationship Type="http://schemas.openxmlformats.org/officeDocument/2006/relationships/hyperlink" Target="https://wol.jw.org/en/wol/d/r1/lp-e/1200000970" TargetMode="External" Id="rId547"/><Relationship Type="http://schemas.openxmlformats.org/officeDocument/2006/relationships/hyperlink" Target="https://wol.jw.org/en/wol/d/r1/lp-e/1001061215" TargetMode="External" Id="rId548"/><Relationship Type="http://schemas.openxmlformats.org/officeDocument/2006/relationships/hyperlink" Target="https://wol.jw.org/ta/wol/d/r122/lp-tl/1001061215" TargetMode="External" Id="rId549"/><Relationship Type="http://schemas.openxmlformats.org/officeDocument/2006/relationships/hyperlink" Target="https://wol.jw.org/en/wol/mp/r1/lp-e/nwt/2013/80" TargetMode="External" Id="rId550"/><Relationship Type="http://schemas.openxmlformats.org/officeDocument/2006/relationships/hyperlink" Target="https://wol.jw.org/en/wol/d/r1/lp-e/1001070071" TargetMode="External" Id="rId551"/><Relationship Type="http://schemas.openxmlformats.org/officeDocument/2006/relationships/hyperlink" Target="https://wol.jw.org/ta/wol/d/r122/lp-tl/1001070071" TargetMode="External" Id="rId552"/><Relationship Type="http://schemas.openxmlformats.org/officeDocument/2006/relationships/hyperlink" Target="https://wol.jw.org/en/wol/d/r1/lp-e/1101990130" TargetMode="External" Id="rId553"/><Relationship Type="http://schemas.openxmlformats.org/officeDocument/2006/relationships/hyperlink" Target="https://wol.jw.org/ta/wol/d/r122/lp-tl/1101990130" TargetMode="External" Id="rId554"/><Relationship Type="http://schemas.openxmlformats.org/officeDocument/2006/relationships/hyperlink" Target="https://wol.jw.org/en/wol/d/r1/lp-e/1001070071" TargetMode="External" Id="rId555"/><Relationship Type="http://schemas.openxmlformats.org/officeDocument/2006/relationships/hyperlink" Target="https://wol.jw.org/ta/wol/d/r122/lp-tl/1001070071" TargetMode="External" Id="rId556"/><Relationship Type="http://schemas.openxmlformats.org/officeDocument/2006/relationships/hyperlink" Target="https://wol.jw.org/en/wol/d/r1/lp-e/1001070071" TargetMode="External" Id="rId557"/><Relationship Type="http://schemas.openxmlformats.org/officeDocument/2006/relationships/hyperlink" Target="https://wol.jw.org/ta/wol/d/r122/lp-tl/1001070071" TargetMode="External" Id="rId558"/><Relationship Type="http://schemas.openxmlformats.org/officeDocument/2006/relationships/hyperlink" Target="https://wol.jw.org/en/wol/d/r1/lp-e/1001061215" TargetMode="External" Id="rId559"/><Relationship Type="http://schemas.openxmlformats.org/officeDocument/2006/relationships/hyperlink" Target="https://wol.jw.org/ta/wol/d/r122/lp-tl/1001061215" TargetMode="External" Id="rId560"/><Relationship Type="http://schemas.openxmlformats.org/officeDocument/2006/relationships/hyperlink" Target="https://wol.jw.org/en/wol/mp/r1/lp-e/nwt/2013/80" TargetMode="External" Id="rId561"/><Relationship Type="http://schemas.openxmlformats.org/officeDocument/2006/relationships/hyperlink" Target="https://wol.jw.org/en/wol/d/r1/lp-e/1001061215" TargetMode="External" Id="rId562"/><Relationship Type="http://schemas.openxmlformats.org/officeDocument/2006/relationships/hyperlink" Target="https://wol.jw.org/ta/wol/d/r122/lp-tl/1001061215" TargetMode="External" Id="rId563"/><Relationship Type="http://schemas.openxmlformats.org/officeDocument/2006/relationships/hyperlink" Target="https://wol.jw.org/en/wol/d/r1/lp-e/1001061215" TargetMode="External" Id="rId564"/><Relationship Type="http://schemas.openxmlformats.org/officeDocument/2006/relationships/hyperlink" Target="https://wol.jw.org/ta/wol/d/r122/lp-tl/1001061215" TargetMode="External" Id="rId565"/><Relationship Type="http://schemas.openxmlformats.org/officeDocument/2006/relationships/hyperlink" Target="https://wol.jw.org/en/wol/mp/r1/lp-e/nwt/2013/80" TargetMode="External" Id="rId566"/><Relationship Type="http://schemas.openxmlformats.org/officeDocument/2006/relationships/hyperlink" Target="https://wol.jw.org/en/wol/d/r1/lp-e/1001061215" TargetMode="External" Id="rId567"/><Relationship Type="http://schemas.openxmlformats.org/officeDocument/2006/relationships/hyperlink" Target="https://wol.jw.org/ta/wol/d/r122/lp-tl/1001061215" TargetMode="External" Id="rId568"/><Relationship Type="http://schemas.openxmlformats.org/officeDocument/2006/relationships/hyperlink" Target="https://wol.jw.org/en/wol/d/r1/lp-e/1001061215" TargetMode="External" Id="rId569"/><Relationship Type="http://schemas.openxmlformats.org/officeDocument/2006/relationships/hyperlink" Target="https://wol.jw.org/ta/wol/d/r122/lp-tl/1001061215" TargetMode="External" Id="rId570"/><Relationship Type="http://schemas.openxmlformats.org/officeDocument/2006/relationships/hyperlink" Target="https://wol.jw.org/en/wol/mp/r1/lp-e/nwt/2013/80" TargetMode="External" Id="rId571"/><Relationship Type="http://schemas.openxmlformats.org/officeDocument/2006/relationships/hyperlink" Target="https://wol.jw.org/en/wol/d/r1/lp-e/1001061215" TargetMode="External" Id="rId572"/><Relationship Type="http://schemas.openxmlformats.org/officeDocument/2006/relationships/hyperlink" Target="https://wol.jw.org/ta/wol/d/r122/lp-tl/1001061215" TargetMode="External" Id="rId573"/><Relationship Type="http://schemas.openxmlformats.org/officeDocument/2006/relationships/hyperlink" Target="https://wol.jw.org/en/wol/d/r1/lp-e/1001061215" TargetMode="External" Id="rId574"/><Relationship Type="http://schemas.openxmlformats.org/officeDocument/2006/relationships/hyperlink" Target="https://wol.jw.org/ta/wol/d/r122/lp-tl/1001061215" TargetMode="External" Id="rId575"/><Relationship Type="http://schemas.openxmlformats.org/officeDocument/2006/relationships/hyperlink" Target="https://wol.jw.org/en/wol/mp/r1/lp-e/nwt/2013/80" TargetMode="External" Id="rId576"/><Relationship Type="http://schemas.openxmlformats.org/officeDocument/2006/relationships/hyperlink" Target="https://wol.jw.org/en/wol/d/r1/lp-e/1200002525" TargetMode="External" Id="rId577"/><Relationship Type="http://schemas.openxmlformats.org/officeDocument/2006/relationships/hyperlink" Target="https://wol.jw.org/en/wol/d/r1/lp-e/1001070071" TargetMode="External" Id="rId578"/><Relationship Type="http://schemas.openxmlformats.org/officeDocument/2006/relationships/hyperlink" Target="https://wol.jw.org/ta/wol/d/r122/lp-tl/1001070071" TargetMode="External" Id="rId579"/><Relationship Type="http://schemas.openxmlformats.org/officeDocument/2006/relationships/hyperlink" Target="https://wol.jw.org/en/wol/d/r1/lp-e/1200002525" TargetMode="External" Id="rId580"/><Relationship Type="http://schemas.openxmlformats.org/officeDocument/2006/relationships/hyperlink" Target="https://wol.jw.org/en/wol/d/r1/lp-e/1001061215" TargetMode="External" Id="rId581"/><Relationship Type="http://schemas.openxmlformats.org/officeDocument/2006/relationships/hyperlink" Target="https://wol.jw.org/ta/wol/d/r122/lp-tl/1001061215" TargetMode="External" Id="rId582"/><Relationship Type="http://schemas.openxmlformats.org/officeDocument/2006/relationships/hyperlink" Target="https://wol.jw.org/en/wol/mp/r1/lp-e/nwt/2013/80" TargetMode="External" Id="rId583"/><Relationship Type="http://schemas.openxmlformats.org/officeDocument/2006/relationships/hyperlink" Target="https://wol.jw.org/en/wol/d/r1/lp-e/1200002525" TargetMode="External" Id="rId584"/><Relationship Type="http://schemas.openxmlformats.org/officeDocument/2006/relationships/hyperlink" Target="https://wol.jw.org/en/wol/d/r1/lp-e/1200002525" TargetMode="External" Id="rId585"/><Relationship Type="http://schemas.openxmlformats.org/officeDocument/2006/relationships/hyperlink" Target="https://wol.jw.org/en/wol/d/r1/lp-e/1200000682" TargetMode="External" Id="rId586"/><Relationship Type="http://schemas.openxmlformats.org/officeDocument/2006/relationships/hyperlink" Target="https://wol.jw.org/en/wol/d/r1/lp-e/1001070071" TargetMode="External" Id="rId587"/><Relationship Type="http://schemas.openxmlformats.org/officeDocument/2006/relationships/hyperlink" Target="https://wol.jw.org/ta/wol/d/r122/lp-tl/1001070071" TargetMode="External" Id="rId588"/><Relationship Type="http://schemas.openxmlformats.org/officeDocument/2006/relationships/hyperlink" Target="https://wol.jw.org/en/wol/d/r1/lp-e/1101990130" TargetMode="External" Id="rId589"/><Relationship Type="http://schemas.openxmlformats.org/officeDocument/2006/relationships/hyperlink" Target="https://wol.jw.org/ta/wol/d/r122/lp-tl/1101990130" TargetMode="External" Id="rId590"/><Relationship Type="http://schemas.openxmlformats.org/officeDocument/2006/relationships/hyperlink" Target="https://wol.jw.org/en/wol/d/r1/lp-e/1001061215" TargetMode="External" Id="rId591"/><Relationship Type="http://schemas.openxmlformats.org/officeDocument/2006/relationships/hyperlink" Target="https://wol.jw.org/ta/wol/d/r122/lp-tl/1001061215" TargetMode="External" Id="rId592"/><Relationship Type="http://schemas.openxmlformats.org/officeDocument/2006/relationships/hyperlink" Target="https://wol.jw.org/en/wol/mp/r1/lp-e/nwt/2013/80" TargetMode="External" Id="rId593"/><Relationship Type="http://schemas.openxmlformats.org/officeDocument/2006/relationships/hyperlink" Target="https://wol.jw.org/en/wol/d/r1/lp-e/1200002525" TargetMode="External" Id="rId594"/><Relationship Type="http://schemas.openxmlformats.org/officeDocument/2006/relationships/hyperlink" Target="https://wol.jw.org/en/wol/d/r1/lp-e/1001070071" TargetMode="External" Id="rId595"/><Relationship Type="http://schemas.openxmlformats.org/officeDocument/2006/relationships/hyperlink" Target="https://wol.jw.org/ta/wol/d/r122/lp-tl/1001070071" TargetMode="External" Id="rId596"/><Relationship Type="http://schemas.openxmlformats.org/officeDocument/2006/relationships/hyperlink" Target="https://wol.jw.org/en/wol/d/r1/lp-e/1001061215" TargetMode="External" Id="rId597"/><Relationship Type="http://schemas.openxmlformats.org/officeDocument/2006/relationships/hyperlink" Target="https://wol.jw.org/ta/wol/d/r122/lp-tl/1001061215" TargetMode="External" Id="rId598"/><Relationship Type="http://schemas.openxmlformats.org/officeDocument/2006/relationships/hyperlink" Target="https://wol.jw.org/en/wol/mp/r1/lp-e/nwt/2013/80" TargetMode="External" Id="rId599"/><Relationship Type="http://schemas.openxmlformats.org/officeDocument/2006/relationships/hyperlink" Target="https://wol.jw.org/en/wol/d/r1/lp-e/1001061215" TargetMode="External" Id="rId600"/><Relationship Type="http://schemas.openxmlformats.org/officeDocument/2006/relationships/hyperlink" Target="https://wol.jw.org/ta/wol/d/r122/lp-tl/1001061215" TargetMode="External" Id="rId601"/><Relationship Type="http://schemas.openxmlformats.org/officeDocument/2006/relationships/hyperlink" Target="https://wol.jw.org/en/wol/d/r1/lp-e/1001061215" TargetMode="External" Id="rId602"/><Relationship Type="http://schemas.openxmlformats.org/officeDocument/2006/relationships/hyperlink" Target="https://wol.jw.org/ta/wol/d/r122/lp-tl/1001061215" TargetMode="External" Id="rId603"/><Relationship Type="http://schemas.openxmlformats.org/officeDocument/2006/relationships/hyperlink" Target="https://wol.jw.org/en/wol/mp/r1/lp-e/nwt/2013/80" TargetMode="External" Id="rId604"/><Relationship Type="http://schemas.openxmlformats.org/officeDocument/2006/relationships/hyperlink" Target="https://wol.jw.org/en/wol/d/r1/lp-e/1001061215" TargetMode="External" Id="rId605"/><Relationship Type="http://schemas.openxmlformats.org/officeDocument/2006/relationships/hyperlink" Target="https://wol.jw.org/ta/wol/d/r122/lp-tl/1001061215" TargetMode="External" Id="rId606"/><Relationship Type="http://schemas.openxmlformats.org/officeDocument/2006/relationships/hyperlink" Target="https://wol.jw.org/en/wol/d/r1/lp-e/1001061215" TargetMode="External" Id="rId607"/><Relationship Type="http://schemas.openxmlformats.org/officeDocument/2006/relationships/hyperlink" Target="https://wol.jw.org/ta/wol/d/r122/lp-tl/1001061215" TargetMode="External" Id="rId608"/><Relationship Type="http://schemas.openxmlformats.org/officeDocument/2006/relationships/hyperlink" Target="https://wol.jw.org/en/wol/mp/r1/lp-e/nwt/2013/80" TargetMode="External" Id="rId609"/><Relationship Type="http://schemas.openxmlformats.org/officeDocument/2006/relationships/hyperlink" Target="https://wol.jw.org/en/wol/d/r1/lp-e/1200003200" TargetMode="External" Id="rId610"/><Relationship Type="http://schemas.openxmlformats.org/officeDocument/2006/relationships/hyperlink" Target="https://wol.jw.org/en/wol/d/r1/lp-e/1101990130" TargetMode="External" Id="rId611"/><Relationship Type="http://schemas.openxmlformats.org/officeDocument/2006/relationships/hyperlink" Target="https://wol.jw.org/ta/wol/d/r122/lp-tl/1101990130" TargetMode="External" Id="rId612"/><Relationship Type="http://schemas.openxmlformats.org/officeDocument/2006/relationships/hyperlink" Target="https://wol.jw.org/en/wol/d/r1/lp-e/1200003200" TargetMode="External" Id="rId613"/><Relationship Type="http://schemas.openxmlformats.org/officeDocument/2006/relationships/hyperlink" Target="https://wol.jw.org/en/wol/d/r1/lp-e/1101990130" TargetMode="External" Id="rId614"/><Relationship Type="http://schemas.openxmlformats.org/officeDocument/2006/relationships/hyperlink" Target="https://wol.jw.org/ta/wol/d/r122/lp-tl/1101990130" TargetMode="External" Id="rId615"/><Relationship Type="http://schemas.openxmlformats.org/officeDocument/2006/relationships/hyperlink" Target="https://wol.jw.org/en/wol/d/r1/lp-e/1200002375" TargetMode="External" Id="rId616"/><Relationship Type="http://schemas.openxmlformats.org/officeDocument/2006/relationships/hyperlink" Target="https://wol.jw.org/en/wol/d/r1/lp-e/1001061215" TargetMode="External" Id="rId617"/><Relationship Type="http://schemas.openxmlformats.org/officeDocument/2006/relationships/hyperlink" Target="https://wol.jw.org/ta/wol/d/r122/lp-tl/1001061215" TargetMode="External" Id="rId618"/><Relationship Type="http://schemas.openxmlformats.org/officeDocument/2006/relationships/hyperlink" Target="https://wol.jw.org/en/wol/mp/r1/lp-e/nwt/2013/80" TargetMode="External" Id="rId619"/><Relationship Type="http://schemas.openxmlformats.org/officeDocument/2006/relationships/hyperlink" Target="https://wol.jw.org/en/wol/d/r1/lp-e/1001061215" TargetMode="External" Id="rId620"/><Relationship Type="http://schemas.openxmlformats.org/officeDocument/2006/relationships/hyperlink" Target="https://wol.jw.org/ta/wol/d/r122/lp-tl/1001061215" TargetMode="External" Id="rId621"/><Relationship Type="http://schemas.openxmlformats.org/officeDocument/2006/relationships/hyperlink" Target="https://wol.jw.org/en/wol/mp/r1/lp-e/nwt/2013/80" TargetMode="External" Id="rId622"/><Relationship Type="http://schemas.openxmlformats.org/officeDocument/2006/relationships/hyperlink" Target="https://wol.jw.org/en/wol/d/r1/lp-e/1001061215" TargetMode="External" Id="rId623"/><Relationship Type="http://schemas.openxmlformats.org/officeDocument/2006/relationships/hyperlink" Target="https://wol.jw.org/ta/wol/d/r122/lp-tl/1001061215" TargetMode="External" Id="rId624"/><Relationship Type="http://schemas.openxmlformats.org/officeDocument/2006/relationships/hyperlink" Target="https://wol.jw.org/en/wol/d/r1/lp-e/1101990130" TargetMode="External" Id="rId625"/><Relationship Type="http://schemas.openxmlformats.org/officeDocument/2006/relationships/hyperlink" Target="https://wol.jw.org/ta/wol/d/r122/lp-tl/1101990130" TargetMode="External" Id="rId626"/><Relationship Type="http://schemas.openxmlformats.org/officeDocument/2006/relationships/hyperlink" Target="https://wol.jw.org/en/wol/d/r1/lp-e/1101990130" TargetMode="External" Id="rId627"/><Relationship Type="http://schemas.openxmlformats.org/officeDocument/2006/relationships/hyperlink" Target="https://wol.jw.org/ta/wol/d/r122/lp-tl/1101990130" TargetMode="External" Id="rId628"/><Relationship Type="http://schemas.openxmlformats.org/officeDocument/2006/relationships/hyperlink" Target="https://wol.jw.org/en/wol/d/r1/lp-e/1200001117" TargetMode="External" Id="rId629"/><Relationship Type="http://schemas.openxmlformats.org/officeDocument/2006/relationships/hyperlink" Target="https://wol.jw.org/en/wol/d/r1/lp-e/1200001469" TargetMode="External" Id="rId630"/><Relationship Type="http://schemas.openxmlformats.org/officeDocument/2006/relationships/hyperlink" Target="https://wol.jw.org/en/wol/d/r1/lp-e/1001061215" TargetMode="External" Id="rId631"/><Relationship Type="http://schemas.openxmlformats.org/officeDocument/2006/relationships/hyperlink" Target="https://wol.jw.org/ta/wol/d/r122/lp-tl/1001061215" TargetMode="External" Id="rId632"/><Relationship Type="http://schemas.openxmlformats.org/officeDocument/2006/relationships/hyperlink" Target="https://wol.jw.org/en/wol/mp/r1/lp-e/nwt/2013/80" TargetMode="External" Id="rId633"/><Relationship Type="http://schemas.openxmlformats.org/officeDocument/2006/relationships/hyperlink" Target="https://wol.jw.org/en/wol/d/r1/lp-e/1001061215" TargetMode="External" Id="rId634"/><Relationship Type="http://schemas.openxmlformats.org/officeDocument/2006/relationships/hyperlink" Target="https://wol.jw.org/ta/wol/d/r122/lp-tl/1001061215" TargetMode="External" Id="rId635"/><Relationship Type="http://schemas.openxmlformats.org/officeDocument/2006/relationships/hyperlink" Target="https://wol.jw.org/en/wol/d/r1/lp-e/1001061215" TargetMode="External" Id="rId636"/><Relationship Type="http://schemas.openxmlformats.org/officeDocument/2006/relationships/hyperlink" Target="https://wol.jw.org/ta/wol/d/r122/lp-tl/1001061215" TargetMode="External" Id="rId637"/><Relationship Type="http://schemas.openxmlformats.org/officeDocument/2006/relationships/hyperlink" Target="https://wol.jw.org/en/wol/mp/r1/lp-e/nwt/2013/80" TargetMode="External" Id="rId638"/><Relationship Type="http://schemas.openxmlformats.org/officeDocument/2006/relationships/hyperlink" Target="https://wol.jw.org/en/wol/d/r1/lp-e/1101990130" TargetMode="External" Id="rId639"/><Relationship Type="http://schemas.openxmlformats.org/officeDocument/2006/relationships/hyperlink" Target="https://wol.jw.org/ta/wol/d/r122/lp-tl/1101990130" TargetMode="External" Id="rId640"/><Relationship Type="http://schemas.openxmlformats.org/officeDocument/2006/relationships/hyperlink" Target="https://wol.jw.org/en/wol/d/r1/lp-e/1200000970" TargetMode="External" Id="rId641"/><Relationship Type="http://schemas.openxmlformats.org/officeDocument/2006/relationships/hyperlink" Target="https://wol.jw.org/en/wol/d/r1/lp-e/1001070071" TargetMode="External" Id="rId642"/><Relationship Type="http://schemas.openxmlformats.org/officeDocument/2006/relationships/hyperlink" Target="https://wol.jw.org/ta/wol/d/r122/lp-tl/1001070071" TargetMode="External" Id="rId643"/><Relationship Type="http://schemas.openxmlformats.org/officeDocument/2006/relationships/hyperlink" Target="https://wol.jw.org/en/wol/d/r1/lp-e/1001070071" TargetMode="External" Id="rId644"/><Relationship Type="http://schemas.openxmlformats.org/officeDocument/2006/relationships/hyperlink" Target="https://wol.jw.org/ta/wol/d/r122/lp-tl/1001070071" TargetMode="External" Id="rId645"/><Relationship Type="http://schemas.openxmlformats.org/officeDocument/2006/relationships/hyperlink" Target="https://wol.jw.org/en/wol/d/r1/lp-e/1200000970" TargetMode="External" Id="rId646"/><Relationship Type="http://schemas.openxmlformats.org/officeDocument/2006/relationships/hyperlink" Target="https://wol.jw.org/en/wol/d/r1/lp-e/1001061215" TargetMode="External" Id="rId647"/><Relationship Type="http://schemas.openxmlformats.org/officeDocument/2006/relationships/hyperlink" Target="https://wol.jw.org/ta/wol/d/r122/lp-tl/1001061215" TargetMode="External" Id="rId648"/><Relationship Type="http://schemas.openxmlformats.org/officeDocument/2006/relationships/hyperlink" Target="https://wol.jw.org/en/wol/mp/r1/lp-e/nwt/2013/80" TargetMode="External" Id="rId649"/><Relationship Type="http://schemas.openxmlformats.org/officeDocument/2006/relationships/hyperlink" Target="https://wol.jw.org/en/wol/d/r1/lp-e/1101990130" TargetMode="External" Id="rId650"/><Relationship Type="http://schemas.openxmlformats.org/officeDocument/2006/relationships/hyperlink" Target="https://wol.jw.org/ta/wol/d/r122/lp-tl/1101990130" TargetMode="External" Id="rId651"/><Relationship Type="http://schemas.openxmlformats.org/officeDocument/2006/relationships/hyperlink" Target="https://wol.jw.org/en/wol/mp/r1/lp-e/nwt/2013/80" TargetMode="External" Id="rId652"/><Relationship Type="http://schemas.openxmlformats.org/officeDocument/2006/relationships/hyperlink" Target="https://wol.jw.org/en/wol/d/r1/lp-e/1101999023" TargetMode="External" Id="rId653"/><Relationship Type="http://schemas.openxmlformats.org/officeDocument/2006/relationships/hyperlink" Target="https://wol.jw.org/ta/wol/d/r122/lp-tl/1101999023" TargetMode="External" Id="rId654"/><Relationship Type="http://schemas.openxmlformats.org/officeDocument/2006/relationships/hyperlink" Target="https://wol.jw.org/en/wol/d/r1/lp-e/1200001632" TargetMode="External" Id="rId655"/><Relationship Type="http://schemas.openxmlformats.org/officeDocument/2006/relationships/hyperlink" Target="https://wol.jw.org/en/wol/d/r1/lp-e/1200002436" TargetMode="External" Id="rId656"/><Relationship Type="http://schemas.openxmlformats.org/officeDocument/2006/relationships/hyperlink" Target="https://wol.jw.org/en/wol/d/r1/lp-e/1101990130" TargetMode="External" Id="rId657"/><Relationship Type="http://schemas.openxmlformats.org/officeDocument/2006/relationships/hyperlink" Target="https://wol.jw.org/ta/wol/d/r122/lp-tl/1101990130" TargetMode="External" Id="rId658"/><Relationship Type="http://schemas.openxmlformats.org/officeDocument/2006/relationships/hyperlink" Target="https://wol.jw.org/en/wol/d/r1/lp-e/1101990130" TargetMode="External" Id="rId659"/><Relationship Type="http://schemas.openxmlformats.org/officeDocument/2006/relationships/hyperlink" Target="https://wol.jw.org/ta/wol/d/r122/lp-tl/1101990130" TargetMode="External" Id="rId660"/><Relationship Type="http://schemas.openxmlformats.org/officeDocument/2006/relationships/hyperlink" Target="https://wol.jw.org/en/wol/d/r1/lp-e/1101990130" TargetMode="External" Id="rId661"/><Relationship Type="http://schemas.openxmlformats.org/officeDocument/2006/relationships/hyperlink" Target="https://wol.jw.org/ta/wol/d/r122/lp-tl/1101990130" TargetMode="External" Id="rId662"/><Relationship Type="http://schemas.openxmlformats.org/officeDocument/2006/relationships/hyperlink" Target="https://wol.jw.org/en/wol/d/r1/lp-e/1101990130" TargetMode="External" Id="rId663"/><Relationship Type="http://schemas.openxmlformats.org/officeDocument/2006/relationships/hyperlink" Target="https://wol.jw.org/ta/wol/d/r122/lp-tl/1101990130" TargetMode="External" Id="rId664"/><Relationship Type="http://schemas.openxmlformats.org/officeDocument/2006/relationships/hyperlink" Target="https://wol.jw.org/en/wol/d/r1/lp-e/1101999037" TargetMode="External" Id="rId665"/><Relationship Type="http://schemas.openxmlformats.org/officeDocument/2006/relationships/hyperlink" Target="https://wol.jw.org/ta/wol/d/r122/lp-tl/1101999037" TargetMode="External" Id="rId666"/><Relationship Type="http://schemas.openxmlformats.org/officeDocument/2006/relationships/hyperlink" Target="https://wol.jw.org/en/wol/d/r1/lp-e/1001061215" TargetMode="External" Id="rId667"/><Relationship Type="http://schemas.openxmlformats.org/officeDocument/2006/relationships/hyperlink" Target="https://wol.jw.org/ta/wol/d/r122/lp-tl/1001061215" TargetMode="External" Id="rId668"/><Relationship Type="http://schemas.openxmlformats.org/officeDocument/2006/relationships/hyperlink" Target="https://wol.jw.org/en/wol/mp/r1/lp-e/nwt/2013/80" TargetMode="External" Id="rId669"/><Relationship Type="http://schemas.openxmlformats.org/officeDocument/2006/relationships/hyperlink" Target="https://wol.jw.org/en/wol/d/r1/lp-e/1101990087" TargetMode="External" Id="rId670"/><Relationship Type="http://schemas.openxmlformats.org/officeDocument/2006/relationships/hyperlink" Target="https://wol.jw.org/ta/wol/d/r122/lp-tl/1101990087" TargetMode="External" Id="rId671"/><Relationship Type="http://schemas.openxmlformats.org/officeDocument/2006/relationships/hyperlink" Target="https://wol.jw.org/en/wol/d/r1/lp-e/1101999023" TargetMode="External" Id="rId672"/><Relationship Type="http://schemas.openxmlformats.org/officeDocument/2006/relationships/hyperlink" Target="https://wol.jw.org/ta/wol/d/r122/lp-tl/1101999023" TargetMode="External" Id="rId673"/><Relationship Type="http://schemas.openxmlformats.org/officeDocument/2006/relationships/hyperlink" Target="https://wol.jw.org/en/wol/d/r1/lp-e/1200004359" TargetMode="External" Id="rId674"/><Relationship Type="http://schemas.openxmlformats.org/officeDocument/2006/relationships/hyperlink" Target="https://wol.jw.org/en/wol/d/r1/lp-e/1101990087" TargetMode="External" Id="rId675"/><Relationship Type="http://schemas.openxmlformats.org/officeDocument/2006/relationships/hyperlink" Target="https://wol.jw.org/ta/wol/d/r122/lp-tl/1101990087" TargetMode="External" Id="rId676"/><Relationship Type="http://schemas.openxmlformats.org/officeDocument/2006/relationships/hyperlink" Target="https://wol.jw.org/en/wol/d/r1/lp-e/1001070071" TargetMode="External" Id="rId677"/><Relationship Type="http://schemas.openxmlformats.org/officeDocument/2006/relationships/hyperlink" Target="https://wol.jw.org/ta/wol/d/r122/lp-tl/1001070071" TargetMode="External" Id="rId678"/><Relationship Type="http://schemas.openxmlformats.org/officeDocument/2006/relationships/hyperlink" Target="https://wol.jw.org/en/wol/d/r1/lp-e/1200003200" TargetMode="External" Id="rId679"/><Relationship Type="http://schemas.openxmlformats.org/officeDocument/2006/relationships/hyperlink" Target="https://wol.jw.org/en/wol/d/r1/lp-e/1200000530" TargetMode="External" Id="rId680"/><Relationship Type="http://schemas.openxmlformats.org/officeDocument/2006/relationships/hyperlink" Target="https://wol.jw.org/en/wol/d/r1/lp-e/1200001453" TargetMode="External" Id="rId681"/><Relationship Type="http://schemas.openxmlformats.org/officeDocument/2006/relationships/hyperlink" Target="https://wol.jw.org/en/wol/d/r1/lp-e/1200002375" TargetMode="External" Id="rId682"/><Relationship Type="http://schemas.openxmlformats.org/officeDocument/2006/relationships/hyperlink" Target="https://wol.jw.org/en/wol/d/r1/lp-e/1001070071" TargetMode="External" Id="rId683"/><Relationship Type="http://schemas.openxmlformats.org/officeDocument/2006/relationships/hyperlink" Target="https://wol.jw.org/ta/wol/d/r122/lp-tl/1001070071" TargetMode="External" Id="rId684"/><Relationship Type="http://schemas.openxmlformats.org/officeDocument/2006/relationships/hyperlink" Target="https://wol.jw.org/en/wol/d/r1/lp-e/1001070071" TargetMode="External" Id="rId685"/><Relationship Type="http://schemas.openxmlformats.org/officeDocument/2006/relationships/hyperlink" Target="https://wol.jw.org/ta/wol/d/r122/lp-tl/1001070071" TargetMode="External" Id="rId686"/><Relationship Type="http://schemas.openxmlformats.org/officeDocument/2006/relationships/hyperlink" Target="https://wol.jw.org/en/wol/d/r1/lp-e/1001070071" TargetMode="External" Id="rId687"/><Relationship Type="http://schemas.openxmlformats.org/officeDocument/2006/relationships/hyperlink" Target="https://wol.jw.org/ta/wol/d/r122/lp-tl/1001070071" TargetMode="External" Id="rId688"/><Relationship Type="http://schemas.openxmlformats.org/officeDocument/2006/relationships/hyperlink" Target="https://wol.jw.org/en/wol/d/r1/lp-e/1200001102" TargetMode="External" Id="rId689"/><Relationship Type="http://schemas.openxmlformats.org/officeDocument/2006/relationships/hyperlink" Target="https://wol.jw.org/en/wol/d/r1/lp-e/1200001102" TargetMode="External" Id="rId690"/><Relationship Type="http://schemas.openxmlformats.org/officeDocument/2006/relationships/hyperlink" Target="https://wol.jw.org/en/wol/d/r1/lp-e/1200003156" TargetMode="External" Id="rId691"/><Relationship Type="http://schemas.openxmlformats.org/officeDocument/2006/relationships/hyperlink" Target="https://wol.jw.org/en/wol/d/r1/lp-e/1101990088" TargetMode="External" Id="rId692"/><Relationship Type="http://schemas.openxmlformats.org/officeDocument/2006/relationships/hyperlink" Target="https://wol.jw.org/ta/wol/d/r122/lp-tl/1101990088" TargetMode="External" Id="rId693"/><Relationship Type="http://schemas.openxmlformats.org/officeDocument/2006/relationships/hyperlink" Target="https://wol.jw.org/en/wol/d/r1/lp-e/1200001258" TargetMode="External" Id="rId694"/><Relationship Type="http://schemas.openxmlformats.org/officeDocument/2006/relationships/hyperlink" Target="https://wol.jw.org/en/wol/d/r1/lp-e/1200003447" TargetMode="External" Id="rId695"/><Relationship Type="http://schemas.openxmlformats.org/officeDocument/2006/relationships/hyperlink" Target="https://wol.jw.org/en/wol/mp/r1/lp-e/it-2/2018/297" TargetMode="External" Id="rId696"/><Relationship Type="http://schemas.openxmlformats.org/officeDocument/2006/relationships/hyperlink" Target="https://wol.jw.org/en/wol/d/r1/lp-e/1200001102" TargetMode="External" Id="rId697"/><Relationship Type="http://schemas.openxmlformats.org/officeDocument/2006/relationships/hyperlink" Target="https://wol.jw.org/en/wol/d/r1/lp-e/1200000530" TargetMode="External" Id="rId698"/><Relationship Type="http://schemas.openxmlformats.org/officeDocument/2006/relationships/hyperlink" Target="https://wol.jw.org/en/wol/d/r1/lp-e/1101990130" TargetMode="External" Id="rId699"/><Relationship Type="http://schemas.openxmlformats.org/officeDocument/2006/relationships/hyperlink" Target="https://wol.jw.org/ta/wol/d/r122/lp-tl/1101990130" TargetMode="External" Id="rId700"/><Relationship Type="http://schemas.openxmlformats.org/officeDocument/2006/relationships/hyperlink" Target="https://wol.jw.org/en/wol/mp/r1/lp-e/it-1/2018/69" TargetMode="External" Id="rId701"/><Relationship Type="http://schemas.openxmlformats.org/officeDocument/2006/relationships/hyperlink" Target="https://wol.jw.org/en/wol/d/r1/lp-e/1101999023" TargetMode="External" Id="rId702"/><Relationship Type="http://schemas.openxmlformats.org/officeDocument/2006/relationships/hyperlink" Target="https://wol.jw.org/ta/wol/d/r122/lp-tl/1101999023" TargetMode="External" Id="rId703"/><Relationship Type="http://schemas.openxmlformats.org/officeDocument/2006/relationships/hyperlink" Target="https://wol.jw.org/en/wol/d/r1/lp-e/1200001102" TargetMode="External" Id="rId704"/><Relationship Type="http://schemas.openxmlformats.org/officeDocument/2006/relationships/hyperlink" Target="https://wol.jw.org/en/wol/d/r1/lp-e/1101999032" TargetMode="External" Id="rId705"/><Relationship Type="http://schemas.openxmlformats.org/officeDocument/2006/relationships/hyperlink" Target="https://wol.jw.org/ta/wol/d/r122/lp-tl/1101999032" TargetMode="External" Id="rId706"/><Relationship Type="http://schemas.openxmlformats.org/officeDocument/2006/relationships/hyperlink" Target="https://wol.jw.org/en/wol/d/r1/lp-e/1200001102" TargetMode="External" Id="rId707"/><Relationship Type="http://schemas.openxmlformats.org/officeDocument/2006/relationships/hyperlink" Target="https://wol.jw.org/en/wol/d/r1/lp-e/1101990130" TargetMode="External" Id="rId708"/><Relationship Type="http://schemas.openxmlformats.org/officeDocument/2006/relationships/hyperlink" Target="https://wol.jw.org/ta/wol/d/r122/lp-tl/1101990130" TargetMode="External" Id="rId709"/><Relationship Type="http://schemas.openxmlformats.org/officeDocument/2006/relationships/hyperlink" Target="https://wol.jw.org/en/wol/d/r1/lp-e/1200001476" TargetMode="External" Id="rId710"/><Relationship Type="http://schemas.openxmlformats.org/officeDocument/2006/relationships/hyperlink" Target="https://wol.jw.org/en/wol/d/r1/lp-e/1200002436" TargetMode="External" Id="rId711"/><Relationship Type="http://schemas.openxmlformats.org/officeDocument/2006/relationships/hyperlink" Target="https://wol.jw.org/en/wol/d/r1/lp-e/1001070071" TargetMode="External" Id="rId712"/><Relationship Type="http://schemas.openxmlformats.org/officeDocument/2006/relationships/hyperlink" Target="https://wol.jw.org/ta/wol/d/r122/lp-tl/1001070071" TargetMode="External" Id="rId713"/><Relationship Type="http://schemas.openxmlformats.org/officeDocument/2006/relationships/hyperlink" Target="https://wol.jw.org/en/wol/d/r1/lp-e/1101990130" TargetMode="External" Id="rId714"/><Relationship Type="http://schemas.openxmlformats.org/officeDocument/2006/relationships/hyperlink" Target="https://wol.jw.org/ta/wol/d/r122/lp-tl/1101990130" TargetMode="External" Id="rId715"/><Relationship Type="http://schemas.openxmlformats.org/officeDocument/2006/relationships/hyperlink" Target="https://wol.jw.org/en/wol/d/r1/lp-e/1200001117" TargetMode="External" Id="rId716"/><Relationship Type="http://schemas.openxmlformats.org/officeDocument/2006/relationships/hyperlink" Target="https://wol.jw.org/en/wol/d/r1/lp-e/1200000970" TargetMode="External" Id="rId717"/><Relationship Type="http://schemas.openxmlformats.org/officeDocument/2006/relationships/hyperlink" Target="https://wol.jw.org/en/wol/d/r1/lp-e/1200001124" TargetMode="External" Id="rId718"/><Relationship Type="http://schemas.openxmlformats.org/officeDocument/2006/relationships/hyperlink" Target="https://wol.jw.org/en/wol/d/r1/lp-e/1200001102" TargetMode="External" Id="rId719"/><Relationship Type="http://schemas.openxmlformats.org/officeDocument/2006/relationships/hyperlink" Target="https://wol.jw.org/en/wol/d/r1/lp-e/1200001124" TargetMode="External" Id="rId720"/><Relationship Type="http://schemas.openxmlformats.org/officeDocument/2006/relationships/hyperlink" Target="https://wol.jw.org/en/wol/d/r1/lp-e/1101990130" TargetMode="External" Id="rId721"/><Relationship Type="http://schemas.openxmlformats.org/officeDocument/2006/relationships/hyperlink" Target="https://wol.jw.org/ta/wol/d/r122/lp-tl/1101990130" TargetMode="External" Id="rId722"/><Relationship Type="http://schemas.openxmlformats.org/officeDocument/2006/relationships/hyperlink" Target="https://wol.jw.org/en/wol/d/r1/lp-e/1101990130" TargetMode="External" Id="rId723"/><Relationship Type="http://schemas.openxmlformats.org/officeDocument/2006/relationships/hyperlink" Target="https://wol.jw.org/ta/wol/d/r122/lp-tl/1101990130" TargetMode="External" Id="rId724"/><Relationship Type="http://schemas.openxmlformats.org/officeDocument/2006/relationships/hyperlink" Target="https://wol.jw.org/en/wol/d/r1/lp-e/1200000970" TargetMode="External" Id="rId725"/><Relationship Type="http://schemas.openxmlformats.org/officeDocument/2006/relationships/hyperlink" Target="https://wol.jw.org/en/wol/d/r1/lp-e/1200000970" TargetMode="External" Id="rId726"/><Relationship Type="http://schemas.openxmlformats.org/officeDocument/2006/relationships/hyperlink" Target="https://wol.jw.org/en/wol/d/r1/lp-e/1200001812" TargetMode="External" Id="rId727"/><Relationship Type="http://schemas.openxmlformats.org/officeDocument/2006/relationships/hyperlink" Target="https://wol.jw.org/en/wol/d/r1/lp-e/1101999023" TargetMode="External" Id="rId728"/><Relationship Type="http://schemas.openxmlformats.org/officeDocument/2006/relationships/hyperlink" Target="https://wol.jw.org/ta/wol/d/r122/lp-tl/1101999023" TargetMode="External" Id="rId729"/><Relationship Type="http://schemas.openxmlformats.org/officeDocument/2006/relationships/hyperlink" Target="https://wol.jw.org/en/wol/d/r1/lp-e/1101990099" TargetMode="External" Id="rId730"/><Relationship Type="http://schemas.openxmlformats.org/officeDocument/2006/relationships/hyperlink" Target="https://wol.jw.org/ta/wol/d/r122/lp-tl/1101990099" TargetMode="External" Id="rId731"/><Relationship Type="http://schemas.openxmlformats.org/officeDocument/2006/relationships/hyperlink" Target="https://wol.jw.org/en/wol/d/r1/lp-e/1001070071" TargetMode="External" Id="rId732"/><Relationship Type="http://schemas.openxmlformats.org/officeDocument/2006/relationships/hyperlink" Target="https://wol.jw.org/ta/wol/d/r122/lp-tl/1001070071" TargetMode="External" Id="rId733"/><Relationship Type="http://schemas.openxmlformats.org/officeDocument/2006/relationships/hyperlink" Target="https://wol.jw.org/en/wol/d/r1/lp-e/1200004682" TargetMode="External" Id="rId734"/><Relationship Type="http://schemas.openxmlformats.org/officeDocument/2006/relationships/hyperlink" Target="https://wol.jw.org/en/wol/d/r1/lp-e/1200001124" TargetMode="External" Id="rId735"/><Relationship Type="http://schemas.openxmlformats.org/officeDocument/2006/relationships/hyperlink" Target="https://wol.jw.org/en/wol/d/r1/lp-e/1200004682" TargetMode="External" Id="rId736"/><Relationship Type="http://schemas.openxmlformats.org/officeDocument/2006/relationships/hyperlink" Target="https://wol.jw.org/en/wol/d/r1/lp-e/1001070071" TargetMode="External" Id="rId737"/><Relationship Type="http://schemas.openxmlformats.org/officeDocument/2006/relationships/hyperlink" Target="https://wol.jw.org/ta/wol/d/r122/lp-tl/1001070071" TargetMode="External" Id="rId738"/><Relationship Type="http://schemas.openxmlformats.org/officeDocument/2006/relationships/hyperlink" Target="https://wol.jw.org/en/wol/d/r1/lp-e/1101990130" TargetMode="External" Id="rId739"/><Relationship Type="http://schemas.openxmlformats.org/officeDocument/2006/relationships/hyperlink" Target="https://wol.jw.org/ta/wol/d/r122/lp-tl/1101990130" TargetMode="External" Id="rId740"/><Relationship Type="http://schemas.openxmlformats.org/officeDocument/2006/relationships/hyperlink" Target="https://wol.jw.org/en/wol/d/r1/lp-e/1200004359" TargetMode="External" Id="rId741"/><Relationship Type="http://schemas.openxmlformats.org/officeDocument/2006/relationships/hyperlink" Target="https://wol.jw.org/en/wol/d/r1/lp-e/1101999029" TargetMode="External" Id="rId742"/><Relationship Type="http://schemas.openxmlformats.org/officeDocument/2006/relationships/hyperlink" Target="https://wol.jw.org/ta/wol/d/r122/lp-tl/1101999029" TargetMode="External" Id="rId743"/><Relationship Type="http://schemas.openxmlformats.org/officeDocument/2006/relationships/hyperlink" Target="https://wol.jw.org/en/wol/d/r1/lp-e/1101999029" TargetMode="External" Id="rId744"/><Relationship Type="http://schemas.openxmlformats.org/officeDocument/2006/relationships/hyperlink" Target="https://wol.jw.org/ta/wol/d/r122/lp-tl/1101999029" TargetMode="External" Id="rId745"/><Relationship Type="http://schemas.openxmlformats.org/officeDocument/2006/relationships/hyperlink" Target="https://wol.jw.org/en/wol/d/r1/lp-e/1200001765" TargetMode="External" Id="rId746"/><Relationship Type="http://schemas.openxmlformats.org/officeDocument/2006/relationships/hyperlink" Target="https://wol.jw.org/en/wol/d/r1/lp-e/1200000142" TargetMode="External" Id="rId747"/><Relationship Type="http://schemas.openxmlformats.org/officeDocument/2006/relationships/hyperlink" Target="https://wol.jw.org/en/wol/d/r1/lp-e/1101999029" TargetMode="External" Id="rId748"/><Relationship Type="http://schemas.openxmlformats.org/officeDocument/2006/relationships/hyperlink" Target="https://wol.jw.org/ta/wol/d/r122/lp-tl/1101999029" TargetMode="External" Id="rId749"/><Relationship Type="http://schemas.openxmlformats.org/officeDocument/2006/relationships/hyperlink" Target="https://wol.jw.org/en/wol/d/r1/lp-e/2006162" TargetMode="External" Id="rId750"/><Relationship Type="http://schemas.openxmlformats.org/officeDocument/2006/relationships/hyperlink" Target="https://wol.jw.org/ta/wol/d/r122/lp-tl/2006162" TargetMode="External" Id="rId751"/><Relationship Type="http://schemas.openxmlformats.org/officeDocument/2006/relationships/hyperlink" Target="https://wol.jw.org/en/wol/d/r1/lp-e/1200001765" TargetMode="External" Id="rId752"/><Relationship Type="http://schemas.openxmlformats.org/officeDocument/2006/relationships/hyperlink" Target="https://wol.jw.org/en/wol/d/r1/lp-e/1200001124" TargetMode="External" Id="rId753"/><Relationship Type="http://schemas.openxmlformats.org/officeDocument/2006/relationships/hyperlink" Target="https://wol.jw.org/en/wol/d/r1/lp-e/1200001124" TargetMode="External" Id="rId754"/><Relationship Type="http://schemas.openxmlformats.org/officeDocument/2006/relationships/hyperlink" Target="https://wol.jw.org/en/wol/d/r1/lp-e/1200003447" TargetMode="External" Id="rId755"/><Relationship Type="http://schemas.openxmlformats.org/officeDocument/2006/relationships/hyperlink" Target="https://wol.jw.org/en/wol/d/r1/lp-e/1200003588" TargetMode="External" Id="rId756"/><Relationship Type="http://schemas.openxmlformats.org/officeDocument/2006/relationships/hyperlink" Target="https://wol.jw.org/en/wol/d/r1/lp-e/1200003588" TargetMode="External" Id="rId757"/><Relationship Type="http://schemas.openxmlformats.org/officeDocument/2006/relationships/hyperlink" Target="https://wol.jw.org/en/wol/d/r1/lp-e/1200001765" TargetMode="External" Id="rId758"/><Relationship Type="http://schemas.openxmlformats.org/officeDocument/2006/relationships/hyperlink" Target="https://wol.jw.org/en/wol/d/r1/lp-e/1101999032" TargetMode="External" Id="rId759"/><Relationship Type="http://schemas.openxmlformats.org/officeDocument/2006/relationships/hyperlink" Target="https://wol.jw.org/ta/wol/d/r122/lp-tl/1101999032" TargetMode="External" Id="rId760"/><Relationship Type="http://schemas.openxmlformats.org/officeDocument/2006/relationships/hyperlink" Target="https://wol.jw.org/en/wol/d/r1/lp-e/1001070071" TargetMode="External" Id="rId761"/><Relationship Type="http://schemas.openxmlformats.org/officeDocument/2006/relationships/hyperlink" Target="https://wol.jw.org/ta/wol/d/r122/lp-tl/1001070071" TargetMode="External" Id="rId762"/><Relationship Type="http://schemas.openxmlformats.org/officeDocument/2006/relationships/hyperlink" Target="https://wol.jw.org/en/wol/d/r1/lp-e/1101990130" TargetMode="External" Id="rId763"/><Relationship Type="http://schemas.openxmlformats.org/officeDocument/2006/relationships/hyperlink" Target="https://wol.jw.org/ta/wol/d/r122/lp-tl/1101990130" TargetMode="External" Id="rId764"/><Relationship Type="http://schemas.openxmlformats.org/officeDocument/2006/relationships/hyperlink" Target="https://wol.jw.org/en/wol/d/r1/lp-e/1101990130" TargetMode="External" Id="rId765"/><Relationship Type="http://schemas.openxmlformats.org/officeDocument/2006/relationships/hyperlink" Target="https://wol.jw.org/ta/wol/d/r122/lp-tl/1101990130" TargetMode="External" Id="rId766"/><Relationship Type="http://schemas.openxmlformats.org/officeDocument/2006/relationships/hyperlink" Target="https://wol.jw.org/en/wol/d/r1/lp-e/1101990130" TargetMode="External" Id="rId767"/><Relationship Type="http://schemas.openxmlformats.org/officeDocument/2006/relationships/hyperlink" Target="https://wol.jw.org/ta/wol/d/r122/lp-tl/1101990130" TargetMode="External" Id="rId768"/><Relationship Type="http://schemas.openxmlformats.org/officeDocument/2006/relationships/hyperlink" Target="https://wol.jw.org/en/wol/d/r1/lp-e/1001070071" TargetMode="External" Id="rId769"/><Relationship Type="http://schemas.openxmlformats.org/officeDocument/2006/relationships/hyperlink" Target="https://wol.jw.org/ta/wol/d/r122/lp-tl/1001070071" TargetMode="External" Id="rId770"/><Relationship Type="http://schemas.openxmlformats.org/officeDocument/2006/relationships/hyperlink" Target="https://wol.jw.org/en/wol/d/r1/lp-e/1001070071" TargetMode="External" Id="rId771"/><Relationship Type="http://schemas.openxmlformats.org/officeDocument/2006/relationships/hyperlink" Target="https://wol.jw.org/ta/wol/d/r122/lp-tl/1001070071" TargetMode="External" Id="rId772"/><Relationship Type="http://schemas.openxmlformats.org/officeDocument/2006/relationships/hyperlink" Target="https://wol.jw.org/en/wol/d/r1/lp-e/1001070071" TargetMode="External" Id="rId773"/><Relationship Type="http://schemas.openxmlformats.org/officeDocument/2006/relationships/hyperlink" Target="https://wol.jw.org/ta/wol/d/r122/lp-tl/1001070071" TargetMode="External" Id="rId774"/><Relationship Type="http://schemas.openxmlformats.org/officeDocument/2006/relationships/hyperlink" Target="https://wol.jw.org/en/wol/d/r1/lp-e/1001070071" TargetMode="External" Id="rId775"/><Relationship Type="http://schemas.openxmlformats.org/officeDocument/2006/relationships/hyperlink" Target="https://wol.jw.org/ta/wol/d/r122/lp-tl/1001070071" TargetMode="External" Id="rId776"/><Relationship Type="http://schemas.openxmlformats.org/officeDocument/2006/relationships/hyperlink" Target="https://wol.jw.org/en/wol/d/r1/lp-e/1200003213" TargetMode="External" Id="rId777"/><Relationship Type="http://schemas.openxmlformats.org/officeDocument/2006/relationships/hyperlink" Target="https://wol.jw.org/en/wol/d/r1/lp-e/1101990130" TargetMode="External" Id="rId778"/><Relationship Type="http://schemas.openxmlformats.org/officeDocument/2006/relationships/hyperlink" Target="https://wol.jw.org/ta/wol/d/r122/lp-tl/1101990130" TargetMode="External" Id="rId779"/><Relationship Type="http://schemas.openxmlformats.org/officeDocument/2006/relationships/hyperlink" Target="https://wol.jw.org/en/wol/d/r1/lp-e/1101999023" TargetMode="External" Id="rId780"/><Relationship Type="http://schemas.openxmlformats.org/officeDocument/2006/relationships/hyperlink" Target="https://wol.jw.org/ta/wol/d/r122/lp-tl/1101999023" TargetMode="External" Id="rId781"/><Relationship Type="http://schemas.openxmlformats.org/officeDocument/2006/relationships/hyperlink" Target="https://wol.jw.org/en/wol/d/r1/lp-e/1200003915" TargetMode="External" Id="rId782"/><Relationship Type="http://schemas.openxmlformats.org/officeDocument/2006/relationships/hyperlink" Target="https://wol.jw.org/en/wol/d/r1/lp-e/1101999037" TargetMode="External" Id="rId783"/><Relationship Type="http://schemas.openxmlformats.org/officeDocument/2006/relationships/hyperlink" Target="https://wol.jw.org/ta/wol/d/r122/lp-tl/1101999037" TargetMode="External" Id="rId784"/><Relationship Type="http://schemas.openxmlformats.org/officeDocument/2006/relationships/hyperlink" Target="https://wol.jw.org/en/wol/d/r1/lp-e/1200003212" TargetMode="External" Id="rId785"/><Relationship Type="http://schemas.openxmlformats.org/officeDocument/2006/relationships/hyperlink" Target="https://wol.jw.org/en/wol/d/r1/lp-e/1101990130" TargetMode="External" Id="rId786"/><Relationship Type="http://schemas.openxmlformats.org/officeDocument/2006/relationships/hyperlink" Target="https://wol.jw.org/ta/wol/d/r122/lp-tl/1101990130" TargetMode="External" Id="rId787"/><Relationship Type="http://schemas.openxmlformats.org/officeDocument/2006/relationships/hyperlink" Target="https://wol.jw.org/en/wol/d/r1/lp-e/1200000389" TargetMode="External" Id="rId788"/><Relationship Type="http://schemas.openxmlformats.org/officeDocument/2006/relationships/hyperlink" Target="https://wol.jw.org/en/wol/d/r1/lp-e/1200002861" TargetMode="External" Id="rId789"/><Relationship Type="http://schemas.openxmlformats.org/officeDocument/2006/relationships/hyperlink" Target="https://wol.jw.org/en/wol/d/r1/lp-e/1001070071" TargetMode="External" Id="rId790"/><Relationship Type="http://schemas.openxmlformats.org/officeDocument/2006/relationships/hyperlink" Target="https://wol.jw.org/ta/wol/d/r122/lp-tl/1001070071" TargetMode="External" Id="rId791"/><Relationship Type="http://schemas.openxmlformats.org/officeDocument/2006/relationships/hyperlink" Target="https://wol.jw.org/en/wol/d/r1/lp-e/1001070071" TargetMode="External" Id="rId792"/><Relationship Type="http://schemas.openxmlformats.org/officeDocument/2006/relationships/hyperlink" Target="https://wol.jw.org/ta/wol/d/r122/lp-tl/1001070071" TargetMode="External" Id="rId793"/><Relationship Type="http://schemas.openxmlformats.org/officeDocument/2006/relationships/hyperlink" Target="https://wol.jw.org/en/wol/d/r1/lp-e/1200001765" TargetMode="External" Id="rId794"/><Relationship Type="http://schemas.openxmlformats.org/officeDocument/2006/relationships/hyperlink" Target="https://wol.jw.org/en/wol/d/r1/lp-e/1200003447" TargetMode="External" Id="rId795"/><Relationship Type="http://schemas.openxmlformats.org/officeDocument/2006/relationships/hyperlink" Target="https://wol.jw.org/en/wol/d/r1/lp-e/1101990130" TargetMode="External" Id="rId796"/><Relationship Type="http://schemas.openxmlformats.org/officeDocument/2006/relationships/hyperlink" Target="https://wol.jw.org/ta/wol/d/r122/lp-tl/1101990130" TargetMode="External" Id="rId797"/><Relationship Type="http://schemas.openxmlformats.org/officeDocument/2006/relationships/hyperlink" Target="https://wol.jw.org/en/wol/d/r1/lp-e/1200001765" TargetMode="External" Id="rId798"/><Relationship Type="http://schemas.openxmlformats.org/officeDocument/2006/relationships/hyperlink" Target="https://wol.jw.org/en/wol/d/r1/lp-e/1200000192" TargetMode="External" Id="rId799"/><Relationship Type="http://schemas.openxmlformats.org/officeDocument/2006/relationships/hyperlink" Target="https://wol.jw.org/en/wol/mp/r1/lp-e/it-1/2018/25" TargetMode="External" Id="rId800"/><Relationship Type="http://schemas.openxmlformats.org/officeDocument/2006/relationships/hyperlink" Target="https://wol.jw.org/en/wol/d/r1/lp-e/1200000192" TargetMode="External" Id="rId801"/><Relationship Type="http://schemas.openxmlformats.org/officeDocument/2006/relationships/hyperlink" Target="https://wol.jw.org/en/wol/d/r1/lp-e/1200001765" TargetMode="External" Id="rId802"/><Relationship Type="http://schemas.openxmlformats.org/officeDocument/2006/relationships/hyperlink" Target="https://wol.jw.org/en/wol/d/r1/lp-e/1101999028" TargetMode="External" Id="rId803"/><Relationship Type="http://schemas.openxmlformats.org/officeDocument/2006/relationships/hyperlink" Target="https://wol.jw.org/ta/wol/d/r122/lp-tl/1101999028" TargetMode="External" Id="rId804"/><Relationship Type="http://schemas.openxmlformats.org/officeDocument/2006/relationships/hyperlink" Target="https://wol.jw.org/en/wol/d/r1/lp-e/1101999023" TargetMode="External" Id="rId805"/><Relationship Type="http://schemas.openxmlformats.org/officeDocument/2006/relationships/hyperlink" Target="https://wol.jw.org/ta/wol/d/r122/lp-tl/1101999023" TargetMode="External" Id="rId806"/><Relationship Type="http://schemas.openxmlformats.org/officeDocument/2006/relationships/hyperlink" Target="https://wol.jw.org/en/wol/d/r1/lp-e/1101999028" TargetMode="External" Id="rId807"/><Relationship Type="http://schemas.openxmlformats.org/officeDocument/2006/relationships/hyperlink" Target="https://wol.jw.org/ta/wol/d/r122/lp-tl/1101999028" TargetMode="External" Id="rId808"/><Relationship Type="http://schemas.openxmlformats.org/officeDocument/2006/relationships/hyperlink" Target="https://wol.jw.org/en/wol/d/r1/lp-e/1200003447" TargetMode="External" Id="rId809"/><Relationship Type="http://schemas.openxmlformats.org/officeDocument/2006/relationships/hyperlink" Target="https://wol.jw.org/en/wol/d/r1/lp-e/1200000192" TargetMode="External" Id="rId810"/><Relationship Type="http://schemas.openxmlformats.org/officeDocument/2006/relationships/hyperlink" Target="https://wol.jw.org/en/wol/d/r1/lp-e/1101990130" TargetMode="External" Id="rId811"/><Relationship Type="http://schemas.openxmlformats.org/officeDocument/2006/relationships/hyperlink" Target="https://wol.jw.org/ta/wol/d/r122/lp-tl/1101990130" TargetMode="External" Id="rId812"/><Relationship Type="http://schemas.openxmlformats.org/officeDocument/2006/relationships/hyperlink" Target="https://wol.jw.org/en/wol/d/r1/lp-e/1200003447" TargetMode="External" Id="rId813"/><Relationship Type="http://schemas.openxmlformats.org/officeDocument/2006/relationships/hyperlink" Target="https://wol.jw.org/en/wol/d/r1/lp-e/1101999023" TargetMode="External" Id="rId814"/><Relationship Type="http://schemas.openxmlformats.org/officeDocument/2006/relationships/hyperlink" Target="https://wol.jw.org/ta/wol/d/r122/lp-tl/1101999023" TargetMode="External" Id="rId815"/><Relationship Type="http://schemas.openxmlformats.org/officeDocument/2006/relationships/hyperlink" Target="https://wol.jw.org/en/wol/d/r1/lp-e/1200001765" TargetMode="External" Id="rId816"/><Relationship Type="http://schemas.openxmlformats.org/officeDocument/2006/relationships/hyperlink" Target="https://wol.jw.org/en/wol/d/r1/lp-e/1101999028" TargetMode="External" Id="rId817"/><Relationship Type="http://schemas.openxmlformats.org/officeDocument/2006/relationships/hyperlink" Target="https://wol.jw.org/ta/wol/d/r122/lp-tl/1101999028" TargetMode="External" Id="rId818"/><Relationship Type="http://schemas.openxmlformats.org/officeDocument/2006/relationships/hyperlink" Target="https://wol.jw.org/en/wol/d/r1/lp-e/1101999028" TargetMode="External" Id="rId819"/><Relationship Type="http://schemas.openxmlformats.org/officeDocument/2006/relationships/hyperlink" Target="https://wol.jw.org/ta/wol/d/r122/lp-tl/1101999028" TargetMode="External" Id="rId820"/><Relationship Type="http://schemas.openxmlformats.org/officeDocument/2006/relationships/hyperlink" Target="https://wol.jw.org/en/wol/mp/r1/lp-e/it-1/2018/25" TargetMode="External" Id="rId821"/><Relationship Type="http://schemas.openxmlformats.org/officeDocument/2006/relationships/hyperlink" Target="https://wol.jw.org/en/wol/d/r1/lp-e/1101999032" TargetMode="External" Id="rId822"/><Relationship Type="http://schemas.openxmlformats.org/officeDocument/2006/relationships/hyperlink" Target="https://wol.jw.org/ta/wol/d/r122/lp-tl/1101999032" TargetMode="External" Id="rId823"/><Relationship Type="http://schemas.openxmlformats.org/officeDocument/2006/relationships/hyperlink" Target="https://wol.jw.org/en/wol/d/r1/lp-e/1200000530" TargetMode="External" Id="rId824"/><Relationship Type="http://schemas.openxmlformats.org/officeDocument/2006/relationships/hyperlink" Target="https://wol.jw.org/en/wol/d/r1/lp-e/1101999032" TargetMode="External" Id="rId825"/><Relationship Type="http://schemas.openxmlformats.org/officeDocument/2006/relationships/hyperlink" Target="https://wol.jw.org/ta/wol/d/r122/lp-tl/1101999032" TargetMode="External" Id="rId826"/><Relationship Type="http://schemas.openxmlformats.org/officeDocument/2006/relationships/hyperlink" Target="https://wol.jw.org/en/wol/d/r1/lp-e/1101999028" TargetMode="External" Id="rId827"/><Relationship Type="http://schemas.openxmlformats.org/officeDocument/2006/relationships/hyperlink" Target="https://wol.jw.org/ta/wol/d/r122/lp-tl/1101999028" TargetMode="External" Id="rId828"/><Relationship Type="http://schemas.openxmlformats.org/officeDocument/2006/relationships/hyperlink" Target="https://wol.jw.org/en/wol/d/r1/lp-e/1101999028" TargetMode="External" Id="rId829"/><Relationship Type="http://schemas.openxmlformats.org/officeDocument/2006/relationships/hyperlink" Target="https://wol.jw.org/ta/wol/d/r122/lp-tl/1101999028" TargetMode="External" Id="rId830"/><Relationship Type="http://schemas.openxmlformats.org/officeDocument/2006/relationships/hyperlink" Target="https://wol.jw.org/en/wol/d/r1/lp-e/1101999028" TargetMode="External" Id="rId831"/><Relationship Type="http://schemas.openxmlformats.org/officeDocument/2006/relationships/hyperlink" Target="https://wol.jw.org/ta/wol/d/r122/lp-tl/1101999028" TargetMode="External" Id="rId832"/><Relationship Type="http://schemas.openxmlformats.org/officeDocument/2006/relationships/hyperlink" Target="https://wol.jw.org/en/wol/d/r1/lp-e/1101999032" TargetMode="External" Id="rId833"/><Relationship Type="http://schemas.openxmlformats.org/officeDocument/2006/relationships/hyperlink" Target="https://wol.jw.org/ta/wol/d/r122/lp-tl/1101999032" TargetMode="External" Id="rId834"/><Relationship Type="http://schemas.openxmlformats.org/officeDocument/2006/relationships/hyperlink" Target="https://wol.jw.org/en/wol/d/r1/lp-e/1101990130" TargetMode="External" Id="rId835"/><Relationship Type="http://schemas.openxmlformats.org/officeDocument/2006/relationships/hyperlink" Target="https://wol.jw.org/ta/wol/d/r122/lp-tl/1101990130" TargetMode="External" Id="rId836"/><Relationship Type="http://schemas.openxmlformats.org/officeDocument/2006/relationships/hyperlink" Target="https://wol.jw.org/en/wol/d/r1/lp-e/1101999032" TargetMode="External" Id="rId837"/><Relationship Type="http://schemas.openxmlformats.org/officeDocument/2006/relationships/hyperlink" Target="https://wol.jw.org/ta/wol/d/r122/lp-tl/1101999032" TargetMode="External" Id="rId838"/><Relationship Type="http://schemas.openxmlformats.org/officeDocument/2006/relationships/hyperlink" Target="https://wol.jw.org/en/wol/d/r1/lp-e/1101999032" TargetMode="External" Id="rId839"/><Relationship Type="http://schemas.openxmlformats.org/officeDocument/2006/relationships/hyperlink" Target="https://wol.jw.org/ta/wol/d/r122/lp-tl/1101999032" TargetMode="External" Id="rId840"/><Relationship Type="http://schemas.openxmlformats.org/officeDocument/2006/relationships/hyperlink" Target="https://wol.jw.org/en/wol/d/r1/lp-e/1101999032" TargetMode="External" Id="rId841"/><Relationship Type="http://schemas.openxmlformats.org/officeDocument/2006/relationships/hyperlink" Target="https://wol.jw.org/ta/wol/d/r122/lp-tl/1101999032" TargetMode="External" Id="rId842"/><Relationship Type="http://schemas.openxmlformats.org/officeDocument/2006/relationships/hyperlink" Target="https://wol.jw.org/en/wol/d/r1/lp-e/1101999032" TargetMode="External" Id="rId843"/><Relationship Type="http://schemas.openxmlformats.org/officeDocument/2006/relationships/hyperlink" Target="https://wol.jw.org/ta/wol/d/r122/lp-tl/1101999032" TargetMode="External" Id="rId844"/><Relationship Type="http://schemas.openxmlformats.org/officeDocument/2006/relationships/hyperlink" Target="https://wol.jw.org/en/wol/d/r1/lp-e/1101999032" TargetMode="External" Id="rId845"/><Relationship Type="http://schemas.openxmlformats.org/officeDocument/2006/relationships/hyperlink" Target="https://wol.jw.org/ta/wol/d/r122/lp-tl/1101999032" TargetMode="External" Id="rId846"/><Relationship Type="http://schemas.openxmlformats.org/officeDocument/2006/relationships/hyperlink" Target="https://wol.jw.org/en/wol/d/r1/lp-e/1200002436" TargetMode="External" Id="rId847"/><Relationship Type="http://schemas.openxmlformats.org/officeDocument/2006/relationships/hyperlink" Target="https://wol.jw.org/en/wol/d/r1/lp-e/1200001765" TargetMode="External" Id="rId848"/><Relationship Type="http://schemas.openxmlformats.org/officeDocument/2006/relationships/hyperlink" Target="https://wol.jw.org/en/wol/d/r1/lp-e/1101999032" TargetMode="External" Id="rId849"/><Relationship Type="http://schemas.openxmlformats.org/officeDocument/2006/relationships/hyperlink" Target="https://wol.jw.org/ta/wol/d/r122/lp-tl/1101999032" TargetMode="External" Id="rId850"/><Relationship Type="http://schemas.openxmlformats.org/officeDocument/2006/relationships/hyperlink" Target="https://wol.jw.org/en/wol/d/r1/lp-e/1101999032" TargetMode="External" Id="rId851"/><Relationship Type="http://schemas.openxmlformats.org/officeDocument/2006/relationships/hyperlink" Target="https://wol.jw.org/ta/wol/d/r122/lp-tl/1101999032" TargetMode="External" Id="rId852"/><Relationship Type="http://schemas.openxmlformats.org/officeDocument/2006/relationships/hyperlink" Target="https://wol.jw.org/en/wol/d/r1/lp-e/1101999032" TargetMode="External" Id="rId853"/><Relationship Type="http://schemas.openxmlformats.org/officeDocument/2006/relationships/hyperlink" Target="https://wol.jw.org/ta/wol/d/r122/lp-tl/1101999032" TargetMode="External" Id="rId854"/><Relationship Type="http://schemas.openxmlformats.org/officeDocument/2006/relationships/hyperlink" Target="https://wol.jw.org/en/wol/d/r1/lp-e/1101999032" TargetMode="External" Id="rId855"/><Relationship Type="http://schemas.openxmlformats.org/officeDocument/2006/relationships/hyperlink" Target="https://wol.jw.org/ta/wol/d/r122/lp-tl/1101999032" TargetMode="External" Id="rId856"/><Relationship Type="http://schemas.openxmlformats.org/officeDocument/2006/relationships/hyperlink" Target="https://wol.jw.org/en/wol/d/r1/lp-e/1200003915" TargetMode="External" Id="rId857"/><Relationship Type="http://schemas.openxmlformats.org/officeDocument/2006/relationships/hyperlink" Target="https://wol.jw.org/en/wol/d/r1/lp-e/1101999034" TargetMode="External" Id="rId858"/><Relationship Type="http://schemas.openxmlformats.org/officeDocument/2006/relationships/hyperlink" Target="https://wol.jw.org/ta/wol/d/r122/lp-tl/1101999034" TargetMode="External" Id="rId859"/><Relationship Type="http://schemas.openxmlformats.org/officeDocument/2006/relationships/hyperlink" Target="https://wol.jw.org/en/wol/d/r1/lp-e/1200001506" TargetMode="External" Id="rId860"/><Relationship Type="http://schemas.openxmlformats.org/officeDocument/2006/relationships/hyperlink" Target="https://wol.jw.org/en/wol/mp/r1/lp-e/it-1/2018/556" TargetMode="External" Id="rId861"/><Relationship Type="http://schemas.openxmlformats.org/officeDocument/2006/relationships/hyperlink" Target="https://wol.jw.org/en/wol/d/r1/lp-e/1101990130" TargetMode="External" Id="rId862"/><Relationship Type="http://schemas.openxmlformats.org/officeDocument/2006/relationships/hyperlink" Target="https://wol.jw.org/ta/wol/d/r122/lp-tl/1101990130" TargetMode="External" Id="rId863"/><Relationship Type="http://schemas.openxmlformats.org/officeDocument/2006/relationships/hyperlink" Target="https://wol.jw.org/en/wol/d/r1/lp-e/1101999034" TargetMode="External" Id="rId864"/><Relationship Type="http://schemas.openxmlformats.org/officeDocument/2006/relationships/hyperlink" Target="https://wol.jw.org/ta/wol/d/r122/lp-tl/1101999034" TargetMode="External" Id="rId865"/><Relationship Type="http://schemas.openxmlformats.org/officeDocument/2006/relationships/hyperlink" Target="https://wol.jw.org/en/wol/d/r1/lp-e/1200002436" TargetMode="External" Id="rId866"/><Relationship Type="http://schemas.openxmlformats.org/officeDocument/2006/relationships/hyperlink" Target="https://wol.jw.org/en/wol/d/r1/lp-e/1200004554" TargetMode="External" Id="rId867"/><Relationship Type="http://schemas.openxmlformats.org/officeDocument/2006/relationships/hyperlink" Target="https://wol.jw.org/en/wol/d/r1/lp-e/1200001765" TargetMode="External" Id="rId868"/><Relationship Type="http://schemas.openxmlformats.org/officeDocument/2006/relationships/hyperlink" Target="https://wol.jw.org/en/wol/d/r1/lp-e/1200002436" TargetMode="External" Id="rId869"/><Relationship Type="http://schemas.openxmlformats.org/officeDocument/2006/relationships/hyperlink" Target="https://wol.jw.org/en/wol/d/r1/lp-e/1001070203" TargetMode="External" Id="rId870"/><Relationship Type="http://schemas.openxmlformats.org/officeDocument/2006/relationships/hyperlink" Target="https://wol.jw.org/ta/wol/d/r122/lp-tl/1001070203" TargetMode="External" Id="rId871"/><Relationship Type="http://schemas.openxmlformats.org/officeDocument/2006/relationships/hyperlink" Target="https://wol.jw.org/en/wol/mp/r1/lp-e/nwtsty/2026/4" TargetMode="External" Id="rId872"/><Relationship Type="http://schemas.openxmlformats.org/officeDocument/2006/relationships/hyperlink" Target="https://wol.jw.org/en/wol/d/r1/lp-e/1200002000" TargetMode="External" Id="rId873"/><Relationship Type="http://schemas.openxmlformats.org/officeDocument/2006/relationships/hyperlink" Target="https://wol.jw.org/en/wol/d/r1/lp-e/1200002436" TargetMode="External" Id="rId874"/><Relationship Type="http://schemas.openxmlformats.org/officeDocument/2006/relationships/hyperlink" Target="https://wol.jw.org/en/wol/d/r1/lp-e/1101999032" TargetMode="External" Id="rId875"/><Relationship Type="http://schemas.openxmlformats.org/officeDocument/2006/relationships/hyperlink" Target="https://wol.jw.org/ta/wol/d/r122/lp-tl/1101999032" TargetMode="External" Id="rId876"/><Relationship Type="http://schemas.openxmlformats.org/officeDocument/2006/relationships/hyperlink" Target="https://wol.jw.org/en/wol/d/r1/lp-e/1101990130" TargetMode="External" Id="rId877"/><Relationship Type="http://schemas.openxmlformats.org/officeDocument/2006/relationships/hyperlink" Target="https://wol.jw.org/ta/wol/d/r122/lp-tl/1101990130" TargetMode="External" Id="rId878"/><Relationship Type="http://schemas.openxmlformats.org/officeDocument/2006/relationships/hyperlink" Target="https://wol.jw.org/en/wol/mp/r1/lp-e/it-2/2018/19" TargetMode="External" Id="rId879"/><Relationship Type="http://schemas.openxmlformats.org/officeDocument/2006/relationships/hyperlink" Target="https://wol.jw.org/en/wol/d/r1/lp-e/1101999028" TargetMode="External" Id="rId880"/><Relationship Type="http://schemas.openxmlformats.org/officeDocument/2006/relationships/hyperlink" Target="https://wol.jw.org/ta/wol/d/r122/lp-tl/1101999028" TargetMode="External" Id="rId881"/><Relationship Type="http://schemas.openxmlformats.org/officeDocument/2006/relationships/hyperlink" Target="https://wol.jw.org/en/wol/d/r1/lp-e/1200000852" TargetMode="External" Id="rId882"/><Relationship Type="http://schemas.openxmlformats.org/officeDocument/2006/relationships/hyperlink" Target="https://wol.jw.org/en/wol/d/r1/lp-e/1200002000" TargetMode="External" Id="rId883"/><Relationship Type="http://schemas.openxmlformats.org/officeDocument/2006/relationships/hyperlink" Target="https://wol.jw.org/en/wol/d/r1/lp-e/1200000852" TargetMode="External" Id="rId884"/><Relationship Type="http://schemas.openxmlformats.org/officeDocument/2006/relationships/hyperlink" Target="https://wol.jw.org/en/wol/d/r1/lp-e/1200000852" TargetMode="External" Id="rId885"/><Relationship Type="http://schemas.openxmlformats.org/officeDocument/2006/relationships/hyperlink" Target="https://wol.jw.org/en/wol/d/r1/lp-e/1200002000" TargetMode="External" Id="rId886"/><Relationship Type="http://schemas.openxmlformats.org/officeDocument/2006/relationships/hyperlink" Target="https://wol.jw.org/en/wol/mp/r1/lp-e/it-1/2018/570" TargetMode="External" Id="rId887"/><Relationship Type="http://schemas.openxmlformats.org/officeDocument/2006/relationships/hyperlink" Target="https://wol.jw.org/en/wol/d/r1/lp-e/1200002000" TargetMode="External" Id="rId888"/><Relationship Type="http://schemas.openxmlformats.org/officeDocument/2006/relationships/hyperlink" Target="https://wol.jw.org/en/wol/d/r1/lp-e/1101990130" TargetMode="External" Id="rId889"/><Relationship Type="http://schemas.openxmlformats.org/officeDocument/2006/relationships/hyperlink" Target="https://wol.jw.org/ta/wol/d/r122/lp-tl/1101990130" TargetMode="External" Id="rId890"/><Relationship Type="http://schemas.openxmlformats.org/officeDocument/2006/relationships/hyperlink" Target="https://wol.jw.org/en/wol/d/r1/lp-e/1200000468" TargetMode="External" Id="rId891"/><Relationship Type="http://schemas.openxmlformats.org/officeDocument/2006/relationships/hyperlink" Target="https://wol.jw.org/en/wol/d/r1/lp-e/1200000852" TargetMode="External" Id="rId892"/><Relationship Type="http://schemas.openxmlformats.org/officeDocument/2006/relationships/hyperlink" Target="https://wol.jw.org/en/wol/d/r1/lp-e/1101999028" TargetMode="External" Id="rId893"/><Relationship Type="http://schemas.openxmlformats.org/officeDocument/2006/relationships/hyperlink" Target="https://wol.jw.org/ta/wol/d/r122/lp-tl/1101999028" TargetMode="External" Id="rId894"/><Relationship Type="http://schemas.openxmlformats.org/officeDocument/2006/relationships/hyperlink" Target="https://wol.jw.org/en/wol/d/r1/lp-e/1101999029" TargetMode="External" Id="rId895"/><Relationship Type="http://schemas.openxmlformats.org/officeDocument/2006/relationships/hyperlink" Target="https://wol.jw.org/ta/wol/d/r122/lp-tl/1101999029" TargetMode="External" Id="rId896"/><Relationship Type="http://schemas.openxmlformats.org/officeDocument/2006/relationships/hyperlink" Target="https://wol.jw.org/en/wol/d/r1/lp-e/1200000468" TargetMode="External" Id="rId897"/><Relationship Type="http://schemas.openxmlformats.org/officeDocument/2006/relationships/hyperlink" Target="https://wol.jw.org/en/wol/d/r1/lp-e/1200001765" TargetMode="External" Id="rId898"/><Relationship Type="http://schemas.openxmlformats.org/officeDocument/2006/relationships/hyperlink" Target="https://wol.jw.org/en/wol/d/r1/lp-e/1200002000" TargetMode="External" Id="rId899"/><Relationship Type="http://schemas.openxmlformats.org/officeDocument/2006/relationships/hyperlink" Target="https://wol.jw.org/en/wol/mp/r1/lp-e/it-2/2018/529" TargetMode="External" Id="rId900"/><Relationship Type="http://schemas.openxmlformats.org/officeDocument/2006/relationships/hyperlink" Target="https://wol.jw.org/en/wol/d/r1/lp-e/1200002000" TargetMode="External" Id="rId901"/><Relationship Type="http://schemas.openxmlformats.org/officeDocument/2006/relationships/hyperlink" Target="https://wol.jw.org/en/wol/d/r1/lp-e/1200000468" TargetMode="External" Id="rId902"/><Relationship Type="http://schemas.openxmlformats.org/officeDocument/2006/relationships/hyperlink" Target="https://wol.jw.org/en/wol/d/r1/lp-e/1001070207" TargetMode="External" Id="rId903"/><Relationship Type="http://schemas.openxmlformats.org/officeDocument/2006/relationships/hyperlink" Target="https://wol.jw.org/ta/wol/d/r122/lp-tl/1001070207" TargetMode="External" Id="rId904"/><Relationship Type="http://schemas.openxmlformats.org/officeDocument/2006/relationships/hyperlink" Target="https://wol.jw.org/en/wol/mp/r1/lp-e/nwtsty/2026/33" TargetMode="External" Id="rId905"/><Relationship Type="http://schemas.openxmlformats.org/officeDocument/2006/relationships/hyperlink" Target="https://wol.jw.org/en/wol/d/r1/lp-e/1101999034" TargetMode="External" Id="rId906"/><Relationship Type="http://schemas.openxmlformats.org/officeDocument/2006/relationships/hyperlink" Target="https://wol.jw.org/ta/wol/d/r122/lp-tl/1101999034" TargetMode="External" Id="rId907"/><Relationship Type="http://schemas.openxmlformats.org/officeDocument/2006/relationships/hyperlink" Target="https://wol.jw.org/en/wol/d/r1/lp-e/1001070207" TargetMode="External" Id="rId908"/><Relationship Type="http://schemas.openxmlformats.org/officeDocument/2006/relationships/hyperlink" Target="https://wol.jw.org/ta/wol/d/r122/lp-tl/1001070207" TargetMode="External" Id="rId909"/><Relationship Type="http://schemas.openxmlformats.org/officeDocument/2006/relationships/hyperlink" Target="https://wol.jw.org/en/wol/mp/r1/lp-e/nwtsty/2026/30" TargetMode="External" Id="rId910"/><Relationship Type="http://schemas.openxmlformats.org/officeDocument/2006/relationships/hyperlink" Target="https://wol.jw.org/en/wol/d/r1/lp-e/1001070207" TargetMode="External" Id="rId911"/><Relationship Type="http://schemas.openxmlformats.org/officeDocument/2006/relationships/hyperlink" Target="https://wol.jw.org/ta/wol/d/r122/lp-tl/1001070207" TargetMode="External" Id="rId912"/><Relationship Type="http://schemas.openxmlformats.org/officeDocument/2006/relationships/hyperlink" Target="https://wol.jw.org/en/wol/mp/r1/lp-e/nwtsty/2026/30" TargetMode="External" Id="rId913"/><Relationship Type="http://schemas.openxmlformats.org/officeDocument/2006/relationships/hyperlink" Target="https://wol.jw.org/en/wol/d/r1/lp-e/1001070207" TargetMode="External" Id="rId914"/><Relationship Type="http://schemas.openxmlformats.org/officeDocument/2006/relationships/hyperlink" Target="https://wol.jw.org/ta/wol/d/r122/lp-tl/1001070207" TargetMode="External" Id="rId915"/><Relationship Type="http://schemas.openxmlformats.org/officeDocument/2006/relationships/hyperlink" Target="https://wol.jw.org/en/wol/mp/r1/lp-e/nwtsty/2026/30" TargetMode="External" Id="rId916"/><Relationship Type="http://schemas.openxmlformats.org/officeDocument/2006/relationships/hyperlink" Target="https://wol.jw.org/en/wol/d/r1/lp-e/1001070207" TargetMode="External" Id="rId917"/><Relationship Type="http://schemas.openxmlformats.org/officeDocument/2006/relationships/hyperlink" Target="https://wol.jw.org/ta/wol/d/r122/lp-tl/1001070207" TargetMode="External" Id="rId918"/><Relationship Type="http://schemas.openxmlformats.org/officeDocument/2006/relationships/hyperlink" Target="https://wol.jw.org/en/wol/d/r1/lp-e/1001070207" TargetMode="External" Id="rId919"/><Relationship Type="http://schemas.openxmlformats.org/officeDocument/2006/relationships/hyperlink" Target="https://wol.jw.org/ta/wol/d/r122/lp-tl/1001070207" TargetMode="External" Id="rId920"/><Relationship Type="http://schemas.openxmlformats.org/officeDocument/2006/relationships/hyperlink" Target="https://wol.jw.org/en/wol/mp/r1/lp-e/nwtsty/2026/30" TargetMode="External" Id="rId921"/><Relationship Type="http://schemas.openxmlformats.org/officeDocument/2006/relationships/hyperlink" Target="https://wol.jw.org/en/wol/d/r1/lp-e/1101999034" TargetMode="External" Id="rId922"/><Relationship Type="http://schemas.openxmlformats.org/officeDocument/2006/relationships/hyperlink" Target="https://wol.jw.org/ta/wol/d/r122/lp-tl/1101999034" TargetMode="External" Id="rId923"/><Relationship Type="http://schemas.openxmlformats.org/officeDocument/2006/relationships/hyperlink" Target="https://wol.jw.org/en/wol/d/r1/lp-e/1001070207" TargetMode="External" Id="rId924"/><Relationship Type="http://schemas.openxmlformats.org/officeDocument/2006/relationships/hyperlink" Target="https://wol.jw.org/ta/wol/d/r122/lp-tl/1001070207" TargetMode="External" Id="rId925"/><Relationship Type="http://schemas.openxmlformats.org/officeDocument/2006/relationships/hyperlink" Target="https://wol.jw.org/en/wol/mp/r1/lp-e/nwtsty/2026/30" TargetMode="External" Id="rId926"/><Relationship Type="http://schemas.openxmlformats.org/officeDocument/2006/relationships/hyperlink" Target="https://wol.jw.org/en/wol/d/r1/lp-e/1001070207" TargetMode="External" Id="rId927"/><Relationship Type="http://schemas.openxmlformats.org/officeDocument/2006/relationships/hyperlink" Target="https://wol.jw.org/ta/wol/d/r122/lp-tl/1001070207" TargetMode="External" Id="rId928"/><Relationship Type="http://schemas.openxmlformats.org/officeDocument/2006/relationships/hyperlink" Target="https://wol.jw.org/en/wol/d/r1/lp-e/1001070207" TargetMode="External" Id="rId929"/><Relationship Type="http://schemas.openxmlformats.org/officeDocument/2006/relationships/hyperlink" Target="https://wol.jw.org/ta/wol/d/r122/lp-tl/1001070207" TargetMode="External" Id="rId930"/><Relationship Type="http://schemas.openxmlformats.org/officeDocument/2006/relationships/hyperlink" Target="https://wol.jw.org/en/wol/mp/r1/lp-e/nwtsty/2026/30" TargetMode="External" Id="rId931"/><Relationship Type="http://schemas.openxmlformats.org/officeDocument/2006/relationships/hyperlink" Target="https://wol.jw.org/en/wol/d/r1/lp-e/1001070207" TargetMode="External" Id="rId932"/><Relationship Type="http://schemas.openxmlformats.org/officeDocument/2006/relationships/hyperlink" Target="https://wol.jw.org/ta/wol/d/r122/lp-tl/1001070207" TargetMode="External" Id="rId933"/><Relationship Type="http://schemas.openxmlformats.org/officeDocument/2006/relationships/hyperlink" Target="https://wol.jw.org/en/wol/mp/r1/lp-e/nwtsty/2026/30" TargetMode="External" Id="rId934"/><Relationship Type="http://schemas.openxmlformats.org/officeDocument/2006/relationships/hyperlink" Target="https://wol.jw.org/en/wol/d/r1/lp-e/1001070207" TargetMode="External" Id="rId935"/><Relationship Type="http://schemas.openxmlformats.org/officeDocument/2006/relationships/hyperlink" Target="https://wol.jw.org/ta/wol/d/r122/lp-tl/1001070207" TargetMode="External" Id="rId936"/><Relationship Type="http://schemas.openxmlformats.org/officeDocument/2006/relationships/hyperlink" Target="https://wol.jw.org/en/wol/mp/r1/lp-e/nwtsty/2026/30" TargetMode="External" Id="rId937"/><Relationship Type="http://schemas.openxmlformats.org/officeDocument/2006/relationships/hyperlink" Target="https://wol.jw.org/en/wol/d/r1/lp-e/1200002000" TargetMode="External" Id="rId938"/><Relationship Type="http://schemas.openxmlformats.org/officeDocument/2006/relationships/hyperlink" Target="https://wol.jw.org/en/wol/d/r1/lp-e/1001070207" TargetMode="External" Id="rId939"/><Relationship Type="http://schemas.openxmlformats.org/officeDocument/2006/relationships/hyperlink" Target="https://wol.jw.org/ta/wol/d/r122/lp-tl/1001070207" TargetMode="External" Id="rId940"/><Relationship Type="http://schemas.openxmlformats.org/officeDocument/2006/relationships/hyperlink" Target="https://wol.jw.org/en/wol/mp/r1/lp-e/nwtsty/2026/30" TargetMode="External" Id="rId941"/><Relationship Type="http://schemas.openxmlformats.org/officeDocument/2006/relationships/hyperlink" Target="https://wol.jw.org/en/wol/d/r1/lp-e/1001070207" TargetMode="External" Id="rId942"/><Relationship Type="http://schemas.openxmlformats.org/officeDocument/2006/relationships/hyperlink" Target="https://wol.jw.org/ta/wol/d/r122/lp-tl/1001070207" TargetMode="External" Id="rId943"/><Relationship Type="http://schemas.openxmlformats.org/officeDocument/2006/relationships/hyperlink" Target="https://wol.jw.org/en/wol/mp/r1/lp-e/nwtsty/2026/30" TargetMode="External" Id="rId944"/><Relationship Type="http://schemas.openxmlformats.org/officeDocument/2006/relationships/hyperlink" Target="https://wol.jw.org/en/wol/d/r1/lp-e/1001070207" TargetMode="External" Id="rId945"/><Relationship Type="http://schemas.openxmlformats.org/officeDocument/2006/relationships/hyperlink" Target="https://wol.jw.org/ta/wol/d/r122/lp-tl/1001070207" TargetMode="External" Id="rId946"/><Relationship Type="http://schemas.openxmlformats.org/officeDocument/2006/relationships/hyperlink" Target="https://wol.jw.org/en/wol/mp/r1/lp-e/nwtsty/2026/30" TargetMode="External" Id="rId947"/><Relationship Type="http://schemas.openxmlformats.org/officeDocument/2006/relationships/hyperlink" Target="https://wol.jw.org/en/wol/d/r1/lp-e/1001070207" TargetMode="External" Id="rId948"/><Relationship Type="http://schemas.openxmlformats.org/officeDocument/2006/relationships/hyperlink" Target="https://wol.jw.org/ta/wol/d/r122/lp-tl/1001070207" TargetMode="External" Id="rId949"/><Relationship Type="http://schemas.openxmlformats.org/officeDocument/2006/relationships/hyperlink" Target="https://wol.jw.org/en/wol/mp/r1/lp-e/nwtsty/2026/30" TargetMode="External" Id="rId950"/><Relationship Type="http://schemas.openxmlformats.org/officeDocument/2006/relationships/hyperlink" Target="https://wol.jw.org/en/wol/d/r1/lp-e/1001070207" TargetMode="External" Id="rId951"/><Relationship Type="http://schemas.openxmlformats.org/officeDocument/2006/relationships/hyperlink" Target="https://wol.jw.org/ta/wol/d/r122/lp-tl/1001070207" TargetMode="External" Id="rId952"/><Relationship Type="http://schemas.openxmlformats.org/officeDocument/2006/relationships/hyperlink" Target="https://wol.jw.org/en/wol/mp/r1/lp-e/nwtsty/2026/30" TargetMode="External" Id="rId953"/><Relationship Type="http://schemas.openxmlformats.org/officeDocument/2006/relationships/hyperlink" Target="https://wol.jw.org/en/wol/d/r1/lp-e/1001070207" TargetMode="External" Id="rId954"/><Relationship Type="http://schemas.openxmlformats.org/officeDocument/2006/relationships/hyperlink" Target="https://wol.jw.org/ta/wol/d/r122/lp-tl/1001070207" TargetMode="External" Id="rId955"/><Relationship Type="http://schemas.openxmlformats.org/officeDocument/2006/relationships/hyperlink" Target="https://wol.jw.org/en/wol/mp/r1/lp-e/nwtsty/2026/30" TargetMode="External" Id="rId956"/><Relationship Type="http://schemas.openxmlformats.org/officeDocument/2006/relationships/hyperlink" Target="https://wol.jw.org/en/wol/d/r1/lp-e/1200000852" TargetMode="External" Id="rId957"/><Relationship Type="http://schemas.openxmlformats.org/officeDocument/2006/relationships/hyperlink" Target="https://wol.jw.org/en/wol/d/r1/lp-e/1001070207" TargetMode="External" Id="rId958"/><Relationship Type="http://schemas.openxmlformats.org/officeDocument/2006/relationships/hyperlink" Target="https://wol.jw.org/ta/wol/d/r122/lp-tl/1001070207" TargetMode="External" Id="rId959"/><Relationship Type="http://schemas.openxmlformats.org/officeDocument/2006/relationships/hyperlink" Target="https://wol.jw.org/en/wol/mp/r1/lp-e/nwtsty/2026/30" TargetMode="External" Id="rId960"/><Relationship Type="http://schemas.openxmlformats.org/officeDocument/2006/relationships/hyperlink" Target="https://wol.jw.org/en/wol/d/r1/lp-e/1001070207" TargetMode="External" Id="rId961"/><Relationship Type="http://schemas.openxmlformats.org/officeDocument/2006/relationships/hyperlink" Target="https://wol.jw.org/ta/wol/d/r122/lp-tl/1001070207" TargetMode="External" Id="rId962"/><Relationship Type="http://schemas.openxmlformats.org/officeDocument/2006/relationships/hyperlink" Target="https://wol.jw.org/en/wol/d/r1/lp-e/1001070208" TargetMode="External" Id="rId963"/><Relationship Type="http://schemas.openxmlformats.org/officeDocument/2006/relationships/hyperlink" Target="https://wol.jw.org/ta/wol/d/r122/lp-tl/1001070208" TargetMode="External" Id="rId964"/><Relationship Type="http://schemas.openxmlformats.org/officeDocument/2006/relationships/hyperlink" Target="https://wol.jw.org/en/wol/mp/r1/lp-e/nwtsty/2026/39" TargetMode="External" Id="rId965"/><Relationship Type="http://schemas.openxmlformats.org/officeDocument/2006/relationships/hyperlink" Target="https://wol.jw.org/en/wol/d/r1/lp-e/1101990130" TargetMode="External" Id="rId966"/><Relationship Type="http://schemas.openxmlformats.org/officeDocument/2006/relationships/hyperlink" Target="https://wol.jw.org/ta/wol/d/r122/lp-tl/1101990130" TargetMode="External" Id="rId967"/><Relationship Type="http://schemas.openxmlformats.org/officeDocument/2006/relationships/hyperlink" Target="https://wol.jw.org/en/wol/d/r1/lp-e/1101990130" TargetMode="External" Id="rId968"/><Relationship Type="http://schemas.openxmlformats.org/officeDocument/2006/relationships/hyperlink" Target="https://wol.jw.org/ta/wol/d/r122/lp-tl/1101990130" TargetMode="External" Id="rId969"/><Relationship Type="http://schemas.openxmlformats.org/officeDocument/2006/relationships/hyperlink" Target="https://wol.jw.org/en/wol/d/r1/lp-e/1001070208" TargetMode="External" Id="rId970"/><Relationship Type="http://schemas.openxmlformats.org/officeDocument/2006/relationships/hyperlink" Target="https://wol.jw.org/ta/wol/d/r122/lp-tl/1001070208" TargetMode="External" Id="rId971"/><Relationship Type="http://schemas.openxmlformats.org/officeDocument/2006/relationships/hyperlink" Target="https://wol.jw.org/en/wol/mp/r1/lp-e/nwtsty/2026/34" TargetMode="External" Id="rId972"/><Relationship Type="http://schemas.openxmlformats.org/officeDocument/2006/relationships/hyperlink" Target="https://wol.jw.org/en/wol/d/r1/lp-e/1001070208" TargetMode="External" Id="rId973"/><Relationship Type="http://schemas.openxmlformats.org/officeDocument/2006/relationships/hyperlink" Target="https://wol.jw.org/ta/wol/d/r122/lp-tl/1001070208" TargetMode="External" Id="rId974"/><Relationship Type="http://schemas.openxmlformats.org/officeDocument/2006/relationships/hyperlink" Target="https://wol.jw.org/en/wol/mp/r1/lp-e/nwtsty/2026/34" TargetMode="External" Id="rId975"/><Relationship Type="http://schemas.openxmlformats.org/officeDocument/2006/relationships/hyperlink" Target="https://wol.jw.org/en/wol/d/r1/lp-e/1001070208" TargetMode="External" Id="rId976"/><Relationship Type="http://schemas.openxmlformats.org/officeDocument/2006/relationships/hyperlink" Target="https://wol.jw.org/ta/wol/d/r122/lp-tl/1001070208" TargetMode="External" Id="rId977"/><Relationship Type="http://schemas.openxmlformats.org/officeDocument/2006/relationships/hyperlink" Target="https://wol.jw.org/en/wol/mp/r1/lp-e/nwtsty/2026/34" TargetMode="External" Id="rId978"/><Relationship Type="http://schemas.openxmlformats.org/officeDocument/2006/relationships/hyperlink" Target="https://wol.jw.org/en/wol/d/r1/lp-e/1001070208" TargetMode="External" Id="rId979"/><Relationship Type="http://schemas.openxmlformats.org/officeDocument/2006/relationships/hyperlink" Target="https://wol.jw.org/ta/wol/d/r122/lp-tl/1001070208" TargetMode="External" Id="rId980"/><Relationship Type="http://schemas.openxmlformats.org/officeDocument/2006/relationships/hyperlink" Target="https://wol.jw.org/en/wol/mp/r1/lp-e/nwtsty/2026/34" TargetMode="External" Id="rId981"/><Relationship Type="http://schemas.openxmlformats.org/officeDocument/2006/relationships/hyperlink" Target="https://wol.jw.org/en/wol/d/r1/lp-e/1001070208" TargetMode="External" Id="rId982"/><Relationship Type="http://schemas.openxmlformats.org/officeDocument/2006/relationships/hyperlink" Target="https://wol.jw.org/ta/wol/d/r122/lp-tl/1001070208" TargetMode="External" Id="rId983"/><Relationship Type="http://schemas.openxmlformats.org/officeDocument/2006/relationships/hyperlink" Target="https://wol.jw.org/en/wol/mp/r1/lp-e/nwtsty/2026/34" TargetMode="External" Id="rId984"/><Relationship Type="http://schemas.openxmlformats.org/officeDocument/2006/relationships/hyperlink" Target="https://wol.jw.org/en/wol/d/r1/lp-e/1001070208" TargetMode="External" Id="rId985"/><Relationship Type="http://schemas.openxmlformats.org/officeDocument/2006/relationships/hyperlink" Target="https://wol.jw.org/ta/wol/d/r122/lp-tl/1001070208" TargetMode="External" Id="rId986"/><Relationship Type="http://schemas.openxmlformats.org/officeDocument/2006/relationships/hyperlink" Target="https://wol.jw.org/en/wol/mp/r1/lp-e/nwtsty/2026/34" TargetMode="External" Id="rId987"/><Relationship Type="http://schemas.openxmlformats.org/officeDocument/2006/relationships/hyperlink" Target="https://wol.jw.org/en/wol/d/r1/lp-e/1001070208" TargetMode="External" Id="rId988"/><Relationship Type="http://schemas.openxmlformats.org/officeDocument/2006/relationships/hyperlink" Target="https://wol.jw.org/ta/wol/d/r122/lp-tl/1001070208" TargetMode="External" Id="rId989"/><Relationship Type="http://schemas.openxmlformats.org/officeDocument/2006/relationships/hyperlink" Target="https://wol.jw.org/en/wol/mp/r1/lp-e/nwtsty/2026/34" TargetMode="External" Id="rId990"/><Relationship Type="http://schemas.openxmlformats.org/officeDocument/2006/relationships/hyperlink" Target="https://wol.jw.org/en/wol/d/r1/lp-e/1001070208" TargetMode="External" Id="rId991"/><Relationship Type="http://schemas.openxmlformats.org/officeDocument/2006/relationships/hyperlink" Target="https://wol.jw.org/ta/wol/d/r122/lp-tl/1001070208" TargetMode="External" Id="rId992"/><Relationship Type="http://schemas.openxmlformats.org/officeDocument/2006/relationships/hyperlink" Target="https://wol.jw.org/en/wol/mp/r1/lp-e/nwtsty/2026/34" TargetMode="External" Id="rId993"/><Relationship Type="http://schemas.openxmlformats.org/officeDocument/2006/relationships/hyperlink" Target="https://wol.jw.org/en/wol/d/r1/lp-e/1001070208" TargetMode="External" Id="rId994"/><Relationship Type="http://schemas.openxmlformats.org/officeDocument/2006/relationships/hyperlink" Target="https://wol.jw.org/ta/wol/d/r122/lp-tl/1001070208" TargetMode="External" Id="rId995"/><Relationship Type="http://schemas.openxmlformats.org/officeDocument/2006/relationships/hyperlink" Target="https://wol.jw.org/en/wol/mp/r1/lp-e/nwtsty/2026/34" TargetMode="External" Id="rId996"/><Relationship Type="http://schemas.openxmlformats.org/officeDocument/2006/relationships/hyperlink" Target="https://wol.jw.org/en/wol/d/r1/lp-e/1001070208" TargetMode="External" Id="rId997"/><Relationship Type="http://schemas.openxmlformats.org/officeDocument/2006/relationships/hyperlink" Target="https://wol.jw.org/ta/wol/d/r122/lp-tl/1001070208" TargetMode="External" Id="rId998"/><Relationship Type="http://schemas.openxmlformats.org/officeDocument/2006/relationships/hyperlink" Target="https://wol.jw.org/en/wol/mp/r1/lp-e/nwtsty/2026/34" TargetMode="External" Id="rId999"/><Relationship Type="http://schemas.openxmlformats.org/officeDocument/2006/relationships/hyperlink" Target="https://wol.jw.org/en/wol/d/r1/lp-e/1001070208" TargetMode="External" Id="rId1000"/><Relationship Type="http://schemas.openxmlformats.org/officeDocument/2006/relationships/hyperlink" Target="https://wol.jw.org/ta/wol/d/r122/lp-tl/1001070208" TargetMode="External" Id="rId1001"/><Relationship Type="http://schemas.openxmlformats.org/officeDocument/2006/relationships/hyperlink" Target="https://wol.jw.org/en/wol/mp/r1/lp-e/nwtsty/2026/34" TargetMode="External" Id="rId1002"/><Relationship Type="http://schemas.openxmlformats.org/officeDocument/2006/relationships/hyperlink" Target="https://wol.jw.org/en/wol/d/r1/lp-e/1001070208" TargetMode="External" Id="rId1003"/><Relationship Type="http://schemas.openxmlformats.org/officeDocument/2006/relationships/hyperlink" Target="https://wol.jw.org/ta/wol/d/r122/lp-tl/1001070208" TargetMode="External" Id="rId1004"/><Relationship Type="http://schemas.openxmlformats.org/officeDocument/2006/relationships/hyperlink" Target="https://wol.jw.org/en/wol/mp/r1/lp-e/nwtsty/2026/34" TargetMode="External" Id="rId1005"/><Relationship Type="http://schemas.openxmlformats.org/officeDocument/2006/relationships/hyperlink" Target="https://wol.jw.org/en/wol/d/r1/lp-e/1001070209" TargetMode="External" Id="rId1006"/><Relationship Type="http://schemas.openxmlformats.org/officeDocument/2006/relationships/hyperlink" Target="https://wol.jw.org/ta/wol/d/r122/lp-tl/1001070209" TargetMode="External" Id="rId1007"/><Relationship Type="http://schemas.openxmlformats.org/officeDocument/2006/relationships/hyperlink" Target="https://wol.jw.org/en/wol/mp/r1/lp-e/nwtsty/2026/43" TargetMode="External" Id="rId1008"/><Relationship Type="http://schemas.openxmlformats.org/officeDocument/2006/relationships/hyperlink" Target="https://wol.jw.org/en/wol/d/r1/lp-e/1001070209" TargetMode="External" Id="rId1009"/><Relationship Type="http://schemas.openxmlformats.org/officeDocument/2006/relationships/hyperlink" Target="https://wol.jw.org/ta/wol/d/r122/lp-tl/1001070209" TargetMode="External" Id="rId1010"/><Relationship Type="http://schemas.openxmlformats.org/officeDocument/2006/relationships/hyperlink" Target="https://wol.jw.org/en/wol/mp/r1/lp-e/nwtsty/2026/40" TargetMode="External" Id="rId1011"/><Relationship Type="http://schemas.openxmlformats.org/officeDocument/2006/relationships/hyperlink" Target="https://wol.jw.org/en/wol/d/r1/lp-e/1001070209" TargetMode="External" Id="rId1012"/><Relationship Type="http://schemas.openxmlformats.org/officeDocument/2006/relationships/hyperlink" Target="https://wol.jw.org/ta/wol/d/r122/lp-tl/1001070209" TargetMode="External" Id="rId1013"/><Relationship Type="http://schemas.openxmlformats.org/officeDocument/2006/relationships/hyperlink" Target="https://wol.jw.org/en/wol/mp/r1/lp-e/nwtsty/2026/40" TargetMode="External" Id="rId1014"/><Relationship Type="http://schemas.openxmlformats.org/officeDocument/2006/relationships/hyperlink" Target="https://wol.jw.org/en/wol/d/r1/lp-e/1001070209" TargetMode="External" Id="rId1015"/><Relationship Type="http://schemas.openxmlformats.org/officeDocument/2006/relationships/hyperlink" Target="https://wol.jw.org/ta/wol/d/r122/lp-tl/1001070209" TargetMode="External" Id="rId1016"/><Relationship Type="http://schemas.openxmlformats.org/officeDocument/2006/relationships/hyperlink" Target="https://wol.jw.org/en/wol/mp/r1/lp-e/nwtsty/2026/40" TargetMode="External" Id="rId1017"/><Relationship Type="http://schemas.openxmlformats.org/officeDocument/2006/relationships/hyperlink" Target="https://wol.jw.org/en/wol/d/r1/lp-e/1001070209" TargetMode="External" Id="rId1018"/><Relationship Type="http://schemas.openxmlformats.org/officeDocument/2006/relationships/hyperlink" Target="https://wol.jw.org/ta/wol/d/r122/lp-tl/1001070209" TargetMode="External" Id="rId1019"/><Relationship Type="http://schemas.openxmlformats.org/officeDocument/2006/relationships/hyperlink" Target="https://wol.jw.org/en/wol/mp/r1/lp-e/nwtsty/2026/40" TargetMode="External" Id="rId1020"/><Relationship Type="http://schemas.openxmlformats.org/officeDocument/2006/relationships/hyperlink" Target="https://wol.jw.org/en/wol/d/r1/lp-e/1001070209" TargetMode="External" Id="rId1021"/><Relationship Type="http://schemas.openxmlformats.org/officeDocument/2006/relationships/hyperlink" Target="https://wol.jw.org/ta/wol/d/r122/lp-tl/1001070209" TargetMode="External" Id="rId1022"/><Relationship Type="http://schemas.openxmlformats.org/officeDocument/2006/relationships/hyperlink" Target="https://wol.jw.org/en/wol/mp/r1/lp-e/nwtsty/2026/40" TargetMode="External" Id="rId1023"/><Relationship Type="http://schemas.openxmlformats.org/officeDocument/2006/relationships/hyperlink" Target="https://wol.jw.org/en/wol/d/r1/lp-e/1001070209" TargetMode="External" Id="rId1024"/><Relationship Type="http://schemas.openxmlformats.org/officeDocument/2006/relationships/hyperlink" Target="https://wol.jw.org/ta/wol/d/r122/lp-tl/1001070209" TargetMode="External" Id="rId1025"/><Relationship Type="http://schemas.openxmlformats.org/officeDocument/2006/relationships/hyperlink" Target="https://wol.jw.org/en/wol/mp/r1/lp-e/nwtsty/2026/40" TargetMode="External" Id="rId1026"/><Relationship Type="http://schemas.openxmlformats.org/officeDocument/2006/relationships/hyperlink" Target="https://wol.jw.org/en/wol/d/r1/lp-e/1001070209" TargetMode="External" Id="rId1027"/><Relationship Type="http://schemas.openxmlformats.org/officeDocument/2006/relationships/hyperlink" Target="https://wol.jw.org/ta/wol/d/r122/lp-tl/1001070209" TargetMode="External" Id="rId1028"/><Relationship Type="http://schemas.openxmlformats.org/officeDocument/2006/relationships/hyperlink" Target="https://wol.jw.org/en/wol/mp/r1/lp-e/nwtsty/2026/40" TargetMode="External" Id="rId1029"/><Relationship Type="http://schemas.openxmlformats.org/officeDocument/2006/relationships/hyperlink" Target="https://wol.jw.org/en/wol/d/r1/lp-e/1001070209" TargetMode="External" Id="rId1030"/><Relationship Type="http://schemas.openxmlformats.org/officeDocument/2006/relationships/hyperlink" Target="https://wol.jw.org/ta/wol/d/r122/lp-tl/1001070209" TargetMode="External" Id="rId1031"/><Relationship Type="http://schemas.openxmlformats.org/officeDocument/2006/relationships/hyperlink" Target="https://wol.jw.org/en/wol/mp/r1/lp-e/nwtsty/2026/40" TargetMode="External" Id="rId1032"/><Relationship Type="http://schemas.openxmlformats.org/officeDocument/2006/relationships/hyperlink" Target="https://wol.jw.org/en/wol/d/r1/lp-e/1001070209" TargetMode="External" Id="rId1033"/><Relationship Type="http://schemas.openxmlformats.org/officeDocument/2006/relationships/hyperlink" Target="https://wol.jw.org/ta/wol/d/r122/lp-tl/1001070209" TargetMode="External" Id="rId1034"/><Relationship Type="http://schemas.openxmlformats.org/officeDocument/2006/relationships/hyperlink" Target="https://wol.jw.org/en/wol/mp/r1/lp-e/nwtsty/2026/40" TargetMode="External" Id="rId1035"/><Relationship Type="http://schemas.openxmlformats.org/officeDocument/2006/relationships/hyperlink" Target="https://wol.jw.org/en/wol/d/r1/lp-e/1001070209" TargetMode="External" Id="rId1036"/><Relationship Type="http://schemas.openxmlformats.org/officeDocument/2006/relationships/hyperlink" Target="https://wol.jw.org/ta/wol/d/r122/lp-tl/1001070209" TargetMode="External" Id="rId1037"/><Relationship Type="http://schemas.openxmlformats.org/officeDocument/2006/relationships/hyperlink" Target="https://wol.jw.org/en/wol/mp/r1/lp-e/nwtsty/2026/40" TargetMode="External" Id="rId1038"/><Relationship Type="http://schemas.openxmlformats.org/officeDocument/2006/relationships/hyperlink" Target="https://wol.jw.org/en/wol/d/r1/lp-e/1001070209" TargetMode="External" Id="rId1039"/><Relationship Type="http://schemas.openxmlformats.org/officeDocument/2006/relationships/hyperlink" Target="https://wol.jw.org/ta/wol/d/r122/lp-tl/1001070209" TargetMode="External" Id="rId1040"/><Relationship Type="http://schemas.openxmlformats.org/officeDocument/2006/relationships/hyperlink" Target="https://wol.jw.org/en/wol/mp/r1/lp-e/nwtsty/2026/40" TargetMode="External" Id="rId1041"/><Relationship Type="http://schemas.openxmlformats.org/officeDocument/2006/relationships/hyperlink" Target="https://wol.jw.org/en/wol/d/r1/lp-e/1001070209" TargetMode="External" Id="rId1042"/><Relationship Type="http://schemas.openxmlformats.org/officeDocument/2006/relationships/hyperlink" Target="https://wol.jw.org/ta/wol/d/r122/lp-tl/1001070209" TargetMode="External" Id="rId1043"/><Relationship Type="http://schemas.openxmlformats.org/officeDocument/2006/relationships/hyperlink" Target="https://wol.jw.org/en/wol/mp/r1/lp-e/nwtsty/2026/40" TargetMode="External" Id="rId1044"/><Relationship Type="http://schemas.openxmlformats.org/officeDocument/2006/relationships/hyperlink" Target="https://wol.jw.org/en/wol/d/r1/lp-e/1001070209" TargetMode="External" Id="rId1045"/><Relationship Type="http://schemas.openxmlformats.org/officeDocument/2006/relationships/hyperlink" Target="https://wol.jw.org/ta/wol/d/r122/lp-tl/1001070209" TargetMode="External" Id="rId1046"/><Relationship Type="http://schemas.openxmlformats.org/officeDocument/2006/relationships/hyperlink" Target="https://wol.jw.org/en/wol/mp/r1/lp-e/nwtsty/2026/40" TargetMode="External" Id="rId1047"/><Relationship Type="http://schemas.openxmlformats.org/officeDocument/2006/relationships/hyperlink" Target="https://wol.jw.org/en/wol/d/r1/lp-e/1001070209" TargetMode="External" Id="rId1048"/><Relationship Type="http://schemas.openxmlformats.org/officeDocument/2006/relationships/hyperlink" Target="https://wol.jw.org/ta/wol/d/r122/lp-tl/1001070209" TargetMode="External" Id="rId1049"/><Relationship Type="http://schemas.openxmlformats.org/officeDocument/2006/relationships/hyperlink" Target="https://wol.jw.org/en/wol/mp/r1/lp-e/nwtsty/2026/40" TargetMode="External" Id="rId1050"/><Relationship Type="http://schemas.openxmlformats.org/officeDocument/2006/relationships/hyperlink" Target="https://wol.jw.org/en/wol/d/r1/lp-e/1001070209" TargetMode="External" Id="rId1051"/><Relationship Type="http://schemas.openxmlformats.org/officeDocument/2006/relationships/hyperlink" Target="https://wol.jw.org/ta/wol/d/r122/lp-tl/1001070209" TargetMode="External" Id="rId1052"/><Relationship Type="http://schemas.openxmlformats.org/officeDocument/2006/relationships/hyperlink" Target="https://wol.jw.org/en/wol/mp/r1/lp-e/nwtsty/2026/40" TargetMode="External" Id="rId1053"/><Relationship Type="http://schemas.openxmlformats.org/officeDocument/2006/relationships/hyperlink" Target="https://wol.jw.org/en/wol/d/r1/lp-e/1001070209" TargetMode="External" Id="rId1054"/><Relationship Type="http://schemas.openxmlformats.org/officeDocument/2006/relationships/hyperlink" Target="https://wol.jw.org/ta/wol/d/r122/lp-tl/1001070209" TargetMode="External" Id="rId1055"/><Relationship Type="http://schemas.openxmlformats.org/officeDocument/2006/relationships/hyperlink" Target="https://wol.jw.org/en/wol/mp/r1/lp-e/nwtsty/2026/40" TargetMode="External" Id="rId1056"/><Relationship Type="http://schemas.openxmlformats.org/officeDocument/2006/relationships/hyperlink" Target="https://wol.jw.org/en/wol/d/r1/lp-e/1001070209" TargetMode="External" Id="rId1057"/><Relationship Type="http://schemas.openxmlformats.org/officeDocument/2006/relationships/hyperlink" Target="https://wol.jw.org/ta/wol/d/r122/lp-tl/1001070209" TargetMode="External" Id="rId1058"/><Relationship Type="http://schemas.openxmlformats.org/officeDocument/2006/relationships/hyperlink" Target="https://wol.jw.org/en/wol/mp/r1/lp-e/nwtsty/2026/40" TargetMode="External" Id="rId1059"/><Relationship Type="http://schemas.openxmlformats.org/officeDocument/2006/relationships/hyperlink" Target="https://wol.jw.org/en/wol/d/r1/lp-e/1001070209" TargetMode="External" Id="rId1060"/><Relationship Type="http://schemas.openxmlformats.org/officeDocument/2006/relationships/hyperlink" Target="https://wol.jw.org/ta/wol/d/r122/lp-tl/1001070209" TargetMode="External" Id="rId1061"/><Relationship Type="http://schemas.openxmlformats.org/officeDocument/2006/relationships/hyperlink" Target="https://wol.jw.org/en/wol/mp/r1/lp-e/nwtsty/2026/40" TargetMode="External" Id="rId1062"/><Relationship Type="http://schemas.openxmlformats.org/officeDocument/2006/relationships/hyperlink" Target="https://wol.jw.org/en/wol/d/r1/lp-e/1001070209" TargetMode="External" Id="rId1063"/><Relationship Type="http://schemas.openxmlformats.org/officeDocument/2006/relationships/hyperlink" Target="https://wol.jw.org/ta/wol/d/r122/lp-tl/1001070209" TargetMode="External" Id="rId1064"/><Relationship Type="http://schemas.openxmlformats.org/officeDocument/2006/relationships/hyperlink" Target="https://wol.jw.org/en/wol/mp/r1/lp-e/nwtsty/2026/40" TargetMode="External" Id="rId1065"/><Relationship Type="http://schemas.openxmlformats.org/officeDocument/2006/relationships/hyperlink" Target="https://wol.jw.org/en/wol/d/r1/lp-e/1001070209" TargetMode="External" Id="rId1066"/><Relationship Type="http://schemas.openxmlformats.org/officeDocument/2006/relationships/hyperlink" Target="https://wol.jw.org/ta/wol/d/r122/lp-tl/1001070209" TargetMode="External" Id="rId1067"/><Relationship Type="http://schemas.openxmlformats.org/officeDocument/2006/relationships/hyperlink" Target="https://wol.jw.org/en/wol/mp/r1/lp-e/nwtsty/2026/40" TargetMode="External" Id="rId1068"/><Relationship Type="http://schemas.openxmlformats.org/officeDocument/2006/relationships/hyperlink" Target="https://wol.jw.org/en/wol/d/r1/lp-e/1001070209" TargetMode="External" Id="rId1069"/><Relationship Type="http://schemas.openxmlformats.org/officeDocument/2006/relationships/hyperlink" Target="https://wol.jw.org/ta/wol/d/r122/lp-tl/1001070209" TargetMode="External" Id="rId1070"/><Relationship Type="http://schemas.openxmlformats.org/officeDocument/2006/relationships/hyperlink" Target="https://wol.jw.org/en/wol/mp/r1/lp-e/nwtsty/2026/40" TargetMode="External" Id="rId1071"/><Relationship Type="http://schemas.openxmlformats.org/officeDocument/2006/relationships/hyperlink" Target="https://wol.jw.org/en/wol/d/r1/lp-e/1001070209" TargetMode="External" Id="rId1072"/><Relationship Type="http://schemas.openxmlformats.org/officeDocument/2006/relationships/hyperlink" Target="https://wol.jw.org/ta/wol/d/r122/lp-tl/1001070209" TargetMode="External" Id="rId1073"/><Relationship Type="http://schemas.openxmlformats.org/officeDocument/2006/relationships/hyperlink" Target="https://wol.jw.org/en/wol/mp/r1/lp-e/nwtsty/2026/40" TargetMode="External" Id="rId1074"/><Relationship Type="http://schemas.openxmlformats.org/officeDocument/2006/relationships/hyperlink" Target="https://wol.jw.org/en/wol/d/r1/lp-e/1001070209" TargetMode="External" Id="rId1075"/><Relationship Type="http://schemas.openxmlformats.org/officeDocument/2006/relationships/hyperlink" Target="https://wol.jw.org/ta/wol/d/r122/lp-tl/1001070209" TargetMode="External" Id="rId1076"/><Relationship Type="http://schemas.openxmlformats.org/officeDocument/2006/relationships/hyperlink" Target="https://wol.jw.org/en/wol/mp/r1/lp-e/nwtsty/2026/40" TargetMode="External" Id="rId1077"/><Relationship Type="http://schemas.openxmlformats.org/officeDocument/2006/relationships/hyperlink" Target="https://wol.jw.org/en/wol/d/r1/lp-e/1001070209" TargetMode="External" Id="rId1078"/><Relationship Type="http://schemas.openxmlformats.org/officeDocument/2006/relationships/hyperlink" Target="https://wol.jw.org/ta/wol/d/r122/lp-tl/1001070209" TargetMode="External" Id="rId1079"/><Relationship Type="http://schemas.openxmlformats.org/officeDocument/2006/relationships/hyperlink" Target="https://wol.jw.org/en/wol/mp/r1/lp-e/nwtsty/2026/40" TargetMode="External" Id="rId1080"/><Relationship Type="http://schemas.openxmlformats.org/officeDocument/2006/relationships/hyperlink" Target="https://wol.jw.org/en/wol/d/r1/lp-e/1001070209" TargetMode="External" Id="rId1081"/><Relationship Type="http://schemas.openxmlformats.org/officeDocument/2006/relationships/hyperlink" Target="https://wol.jw.org/ta/wol/d/r122/lp-tl/1001070209" TargetMode="External" Id="rId1082"/><Relationship Type="http://schemas.openxmlformats.org/officeDocument/2006/relationships/hyperlink" Target="https://wol.jw.org/en/wol/mp/r1/lp-e/nwtsty/2026/40" TargetMode="External" Id="rId1083"/><Relationship Type="http://schemas.openxmlformats.org/officeDocument/2006/relationships/hyperlink" Target="https://wol.jw.org/en/wol/d/r1/lp-e/1001070209" TargetMode="External" Id="rId1084"/><Relationship Type="http://schemas.openxmlformats.org/officeDocument/2006/relationships/hyperlink" Target="https://wol.jw.org/ta/wol/d/r122/lp-tl/1001070209" TargetMode="External" Id="rId1085"/><Relationship Type="http://schemas.openxmlformats.org/officeDocument/2006/relationships/hyperlink" Target="https://wol.jw.org/en/wol/mp/r1/lp-e/nwtsty/2026/40" TargetMode="External" Id="rId1086"/><Relationship Type="http://schemas.openxmlformats.org/officeDocument/2006/relationships/hyperlink" Target="https://wol.jw.org/en/wol/d/r1/lp-e/1001070209" TargetMode="External" Id="rId1087"/><Relationship Type="http://schemas.openxmlformats.org/officeDocument/2006/relationships/hyperlink" Target="https://wol.jw.org/ta/wol/d/r122/lp-tl/1001070209" TargetMode="External" Id="rId1088"/><Relationship Type="http://schemas.openxmlformats.org/officeDocument/2006/relationships/hyperlink" Target="https://wol.jw.org/en/wol/mp/r1/lp-e/nwtsty/2026/40" TargetMode="External" Id="rId1089"/><Relationship Type="http://schemas.openxmlformats.org/officeDocument/2006/relationships/hyperlink" Target="https://wol.jw.org/en/wol/d/r1/lp-e/1001070210" TargetMode="External" Id="rId1090"/><Relationship Type="http://schemas.openxmlformats.org/officeDocument/2006/relationships/hyperlink" Target="https://wol.jw.org/ta/wol/d/r122/lp-tl/1001070210" TargetMode="External" Id="rId1091"/><Relationship Type="http://schemas.openxmlformats.org/officeDocument/2006/relationships/hyperlink" Target="https://wol.jw.org/en/wol/mp/r1/lp-e/nwtsty/2026/49" TargetMode="External" Id="rId1092"/><Relationship Type="http://schemas.openxmlformats.org/officeDocument/2006/relationships/hyperlink" Target="https://wol.jw.org/en/wol/d/r1/lp-e/1001070210" TargetMode="External" Id="rId1093"/><Relationship Type="http://schemas.openxmlformats.org/officeDocument/2006/relationships/hyperlink" Target="https://wol.jw.org/ta/wol/d/r122/lp-tl/1001070210" TargetMode="External" Id="rId1094"/><Relationship Type="http://schemas.openxmlformats.org/officeDocument/2006/relationships/hyperlink" Target="https://wol.jw.org/en/wol/mp/r1/lp-e/nwtsty/2026/46" TargetMode="External" Id="rId1095"/><Relationship Type="http://schemas.openxmlformats.org/officeDocument/2006/relationships/hyperlink" Target="https://wol.jw.org/en/wol/d/r1/lp-e/1001070210" TargetMode="External" Id="rId1096"/><Relationship Type="http://schemas.openxmlformats.org/officeDocument/2006/relationships/hyperlink" Target="https://wol.jw.org/ta/wol/d/r122/lp-tl/1001070210" TargetMode="External" Id="rId1097"/><Relationship Type="http://schemas.openxmlformats.org/officeDocument/2006/relationships/hyperlink" Target="https://wol.jw.org/en/wol/mp/r1/lp-e/nwtsty/2026/46" TargetMode="External" Id="rId1098"/><Relationship Type="http://schemas.openxmlformats.org/officeDocument/2006/relationships/hyperlink" Target="https://wol.jw.org/en/wol/d/r1/lp-e/1001070210" TargetMode="External" Id="rId1099"/><Relationship Type="http://schemas.openxmlformats.org/officeDocument/2006/relationships/hyperlink" Target="https://wol.jw.org/ta/wol/d/r122/lp-tl/1001070210" TargetMode="External" Id="rId1100"/><Relationship Type="http://schemas.openxmlformats.org/officeDocument/2006/relationships/hyperlink" Target="https://wol.jw.org/en/wol/mp/r1/lp-e/nwtsty/2026/46" TargetMode="External" Id="rId1101"/><Relationship Type="http://schemas.openxmlformats.org/officeDocument/2006/relationships/hyperlink" Target="https://wol.jw.org/en/wol/d/r1/lp-e/1001070210" TargetMode="External" Id="rId1102"/><Relationship Type="http://schemas.openxmlformats.org/officeDocument/2006/relationships/hyperlink" Target="https://wol.jw.org/ta/wol/d/r122/lp-tl/1001070210" TargetMode="External" Id="rId1103"/><Relationship Type="http://schemas.openxmlformats.org/officeDocument/2006/relationships/hyperlink" Target="https://wol.jw.org/en/wol/mp/r1/lp-e/nwtsty/2026/46" TargetMode="External" Id="rId1104"/><Relationship Type="http://schemas.openxmlformats.org/officeDocument/2006/relationships/hyperlink" Target="https://wol.jw.org/en/wol/d/r1/lp-e/1001070210" TargetMode="External" Id="rId1105"/><Relationship Type="http://schemas.openxmlformats.org/officeDocument/2006/relationships/hyperlink" Target="https://wol.jw.org/ta/wol/d/r122/lp-tl/1001070210" TargetMode="External" Id="rId1106"/><Relationship Type="http://schemas.openxmlformats.org/officeDocument/2006/relationships/hyperlink" Target="https://wol.jw.org/en/wol/mp/r1/lp-e/nwtsty/2026/46" TargetMode="External" Id="rId1107"/><Relationship Type="http://schemas.openxmlformats.org/officeDocument/2006/relationships/hyperlink" Target="https://wol.jw.org/en/wol/d/r1/lp-e/1001070210" TargetMode="External" Id="rId1108"/><Relationship Type="http://schemas.openxmlformats.org/officeDocument/2006/relationships/hyperlink" Target="https://wol.jw.org/ta/wol/d/r122/lp-tl/1001070210" TargetMode="External" Id="rId1109"/><Relationship Type="http://schemas.openxmlformats.org/officeDocument/2006/relationships/hyperlink" Target="https://wol.jw.org/en/wol/mp/r1/lp-e/nwtsty/2026/46" TargetMode="External" Id="rId1110"/><Relationship Type="http://schemas.openxmlformats.org/officeDocument/2006/relationships/hyperlink" Target="https://wol.jw.org/en/wol/d/r1/lp-e/1001070210" TargetMode="External" Id="rId1111"/><Relationship Type="http://schemas.openxmlformats.org/officeDocument/2006/relationships/hyperlink" Target="https://wol.jw.org/ta/wol/d/r122/lp-tl/1001070210" TargetMode="External" Id="rId1112"/><Relationship Type="http://schemas.openxmlformats.org/officeDocument/2006/relationships/hyperlink" Target="https://wol.jw.org/en/wol/mp/r1/lp-e/nwtsty/2026/46" TargetMode="External" Id="rId1113"/><Relationship Type="http://schemas.openxmlformats.org/officeDocument/2006/relationships/hyperlink" Target="https://wol.jw.org/en/wol/d/r1/lp-e/1001070210" TargetMode="External" Id="rId1114"/><Relationship Type="http://schemas.openxmlformats.org/officeDocument/2006/relationships/hyperlink" Target="https://wol.jw.org/ta/wol/d/r122/lp-tl/1001070210" TargetMode="External" Id="rId1115"/><Relationship Type="http://schemas.openxmlformats.org/officeDocument/2006/relationships/hyperlink" Target="https://wol.jw.org/en/wol/mp/r1/lp-e/nwtsty/2026/46" TargetMode="External" Id="rId1116"/><Relationship Type="http://schemas.openxmlformats.org/officeDocument/2006/relationships/hyperlink" Target="https://wol.jw.org/en/wol/d/r1/lp-e/1001070210" TargetMode="External" Id="rId1117"/><Relationship Type="http://schemas.openxmlformats.org/officeDocument/2006/relationships/hyperlink" Target="https://wol.jw.org/ta/wol/d/r122/lp-tl/1001070210" TargetMode="External" Id="rId1118"/><Relationship Type="http://schemas.openxmlformats.org/officeDocument/2006/relationships/hyperlink" Target="https://wol.jw.org/en/wol/mp/r1/lp-e/nwtsty/2026/46" TargetMode="External" Id="rId1119"/><Relationship Type="http://schemas.openxmlformats.org/officeDocument/2006/relationships/hyperlink" Target="https://wol.jw.org/en/wol/d/r1/lp-e/1001070210" TargetMode="External" Id="rId1120"/><Relationship Type="http://schemas.openxmlformats.org/officeDocument/2006/relationships/hyperlink" Target="https://wol.jw.org/ta/wol/d/r122/lp-tl/1001070210" TargetMode="External" Id="rId1121"/><Relationship Type="http://schemas.openxmlformats.org/officeDocument/2006/relationships/hyperlink" Target="https://wol.jw.org/en/wol/mp/r1/lp-e/nwtsty/2026/46" TargetMode="External" Id="rId1122"/><Relationship Type="http://schemas.openxmlformats.org/officeDocument/2006/relationships/hyperlink" Target="https://wol.jw.org/en/wol/d/r1/lp-e/1001070210" TargetMode="External" Id="rId1123"/><Relationship Type="http://schemas.openxmlformats.org/officeDocument/2006/relationships/hyperlink" Target="https://wol.jw.org/ta/wol/d/r122/lp-tl/1001070210" TargetMode="External" Id="rId1124"/><Relationship Type="http://schemas.openxmlformats.org/officeDocument/2006/relationships/hyperlink" Target="https://wol.jw.org/en/wol/mp/r1/lp-e/nwtsty/2026/46" TargetMode="External" Id="rId1125"/><Relationship Type="http://schemas.openxmlformats.org/officeDocument/2006/relationships/hyperlink" Target="https://wol.jw.org/en/wol/d/r1/lp-e/1001070210" TargetMode="External" Id="rId1126"/><Relationship Type="http://schemas.openxmlformats.org/officeDocument/2006/relationships/hyperlink" Target="https://wol.jw.org/ta/wol/d/r122/lp-tl/1001070210" TargetMode="External" Id="rId1127"/><Relationship Type="http://schemas.openxmlformats.org/officeDocument/2006/relationships/hyperlink" Target="https://wol.jw.org/en/wol/mp/r1/lp-e/nwtsty/2026/46" TargetMode="External" Id="rId1128"/><Relationship Type="http://schemas.openxmlformats.org/officeDocument/2006/relationships/hyperlink" Target="https://wol.jw.org/en/wol/d/r1/lp-e/1001070210" TargetMode="External" Id="rId1129"/><Relationship Type="http://schemas.openxmlformats.org/officeDocument/2006/relationships/hyperlink" Target="https://wol.jw.org/ta/wol/d/r122/lp-tl/1001070210" TargetMode="External" Id="rId1130"/><Relationship Type="http://schemas.openxmlformats.org/officeDocument/2006/relationships/hyperlink" Target="https://wol.jw.org/en/wol/mp/r1/lp-e/nwtsty/2026/46" TargetMode="External" Id="rId1131"/><Relationship Type="http://schemas.openxmlformats.org/officeDocument/2006/relationships/hyperlink" Target="https://wol.jw.org/en/wol/d/r1/lp-e/1001070210" TargetMode="External" Id="rId1132"/><Relationship Type="http://schemas.openxmlformats.org/officeDocument/2006/relationships/hyperlink" Target="https://wol.jw.org/ta/wol/d/r122/lp-tl/1001070210" TargetMode="External" Id="rId1133"/><Relationship Type="http://schemas.openxmlformats.org/officeDocument/2006/relationships/hyperlink" Target="https://wol.jw.org/en/wol/mp/r1/lp-e/nwtsty/2026/46" TargetMode="External" Id="rId1134"/><Relationship Type="http://schemas.openxmlformats.org/officeDocument/2006/relationships/hyperlink" Target="https://wol.jw.org/en/wol/d/r1/lp-e/1001070210" TargetMode="External" Id="rId1135"/><Relationship Type="http://schemas.openxmlformats.org/officeDocument/2006/relationships/hyperlink" Target="https://wol.jw.org/ta/wol/d/r122/lp-tl/1001070210" TargetMode="External" Id="rId1136"/><Relationship Type="http://schemas.openxmlformats.org/officeDocument/2006/relationships/hyperlink" Target="https://wol.jw.org/en/wol/mp/r1/lp-e/nwtsty/2026/46" TargetMode="External" Id="rId1137"/><Relationship Type="http://schemas.openxmlformats.org/officeDocument/2006/relationships/hyperlink" Target="https://wol.jw.org/en/wol/d/r1/lp-e/1001070210" TargetMode="External" Id="rId1138"/><Relationship Type="http://schemas.openxmlformats.org/officeDocument/2006/relationships/hyperlink" Target="https://wol.jw.org/ta/wol/d/r122/lp-tl/1001070210" TargetMode="External" Id="rId1139"/><Relationship Type="http://schemas.openxmlformats.org/officeDocument/2006/relationships/hyperlink" Target="https://wol.jw.org/en/wol/mp/r1/lp-e/nwtsty/2026/46" TargetMode="External" Id="rId1140"/><Relationship Type="http://schemas.openxmlformats.org/officeDocument/2006/relationships/hyperlink" Target="https://wol.jw.org/en/wol/d/r1/lp-e/1001070210" TargetMode="External" Id="rId1141"/><Relationship Type="http://schemas.openxmlformats.org/officeDocument/2006/relationships/hyperlink" Target="https://wol.jw.org/ta/wol/d/r122/lp-tl/1001070210" TargetMode="External" Id="rId1142"/><Relationship Type="http://schemas.openxmlformats.org/officeDocument/2006/relationships/hyperlink" Target="https://wol.jw.org/en/wol/mp/r1/lp-e/nwtsty/2026/46" TargetMode="External" Id="rId1143"/><Relationship Type="http://schemas.openxmlformats.org/officeDocument/2006/relationships/hyperlink" Target="https://wol.jw.org/en/wol/d/r1/lp-e/1001070210" TargetMode="External" Id="rId1144"/><Relationship Type="http://schemas.openxmlformats.org/officeDocument/2006/relationships/hyperlink" Target="https://wol.jw.org/ta/wol/d/r122/lp-tl/1001070210" TargetMode="External" Id="rId1145"/><Relationship Type="http://schemas.openxmlformats.org/officeDocument/2006/relationships/hyperlink" Target="https://wol.jw.org/en/wol/mp/r1/lp-e/nwtsty/2026/46" TargetMode="External" Id="rId1146"/><Relationship Type="http://schemas.openxmlformats.org/officeDocument/2006/relationships/hyperlink" Target="https://wol.jw.org/en/wol/d/r1/lp-e/1001070210" TargetMode="External" Id="rId1147"/><Relationship Type="http://schemas.openxmlformats.org/officeDocument/2006/relationships/hyperlink" Target="https://wol.jw.org/ta/wol/d/r122/lp-tl/1001070210" TargetMode="External" Id="rId1148"/><Relationship Type="http://schemas.openxmlformats.org/officeDocument/2006/relationships/hyperlink" Target="https://wol.jw.org/en/wol/mp/r1/lp-e/nwtsty/2026/46" TargetMode="External" Id="rId1149"/><Relationship Type="http://schemas.openxmlformats.org/officeDocument/2006/relationships/hyperlink" Target="https://wol.jw.org/en/wol/d/r1/lp-e/1001070211" TargetMode="External" Id="rId1150"/><Relationship Type="http://schemas.openxmlformats.org/officeDocument/2006/relationships/hyperlink" Target="https://wol.jw.org/ta/wol/d/r122/lp-tl/1001070211" TargetMode="External" Id="rId1151"/><Relationship Type="http://schemas.openxmlformats.org/officeDocument/2006/relationships/hyperlink" Target="https://wol.jw.org/en/wol/mp/r1/lp-e/nwtsty/2026/53" TargetMode="External" Id="rId1152"/><Relationship Type="http://schemas.openxmlformats.org/officeDocument/2006/relationships/hyperlink" Target="https://wol.jw.org/en/wol/d/r1/lp-e/1001070211" TargetMode="External" Id="rId1153"/><Relationship Type="http://schemas.openxmlformats.org/officeDocument/2006/relationships/hyperlink" Target="https://wol.jw.org/ta/wol/d/r122/lp-tl/1001070211" TargetMode="External" Id="rId1154"/><Relationship Type="http://schemas.openxmlformats.org/officeDocument/2006/relationships/hyperlink" Target="https://wol.jw.org/en/wol/mp/r1/lp-e/nwtsty/2026/50" TargetMode="External" Id="rId1155"/><Relationship Type="http://schemas.openxmlformats.org/officeDocument/2006/relationships/hyperlink" Target="https://wol.jw.org/en/wol/d/r1/lp-e/1001070211" TargetMode="External" Id="rId1156"/><Relationship Type="http://schemas.openxmlformats.org/officeDocument/2006/relationships/hyperlink" Target="https://wol.jw.org/ta/wol/d/r122/lp-tl/1001070211" TargetMode="External" Id="rId1157"/><Relationship Type="http://schemas.openxmlformats.org/officeDocument/2006/relationships/hyperlink" Target="https://wol.jw.org/en/wol/mp/r1/lp-e/nwtsty/2026/50" TargetMode="External" Id="rId1158"/><Relationship Type="http://schemas.openxmlformats.org/officeDocument/2006/relationships/hyperlink" Target="https://wol.jw.org/en/wol/d/r1/lp-e/1001070211" TargetMode="External" Id="rId1159"/><Relationship Type="http://schemas.openxmlformats.org/officeDocument/2006/relationships/hyperlink" Target="https://wol.jw.org/ta/wol/d/r122/lp-tl/1001070211" TargetMode="External" Id="rId1160"/><Relationship Type="http://schemas.openxmlformats.org/officeDocument/2006/relationships/hyperlink" Target="https://wol.jw.org/en/wol/mp/r1/lp-e/nwtsty/2026/50" TargetMode="External" Id="rId1161"/><Relationship Type="http://schemas.openxmlformats.org/officeDocument/2006/relationships/hyperlink" Target="https://wol.jw.org/en/wol/d/r1/lp-e/1001070211" TargetMode="External" Id="rId1162"/><Relationship Type="http://schemas.openxmlformats.org/officeDocument/2006/relationships/hyperlink" Target="https://wol.jw.org/ta/wol/d/r122/lp-tl/1001070211" TargetMode="External" Id="rId1163"/><Relationship Type="http://schemas.openxmlformats.org/officeDocument/2006/relationships/hyperlink" Target="https://wol.jw.org/en/wol/mp/r1/lp-e/nwtsty/2026/50" TargetMode="External" Id="rId1164"/><Relationship Type="http://schemas.openxmlformats.org/officeDocument/2006/relationships/hyperlink" Target="https://wol.jw.org/en/wol/d/r1/lp-e/1001070211" TargetMode="External" Id="rId1165"/><Relationship Type="http://schemas.openxmlformats.org/officeDocument/2006/relationships/hyperlink" Target="https://wol.jw.org/ta/wol/d/r122/lp-tl/1001070211" TargetMode="External" Id="rId1166"/><Relationship Type="http://schemas.openxmlformats.org/officeDocument/2006/relationships/hyperlink" Target="https://wol.jw.org/en/wol/mp/r1/lp-e/nwtsty/2026/50" TargetMode="External" Id="rId1167"/><Relationship Type="http://schemas.openxmlformats.org/officeDocument/2006/relationships/hyperlink" Target="https://wol.jw.org/en/wol/d/r1/lp-e/1001070211" TargetMode="External" Id="rId1168"/><Relationship Type="http://schemas.openxmlformats.org/officeDocument/2006/relationships/hyperlink" Target="https://wol.jw.org/ta/wol/d/r122/lp-tl/1001070211" TargetMode="External" Id="rId1169"/><Relationship Type="http://schemas.openxmlformats.org/officeDocument/2006/relationships/hyperlink" Target="https://wol.jw.org/en/wol/mp/r1/lp-e/nwtsty/2026/50" TargetMode="External" Id="rId1170"/><Relationship Type="http://schemas.openxmlformats.org/officeDocument/2006/relationships/hyperlink" Target="https://wol.jw.org/en/wol/d/r1/lp-e/1001070211" TargetMode="External" Id="rId1171"/><Relationship Type="http://schemas.openxmlformats.org/officeDocument/2006/relationships/hyperlink" Target="https://wol.jw.org/ta/wol/d/r122/lp-tl/1001070211" TargetMode="External" Id="rId1172"/><Relationship Type="http://schemas.openxmlformats.org/officeDocument/2006/relationships/hyperlink" Target="https://wol.jw.org/en/wol/mp/r1/lp-e/nwtsty/2026/50" TargetMode="External" Id="rId1173"/><Relationship Type="http://schemas.openxmlformats.org/officeDocument/2006/relationships/hyperlink" Target="https://wol.jw.org/en/wol/d/r1/lp-e/1001070211" TargetMode="External" Id="rId1174"/><Relationship Type="http://schemas.openxmlformats.org/officeDocument/2006/relationships/hyperlink" Target="https://wol.jw.org/ta/wol/d/r122/lp-tl/1001070211" TargetMode="External" Id="rId1175"/><Relationship Type="http://schemas.openxmlformats.org/officeDocument/2006/relationships/hyperlink" Target="https://wol.jw.org/en/wol/mp/r1/lp-e/nwtsty/2026/50" TargetMode="External" Id="rId1176"/><Relationship Type="http://schemas.openxmlformats.org/officeDocument/2006/relationships/hyperlink" Target="https://wol.jw.org/en/wol/d/r1/lp-e/1001070211" TargetMode="External" Id="rId1177"/><Relationship Type="http://schemas.openxmlformats.org/officeDocument/2006/relationships/hyperlink" Target="https://wol.jw.org/ta/wol/d/r122/lp-tl/1001070211" TargetMode="External" Id="rId1178"/><Relationship Type="http://schemas.openxmlformats.org/officeDocument/2006/relationships/hyperlink" Target="https://wol.jw.org/en/wol/mp/r1/lp-e/nwtsty/2026/50" TargetMode="External" Id="rId1179"/><Relationship Type="http://schemas.openxmlformats.org/officeDocument/2006/relationships/hyperlink" Target="https://wol.jw.org/en/wol/d/r1/lp-e/1001070211" TargetMode="External" Id="rId1180"/><Relationship Type="http://schemas.openxmlformats.org/officeDocument/2006/relationships/hyperlink" Target="https://wol.jw.org/ta/wol/d/r122/lp-tl/1001070211" TargetMode="External" Id="rId1181"/><Relationship Type="http://schemas.openxmlformats.org/officeDocument/2006/relationships/hyperlink" Target="https://wol.jw.org/en/wol/mp/r1/lp-e/nwtsty/2026/50" TargetMode="External" Id="rId1182"/><Relationship Type="http://schemas.openxmlformats.org/officeDocument/2006/relationships/hyperlink" Target="https://wol.jw.org/en/wol/d/r1/lp-e/1001070211" TargetMode="External" Id="rId1183"/><Relationship Type="http://schemas.openxmlformats.org/officeDocument/2006/relationships/hyperlink" Target="https://wol.jw.org/ta/wol/d/r122/lp-tl/1001070211" TargetMode="External" Id="rId1184"/><Relationship Type="http://schemas.openxmlformats.org/officeDocument/2006/relationships/hyperlink" Target="https://wol.jw.org/en/wol/mp/r1/lp-e/nwtsty/2026/50" TargetMode="External" Id="rId1185"/><Relationship Type="http://schemas.openxmlformats.org/officeDocument/2006/relationships/hyperlink" Target="https://wol.jw.org/en/wol/d/r1/lp-e/1001070211" TargetMode="External" Id="rId1186"/><Relationship Type="http://schemas.openxmlformats.org/officeDocument/2006/relationships/hyperlink" Target="https://wol.jw.org/ta/wol/d/r122/lp-tl/1001070211" TargetMode="External" Id="rId1187"/><Relationship Type="http://schemas.openxmlformats.org/officeDocument/2006/relationships/hyperlink" Target="https://wol.jw.org/en/wol/mp/r1/lp-e/nwtsty/2026/50" TargetMode="External" Id="rId1188"/><Relationship Type="http://schemas.openxmlformats.org/officeDocument/2006/relationships/hyperlink" Target="https://wol.jw.org/en/wol/d/r1/lp-e/1001070211" TargetMode="External" Id="rId1189"/><Relationship Type="http://schemas.openxmlformats.org/officeDocument/2006/relationships/hyperlink" Target="https://wol.jw.org/ta/wol/d/r122/lp-tl/1001070211" TargetMode="External" Id="rId1190"/><Relationship Type="http://schemas.openxmlformats.org/officeDocument/2006/relationships/hyperlink" Target="https://wol.jw.org/en/wol/mp/r1/lp-e/nwtsty/2026/50" TargetMode="External" Id="rId1191"/><Relationship Type="http://schemas.openxmlformats.org/officeDocument/2006/relationships/hyperlink" Target="https://wol.jw.org/en/wol/d/r1/lp-e/1001070211" TargetMode="External" Id="rId1192"/><Relationship Type="http://schemas.openxmlformats.org/officeDocument/2006/relationships/hyperlink" Target="https://wol.jw.org/ta/wol/d/r122/lp-tl/1001070211" TargetMode="External" Id="rId1193"/><Relationship Type="http://schemas.openxmlformats.org/officeDocument/2006/relationships/hyperlink" Target="https://wol.jw.org/en/wol/mp/r1/lp-e/nwtsty/2026/50" TargetMode="External" Id="rId1194"/><Relationship Type="http://schemas.openxmlformats.org/officeDocument/2006/relationships/hyperlink" Target="https://wol.jw.org/en/wol/d/r1/lp-e/1001070211" TargetMode="External" Id="rId1195"/><Relationship Type="http://schemas.openxmlformats.org/officeDocument/2006/relationships/hyperlink" Target="https://wol.jw.org/ta/wol/d/r122/lp-tl/1001070211" TargetMode="External" Id="rId1196"/><Relationship Type="http://schemas.openxmlformats.org/officeDocument/2006/relationships/hyperlink" Target="https://wol.jw.org/en/wol/mp/r1/lp-e/nwtsty/2026/50" TargetMode="External" Id="rId1197"/><Relationship Type="http://schemas.openxmlformats.org/officeDocument/2006/relationships/hyperlink" Target="https://wol.jw.org/en/wol/d/r1/lp-e/1001070211" TargetMode="External" Id="rId1198"/><Relationship Type="http://schemas.openxmlformats.org/officeDocument/2006/relationships/hyperlink" Target="https://wol.jw.org/ta/wol/d/r122/lp-tl/1001070211" TargetMode="External" Id="rId1199"/><Relationship Type="http://schemas.openxmlformats.org/officeDocument/2006/relationships/hyperlink" Target="https://wol.jw.org/en/wol/mp/r1/lp-e/nwtsty/2026/50" TargetMode="External" Id="rId1200"/><Relationship Type="http://schemas.openxmlformats.org/officeDocument/2006/relationships/hyperlink" Target="https://wol.jw.org/en/wol/d/r1/lp-e/1001070211" TargetMode="External" Id="rId1201"/><Relationship Type="http://schemas.openxmlformats.org/officeDocument/2006/relationships/hyperlink" Target="https://wol.jw.org/ta/wol/d/r122/lp-tl/1001070211" TargetMode="External" Id="rId1202"/><Relationship Type="http://schemas.openxmlformats.org/officeDocument/2006/relationships/hyperlink" Target="https://wol.jw.org/en/wol/mp/r1/lp-e/nwtsty/2026/50" TargetMode="External" Id="rId1203"/><Relationship Type="http://schemas.openxmlformats.org/officeDocument/2006/relationships/hyperlink" Target="https://wol.jw.org/en/wol/d/r1/lp-e/1001070211" TargetMode="External" Id="rId1204"/><Relationship Type="http://schemas.openxmlformats.org/officeDocument/2006/relationships/hyperlink" Target="https://wol.jw.org/ta/wol/d/r122/lp-tl/1001070211" TargetMode="External" Id="rId1205"/><Relationship Type="http://schemas.openxmlformats.org/officeDocument/2006/relationships/hyperlink" Target="https://wol.jw.org/en/wol/mp/r1/lp-e/nwtsty/2026/50" TargetMode="External" Id="rId1206"/><Relationship Type="http://schemas.openxmlformats.org/officeDocument/2006/relationships/hyperlink" Target="https://wol.jw.org/en/wol/d/r1/lp-e/1001070211" TargetMode="External" Id="rId1207"/><Relationship Type="http://schemas.openxmlformats.org/officeDocument/2006/relationships/hyperlink" Target="https://wol.jw.org/ta/wol/d/r122/lp-tl/1001070211" TargetMode="External" Id="rId1208"/><Relationship Type="http://schemas.openxmlformats.org/officeDocument/2006/relationships/hyperlink" Target="https://wol.jw.org/en/wol/mp/r1/lp-e/nwtsty/2026/50" TargetMode="External" Id="rId1209"/><Relationship Type="http://schemas.openxmlformats.org/officeDocument/2006/relationships/hyperlink" Target="https://wol.jw.org/en/wol/d/r1/lp-e/1001070211" TargetMode="External" Id="rId1210"/><Relationship Type="http://schemas.openxmlformats.org/officeDocument/2006/relationships/hyperlink" Target="https://wol.jw.org/ta/wol/d/r122/lp-tl/1001070211" TargetMode="External" Id="rId1211"/><Relationship Type="http://schemas.openxmlformats.org/officeDocument/2006/relationships/hyperlink" Target="https://wol.jw.org/en/wol/mp/r1/lp-e/nwtsty/2026/50" TargetMode="External" Id="rId1212"/><Relationship Type="http://schemas.openxmlformats.org/officeDocument/2006/relationships/hyperlink" Target="https://wol.jw.org/en/wol/d/r1/lp-e/1001070211" TargetMode="External" Id="rId1213"/><Relationship Type="http://schemas.openxmlformats.org/officeDocument/2006/relationships/hyperlink" Target="https://wol.jw.org/ta/wol/d/r122/lp-tl/1001070211" TargetMode="External" Id="rId1214"/><Relationship Type="http://schemas.openxmlformats.org/officeDocument/2006/relationships/hyperlink" Target="https://wol.jw.org/en/wol/mp/r1/lp-e/nwtsty/2026/50" TargetMode="External" Id="rId1215"/><Relationship Type="http://schemas.openxmlformats.org/officeDocument/2006/relationships/hyperlink" Target="https://wol.jw.org/en/wol/d/r1/lp-e/1001070211" TargetMode="External" Id="rId1216"/><Relationship Type="http://schemas.openxmlformats.org/officeDocument/2006/relationships/hyperlink" Target="https://wol.jw.org/ta/wol/d/r122/lp-tl/1001070211" TargetMode="External" Id="rId1217"/><Relationship Type="http://schemas.openxmlformats.org/officeDocument/2006/relationships/hyperlink" Target="https://wol.jw.org/en/wol/mp/r1/lp-e/nwtsty/2026/50" TargetMode="External" Id="rId1218"/><Relationship Type="http://schemas.openxmlformats.org/officeDocument/2006/relationships/hyperlink" Target="https://wol.jw.org/en/wol/d/r1/lp-e/1001070211" TargetMode="External" Id="rId1219"/><Relationship Type="http://schemas.openxmlformats.org/officeDocument/2006/relationships/hyperlink" Target="https://wol.jw.org/ta/wol/d/r122/lp-tl/1001070211" TargetMode="External" Id="rId1220"/><Relationship Type="http://schemas.openxmlformats.org/officeDocument/2006/relationships/hyperlink" Target="https://wol.jw.org/en/wol/mp/r1/lp-e/nwtsty/2026/50" TargetMode="External" Id="rId1221"/><Relationship Type="http://schemas.openxmlformats.org/officeDocument/2006/relationships/hyperlink" Target="https://wol.jw.org/en/wol/d/r1/lp-e/1001070211" TargetMode="External" Id="rId1222"/><Relationship Type="http://schemas.openxmlformats.org/officeDocument/2006/relationships/hyperlink" Target="https://wol.jw.org/ta/wol/d/r122/lp-tl/1001070211" TargetMode="External" Id="rId1223"/><Relationship Type="http://schemas.openxmlformats.org/officeDocument/2006/relationships/hyperlink" Target="https://wol.jw.org/en/wol/mp/r1/lp-e/nwtsty/2026/50" TargetMode="External" Id="rId1224"/><Relationship Type="http://schemas.openxmlformats.org/officeDocument/2006/relationships/hyperlink" Target="https://wol.jw.org/en/wol/d/r1/lp-e/1001070211" TargetMode="External" Id="rId1225"/><Relationship Type="http://schemas.openxmlformats.org/officeDocument/2006/relationships/hyperlink" Target="https://wol.jw.org/ta/wol/d/r122/lp-tl/1001070211" TargetMode="External" Id="rId1226"/><Relationship Type="http://schemas.openxmlformats.org/officeDocument/2006/relationships/hyperlink" Target="https://wol.jw.org/en/wol/mp/r1/lp-e/nwtsty/2026/50" TargetMode="External" Id="rId1227"/><Relationship Type="http://schemas.openxmlformats.org/officeDocument/2006/relationships/hyperlink" Target="https://wol.jw.org/en/wol/d/r1/lp-e/1001070211" TargetMode="External" Id="rId1228"/><Relationship Type="http://schemas.openxmlformats.org/officeDocument/2006/relationships/hyperlink" Target="https://wol.jw.org/ta/wol/d/r122/lp-tl/1001070211" TargetMode="External" Id="rId1229"/><Relationship Type="http://schemas.openxmlformats.org/officeDocument/2006/relationships/hyperlink" Target="https://wol.jw.org/en/wol/mp/r1/lp-e/nwtsty/2026/50" TargetMode="External" Id="rId1230"/><Relationship Type="http://schemas.openxmlformats.org/officeDocument/2006/relationships/hyperlink" Target="https://wol.jw.org/en/wol/d/r1/lp-e/1001070212" TargetMode="External" Id="rId1231"/><Relationship Type="http://schemas.openxmlformats.org/officeDocument/2006/relationships/hyperlink" Target="https://wol.jw.org/ta/wol/d/r122/lp-tl/1001070212" TargetMode="External" Id="rId1232"/><Relationship Type="http://schemas.openxmlformats.org/officeDocument/2006/relationships/hyperlink" Target="https://wol.jw.org/en/wol/mp/r1/lp-e/nwtsty/2026/57" TargetMode="External" Id="rId1233"/><Relationship Type="http://schemas.openxmlformats.org/officeDocument/2006/relationships/hyperlink" Target="https://wol.jw.org/en/wol/d/r1/lp-e/1001070212" TargetMode="External" Id="rId1234"/><Relationship Type="http://schemas.openxmlformats.org/officeDocument/2006/relationships/hyperlink" Target="https://wol.jw.org/ta/wol/d/r122/lp-tl/1001070212" TargetMode="External" Id="rId1235"/><Relationship Type="http://schemas.openxmlformats.org/officeDocument/2006/relationships/hyperlink" Target="https://wol.jw.org/en/wol/mp/r1/lp-e/nwtsty/2026/54" TargetMode="External" Id="rId1236"/><Relationship Type="http://schemas.openxmlformats.org/officeDocument/2006/relationships/hyperlink" Target="https://wol.jw.org/en/wol/d/r1/lp-e/1001070212" TargetMode="External" Id="rId1237"/><Relationship Type="http://schemas.openxmlformats.org/officeDocument/2006/relationships/hyperlink" Target="https://wol.jw.org/ta/wol/d/r122/lp-tl/1001070212" TargetMode="External" Id="rId1238"/><Relationship Type="http://schemas.openxmlformats.org/officeDocument/2006/relationships/hyperlink" Target="https://wol.jw.org/en/wol/mp/r1/lp-e/nwtsty/2026/54" TargetMode="External" Id="rId1239"/><Relationship Type="http://schemas.openxmlformats.org/officeDocument/2006/relationships/hyperlink" Target="https://wol.jw.org/en/wol/d/r1/lp-e/1001070212" TargetMode="External" Id="rId1240"/><Relationship Type="http://schemas.openxmlformats.org/officeDocument/2006/relationships/hyperlink" Target="https://wol.jw.org/ta/wol/d/r122/lp-tl/1001070212" TargetMode="External" Id="rId1241"/><Relationship Type="http://schemas.openxmlformats.org/officeDocument/2006/relationships/hyperlink" Target="https://wol.jw.org/en/wol/mp/r1/lp-e/nwtsty/2026/54" TargetMode="External" Id="rId1242"/><Relationship Type="http://schemas.openxmlformats.org/officeDocument/2006/relationships/hyperlink" Target="https://wol.jw.org/en/wol/d/r1/lp-e/1001070212" TargetMode="External" Id="rId1243"/><Relationship Type="http://schemas.openxmlformats.org/officeDocument/2006/relationships/hyperlink" Target="https://wol.jw.org/ta/wol/d/r122/lp-tl/1001070212" TargetMode="External" Id="rId1244"/><Relationship Type="http://schemas.openxmlformats.org/officeDocument/2006/relationships/hyperlink" Target="https://wol.jw.org/en/wol/mp/r1/lp-e/nwtsty/2026/54" TargetMode="External" Id="rId1245"/><Relationship Type="http://schemas.openxmlformats.org/officeDocument/2006/relationships/hyperlink" Target="https://wol.jw.org/en/wol/d/r1/lp-e/1001070212" TargetMode="External" Id="rId1246"/><Relationship Type="http://schemas.openxmlformats.org/officeDocument/2006/relationships/hyperlink" Target="https://wol.jw.org/ta/wol/d/r122/lp-tl/1001070212" TargetMode="External" Id="rId1247"/><Relationship Type="http://schemas.openxmlformats.org/officeDocument/2006/relationships/hyperlink" Target="https://wol.jw.org/en/wol/mp/r1/lp-e/nwtsty/2026/54" TargetMode="External" Id="rId1248"/><Relationship Type="http://schemas.openxmlformats.org/officeDocument/2006/relationships/hyperlink" Target="https://wol.jw.org/en/wol/d/r1/lp-e/1001070212" TargetMode="External" Id="rId1249"/><Relationship Type="http://schemas.openxmlformats.org/officeDocument/2006/relationships/hyperlink" Target="https://wol.jw.org/ta/wol/d/r122/lp-tl/1001070212" TargetMode="External" Id="rId1250"/><Relationship Type="http://schemas.openxmlformats.org/officeDocument/2006/relationships/hyperlink" Target="https://wol.jw.org/en/wol/mp/r1/lp-e/nwtsty/2026/54" TargetMode="External" Id="rId1251"/><Relationship Type="http://schemas.openxmlformats.org/officeDocument/2006/relationships/hyperlink" Target="https://wol.jw.org/en/wol/d/r1/lp-e/1001070212" TargetMode="External" Id="rId1252"/><Relationship Type="http://schemas.openxmlformats.org/officeDocument/2006/relationships/hyperlink" Target="https://wol.jw.org/ta/wol/d/r122/lp-tl/1001070212" TargetMode="External" Id="rId1253"/><Relationship Type="http://schemas.openxmlformats.org/officeDocument/2006/relationships/hyperlink" Target="https://wol.jw.org/en/wol/mp/r1/lp-e/nwtsty/2026/54" TargetMode="External" Id="rId1254"/><Relationship Type="http://schemas.openxmlformats.org/officeDocument/2006/relationships/hyperlink" Target="https://wol.jw.org/en/wol/d/r1/lp-e/1001070212" TargetMode="External" Id="rId1255"/><Relationship Type="http://schemas.openxmlformats.org/officeDocument/2006/relationships/hyperlink" Target="https://wol.jw.org/ta/wol/d/r122/lp-tl/1001070212" TargetMode="External" Id="rId1256"/><Relationship Type="http://schemas.openxmlformats.org/officeDocument/2006/relationships/hyperlink" Target="https://wol.jw.org/en/wol/mp/r1/lp-e/nwtsty/2026/54" TargetMode="External" Id="rId1257"/><Relationship Type="http://schemas.openxmlformats.org/officeDocument/2006/relationships/hyperlink" Target="https://wol.jw.org/en/wol/d/r1/lp-e/1001070212" TargetMode="External" Id="rId1258"/><Relationship Type="http://schemas.openxmlformats.org/officeDocument/2006/relationships/hyperlink" Target="https://wol.jw.org/ta/wol/d/r122/lp-tl/1001070212" TargetMode="External" Id="rId1259"/><Relationship Type="http://schemas.openxmlformats.org/officeDocument/2006/relationships/hyperlink" Target="https://wol.jw.org/en/wol/mp/r1/lp-e/nwtsty/2026/54" TargetMode="External" Id="rId1260"/><Relationship Type="http://schemas.openxmlformats.org/officeDocument/2006/relationships/hyperlink" Target="https://wol.jw.org/en/wol/d/r1/lp-e/1001070212" TargetMode="External" Id="rId1261"/><Relationship Type="http://schemas.openxmlformats.org/officeDocument/2006/relationships/hyperlink" Target="https://wol.jw.org/ta/wol/d/r122/lp-tl/1001070212" TargetMode="External" Id="rId1262"/><Relationship Type="http://schemas.openxmlformats.org/officeDocument/2006/relationships/hyperlink" Target="https://wol.jw.org/en/wol/mp/r1/lp-e/nwtsty/2026/54" TargetMode="External" Id="rId1263"/><Relationship Type="http://schemas.openxmlformats.org/officeDocument/2006/relationships/hyperlink" Target="https://wol.jw.org/en/wol/d/r1/lp-e/1001070212" TargetMode="External" Id="rId1264"/><Relationship Type="http://schemas.openxmlformats.org/officeDocument/2006/relationships/hyperlink" Target="https://wol.jw.org/ta/wol/d/r122/lp-tl/1001070212" TargetMode="External" Id="rId1265"/><Relationship Type="http://schemas.openxmlformats.org/officeDocument/2006/relationships/hyperlink" Target="https://wol.jw.org/en/wol/mp/r1/lp-e/nwtsty/2026/54" TargetMode="External" Id="rId1266"/><Relationship Type="http://schemas.openxmlformats.org/officeDocument/2006/relationships/hyperlink" Target="https://wol.jw.org/en/wol/d/r1/lp-e/1001070212" TargetMode="External" Id="rId1267"/><Relationship Type="http://schemas.openxmlformats.org/officeDocument/2006/relationships/hyperlink" Target="https://wol.jw.org/ta/wol/d/r122/lp-tl/1001070212" TargetMode="External" Id="rId1268"/><Relationship Type="http://schemas.openxmlformats.org/officeDocument/2006/relationships/hyperlink" Target="https://wol.jw.org/en/wol/mp/r1/lp-e/nwtsty/2026/54" TargetMode="External" Id="rId1269"/><Relationship Type="http://schemas.openxmlformats.org/officeDocument/2006/relationships/hyperlink" Target="https://wol.jw.org/en/wol/d/r1/lp-e/1001070212" TargetMode="External" Id="rId1270"/><Relationship Type="http://schemas.openxmlformats.org/officeDocument/2006/relationships/hyperlink" Target="https://wol.jw.org/ta/wol/d/r122/lp-tl/1001070212" TargetMode="External" Id="rId1271"/><Relationship Type="http://schemas.openxmlformats.org/officeDocument/2006/relationships/hyperlink" Target="https://wol.jw.org/en/wol/mp/r1/lp-e/nwtsty/2026/54" TargetMode="External" Id="rId1272"/><Relationship Type="http://schemas.openxmlformats.org/officeDocument/2006/relationships/hyperlink" Target="https://wol.jw.org/en/wol/d/r1/lp-e/1001070212" TargetMode="External" Id="rId1273"/><Relationship Type="http://schemas.openxmlformats.org/officeDocument/2006/relationships/hyperlink" Target="https://wol.jw.org/ta/wol/d/r122/lp-tl/1001070212" TargetMode="External" Id="rId1274"/><Relationship Type="http://schemas.openxmlformats.org/officeDocument/2006/relationships/hyperlink" Target="https://wol.jw.org/en/wol/mp/r1/lp-e/nwtsty/2026/54" TargetMode="External" Id="rId1275"/><Relationship Type="http://schemas.openxmlformats.org/officeDocument/2006/relationships/hyperlink" Target="https://wol.jw.org/en/wol/d/r1/lp-e/1001070212" TargetMode="External" Id="rId1276"/><Relationship Type="http://schemas.openxmlformats.org/officeDocument/2006/relationships/hyperlink" Target="https://wol.jw.org/ta/wol/d/r122/lp-tl/1001070212" TargetMode="External" Id="rId1277"/><Relationship Type="http://schemas.openxmlformats.org/officeDocument/2006/relationships/hyperlink" Target="https://wol.jw.org/en/wol/mp/r1/lp-e/nwtsty/2026/54" TargetMode="External" Id="rId1278"/><Relationship Type="http://schemas.openxmlformats.org/officeDocument/2006/relationships/hyperlink" Target="https://wol.jw.org/en/wol/d/r1/lp-e/1001070212" TargetMode="External" Id="rId1279"/><Relationship Type="http://schemas.openxmlformats.org/officeDocument/2006/relationships/hyperlink" Target="https://wol.jw.org/ta/wol/d/r122/lp-tl/1001070212" TargetMode="External" Id="rId1280"/><Relationship Type="http://schemas.openxmlformats.org/officeDocument/2006/relationships/hyperlink" Target="https://wol.jw.org/en/wol/mp/r1/lp-e/nwtsty/2026/54" TargetMode="External" Id="rId1281"/><Relationship Type="http://schemas.openxmlformats.org/officeDocument/2006/relationships/hyperlink" Target="https://wol.jw.org/en/wol/d/r1/lp-e/1001070212" TargetMode="External" Id="rId1282"/><Relationship Type="http://schemas.openxmlformats.org/officeDocument/2006/relationships/hyperlink" Target="https://wol.jw.org/ta/wol/d/r122/lp-tl/1001070212" TargetMode="External" Id="rId1283"/><Relationship Type="http://schemas.openxmlformats.org/officeDocument/2006/relationships/hyperlink" Target="https://wol.jw.org/en/wol/mp/r1/lp-e/nwtsty/2026/54" TargetMode="External" Id="rId1284"/><Relationship Type="http://schemas.openxmlformats.org/officeDocument/2006/relationships/hyperlink" Target="https://wol.jw.org/en/wol/d/r1/lp-e/1001070212" TargetMode="External" Id="rId1285"/><Relationship Type="http://schemas.openxmlformats.org/officeDocument/2006/relationships/hyperlink" Target="https://wol.jw.org/ta/wol/d/r122/lp-tl/1001070212" TargetMode="External" Id="rId1286"/><Relationship Type="http://schemas.openxmlformats.org/officeDocument/2006/relationships/hyperlink" Target="https://wol.jw.org/en/wol/mp/r1/lp-e/nwtsty/2026/54" TargetMode="External" Id="rId1287"/><Relationship Type="http://schemas.openxmlformats.org/officeDocument/2006/relationships/hyperlink" Target="https://wol.jw.org/en/wol/d/r1/lp-e/1001070212" TargetMode="External" Id="rId1288"/><Relationship Type="http://schemas.openxmlformats.org/officeDocument/2006/relationships/hyperlink" Target="https://wol.jw.org/ta/wol/d/r122/lp-tl/1001070212" TargetMode="External" Id="rId1289"/><Relationship Type="http://schemas.openxmlformats.org/officeDocument/2006/relationships/hyperlink" Target="https://wol.jw.org/en/wol/mp/r1/lp-e/nwtsty/2026/54" TargetMode="External" Id="rId1290"/><Relationship Type="http://schemas.openxmlformats.org/officeDocument/2006/relationships/hyperlink" Target="https://wol.jw.org/en/wol/d/r1/lp-e/1001070212" TargetMode="External" Id="rId1291"/><Relationship Type="http://schemas.openxmlformats.org/officeDocument/2006/relationships/hyperlink" Target="https://wol.jw.org/ta/wol/d/r122/lp-tl/1001070212" TargetMode="External" Id="rId1292"/><Relationship Type="http://schemas.openxmlformats.org/officeDocument/2006/relationships/hyperlink" Target="https://wol.jw.org/en/wol/mp/r1/lp-e/nwtsty/2026/54" TargetMode="External" Id="rId1293"/><Relationship Type="http://schemas.openxmlformats.org/officeDocument/2006/relationships/hyperlink" Target="https://wol.jw.org/en/wol/d/r1/lp-e/1001070212" TargetMode="External" Id="rId1294"/><Relationship Type="http://schemas.openxmlformats.org/officeDocument/2006/relationships/hyperlink" Target="https://wol.jw.org/ta/wol/d/r122/lp-tl/1001070212" TargetMode="External" Id="rId1295"/><Relationship Type="http://schemas.openxmlformats.org/officeDocument/2006/relationships/hyperlink" Target="https://wol.jw.org/en/wol/mp/r1/lp-e/nwtsty/2026/54" TargetMode="External" Id="rId1296"/><Relationship Type="http://schemas.openxmlformats.org/officeDocument/2006/relationships/hyperlink" Target="https://wol.jw.org/en/wol/d/r1/lp-e/1001070212" TargetMode="External" Id="rId1297"/><Relationship Type="http://schemas.openxmlformats.org/officeDocument/2006/relationships/hyperlink" Target="https://wol.jw.org/ta/wol/d/r122/lp-tl/1001070212" TargetMode="External" Id="rId1298"/><Relationship Type="http://schemas.openxmlformats.org/officeDocument/2006/relationships/hyperlink" Target="https://wol.jw.org/en/wol/mp/r1/lp-e/nwtsty/2026/54" TargetMode="External" Id="rId1299"/><Relationship Type="http://schemas.openxmlformats.org/officeDocument/2006/relationships/hyperlink" Target="https://wol.jw.org/en/wol/d/r1/lp-e/1001070212" TargetMode="External" Id="rId1300"/><Relationship Type="http://schemas.openxmlformats.org/officeDocument/2006/relationships/hyperlink" Target="https://wol.jw.org/ta/wol/d/r122/lp-tl/1001070212" TargetMode="External" Id="rId1301"/><Relationship Type="http://schemas.openxmlformats.org/officeDocument/2006/relationships/hyperlink" Target="https://wol.jw.org/en/wol/mp/r1/lp-e/nwtsty/2026/54" TargetMode="External" Id="rId1302"/><Relationship Type="http://schemas.openxmlformats.org/officeDocument/2006/relationships/hyperlink" Target="https://wol.jw.org/en/wol/d/r1/lp-e/1001070213" TargetMode="External" Id="rId1303"/><Relationship Type="http://schemas.openxmlformats.org/officeDocument/2006/relationships/hyperlink" Target="https://wol.jw.org/ta/wol/d/r122/lp-tl/1001070213" TargetMode="External" Id="rId1304"/><Relationship Type="http://schemas.openxmlformats.org/officeDocument/2006/relationships/hyperlink" Target="https://wol.jw.org/en/wol/mp/r1/lp-e/nwtsty/2026/61" TargetMode="External" Id="rId1305"/><Relationship Type="http://schemas.openxmlformats.org/officeDocument/2006/relationships/hyperlink" Target="https://wol.jw.org/en/wol/d/r1/lp-e/1001070213" TargetMode="External" Id="rId1306"/><Relationship Type="http://schemas.openxmlformats.org/officeDocument/2006/relationships/hyperlink" Target="https://wol.jw.org/ta/wol/d/r122/lp-tl/1001070213" TargetMode="External" Id="rId1307"/><Relationship Type="http://schemas.openxmlformats.org/officeDocument/2006/relationships/hyperlink" Target="https://wol.jw.org/en/wol/mp/r1/lp-e/nwtsty/2026/58" TargetMode="External" Id="rId1308"/><Relationship Type="http://schemas.openxmlformats.org/officeDocument/2006/relationships/hyperlink" Target="https://wol.jw.org/en/wol/d/r1/lp-e/1001070213" TargetMode="External" Id="rId1309"/><Relationship Type="http://schemas.openxmlformats.org/officeDocument/2006/relationships/hyperlink" Target="https://wol.jw.org/ta/wol/d/r122/lp-tl/1001070213" TargetMode="External" Id="rId1310"/><Relationship Type="http://schemas.openxmlformats.org/officeDocument/2006/relationships/hyperlink" Target="https://wol.jw.org/en/wol/mp/r1/lp-e/nwtsty/2026/58" TargetMode="External" Id="rId1311"/><Relationship Type="http://schemas.openxmlformats.org/officeDocument/2006/relationships/hyperlink" Target="https://wol.jw.org/en/wol/d/r1/lp-e/1001070232" TargetMode="External" Id="rId1312"/><Relationship Type="http://schemas.openxmlformats.org/officeDocument/2006/relationships/hyperlink" Target="https://wol.jw.org/ta/wol/d/r122/lp-tl/1001070232" TargetMode="External" Id="rId1313"/><Relationship Type="http://schemas.openxmlformats.org/officeDocument/2006/relationships/hyperlink" Target="https://wol.jw.org/en/wol/d/r1/lp-e/1001070213" TargetMode="External" Id="rId1314"/><Relationship Type="http://schemas.openxmlformats.org/officeDocument/2006/relationships/hyperlink" Target="https://wol.jw.org/ta/wol/d/r122/lp-tl/1001070213" TargetMode="External" Id="rId1315"/><Relationship Type="http://schemas.openxmlformats.org/officeDocument/2006/relationships/hyperlink" Target="https://wol.jw.org/en/wol/mp/r1/lp-e/nwtsty/2026/58" TargetMode="External" Id="rId1316"/><Relationship Type="http://schemas.openxmlformats.org/officeDocument/2006/relationships/hyperlink" Target="https://wol.jw.org/en/wol/d/r1/lp-e/1001070213" TargetMode="External" Id="rId1317"/><Relationship Type="http://schemas.openxmlformats.org/officeDocument/2006/relationships/hyperlink" Target="https://wol.jw.org/ta/wol/d/r122/lp-tl/1001070213" TargetMode="External" Id="rId1318"/><Relationship Type="http://schemas.openxmlformats.org/officeDocument/2006/relationships/hyperlink" Target="https://wol.jw.org/en/wol/mp/r1/lp-e/nwtsty/2026/58" TargetMode="External" Id="rId1319"/><Relationship Type="http://schemas.openxmlformats.org/officeDocument/2006/relationships/hyperlink" Target="https://wol.jw.org/en/wol/d/r1/lp-e/1001070213" TargetMode="External" Id="rId1320"/><Relationship Type="http://schemas.openxmlformats.org/officeDocument/2006/relationships/hyperlink" Target="https://wol.jw.org/ta/wol/d/r122/lp-tl/1001070213" TargetMode="External" Id="rId1321"/><Relationship Type="http://schemas.openxmlformats.org/officeDocument/2006/relationships/hyperlink" Target="https://wol.jw.org/en/wol/mp/r1/lp-e/nwtsty/2026/58" TargetMode="External" Id="rId1322"/><Relationship Type="http://schemas.openxmlformats.org/officeDocument/2006/relationships/hyperlink" Target="https://wol.jw.org/en/wol/d/r1/lp-e/1001070213" TargetMode="External" Id="rId1323"/><Relationship Type="http://schemas.openxmlformats.org/officeDocument/2006/relationships/hyperlink" Target="https://wol.jw.org/ta/wol/d/r122/lp-tl/1001070213" TargetMode="External" Id="rId1324"/><Relationship Type="http://schemas.openxmlformats.org/officeDocument/2006/relationships/hyperlink" Target="https://wol.jw.org/en/wol/mp/r1/lp-e/nwtsty/2026/58" TargetMode="External" Id="rId1325"/><Relationship Type="http://schemas.openxmlformats.org/officeDocument/2006/relationships/hyperlink" Target="https://wol.jw.org/en/wol/d/r1/lp-e/1001070213" TargetMode="External" Id="rId1326"/><Relationship Type="http://schemas.openxmlformats.org/officeDocument/2006/relationships/hyperlink" Target="https://wol.jw.org/ta/wol/d/r122/lp-tl/1001070213" TargetMode="External" Id="rId1327"/><Relationship Type="http://schemas.openxmlformats.org/officeDocument/2006/relationships/hyperlink" Target="https://wol.jw.org/en/wol/mp/r1/lp-e/nwtsty/2026/58" TargetMode="External" Id="rId1328"/><Relationship Type="http://schemas.openxmlformats.org/officeDocument/2006/relationships/hyperlink" Target="https://wol.jw.org/en/wol/d/r1/lp-e/1001070213" TargetMode="External" Id="rId1329"/><Relationship Type="http://schemas.openxmlformats.org/officeDocument/2006/relationships/hyperlink" Target="https://wol.jw.org/ta/wol/d/r122/lp-tl/1001070213" TargetMode="External" Id="rId1330"/><Relationship Type="http://schemas.openxmlformats.org/officeDocument/2006/relationships/hyperlink" Target="https://wol.jw.org/en/wol/mp/r1/lp-e/nwtsty/2026/58" TargetMode="External" Id="rId1331"/><Relationship Type="http://schemas.openxmlformats.org/officeDocument/2006/relationships/hyperlink" Target="https://wol.jw.org/en/wol/d/r1/lp-e/1001070213" TargetMode="External" Id="rId1332"/><Relationship Type="http://schemas.openxmlformats.org/officeDocument/2006/relationships/hyperlink" Target="https://wol.jw.org/ta/wol/d/r122/lp-tl/1001070213" TargetMode="External" Id="rId1333"/><Relationship Type="http://schemas.openxmlformats.org/officeDocument/2006/relationships/hyperlink" Target="https://wol.jw.org/en/wol/mp/r1/lp-e/nwtsty/2026/58" TargetMode="External" Id="rId1334"/><Relationship Type="http://schemas.openxmlformats.org/officeDocument/2006/relationships/hyperlink" Target="https://wol.jw.org/en/wol/d/r1/lp-e/1001070213" TargetMode="External" Id="rId1335"/><Relationship Type="http://schemas.openxmlformats.org/officeDocument/2006/relationships/hyperlink" Target="https://wol.jw.org/ta/wol/d/r122/lp-tl/1001070213" TargetMode="External" Id="rId1336"/><Relationship Type="http://schemas.openxmlformats.org/officeDocument/2006/relationships/hyperlink" Target="https://wol.jw.org/en/wol/mp/r1/lp-e/nwtsty/2026/58" TargetMode="External" Id="rId1337"/><Relationship Type="http://schemas.openxmlformats.org/officeDocument/2006/relationships/hyperlink" Target="https://wol.jw.org/en/wol/d/r1/lp-e/1001070213" TargetMode="External" Id="rId1338"/><Relationship Type="http://schemas.openxmlformats.org/officeDocument/2006/relationships/hyperlink" Target="https://wol.jw.org/ta/wol/d/r122/lp-tl/1001070213" TargetMode="External" Id="rId1339"/><Relationship Type="http://schemas.openxmlformats.org/officeDocument/2006/relationships/hyperlink" Target="https://wol.jw.org/en/wol/mp/r1/lp-e/nwtsty/2026/58" TargetMode="External" Id="rId1340"/><Relationship Type="http://schemas.openxmlformats.org/officeDocument/2006/relationships/hyperlink" Target="https://wol.jw.org/en/wol/d/r1/lp-e/1001070213" TargetMode="External" Id="rId1341"/><Relationship Type="http://schemas.openxmlformats.org/officeDocument/2006/relationships/hyperlink" Target="https://wol.jw.org/ta/wol/d/r122/lp-tl/1001070213" TargetMode="External" Id="rId1342"/><Relationship Type="http://schemas.openxmlformats.org/officeDocument/2006/relationships/hyperlink" Target="https://wol.jw.org/en/wol/mp/r1/lp-e/nwtsty/2026/58" TargetMode="External" Id="rId1343"/><Relationship Type="http://schemas.openxmlformats.org/officeDocument/2006/relationships/hyperlink" Target="https://wol.jw.org/en/wol/d/r1/lp-e/1001070213" TargetMode="External" Id="rId1344"/><Relationship Type="http://schemas.openxmlformats.org/officeDocument/2006/relationships/hyperlink" Target="https://wol.jw.org/ta/wol/d/r122/lp-tl/1001070213" TargetMode="External" Id="rId1345"/><Relationship Type="http://schemas.openxmlformats.org/officeDocument/2006/relationships/hyperlink" Target="https://wol.jw.org/en/wol/mp/r1/lp-e/nwtsty/2026/58" TargetMode="External" Id="rId1346"/><Relationship Type="http://schemas.openxmlformats.org/officeDocument/2006/relationships/hyperlink" Target="https://wol.jw.org/en/wol/d/r1/lp-e/1001070213" TargetMode="External" Id="rId1347"/><Relationship Type="http://schemas.openxmlformats.org/officeDocument/2006/relationships/hyperlink" Target="https://wol.jw.org/ta/wol/d/r122/lp-tl/1001070213" TargetMode="External" Id="rId1348"/><Relationship Type="http://schemas.openxmlformats.org/officeDocument/2006/relationships/hyperlink" Target="https://wol.jw.org/en/wol/mp/r1/lp-e/nwtsty/2026/58" TargetMode="External" Id="rId1349"/><Relationship Type="http://schemas.openxmlformats.org/officeDocument/2006/relationships/hyperlink" Target="https://wol.jw.org/en/wol/d/r1/lp-e/1001070213" TargetMode="External" Id="rId1350"/><Relationship Type="http://schemas.openxmlformats.org/officeDocument/2006/relationships/hyperlink" Target="https://wol.jw.org/ta/wol/d/r122/lp-tl/1001070213" TargetMode="External" Id="rId1351"/><Relationship Type="http://schemas.openxmlformats.org/officeDocument/2006/relationships/hyperlink" Target="https://wol.jw.org/en/wol/mp/r1/lp-e/nwtsty/2026/58" TargetMode="External" Id="rId1352"/><Relationship Type="http://schemas.openxmlformats.org/officeDocument/2006/relationships/hyperlink" Target="https://wol.jw.org/en/wol/d/r1/lp-e/1001070213" TargetMode="External" Id="rId1353"/><Relationship Type="http://schemas.openxmlformats.org/officeDocument/2006/relationships/hyperlink" Target="https://wol.jw.org/ta/wol/d/r122/lp-tl/1001070213" TargetMode="External" Id="rId1354"/><Relationship Type="http://schemas.openxmlformats.org/officeDocument/2006/relationships/hyperlink" Target="https://wol.jw.org/en/wol/mp/r1/lp-e/nwtsty/2026/58" TargetMode="External" Id="rId1355"/><Relationship Type="http://schemas.openxmlformats.org/officeDocument/2006/relationships/hyperlink" Target="https://wol.jw.org/en/wol/d/r1/lp-e/1001070233" TargetMode="External" Id="rId1356"/><Relationship Type="http://schemas.openxmlformats.org/officeDocument/2006/relationships/hyperlink" Target="https://wol.jw.org/ta/wol/d/r122/lp-tl/1001070233" TargetMode="External" Id="rId1357"/><Relationship Type="http://schemas.openxmlformats.org/officeDocument/2006/relationships/hyperlink" Target="https://wol.jw.org/en/wol/d/r1/lp-e/1001070213" TargetMode="External" Id="rId1358"/><Relationship Type="http://schemas.openxmlformats.org/officeDocument/2006/relationships/hyperlink" Target="https://wol.jw.org/ta/wol/d/r122/lp-tl/1001070213" TargetMode="External" Id="rId1359"/><Relationship Type="http://schemas.openxmlformats.org/officeDocument/2006/relationships/hyperlink" Target="https://wol.jw.org/en/wol/mp/r1/lp-e/nwtsty/2026/58" TargetMode="External" Id="rId1360"/><Relationship Type="http://schemas.openxmlformats.org/officeDocument/2006/relationships/hyperlink" Target="https://wol.jw.org/en/wol/d/r1/lp-e/1001070213" TargetMode="External" Id="rId1361"/><Relationship Type="http://schemas.openxmlformats.org/officeDocument/2006/relationships/hyperlink" Target="https://wol.jw.org/ta/wol/d/r122/lp-tl/1001070213" TargetMode="External" Id="rId1362"/><Relationship Type="http://schemas.openxmlformats.org/officeDocument/2006/relationships/hyperlink" Target="https://wol.jw.org/en/wol/mp/r1/lp-e/nwtsty/2026/58" TargetMode="External" Id="rId1363"/><Relationship Type="http://schemas.openxmlformats.org/officeDocument/2006/relationships/hyperlink" Target="https://wol.jw.org/en/wol/d/r1/lp-e/1001070213" TargetMode="External" Id="rId1364"/><Relationship Type="http://schemas.openxmlformats.org/officeDocument/2006/relationships/hyperlink" Target="https://wol.jw.org/ta/wol/d/r122/lp-tl/1001070213" TargetMode="External" Id="rId1365"/><Relationship Type="http://schemas.openxmlformats.org/officeDocument/2006/relationships/hyperlink" Target="https://wol.jw.org/en/wol/mp/r1/lp-e/nwtsty/2026/58" TargetMode="External" Id="rId1366"/><Relationship Type="http://schemas.openxmlformats.org/officeDocument/2006/relationships/hyperlink" Target="https://wol.jw.org/en/wol/d/r1/lp-e/1001070233" TargetMode="External" Id="rId1367"/><Relationship Type="http://schemas.openxmlformats.org/officeDocument/2006/relationships/hyperlink" Target="https://wol.jw.org/ta/wol/d/r122/lp-tl/1001070233" TargetMode="External" Id="rId1368"/><Relationship Type="http://schemas.openxmlformats.org/officeDocument/2006/relationships/hyperlink" Target="https://wol.jw.org/en/wol/d/r1/lp-e/1001070213" TargetMode="External" Id="rId1369"/><Relationship Type="http://schemas.openxmlformats.org/officeDocument/2006/relationships/hyperlink" Target="https://wol.jw.org/ta/wol/d/r122/lp-tl/1001070213" TargetMode="External" Id="rId1370"/><Relationship Type="http://schemas.openxmlformats.org/officeDocument/2006/relationships/hyperlink" Target="https://wol.jw.org/en/wol/mp/r1/lp-e/nwtsty/2026/58" TargetMode="External" Id="rId1371"/><Relationship Type="http://schemas.openxmlformats.org/officeDocument/2006/relationships/hyperlink" Target="https://wol.jw.org/en/wol/d/r1/lp-e/1001070213" TargetMode="External" Id="rId1372"/><Relationship Type="http://schemas.openxmlformats.org/officeDocument/2006/relationships/hyperlink" Target="https://wol.jw.org/ta/wol/d/r122/lp-tl/1001070213" TargetMode="External" Id="rId1373"/><Relationship Type="http://schemas.openxmlformats.org/officeDocument/2006/relationships/hyperlink" Target="https://wol.jw.org/en/wol/mp/r1/lp-e/nwtsty/2026/58" TargetMode="External" Id="rId1374"/><Relationship Type="http://schemas.openxmlformats.org/officeDocument/2006/relationships/hyperlink" Target="https://wol.jw.org/en/wol/d/r1/lp-e/1001070214" TargetMode="External" Id="rId1375"/><Relationship Type="http://schemas.openxmlformats.org/officeDocument/2006/relationships/hyperlink" Target="https://wol.jw.org/ta/wol/d/r122/lp-tl/1001070214" TargetMode="External" Id="rId1376"/><Relationship Type="http://schemas.openxmlformats.org/officeDocument/2006/relationships/hyperlink" Target="https://wol.jw.org/en/wol/mp/r1/lp-e/nwtsty/2026/65" TargetMode="External" Id="rId1377"/><Relationship Type="http://schemas.openxmlformats.org/officeDocument/2006/relationships/hyperlink" Target="https://wol.jw.org/en/wol/d/r1/lp-e/1001070214" TargetMode="External" Id="rId1378"/><Relationship Type="http://schemas.openxmlformats.org/officeDocument/2006/relationships/hyperlink" Target="https://wol.jw.org/ta/wol/d/r122/lp-tl/1001070214" TargetMode="External" Id="rId1379"/><Relationship Type="http://schemas.openxmlformats.org/officeDocument/2006/relationships/hyperlink" Target="https://wol.jw.org/en/wol/d/r1/lp-e/1001070214" TargetMode="External" Id="rId1380"/><Relationship Type="http://schemas.openxmlformats.org/officeDocument/2006/relationships/hyperlink" Target="https://wol.jw.org/ta/wol/d/r122/lp-tl/1001070214" TargetMode="External" Id="rId1381"/><Relationship Type="http://schemas.openxmlformats.org/officeDocument/2006/relationships/hyperlink" Target="https://wol.jw.org/en/wol/d/r1/lp-e/1001070214" TargetMode="External" Id="rId1382"/><Relationship Type="http://schemas.openxmlformats.org/officeDocument/2006/relationships/hyperlink" Target="https://wol.jw.org/ta/wol/d/r122/lp-tl/1001070214" TargetMode="External" Id="rId1383"/><Relationship Type="http://schemas.openxmlformats.org/officeDocument/2006/relationships/hyperlink" Target="https://wol.jw.org/en/wol/d/r1/lp-e/1001070214" TargetMode="External" Id="rId1384"/><Relationship Type="http://schemas.openxmlformats.org/officeDocument/2006/relationships/hyperlink" Target="https://wol.jw.org/ta/wol/d/r122/lp-tl/1001070214" TargetMode="External" Id="rId1385"/><Relationship Type="http://schemas.openxmlformats.org/officeDocument/2006/relationships/hyperlink" Target="https://wol.jw.org/en/wol/d/r1/lp-e/1001070214" TargetMode="External" Id="rId1386"/><Relationship Type="http://schemas.openxmlformats.org/officeDocument/2006/relationships/hyperlink" Target="https://wol.jw.org/ta/wol/d/r122/lp-tl/1001070214" TargetMode="External" Id="rId1387"/><Relationship Type="http://schemas.openxmlformats.org/officeDocument/2006/relationships/hyperlink" Target="https://wol.jw.org/en/wol/d/r1/lp-e/1001070214" TargetMode="External" Id="rId1388"/><Relationship Type="http://schemas.openxmlformats.org/officeDocument/2006/relationships/hyperlink" Target="https://wol.jw.org/ta/wol/d/r122/lp-tl/1001070214" TargetMode="External" Id="rId1389"/><Relationship Type="http://schemas.openxmlformats.org/officeDocument/2006/relationships/hyperlink" Target="https://wol.jw.org/en/wol/d/r1/lp-e/1001070214" TargetMode="External" Id="rId1390"/><Relationship Type="http://schemas.openxmlformats.org/officeDocument/2006/relationships/hyperlink" Target="https://wol.jw.org/ta/wol/d/r122/lp-tl/1001070214" TargetMode="External" Id="rId1391"/><Relationship Type="http://schemas.openxmlformats.org/officeDocument/2006/relationships/hyperlink" Target="https://wol.jw.org/en/wol/d/r1/lp-e/1001070233" TargetMode="External" Id="rId1392"/><Relationship Type="http://schemas.openxmlformats.org/officeDocument/2006/relationships/hyperlink" Target="https://wol.jw.org/ta/wol/d/r122/lp-tl/1001070233" TargetMode="External" Id="rId1393"/><Relationship Type="http://schemas.openxmlformats.org/officeDocument/2006/relationships/hyperlink" Target="https://wol.jw.org/en/wol/d/r1/lp-e/1001070214" TargetMode="External" Id="rId1394"/><Relationship Type="http://schemas.openxmlformats.org/officeDocument/2006/relationships/hyperlink" Target="https://wol.jw.org/ta/wol/d/r122/lp-tl/1001070214" TargetMode="External" Id="rId1395"/><Relationship Type="http://schemas.openxmlformats.org/officeDocument/2006/relationships/hyperlink" Target="https://wol.jw.org/en/wol/d/r1/lp-e/1001070214" TargetMode="External" Id="rId1396"/><Relationship Type="http://schemas.openxmlformats.org/officeDocument/2006/relationships/hyperlink" Target="https://wol.jw.org/ta/wol/d/r122/lp-tl/1001070214" TargetMode="External" Id="rId1397"/><Relationship Type="http://schemas.openxmlformats.org/officeDocument/2006/relationships/hyperlink" Target="https://wol.jw.org/en/wol/d/r1/lp-e/1001070214" TargetMode="External" Id="rId1398"/><Relationship Type="http://schemas.openxmlformats.org/officeDocument/2006/relationships/hyperlink" Target="https://wol.jw.org/ta/wol/d/r122/lp-tl/1001070214" TargetMode="External" Id="rId1399"/><Relationship Type="http://schemas.openxmlformats.org/officeDocument/2006/relationships/hyperlink" Target="https://wol.jw.org/en/wol/d/r1/lp-e/1001070214" TargetMode="External" Id="rId1400"/><Relationship Type="http://schemas.openxmlformats.org/officeDocument/2006/relationships/hyperlink" Target="https://wol.jw.org/ta/wol/d/r122/lp-tl/1001070214" TargetMode="External" Id="rId1401"/><Relationship Type="http://schemas.openxmlformats.org/officeDocument/2006/relationships/hyperlink" Target="https://wol.jw.org/en/wol/d/r1/lp-e/1001070214" TargetMode="External" Id="rId1402"/><Relationship Type="http://schemas.openxmlformats.org/officeDocument/2006/relationships/hyperlink" Target="https://wol.jw.org/ta/wol/d/r122/lp-tl/1001070214" TargetMode="External" Id="rId1403"/><Relationship Type="http://schemas.openxmlformats.org/officeDocument/2006/relationships/hyperlink" Target="https://wol.jw.org/en/wol/d/r1/lp-e/1001070214" TargetMode="External" Id="rId1404"/><Relationship Type="http://schemas.openxmlformats.org/officeDocument/2006/relationships/hyperlink" Target="https://wol.jw.org/ta/wol/d/r122/lp-tl/1001070214" TargetMode="External" Id="rId1405"/><Relationship Type="http://schemas.openxmlformats.org/officeDocument/2006/relationships/hyperlink" Target="https://wol.jw.org/en/wol/d/r1/lp-e/1001070214" TargetMode="External" Id="rId1406"/><Relationship Type="http://schemas.openxmlformats.org/officeDocument/2006/relationships/hyperlink" Target="https://wol.jw.org/ta/wol/d/r122/lp-tl/1001070214" TargetMode="External" Id="rId1407"/><Relationship Type="http://schemas.openxmlformats.org/officeDocument/2006/relationships/hyperlink" Target="https://wol.jw.org/en/wol/d/r1/lp-e/1001070233" TargetMode="External" Id="rId1408"/><Relationship Type="http://schemas.openxmlformats.org/officeDocument/2006/relationships/hyperlink" Target="https://wol.jw.org/ta/wol/d/r122/lp-tl/1001070233" TargetMode="External" Id="rId1409"/><Relationship Type="http://schemas.openxmlformats.org/officeDocument/2006/relationships/hyperlink" Target="https://wol.jw.org/en/wol/d/r1/lp-e/1001070214" TargetMode="External" Id="rId1410"/><Relationship Type="http://schemas.openxmlformats.org/officeDocument/2006/relationships/hyperlink" Target="https://wol.jw.org/ta/wol/d/r122/lp-tl/1001070214" TargetMode="External" Id="rId1411"/><Relationship Type="http://schemas.openxmlformats.org/officeDocument/2006/relationships/hyperlink" Target="https://wol.jw.org/en/wol/d/r1/lp-e/1001070214" TargetMode="External" Id="rId1412"/><Relationship Type="http://schemas.openxmlformats.org/officeDocument/2006/relationships/hyperlink" Target="https://wol.jw.org/ta/wol/d/r122/lp-tl/1001070214" TargetMode="External" Id="rId1413"/><Relationship Type="http://schemas.openxmlformats.org/officeDocument/2006/relationships/hyperlink" Target="https://wol.jw.org/en/wol/d/r1/lp-e/1001070214" TargetMode="External" Id="rId1414"/><Relationship Type="http://schemas.openxmlformats.org/officeDocument/2006/relationships/hyperlink" Target="https://wol.jw.org/ta/wol/d/r122/lp-tl/1001070214" TargetMode="External" Id="rId1415"/><Relationship Type="http://schemas.openxmlformats.org/officeDocument/2006/relationships/hyperlink" Target="https://wol.jw.org/en/wol/d/r1/lp-e/1001070214" TargetMode="External" Id="rId1416"/><Relationship Type="http://schemas.openxmlformats.org/officeDocument/2006/relationships/hyperlink" Target="https://wol.jw.org/ta/wol/d/r122/lp-tl/1001070214" TargetMode="External" Id="rId1417"/><Relationship Type="http://schemas.openxmlformats.org/officeDocument/2006/relationships/hyperlink" Target="https://wol.jw.org/en/wol/d/r1/lp-e/1101990130" TargetMode="External" Id="rId1418"/><Relationship Type="http://schemas.openxmlformats.org/officeDocument/2006/relationships/hyperlink" Target="https://wol.jw.org/ta/wol/d/r122/lp-tl/1101990130" TargetMode="External" Id="rId1419"/><Relationship Type="http://schemas.openxmlformats.org/officeDocument/2006/relationships/hyperlink" Target="https://wol.jw.org/en/wol/mp/r1/lp-e/bt/2022/37" TargetMode="External" Id="rId1420"/><Relationship Type="http://schemas.openxmlformats.org/officeDocument/2006/relationships/hyperlink" Target="https://wol.jw.org/en/wol/d/r1/lp-e/2013531" TargetMode="External" Id="rId1421"/><Relationship Type="http://schemas.openxmlformats.org/officeDocument/2006/relationships/hyperlink" Target="https://wol.jw.org/ta/wol/d/r122/lp-tl/2013531" TargetMode="External" Id="rId1422"/><Relationship Type="http://schemas.openxmlformats.org/officeDocument/2006/relationships/hyperlink" Target="https://wol.jw.org/en/wol/d/r1/lp-e/1102009041" TargetMode="External" Id="rId1423"/><Relationship Type="http://schemas.openxmlformats.org/officeDocument/2006/relationships/hyperlink" Target="https://wol.jw.org/ta/wol/d/r122/lp-tl/1102009041" TargetMode="External" Id="rId1424"/><Relationship Type="http://schemas.openxmlformats.org/officeDocument/2006/relationships/hyperlink" Target="https://wol.jw.org/en/wol/d/r1/lp-e/1102009044" TargetMode="External" Id="rId1425"/><Relationship Type="http://schemas.openxmlformats.org/officeDocument/2006/relationships/hyperlink" Target="https://wol.jw.org/ta/wol/d/r122/lp-tl/1102009044" TargetMode="External" Id="rId1426"/><Relationship Type="http://schemas.openxmlformats.org/officeDocument/2006/relationships/hyperlink" Target="https://wol.jw.org/en/wol/d/r1/lp-e/1001070214" TargetMode="External" Id="rId1427"/><Relationship Type="http://schemas.openxmlformats.org/officeDocument/2006/relationships/hyperlink" Target="https://wol.jw.org/ta/wol/d/r122/lp-tl/1001070214" TargetMode="External" Id="rId1428"/><Relationship Type="http://schemas.openxmlformats.org/officeDocument/2006/relationships/hyperlink" Target="https://wol.jw.org/en/wol/d/r1/lp-e/1102009041" TargetMode="External" Id="rId1429"/><Relationship Type="http://schemas.openxmlformats.org/officeDocument/2006/relationships/hyperlink" Target="https://wol.jw.org/ta/wol/d/r122/lp-tl/1102009041" TargetMode="External" Id="rId1430"/><Relationship Type="http://schemas.openxmlformats.org/officeDocument/2006/relationships/hyperlink" Target="https://wol.jw.org/en/wol/mp/r1/lp-e/bt/2022/78" TargetMode="External" Id="rId1431"/><Relationship Type="http://schemas.openxmlformats.org/officeDocument/2006/relationships/hyperlink" Target="https://wol.jw.org/en/wol/d/r1/lp-e/1102009041" TargetMode="External" Id="rId1432"/><Relationship Type="http://schemas.openxmlformats.org/officeDocument/2006/relationships/hyperlink" Target="https://wol.jw.org/ta/wol/d/r122/lp-tl/1102009041" TargetMode="External" Id="rId1433"/><Relationship Type="http://schemas.openxmlformats.org/officeDocument/2006/relationships/hyperlink" Target="https://wol.jw.org/en/wol/mp/r1/lp-e/bt/2022/90" TargetMode="External" Id="rId1434"/><Relationship Type="http://schemas.openxmlformats.org/officeDocument/2006/relationships/hyperlink" Target="https://wol.jw.org/en/wol/d/r1/lp-e/1102009041" TargetMode="External" Id="rId1435"/><Relationship Type="http://schemas.openxmlformats.org/officeDocument/2006/relationships/hyperlink" Target="https://wol.jw.org/ta/wol/d/r122/lp-tl/1102009041" TargetMode="External" Id="rId1436"/><Relationship Type="http://schemas.openxmlformats.org/officeDocument/2006/relationships/hyperlink" Target="https://wol.jw.org/en/wol/mp/r1/lp-e/bt/2022/98" TargetMode="External" Id="rId1437"/><Relationship Type="http://schemas.openxmlformats.org/officeDocument/2006/relationships/hyperlink" Target="https://wol.jw.org/en/wol/d/r1/lp-e/1102009041" TargetMode="External" Id="rId1438"/><Relationship Type="http://schemas.openxmlformats.org/officeDocument/2006/relationships/hyperlink" Target="https://wol.jw.org/ta/wol/d/r122/lp-tl/1102009041" TargetMode="External" Id="rId1439"/><Relationship Type="http://schemas.openxmlformats.org/officeDocument/2006/relationships/hyperlink" Target="https://wol.jw.org/en/wol/d/r1/lp-e/1102009041" TargetMode="External" Id="rId1440"/><Relationship Type="http://schemas.openxmlformats.org/officeDocument/2006/relationships/hyperlink" Target="https://wol.jw.org/ta/wol/d/r122/lp-tl/1102009041" TargetMode="External" Id="rId1441"/><Relationship Type="http://schemas.openxmlformats.org/officeDocument/2006/relationships/hyperlink" Target="https://wol.jw.org/en/wol/d/r1/lp-e/1001070693" TargetMode="External" Id="rId1442"/><Relationship Type="http://schemas.openxmlformats.org/officeDocument/2006/relationships/hyperlink" Target="https://wol.jw.org/en/wol/d/r1/lp-e/1101990130" TargetMode="External" Id="rId1443"/><Relationship Type="http://schemas.openxmlformats.org/officeDocument/2006/relationships/hyperlink" Target="https://wol.jw.org/ta/wol/d/r122/lp-tl/1101990130" TargetMode="External" Id="rId1444"/><Relationship Type="http://schemas.openxmlformats.org/officeDocument/2006/relationships/hyperlink" Target="https://wol.jw.org/en/wol/mp/r1/lp-e/bt/2022/118" TargetMode="External" Id="rId1445"/><Relationship Type="http://schemas.openxmlformats.org/officeDocument/2006/relationships/hyperlink" Target="https://wol.jw.org/en/wol/d/r1/lp-e/1101990130" TargetMode="External" Id="rId1446"/><Relationship Type="http://schemas.openxmlformats.org/officeDocument/2006/relationships/hyperlink" Target="https://wol.jw.org/ta/wol/d/r122/lp-tl/1101990130" TargetMode="External" Id="rId1447"/><Relationship Type="http://schemas.openxmlformats.org/officeDocument/2006/relationships/hyperlink" Target="https://wol.jw.org/en/wol/mp/r1/lp-e/it-2/2018/415" TargetMode="External" Id="rId1448"/><Relationship Type="http://schemas.openxmlformats.org/officeDocument/2006/relationships/hyperlink" Target="https://wol.jw.org/en/wol/d/r1/lp-e/1200000852" TargetMode="External" Id="rId1449"/><Relationship Type="http://schemas.openxmlformats.org/officeDocument/2006/relationships/hyperlink" Target="https://wol.jw.org/en/wol/d/r1/lp-e/1001070071" TargetMode="External" Id="rId1450"/><Relationship Type="http://schemas.openxmlformats.org/officeDocument/2006/relationships/hyperlink" Target="https://wol.jw.org/ta/wol/d/r122/lp-tl/1001070071" TargetMode="External" Id="rId1451"/><Relationship Type="http://schemas.openxmlformats.org/officeDocument/2006/relationships/hyperlink" Target="https://wol.jw.org/en/wol/d/r1/lp-e/1101990130" TargetMode="External" Id="rId1452"/><Relationship Type="http://schemas.openxmlformats.org/officeDocument/2006/relationships/hyperlink" Target="https://wol.jw.org/ta/wol/d/r122/lp-tl/1101990130" TargetMode="External" Id="rId1453"/><Relationship Type="http://schemas.openxmlformats.org/officeDocument/2006/relationships/hyperlink" Target="https://wol.jw.org/en/wol/d/r1/lp-e/1200000852" TargetMode="External" Id="rId1454"/><Relationship Type="http://schemas.openxmlformats.org/officeDocument/2006/relationships/hyperlink" Target="https://wol.jw.org/en/wol/d/r1/lp-e/1102009041" TargetMode="External" Id="rId1455"/><Relationship Type="http://schemas.openxmlformats.org/officeDocument/2006/relationships/hyperlink" Target="https://wol.jw.org/ta/wol/d/r122/lp-tl/1102009041" TargetMode="External" Id="rId1456"/><Relationship Type="http://schemas.openxmlformats.org/officeDocument/2006/relationships/hyperlink" Target="https://wol.jw.org/en/wol/d/r1/lp-e/1001060002" TargetMode="External" Id="rId1457"/><Relationship Type="http://schemas.openxmlformats.org/officeDocument/2006/relationships/hyperlink" Target="https://wol.jw.org/en/wol/d/r1/lp-e/1101990130" TargetMode="External" Id="rId1458"/><Relationship Type="http://schemas.openxmlformats.org/officeDocument/2006/relationships/hyperlink" Target="https://wol.jw.org/ta/wol/d/r122/lp-tl/1101990130" TargetMode="External" Id="rId1459"/><Relationship Type="http://schemas.openxmlformats.org/officeDocument/2006/relationships/hyperlink" Target="https://wol.jw.org/en/wol/d/r1/lp-e/1001070700" TargetMode="External" Id="rId1460"/><Relationship Type="http://schemas.openxmlformats.org/officeDocument/2006/relationships/hyperlink" Target="https://wol.jw.org/en/wol/d/r1/lp-e/1101990130" TargetMode="External" Id="rId1461"/><Relationship Type="http://schemas.openxmlformats.org/officeDocument/2006/relationships/hyperlink" Target="https://wol.jw.org/ta/wol/d/r122/lp-tl/1101990130" TargetMode="External" Id="rId1462"/><Relationship Type="http://schemas.openxmlformats.org/officeDocument/2006/relationships/hyperlink" Target="https://wol.jw.org/en/wol/d/r1/lp-e/1101990130" TargetMode="External" Id="rId1463"/><Relationship Type="http://schemas.openxmlformats.org/officeDocument/2006/relationships/hyperlink" Target="https://wol.jw.org/ta/wol/d/r122/lp-tl/1101990130" TargetMode="External" Id="rId1464"/><Relationship Type="http://schemas.openxmlformats.org/officeDocument/2006/relationships/hyperlink" Target="https://wol.jw.org/en/wol/mp/r1/lp-e/bt/2022/130" TargetMode="External" Id="rId1465"/><Relationship Type="http://schemas.openxmlformats.org/officeDocument/2006/relationships/hyperlink" Target="https://wol.jw.org/en/wol/d/r1/lp-e/1101990130" TargetMode="External" Id="rId1466"/><Relationship Type="http://schemas.openxmlformats.org/officeDocument/2006/relationships/hyperlink" Target="https://wol.jw.org/ta/wol/d/r122/lp-tl/1101990130" TargetMode="External" Id="rId1467"/><Relationship Type="http://schemas.openxmlformats.org/officeDocument/2006/relationships/hyperlink" Target="https://wol.jw.org/en/wol/d/r1/lp-e/1101990130" TargetMode="External" Id="rId1468"/><Relationship Type="http://schemas.openxmlformats.org/officeDocument/2006/relationships/hyperlink" Target="https://wol.jw.org/ta/wol/d/r122/lp-tl/1101990130" TargetMode="External" Id="rId1469"/><Relationship Type="http://schemas.openxmlformats.org/officeDocument/2006/relationships/hyperlink" Target="https://wol.jw.org/en/wol/d/r1/lp-e/1101990130" TargetMode="External" Id="rId1470"/><Relationship Type="http://schemas.openxmlformats.org/officeDocument/2006/relationships/hyperlink" Target="https://wol.jw.org/ta/wol/d/r122/lp-tl/1101990130" TargetMode="External" Id="rId1471"/><Relationship Type="http://schemas.openxmlformats.org/officeDocument/2006/relationships/hyperlink" Target="https://wol.jw.org/en/wol/mp/r1/lp-e/bt/2022/152" TargetMode="External" Id="rId1472"/><Relationship Type="http://schemas.openxmlformats.org/officeDocument/2006/relationships/hyperlink" Target="https://wol.jw.org/en/wol/d/r1/lp-e/1101990130" TargetMode="External" Id="rId1473"/><Relationship Type="http://schemas.openxmlformats.org/officeDocument/2006/relationships/hyperlink" Target="https://wol.jw.org/ta/wol/d/r122/lp-tl/1101990130" TargetMode="External" Id="rId1474"/><Relationship Type="http://schemas.openxmlformats.org/officeDocument/2006/relationships/hyperlink" Target="https://wol.jw.org/en/wol/mp/r1/lp-e/nwtsty/2026/150" TargetMode="External" Id="rId1475"/><Relationship Type="http://schemas.openxmlformats.org/officeDocument/2006/relationships/hyperlink" Target="https://wol.jw.org/en/wol/d/r1/lp-e/1200003406" TargetMode="External" Id="rId1476"/><Relationship Type="http://schemas.openxmlformats.org/officeDocument/2006/relationships/hyperlink" Target="https://wol.jw.org/en/wol/d/r1/lp-e/1101990130" TargetMode="External" Id="rId1477"/><Relationship Type="http://schemas.openxmlformats.org/officeDocument/2006/relationships/hyperlink" Target="https://wol.jw.org/ta/wol/d/r122/lp-tl/1101990130" TargetMode="External" Id="rId1478"/><Relationship Type="http://schemas.openxmlformats.org/officeDocument/2006/relationships/hyperlink" Target="https://wol.jw.org/en/wol/mp/r1/lp-e/bt/2022/285" TargetMode="External" Id="rId1479"/><Relationship Type="http://schemas.openxmlformats.org/officeDocument/2006/relationships/hyperlink" Target="https://wol.jw.org/en/wol/d/r1/lp-e/1102009041" TargetMode="External" Id="rId1480"/><Relationship Type="http://schemas.openxmlformats.org/officeDocument/2006/relationships/hyperlink" Target="https://wol.jw.org/ta/wol/d/r122/lp-tl/1102009041" TargetMode="External" Id="rId1481"/><Relationship Type="http://schemas.openxmlformats.org/officeDocument/2006/relationships/hyperlink" Target="https://wol.jw.org/en/wol/d/r1/lp-e/1101990130" TargetMode="External" Id="rId1482"/><Relationship Type="http://schemas.openxmlformats.org/officeDocument/2006/relationships/hyperlink" Target="https://wol.jw.org/ta/wol/d/r122/lp-tl/1101990130" TargetMode="External" Id="rId1483"/><Relationship Type="http://schemas.openxmlformats.org/officeDocument/2006/relationships/hyperlink" Target="https://wol.jw.org/en/wol/mp/r1/lp-e/nwtsty/2026/150" TargetMode="External" Id="rId1484"/><Relationship Type="http://schemas.openxmlformats.org/officeDocument/2006/relationships/hyperlink" Target="https://wol.jw.org/en/wol/d/r1/lp-e/1102009041" TargetMode="External" Id="rId1485"/><Relationship Type="http://schemas.openxmlformats.org/officeDocument/2006/relationships/hyperlink" Target="https://wol.jw.org/ta/wol/d/r122/lp-tl/1102009041" TargetMode="External" Id="rId1486"/><Relationship Type="http://schemas.openxmlformats.org/officeDocument/2006/relationships/hyperlink" Target="https://wol.jw.org/en/wol/d/r1/lp-e/1101990130" TargetMode="External" Id="rId1487"/><Relationship Type="http://schemas.openxmlformats.org/officeDocument/2006/relationships/hyperlink" Target="https://wol.jw.org/ta/wol/d/r122/lp-tl/1101990130" TargetMode="External" Id="rId1488"/><Relationship Type="http://schemas.openxmlformats.org/officeDocument/2006/relationships/hyperlink" Target="https://wol.jw.org/en/wol/d/r1/lp-e/1001070705" TargetMode="External" Id="rId1489"/><Relationship Type="http://schemas.openxmlformats.org/officeDocument/2006/relationships/hyperlink" Target="https://wol.jw.org/en/wol/mp/r1/lp-e/bt/2022/188" TargetMode="External" Id="rId1490"/><Relationship Type="http://schemas.openxmlformats.org/officeDocument/2006/relationships/hyperlink" Target="https://wol.jw.org/en/wol/d/r1/lp-e/1001070071" TargetMode="External" Id="rId1491"/><Relationship Type="http://schemas.openxmlformats.org/officeDocument/2006/relationships/hyperlink" Target="https://wol.jw.org/ta/wol/d/r122/lp-tl/1001070071" TargetMode="External" Id="rId1492"/><Relationship Type="http://schemas.openxmlformats.org/officeDocument/2006/relationships/hyperlink" Target="https://wol.jw.org/en/wol/d/r1/lp-e/1001070071" TargetMode="External" Id="rId1493"/><Relationship Type="http://schemas.openxmlformats.org/officeDocument/2006/relationships/hyperlink" Target="https://wol.jw.org/ta/wol/d/r122/lp-tl/1001070071" TargetMode="External" Id="rId1494"/><Relationship Type="http://schemas.openxmlformats.org/officeDocument/2006/relationships/hyperlink" Target="https://wol.jw.org/en/wol/d/r1/lp-e/1101990130" TargetMode="External" Id="rId1495"/><Relationship Type="http://schemas.openxmlformats.org/officeDocument/2006/relationships/hyperlink" Target="https://wol.jw.org/ta/wol/d/r122/lp-tl/1101990130" TargetMode="External" Id="rId1496"/><Relationship Type="http://schemas.openxmlformats.org/officeDocument/2006/relationships/hyperlink" Target="https://wol.jw.org/en/wol/d/r1/lp-e/1102009041" TargetMode="External" Id="rId1497"/><Relationship Type="http://schemas.openxmlformats.org/officeDocument/2006/relationships/hyperlink" Target="https://wol.jw.org/ta/wol/d/r122/lp-tl/1102009041" TargetMode="External" Id="rId1498"/><Relationship Type="http://schemas.openxmlformats.org/officeDocument/2006/relationships/hyperlink" Target="https://wol.jw.org/en/wol/mp/r1/lp-e/bt/2022/202" TargetMode="External" Id="rId1499"/><Relationship Type="http://schemas.openxmlformats.org/officeDocument/2006/relationships/hyperlink" Target="https://wol.jw.org/en/wol/d/r1/lp-e/1102009041" TargetMode="External" Id="rId1500"/><Relationship Type="http://schemas.openxmlformats.org/officeDocument/2006/relationships/hyperlink" Target="https://wol.jw.org/ta/wol/d/r122/lp-tl/1102009041" TargetMode="External" Id="rId1501"/><Relationship Type="http://schemas.openxmlformats.org/officeDocument/2006/relationships/hyperlink" Target="https://wol.jw.org/en/wol/d/r1/lp-e/1001070705" TargetMode="External" Id="rId1502"/><Relationship Type="http://schemas.openxmlformats.org/officeDocument/2006/relationships/hyperlink" Target="https://wol.jw.org/en/wol/mp/r1/lp-e/bt/2022/204" TargetMode="External" Id="rId1503"/><Relationship Type="http://schemas.openxmlformats.org/officeDocument/2006/relationships/hyperlink" Target="https://wol.jw.org/en/wol/d/r1/lp-e/1102009041" TargetMode="External" Id="rId1504"/><Relationship Type="http://schemas.openxmlformats.org/officeDocument/2006/relationships/hyperlink" Target="https://wol.jw.org/ta/wol/d/r122/lp-tl/1102009041" TargetMode="External" Id="rId1505"/><Relationship Type="http://schemas.openxmlformats.org/officeDocument/2006/relationships/hyperlink" Target="https://wol.jw.org/en/wol/d/r1/lp-e/1102009041" TargetMode="External" Id="rId1506"/><Relationship Type="http://schemas.openxmlformats.org/officeDocument/2006/relationships/hyperlink" Target="https://wol.jw.org/ta/wol/d/r122/lp-tl/1102009041" TargetMode="External" Id="rId1507"/><Relationship Type="http://schemas.openxmlformats.org/officeDocument/2006/relationships/hyperlink" Target="https://wol.jw.org/en/wol/mp/r1/lp-e/bt/2022/212" TargetMode="External" Id="rId1508"/><Relationship Type="http://schemas.openxmlformats.org/officeDocument/2006/relationships/hyperlink" Target="https://wol.jw.org/en/wol/d/r1/lp-e/1102009041" TargetMode="External" Id="rId1509"/><Relationship Type="http://schemas.openxmlformats.org/officeDocument/2006/relationships/hyperlink" Target="https://wol.jw.org/ta/wol/d/r122/lp-tl/1102009041" TargetMode="External" Id="rId1510"/><Relationship Type="http://schemas.openxmlformats.org/officeDocument/2006/relationships/hyperlink" Target="https://wol.jw.org/en/wol/d/r1/lp-e/1101990130" TargetMode="External" Id="rId1511"/><Relationship Type="http://schemas.openxmlformats.org/officeDocument/2006/relationships/hyperlink" Target="https://wol.jw.org/ta/wol/d/r122/lp-tl/1101990130" TargetMode="External" Id="rId1512"/><Relationship Type="http://schemas.openxmlformats.org/officeDocument/2006/relationships/hyperlink" Target="https://wol.jw.org/en/wol/d/r1/lp-e/1001070071" TargetMode="External" Id="rId1513"/><Relationship Type="http://schemas.openxmlformats.org/officeDocument/2006/relationships/hyperlink" Target="https://wol.jw.org/ta/wol/d/r122/lp-tl/1001070071" TargetMode="External" Id="rId1514"/><Relationship Type="http://schemas.openxmlformats.org/officeDocument/2006/relationships/hyperlink" Target="https://wol.jw.org/en/wol/d/r1/lp-e/1200001603" TargetMode="External" Id="rId1515"/><Relationship Type="http://schemas.openxmlformats.org/officeDocument/2006/relationships/hyperlink" Target="https://wol.jw.org/en/wol/mp/r1/lp-e/it-1/2018/435" TargetMode="External" Id="rId1516"/><Relationship Type="http://schemas.openxmlformats.org/officeDocument/2006/relationships/hyperlink" Target="https://wol.jw.org/en/wol/d/r1/lp-e/1101990130" TargetMode="External" Id="rId1517"/><Relationship Type="http://schemas.openxmlformats.org/officeDocument/2006/relationships/hyperlink" Target="https://wol.jw.org/ta/wol/d/r122/lp-tl/1101990130" TargetMode="External" Id="rId1518"/><Relationship Type="http://schemas.openxmlformats.org/officeDocument/2006/relationships/hyperlink" Target="https://wol.jw.org/en/wol/mp/r1/lp-e/bt/2022/228" TargetMode="External" Id="rId1519"/><Relationship Type="http://schemas.openxmlformats.org/officeDocument/2006/relationships/hyperlink" Target="https://wol.jw.org/en/wol/d/r1/lp-e/1200001502" TargetMode="External" Id="rId1520"/><Relationship Type="http://schemas.openxmlformats.org/officeDocument/2006/relationships/hyperlink" Target="https://wol.jw.org/en/wol/d/r1/lp-e/1001070707" TargetMode="External" Id="rId1521"/><Relationship Type="http://schemas.openxmlformats.org/officeDocument/2006/relationships/hyperlink" Target="https://wol.jw.org/en/wol/d/r1/lp-e/1101990130" TargetMode="External" Id="rId1522"/><Relationship Type="http://schemas.openxmlformats.org/officeDocument/2006/relationships/hyperlink" Target="https://wol.jw.org/ta/wol/d/r122/lp-tl/1101990130" TargetMode="External" Id="rId1523"/><Relationship Type="http://schemas.openxmlformats.org/officeDocument/2006/relationships/hyperlink" Target="https://wol.jw.org/en/wol/d/r1/lp-e/1101990130" TargetMode="External" Id="rId1524"/><Relationship Type="http://schemas.openxmlformats.org/officeDocument/2006/relationships/hyperlink" Target="https://wol.jw.org/ta/wol/d/r122/lp-tl/1101990130" TargetMode="External" Id="rId1525"/><Relationship Type="http://schemas.openxmlformats.org/officeDocument/2006/relationships/hyperlink" Target="https://wol.jw.org/en/wol/mp/r1/lp-e/nwtsty/2026/150" TargetMode="External" Id="rId1526"/><Relationship Type="http://schemas.openxmlformats.org/officeDocument/2006/relationships/hyperlink" Target="https://wol.jw.org/en/wol/d/r1/lp-e/1101990130" TargetMode="External" Id="rId1527"/><Relationship Type="http://schemas.openxmlformats.org/officeDocument/2006/relationships/hyperlink" Target="https://wol.jw.org/ta/wol/d/r122/lp-tl/1101990130" TargetMode="External" Id="rId1528"/><Relationship Type="http://schemas.openxmlformats.org/officeDocument/2006/relationships/hyperlink" Target="https://wol.jw.org/en/wol/d/r1/lp-e/1001070714" TargetMode="External" Id="rId1529"/><Relationship Type="http://schemas.openxmlformats.org/officeDocument/2006/relationships/hyperlink" Target="https://wol.jw.org/en/wol/d/r1/lp-e/1200000852" TargetMode="External" Id="rId1530"/><Relationship Type="http://schemas.openxmlformats.org/officeDocument/2006/relationships/hyperlink" Target="https://wol.jw.org/en/wol/d/r1/lp-e/1001070071" TargetMode="External" Id="rId1531"/><Relationship Type="http://schemas.openxmlformats.org/officeDocument/2006/relationships/hyperlink" Target="https://wol.jw.org/ta/wol/d/r122/lp-tl/1001070071" TargetMode="External" Id="rId1532"/><Relationship Type="http://schemas.openxmlformats.org/officeDocument/2006/relationships/hyperlink" Target="https://wol.jw.org/en/wol/d/r1/lp-e/1001070071" TargetMode="External" Id="rId1533"/><Relationship Type="http://schemas.openxmlformats.org/officeDocument/2006/relationships/hyperlink" Target="https://wol.jw.org/ta/wol/d/r122/lp-tl/1001070071" TargetMode="External" Id="rId1534"/><Relationship Type="http://schemas.openxmlformats.org/officeDocument/2006/relationships/hyperlink" Target="https://wol.jw.org/en/wol/d/r1/lp-e/1102009041" TargetMode="External" Id="rId1535"/><Relationship Type="http://schemas.openxmlformats.org/officeDocument/2006/relationships/hyperlink" Target="https://wol.jw.org/ta/wol/d/r122/lp-tl/1102009041" TargetMode="External" Id="rId1536"/><Relationship Type="http://schemas.openxmlformats.org/officeDocument/2006/relationships/hyperlink" Target="https://wol.jw.org/en/wol/d/r1/lp-e/1101990130" TargetMode="External" Id="rId1537"/><Relationship Type="http://schemas.openxmlformats.org/officeDocument/2006/relationships/hyperlink" Target="https://wol.jw.org/ta/wol/d/r122/lp-tl/1101990130" TargetMode="External" Id="rId1538"/><Relationship Type="http://schemas.openxmlformats.org/officeDocument/2006/relationships/hyperlink" Target="https://wol.jw.org/en/wol/d/r1/lp-e/1001070071" TargetMode="External" Id="rId1539"/><Relationship Type="http://schemas.openxmlformats.org/officeDocument/2006/relationships/hyperlink" Target="https://wol.jw.org/ta/wol/d/r122/lp-tl/1001070071" TargetMode="External" Id="rId1540"/><Relationship Type="http://schemas.openxmlformats.org/officeDocument/2006/relationships/hyperlink" Target="https://wol.jw.org/en/wol/d/r1/lp-e/1001070071" TargetMode="External" Id="rId1541"/><Relationship Type="http://schemas.openxmlformats.org/officeDocument/2006/relationships/hyperlink" Target="https://wol.jw.org/ta/wol/d/r122/lp-tl/1001070071" TargetMode="External" Id="rId1542"/><Relationship Type="http://schemas.openxmlformats.org/officeDocument/2006/relationships/hyperlink" Target="https://wol.jw.org/en/wol/d/r1/lp-e/1102009041" TargetMode="External" Id="rId1543"/><Relationship Type="http://schemas.openxmlformats.org/officeDocument/2006/relationships/hyperlink" Target="https://wol.jw.org/ta/wol/d/r122/lp-tl/1102009041" TargetMode="External" Id="rId1544"/><Relationship Type="http://schemas.openxmlformats.org/officeDocument/2006/relationships/hyperlink" Target="https://wol.jw.org/en/wol/d/r1/lp-e/1102009041" TargetMode="External" Id="rId1545"/><Relationship Type="http://schemas.openxmlformats.org/officeDocument/2006/relationships/hyperlink" Target="https://wol.jw.org/ta/wol/d/r122/lp-tl/1102009041" TargetMode="External" Id="rId1546"/><Relationship Type="http://schemas.openxmlformats.org/officeDocument/2006/relationships/hyperlink" Target="https://wol.jw.org/en/wol/d/r1/lp-e/1200000129" TargetMode="External" Id="rId1547"/><Relationship Type="http://schemas.openxmlformats.org/officeDocument/2006/relationships/hyperlink" Target="https://wol.jw.org/en/wol/d/r1/lp-e/1101990130" TargetMode="External" Id="rId1548"/><Relationship Type="http://schemas.openxmlformats.org/officeDocument/2006/relationships/hyperlink" Target="https://wol.jw.org/ta/wol/d/r122/lp-tl/1101990130" TargetMode="External" Id="rId1549"/><Relationship Type="http://schemas.openxmlformats.org/officeDocument/2006/relationships/hyperlink" Target="https://wol.jw.org/en/wol/d/r1/lp-e/1101990130" TargetMode="External" Id="rId1550"/><Relationship Type="http://schemas.openxmlformats.org/officeDocument/2006/relationships/hyperlink" Target="https://wol.jw.org/ta/wol/d/r122/lp-tl/1101990130" TargetMode="External" Id="rId1551"/><Relationship Type="http://schemas.openxmlformats.org/officeDocument/2006/relationships/hyperlink" Target="https://wol.jw.org/en/wol/mp/r1/lp-e/bt/2022/312" TargetMode="External" Id="rId1552"/><Relationship Type="http://schemas.openxmlformats.org/officeDocument/2006/relationships/hyperlink" Target="https://wol.jw.org/en/wol/d/r1/lp-e/1101990130" TargetMode="External" Id="rId1553"/><Relationship Type="http://schemas.openxmlformats.org/officeDocument/2006/relationships/hyperlink" Target="https://wol.jw.org/ta/wol/d/r122/lp-tl/1101990130" TargetMode="External" Id="rId1554"/><Relationship Type="http://schemas.openxmlformats.org/officeDocument/2006/relationships/hyperlink" Target="https://wol.jw.org/en/wol/mp/r1/lp-e/bt/2022/314" TargetMode="External" Id="rId1555"/><Relationship Type="http://schemas.openxmlformats.org/officeDocument/2006/relationships/hyperlink" Target="https://wol.jw.org/en/wol/d/r1/lp-e/1200001512" TargetMode="External" Id="rId1556"/><Relationship Type="http://schemas.openxmlformats.org/officeDocument/2006/relationships/hyperlink" Target="https://wol.jw.org/en/wol/mp/r1/lp-e/bt/2022/324" TargetMode="External" Id="rId1557"/><Relationship Type="http://schemas.openxmlformats.org/officeDocument/2006/relationships/hyperlink" Target="https://wol.jw.org/en/wol/d/r1/lp-e/1200000852" TargetMode="External" Id="rId1558"/><Relationship Type="http://schemas.openxmlformats.org/officeDocument/2006/relationships/hyperlink" Target="https://wol.jw.org/en/wol/d/r1/lp-e/1102009041" TargetMode="External" Id="rId1559"/><Relationship Type="http://schemas.openxmlformats.org/officeDocument/2006/relationships/hyperlink" Target="https://wol.jw.org/ta/wol/d/r122/lp-tl/1102009041" TargetMode="External" Id="rId1560"/><Relationship Type="http://schemas.openxmlformats.org/officeDocument/2006/relationships/hyperlink" Target="https://wol.jw.org/en/wol/mp/r1/lp-e/bt/2022/326" TargetMode="External" Id="rId1561"/><Relationship Type="http://schemas.openxmlformats.org/officeDocument/2006/relationships/hyperlink" Target="https://wol.jw.org/en/wol/d/r1/lp-e/1101990130" TargetMode="External" Id="rId1562"/><Relationship Type="http://schemas.openxmlformats.org/officeDocument/2006/relationships/hyperlink" Target="https://wol.jw.org/ta/wol/d/r122/lp-tl/1101990130" TargetMode="External" Id="rId1563"/><Relationship Type="http://schemas.openxmlformats.org/officeDocument/2006/relationships/hyperlink" Target="https://wol.jw.org/en/wol/mp/r1/lp-e/nwtsty/2026/150" TargetMode="External" Id="rId1564"/><Relationship Type="http://schemas.openxmlformats.org/officeDocument/2006/relationships/hyperlink" Target="https://wol.jw.org/en/wol/d/r1/lp-e/1001070234" TargetMode="External" Id="rId1565"/><Relationship Type="http://schemas.openxmlformats.org/officeDocument/2006/relationships/hyperlink" Target="https://wol.jw.org/ta/wol/d/r122/lp-tl/1001070234" TargetMode="External" Id="rId1566"/><Relationship Type="http://schemas.openxmlformats.org/officeDocument/2006/relationships/hyperlink" Target="https://wol.jw.org/en/wol/d/r1/lp-e/1101990130" TargetMode="External" Id="rId1567"/><Relationship Type="http://schemas.openxmlformats.org/officeDocument/2006/relationships/hyperlink" Target="https://wol.jw.org/ta/wol/d/r122/lp-tl/1101990130" TargetMode="External" Id="rId1568"/><Relationship Type="http://schemas.openxmlformats.org/officeDocument/2006/relationships/hyperlink" Target="https://wol.jw.org/en/wol/mp/r1/lp-e/bt/2022/334" TargetMode="External" Id="rId1569"/><Relationship Type="http://schemas.openxmlformats.org/officeDocument/2006/relationships/hyperlink" Target="https://wol.jw.org/en/wol/d/r1/lp-e/1001070717" TargetMode="External" Id="rId1570"/><Relationship Type="http://schemas.openxmlformats.org/officeDocument/2006/relationships/hyperlink" Target="https://wol.jw.org/en/wol/d/r1/lp-e/1101990130" TargetMode="External" Id="rId1571"/><Relationship Type="http://schemas.openxmlformats.org/officeDocument/2006/relationships/hyperlink" Target="https://wol.jw.org/ta/wol/d/r122/lp-tl/1101990130" TargetMode="External" Id="rId1572"/><Relationship Type="http://schemas.openxmlformats.org/officeDocument/2006/relationships/hyperlink" Target="https://wol.jw.org/en/wol/mp/r1/lp-e/bt/2022/344" TargetMode="External" Id="rId1573"/><Relationship Type="http://schemas.openxmlformats.org/officeDocument/2006/relationships/hyperlink" Target="https://wol.jw.org/en/wol/d/r1/lp-e/1001070071" TargetMode="External" Id="rId1574"/><Relationship Type="http://schemas.openxmlformats.org/officeDocument/2006/relationships/hyperlink" Target="https://wol.jw.org/ta/wol/d/r122/lp-tl/1001070071" TargetMode="External" Id="rId1575"/><Relationship Type="http://schemas.openxmlformats.org/officeDocument/2006/relationships/hyperlink" Target="https://wol.jw.org/en/wol/d/r1/lp-e/1001070071" TargetMode="External" Id="rId1576"/><Relationship Type="http://schemas.openxmlformats.org/officeDocument/2006/relationships/hyperlink" Target="https://wol.jw.org/ta/wol/d/r122/lp-tl/1001070071" TargetMode="External" Id="rId1577"/><Relationship Type="http://schemas.openxmlformats.org/officeDocument/2006/relationships/hyperlink" Target="https://wol.jw.org/en/wol/d/r1/lp-e/1001070071" TargetMode="External" Id="rId1578"/><Relationship Type="http://schemas.openxmlformats.org/officeDocument/2006/relationships/hyperlink" Target="https://wol.jw.org/ta/wol/d/r122/lp-tl/1001070071" TargetMode="External" Id="rId1579"/><Relationship Type="http://schemas.openxmlformats.org/officeDocument/2006/relationships/hyperlink" Target="https://wol.jw.org/en/wol/d/r1/lp-e/1001070071" TargetMode="External" Id="rId1580"/><Relationship Type="http://schemas.openxmlformats.org/officeDocument/2006/relationships/hyperlink" Target="https://wol.jw.org/ta/wol/d/r122/lp-tl/1001070071" TargetMode="External" Id="rId1581"/><Relationship Type="http://schemas.openxmlformats.org/officeDocument/2006/relationships/hyperlink" Target="https://wol.jw.org/en/wol/d/r1/lp-e/1001070071" TargetMode="External" Id="rId1582"/><Relationship Type="http://schemas.openxmlformats.org/officeDocument/2006/relationships/hyperlink" Target="https://wol.jw.org/ta/wol/d/r122/lp-tl/1001070071" TargetMode="External" Id="rId1583"/><Relationship Type="http://schemas.openxmlformats.org/officeDocument/2006/relationships/hyperlink" Target="https://wol.jw.org/en/wol/d/r1/lp-e/1001060002" TargetMode="External" Id="rId1584"/><Relationship Type="http://schemas.openxmlformats.org/officeDocument/2006/relationships/hyperlink" Target="https://wol.jw.org/en/wol/d/r1/lp-e/1001070071" TargetMode="External" Id="rId1585"/><Relationship Type="http://schemas.openxmlformats.org/officeDocument/2006/relationships/hyperlink" Target="https://wol.jw.org/ta/wol/d/r122/lp-tl/1001070071" TargetMode="External" Id="rId1586"/><Relationship Type="http://schemas.openxmlformats.org/officeDocument/2006/relationships/hyperlink" Target="https://wol.jw.org/en/wol/d/r1/lp-e/1001070071" TargetMode="External" Id="rId1587"/><Relationship Type="http://schemas.openxmlformats.org/officeDocument/2006/relationships/hyperlink" Target="https://wol.jw.org/ta/wol/d/r122/lp-tl/1001070071" TargetMode="External" Id="rId1588"/><Relationship Type="http://schemas.openxmlformats.org/officeDocument/2006/relationships/hyperlink" Target="https://wol.jw.org/en/wol/d/r1/lp-e/1001070071" TargetMode="External" Id="rId1589"/><Relationship Type="http://schemas.openxmlformats.org/officeDocument/2006/relationships/hyperlink" Target="https://wol.jw.org/ta/wol/d/r122/lp-tl/1001070071" TargetMode="External" Id="rId1590"/><Relationship Type="http://schemas.openxmlformats.org/officeDocument/2006/relationships/hyperlink" Target="https://wol.jw.org/en/wol/d/r1/lp-e/1001070071" TargetMode="External" Id="rId1591"/><Relationship Type="http://schemas.openxmlformats.org/officeDocument/2006/relationships/hyperlink" Target="https://wol.jw.org/ta/wol/d/r122/lp-tl/1001070071" TargetMode="External" Id="rId1592"/><Relationship Type="http://schemas.openxmlformats.org/officeDocument/2006/relationships/hyperlink" Target="https://wol.jw.org/en/wol/d/r1/lp-e/1001060002" TargetMode="External" Id="rId1593"/><Relationship Type="http://schemas.openxmlformats.org/officeDocument/2006/relationships/hyperlink" Target="https://wol.jw.org/en/wol/d/r1/lp-e/1001070717" TargetMode="External" Id="rId1594"/><Relationship Type="http://schemas.openxmlformats.org/officeDocument/2006/relationships/hyperlink" Target="https://wol.jw.org/en/wol/d/r1/lp-e/1101990130" TargetMode="External" Id="rId1595"/><Relationship Type="http://schemas.openxmlformats.org/officeDocument/2006/relationships/hyperlink" Target="https://wol.jw.org/ta/wol/d/r122/lp-tl/1101990130" TargetMode="External" Id="rId1596"/><Relationship Type="http://schemas.openxmlformats.org/officeDocument/2006/relationships/hyperlink" Target="https://wol.jw.org/en/wol/d/r1/lp-e/1102009041" TargetMode="External" Id="rId1597"/><Relationship Type="http://schemas.openxmlformats.org/officeDocument/2006/relationships/hyperlink" Target="https://wol.jw.org/ta/wol/d/r122/lp-tl/1102009041" TargetMode="External" Id="rId1598"/><Relationship Type="http://schemas.openxmlformats.org/officeDocument/2006/relationships/hyperlink" Target="https://wol.jw.org/en/wol/d/r1/lp-e/1001070071" TargetMode="External" Id="rId1599"/><Relationship Type="http://schemas.openxmlformats.org/officeDocument/2006/relationships/hyperlink" Target="https://wol.jw.org/ta/wol/d/r122/lp-tl/1001070071" TargetMode="External" Id="rId1600"/><Relationship Type="http://schemas.openxmlformats.org/officeDocument/2006/relationships/hyperlink" Target="https://wol.jw.org/en/wol/d/r1/lp-e/1001070071" TargetMode="External" Id="rId1601"/><Relationship Type="http://schemas.openxmlformats.org/officeDocument/2006/relationships/hyperlink" Target="https://wol.jw.org/ta/wol/d/r122/lp-tl/1001070071" TargetMode="External" Id="rId1602"/><Relationship Type="http://schemas.openxmlformats.org/officeDocument/2006/relationships/hyperlink" Target="https://wol.jw.org/en/wol/d/r1/lp-e/1101990120" TargetMode="External" Id="rId1603"/><Relationship Type="http://schemas.openxmlformats.org/officeDocument/2006/relationships/hyperlink" Target="https://wol.jw.org/ta/wol/d/r122/lp-tl/1101990120" TargetMode="External" Id="rId1604"/><Relationship Type="http://schemas.openxmlformats.org/officeDocument/2006/relationships/hyperlink" Target="https://wol.jw.org/en/wol/d/r1/lp-e/1001070071" TargetMode="External" Id="rId1605"/><Relationship Type="http://schemas.openxmlformats.org/officeDocument/2006/relationships/hyperlink" Target="https://wol.jw.org/ta/wol/d/r122/lp-tl/1001070071" TargetMode="External" Id="rId1606"/><Relationship Type="http://schemas.openxmlformats.org/officeDocument/2006/relationships/hyperlink" Target="https://wol.jw.org/en/wol/d/r1/lp-e/1101990116" TargetMode="External" Id="rId1607"/><Relationship Type="http://schemas.openxmlformats.org/officeDocument/2006/relationships/hyperlink" Target="https://wol.jw.org/ta/wol/d/r122/lp-tl/1101990116" TargetMode="External" Id="rId1608"/><Relationship Type="http://schemas.openxmlformats.org/officeDocument/2006/relationships/hyperlink" Target="https://wol.jw.org/en/wol/d/r1/lp-e/1101990130" TargetMode="External" Id="rId1609"/><Relationship Type="http://schemas.openxmlformats.org/officeDocument/2006/relationships/hyperlink" Target="https://wol.jw.org/ta/wol/d/r122/lp-tl/1101990130" TargetMode="External" Id="rId1610"/><Relationship Type="http://schemas.openxmlformats.org/officeDocument/2006/relationships/hyperlink" Target="https://wol.jw.org/en/wol/d/r1/lp-e/1001070071" TargetMode="External" Id="rId1611"/><Relationship Type="http://schemas.openxmlformats.org/officeDocument/2006/relationships/hyperlink" Target="https://wol.jw.org/ta/wol/d/r122/lp-tl/1001070071" TargetMode="External" Id="rId1612"/><Relationship Type="http://schemas.openxmlformats.org/officeDocument/2006/relationships/hyperlink" Target="https://wol.jw.org/en/wol/d/r1/lp-e/1001070071" TargetMode="External" Id="rId1613"/><Relationship Type="http://schemas.openxmlformats.org/officeDocument/2006/relationships/hyperlink" Target="https://wol.jw.org/ta/wol/d/r122/lp-tl/1001070071" TargetMode="External" Id="rId1614"/><Relationship Type="http://schemas.openxmlformats.org/officeDocument/2006/relationships/hyperlink" Target="https://wol.jw.org/en/wol/d/r1/lp-e/1102009041" TargetMode="External" Id="rId1615"/><Relationship Type="http://schemas.openxmlformats.org/officeDocument/2006/relationships/hyperlink" Target="https://wol.jw.org/ta/wol/d/r122/lp-tl/1102009041" TargetMode="External" Id="rId1616"/><Relationship Type="http://schemas.openxmlformats.org/officeDocument/2006/relationships/hyperlink" Target="https://wol.jw.org/en/wol/d/r1/lp-e/1102009041" TargetMode="External" Id="rId1617"/><Relationship Type="http://schemas.openxmlformats.org/officeDocument/2006/relationships/hyperlink" Target="https://wol.jw.org/ta/wol/d/r122/lp-tl/1102009041" TargetMode="External" Id="rId1618"/><Relationship Type="http://schemas.openxmlformats.org/officeDocument/2006/relationships/hyperlink" Target="https://wol.jw.org/en/wol/d/r1/lp-e/1001060002" TargetMode="External" Id="rId1619"/><Relationship Type="http://schemas.openxmlformats.org/officeDocument/2006/relationships/hyperlink" Target="https://wol.jw.org/en/wol/d/r1/lp-e/1102009041" TargetMode="External" Id="rId1620"/><Relationship Type="http://schemas.openxmlformats.org/officeDocument/2006/relationships/hyperlink" Target="https://wol.jw.org/ta/wol/d/r122/lp-tl/1102009041" TargetMode="External" Id="rId1621"/><Relationship Type="http://schemas.openxmlformats.org/officeDocument/2006/relationships/hyperlink" Target="https://wol.jw.org/en/wol/d/r1/lp-e/1200002436" TargetMode="External" Id="rId1622"/><Relationship Type="http://schemas.openxmlformats.org/officeDocument/2006/relationships/hyperlink" Target="https://wol.jw.org/en/wol/mp/r1/lp-e/it-2/2018/21" TargetMode="External" Id="rId1623"/><Relationship Type="http://schemas.openxmlformats.org/officeDocument/2006/relationships/hyperlink" Target="https://wol.jw.org/en/wol/d/r1/lp-e/1200000852" TargetMode="External" Id="rId1624"/><Relationship Type="http://schemas.openxmlformats.org/officeDocument/2006/relationships/hyperlink" Target="https://wol.jw.org/en/wol/d/r1/lp-e/1200001106" TargetMode="External" Id="rId1625"/><Relationship Type="http://schemas.openxmlformats.org/officeDocument/2006/relationships/hyperlink" Target="https://wol.jw.org/en/wol/d/r1/lp-e/1200002436" TargetMode="External" Id="rId1626"/><Relationship Type="http://schemas.openxmlformats.org/officeDocument/2006/relationships/hyperlink" Target="https://wol.jw.org/en/wol/mp/r1/lp-e/it-2/2018/19" TargetMode="External" Id="rId1627"/><Relationship Type="http://schemas.openxmlformats.org/officeDocument/2006/relationships/hyperlink" Target="https://wol.jw.org/en/wol/d/r1/lp-e/1200002436" TargetMode="External" Id="rId1628"/><Relationship Type="http://schemas.openxmlformats.org/officeDocument/2006/relationships/hyperlink" Target="https://wol.jw.org/en/wol/d/r1/lp-e/1200000852" TargetMode="External" Id="rId1629"/><Relationship Type="http://schemas.openxmlformats.org/officeDocument/2006/relationships/hyperlink" Target="https://wol.jw.org/en/wol/d/r1/lp-e/1200000852" TargetMode="External" Id="rId1630"/><Relationship Type="http://schemas.openxmlformats.org/officeDocument/2006/relationships/hyperlink" Target="https://wol.jw.org/en/wol/d/r1/lp-e/1200000852" TargetMode="External" Id="rId1631"/><Relationship Type="http://schemas.openxmlformats.org/officeDocument/2006/relationships/hyperlink" Target="https://wol.jw.org/en/wol/d/r1/lp-e/1200002436" TargetMode="External" Id="rId1632"/><Relationship Type="http://schemas.openxmlformats.org/officeDocument/2006/relationships/hyperlink" Target="https://wol.jw.org/en/wol/d/r1/lp-e/1200002436" TargetMode="External" Id="rId1633"/><Relationship Type="http://schemas.openxmlformats.org/officeDocument/2006/relationships/hyperlink" Target="https://wol.jw.org/en/wol/d/r1/lp-e/1101990130" TargetMode="External" Id="rId1634"/><Relationship Type="http://schemas.openxmlformats.org/officeDocument/2006/relationships/hyperlink" Target="https://wol.jw.org/ta/wol/d/r122/lp-tl/1101990130" TargetMode="External" Id="rId1635"/><Relationship Type="http://schemas.openxmlformats.org/officeDocument/2006/relationships/hyperlink" Target="https://wol.jw.org/en/wol/mp/r1/lp-e/it-2/2018/23" TargetMode="External" Id="rId1636"/><Relationship Type="http://schemas.openxmlformats.org/officeDocument/2006/relationships/hyperlink" Target="https://wol.jw.org/en/wol/d/r1/lp-e/1001070624" TargetMode="External" Id="rId1637"/><Relationship Type="http://schemas.openxmlformats.org/officeDocument/2006/relationships/hyperlink" Target="https://wol.jw.org/ta/wol/d/r122/lp-tl/1001070624" TargetMode="External" Id="rId1638"/><Relationship Type="http://schemas.openxmlformats.org/officeDocument/2006/relationships/hyperlink" Target="https://wol.jw.org/en/wol/mp/r1/lp-e/it-1/2018/570" TargetMode="External" Id="rId1639"/><Relationship Type="http://schemas.openxmlformats.org/officeDocument/2006/relationships/hyperlink" Target="https://wol.jw.org/en/wol/d/r1/lp-e/1200000852" TargetMode="External" Id="rId1640"/><Relationship Type="http://schemas.openxmlformats.org/officeDocument/2006/relationships/hyperlink" Target="https://wol.jw.org/en/wol/d/r1/lp-e/1200000852" TargetMode="External" Id="rId1641"/><Relationship Type="http://schemas.openxmlformats.org/officeDocument/2006/relationships/hyperlink" Target="https://wol.jw.org/en/wol/d/r1/lp-e/1200000970" TargetMode="External" Id="rId1642"/><Relationship Type="http://schemas.openxmlformats.org/officeDocument/2006/relationships/hyperlink" Target="https://wol.jw.org/en/wol/d/r1/lp-e/1200000852" TargetMode="External" Id="rId1643"/><Relationship Type="http://schemas.openxmlformats.org/officeDocument/2006/relationships/hyperlink" Target="https://wol.jw.org/en/wol/d/r1/lp-e/1001070071" TargetMode="External" Id="rId1644"/><Relationship Type="http://schemas.openxmlformats.org/officeDocument/2006/relationships/hyperlink" Target="https://wol.jw.org/ta/wol/d/r122/lp-tl/1001070071" TargetMode="External" Id="rId1645"/><Relationship Type="http://schemas.openxmlformats.org/officeDocument/2006/relationships/hyperlink" Target="https://wol.jw.org/en/wol/d/r1/lp-e/1200002489" TargetMode="External" Id="rId1646"/><Relationship Type="http://schemas.openxmlformats.org/officeDocument/2006/relationships/hyperlink" Target="https://wol.jw.org/en/wol/d/r1/lp-e/1200003403" TargetMode="External" Id="rId1647"/><Relationship Type="http://schemas.openxmlformats.org/officeDocument/2006/relationships/hyperlink" Target="https://wol.jw.org/en/wol/d/r1/lp-e/1200000852" TargetMode="External" Id="rId1648"/><Relationship Type="http://schemas.openxmlformats.org/officeDocument/2006/relationships/hyperlink" Target="https://wol.jw.org/en/wol/d/r1/lp-e/1001070071" TargetMode="External" Id="rId1649"/><Relationship Type="http://schemas.openxmlformats.org/officeDocument/2006/relationships/hyperlink" Target="https://wol.jw.org/ta/wol/d/r122/lp-tl/1001070071" TargetMode="External" Id="rId1650"/><Relationship Type="http://schemas.openxmlformats.org/officeDocument/2006/relationships/hyperlink" Target="https://wol.jw.org/en/wol/d/r1/lp-e/1001070071" TargetMode="External" Id="rId1651"/><Relationship Type="http://schemas.openxmlformats.org/officeDocument/2006/relationships/hyperlink" Target="https://wol.jw.org/ta/wol/d/r122/lp-tl/1001070071" TargetMode="External" Id="rId1652"/><Relationship Type="http://schemas.openxmlformats.org/officeDocument/2006/relationships/hyperlink" Target="https://wol.jw.org/en/wol/d/r1/lp-e/1001070071" TargetMode="External" Id="rId1653"/><Relationship Type="http://schemas.openxmlformats.org/officeDocument/2006/relationships/hyperlink" Target="https://wol.jw.org/ta/wol/d/r122/lp-tl/1001070071" TargetMode="External" Id="rId1654"/><Relationship Type="http://schemas.openxmlformats.org/officeDocument/2006/relationships/hyperlink" Target="https://wol.jw.org/en/wol/d/r1/lp-e/1001070071" TargetMode="External" Id="rId1655"/><Relationship Type="http://schemas.openxmlformats.org/officeDocument/2006/relationships/hyperlink" Target="https://wol.jw.org/ta/wol/d/r122/lp-tl/1001070071" TargetMode="External" Id="rId1656"/><Relationship Type="http://schemas.openxmlformats.org/officeDocument/2006/relationships/hyperlink" Target="https://wol.jw.org/en/wol/d/r1/lp-e/1001060002" TargetMode="External" Id="rId1657"/><Relationship Type="http://schemas.openxmlformats.org/officeDocument/2006/relationships/hyperlink" Target="https://wol.jw.org/en/wol/d/r1/lp-e/1001060002" TargetMode="External" Id="rId1658"/><Relationship Type="http://schemas.openxmlformats.org/officeDocument/2006/relationships/hyperlink" Target="https://wol.jw.org/en/wol/d/r1/lp-e/1001060002" TargetMode="External" Id="rId1659"/><Relationship Type="http://schemas.openxmlformats.org/officeDocument/2006/relationships/hyperlink" Target="https://wol.jw.org/en/wol/d/r1/lp-e/1101993005#h=15" TargetMode="External" Id="rId1660"/><Relationship Type="http://schemas.openxmlformats.org/officeDocument/2006/relationships/hyperlink" Target="https://wol.jw.org/en/wol/d/r1/lp-e/1101990130" TargetMode="External" Id="rId1661"/><Relationship Type="http://schemas.openxmlformats.org/officeDocument/2006/relationships/hyperlink" Target="https://wol.jw.org/ta/wol/d/r122/lp-tl/1101990130" TargetMode="External" Id="rId1662"/><Relationship Type="http://schemas.openxmlformats.org/officeDocument/2006/relationships/hyperlink" Target="https://wol.jw.org/en/wol/d/r1/lp-e/1200002000" TargetMode="External" Id="rId1663"/><Relationship Type="http://schemas.openxmlformats.org/officeDocument/2006/relationships/hyperlink" Target="https://wol.jw.org/en/wol/d/r1/lp-e/2013531" TargetMode="External" Id="rId1664"/><Relationship Type="http://schemas.openxmlformats.org/officeDocument/2006/relationships/hyperlink" Target="https://wol.jw.org/ta/wol/d/r122/lp-tl/2013531" TargetMode="External" Id="rId1665"/><Relationship Type="http://schemas.openxmlformats.org/officeDocument/2006/relationships/hyperlink" Target="https://wol.jw.org/en/wol/d/r1/lp-e/1200002893#h=28" TargetMode="External" Id="rId1666"/><Relationship Type="http://schemas.openxmlformats.org/officeDocument/2006/relationships/hyperlink" Target="https://wol.jw.org/en/wol/mp/r1/lp-e/it-1/2018/90" TargetMode="External" Id="rId1667"/><Relationship Type="http://schemas.openxmlformats.org/officeDocument/2006/relationships/hyperlink" Target="https://wol.jw.org/en/wol/d/r1/lp-e/1101993005#h=19" TargetMode="External" Id="rId1668"/><Relationship Type="http://schemas.openxmlformats.org/officeDocument/2006/relationships/hyperlink" Target="https://wol.jw.org/en/wol/d/r1/lp-e/1997603#h=14" TargetMode="External" Id="rId1669"/><Relationship Type="http://schemas.openxmlformats.org/officeDocument/2006/relationships/hyperlink" Target="https://wol.jw.org/ta/wol/d/r122/lp-tl/1997603#h=14" TargetMode="External" Id="rId1670"/><Relationship Type="http://schemas.openxmlformats.org/officeDocument/2006/relationships/hyperlink" Target="https://wol.jw.org/en/wol/d/r1/lp-e/1101993005#h=26" TargetMode="External" Id="rId1671"/><Relationship Type="http://schemas.openxmlformats.org/officeDocument/2006/relationships/hyperlink" Target="https://wol.jw.org/en/wol/d/r1/lp-e/1997603#h=14" TargetMode="External" Id="rId1672"/><Relationship Type="http://schemas.openxmlformats.org/officeDocument/2006/relationships/hyperlink" Target="https://wol.jw.org/ta/wol/d/r122/lp-tl/1997603#h=14" TargetMode="External" Id="rId1673"/><Relationship Type="http://schemas.openxmlformats.org/officeDocument/2006/relationships/hyperlink" Target="https://wol.jw.org/en/wol/d/r1/lp-e/1101990043#h=39" TargetMode="External" Id="rId1674"/><Relationship Type="http://schemas.openxmlformats.org/officeDocument/2006/relationships/hyperlink" Target="https://wol.jw.org/ta/wol/d/r122/lp-tl/1101990043#h=39" TargetMode="External" Id="rId1675"/><Relationship Type="http://schemas.openxmlformats.org/officeDocument/2006/relationships/hyperlink" Target="https://wol.jw.org/en/wol/d/r1/lp-e/1200000880#h=28" TargetMode="External" Id="rId1676"/><Relationship Type="http://schemas.openxmlformats.org/officeDocument/2006/relationships/hyperlink" Target="https://wol.jw.org/en/wol/d/r1/lp-e/1200004554#h=10" TargetMode="External" Id="rId1677"/><Relationship Type="http://schemas.openxmlformats.org/officeDocument/2006/relationships/hyperlink" Target="https://wol.jw.org/en/wol/d/r1/lp-e/1200002893#h=27" TargetMode="External" Id="rId1678"/><Relationship Type="http://schemas.openxmlformats.org/officeDocument/2006/relationships/hyperlink" Target="https://wol.jw.org/en/wol/d/r1/lp-e/1200002893#h=29" TargetMode="External" Id="rId1679"/><Relationship Type="http://schemas.openxmlformats.org/officeDocument/2006/relationships/hyperlink" Target="https://wol.jw.org/en/wol/d/r1/lp-e/1200004554#h=11" TargetMode="External" Id="rId1680"/><Relationship Type="http://schemas.openxmlformats.org/officeDocument/2006/relationships/hyperlink" Target="https://wol.jw.org/en/wol/d/r1/lp-e/1101990043#h=23" TargetMode="External" Id="rId1681"/><Relationship Type="http://schemas.openxmlformats.org/officeDocument/2006/relationships/hyperlink" Target="https://wol.jw.org/ta/wol/d/r122/lp-tl/1101990043#h=23" TargetMode="External" Id="rId1682"/><Relationship Type="http://schemas.openxmlformats.org/officeDocument/2006/relationships/hyperlink" Target="https://wol.jw.org/en/wol/d/r1/lp-e/1200004554#h=16" TargetMode="External" Id="rId1683"/><Relationship Type="http://schemas.openxmlformats.org/officeDocument/2006/relationships/hyperlink" Target="https://wol.jw.org/en/wol/d/r1/lp-e/1200004554#h=19" TargetMode="External" Id="rId1684"/><Relationship Type="http://schemas.openxmlformats.org/officeDocument/2006/relationships/hyperlink" Target="https://wol.jw.org/en/wol/d/r1/lp-e/1101989212#h=14" TargetMode="External" Id="rId1685"/><Relationship Type="http://schemas.openxmlformats.org/officeDocument/2006/relationships/hyperlink" Target="https://wol.jw.org/ta/wol/d/r122/lp-tl/1101989212#h=14" TargetMode="External" Id="rId1686"/><Relationship Type="http://schemas.openxmlformats.org/officeDocument/2006/relationships/hyperlink" Target="https://wol.jw.org/en/wol/d/r1/lp-e/1101993005#h=21" TargetMode="External" Id="rId1687"/><Relationship Type="http://schemas.openxmlformats.org/officeDocument/2006/relationships/hyperlink" Target="https://wol.jw.org/en/wol/d/r1/lp-e/2013531" TargetMode="External" Id="rId1688"/><Relationship Type="http://schemas.openxmlformats.org/officeDocument/2006/relationships/hyperlink" Target="https://wol.jw.org/ta/wol/d/r122/lp-tl/2013531" TargetMode="External" Id="rId1689"/><Relationship Type="http://schemas.openxmlformats.org/officeDocument/2006/relationships/hyperlink" Target="https://wol.jw.org/en/wol/d/r1/lp-e/102007409#h=9" TargetMode="External" Id="rId1690"/><Relationship Type="http://schemas.openxmlformats.org/officeDocument/2006/relationships/hyperlink" Target="https://wol.jw.org/ta/wol/d/r122/lp-tl/102007409#h=9" TargetMode="External" Id="rId1691"/><Relationship Type="http://schemas.openxmlformats.org/officeDocument/2006/relationships/hyperlink" Target="https://wol.jw.org/en/wol/d/r1/lp-e/1101990043#h=28" TargetMode="External" Id="rId1692"/><Relationship Type="http://schemas.openxmlformats.org/officeDocument/2006/relationships/hyperlink" Target="https://wol.jw.org/ta/wol/d/r122/lp-tl/1101990043#h=28" TargetMode="External" Id="rId1693"/><Relationship Type="http://schemas.openxmlformats.org/officeDocument/2006/relationships/hyperlink" Target="https://wol.jw.org/en/wol/d/r1/lp-e/1101990043#h=28" TargetMode="External" Id="rId1694"/><Relationship Type="http://schemas.openxmlformats.org/officeDocument/2006/relationships/hyperlink" Target="https://wol.jw.org/ta/wol/d/r122/lp-tl/1101990043#h=28" TargetMode="External" Id="rId1695"/><Relationship Type="http://schemas.openxmlformats.org/officeDocument/2006/relationships/hyperlink" Target="https://wol.jw.org/en/wol/d/r1/lp-e/1101990043#h=28" TargetMode="External" Id="rId1696"/><Relationship Type="http://schemas.openxmlformats.org/officeDocument/2006/relationships/hyperlink" Target="https://wol.jw.org/ta/wol/d/r122/lp-tl/1101990043#h=28" TargetMode="External" Id="rId1697"/><Relationship Type="http://schemas.openxmlformats.org/officeDocument/2006/relationships/hyperlink" Target="https://wol.jw.org/en/wol/d/r1/lp-e/1200003778#h=15" TargetMode="External" Id="rId1698"/><Relationship Type="http://schemas.openxmlformats.org/officeDocument/2006/relationships/hyperlink" Target="https://wol.jw.org/en/wol/d/r1/lp-e/1101990043#h=35" TargetMode="External" Id="rId1699"/><Relationship Type="http://schemas.openxmlformats.org/officeDocument/2006/relationships/hyperlink" Target="https://wol.jw.org/ta/wol/d/r122/lp-tl/1101990043#h=35" TargetMode="External" Id="rId1700"/><Relationship Type="http://schemas.openxmlformats.org/officeDocument/2006/relationships/hyperlink" Target="https://wol.jw.org/en/wol/d/r1/lp-e/102001725#h=4" TargetMode="External" Id="rId1701"/><Relationship Type="http://schemas.openxmlformats.org/officeDocument/2006/relationships/hyperlink" Target="https://wol.jw.org/en/wol/d/r1/lp-e/1200002893#h=35" TargetMode="External" Id="rId1702"/><Relationship Type="http://schemas.openxmlformats.org/officeDocument/2006/relationships/hyperlink" Target="https://wol.jw.org/en/wol/d/r1/lp-e/1200002893#h=36" TargetMode="External" Id="rId1703"/><Relationship Type="http://schemas.openxmlformats.org/officeDocument/2006/relationships/hyperlink" Target="https://wol.jw.org/en/wol/mp/r1/lp-e/it-1/2018/92" TargetMode="External" Id="rId1704"/><Relationship Type="http://schemas.openxmlformats.org/officeDocument/2006/relationships/hyperlink" Target="https://wol.jw.org/en/wol/d/r1/lp-e/1993481#h=8" TargetMode="External" Id="rId1705"/><Relationship Type="http://schemas.openxmlformats.org/officeDocument/2006/relationships/hyperlink" Target="https://wol.jw.org/ta/wol/d/r122/lp-tl/1993481#h=8" TargetMode="External" Id="rId1706"/><Relationship Type="http://schemas.openxmlformats.org/officeDocument/2006/relationships/hyperlink" Target="https://wol.jw.org/en/wol/d/r1/lp-e/1200000880#h=18" TargetMode="External" Id="rId1707"/><Relationship Type="http://schemas.openxmlformats.org/officeDocument/2006/relationships/hyperlink" Target="https://wol.jw.org/en/wol/d/r1/lp-e/2016843#h=19" TargetMode="External" Id="rId1708"/><Relationship Type="http://schemas.openxmlformats.org/officeDocument/2006/relationships/hyperlink" Target="https://wol.jw.org/ta/wol/d/r122/lp-tl/2016843#h=19" TargetMode="External" Id="rId1709"/><Relationship Type="http://schemas.openxmlformats.org/officeDocument/2006/relationships/hyperlink" Target="https://wol.jw.org/en/wol/d/r1/lp-e/1993481#h=27" TargetMode="External" Id="rId1710"/><Relationship Type="http://schemas.openxmlformats.org/officeDocument/2006/relationships/hyperlink" Target="https://wol.jw.org/ta/wol/d/r122/lp-tl/1993481#h=27" TargetMode="External" Id="rId1711"/><Relationship Type="http://schemas.openxmlformats.org/officeDocument/2006/relationships/hyperlink" Target="https://wol.jw.org/en/wol/d/r1/lp-e/1101997025#h=5" TargetMode="External" Id="rId1712"/><Relationship Type="http://schemas.openxmlformats.org/officeDocument/2006/relationships/hyperlink" Target="https://wol.jw.org/ta/wol/d/r122/lp-tl/1101997025#h=5" TargetMode="External" Id="rId1713"/><Relationship Type="http://schemas.openxmlformats.org/officeDocument/2006/relationships/hyperlink" Target="https://wol.jw.org/en/wol/d/r1/lp-e/1101989303#h=11" TargetMode="External" Id="rId1714"/><Relationship Type="http://schemas.openxmlformats.org/officeDocument/2006/relationships/hyperlink" Target="https://wol.jw.org/ta/wol/d/r122/lp-tl/1101989303#h=11" TargetMode="External" Id="rId1715"/><Relationship Type="http://schemas.openxmlformats.org/officeDocument/2006/relationships/hyperlink" Target="https://wol.jw.org/en/wol/d/r1/lp-e/1993481#h=8" TargetMode="External" Id="rId1716"/><Relationship Type="http://schemas.openxmlformats.org/officeDocument/2006/relationships/hyperlink" Target="https://wol.jw.org/ta/wol/d/r122/lp-tl/1993481#h=8" TargetMode="External" Id="rId1717"/><Relationship Type="http://schemas.openxmlformats.org/officeDocument/2006/relationships/hyperlink" Target="https://wol.jw.org/en/wol/d/r1/lp-e/1991804#h=16" TargetMode="External" Id="rId1718"/><Relationship Type="http://schemas.openxmlformats.org/officeDocument/2006/relationships/hyperlink" Target="https://wol.jw.org/en/wol/d/r1/lp-e/1991804#h=16" TargetMode="External" Id="rId1719"/><Relationship Type="http://schemas.openxmlformats.org/officeDocument/2006/relationships/hyperlink" Target="https://wol.jw.org/en/wol/d/r1/lp-e/1997603#h=17" TargetMode="External" Id="rId1720"/><Relationship Type="http://schemas.openxmlformats.org/officeDocument/2006/relationships/hyperlink" Target="https://wol.jw.org/ta/wol/d/r122/lp-tl/1997603#h=17" TargetMode="External" Id="rId1721"/><Relationship Type="http://schemas.openxmlformats.org/officeDocument/2006/relationships/hyperlink" Target="https://wol.jw.org/en/wol/d/r1/lp-e/1997603" TargetMode="External" Id="rId1722"/><Relationship Type="http://schemas.openxmlformats.org/officeDocument/2006/relationships/hyperlink" Target="https://wol.jw.org/ta/wol/d/r122/lp-tl/1997603" TargetMode="External" Id="rId1723"/><Relationship Type="http://schemas.openxmlformats.org/officeDocument/2006/relationships/hyperlink" Target="https://wol.jw.org/en/wol/d/r1/lp-e/1200004554#h=17" TargetMode="External" Id="rId1724"/><Relationship Type="http://schemas.openxmlformats.org/officeDocument/2006/relationships/hyperlink" Target="https://wol.jw.org/en/wol/d/r1/lp-e/1101990043#h=39" TargetMode="External" Id="rId1725"/><Relationship Type="http://schemas.openxmlformats.org/officeDocument/2006/relationships/hyperlink" Target="https://wol.jw.org/ta/wol/d/r122/lp-tl/1101990043#h=39" TargetMode="External" Id="rId1726"/><Relationship Type="http://schemas.openxmlformats.org/officeDocument/2006/relationships/hyperlink" Target="https://wol.jw.org/en/wol/d/r1/lp-e/1997603#h=18" TargetMode="External" Id="rId1727"/><Relationship Type="http://schemas.openxmlformats.org/officeDocument/2006/relationships/hyperlink" Target="https://wol.jw.org/ta/wol/d/r122/lp-tl/1997603#h=18" TargetMode="External" Id="rId1728"/><Relationship Type="http://schemas.openxmlformats.org/officeDocument/2006/relationships/hyperlink" Target="https://wol.jw.org/en/wol/d/r1/lp-e/1993481#h=12" TargetMode="External" Id="rId1729"/><Relationship Type="http://schemas.openxmlformats.org/officeDocument/2006/relationships/hyperlink" Target="https://wol.jw.org/ta/wol/d/r122/lp-tl/1993481#h=12" TargetMode="External" Id="rId1730"/><Relationship Type="http://schemas.openxmlformats.org/officeDocument/2006/relationships/hyperlink" Target="https://wol.jw.org/en/wol/d/r1/lp-e/1200000305#h=13" TargetMode="External" Id="rId1731"/><Relationship Type="http://schemas.openxmlformats.org/officeDocument/2006/relationships/hyperlink" Target="https://wol.jw.org/en/wol/d/r1/lp-e/1200000305#h=12" TargetMode="External" Id="rId1732"/><Relationship Type="http://schemas.openxmlformats.org/officeDocument/2006/relationships/hyperlink" Target="https://wol.jw.org/en/wol/d/r1/lp-e/1997603#h=15" TargetMode="External" Id="rId1733"/><Relationship Type="http://schemas.openxmlformats.org/officeDocument/2006/relationships/hyperlink" Target="https://wol.jw.org/ta/wol/d/r122/lp-tl/1997603#h=15" TargetMode="External" Id="rId1734"/><Relationship Type="http://schemas.openxmlformats.org/officeDocument/2006/relationships/hyperlink" Target="https://wol.jw.org/en/wol/d/r1/lp-e/1993481#h=10" TargetMode="External" Id="rId1735"/><Relationship Type="http://schemas.openxmlformats.org/officeDocument/2006/relationships/hyperlink" Target="https://wol.jw.org/ta/wol/d/r122/lp-tl/1993481#h=10" TargetMode="External" Id="rId1736"/><Relationship Type="http://schemas.openxmlformats.org/officeDocument/2006/relationships/hyperlink" Target="https://wol.jw.org/en/wol/d/r1/lp-e/1200002893#h=37" TargetMode="External" Id="rId1737"/><Relationship Type="http://schemas.openxmlformats.org/officeDocument/2006/relationships/hyperlink" Target="https://wol.jw.org/en/wol/d/r1/lp-e/1101990043#h=24" TargetMode="External" Id="rId1738"/><Relationship Type="http://schemas.openxmlformats.org/officeDocument/2006/relationships/hyperlink" Target="https://wol.jw.org/ta/wol/d/r122/lp-tl/1101990043#h=24" TargetMode="External" Id="rId1739"/><Relationship Type="http://schemas.openxmlformats.org/officeDocument/2006/relationships/hyperlink" Target="https://wol.jw.org/en/wol/d/r1/lp-e/1101990043#h=41" TargetMode="External" Id="rId1740"/><Relationship Type="http://schemas.openxmlformats.org/officeDocument/2006/relationships/hyperlink" Target="https://wol.jw.org/ta/wol/d/r122/lp-tl/1101990043#h=41" TargetMode="External" Id="rId1741"/><Relationship Type="http://schemas.openxmlformats.org/officeDocument/2006/relationships/hyperlink" Target="https://wol.jw.org/en/wol/d/r1/lp-e/1200004554#h=15" TargetMode="External" Id="rId1742"/><Relationship Type="http://schemas.openxmlformats.org/officeDocument/2006/relationships/hyperlink" Target="https://wol.jw.org/en/wol/d/r1/lp-e/1993481#h=13" TargetMode="External" Id="rId1743"/><Relationship Type="http://schemas.openxmlformats.org/officeDocument/2006/relationships/hyperlink" Target="https://wol.jw.org/ta/wol/d/r122/lp-tl/1993481#h=13" TargetMode="External" Id="rId1744"/><Relationship Type="http://schemas.openxmlformats.org/officeDocument/2006/relationships/hyperlink" Target="https://wol.jw.org/en/wol/d/r1/lp-e/1997603#h=21" TargetMode="External" Id="rId1745"/><Relationship Type="http://schemas.openxmlformats.org/officeDocument/2006/relationships/hyperlink" Target="https://wol.jw.org/ta/wol/d/r122/lp-tl/1997603#h=21" TargetMode="External" Id="rId1746"/><Relationship Type="http://schemas.openxmlformats.org/officeDocument/2006/relationships/hyperlink" Target="https://wol.jw.org/en/wol/d/r1/lp-e/1200004554#h=13" TargetMode="External" Id="rId1747"/><Relationship Type="http://schemas.openxmlformats.org/officeDocument/2006/relationships/hyperlink" Target="https://wol.jw.org/en/wol/d/r1/lp-e/102011443#h=30" TargetMode="External" Id="rId1748"/><Relationship Type="http://schemas.openxmlformats.org/officeDocument/2006/relationships/hyperlink" Target="https://wol.jw.org/en/wol/d/r1/lp-e/1200004554#h=21" TargetMode="External" Id="rId1749"/><Relationship Type="http://schemas.openxmlformats.org/officeDocument/2006/relationships/hyperlink" Target="https://wol.jw.org/en/wol/d/r1/lp-e/1101990043#h=42" TargetMode="External" Id="rId1750"/><Relationship Type="http://schemas.openxmlformats.org/officeDocument/2006/relationships/hyperlink" Target="https://wol.jw.org/ta/wol/d/r122/lp-tl/1101990043#h=42" TargetMode="External" Id="rId1751"/><Relationship Type="http://schemas.openxmlformats.org/officeDocument/2006/relationships/hyperlink" Target="https://wol.jw.org/en/wol/d/r1/lp-e/1101990043#h=24" TargetMode="External" Id="rId1752"/><Relationship Type="http://schemas.openxmlformats.org/officeDocument/2006/relationships/hyperlink" Target="https://wol.jw.org/ta/wol/d/r122/lp-tl/1101990043#h=24" TargetMode="External" Id="rId1753"/><Relationship Type="http://schemas.openxmlformats.org/officeDocument/2006/relationships/hyperlink" Target="https://wol.jw.org/en/wol/d/r1/lp-e/2001166#h=10" TargetMode="External" Id="rId1754"/><Relationship Type="http://schemas.openxmlformats.org/officeDocument/2006/relationships/hyperlink" Target="https://wol.jw.org/ta/wol/d/r122/lp-tl/2001166#h=10" TargetMode="External" Id="rId1755"/><Relationship Type="http://schemas.openxmlformats.org/officeDocument/2006/relationships/hyperlink" Target="https://wol.jw.org/en/wol/d/r1/lp-e/2001166#h=17" TargetMode="External" Id="rId1756"/><Relationship Type="http://schemas.openxmlformats.org/officeDocument/2006/relationships/hyperlink" Target="https://wol.jw.org/ta/wol/d/r122/lp-tl/2001166#h=17" TargetMode="External" Id="rId1757"/><Relationship Type="http://schemas.openxmlformats.org/officeDocument/2006/relationships/hyperlink" Target="https://wol.jw.org/en/wol/d/r1/lp-e/2001166#h=18" TargetMode="External" Id="rId1758"/><Relationship Type="http://schemas.openxmlformats.org/officeDocument/2006/relationships/hyperlink" Target="https://wol.jw.org/ta/wol/d/r122/lp-tl/2001166#h=18" TargetMode="External" Id="rId1759"/><Relationship Type="http://schemas.openxmlformats.org/officeDocument/2006/relationships/hyperlink" Target="https://wol.jw.org/en/wol/d/r1/lp-e/2001166#h=5" TargetMode="External" Id="rId1760"/><Relationship Type="http://schemas.openxmlformats.org/officeDocument/2006/relationships/hyperlink" Target="https://wol.jw.org/ta/wol/d/r122/lp-tl/2001166#h=5" TargetMode="External" Id="rId1761"/><Relationship Type="http://schemas.openxmlformats.org/officeDocument/2006/relationships/hyperlink" Target="https://wol.jw.org/en/wol/d/r1/lp-e/2001166#h=21" TargetMode="External" Id="rId1762"/><Relationship Type="http://schemas.openxmlformats.org/officeDocument/2006/relationships/hyperlink" Target="https://wol.jw.org/ta/wol/d/r122/lp-tl/2001166#h=21" TargetMode="External" Id="rId1763"/><Relationship Type="http://schemas.openxmlformats.org/officeDocument/2006/relationships/hyperlink" Target="https://wol.jw.org/en/wol/d/r1/lp-e/1101990043#h=43" TargetMode="External" Id="rId1764"/><Relationship Type="http://schemas.openxmlformats.org/officeDocument/2006/relationships/hyperlink" Target="https://wol.jw.org/ta/wol/d/r122/lp-tl/1101990043#h=43" TargetMode="External" Id="rId1765"/><Relationship Type="http://schemas.openxmlformats.org/officeDocument/2006/relationships/hyperlink" Target="https://wol.jw.org/en/wol/d/r1/lp-e/2001166#h=27" TargetMode="External" Id="rId1766"/><Relationship Type="http://schemas.openxmlformats.org/officeDocument/2006/relationships/hyperlink" Target="https://wol.jw.org/ta/wol/d/r122/lp-tl/2001166#h=27" TargetMode="External" Id="rId1767"/><Relationship Type="http://schemas.openxmlformats.org/officeDocument/2006/relationships/hyperlink" Target="https://wol.jw.org/en/wol/d/r1/lp-e/1200002893#h=23" TargetMode="External" Id="rId1768"/><Relationship Type="http://schemas.openxmlformats.org/officeDocument/2006/relationships/hyperlink" Target="https://wol.jw.org/en/wol/d/r1/lp-e/1200002893#h=23" TargetMode="External" Id="rId1769"/><Relationship Type="http://schemas.openxmlformats.org/officeDocument/2006/relationships/hyperlink" Target="https://wol.jw.org/en/wol/d/r1/lp-e/1001070203#h=30" TargetMode="External" Id="rId1770"/><Relationship Type="http://schemas.openxmlformats.org/officeDocument/2006/relationships/hyperlink" Target="https://wol.jw.org/ta/wol/d/r122/lp-tl/1001070203#h=30" TargetMode="External" Id="rId1771"/><Relationship Type="http://schemas.openxmlformats.org/officeDocument/2006/relationships/hyperlink" Target="https://wol.jw.org/en/wol/mp/r1/lp-e/nwtsty/2026/6" TargetMode="External" Id="rId1772"/><Relationship Type="http://schemas.openxmlformats.org/officeDocument/2006/relationships/hyperlink" Target="https://wol.jw.org/en/wol/d/r1/lp-e/1001070203#h=8" TargetMode="External" Id="rId1773"/><Relationship Type="http://schemas.openxmlformats.org/officeDocument/2006/relationships/hyperlink" Target="https://wol.jw.org/ta/wol/d/r122/lp-tl/1001070203#h=8" TargetMode="External" Id="rId1774"/><Relationship Type="http://schemas.openxmlformats.org/officeDocument/2006/relationships/hyperlink" Target="https://wol.jw.org/en/wol/d/r1/lp-e/1101990043#h=43" TargetMode="External" Id="rId1775"/><Relationship Type="http://schemas.openxmlformats.org/officeDocument/2006/relationships/hyperlink" Target="https://wol.jw.org/ta/wol/d/r122/lp-tl/1101990043#h=43" TargetMode="External" Id="rId1776"/><Relationship Type="http://schemas.openxmlformats.org/officeDocument/2006/relationships/hyperlink" Target="https://wol.jw.org/en/wol/d/r1/lp-e/1997603#h=24" TargetMode="External" Id="rId1777"/><Relationship Type="http://schemas.openxmlformats.org/officeDocument/2006/relationships/hyperlink" Target="https://wol.jw.org/ta/wol/d/r122/lp-tl/1997603#h=24" TargetMode="External" Id="rId1778"/><Relationship Type="http://schemas.openxmlformats.org/officeDocument/2006/relationships/hyperlink" Target="https://wol.jw.org/en/wol/d/r1/lp-e/101997724#h=13" TargetMode="External" Id="rId1779"/><Relationship Type="http://schemas.openxmlformats.org/officeDocument/2006/relationships/hyperlink" Target="https://wol.jw.org/ta/wol/d/r122/lp-tl/101997724#h=13" TargetMode="External" Id="rId1780"/><Relationship Type="http://schemas.openxmlformats.org/officeDocument/2006/relationships/hyperlink" Target="https://wol.jw.org/en/wol/d/r1/lp-e/101997724#h=3" TargetMode="External" Id="rId1781"/><Relationship Type="http://schemas.openxmlformats.org/officeDocument/2006/relationships/hyperlink" Target="https://wol.jw.org/ta/wol/d/r122/lp-tl/101997724#h=3" TargetMode="External" Id="rId1782"/><Relationship Type="http://schemas.openxmlformats.org/officeDocument/2006/relationships/hyperlink" Target="https://wol.jw.org/en/wol/d/r1/lp-e/101997724" TargetMode="External" Id="rId1783"/><Relationship Type="http://schemas.openxmlformats.org/officeDocument/2006/relationships/hyperlink" Target="https://wol.jw.org/ta/wol/d/r122/lp-tl/101997724" TargetMode="External" Id="rId1784"/><Relationship Type="http://schemas.openxmlformats.org/officeDocument/2006/relationships/hyperlink" Target="https://wol.jw.org/en/wol/d/r1/lp-e/101997724" TargetMode="External" Id="rId1785"/><Relationship Type="http://schemas.openxmlformats.org/officeDocument/2006/relationships/hyperlink" Target="https://wol.jw.org/ta/wol/d/r122/lp-tl/101997724" TargetMode="External" Id="rId1786"/><Relationship Type="http://schemas.openxmlformats.org/officeDocument/2006/relationships/hyperlink" Target="https://wol.jw.org/en/wol/d/r1/lp-e/101997724#h=24" TargetMode="External" Id="rId1787"/><Relationship Type="http://schemas.openxmlformats.org/officeDocument/2006/relationships/hyperlink" Target="https://wol.jw.org/ta/wol/d/r122/lp-tl/101997724#h=24" TargetMode="External" Id="rId1788"/><Relationship Type="http://schemas.openxmlformats.org/officeDocument/2006/relationships/hyperlink" Target="https://wol.jw.org/en/wol/d/r1/lp-e/2002205#h=7" TargetMode="External" Id="rId1789"/><Relationship Type="http://schemas.openxmlformats.org/officeDocument/2006/relationships/hyperlink" Target="https://wol.jw.org/ta/wol/d/r122/lp-tl/2002205#h=7" TargetMode="External" Id="rId1790"/><Relationship Type="http://schemas.openxmlformats.org/officeDocument/2006/relationships/hyperlink" Target="https://wol.jw.org/en/wol/d/r1/lp-e/2002205#h=10" TargetMode="External" Id="rId1791"/><Relationship Type="http://schemas.openxmlformats.org/officeDocument/2006/relationships/hyperlink" Target="https://wol.jw.org/ta/wol/d/r122/lp-tl/2002205#h=10" TargetMode="External" Id="rId1792"/><Relationship Type="http://schemas.openxmlformats.org/officeDocument/2006/relationships/hyperlink" Target="https://wol.jw.org/en/wol/d/r1/lp-e/101997327#h=5" TargetMode="External" Id="rId1793"/><Relationship Type="http://schemas.openxmlformats.org/officeDocument/2006/relationships/hyperlink" Target="https://wol.jw.org/ta/wol/d/r122/lp-tl/101997327#h=5" TargetMode="External" Id="rId1794"/><Relationship Type="http://schemas.openxmlformats.org/officeDocument/2006/relationships/hyperlink" Target="https://wol.jw.org/en/wol/d/r1/lp-e/102011443#h=12" TargetMode="External" Id="rId1795"/><Relationship Type="http://schemas.openxmlformats.org/officeDocument/2006/relationships/hyperlink" Target="https://wol.jw.org/en/wol/d/r1/lp-e/101998086#h=28" TargetMode="External" Id="rId1796"/><Relationship Type="http://schemas.openxmlformats.org/officeDocument/2006/relationships/hyperlink" Target="https://wol.jw.org/ta/wol/d/r122/lp-tl/101998086#h=28" TargetMode="External" Id="rId1797"/><Relationship Type="http://schemas.openxmlformats.org/officeDocument/2006/relationships/hyperlink" Target="https://wol.jw.org/en/wol/d/r1/lp-e/2002205#h=12" TargetMode="External" Id="rId1798"/><Relationship Type="http://schemas.openxmlformats.org/officeDocument/2006/relationships/hyperlink" Target="https://wol.jw.org/ta/wol/d/r122/lp-tl/2002205#h=12" TargetMode="External" Id="rId1799"/><Relationship Type="http://schemas.openxmlformats.org/officeDocument/2006/relationships/hyperlink" Target="https://wol.jw.org/en/wol/d/r1/lp-e/2002205#h=14" TargetMode="External" Id="rId1800"/><Relationship Type="http://schemas.openxmlformats.org/officeDocument/2006/relationships/hyperlink" Target="https://wol.jw.org/ta/wol/d/r122/lp-tl/2002205#h=14" TargetMode="External" Id="rId1801"/><Relationship Type="http://schemas.openxmlformats.org/officeDocument/2006/relationships/hyperlink" Target="https://wol.jw.org/en/wol/d/r1/lp-e/1101990043#h=44" TargetMode="External" Id="rId1802"/><Relationship Type="http://schemas.openxmlformats.org/officeDocument/2006/relationships/hyperlink" Target="https://wol.jw.org/ta/wol/d/r122/lp-tl/1101990043#h=44" TargetMode="External" Id="rId1803"/><Relationship Type="http://schemas.openxmlformats.org/officeDocument/2006/relationships/hyperlink" Target="https://wol.jw.org/en/wol/d/r1/lp-e/2002205#h=15" TargetMode="External" Id="rId1804"/><Relationship Type="http://schemas.openxmlformats.org/officeDocument/2006/relationships/hyperlink" Target="https://wol.jw.org/ta/wol/d/r122/lp-tl/2002205#h=15" TargetMode="External" Id="rId1805"/><Relationship Type="http://schemas.openxmlformats.org/officeDocument/2006/relationships/hyperlink" Target="https://wol.jw.org/en/wol/d/r1/lp-e/101998884#h=20" TargetMode="External" Id="rId1806"/><Relationship Type="http://schemas.openxmlformats.org/officeDocument/2006/relationships/hyperlink" Target="https://wol.jw.org/ta/wol/d/r122/lp-tl/101998884#h=20" TargetMode="External" Id="rId1807"/><Relationship Type="http://schemas.openxmlformats.org/officeDocument/2006/relationships/hyperlink" Target="https://wol.jw.org/en/wol/d/r1/lp-e/2013122#h=17" TargetMode="External" Id="rId1808"/><Relationship Type="http://schemas.openxmlformats.org/officeDocument/2006/relationships/hyperlink" Target="https://wol.jw.org/ta/wol/d/r122/lp-tl/2013122#h=17" TargetMode="External" Id="rId1809"/><Relationship Type="http://schemas.openxmlformats.org/officeDocument/2006/relationships/hyperlink" Target="https://wol.jw.org/en/wol/d/r1/lp-e/101997724#h=29" TargetMode="External" Id="rId1810"/><Relationship Type="http://schemas.openxmlformats.org/officeDocument/2006/relationships/hyperlink" Target="https://wol.jw.org/ta/wol/d/r122/lp-tl/101997724#h=29" TargetMode="External" Id="rId1811"/><Relationship Type="http://schemas.openxmlformats.org/officeDocument/2006/relationships/hyperlink" Target="https://wol.jw.org/en/wol/d/r1/lp-e/2009402#h=5" TargetMode="External" Id="rId1812"/><Relationship Type="http://schemas.openxmlformats.org/officeDocument/2006/relationships/hyperlink" Target="https://wol.jw.org/en/wol/d/r1/lp-e/2009402#h=5" TargetMode="External" Id="rId1813"/><Relationship Type="http://schemas.openxmlformats.org/officeDocument/2006/relationships/hyperlink" Target="https://wol.jw.org/en/wol/d/r1/lp-e/1997685#h=8" TargetMode="External" Id="rId1814"/><Relationship Type="http://schemas.openxmlformats.org/officeDocument/2006/relationships/hyperlink" Target="https://wol.jw.org/ta/wol/d/r122/lp-tl/1997685#h=8" TargetMode="External" Id="rId1815"/><Relationship Type="http://schemas.openxmlformats.org/officeDocument/2006/relationships/hyperlink" Target="https://wol.jw.org/en/wol/d/r1/lp-e/2009402#h=8" TargetMode="External" Id="rId1816"/><Relationship Type="http://schemas.openxmlformats.org/officeDocument/2006/relationships/hyperlink" Target="https://wol.jw.org/en/wol/d/r1/lp-e/1101990045#h=18" TargetMode="External" Id="rId1817"/><Relationship Type="http://schemas.openxmlformats.org/officeDocument/2006/relationships/hyperlink" Target="https://wol.jw.org/ta/wol/d/r122/lp-tl/1101990045#h=18" TargetMode="External" Id="rId1818"/><Relationship Type="http://schemas.openxmlformats.org/officeDocument/2006/relationships/hyperlink" Target="https://wol.jw.org/en/wol/d/r1/lp-e/1101990045#h=19" TargetMode="External" Id="rId1819"/><Relationship Type="http://schemas.openxmlformats.org/officeDocument/2006/relationships/hyperlink" Target="https://wol.jw.org/ta/wol/d/r122/lp-tl/1101990045#h=19" TargetMode="External" Id="rId1820"/><Relationship Type="http://schemas.openxmlformats.org/officeDocument/2006/relationships/hyperlink" Target="https://wol.jw.org/en/wol/d/r1/lp-e/1101990045#h=19" TargetMode="External" Id="rId1821"/><Relationship Type="http://schemas.openxmlformats.org/officeDocument/2006/relationships/hyperlink" Target="https://wol.jw.org/ta/wol/d/r122/lp-tl/1101990045#h=19" TargetMode="External" Id="rId1822"/><Relationship Type="http://schemas.openxmlformats.org/officeDocument/2006/relationships/hyperlink" Target="https://wol.jw.org/en/wol/d/r1/lp-e/1997685#h=7" TargetMode="External" Id="rId1823"/><Relationship Type="http://schemas.openxmlformats.org/officeDocument/2006/relationships/hyperlink" Target="https://wol.jw.org/ta/wol/d/r122/lp-tl/1997685#h=7" TargetMode="External" Id="rId1824"/><Relationship Type="http://schemas.openxmlformats.org/officeDocument/2006/relationships/hyperlink" Target="https://wol.jw.org/en/wol/d/r1/lp-e/1997685#h=11" TargetMode="External" Id="rId1825"/><Relationship Type="http://schemas.openxmlformats.org/officeDocument/2006/relationships/hyperlink" Target="https://wol.jw.org/ta/wol/d/r122/lp-tl/1997685#h=11" TargetMode="External" Id="rId1826"/><Relationship Type="http://schemas.openxmlformats.org/officeDocument/2006/relationships/hyperlink" Target="https://wol.jw.org/en/wol/d/r1/lp-e/1997685#h=11" TargetMode="External" Id="rId1827"/><Relationship Type="http://schemas.openxmlformats.org/officeDocument/2006/relationships/hyperlink" Target="https://wol.jw.org/ta/wol/d/r122/lp-tl/1997685#h=11" TargetMode="External" Id="rId1828"/><Relationship Type="http://schemas.openxmlformats.org/officeDocument/2006/relationships/hyperlink" Target="https://wol.jw.org/en/wol/d/r1/lp-e/1101990045#h=20" TargetMode="External" Id="rId1829"/><Relationship Type="http://schemas.openxmlformats.org/officeDocument/2006/relationships/hyperlink" Target="https://wol.jw.org/ta/wol/d/r122/lp-tl/1101990045#h=20" TargetMode="External" Id="rId1830"/><Relationship Type="http://schemas.openxmlformats.org/officeDocument/2006/relationships/hyperlink" Target="https://wol.jw.org/en/wol/d/r1/lp-e/1997685#h=12" TargetMode="External" Id="rId1831"/><Relationship Type="http://schemas.openxmlformats.org/officeDocument/2006/relationships/hyperlink" Target="https://wol.jw.org/ta/wol/d/r122/lp-tl/1997685#h=12" TargetMode="External" Id="rId1832"/><Relationship Type="http://schemas.openxmlformats.org/officeDocument/2006/relationships/hyperlink" Target="https://wol.jw.org/en/wol/d/r1/lp-e/1997685#h=14" TargetMode="External" Id="rId1833"/><Relationship Type="http://schemas.openxmlformats.org/officeDocument/2006/relationships/hyperlink" Target="https://wol.jw.org/ta/wol/d/r122/lp-tl/1997685#h=14" TargetMode="External" Id="rId1834"/><Relationship Type="http://schemas.openxmlformats.org/officeDocument/2006/relationships/hyperlink" Target="https://wol.jw.org/en/wol/mp/r1/lp-e/w16/2016/915" TargetMode="External" Id="rId1835"/><Relationship Type="http://schemas.openxmlformats.org/officeDocument/2006/relationships/hyperlink" Target="https://wol.jw.org/en/wol/d/r1/lp-e/1997685#h=14" TargetMode="External" Id="rId1836"/><Relationship Type="http://schemas.openxmlformats.org/officeDocument/2006/relationships/hyperlink" Target="https://wol.jw.org/ta/wol/d/r122/lp-tl/1997685#h=14" TargetMode="External" Id="rId1837"/><Relationship Type="http://schemas.openxmlformats.org/officeDocument/2006/relationships/hyperlink" Target="https://wol.jw.org/en/wol/d/r1/lp-e/101997327#h=6" TargetMode="External" Id="rId1838"/><Relationship Type="http://schemas.openxmlformats.org/officeDocument/2006/relationships/hyperlink" Target="https://wol.jw.org/ta/wol/d/r122/lp-tl/101997327#h=6" TargetMode="External" Id="rId1839"/><Relationship Type="http://schemas.openxmlformats.org/officeDocument/2006/relationships/hyperlink" Target="https://wol.jw.org/en/wol/d/r1/lp-e/101986288" TargetMode="External" Id="rId1840"/><Relationship Type="http://schemas.openxmlformats.org/officeDocument/2006/relationships/hyperlink" Target="https://wol.jw.org/ta/wol/d/r122/lp-tl/101986288" TargetMode="External" Id="rId1841"/><Relationship Type="http://schemas.openxmlformats.org/officeDocument/2006/relationships/hyperlink" Target="https://wol.jw.org/en/wol/d/r1/lp-e/2003686#h=5" TargetMode="External" Id="rId1842"/><Relationship Type="http://schemas.openxmlformats.org/officeDocument/2006/relationships/hyperlink" Target="https://wol.jw.org/ta/wol/d/r122/lp-tl/2003686#h=5" TargetMode="External" Id="rId1843"/><Relationship Type="http://schemas.openxmlformats.org/officeDocument/2006/relationships/hyperlink" Target="https://wol.jw.org/en/wol/d/r1/lp-e/2003686#h=5" TargetMode="External" Id="rId1844"/><Relationship Type="http://schemas.openxmlformats.org/officeDocument/2006/relationships/hyperlink" Target="https://wol.jw.org/ta/wol/d/r122/lp-tl/2003686#h=5" TargetMode="External" Id="rId1845"/><Relationship Type="http://schemas.openxmlformats.org/officeDocument/2006/relationships/hyperlink" Target="https://wol.jw.org/en/wol/d/r1/lp-e/1992442#h=14" TargetMode="External" Id="rId1846"/><Relationship Type="http://schemas.openxmlformats.org/officeDocument/2006/relationships/hyperlink" Target="https://wol.jw.org/ta/wol/d/r122/lp-tl/1992442#h=14" TargetMode="External" Id="rId1847"/><Relationship Type="http://schemas.openxmlformats.org/officeDocument/2006/relationships/hyperlink" Target="https://wol.jw.org/en/wol/d/r1/lp-e/1997685#h=14" TargetMode="External" Id="rId1848"/><Relationship Type="http://schemas.openxmlformats.org/officeDocument/2006/relationships/hyperlink" Target="https://wol.jw.org/ta/wol/d/r122/lp-tl/1997685#h=14" TargetMode="External" Id="rId1849"/><Relationship Type="http://schemas.openxmlformats.org/officeDocument/2006/relationships/hyperlink" Target="https://wol.jw.org/en/wol/d/r1/lp-e/1101990045#h=21" TargetMode="External" Id="rId1850"/><Relationship Type="http://schemas.openxmlformats.org/officeDocument/2006/relationships/hyperlink" Target="https://wol.jw.org/ta/wol/d/r122/lp-tl/1101990045#h=21" TargetMode="External" Id="rId1851"/><Relationship Type="http://schemas.openxmlformats.org/officeDocument/2006/relationships/hyperlink" Target="https://wol.jw.org/en/wol/d/r1/lp-e/1101990045#h=21" TargetMode="External" Id="rId1852"/><Relationship Type="http://schemas.openxmlformats.org/officeDocument/2006/relationships/hyperlink" Target="https://wol.jw.org/ta/wol/d/r122/lp-tl/1101990045#h=21" TargetMode="External" Id="rId1853"/><Relationship Type="http://schemas.openxmlformats.org/officeDocument/2006/relationships/hyperlink" Target="https://wol.jw.org/en/wol/d/r1/lp-e/2003686#h=5" TargetMode="External" Id="rId1854"/><Relationship Type="http://schemas.openxmlformats.org/officeDocument/2006/relationships/hyperlink" Target="https://wol.jw.org/ta/wol/d/r122/lp-tl/2003686#h=5" TargetMode="External" Id="rId1855"/><Relationship Type="http://schemas.openxmlformats.org/officeDocument/2006/relationships/hyperlink" Target="https://wol.jw.org/en/wol/d/r1/lp-e/1200002893#h=13" TargetMode="External" Id="rId1856"/><Relationship Type="http://schemas.openxmlformats.org/officeDocument/2006/relationships/hyperlink" Target="https://wol.jw.org/en/wol/d/r1/lp-e/1997685#h=15" TargetMode="External" Id="rId1857"/><Relationship Type="http://schemas.openxmlformats.org/officeDocument/2006/relationships/hyperlink" Target="https://wol.jw.org/ta/wol/d/r122/lp-tl/1997685#h=15" TargetMode="External" Id="rId1858"/><Relationship Type="http://schemas.openxmlformats.org/officeDocument/2006/relationships/hyperlink" Target="https://wol.jw.org/en/wol/d/r1/lp-e/1101990045#h=26" TargetMode="External" Id="rId1859"/><Relationship Type="http://schemas.openxmlformats.org/officeDocument/2006/relationships/hyperlink" Target="https://wol.jw.org/ta/wol/d/r122/lp-tl/1101990045#h=26" TargetMode="External" Id="rId1860"/><Relationship Type="http://schemas.openxmlformats.org/officeDocument/2006/relationships/hyperlink" Target="https://wol.jw.org/en/wol/d/r1/lp-e/1101990045#h=8" TargetMode="External" Id="rId1861"/><Relationship Type="http://schemas.openxmlformats.org/officeDocument/2006/relationships/hyperlink" Target="https://wol.jw.org/ta/wol/d/r122/lp-tl/1101990045#h=8" TargetMode="External" Id="rId1862"/><Relationship Type="http://schemas.openxmlformats.org/officeDocument/2006/relationships/hyperlink" Target="https://wol.jw.org/en/wol/d/r1/lp-e/1101990045#h=43" TargetMode="External" Id="rId1863"/><Relationship Type="http://schemas.openxmlformats.org/officeDocument/2006/relationships/hyperlink" Target="https://wol.jw.org/ta/wol/d/r122/lp-tl/1101990045#h=43" TargetMode="External" Id="rId1864"/><Relationship Type="http://schemas.openxmlformats.org/officeDocument/2006/relationships/hyperlink" Target="https://wol.jw.org/en/wol/d/r1/lp-e/1995282#h=15" TargetMode="External" Id="rId1865"/><Relationship Type="http://schemas.openxmlformats.org/officeDocument/2006/relationships/hyperlink" Target="https://wol.jw.org/ta/wol/d/r122/lp-tl/1995282#h=15" TargetMode="External" Id="rId1866"/><Relationship Type="http://schemas.openxmlformats.org/officeDocument/2006/relationships/hyperlink" Target="https://wol.jw.org/en/wol/d/r1/lp-e/1101990045#h=34" TargetMode="External" Id="rId1867"/><Relationship Type="http://schemas.openxmlformats.org/officeDocument/2006/relationships/hyperlink" Target="https://wol.jw.org/ta/wol/d/r122/lp-tl/1101990045#h=34" TargetMode="External" Id="rId1868"/><Relationship Type="http://schemas.openxmlformats.org/officeDocument/2006/relationships/hyperlink" Target="https://wol.jw.org/en/wol/d/r1/lp-e/2003686#h=15" TargetMode="External" Id="rId1869"/><Relationship Type="http://schemas.openxmlformats.org/officeDocument/2006/relationships/hyperlink" Target="https://wol.jw.org/ta/wol/d/r122/lp-tl/2003686#h=15" TargetMode="External" Id="rId1870"/><Relationship Type="http://schemas.openxmlformats.org/officeDocument/2006/relationships/hyperlink" Target="https://wol.jw.org/en/wol/d/r1/lp-e/501100071#h=12" TargetMode="External" Id="rId1871"/><Relationship Type="http://schemas.openxmlformats.org/officeDocument/2006/relationships/hyperlink" Target="https://wol.jw.org/ta/wol/d/r122/lp-tl/501100071#h=12" TargetMode="External" Id="rId1872"/><Relationship Type="http://schemas.openxmlformats.org/officeDocument/2006/relationships/hyperlink" Target="https://wol.jw.org/en/wol/d/r1/lp-e/2003686#h=19" TargetMode="External" Id="rId1873"/><Relationship Type="http://schemas.openxmlformats.org/officeDocument/2006/relationships/hyperlink" Target="https://wol.jw.org/ta/wol/d/r122/lp-tl/2003686#h=19" TargetMode="External" Id="rId1874"/><Relationship Type="http://schemas.openxmlformats.org/officeDocument/2006/relationships/hyperlink" Target="https://wol.jw.org/en/wol/d/r1/lp-e/1997685#h=19" TargetMode="External" Id="rId1875"/><Relationship Type="http://schemas.openxmlformats.org/officeDocument/2006/relationships/hyperlink" Target="https://wol.jw.org/ta/wol/d/r122/lp-tl/1997685#h=19" TargetMode="External" Id="rId1876"/><Relationship Type="http://schemas.openxmlformats.org/officeDocument/2006/relationships/hyperlink" Target="https://wol.jw.org/en/wol/d/r1/lp-e/2009402#h=12" TargetMode="External" Id="rId1877"/><Relationship Type="http://schemas.openxmlformats.org/officeDocument/2006/relationships/hyperlink" Target="https://wol.jw.org/en/wol/d/r1/lp-e/1997603#h=5" TargetMode="External" Id="rId1878"/><Relationship Type="http://schemas.openxmlformats.org/officeDocument/2006/relationships/hyperlink" Target="https://wol.jw.org/ta/wol/d/r122/lp-tl/1997603#h=5" TargetMode="External" Id="rId1879"/><Relationship Type="http://schemas.openxmlformats.org/officeDocument/2006/relationships/hyperlink" Target="https://wol.jw.org/en/wol/d/r1/lp-e/2003686#h=20" TargetMode="External" Id="rId1880"/><Relationship Type="http://schemas.openxmlformats.org/officeDocument/2006/relationships/hyperlink" Target="https://wol.jw.org/ta/wol/d/r122/lp-tl/2003686#h=20" TargetMode="External" Id="rId1881"/><Relationship Type="http://schemas.openxmlformats.org/officeDocument/2006/relationships/hyperlink" Target="https://wol.jw.org/en/wol/d/r1/lp-e/1997685#h=19" TargetMode="External" Id="rId1882"/><Relationship Type="http://schemas.openxmlformats.org/officeDocument/2006/relationships/hyperlink" Target="https://wol.jw.org/ta/wol/d/r122/lp-tl/1997685#h=19" TargetMode="External" Id="rId1883"/><Relationship Type="http://schemas.openxmlformats.org/officeDocument/2006/relationships/hyperlink" Target="https://wol.jw.org/en/wol/mp/r1/lp-e/w13/2013/211" TargetMode="External" Id="rId1884"/><Relationship Type="http://schemas.openxmlformats.org/officeDocument/2006/relationships/hyperlink" Target="https://wol.jw.org/en/wol/d/r1/lp-e/1995282#h=5" TargetMode="External" Id="rId1885"/><Relationship Type="http://schemas.openxmlformats.org/officeDocument/2006/relationships/hyperlink" Target="https://wol.jw.org/ta/wol/d/r122/lp-tl/1995282#h=5" TargetMode="External" Id="rId1886"/><Relationship Type="http://schemas.openxmlformats.org/officeDocument/2006/relationships/hyperlink" Target="https://wol.jw.org/en/wol/d/r1/lp-e/2012408#h=6" TargetMode="External" Id="rId1887"/><Relationship Type="http://schemas.openxmlformats.org/officeDocument/2006/relationships/hyperlink" Target="https://wol.jw.org/en/wol/d/r1/lp-e/1101990045#h=37" TargetMode="External" Id="rId1888"/><Relationship Type="http://schemas.openxmlformats.org/officeDocument/2006/relationships/hyperlink" Target="https://wol.jw.org/ta/wol/d/r122/lp-tl/1101990045#h=37" TargetMode="External" Id="rId1889"/><Relationship Type="http://schemas.openxmlformats.org/officeDocument/2006/relationships/hyperlink" Target="https://wol.jw.org/en/wol/d/r1/lp-e/1997685#h=25" TargetMode="External" Id="rId1890"/><Relationship Type="http://schemas.openxmlformats.org/officeDocument/2006/relationships/hyperlink" Target="https://wol.jw.org/ta/wol/d/r122/lp-tl/1997685#h=25" TargetMode="External" Id="rId1891"/><Relationship Type="http://schemas.openxmlformats.org/officeDocument/2006/relationships/hyperlink" Target="https://wol.jw.org/en/wol/d/r1/lp-e/1101990133#h=23" TargetMode="External" Id="rId1892"/><Relationship Type="http://schemas.openxmlformats.org/officeDocument/2006/relationships/hyperlink" Target="https://wol.jw.org/ta/wol/d/r122/lp-tl/1101990133#h=23" TargetMode="External" Id="rId1893"/><Relationship Type="http://schemas.openxmlformats.org/officeDocument/2006/relationships/hyperlink" Target="https://wol.jw.org/en/wol/d/r1/lp-e/1101990045#h=37" TargetMode="External" Id="rId1894"/><Relationship Type="http://schemas.openxmlformats.org/officeDocument/2006/relationships/hyperlink" Target="https://wol.jw.org/ta/wol/d/r122/lp-tl/1101990045#h=37" TargetMode="External" Id="rId1895"/><Relationship Type="http://schemas.openxmlformats.org/officeDocument/2006/relationships/hyperlink" Target="https://wol.jw.org/en/wol/d/r1/lp-e/501100071#h=15" TargetMode="External" Id="rId1896"/><Relationship Type="http://schemas.openxmlformats.org/officeDocument/2006/relationships/hyperlink" Target="https://wol.jw.org/ta/wol/d/r122/lp-tl/501100071#h=15" TargetMode="External" Id="rId1897"/><Relationship Type="http://schemas.openxmlformats.org/officeDocument/2006/relationships/hyperlink" Target="https://wol.jw.org/en/wol/d/r1/lp-e/1101990045#h=45" TargetMode="External" Id="rId1898"/><Relationship Type="http://schemas.openxmlformats.org/officeDocument/2006/relationships/hyperlink" Target="https://wol.jw.org/ta/wol/d/r122/lp-tl/1101990045#h=45" TargetMode="External" Id="rId1899"/><Relationship Type="http://schemas.openxmlformats.org/officeDocument/2006/relationships/hyperlink" Target="https://wol.jw.org/en/wol/d/r1/lp-e/1101990045#h=58" TargetMode="External" Id="rId1900"/><Relationship Type="http://schemas.openxmlformats.org/officeDocument/2006/relationships/hyperlink" Target="https://wol.jw.org/ta/wol/d/r122/lp-tl/1101990045#h=58" TargetMode="External" Id="rId1901"/><Relationship Type="http://schemas.openxmlformats.org/officeDocument/2006/relationships/hyperlink" Target="https://wol.jw.org/en/wol/d/r1/lp-e/2003686#h=22" TargetMode="External" Id="rId1902"/><Relationship Type="http://schemas.openxmlformats.org/officeDocument/2006/relationships/hyperlink" Target="https://wol.jw.org/ta/wol/d/r122/lp-tl/2003686#h=22" TargetMode="External" Id="rId1903"/><Relationship Type="http://schemas.openxmlformats.org/officeDocument/2006/relationships/hyperlink" Target="https://wol.jw.org/en/wol/d/r1/lp-e/1101990045#h=48" TargetMode="External" Id="rId1904"/><Relationship Type="http://schemas.openxmlformats.org/officeDocument/2006/relationships/hyperlink" Target="https://wol.jw.org/ta/wol/d/r122/lp-tl/1101990045#h=48" TargetMode="External" Id="rId1905"/><Relationship Type="http://schemas.openxmlformats.org/officeDocument/2006/relationships/hyperlink" Target="https://wol.jw.org/en/wol/d/r1/lp-e/2012408#h=2" TargetMode="External" Id="rId1906"/><Relationship Type="http://schemas.openxmlformats.org/officeDocument/2006/relationships/hyperlink" Target="https://wol.jw.org/en/wol/d/r1/lp-e/2002205#h=25" TargetMode="External" Id="rId1907"/><Relationship Type="http://schemas.openxmlformats.org/officeDocument/2006/relationships/hyperlink" Target="https://wol.jw.org/ta/wol/d/r122/lp-tl/2002205#h=25" TargetMode="External" Id="rId1908"/><Relationship Type="http://schemas.openxmlformats.org/officeDocument/2006/relationships/hyperlink" Target="https://wol.jw.org/en/wol/d/r1/lp-e/2010647#h=8" TargetMode="External" Id="rId1909"/><Relationship Type="http://schemas.openxmlformats.org/officeDocument/2006/relationships/hyperlink" Target="https://wol.jw.org/en/wol/d/r1/lp-e/1997685#h=30" TargetMode="External" Id="rId1910"/><Relationship Type="http://schemas.openxmlformats.org/officeDocument/2006/relationships/hyperlink" Target="https://wol.jw.org/ta/wol/d/r122/lp-tl/1997685#h=30" TargetMode="External" Id="rId1911"/><Relationship Type="http://schemas.openxmlformats.org/officeDocument/2006/relationships/hyperlink" Target="https://wol.jw.org/en/wol/mp/r1/lp-e/w13/2013/211" TargetMode="External" Id="rId1912"/><Relationship Type="http://schemas.openxmlformats.org/officeDocument/2006/relationships/hyperlink" Target="https://wol.jw.org/en/wol/d/r1/lp-e/2012408#h=11" TargetMode="External" Id="rId1913"/><Relationship Type="http://schemas.openxmlformats.org/officeDocument/2006/relationships/hyperlink" Target="https://wol.jw.org/en/wol/d/r1/lp-e/1997685#h=31" TargetMode="External" Id="rId1914"/><Relationship Type="http://schemas.openxmlformats.org/officeDocument/2006/relationships/hyperlink" Target="https://wol.jw.org/ta/wol/d/r122/lp-tl/1997685#h=31" TargetMode="External" Id="rId1915"/><Relationship Type="http://schemas.openxmlformats.org/officeDocument/2006/relationships/hyperlink" Target="https://wol.jw.org/en/wol/d/r1/lp-e/2012408#h=12" TargetMode="External" Id="rId1916"/><Relationship Type="http://schemas.openxmlformats.org/officeDocument/2006/relationships/hyperlink" Target="https://wol.jw.org/en/wol/d/r1/lp-e/101998884#h=5" TargetMode="External" Id="rId1917"/><Relationship Type="http://schemas.openxmlformats.org/officeDocument/2006/relationships/hyperlink" Target="https://wol.jw.org/ta/wol/d/r122/lp-tl/101998884#h=5" TargetMode="External" Id="rId1918"/><Relationship Type="http://schemas.openxmlformats.org/officeDocument/2006/relationships/hyperlink" Target="https://wol.jw.org/en/wol/d/r1/lp-e/1992442#h=17" TargetMode="External" Id="rId1919"/><Relationship Type="http://schemas.openxmlformats.org/officeDocument/2006/relationships/hyperlink" Target="https://wol.jw.org/ta/wol/d/r122/lp-tl/1992442#h=17" TargetMode="External" Id="rId1920"/><Relationship Type="http://schemas.openxmlformats.org/officeDocument/2006/relationships/hyperlink" Target="https://wol.jw.org/en/wol/d/r1/lp-e/2002205#h=2" TargetMode="External" Id="rId1921"/><Relationship Type="http://schemas.openxmlformats.org/officeDocument/2006/relationships/hyperlink" Target="https://wol.jw.org/ta/wol/d/r122/lp-tl/2002205#h=2" TargetMode="External" Id="rId1922"/><Relationship Type="http://schemas.openxmlformats.org/officeDocument/2006/relationships/hyperlink" Target="https://wol.jw.org/en/wol/d/r1/lp-e/1992442#h=21" TargetMode="External" Id="rId1923"/><Relationship Type="http://schemas.openxmlformats.org/officeDocument/2006/relationships/hyperlink" Target="https://wol.jw.org/ta/wol/d/r122/lp-tl/1992442#h=21" TargetMode="External" Id="rId1924"/><Relationship Type="http://schemas.openxmlformats.org/officeDocument/2006/relationships/hyperlink" Target="https://wol.jw.org/en/wol/d/r1/lp-e/2003686#h=28" TargetMode="External" Id="rId1925"/><Relationship Type="http://schemas.openxmlformats.org/officeDocument/2006/relationships/hyperlink" Target="https://wol.jw.org/ta/wol/d/r122/lp-tl/2003686#h=28" TargetMode="External" Id="rId1926"/><Relationship Type="http://schemas.openxmlformats.org/officeDocument/2006/relationships/hyperlink" Target="https://wol.jw.org/en/wol/d/r1/lp-e/1200000305#h=13" TargetMode="External" Id="rId1927"/><Relationship Type="http://schemas.openxmlformats.org/officeDocument/2006/relationships/hyperlink" Target="https://wol.jw.org/en/wol/d/r1/lp-e/1200002893#h=13" TargetMode="External" Id="rId1928"/><Relationship Type="http://schemas.openxmlformats.org/officeDocument/2006/relationships/hyperlink" Target="https://wol.jw.org/en/wol/d/r1/lp-e/1995282#h=29" TargetMode="External" Id="rId1929"/><Relationship Type="http://schemas.openxmlformats.org/officeDocument/2006/relationships/hyperlink" Target="https://wol.jw.org/ta/wol/d/r122/lp-tl/1995282#h=29" TargetMode="External" Id="rId1930"/><Relationship Type="http://schemas.openxmlformats.org/officeDocument/2006/relationships/hyperlink" Target="https://wol.jw.org/en/wol/d/r1/lp-e/1101990133#h=24" TargetMode="External" Id="rId1931"/><Relationship Type="http://schemas.openxmlformats.org/officeDocument/2006/relationships/hyperlink" Target="https://wol.jw.org/ta/wol/d/r122/lp-tl/1101990133#h=24" TargetMode="External" Id="rId1932"/><Relationship Type="http://schemas.openxmlformats.org/officeDocument/2006/relationships/hyperlink" Target="https://wol.jw.org/en/wol/d/r1/lp-e/2012408#h=14" TargetMode="External" Id="rId1933"/><Relationship Type="http://schemas.openxmlformats.org/officeDocument/2006/relationships/hyperlink" Target="https://wol.jw.org/en/wol/d/r1/lp-e/1101990133#h=24" TargetMode="External" Id="rId1934"/><Relationship Type="http://schemas.openxmlformats.org/officeDocument/2006/relationships/hyperlink" Target="https://wol.jw.org/ta/wol/d/r122/lp-tl/1101990133#h=24" TargetMode="External" Id="rId1935"/><Relationship Type="http://schemas.openxmlformats.org/officeDocument/2006/relationships/hyperlink" Target="https://wol.jw.org/en/wol/d/r1/lp-e/1101990045#h=115" TargetMode="External" Id="rId1936"/><Relationship Type="http://schemas.openxmlformats.org/officeDocument/2006/relationships/hyperlink" Target="https://wol.jw.org/ta/wol/d/r122/lp-tl/1101990045#h=115" TargetMode="External" Id="rId1937"/><Relationship Type="http://schemas.openxmlformats.org/officeDocument/2006/relationships/hyperlink" Target="https://wol.jw.org/en/wol/d/r1/lp-e/1995282#h=30" TargetMode="External" Id="rId1938"/><Relationship Type="http://schemas.openxmlformats.org/officeDocument/2006/relationships/hyperlink" Target="https://wol.jw.org/ta/wol/d/r122/lp-tl/1995282#h=30" TargetMode="External" Id="rId1939"/><Relationship Type="http://schemas.openxmlformats.org/officeDocument/2006/relationships/hyperlink" Target="https://wol.jw.org/en/wol/d/r1/lp-e/1101990045#h=59" TargetMode="External" Id="rId1940"/><Relationship Type="http://schemas.openxmlformats.org/officeDocument/2006/relationships/hyperlink" Target="https://wol.jw.org/ta/wol/d/r122/lp-tl/1101990045#h=59" TargetMode="External" Id="rId1941"/><Relationship Type="http://schemas.openxmlformats.org/officeDocument/2006/relationships/hyperlink" Target="https://wol.jw.org/en/wol/d/r1/lp-e/102011443#h=19" TargetMode="External" Id="rId1942"/><Relationship Type="http://schemas.openxmlformats.org/officeDocument/2006/relationships/hyperlink" Target="https://wol.jw.org/en/wol/d/r1/lp-e/1992442#h=2" TargetMode="External" Id="rId1943"/><Relationship Type="http://schemas.openxmlformats.org/officeDocument/2006/relationships/hyperlink" Target="https://wol.jw.org/ta/wol/d/r122/lp-tl/1992442#h=2" TargetMode="External" Id="rId1944"/><Relationship Type="http://schemas.openxmlformats.org/officeDocument/2006/relationships/hyperlink" Target="https://wol.jw.org/en/wol/d/r1/lp-e/102011446#h=7" TargetMode="External" Id="rId1945"/><Relationship Type="http://schemas.openxmlformats.org/officeDocument/2006/relationships/hyperlink" Target="https://wol.jw.org/en/wol/d/r1/lp-e/2010647#h=21" TargetMode="External" Id="rId1946"/><Relationship Type="http://schemas.openxmlformats.org/officeDocument/2006/relationships/hyperlink" Target="https://wol.jw.org/en/wol/d/r1/lp-e/102011446#h=9" TargetMode="External" Id="rId1947"/><Relationship Type="http://schemas.openxmlformats.org/officeDocument/2006/relationships/hyperlink" Target="https://wol.jw.org/en/wol/d/r1/lp-e/102007409#h=17" TargetMode="External" Id="rId1948"/><Relationship Type="http://schemas.openxmlformats.org/officeDocument/2006/relationships/hyperlink" Target="https://wol.jw.org/ta/wol/d/r122/lp-tl/102007409#h=17" TargetMode="External" Id="rId1949"/><Relationship Type="http://schemas.openxmlformats.org/officeDocument/2006/relationships/hyperlink" Target="https://wol.jw.org/en/wol/d/r1/lp-e/102011446#h=7" TargetMode="External" Id="rId1950"/><Relationship Type="http://schemas.openxmlformats.org/officeDocument/2006/relationships/hyperlink" Target="https://wol.jw.org/en/wol/d/r1/lp-e/102011446#h=11" TargetMode="External" Id="rId1951"/><Relationship Type="http://schemas.openxmlformats.org/officeDocument/2006/relationships/hyperlink" Target="https://wol.jw.org/en/wol/d/r1/lp-e/2009251#h=13" TargetMode="External" Id="rId1952"/><Relationship Type="http://schemas.openxmlformats.org/officeDocument/2006/relationships/hyperlink" Target="https://wol.jw.org/en/wol/d/r1/lp-e/1992442#h=22" TargetMode="External" Id="rId1953"/><Relationship Type="http://schemas.openxmlformats.org/officeDocument/2006/relationships/hyperlink" Target="https://wol.jw.org/ta/wol/d/r122/lp-tl/1992442#h=22" TargetMode="External" Id="rId1954"/><Relationship Type="http://schemas.openxmlformats.org/officeDocument/2006/relationships/hyperlink" Target="https://wol.jw.org/en/wol/d/r1/lp-e/102011446#h=10" TargetMode="External" Id="rId1955"/><Relationship Type="http://schemas.openxmlformats.org/officeDocument/2006/relationships/hyperlink" Target="https://wol.jw.org/en/wol/d/r1/lp-e/1101990134#h=138" TargetMode="External" Id="rId1956"/><Relationship Type="http://schemas.openxmlformats.org/officeDocument/2006/relationships/hyperlink" Target="https://wol.jw.org/ta/wol/d/r122/lp-tl/1101990134#h=138" TargetMode="External" Id="rId1957"/><Relationship Type="http://schemas.openxmlformats.org/officeDocument/2006/relationships/hyperlink" Target="https://wol.jw.org/en/wol/d/r1/lp-e/102011446#h=3" TargetMode="External" Id="rId1958"/><Relationship Type="http://schemas.openxmlformats.org/officeDocument/2006/relationships/hyperlink" Target="https://wol.jw.org/en/wol/d/r1/lp-e/2004205#h=9" TargetMode="External" Id="rId1959"/><Relationship Type="http://schemas.openxmlformats.org/officeDocument/2006/relationships/hyperlink" Target="https://wol.jw.org/ta/wol/d/r122/lp-tl/2004205#h=9" TargetMode="External" Id="rId1960"/><Relationship Type="http://schemas.openxmlformats.org/officeDocument/2006/relationships/hyperlink" Target="https://wol.jw.org/en/wol/d/r1/lp-e/2007483#h=3" TargetMode="External" Id="rId1961"/><Relationship Type="http://schemas.openxmlformats.org/officeDocument/2006/relationships/hyperlink" Target="https://wol.jw.org/ta/wol/d/r122/lp-tl/2007483#h=3" TargetMode="External" Id="rId1962"/><Relationship Type="http://schemas.openxmlformats.org/officeDocument/2006/relationships/hyperlink" Target="https://wol.jw.org/en/wol/d/r1/lp-e/2007483#h=3" TargetMode="External" Id="rId1963"/><Relationship Type="http://schemas.openxmlformats.org/officeDocument/2006/relationships/hyperlink" Target="https://wol.jw.org/ta/wol/d/r122/lp-tl/2007483#h=3" TargetMode="External" Id="rId1964"/><Relationship Type="http://schemas.openxmlformats.org/officeDocument/2006/relationships/hyperlink" Target="https://wol.jw.org/en/wol/d/r1/lp-e/1101990134#h=131" TargetMode="External" Id="rId1965"/><Relationship Type="http://schemas.openxmlformats.org/officeDocument/2006/relationships/hyperlink" Target="https://wol.jw.org/ta/wol/d/r122/lp-tl/1101990134#h=131" TargetMode="External" Id="rId1966"/><Relationship Type="http://schemas.openxmlformats.org/officeDocument/2006/relationships/hyperlink" Target="https://wol.jw.org/en/wol/d/r1/lp-e/2013122#h=25" TargetMode="External" Id="rId1967"/><Relationship Type="http://schemas.openxmlformats.org/officeDocument/2006/relationships/hyperlink" Target="https://wol.jw.org/ta/wol/d/r122/lp-tl/2013122#h=25" TargetMode="External" Id="rId1968"/><Relationship Type="http://schemas.openxmlformats.org/officeDocument/2006/relationships/hyperlink" Target="https://wol.jw.org/en/wol/d/r1/lp-e/2004205#h=3" TargetMode="External" Id="rId1969"/><Relationship Type="http://schemas.openxmlformats.org/officeDocument/2006/relationships/hyperlink" Target="https://wol.jw.org/ta/wol/d/r122/lp-tl/2004205#h=3" TargetMode="External" Id="rId1970"/><Relationship Type="http://schemas.openxmlformats.org/officeDocument/2006/relationships/hyperlink" Target="https://wol.jw.org/en/wol/d/r1/lp-e/2007483#h=14" TargetMode="External" Id="rId1971"/><Relationship Type="http://schemas.openxmlformats.org/officeDocument/2006/relationships/hyperlink" Target="https://wol.jw.org/ta/wol/d/r122/lp-tl/2007483#h=14" TargetMode="External" Id="rId1972"/><Relationship Type="http://schemas.openxmlformats.org/officeDocument/2006/relationships/hyperlink" Target="https://wol.jw.org/en/wol/d/r1/lp-e/101979409#h=4" TargetMode="External" Id="rId1973"/><Relationship Type="http://schemas.openxmlformats.org/officeDocument/2006/relationships/hyperlink" Target="https://wol.jw.org/en/wol/d/r1/lp-e/2007483#h=19" TargetMode="External" Id="rId1974"/><Relationship Type="http://schemas.openxmlformats.org/officeDocument/2006/relationships/hyperlink" Target="https://wol.jw.org/ta/wol/d/r122/lp-tl/2007483#h=19" TargetMode="External" Id="rId1975"/><Relationship Type="http://schemas.openxmlformats.org/officeDocument/2006/relationships/hyperlink" Target="https://wol.jw.org/en/wol/d/r1/lp-e/2007483#h=22" TargetMode="External" Id="rId1976"/><Relationship Type="http://schemas.openxmlformats.org/officeDocument/2006/relationships/hyperlink" Target="https://wol.jw.org/ta/wol/d/r122/lp-tl/2007483#h=22" TargetMode="External" Id="rId1977"/><Relationship Type="http://schemas.openxmlformats.org/officeDocument/2006/relationships/hyperlink" Target="https://wol.jw.org/en/wol/d/r1/lp-e/101979409#h=6" TargetMode="External" Id="rId1978"/><Relationship Type="http://schemas.openxmlformats.org/officeDocument/2006/relationships/hyperlink" Target="https://wol.jw.org/en/wol/d/r1/lp-e/2007483#h=25" TargetMode="External" Id="rId1979"/><Relationship Type="http://schemas.openxmlformats.org/officeDocument/2006/relationships/hyperlink" Target="https://wol.jw.org/ta/wol/d/r122/lp-tl/2007483#h=25" TargetMode="External" Id="rId1980"/><Relationship Type="http://schemas.openxmlformats.org/officeDocument/2006/relationships/hyperlink" Target="https://wol.jw.org/en/wol/d/r1/lp-e/101979409#h=7" TargetMode="External" Id="rId1981"/><Relationship Type="http://schemas.openxmlformats.org/officeDocument/2006/relationships/hyperlink" Target="https://wol.jw.org/en/wol/d/r1/lp-e/101979409#h=7" TargetMode="External" Id="rId1982"/><Relationship Type="http://schemas.openxmlformats.org/officeDocument/2006/relationships/hyperlink" Target="https://wol.jw.org/en/wol/d/r1/lp-e/101979409#h=7" TargetMode="External" Id="rId1983"/><Relationship Type="http://schemas.openxmlformats.org/officeDocument/2006/relationships/hyperlink" Target="https://wol.jw.org/en/wol/d/r1/lp-e/101979409#h=16" TargetMode="External" Id="rId1984"/><Relationship Type="http://schemas.openxmlformats.org/officeDocument/2006/relationships/hyperlink" Target="https://wol.jw.org/en/wol/d/r1/lp-e/1101990133#h=24" TargetMode="External" Id="rId1985"/><Relationship Type="http://schemas.openxmlformats.org/officeDocument/2006/relationships/hyperlink" Target="https://wol.jw.org/ta/wol/d/r122/lp-tl/1101990133#h=24" TargetMode="External" Id="rId1986"/><Relationship Type="http://schemas.openxmlformats.org/officeDocument/2006/relationships/hyperlink" Target="https://wol.jw.org/en/wol/d/r1/lp-e/1200002893#h=11" TargetMode="External" Id="rId1987"/><Relationship Type="http://schemas.openxmlformats.org/officeDocument/2006/relationships/hyperlink" Target="https://wol.jw.org/en/wol/d/r1/lp-e/1992442#h=24" TargetMode="External" Id="rId1988"/><Relationship Type="http://schemas.openxmlformats.org/officeDocument/2006/relationships/hyperlink" Target="https://wol.jw.org/ta/wol/d/r122/lp-tl/1992442#h=24" TargetMode="External" Id="rId1989"/><Relationship Type="http://schemas.openxmlformats.org/officeDocument/2006/relationships/hyperlink" Target="https://wol.jw.org/en/wol/d/r1/lp-e/1200002893#h=11" TargetMode="External" Id="rId1990"/><Relationship Type="http://schemas.openxmlformats.org/officeDocument/2006/relationships/hyperlink" Target="https://wol.jw.org/en/wol/d/r1/lp-e/1992442#h=24" TargetMode="External" Id="rId1991"/><Relationship Type="http://schemas.openxmlformats.org/officeDocument/2006/relationships/hyperlink" Target="https://wol.jw.org/ta/wol/d/r122/lp-tl/1992442#h=24" TargetMode="External" Id="rId1992"/><Relationship Type="http://schemas.openxmlformats.org/officeDocument/2006/relationships/hyperlink" Target="https://wol.jw.org/en/wol/d/r1/lp-e/1997763#h=6" TargetMode="External" Id="rId1993"/><Relationship Type="http://schemas.openxmlformats.org/officeDocument/2006/relationships/hyperlink" Target="https://wol.jw.org/ta/wol/d/r122/lp-tl/1997763#h=6" TargetMode="External" Id="rId1994"/><Relationship Type="http://schemas.openxmlformats.org/officeDocument/2006/relationships/hyperlink" Target="https://wol.jw.org/en/wol/d/r1/lp-e/1200002893#h=14" TargetMode="External" Id="rId1995"/><Relationship Type="http://schemas.openxmlformats.org/officeDocument/2006/relationships/hyperlink" Target="https://wol.jw.org/en/wol/d/r1/lp-e/1101993006#h=19" TargetMode="External" Id="rId1996"/><Relationship Type="http://schemas.openxmlformats.org/officeDocument/2006/relationships/hyperlink" Target="https://wol.jw.org/en/wol/d/r1/lp-e/1101993006#h=19" TargetMode="External" Id="rId1997"/><Relationship Type="http://schemas.openxmlformats.org/officeDocument/2006/relationships/hyperlink" Target="https://wol.jw.org/en/wol/d/r1/lp-e/101979409#h=13" TargetMode="External" Id="rId1998"/><Relationship Type="http://schemas.openxmlformats.org/officeDocument/2006/relationships/hyperlink" Target="https://wol.jw.org/en/wol/d/r1/lp-e/101979409#h=13" TargetMode="External" Id="rId1999"/><Relationship Type="http://schemas.openxmlformats.org/officeDocument/2006/relationships/hyperlink" Target="https://wol.jw.org/en/wol/d/r1/lp-e/1997763#h=7" TargetMode="External" Id="rId2000"/><Relationship Type="http://schemas.openxmlformats.org/officeDocument/2006/relationships/hyperlink" Target="https://wol.jw.org/ta/wol/d/r122/lp-tl/1997763#h=7" TargetMode="External" Id="rId2001"/><Relationship Type="http://schemas.openxmlformats.org/officeDocument/2006/relationships/hyperlink" Target="https://wol.jw.org/en/wol/d/r1/lp-e/1101997025#h=8" TargetMode="External" Id="rId2002"/><Relationship Type="http://schemas.openxmlformats.org/officeDocument/2006/relationships/hyperlink" Target="https://wol.jw.org/ta/wol/d/r122/lp-tl/1101997025#h=8" TargetMode="External" Id="rId2003"/><Relationship Type="http://schemas.openxmlformats.org/officeDocument/2006/relationships/hyperlink" Target="https://wol.jw.org/en/wol/d/r1/lp-e/1997763#h=8" TargetMode="External" Id="rId2004"/><Relationship Type="http://schemas.openxmlformats.org/officeDocument/2006/relationships/hyperlink" Target="https://wol.jw.org/ta/wol/d/r122/lp-tl/1997763#h=8" TargetMode="External" Id="rId2005"/><Relationship Type="http://schemas.openxmlformats.org/officeDocument/2006/relationships/hyperlink" Target="https://wol.jw.org/en/wol/d/r1/lp-e/101979409#h=13" TargetMode="External" Id="rId2006"/><Relationship Type="http://schemas.openxmlformats.org/officeDocument/2006/relationships/hyperlink" Target="https://wol.jw.org/en/wol/d/r1/lp-e/2009402#h=18" TargetMode="External" Id="rId2007"/><Relationship Type="http://schemas.openxmlformats.org/officeDocument/2006/relationships/hyperlink" Target="https://wol.jw.org/en/wol/d/r1/lp-e/101979409#h=13" TargetMode="External" Id="rId2008"/><Relationship Type="http://schemas.openxmlformats.org/officeDocument/2006/relationships/hyperlink" Target="https://wol.jw.org/en/wol/d/r1/lp-e/2009402#h=22" TargetMode="External" Id="rId2009"/><Relationship Type="http://schemas.openxmlformats.org/officeDocument/2006/relationships/hyperlink" Target="https://wol.jw.org/en/wol/d/r1/lp-e/101979409#h=13" TargetMode="External" Id="rId2010"/><Relationship Type="http://schemas.openxmlformats.org/officeDocument/2006/relationships/hyperlink" Target="https://wol.jw.org/en/wol/d/r1/lp-e/1997763#h=9" TargetMode="External" Id="rId2011"/><Relationship Type="http://schemas.openxmlformats.org/officeDocument/2006/relationships/hyperlink" Target="https://wol.jw.org/ta/wol/d/r122/lp-tl/1997763#h=9" TargetMode="External" Id="rId2012"/><Relationship Type="http://schemas.openxmlformats.org/officeDocument/2006/relationships/hyperlink" Target="https://wol.jw.org/en/wol/d/r1/lp-e/1101997025#h=21" TargetMode="External" Id="rId2013"/><Relationship Type="http://schemas.openxmlformats.org/officeDocument/2006/relationships/hyperlink" Target="https://wol.jw.org/ta/wol/d/r122/lp-tl/1101997025#h=21" TargetMode="External" Id="rId2014"/><Relationship Type="http://schemas.openxmlformats.org/officeDocument/2006/relationships/hyperlink" Target="https://wol.jw.org/en/wol/d/r1/lp-e/101979409#h=14" TargetMode="External" Id="rId2015"/><Relationship Type="http://schemas.openxmlformats.org/officeDocument/2006/relationships/hyperlink" Target="https://wol.jw.org/en/wol/d/r1/lp-e/1101990134#h=44" TargetMode="External" Id="rId2016"/><Relationship Type="http://schemas.openxmlformats.org/officeDocument/2006/relationships/hyperlink" Target="https://wol.jw.org/ta/wol/d/r122/lp-tl/1101990134#h=44" TargetMode="External" Id="rId2017"/><Relationship Type="http://schemas.openxmlformats.org/officeDocument/2006/relationships/hyperlink" Target="https://wol.jw.org/en/wol/d/r1/lp-e/1101997025#h=18" TargetMode="External" Id="rId2018"/><Relationship Type="http://schemas.openxmlformats.org/officeDocument/2006/relationships/hyperlink" Target="https://wol.jw.org/ta/wol/d/r122/lp-tl/1101997025#h=18" TargetMode="External" Id="rId2019"/><Relationship Type="http://schemas.openxmlformats.org/officeDocument/2006/relationships/hyperlink" Target="https://wol.jw.org/en/wol/d/r1/lp-e/101979409#h=14" TargetMode="External" Id="rId2020"/><Relationship Type="http://schemas.openxmlformats.org/officeDocument/2006/relationships/hyperlink" Target="https://wol.jw.org/en/wol/d/r1/lp-e/101979409#h=14" TargetMode="External" Id="rId2021"/><Relationship Type="http://schemas.openxmlformats.org/officeDocument/2006/relationships/hyperlink" Target="https://wol.jw.org/en/wol/d/r1/lp-e/2009402#h=19" TargetMode="External" Id="rId2022"/><Relationship Type="http://schemas.openxmlformats.org/officeDocument/2006/relationships/hyperlink" Target="https://wol.jw.org/en/wol/d/r1/lp-e/1101997025#h=11" TargetMode="External" Id="rId2023"/><Relationship Type="http://schemas.openxmlformats.org/officeDocument/2006/relationships/hyperlink" Target="https://wol.jw.org/ta/wol/d/r122/lp-tl/1101997025#h=11" TargetMode="External" Id="rId2024"/><Relationship Type="http://schemas.openxmlformats.org/officeDocument/2006/relationships/hyperlink" Target="https://wol.jw.org/en/wol/d/r1/lp-e/2009402#h=23" TargetMode="External" Id="rId2025"/><Relationship Type="http://schemas.openxmlformats.org/officeDocument/2006/relationships/hyperlink" Target="https://wol.jw.org/en/wol/d/r1/lp-e/1992442#h=25" TargetMode="External" Id="rId2026"/><Relationship Type="http://schemas.openxmlformats.org/officeDocument/2006/relationships/hyperlink" Target="https://wol.jw.org/ta/wol/d/r122/lp-tl/1992442#h=25" TargetMode="External" Id="rId2027"/><Relationship Type="http://schemas.openxmlformats.org/officeDocument/2006/relationships/hyperlink" Target="https://wol.jw.org/en/wol/d/r1/lp-e/1997763#h=2" TargetMode="External" Id="rId2028"/><Relationship Type="http://schemas.openxmlformats.org/officeDocument/2006/relationships/hyperlink" Target="https://wol.jw.org/ta/wol/d/r122/lp-tl/1997763#h=2" TargetMode="External" Id="rId2029"/><Relationship Type="http://schemas.openxmlformats.org/officeDocument/2006/relationships/hyperlink" Target="https://wol.jw.org/en/wol/d/r1/lp-e/1101997025#h=12" TargetMode="External" Id="rId2030"/><Relationship Type="http://schemas.openxmlformats.org/officeDocument/2006/relationships/hyperlink" Target="https://wol.jw.org/ta/wol/d/r122/lp-tl/1101997025#h=12" TargetMode="External" Id="rId2031"/><Relationship Type="http://schemas.openxmlformats.org/officeDocument/2006/relationships/hyperlink" Target="https://wol.jw.org/en/wol/d/r1/lp-e/2009402#h=24" TargetMode="External" Id="rId2032"/><Relationship Type="http://schemas.openxmlformats.org/officeDocument/2006/relationships/hyperlink" Target="https://wol.jw.org/en/wol/d/r1/lp-e/1200002893#h=14" TargetMode="External" Id="rId2033"/><Relationship Type="http://schemas.openxmlformats.org/officeDocument/2006/relationships/hyperlink" Target="https://wol.jw.org/en/wol/d/r1/lp-e/101979409#h=19" TargetMode="External" Id="rId2034"/><Relationship Type="http://schemas.openxmlformats.org/officeDocument/2006/relationships/hyperlink" Target="https://wol.jw.org/en/wol/d/r1/lp-e/1200002893#h=36" TargetMode="External" Id="rId2035"/><Relationship Type="http://schemas.openxmlformats.org/officeDocument/2006/relationships/hyperlink" Target="https://wol.jw.org/en/wol/mp/r1/lp-e/it-1/2018/94" TargetMode="External" Id="rId2036"/><Relationship Type="http://schemas.openxmlformats.org/officeDocument/2006/relationships/hyperlink" Target="https://wol.jw.org/en/wol/d/r1/lp-e/1997527#h=2" TargetMode="External" Id="rId2037"/><Relationship Type="http://schemas.openxmlformats.org/officeDocument/2006/relationships/hyperlink" Target="https://wol.jw.org/ta/wol/d/r122/lp-tl/1997527#h=2" TargetMode="External" Id="rId2038"/><Relationship Type="http://schemas.openxmlformats.org/officeDocument/2006/relationships/hyperlink" Target="https://wol.jw.org/en/wol/d/r1/lp-e/101979409#h=22" TargetMode="External" Id="rId2039"/><Relationship Type="http://schemas.openxmlformats.org/officeDocument/2006/relationships/hyperlink" Target="https://wol.jw.org/en/wol/d/r1/lp-e/1101993005#h=46" TargetMode="External" Id="rId2040"/><Relationship Type="http://schemas.openxmlformats.org/officeDocument/2006/relationships/hyperlink" Target="https://wol.jw.org/en/wol/d/r1/lp-e/1101993006" TargetMode="External" Id="rId2041"/><Relationship Type="http://schemas.openxmlformats.org/officeDocument/2006/relationships/hyperlink" Target="https://wol.jw.org/en/wol/d/r1/lp-e/1101993006" TargetMode="External" Id="rId2042"/><Relationship Type="http://schemas.openxmlformats.org/officeDocument/2006/relationships/hyperlink" Target="https://wol.jw.org/en/wol/d/r1/lp-e/1101993006#h=34" TargetMode="External" Id="rId2043"/><Relationship Type="http://schemas.openxmlformats.org/officeDocument/2006/relationships/hyperlink" Target="https://wol.jw.org/en/wol/d/r1/lp-e/101979409#h=17" TargetMode="External" Id="rId2044"/><Relationship Type="http://schemas.openxmlformats.org/officeDocument/2006/relationships/hyperlink" Target="https://wol.jw.org/en/wol/d/r1/lp-e/1101990134#h=116" TargetMode="External" Id="rId2045"/><Relationship Type="http://schemas.openxmlformats.org/officeDocument/2006/relationships/hyperlink" Target="https://wol.jw.org/ta/wol/d/r122/lp-tl/1101990134#h=116" TargetMode="External" Id="rId2046"/><Relationship Type="http://schemas.openxmlformats.org/officeDocument/2006/relationships/hyperlink" Target="https://wol.jw.org/en/wol/d/r1/lp-e/1101993006#h=87" TargetMode="External" Id="rId2047"/><Relationship Type="http://schemas.openxmlformats.org/officeDocument/2006/relationships/hyperlink" Target="https://wol.jw.org/en/wol/d/r1/lp-e/1997527#h=4" TargetMode="External" Id="rId2048"/><Relationship Type="http://schemas.openxmlformats.org/officeDocument/2006/relationships/hyperlink" Target="https://wol.jw.org/ta/wol/d/r122/lp-tl/1997527#h=4" TargetMode="External" Id="rId2049"/><Relationship Type="http://schemas.openxmlformats.org/officeDocument/2006/relationships/hyperlink" Target="https://wol.jw.org/en/wol/d/r1/lp-e/1101997025#h=12" TargetMode="External" Id="rId2050"/><Relationship Type="http://schemas.openxmlformats.org/officeDocument/2006/relationships/hyperlink" Target="https://wol.jw.org/ta/wol/d/r122/lp-tl/1101997025#h=12" TargetMode="External" Id="rId2051"/><Relationship Type="http://schemas.openxmlformats.org/officeDocument/2006/relationships/hyperlink" Target="https://wol.jw.org/en/wol/d/r1/lp-e/1997763#h=18" TargetMode="External" Id="rId2052"/><Relationship Type="http://schemas.openxmlformats.org/officeDocument/2006/relationships/hyperlink" Target="https://wol.jw.org/ta/wol/d/r122/lp-tl/1997763#h=18" TargetMode="External" Id="rId2053"/><Relationship Type="http://schemas.openxmlformats.org/officeDocument/2006/relationships/hyperlink" Target="https://wol.jw.org/en/wol/mp/r1/lp-e/it-1/2018/94" TargetMode="External" Id="rId2054"/><Relationship Type="http://schemas.openxmlformats.org/officeDocument/2006/relationships/hyperlink" Target="https://wol.jw.org/en/wol/d/r1/lp-e/1101990134#h=123" TargetMode="External" Id="rId2055"/><Relationship Type="http://schemas.openxmlformats.org/officeDocument/2006/relationships/hyperlink" Target="https://wol.jw.org/ta/wol/d/r122/lp-tl/1101990134#h=123" TargetMode="External" Id="rId2056"/><Relationship Type="http://schemas.openxmlformats.org/officeDocument/2006/relationships/hyperlink" Target="https://wol.jw.org/en/wol/d/r1/lp-e/1101993005#h=47" TargetMode="External" Id="rId2057"/><Relationship Type="http://schemas.openxmlformats.org/officeDocument/2006/relationships/hyperlink" Target="https://wol.jw.org/en/wol/d/r1/lp-e/1101990134#h=87" TargetMode="External" Id="rId2058"/><Relationship Type="http://schemas.openxmlformats.org/officeDocument/2006/relationships/hyperlink" Target="https://wol.jw.org/ta/wol/d/r122/lp-tl/1101990134#h=87" TargetMode="External" Id="rId2059"/><Relationship Type="http://schemas.openxmlformats.org/officeDocument/2006/relationships/hyperlink" Target="https://wol.jw.org/en/wol/d/r1/lp-e/1101990134#h=15" TargetMode="External" Id="rId2060"/><Relationship Type="http://schemas.openxmlformats.org/officeDocument/2006/relationships/hyperlink" Target="https://wol.jw.org/ta/wol/d/r122/lp-tl/1101990134#h=15" TargetMode="External" Id="rId2061"/><Relationship Type="http://schemas.openxmlformats.org/officeDocument/2006/relationships/hyperlink" Target="https://wol.jw.org/en/wol/d/r1/lp-e/1102014241" TargetMode="External" Id="rId2062"/><Relationship Type="http://schemas.openxmlformats.org/officeDocument/2006/relationships/hyperlink" Target="https://wol.jw.org/ta/wol/d/r122/lp-tl/1102014241" TargetMode="External" Id="rId2063"/><Relationship Type="http://schemas.openxmlformats.org/officeDocument/2006/relationships/hyperlink" Target="https://wol.jw.org/en/wol/d/r1/lp-e/1101993007" TargetMode="External" Id="rId2064"/><Relationship Type="http://schemas.openxmlformats.org/officeDocument/2006/relationships/hyperlink" Target="https://wol.jw.org/en/wol/d/r1/lp-e/1101993007" TargetMode="External" Id="rId2065"/><Relationship Type="http://schemas.openxmlformats.org/officeDocument/2006/relationships/hyperlink" Target="https://wol.jw.org/en/wol/d/r1/lp-e/1101993046" TargetMode="External" Id="rId2066"/><Relationship Type="http://schemas.openxmlformats.org/officeDocument/2006/relationships/hyperlink" Target="https://wol.jw.org/en/wol/mp/r1/lp-e/kr/2014/52" TargetMode="External" Id="rId2067"/><Relationship Type="http://schemas.openxmlformats.org/officeDocument/2006/relationships/hyperlink" Target="https://wol.jw.org/en/wol/d/r1/lp-e/1101993046" TargetMode="External" Id="rId2068"/><Relationship Type="http://schemas.openxmlformats.org/officeDocument/2006/relationships/hyperlink" Target="https://wol.jw.org/en/wol/d/r1/lp-e/2020400" TargetMode="External" Id="rId2069"/><Relationship Type="http://schemas.openxmlformats.org/officeDocument/2006/relationships/hyperlink" Target="https://wol.jw.org/ta/wol/d/r122/lp-tl/2020400" TargetMode="External" Id="rId2070"/><Relationship Type="http://schemas.openxmlformats.org/officeDocument/2006/relationships/hyperlink" Target="https://wol.jw.org/en/wol/d/r1/lp-e/2020400" TargetMode="External" Id="rId2071"/><Relationship Type="http://schemas.openxmlformats.org/officeDocument/2006/relationships/hyperlink" Target="https://wol.jw.org/ta/wol/d/r122/lp-tl/2020400" TargetMode="External" Id="rId2072"/><Relationship Type="http://schemas.openxmlformats.org/officeDocument/2006/relationships/hyperlink" Target="https://wol.jw.org/en/wol/d/r1/lp-e/2020400" TargetMode="External" Id="rId2073"/><Relationship Type="http://schemas.openxmlformats.org/officeDocument/2006/relationships/hyperlink" Target="https://wol.jw.org/ta/wol/d/r122/lp-tl/2020400" TargetMode="External" Id="rId2074"/><Relationship Type="http://schemas.openxmlformats.org/officeDocument/2006/relationships/hyperlink" Target="https://wol.jw.org/en/wol/d/r1/lp-e/1101993046" TargetMode="External" Id="rId2075"/><Relationship Type="http://schemas.openxmlformats.org/officeDocument/2006/relationships/hyperlink" Target="https://wol.jw.org/en/wol/d/r1/lp-e/1101993046" TargetMode="External" Id="rId2076"/><Relationship Type="http://schemas.openxmlformats.org/officeDocument/2006/relationships/hyperlink" Target="https://wol.jw.org/en/wol/d/r1/lp-e/1101993046" TargetMode="External" Id="rId2077"/><Relationship Type="http://schemas.openxmlformats.org/officeDocument/2006/relationships/hyperlink" Target="https://wol.jw.org/en/wol/d/r1/lp-e/1101993046" TargetMode="External" Id="rId2078"/><Relationship Type="http://schemas.openxmlformats.org/officeDocument/2006/relationships/hyperlink" Target="https://wol.jw.org/en/wol/d/r1/lp-e/1101993046" TargetMode="External" Id="rId2079"/><Relationship Type="http://schemas.openxmlformats.org/officeDocument/2006/relationships/hyperlink" Target="https://wol.jw.org/en/wol/d/r1/lp-e/1101993046" TargetMode="External" Id="rId2080"/><Relationship Type="http://schemas.openxmlformats.org/officeDocument/2006/relationships/hyperlink" Target="https://wol.jw.org/en/wol/d/r1/lp-e/1101993006" TargetMode="External" Id="rId2081"/><Relationship Type="http://schemas.openxmlformats.org/officeDocument/2006/relationships/hyperlink" Target="https://wol.jw.org/en/wol/d/r1/lp-e/1101993006" TargetMode="External" Id="rId2082"/><Relationship Type="http://schemas.openxmlformats.org/officeDocument/2006/relationships/hyperlink" Target="https://wol.jw.org/en/wol/d/r1/lp-e/1102014255" TargetMode="External" Id="rId2083"/><Relationship Type="http://schemas.openxmlformats.org/officeDocument/2006/relationships/hyperlink" Target="https://wol.jw.org/ta/wol/d/r122/lp-tl/1102014255" TargetMode="External" Id="rId2084"/><Relationship Type="http://schemas.openxmlformats.org/officeDocument/2006/relationships/hyperlink" Target="https://wol.jw.org/en/wol/mp/r1/lp-e/kr/2014/303" TargetMode="External" Id="rId2085"/><Relationship Type="http://schemas.openxmlformats.org/officeDocument/2006/relationships/hyperlink" Target="https://wol.jw.org/en/wol/d/r1/lp-e/1101993040" TargetMode="External" Id="rId2086"/><Relationship Type="http://schemas.openxmlformats.org/officeDocument/2006/relationships/hyperlink" Target="https://wol.jw.org/en/wol/d/r1/lp-e/1102014241" TargetMode="External" Id="rId2087"/><Relationship Type="http://schemas.openxmlformats.org/officeDocument/2006/relationships/hyperlink" Target="https://wol.jw.org/ta/wol/d/r122/lp-tl/1102014241" TargetMode="External" Id="rId2088"/><Relationship Type="http://schemas.openxmlformats.org/officeDocument/2006/relationships/hyperlink" Target="https://wol.jw.org/en/wol/d/r1/lp-e/1101993046" TargetMode="External" Id="rId2089"/><Relationship Type="http://schemas.openxmlformats.org/officeDocument/2006/relationships/hyperlink" Target="https://wol.jw.org/en/wol/d/r1/lp-e/1101993046" TargetMode="External" Id="rId2090"/><Relationship Type="http://schemas.openxmlformats.org/officeDocument/2006/relationships/hyperlink" Target="https://wol.jw.org/en/wol/mp/r1/lp-e/kr/2014/54" TargetMode="External" Id="rId2091"/><Relationship Type="http://schemas.openxmlformats.org/officeDocument/2006/relationships/hyperlink" Target="https://wol.jw.org/en/wol/d/r1/lp-e/1101993046" TargetMode="External" Id="rId2092"/><Relationship Type="http://schemas.openxmlformats.org/officeDocument/2006/relationships/hyperlink" Target="https://wol.jw.org/en/wol/d/r1/lp-e/1101993006" TargetMode="External" Id="rId2093"/><Relationship Type="http://schemas.openxmlformats.org/officeDocument/2006/relationships/hyperlink" Target="https://wol.jw.org/en/wol/d/r1/lp-e/1101993006" TargetMode="External" Id="rId2094"/><Relationship Type="http://schemas.openxmlformats.org/officeDocument/2006/relationships/hyperlink" Target="https://wol.jw.org/en/wol/d/r1/lp-e/1102014241" TargetMode="External" Id="rId2095"/><Relationship Type="http://schemas.openxmlformats.org/officeDocument/2006/relationships/hyperlink" Target="https://wol.jw.org/ta/wol/d/r122/lp-tl/1102014241" TargetMode="External" Id="rId2096"/><Relationship Type="http://schemas.openxmlformats.org/officeDocument/2006/relationships/hyperlink" Target="https://wol.jw.org/en/wol/d/r1/lp-e/1102000101" TargetMode="External" Id="rId2097"/><Relationship Type="http://schemas.openxmlformats.org/officeDocument/2006/relationships/hyperlink" Target="https://wol.jw.org/ta/wol/d/r122/lp-tl/1102000101" TargetMode="External" Id="rId2098"/><Relationship Type="http://schemas.openxmlformats.org/officeDocument/2006/relationships/hyperlink" Target="https://wol.jw.org/en/wol/d/r1/lp-e/1101993006" TargetMode="External" Id="rId2099"/><Relationship Type="http://schemas.openxmlformats.org/officeDocument/2006/relationships/hyperlink" Target="https://wol.jw.org/en/wol/d/r1/lp-e/1102014244" TargetMode="External" Id="rId2100"/><Relationship Type="http://schemas.openxmlformats.org/officeDocument/2006/relationships/hyperlink" Target="https://wol.jw.org/ta/wol/d/r122/lp-tl/1102014244" TargetMode="External" Id="rId2101"/><Relationship Type="http://schemas.openxmlformats.org/officeDocument/2006/relationships/hyperlink" Target="https://wol.jw.org/en/wol/d/r1/lp-e/1101990133" TargetMode="External" Id="rId2102"/><Relationship Type="http://schemas.openxmlformats.org/officeDocument/2006/relationships/hyperlink" Target="https://wol.jw.org/ta/wol/d/r122/lp-tl/1101990133" TargetMode="External" Id="rId2103"/><Relationship Type="http://schemas.openxmlformats.org/officeDocument/2006/relationships/hyperlink" Target="https://wol.jw.org/en/wol/d/r1/lp-e/1101993046" TargetMode="External" Id="rId2104"/><Relationship Type="http://schemas.openxmlformats.org/officeDocument/2006/relationships/hyperlink" Target="https://wol.jw.org/en/wol/d/r1/lp-e/1101993046" TargetMode="External" Id="rId2105"/><Relationship Type="http://schemas.openxmlformats.org/officeDocument/2006/relationships/hyperlink" Target="https://wol.jw.org/en/wol/d/r1/lp-e/1102014241" TargetMode="External" Id="rId2106"/><Relationship Type="http://schemas.openxmlformats.org/officeDocument/2006/relationships/hyperlink" Target="https://wol.jw.org/ta/wol/d/r122/lp-tl/1102014241" TargetMode="External" Id="rId2107"/><Relationship Type="http://schemas.openxmlformats.org/officeDocument/2006/relationships/hyperlink" Target="https://wol.jw.org/en/wol/d/r1/lp-e/1102014241" TargetMode="External" Id="rId2108"/><Relationship Type="http://schemas.openxmlformats.org/officeDocument/2006/relationships/hyperlink" Target="https://wol.jw.org/ta/wol/d/r122/lp-tl/1102014241" TargetMode="External" Id="rId2109"/><Relationship Type="http://schemas.openxmlformats.org/officeDocument/2006/relationships/hyperlink" Target="https://wol.jw.org/en/wol/d/r1/lp-e/1102014241" TargetMode="External" Id="rId2110"/><Relationship Type="http://schemas.openxmlformats.org/officeDocument/2006/relationships/hyperlink" Target="https://wol.jw.org/ta/wol/d/r122/lp-tl/1102014241" TargetMode="External" Id="rId2111"/><Relationship Type="http://schemas.openxmlformats.org/officeDocument/2006/relationships/hyperlink" Target="https://wol.jw.org/en/wol/d/r1/lp-e/1101993046" TargetMode="External" Id="rId2112"/><Relationship Type="http://schemas.openxmlformats.org/officeDocument/2006/relationships/hyperlink" Target="https://wol.jw.org/en/wol/d/r1/lp-e/1101993046" TargetMode="External" Id="rId2113"/><Relationship Type="http://schemas.openxmlformats.org/officeDocument/2006/relationships/hyperlink" Target="https://wol.jw.org/en/wol/d/r1/lp-e/1101993012" TargetMode="External" Id="rId2114"/><Relationship Type="http://schemas.openxmlformats.org/officeDocument/2006/relationships/hyperlink" Target="https://wol.jw.org/en/wol/d/r1/lp-e/1102014241" TargetMode="External" Id="rId2115"/><Relationship Type="http://schemas.openxmlformats.org/officeDocument/2006/relationships/hyperlink" Target="https://wol.jw.org/ta/wol/d/r122/lp-tl/1102014241" TargetMode="External" Id="rId2116"/><Relationship Type="http://schemas.openxmlformats.org/officeDocument/2006/relationships/hyperlink" Target="https://wol.jw.org/en/wol/d/r1/lp-e/1101993006" TargetMode="External" Id="rId2117"/><Relationship Type="http://schemas.openxmlformats.org/officeDocument/2006/relationships/hyperlink" Target="https://wol.jw.org/en/wol/d/r1/lp-e/1101993046" TargetMode="External" Id="rId2118"/><Relationship Type="http://schemas.openxmlformats.org/officeDocument/2006/relationships/hyperlink" Target="https://wol.jw.org/en/wol/d/r1/lp-e/1102014249" TargetMode="External" Id="rId2119"/><Relationship Type="http://schemas.openxmlformats.org/officeDocument/2006/relationships/hyperlink" Target="https://wol.jw.org/ta/wol/d/r122/lp-tl/1102014249" TargetMode="External" Id="rId2120"/><Relationship Type="http://schemas.openxmlformats.org/officeDocument/2006/relationships/hyperlink" Target="https://wol.jw.org/en/wol/d/r1/lp-e/1101993046" TargetMode="External" Id="rId2121"/><Relationship Type="http://schemas.openxmlformats.org/officeDocument/2006/relationships/hyperlink" Target="https://wol.jw.org/en/wol/d/r1/lp-e/1102018055" TargetMode="External" Id="rId2122"/><Relationship Type="http://schemas.openxmlformats.org/officeDocument/2006/relationships/hyperlink" Target="https://wol.jw.org/ta/wol/d/r122/lp-tl/1102018055" TargetMode="External" Id="rId2123"/><Relationship Type="http://schemas.openxmlformats.org/officeDocument/2006/relationships/hyperlink" Target="https://wol.jw.org/en/wol/d/r1/lp-e/1101993046" TargetMode="External" Id="rId2124"/><Relationship Type="http://schemas.openxmlformats.org/officeDocument/2006/relationships/hyperlink" Target="https://wol.jw.org/en/wol/d/r1/lp-e/1101993046" TargetMode="External" Id="rId2125"/><Relationship Type="http://schemas.openxmlformats.org/officeDocument/2006/relationships/hyperlink" Target="https://wol.jw.org/en/wol/d/r1/lp-e/1101993046" TargetMode="External" Id="rId2126"/><Relationship Type="http://schemas.openxmlformats.org/officeDocument/2006/relationships/hyperlink" Target="https://wol.jw.org/en/wol/d/r1/lp-e/1102014241" TargetMode="External" Id="rId2127"/><Relationship Type="http://schemas.openxmlformats.org/officeDocument/2006/relationships/hyperlink" Target="https://wol.jw.org/ta/wol/d/r122/lp-tl/1102014241" TargetMode="External" Id="rId2128"/><Relationship Type="http://schemas.openxmlformats.org/officeDocument/2006/relationships/hyperlink" Target="https://wol.jw.org/en/wol/d/r1/lp-e/1101993046" TargetMode="External" Id="rId2129"/><Relationship Type="http://schemas.openxmlformats.org/officeDocument/2006/relationships/hyperlink" Target="https://wol.jw.org/en/wol/d/r1/lp-e/1101993006" TargetMode="External" Id="rId2130"/><Relationship Type="http://schemas.openxmlformats.org/officeDocument/2006/relationships/hyperlink" Target="https://wol.jw.org/en/wol/d/r1/lp-e/1102014255" TargetMode="External" Id="rId2131"/><Relationship Type="http://schemas.openxmlformats.org/officeDocument/2006/relationships/hyperlink" Target="https://wol.jw.org/ta/wol/d/r122/lp-tl/1102014255" TargetMode="External" Id="rId2132"/><Relationship Type="http://schemas.openxmlformats.org/officeDocument/2006/relationships/hyperlink" Target="https://wol.jw.org/en/wol/d/r1/lp-e/1101993046" TargetMode="External" Id="rId2133"/><Relationship Type="http://schemas.openxmlformats.org/officeDocument/2006/relationships/hyperlink" Target="https://wol.jw.org/en/wol/d/r1/lp-e/1102014258" TargetMode="External" Id="rId2134"/><Relationship Type="http://schemas.openxmlformats.org/officeDocument/2006/relationships/hyperlink" Target="https://wol.jw.org/ta/wol/d/r122/lp-tl/1102014258" TargetMode="External" Id="rId2135"/><Relationship Type="http://schemas.openxmlformats.org/officeDocument/2006/relationships/hyperlink" Target="https://wol.jw.org/en/wol/mp/r1/lp-e/kr/2014/375" TargetMode="External" Id="rId2136"/><Relationship Type="http://schemas.openxmlformats.org/officeDocument/2006/relationships/hyperlink" Target="https://wol.jw.org/en/wol/d/r1/lp-e/1102014255" TargetMode="External" Id="rId2137"/><Relationship Type="http://schemas.openxmlformats.org/officeDocument/2006/relationships/hyperlink" Target="https://wol.jw.org/ta/wol/d/r122/lp-tl/1102014255" TargetMode="External" Id="rId2138"/><Relationship Type="http://schemas.openxmlformats.org/officeDocument/2006/relationships/hyperlink" Target="https://wol.jw.org/en/wol/mp/r1/lp-e/kr/2014/305" TargetMode="External" Id="rId2139"/><Relationship Type="http://schemas.openxmlformats.org/officeDocument/2006/relationships/hyperlink" Target="https://wol.jw.org/en/wol/d/r1/lp-e/1101993006" TargetMode="External" Id="rId2140"/><Relationship Type="http://schemas.openxmlformats.org/officeDocument/2006/relationships/hyperlink" Target="https://wol.jw.org/en/wol/d/r1/lp-e/1102014249" TargetMode="External" Id="rId2141"/><Relationship Type="http://schemas.openxmlformats.org/officeDocument/2006/relationships/hyperlink" Target="https://wol.jw.org/ta/wol/d/r122/lp-tl/1102014249" TargetMode="External" Id="rId2142"/><Relationship Type="http://schemas.openxmlformats.org/officeDocument/2006/relationships/hyperlink" Target="https://wol.jw.org/en/wol/mp/r1/lp-e/kr/2014/202" TargetMode="External" Id="rId2143"/><Relationship Type="http://schemas.openxmlformats.org/officeDocument/2006/relationships/hyperlink" Target="https://wol.jw.org/en/wol/d/r1/lp-e/1102014241" TargetMode="External" Id="rId2144"/><Relationship Type="http://schemas.openxmlformats.org/officeDocument/2006/relationships/hyperlink" Target="https://wol.jw.org/ta/wol/d/r122/lp-tl/1102014241" TargetMode="External" Id="rId2145"/><Relationship Type="http://schemas.openxmlformats.org/officeDocument/2006/relationships/hyperlink" Target="https://wol.jw.org/en/wol/d/r1/lp-e/1101993046" TargetMode="External" Id="rId2146"/><Relationship Type="http://schemas.openxmlformats.org/officeDocument/2006/relationships/hyperlink" Target="https://wol.jw.org/en/wol/d/r1/lp-e/1102014250" TargetMode="External" Id="rId2147"/><Relationship Type="http://schemas.openxmlformats.org/officeDocument/2006/relationships/hyperlink" Target="https://wol.jw.org/ta/wol/d/r122/lp-tl/1102014250" TargetMode="External" Id="rId2148"/><Relationship Type="http://schemas.openxmlformats.org/officeDocument/2006/relationships/hyperlink" Target="https://wol.jw.org/en/wol/d/r1/lp-e/1101993020" TargetMode="External" Id="rId2149"/><Relationship Type="http://schemas.openxmlformats.org/officeDocument/2006/relationships/hyperlink" Target="https://wol.jw.org/en/wol/d/r1/lp-e/1102000101" TargetMode="External" Id="rId2150"/><Relationship Type="http://schemas.openxmlformats.org/officeDocument/2006/relationships/hyperlink" Target="https://wol.jw.org/ta/wol/d/r122/lp-tl/1102000101" TargetMode="External" Id="rId2151"/><Relationship Type="http://schemas.openxmlformats.org/officeDocument/2006/relationships/hyperlink" Target="https://wol.jw.org/en/wol/d/r1/lp-e/1101993046" TargetMode="External" Id="rId2152"/><Relationship Type="http://schemas.openxmlformats.org/officeDocument/2006/relationships/hyperlink" Target="https://wol.jw.org/en/wol/mp/r1/lp-e/kr/2014/56" TargetMode="External" Id="rId2153"/><Relationship Type="http://schemas.openxmlformats.org/officeDocument/2006/relationships/hyperlink" Target="https://wol.jw.org/en/wol/d/r1/lp-e/1102014251" TargetMode="External" Id="rId2154"/><Relationship Type="http://schemas.openxmlformats.org/officeDocument/2006/relationships/hyperlink" Target="https://wol.jw.org/ta/wol/d/r122/lp-tl/1102014251" TargetMode="External" Id="rId2155"/><Relationship Type="http://schemas.openxmlformats.org/officeDocument/2006/relationships/hyperlink" Target="https://wol.jw.org/en/wol/d/r1/lp-e/1102014241" TargetMode="External" Id="rId2156"/><Relationship Type="http://schemas.openxmlformats.org/officeDocument/2006/relationships/hyperlink" Target="https://wol.jw.org/ta/wol/d/r122/lp-tl/1102014241" TargetMode="External" Id="rId2157"/><Relationship Type="http://schemas.openxmlformats.org/officeDocument/2006/relationships/hyperlink" Target="https://wol.jw.org/en/wol/d/r1/lp-e/1102014250" TargetMode="External" Id="rId2158"/><Relationship Type="http://schemas.openxmlformats.org/officeDocument/2006/relationships/hyperlink" Target="https://wol.jw.org/ta/wol/d/r122/lp-tl/1102014250" TargetMode="External" Id="rId2159"/><Relationship Type="http://schemas.openxmlformats.org/officeDocument/2006/relationships/hyperlink" Target="https://wol.jw.org/en/wol/d/r1/lp-e/1102014251" TargetMode="External" Id="rId2160"/><Relationship Type="http://schemas.openxmlformats.org/officeDocument/2006/relationships/hyperlink" Target="https://wol.jw.org/ta/wol/d/r122/lp-tl/1102014251" TargetMode="External" Id="rId2161"/><Relationship Type="http://schemas.openxmlformats.org/officeDocument/2006/relationships/hyperlink" Target="https://wol.jw.org/en/wol/mp/r1/lp-e/kr/2014/226" TargetMode="External" Id="rId2162"/><Relationship Type="http://schemas.openxmlformats.org/officeDocument/2006/relationships/hyperlink" Target="https://wol.jw.org/en/wol/d/r1/lp-e/1102014247" TargetMode="External" Id="rId2163"/><Relationship Type="http://schemas.openxmlformats.org/officeDocument/2006/relationships/hyperlink" Target="https://wol.jw.org/ta/wol/d/r122/lp-tl/1102014247" TargetMode="External" Id="rId2164"/><Relationship Type="http://schemas.openxmlformats.org/officeDocument/2006/relationships/hyperlink" Target="https://wol.jw.org/en/wol/d/r1/lp-e/1102014241" TargetMode="External" Id="rId2165"/><Relationship Type="http://schemas.openxmlformats.org/officeDocument/2006/relationships/hyperlink" Target="https://wol.jw.org/ta/wol/d/r122/lp-tl/1102014241" TargetMode="External" Id="rId2166"/><Relationship Type="http://schemas.openxmlformats.org/officeDocument/2006/relationships/hyperlink" Target="https://wol.jw.org/en/wol/d/r1/lp-e/1102014241" TargetMode="External" Id="rId2167"/><Relationship Type="http://schemas.openxmlformats.org/officeDocument/2006/relationships/hyperlink" Target="https://wol.jw.org/ta/wol/d/r122/lp-tl/1102014241" TargetMode="External" Id="rId2168"/><Relationship Type="http://schemas.openxmlformats.org/officeDocument/2006/relationships/hyperlink" Target="https://wol.jw.org/en/wol/d/r1/lp-e/1101993006" TargetMode="External" Id="rId2169"/><Relationship Type="http://schemas.openxmlformats.org/officeDocument/2006/relationships/hyperlink" Target="https://wol.jw.org/en/wol/d/r1/lp-e/1101993006" TargetMode="External" Id="rId2170"/><Relationship Type="http://schemas.openxmlformats.org/officeDocument/2006/relationships/hyperlink" Target="https://wol.jw.org/en/wol/d/r1/lp-e/1101993020" TargetMode="External" Id="rId2171"/><Relationship Type="http://schemas.openxmlformats.org/officeDocument/2006/relationships/hyperlink" Target="https://wol.jw.org/en/wol/d/r1/lp-e/1101993006" TargetMode="External" Id="rId2172"/><Relationship Type="http://schemas.openxmlformats.org/officeDocument/2006/relationships/hyperlink" Target="https://wol.jw.org/en/wol/d/r1/lp-e/1101993006" TargetMode="External" Id="rId2173"/><Relationship Type="http://schemas.openxmlformats.org/officeDocument/2006/relationships/hyperlink" Target="https://wol.jw.org/en/wol/d/r1/lp-e/1101993046" TargetMode="External" Id="rId2174"/><Relationship Type="http://schemas.openxmlformats.org/officeDocument/2006/relationships/hyperlink" Target="https://wol.jw.org/en/wol/d/r1/lp-e/1102014255" TargetMode="External" Id="rId2175"/><Relationship Type="http://schemas.openxmlformats.org/officeDocument/2006/relationships/hyperlink" Target="https://wol.jw.org/ta/wol/d/r122/lp-tl/1102014255" TargetMode="External" Id="rId2176"/><Relationship Type="http://schemas.openxmlformats.org/officeDocument/2006/relationships/hyperlink" Target="https://wol.jw.org/en/wol/mp/r1/lp-e/kr/2014/309" TargetMode="External" Id="rId2177"/><Relationship Type="http://schemas.openxmlformats.org/officeDocument/2006/relationships/hyperlink" Target="https://wol.jw.org/en/wol/d/r1/lp-e/1101993046" TargetMode="External" Id="rId2178"/><Relationship Type="http://schemas.openxmlformats.org/officeDocument/2006/relationships/hyperlink" Target="https://wol.jw.org/en/wol/d/r1/lp-e/1101993018" TargetMode="External" Id="rId2179"/><Relationship Type="http://schemas.openxmlformats.org/officeDocument/2006/relationships/hyperlink" Target="https://wol.jw.org/en/wol/d/r1/lp-e/1101993037" TargetMode="External" Id="rId2180"/><Relationship Type="http://schemas.openxmlformats.org/officeDocument/2006/relationships/hyperlink" Target="https://wol.jw.org/en/wol/d/r1/lp-e/1101993046" TargetMode="External" Id="rId2181"/><Relationship Type="http://schemas.openxmlformats.org/officeDocument/2006/relationships/hyperlink" Target="https://wol.jw.org/en/wol/d/r1/lp-e/1101993040" TargetMode="External" Id="rId2182"/><Relationship Type="http://schemas.openxmlformats.org/officeDocument/2006/relationships/hyperlink" Target="https://wol.jw.org/en/wol/d/r1/lp-e/1101993046" TargetMode="External" Id="rId2183"/><Relationship Type="http://schemas.openxmlformats.org/officeDocument/2006/relationships/hyperlink" Target="https://wol.jw.org/en/wol/mp/r1/lp-e/kr/2014/129" TargetMode="External" Id="rId2184"/><Relationship Type="http://schemas.openxmlformats.org/officeDocument/2006/relationships/hyperlink" Target="https://wol.jw.org/en/wol/d/r1/lp-e/1101993006" TargetMode="External" Id="rId2185"/><Relationship Type="http://schemas.openxmlformats.org/officeDocument/2006/relationships/hyperlink" Target="https://wol.jw.org/en/wol/d/r1/lp-e/1102014258" TargetMode="External" Id="rId2186"/><Relationship Type="http://schemas.openxmlformats.org/officeDocument/2006/relationships/hyperlink" Target="https://wol.jw.org/ta/wol/d/r122/lp-tl/1102014258" TargetMode="External" Id="rId2187"/><Relationship Type="http://schemas.openxmlformats.org/officeDocument/2006/relationships/hyperlink" Target="https://wol.jw.org/en/wol/d/r1/lp-e/1101993006" TargetMode="External" Id="rId2188"/><Relationship Type="http://schemas.openxmlformats.org/officeDocument/2006/relationships/hyperlink" Target="https://wol.jw.org/en/wol/d/r1/lp-e/1102014255" TargetMode="External" Id="rId2189"/><Relationship Type="http://schemas.openxmlformats.org/officeDocument/2006/relationships/hyperlink" Target="https://wol.jw.org/ta/wol/d/r122/lp-tl/1102014255" TargetMode="External" Id="rId2190"/><Relationship Type="http://schemas.openxmlformats.org/officeDocument/2006/relationships/hyperlink" Target="https://wol.jw.org/en/wol/mp/r1/lp-e/kr/2014/311" TargetMode="External" Id="rId2191"/><Relationship Type="http://schemas.openxmlformats.org/officeDocument/2006/relationships/hyperlink" Target="https://wol.jw.org/en/wol/d/r1/lp-e/1101993012" TargetMode="External" Id="rId2192"/><Relationship Type="http://schemas.openxmlformats.org/officeDocument/2006/relationships/hyperlink" Target="https://wol.jw.org/en/wol/d/r1/lp-e/1101993009" TargetMode="External" Id="rId2193"/><Relationship Type="http://schemas.openxmlformats.org/officeDocument/2006/relationships/hyperlink" Target="https://wol.jw.org/en/wol/d/r1/lp-e/1101993009" TargetMode="External" Id="rId2194"/><Relationship Type="http://schemas.openxmlformats.org/officeDocument/2006/relationships/hyperlink" Target="https://wol.jw.org/en/wol/d/r1/lp-e/1101990132" TargetMode="External" Id="rId2195"/><Relationship Type="http://schemas.openxmlformats.org/officeDocument/2006/relationships/hyperlink" Target="https://wol.jw.org/ta/wol/d/r122/lp-tl/1101990132" TargetMode="External" Id="rId2196"/><Relationship Type="http://schemas.openxmlformats.org/officeDocument/2006/relationships/hyperlink" Target="https://wol.jw.org/en/wol/d/r1/lp-e/1101993037" TargetMode="External" Id="rId2197"/><Relationship Type="http://schemas.openxmlformats.org/officeDocument/2006/relationships/hyperlink" Target="https://wol.jw.org/en/wol/d/r1/lp-e/1102014250" TargetMode="External" Id="rId2198"/><Relationship Type="http://schemas.openxmlformats.org/officeDocument/2006/relationships/hyperlink" Target="https://wol.jw.org/ta/wol/d/r122/lp-tl/1102014250" TargetMode="External" Id="rId2199"/><Relationship Type="http://schemas.openxmlformats.org/officeDocument/2006/relationships/hyperlink" Target="https://wol.jw.org/en/wol/d/r1/lp-e/1101993019" TargetMode="External" Id="rId2200"/><Relationship Type="http://schemas.openxmlformats.org/officeDocument/2006/relationships/hyperlink" Target="https://wol.jw.org/en/wol/d/r1/lp-e/1101993046" TargetMode="External" Id="rId2201"/><Relationship Type="http://schemas.openxmlformats.org/officeDocument/2006/relationships/hyperlink" Target="https://wol.jw.org/en/wol/mp/r1/lp-e/kr/2014/58" TargetMode="External" Id="rId2202"/><Relationship Type="http://schemas.openxmlformats.org/officeDocument/2006/relationships/hyperlink" Target="https://wol.jw.org/en/wol/d/r1/lp-e/1101993046" TargetMode="External" Id="rId2203"/><Relationship Type="http://schemas.openxmlformats.org/officeDocument/2006/relationships/hyperlink" Target="https://www.jw.org/en/news/region/united-states/historic-milestones-united-states/" TargetMode="External" Id="rId2204"/><Relationship Type="http://schemas.openxmlformats.org/officeDocument/2006/relationships/hyperlink" Target="https://wol.jw.org/en/wol/d/r1/lp-e/1101993040" TargetMode="External" Id="rId2205"/><Relationship Type="http://schemas.openxmlformats.org/officeDocument/2006/relationships/hyperlink" Target="https://wol.jw.org/en/wol/d/r1/lp-e/1102014241" TargetMode="External" Id="rId2206"/><Relationship Type="http://schemas.openxmlformats.org/officeDocument/2006/relationships/hyperlink" Target="https://wol.jw.org/ta/wol/d/r122/lp-tl/1102014241" TargetMode="External" Id="rId2207"/><Relationship Type="http://schemas.openxmlformats.org/officeDocument/2006/relationships/hyperlink" Target="https://wol.jw.org/en/wol/d/r1/lp-e/1101993036" TargetMode="External" Id="rId2208"/><Relationship Type="http://schemas.openxmlformats.org/officeDocument/2006/relationships/hyperlink" Target="https://wol.jw.org/en/wol/d/r1/lp-e/1102014255" TargetMode="External" Id="rId2209"/><Relationship Type="http://schemas.openxmlformats.org/officeDocument/2006/relationships/hyperlink" Target="https://wol.jw.org/ta/wol/d/r122/lp-tl/1102014255" TargetMode="External" Id="rId2210"/><Relationship Type="http://schemas.openxmlformats.org/officeDocument/2006/relationships/hyperlink" Target="https://wol.jw.org/en/wol/d/r1/lp-e/1102014241" TargetMode="External" Id="rId2211"/><Relationship Type="http://schemas.openxmlformats.org/officeDocument/2006/relationships/hyperlink" Target="https://wol.jw.org/ta/wol/d/r122/lp-tl/1102014241" TargetMode="External" Id="rId2212"/><Relationship Type="http://schemas.openxmlformats.org/officeDocument/2006/relationships/hyperlink" Target="https://wol.jw.org/en/wol/d/r1/lp-e/1101993006" TargetMode="External" Id="rId2213"/><Relationship Type="http://schemas.openxmlformats.org/officeDocument/2006/relationships/hyperlink" Target="https://wol.jw.org/en/wol/d/r1/lp-e/1101993006" TargetMode="External" Id="rId2214"/><Relationship Type="http://schemas.openxmlformats.org/officeDocument/2006/relationships/hyperlink" Target="https://wol.jw.org/en/wol/d/r1/lp-e/1101993013" TargetMode="External" Id="rId2215"/><Relationship Type="http://schemas.openxmlformats.org/officeDocument/2006/relationships/hyperlink" Target="https://wol.jw.org/en/wol/d/r1/lp-e/1101993046" TargetMode="External" Id="rId2216"/><Relationship Type="http://schemas.openxmlformats.org/officeDocument/2006/relationships/hyperlink" Target="https://wol.jw.org/en/wol/d/r1/lp-e/1101993046" TargetMode="External" Id="rId2217"/><Relationship Type="http://schemas.openxmlformats.org/officeDocument/2006/relationships/hyperlink" Target="https://wol.jw.org/en/wol/mp/r1/lp-e/kr/2014/61" TargetMode="External" Id="rId2218"/><Relationship Type="http://schemas.openxmlformats.org/officeDocument/2006/relationships/hyperlink" Target="https://wol.jw.org/en/wol/d/r1/lp-e/1101993018" TargetMode="External" Id="rId2219"/><Relationship Type="http://schemas.openxmlformats.org/officeDocument/2006/relationships/hyperlink" Target="https://wol.jw.org/en/wol/d/r1/lp-e/1001061229" TargetMode="External" Id="rId2220"/><Relationship Type="http://schemas.openxmlformats.org/officeDocument/2006/relationships/hyperlink" Target="https://wol.jw.org/ta/wol/d/r122/lp-tl/1001061229" TargetMode="External" Id="rId2221"/><Relationship Type="http://schemas.openxmlformats.org/officeDocument/2006/relationships/hyperlink" Target="https://wol.jw.org/en/wol/d/r1/lp-e/1101993007" TargetMode="External" Id="rId2222"/><Relationship Type="http://schemas.openxmlformats.org/officeDocument/2006/relationships/hyperlink" Target="https://wol.jw.org/en/wol/d/r1/lp-e/1200000316" TargetMode="External" Id="rId2223"/><Relationship Type="http://schemas.openxmlformats.org/officeDocument/2006/relationships/hyperlink" Target="https://wol.jw.org/en/wol/d/r1/lp-e/1101993046" TargetMode="External" Id="rId2224"/><Relationship Type="http://schemas.openxmlformats.org/officeDocument/2006/relationships/hyperlink" Target="https://wol.jw.org/en/wol/mp/r1/lp-e/kr/2014/441" TargetMode="External" Id="rId2225"/><Relationship Type="http://schemas.openxmlformats.org/officeDocument/2006/relationships/hyperlink" Target="https://wol.jw.org/en/wol/d/r1/lp-e/1102014241" TargetMode="External" Id="rId2226"/><Relationship Type="http://schemas.openxmlformats.org/officeDocument/2006/relationships/hyperlink" Target="https://wol.jw.org/ta/wol/d/r122/lp-tl/1102014241" TargetMode="External" Id="rId2227"/><Relationship Type="http://schemas.openxmlformats.org/officeDocument/2006/relationships/hyperlink" Target="https://wol.jw.org/en/wol/mp/r1/lp-e/kr/2014/26" TargetMode="External" Id="rId2228"/><Relationship Type="http://schemas.openxmlformats.org/officeDocument/2006/relationships/hyperlink" Target="https://wol.jw.org/en/wol/d/r1/lp-e/502016185" TargetMode="External" Id="rId2229"/><Relationship Type="http://schemas.openxmlformats.org/officeDocument/2006/relationships/hyperlink" Target="https://wol.jw.org/ta/wol/d/r122/lp-tl/502016185" TargetMode="External" Id="rId2230"/><Relationship Type="http://schemas.openxmlformats.org/officeDocument/2006/relationships/hyperlink" Target="https://wol.jw.org/en/wol/d/r1/lp-e/1001070221" TargetMode="External" Id="rId2231"/><Relationship Type="http://schemas.openxmlformats.org/officeDocument/2006/relationships/hyperlink" Target="https://wol.jw.org/ta/wol/d/r122/lp-tl/1001070221" TargetMode="External" Id="rId2232"/><Relationship Type="http://schemas.openxmlformats.org/officeDocument/2006/relationships/hyperlink" Target="https://wol.jw.org/en/wol/mp/r1/lp-e/nwtsty/2026/81" TargetMode="External" Id="rId2233"/><Relationship Type="http://schemas.openxmlformats.org/officeDocument/2006/relationships/hyperlink" Target="https://wol.jw.org/en/wol/d/r1/lp-e/1102014241" TargetMode="External" Id="rId2234"/><Relationship Type="http://schemas.openxmlformats.org/officeDocument/2006/relationships/hyperlink" Target="https://wol.jw.org/ta/wol/d/r122/lp-tl/1102014241" TargetMode="External" Id="rId2235"/><Relationship Type="http://schemas.openxmlformats.org/officeDocument/2006/relationships/hyperlink" Target="https://wol.jw.org/en/wol/d/r1/lp-e/1966281" TargetMode="External" Id="rId2236"/><Relationship Type="http://schemas.openxmlformats.org/officeDocument/2006/relationships/hyperlink" Target="https://wol.jw.org/en/wol/d/r1/lp-e/502016185" TargetMode="External" Id="rId2237"/><Relationship Type="http://schemas.openxmlformats.org/officeDocument/2006/relationships/hyperlink" Target="https://wol.jw.org/ta/wol/d/r122/lp-tl/502016185" TargetMode="External" Id="rId2238"/><Relationship Type="http://schemas.openxmlformats.org/officeDocument/2006/relationships/hyperlink" Target="https://wol.jw.org/en/wol/d/r1/lp-e/2013533" TargetMode="External" Id="rId2239"/><Relationship Type="http://schemas.openxmlformats.org/officeDocument/2006/relationships/hyperlink" Target="https://wol.jw.org/ta/wol/d/r122/lp-tl/2013533" TargetMode="External" Id="rId2240"/><Relationship Type="http://schemas.openxmlformats.org/officeDocument/2006/relationships/hyperlink" Target="https://wol.jw.org/en/wol/mp/r1/lp-e/kr/2014/95" TargetMode="External" Id="rId2241"/><Relationship Type="http://schemas.openxmlformats.org/officeDocument/2006/relationships/hyperlink" Target="https://wol.jw.org/en/wol/d/r1/lp-e/1102014244" TargetMode="External" Id="rId2242"/><Relationship Type="http://schemas.openxmlformats.org/officeDocument/2006/relationships/hyperlink" Target="https://wol.jw.org/ta/wol/d/r122/lp-tl/1102014244" TargetMode="External" Id="rId2243"/><Relationship Type="http://schemas.openxmlformats.org/officeDocument/2006/relationships/hyperlink" Target="https://wol.jw.org/en/wol/d/r1/lp-e/2013533" TargetMode="External" Id="rId2244"/><Relationship Type="http://schemas.openxmlformats.org/officeDocument/2006/relationships/hyperlink" Target="https://wol.jw.org/ta/wol/d/r122/lp-tl/2013533" TargetMode="External" Id="rId2245"/><Relationship Type="http://schemas.openxmlformats.org/officeDocument/2006/relationships/hyperlink" Target="https://wol.jw.org/en/wol/d/r1/lp-e/1101999037" TargetMode="External" Id="rId2246"/><Relationship Type="http://schemas.openxmlformats.org/officeDocument/2006/relationships/hyperlink" Target="https://wol.jw.org/ta/wol/d/r122/lp-tl/1101999037" TargetMode="External" Id="rId2247"/><Relationship Type="http://schemas.openxmlformats.org/officeDocument/2006/relationships/hyperlink" Target="https://wol.jw.org/en/wol/d/r1/lp-e/1102014253" TargetMode="External" Id="rId2248"/><Relationship Type="http://schemas.openxmlformats.org/officeDocument/2006/relationships/hyperlink" Target="https://wol.jw.org/ta/wol/d/r122/lp-tl/1102014253" TargetMode="External" Id="rId2249"/><Relationship Type="http://schemas.openxmlformats.org/officeDocument/2006/relationships/hyperlink" Target="https://wol.jw.org/en/wol/d/r1/lp-e/1101993007" TargetMode="External" Id="rId2250"/><Relationship Type="http://schemas.openxmlformats.org/officeDocument/2006/relationships/hyperlink" Target="https://wol.jw.org/en/wol/d/r1/lp-e/1101993046" TargetMode="External" Id="rId2251"/><Relationship Type="http://schemas.openxmlformats.org/officeDocument/2006/relationships/hyperlink" Target="https://wol.jw.org/en/wol/d/r1/lp-e/1101993012" TargetMode="External" Id="rId2252"/><Relationship Type="http://schemas.openxmlformats.org/officeDocument/2006/relationships/hyperlink" Target="https://wol.jw.org/en/wol/d/r1/lp-e/1102014246" TargetMode="External" Id="rId2253"/><Relationship Type="http://schemas.openxmlformats.org/officeDocument/2006/relationships/hyperlink" Target="https://wol.jw.org/ta/wol/d/r122/lp-tl/1102014246" TargetMode="External" Id="rId2254"/><Relationship Type="http://schemas.openxmlformats.org/officeDocument/2006/relationships/hyperlink" Target="https://wol.jw.org/en/wol/d/r1/lp-e/1101993046" TargetMode="External" Id="rId2255"/><Relationship Type="http://schemas.openxmlformats.org/officeDocument/2006/relationships/hyperlink" Target="https://wol.jw.org/en/wol/d/r1/lp-e/1101993046" TargetMode="External" Id="rId2256"/><Relationship Type="http://schemas.openxmlformats.org/officeDocument/2006/relationships/hyperlink" Target="https://wol.jw.org/en/wol/d/r1/lp-e/1101993018" TargetMode="External" Id="rId2257"/><Relationship Type="http://schemas.openxmlformats.org/officeDocument/2006/relationships/hyperlink" Target="https://wol.jw.org/en/wol/d/r1/lp-e/1101993046" TargetMode="External" Id="rId2258"/><Relationship Type="http://schemas.openxmlformats.org/officeDocument/2006/relationships/hyperlink" Target="https://wol.jw.org/en/wol/d/r1/lp-e/1101993046" TargetMode="External" Id="rId2259"/><Relationship Type="http://schemas.openxmlformats.org/officeDocument/2006/relationships/hyperlink" Target="https://wol.jw.org/en/wol/d/r1/lp-e/1101993019" TargetMode="External" Id="rId2260"/><Relationship Type="http://schemas.openxmlformats.org/officeDocument/2006/relationships/hyperlink" Target="https://wol.jw.org/en/wol/d/r1/lp-e/1101993007" TargetMode="External" Id="rId2261"/><Relationship Type="http://schemas.openxmlformats.org/officeDocument/2006/relationships/hyperlink" Target="https://wol.jw.org/en/wol/d/r1/lp-e/1101993040" TargetMode="External" Id="rId2262"/><Relationship Type="http://schemas.openxmlformats.org/officeDocument/2006/relationships/hyperlink" Target="https://wol.jw.org/en/wol/d/r1/lp-e/1101993046" TargetMode="External" Id="rId2263"/><Relationship Type="http://schemas.openxmlformats.org/officeDocument/2006/relationships/hyperlink" Target="https://wol.jw.org/en/wol/d/r1/lp-e/1101993007" TargetMode="External" Id="rId2264"/><Relationship Type="http://schemas.openxmlformats.org/officeDocument/2006/relationships/hyperlink" Target="https://wol.jw.org/en/wol/d/r1/lp-e/1101993046" TargetMode="External" Id="rId2265"/><Relationship Type="http://schemas.openxmlformats.org/officeDocument/2006/relationships/hyperlink" Target="https://wol.jw.org/en/wol/d/r1/lp-e/1101993046" TargetMode="External" Id="rId2266"/><Relationship Type="http://schemas.openxmlformats.org/officeDocument/2006/relationships/hyperlink" Target="https://wol.jw.org/en/wol/d/r1/lp-e/1101993046" TargetMode="External" Id="rId2267"/><Relationship Type="http://schemas.openxmlformats.org/officeDocument/2006/relationships/hyperlink" Target="https://wol.jw.org/en/wol/d/r1/lp-e/2005721" TargetMode="External" Id="rId2268"/><Relationship Type="http://schemas.openxmlformats.org/officeDocument/2006/relationships/hyperlink" Target="https://wol.jw.org/ta/wol/d/r122/lp-tl/2005721" TargetMode="External" Id="rId2269"/><Relationship Type="http://schemas.openxmlformats.org/officeDocument/2006/relationships/hyperlink" Target="https://wol.jw.org/en/wol/d/r1/lp-e/1101993040" TargetMode="External" Id="rId2270"/><Relationship Type="http://schemas.openxmlformats.org/officeDocument/2006/relationships/hyperlink" Target="https://wol.jw.org/en/wol/d/r1/lp-e/1101993046" TargetMode="External" Id="rId2271"/><Relationship Type="http://schemas.openxmlformats.org/officeDocument/2006/relationships/hyperlink" Target="https://wol.jw.org/en/wol/d/r1/lp-e/1200271562" TargetMode="External" Id="rId2272"/><Relationship Type="http://schemas.openxmlformats.org/officeDocument/2006/relationships/hyperlink" Target="https://wol.jw.org/en/wol/d/r1/lp-e/1101993046" TargetMode="External" Id="rId2273"/><Relationship Type="http://schemas.openxmlformats.org/officeDocument/2006/relationships/hyperlink" Target="https://wol.jw.org/en/wol/d/r1/lp-e/1101993046" TargetMode="External" Id="rId2274"/><Relationship Type="http://schemas.openxmlformats.org/officeDocument/2006/relationships/hyperlink" Target="https://wol.jw.org/en/wol/d/r1/lp-e/2013531" TargetMode="External" Id="rId2275"/><Relationship Type="http://schemas.openxmlformats.org/officeDocument/2006/relationships/hyperlink" Target="https://wol.jw.org/ta/wol/d/r122/lp-tl/2013531" TargetMode="External" Id="rId2276"/><Relationship Type="http://schemas.openxmlformats.org/officeDocument/2006/relationships/hyperlink" Target="https://wol.jw.org/en/wol/d/r1/lp-e/1101993046" TargetMode="External" Id="rId2277"/><Relationship Type="http://schemas.openxmlformats.org/officeDocument/2006/relationships/hyperlink" Target="https://wol.jw.org/en/wol/mp/r1/lp-e/kr/2014/28" TargetMode="External" Id="rId2278"/><Relationship Type="http://schemas.openxmlformats.org/officeDocument/2006/relationships/hyperlink" Target="https://wol.jw.org/en/wol/d/r1/lp-e/1102014251" TargetMode="External" Id="rId2279"/><Relationship Type="http://schemas.openxmlformats.org/officeDocument/2006/relationships/hyperlink" Target="https://wol.jw.org/ta/wol/d/r122/lp-tl/1102014251" TargetMode="External" Id="rId2280"/><Relationship Type="http://schemas.openxmlformats.org/officeDocument/2006/relationships/hyperlink" Target="https://wol.jw.org/en/wol/d/r1/lp-e/1101993046" TargetMode="External" Id="rId2281"/><Relationship Type="http://schemas.openxmlformats.org/officeDocument/2006/relationships/hyperlink" Target="https://wol.jw.org/en/wol/d/r1/lp-e/1101993008" TargetMode="External" Id="rId2282"/><Relationship Type="http://schemas.openxmlformats.org/officeDocument/2006/relationships/hyperlink" Target="https://wol.jw.org/en/wol/d/r1/lp-e/1101999037" TargetMode="External" Id="rId2283"/><Relationship Type="http://schemas.openxmlformats.org/officeDocument/2006/relationships/hyperlink" Target="https://wol.jw.org/ta/wol/d/r122/lp-tl/1101999037" TargetMode="External" Id="rId2284"/><Relationship Type="http://schemas.openxmlformats.org/officeDocument/2006/relationships/hyperlink" Target="https://wol.jw.org/en/wol/d/r1/lp-e/1101999037" TargetMode="External" Id="rId2285"/><Relationship Type="http://schemas.openxmlformats.org/officeDocument/2006/relationships/hyperlink" Target="https://wol.jw.org/ta/wol/d/r122/lp-tl/1101999037" TargetMode="External" Id="rId2286"/><Relationship Type="http://schemas.openxmlformats.org/officeDocument/2006/relationships/hyperlink" Target="https://wol.jw.org/en/wol/d/r1/lp-e/1102014241" TargetMode="External" Id="rId2287"/><Relationship Type="http://schemas.openxmlformats.org/officeDocument/2006/relationships/hyperlink" Target="https://wol.jw.org/ta/wol/d/r122/lp-tl/1102014241" TargetMode="External" Id="rId2288"/><Relationship Type="http://schemas.openxmlformats.org/officeDocument/2006/relationships/hyperlink" Target="https://wol.jw.org/en/wol/mp/r1/lp-e/kr/2014/30" TargetMode="External" Id="rId2289"/><Relationship Type="http://schemas.openxmlformats.org/officeDocument/2006/relationships/hyperlink" Target="https://wol.jw.org/en/wol/d/r1/lp-e/2013533" TargetMode="External" Id="rId2290"/><Relationship Type="http://schemas.openxmlformats.org/officeDocument/2006/relationships/hyperlink" Target="https://wol.jw.org/ta/wol/d/r122/lp-tl/2013533" TargetMode="External" Id="rId2291"/><Relationship Type="http://schemas.openxmlformats.org/officeDocument/2006/relationships/hyperlink" Target="https://wol.jw.org/en/wol/d/r1/lp-e/1101993046" TargetMode="External" Id="rId2292"/><Relationship Type="http://schemas.openxmlformats.org/officeDocument/2006/relationships/hyperlink" Target="https://wol.jw.org/en/wol/d/r1/lp-e/1101993046" TargetMode="External" Id="rId2293"/><Relationship Type="http://schemas.openxmlformats.org/officeDocument/2006/relationships/hyperlink" Target="https://wol.jw.org/en/wol/d/r1/lp-e/1101993046" TargetMode="External" Id="rId2294"/><Relationship Type="http://schemas.openxmlformats.org/officeDocument/2006/relationships/hyperlink" Target="https://wol.jw.org/en/wol/d/r1/lp-e/2013531" TargetMode="External" Id="rId2295"/><Relationship Type="http://schemas.openxmlformats.org/officeDocument/2006/relationships/hyperlink" Target="https://wol.jw.org/ta/wol/d/r122/lp-tl/2013531" TargetMode="External" Id="rId2296"/><Relationship Type="http://schemas.openxmlformats.org/officeDocument/2006/relationships/hyperlink" Target="https://wol.jw.org/en/wol/d/r1/lp-e/2013531" TargetMode="External" Id="rId2297"/><Relationship Type="http://schemas.openxmlformats.org/officeDocument/2006/relationships/hyperlink" Target="https://wol.jw.org/ta/wol/d/r122/lp-tl/2013531" TargetMode="External" Id="rId2298"/><Relationship Type="http://schemas.openxmlformats.org/officeDocument/2006/relationships/hyperlink" Target="https://wol.jw.org/en/wol/d/r1/lp-e/1101993046" TargetMode="External" Id="rId2299"/><Relationship Type="http://schemas.openxmlformats.org/officeDocument/2006/relationships/hyperlink" Target="https://wol.jw.org/en/wol/mp/r1/lp-e/kr/2014/30" TargetMode="External" Id="rId2300"/><Relationship Type="http://schemas.openxmlformats.org/officeDocument/2006/relationships/hyperlink" Target="https://wol.jw.org/en/wol/d/r1/lp-e/1101993036" TargetMode="External" Id="rId2301"/><Relationship Type="http://schemas.openxmlformats.org/officeDocument/2006/relationships/hyperlink" Target="https://wol.jw.org/en/wol/d/r1/lp-e/1102014247" TargetMode="External" Id="rId2302"/><Relationship Type="http://schemas.openxmlformats.org/officeDocument/2006/relationships/hyperlink" Target="https://wol.jw.org/ta/wol/d/r122/lp-tl/1102014247" TargetMode="External" Id="rId2303"/><Relationship Type="http://schemas.openxmlformats.org/officeDocument/2006/relationships/hyperlink" Target="https://wol.jw.org/en/wol/mp/r1/lp-e/kr/2014/28" TargetMode="External" Id="rId2304"/><Relationship Type="http://schemas.openxmlformats.org/officeDocument/2006/relationships/hyperlink" Target="https://wol.jw.org/en/wol/d/r1/lp-e/1102014247" TargetMode="External" Id="rId2305"/><Relationship Type="http://schemas.openxmlformats.org/officeDocument/2006/relationships/hyperlink" Target="https://wol.jw.org/ta/wol/d/r122/lp-tl/1102014247" TargetMode="External" Id="rId2306"/><Relationship Type="http://schemas.openxmlformats.org/officeDocument/2006/relationships/hyperlink" Target="https://wol.jw.org/en/wol/d/r1/lp-e/1101993046" TargetMode="External" Id="rId2307"/><Relationship Type="http://schemas.openxmlformats.org/officeDocument/2006/relationships/hyperlink" Target="https://wol.jw.org/en/wol/d/r1/lp-e/1101993046" TargetMode="External" Id="rId2308"/><Relationship Type="http://schemas.openxmlformats.org/officeDocument/2006/relationships/hyperlink" Target="https://wol.jw.org/en/wol/d/r1/lp-e/1101993008" TargetMode="External" Id="rId2309"/><Relationship Type="http://schemas.openxmlformats.org/officeDocument/2006/relationships/hyperlink" Target="https://wol.jw.org/en/wol/d/r1/lp-e/1101988034" TargetMode="External" Id="rId2310"/><Relationship Type="http://schemas.openxmlformats.org/officeDocument/2006/relationships/hyperlink" Target="https://wol.jw.org/ta/wol/d/r122/lp-tl/1101988034" TargetMode="External" Id="rId2311"/><Relationship Type="http://schemas.openxmlformats.org/officeDocument/2006/relationships/hyperlink" Target="https://wol.jw.org/en/wol/d/r1/lp-e/1101988034" TargetMode="External" Id="rId2312"/><Relationship Type="http://schemas.openxmlformats.org/officeDocument/2006/relationships/hyperlink" Target="https://wol.jw.org/ta/wol/d/r122/lp-tl/1101988034" TargetMode="External" Id="rId2313"/><Relationship Type="http://schemas.openxmlformats.org/officeDocument/2006/relationships/hyperlink" Target="https://wol.jw.org/en/wol/d/r1/lp-e/1101993046" TargetMode="External" Id="rId2314"/><Relationship Type="http://schemas.openxmlformats.org/officeDocument/2006/relationships/hyperlink" Target="https://wol.jw.org/en/wol/d/r1/lp-e/1102014245" TargetMode="External" Id="rId2315"/><Relationship Type="http://schemas.openxmlformats.org/officeDocument/2006/relationships/hyperlink" Target="https://wol.jw.org/ta/wol/d/r122/lp-tl/1102014245" TargetMode="External" Id="rId2316"/><Relationship Type="http://schemas.openxmlformats.org/officeDocument/2006/relationships/hyperlink" Target="https://wol.jw.org/en/wol/d/r1/lp-e/2014083" TargetMode="External" Id="rId2317"/><Relationship Type="http://schemas.openxmlformats.org/officeDocument/2006/relationships/hyperlink" Target="https://wol.jw.org/en/wol/d/r1/lp-e/1102014247" TargetMode="External" Id="rId2318"/><Relationship Type="http://schemas.openxmlformats.org/officeDocument/2006/relationships/hyperlink" Target="https://wol.jw.org/ta/wol/d/r122/lp-tl/1102014247" TargetMode="External" Id="rId2319"/><Relationship Type="http://schemas.openxmlformats.org/officeDocument/2006/relationships/hyperlink" Target="https://wol.jw.org/en/wol/d/r1/lp-e/1101993020" TargetMode="External" Id="rId2320"/><Relationship Type="http://schemas.openxmlformats.org/officeDocument/2006/relationships/hyperlink" Target="https://wol.jw.org/en/wol/d/r1/lp-e/1101993046" TargetMode="External" Id="rId2321"/><Relationship Type="http://schemas.openxmlformats.org/officeDocument/2006/relationships/hyperlink" Target="https://wol.jw.org/en/wol/d/r1/lp-e/1102014244" TargetMode="External" Id="rId2322"/><Relationship Type="http://schemas.openxmlformats.org/officeDocument/2006/relationships/hyperlink" Target="https://wol.jw.org/ta/wol/d/r122/lp-tl/1102014244" TargetMode="External" Id="rId2323"/><Relationship Type="http://schemas.openxmlformats.org/officeDocument/2006/relationships/hyperlink" Target="https://wol.jw.org/en/wol/d/r1/lp-e/1101993036" TargetMode="External" Id="rId2324"/><Relationship Type="http://schemas.openxmlformats.org/officeDocument/2006/relationships/hyperlink" Target="https://wol.jw.org/en/wol/d/r1/lp-e/1101993046" TargetMode="External" Id="rId2325"/><Relationship Type="http://schemas.openxmlformats.org/officeDocument/2006/relationships/hyperlink" Target="https://wol.jw.org/en/wol/mp/r1/lp-e/kr/2014/133" TargetMode="External" Id="rId2326"/><Relationship Type="http://schemas.openxmlformats.org/officeDocument/2006/relationships/hyperlink" Target="https://wol.jw.org/en/wol/d/r1/lp-e/1101993036" TargetMode="External" Id="rId2327"/><Relationship Type="http://schemas.openxmlformats.org/officeDocument/2006/relationships/hyperlink" Target="https://wol.jw.org/en/wol/d/r1/lp-e/1102014246" TargetMode="External" Id="rId2328"/><Relationship Type="http://schemas.openxmlformats.org/officeDocument/2006/relationships/hyperlink" Target="https://wol.jw.org/ta/wol/d/r122/lp-tl/1102014246" TargetMode="External" Id="rId2329"/><Relationship Type="http://schemas.openxmlformats.org/officeDocument/2006/relationships/hyperlink" Target="https://wol.jw.org/en/wol/d/r1/lp-e/1101993019" TargetMode="External" Id="rId2330"/><Relationship Type="http://schemas.openxmlformats.org/officeDocument/2006/relationships/hyperlink" Target="https://wol.jw.org/en/wol/mp/r1/lp-e/kr/2014/292" TargetMode="External" Id="rId2331"/><Relationship Type="http://schemas.openxmlformats.org/officeDocument/2006/relationships/hyperlink" Target="https://wol.jw.org/en/wol/d/r1/lp-e/1101993046" TargetMode="External" Id="rId2332"/><Relationship Type="http://schemas.openxmlformats.org/officeDocument/2006/relationships/hyperlink" Target="https://wol.jw.org/en/wol/mp/r1/lp-e/kr/2014/112" TargetMode="External" Id="rId2333"/><Relationship Type="http://schemas.openxmlformats.org/officeDocument/2006/relationships/hyperlink" Target="https://wol.jw.org/en/wol/d/r1/lp-e/1101999037" TargetMode="External" Id="rId2334"/><Relationship Type="http://schemas.openxmlformats.org/officeDocument/2006/relationships/hyperlink" Target="https://wol.jw.org/ta/wol/d/r122/lp-tl/1101999037" TargetMode="External" Id="rId2335"/><Relationship Type="http://schemas.openxmlformats.org/officeDocument/2006/relationships/hyperlink" Target="https://wol.jw.org/en/wol/d/r1/lp-e/1102014244" TargetMode="External" Id="rId2336"/><Relationship Type="http://schemas.openxmlformats.org/officeDocument/2006/relationships/hyperlink" Target="https://wol.jw.org/ta/wol/d/r122/lp-tl/1102014244" TargetMode="External" Id="rId2337"/><Relationship Type="http://schemas.openxmlformats.org/officeDocument/2006/relationships/hyperlink" Target="https://wol.jw.org/en/wol/d/r1/lp-e/1102014246" TargetMode="External" Id="rId2338"/><Relationship Type="http://schemas.openxmlformats.org/officeDocument/2006/relationships/hyperlink" Target="https://wol.jw.org/ta/wol/d/r122/lp-tl/1102014246" TargetMode="External" Id="rId2339"/><Relationship Type="http://schemas.openxmlformats.org/officeDocument/2006/relationships/hyperlink" Target="https://wol.jw.org/en/wol/d/r1/lp-e/1102014255" TargetMode="External" Id="rId2340"/><Relationship Type="http://schemas.openxmlformats.org/officeDocument/2006/relationships/hyperlink" Target="https://wol.jw.org/ta/wol/d/r122/lp-tl/1102014255" TargetMode="External" Id="rId2341"/><Relationship Type="http://schemas.openxmlformats.org/officeDocument/2006/relationships/hyperlink" Target="https://wol.jw.org/en/wol/d/r1/lp-e/1101993009" TargetMode="External" Id="rId2342"/><Relationship Type="http://schemas.openxmlformats.org/officeDocument/2006/relationships/hyperlink" Target="https://wol.jw.org/en/wol/d/r1/lp-e/1101993020" TargetMode="External" Id="rId2343"/><Relationship Type="http://schemas.openxmlformats.org/officeDocument/2006/relationships/hyperlink" Target="https://wol.jw.org/en/wol/d/r1/lp-e/1101993046" TargetMode="External" Id="rId2344"/><Relationship Type="http://schemas.openxmlformats.org/officeDocument/2006/relationships/hyperlink" Target="https://wol.jw.org/en/wol/mp/r1/lp-e/kr/2014/121" TargetMode="External" Id="rId2345"/><Relationship Type="http://schemas.openxmlformats.org/officeDocument/2006/relationships/hyperlink" Target="https://wol.jw.org/en/wol/d/r1/lp-e/2017321" TargetMode="External" Id="rId2346"/><Relationship Type="http://schemas.openxmlformats.org/officeDocument/2006/relationships/hyperlink" Target="https://wol.jw.org/ta/wol/d/r122/lp-tl/2017321" TargetMode="External" Id="rId2347"/><Relationship Type="http://schemas.openxmlformats.org/officeDocument/2006/relationships/hyperlink" Target="https://wol.jw.org/en/wol/d/r1/lp-e/1102014255" TargetMode="External" Id="rId2348"/><Relationship Type="http://schemas.openxmlformats.org/officeDocument/2006/relationships/hyperlink" Target="https://wol.jw.org/ta/wol/d/r122/lp-tl/1102014255" TargetMode="External" Id="rId2349"/><Relationship Type="http://schemas.openxmlformats.org/officeDocument/2006/relationships/hyperlink" Target="https://wol.jw.org/en/wol/mp/r1/lp-e/kr/2014/313" TargetMode="External" Id="rId2350"/><Relationship Type="http://schemas.openxmlformats.org/officeDocument/2006/relationships/hyperlink" Target="https://wol.jw.org/en/wol/d/r1/lp-e/1101993046" TargetMode="External" Id="rId2351"/><Relationship Type="http://schemas.openxmlformats.org/officeDocument/2006/relationships/hyperlink" Target="https://wol.jw.org/en/wol/d/r1/lp-e/1101993013" TargetMode="External" Id="rId2352"/><Relationship Type="http://schemas.openxmlformats.org/officeDocument/2006/relationships/hyperlink" Target="https://wol.jw.org/en/wol/d/r1/lp-e/1101993046" TargetMode="External" Id="rId2353"/><Relationship Type="http://schemas.openxmlformats.org/officeDocument/2006/relationships/hyperlink" Target="https://wol.jw.org/en/wol/d/r1/lp-e/1102014246" TargetMode="External" Id="rId2354"/><Relationship Type="http://schemas.openxmlformats.org/officeDocument/2006/relationships/hyperlink" Target="https://wol.jw.org/ta/wol/d/r122/lp-tl/1102014246" TargetMode="External" Id="rId2355"/><Relationship Type="http://schemas.openxmlformats.org/officeDocument/2006/relationships/hyperlink" Target="https://wol.jw.org/en/wol/d/r1/lp-e/1101993018" TargetMode="External" Id="rId2356"/><Relationship Type="http://schemas.openxmlformats.org/officeDocument/2006/relationships/hyperlink" Target="https://wol.jw.org/en/wol/d/r1/lp-e/1101993041" TargetMode="External" Id="rId2357"/><Relationship Type="http://schemas.openxmlformats.org/officeDocument/2006/relationships/hyperlink" Target="https://wol.jw.org/en/wol/d/r1/lp-e/1101999037" TargetMode="External" Id="rId2358"/><Relationship Type="http://schemas.openxmlformats.org/officeDocument/2006/relationships/hyperlink" Target="https://wol.jw.org/ta/wol/d/r122/lp-tl/1101999037" TargetMode="External" Id="rId2359"/><Relationship Type="http://schemas.openxmlformats.org/officeDocument/2006/relationships/hyperlink" Target="https://wol.jw.org/en/wol/d/r1/lp-e/1102014247" TargetMode="External" Id="rId2360"/><Relationship Type="http://schemas.openxmlformats.org/officeDocument/2006/relationships/hyperlink" Target="https://wol.jw.org/ta/wol/d/r122/lp-tl/1102014247" TargetMode="External" Id="rId2361"/><Relationship Type="http://schemas.openxmlformats.org/officeDocument/2006/relationships/hyperlink" Target="https://wol.jw.org/en/wol/d/r1/lp-e/1102014249" TargetMode="External" Id="rId2362"/><Relationship Type="http://schemas.openxmlformats.org/officeDocument/2006/relationships/hyperlink" Target="https://wol.jw.org/ta/wol/d/r122/lp-tl/1102014249" TargetMode="External" Id="rId2363"/><Relationship Type="http://schemas.openxmlformats.org/officeDocument/2006/relationships/hyperlink" Target="https://wol.jw.org/en/wol/mp/r1/lp-e/kr/2014/200" TargetMode="External" Id="rId2364"/><Relationship Type="http://schemas.openxmlformats.org/officeDocument/2006/relationships/hyperlink" Target="https://wol.jw.org/en/wol/d/r1/lp-e/1101993036" TargetMode="External" Id="rId2365"/><Relationship Type="http://schemas.openxmlformats.org/officeDocument/2006/relationships/hyperlink" Target="https://wol.jw.org/en/wol/mp/r1/lp-e/kr/2014/377" TargetMode="External" Id="rId2366"/><Relationship Type="http://schemas.openxmlformats.org/officeDocument/2006/relationships/hyperlink" Target="https://wol.jw.org/en/wol/d/r1/lp-e/1101993012" TargetMode="External" Id="rId2367"/><Relationship Type="http://schemas.openxmlformats.org/officeDocument/2006/relationships/hyperlink" Target="https://wol.jw.org/en/wol/d/r1/lp-e/301975003" TargetMode="External" Id="rId2368"/><Relationship Type="http://schemas.openxmlformats.org/officeDocument/2006/relationships/hyperlink" Target="https://wol.jw.org/en/wol/d/r1/lp-e/1102014252" TargetMode="External" Id="rId2369"/><Relationship Type="http://schemas.openxmlformats.org/officeDocument/2006/relationships/hyperlink" Target="https://wol.jw.org/ta/wol/d/r122/lp-tl/1102014252" TargetMode="External" Id="rId2370"/><Relationship Type="http://schemas.openxmlformats.org/officeDocument/2006/relationships/hyperlink" Target="https://wol.jw.org/en/wol/d/r1/lp-e/1102014249" TargetMode="External" Id="rId2371"/><Relationship Type="http://schemas.openxmlformats.org/officeDocument/2006/relationships/hyperlink" Target="https://wol.jw.org/ta/wol/d/r122/lp-tl/1102014249" TargetMode="External" Id="rId2372"/><Relationship Type="http://schemas.openxmlformats.org/officeDocument/2006/relationships/hyperlink" Target="https://wol.jw.org/en/wol/d/r1/lp-e/1101993046" TargetMode="External" Id="rId2373"/><Relationship Type="http://schemas.openxmlformats.org/officeDocument/2006/relationships/hyperlink" Target="https://wol.jw.org/en/wol/d/r1/lp-e/1102014249" TargetMode="External" Id="rId2374"/><Relationship Type="http://schemas.openxmlformats.org/officeDocument/2006/relationships/hyperlink" Target="https://wol.jw.org/ta/wol/d/r122/lp-tl/1102014249" TargetMode="External" Id="rId2375"/><Relationship Type="http://schemas.openxmlformats.org/officeDocument/2006/relationships/hyperlink" Target="https://wol.jw.org/en/wol/mp/r1/lp-e/kr/2014/204" TargetMode="External" Id="rId2376"/><Relationship Type="http://schemas.openxmlformats.org/officeDocument/2006/relationships/hyperlink" Target="https://wol.jw.org/en/wol/d/r1/lp-e/1102014244" TargetMode="External" Id="rId2377"/><Relationship Type="http://schemas.openxmlformats.org/officeDocument/2006/relationships/hyperlink" Target="https://wol.jw.org/ta/wol/d/r122/lp-tl/1102014244" TargetMode="External" Id="rId2378"/><Relationship Type="http://schemas.openxmlformats.org/officeDocument/2006/relationships/hyperlink" Target="https://wol.jw.org/en/wol/d/r1/lp-e/1102014255" TargetMode="External" Id="rId2379"/><Relationship Type="http://schemas.openxmlformats.org/officeDocument/2006/relationships/hyperlink" Target="https://wol.jw.org/ta/wol/d/r122/lp-tl/1102014255" TargetMode="External" Id="rId2380"/><Relationship Type="http://schemas.openxmlformats.org/officeDocument/2006/relationships/hyperlink" Target="https://wol.jw.org/en/wol/mp/r1/lp-e/kr/2014/315" TargetMode="External" Id="rId2381"/><Relationship Type="http://schemas.openxmlformats.org/officeDocument/2006/relationships/hyperlink" Target="https://wol.jw.org/en/wol/d/r1/lp-e/1102014246" TargetMode="External" Id="rId2382"/><Relationship Type="http://schemas.openxmlformats.org/officeDocument/2006/relationships/hyperlink" Target="https://wol.jw.org/ta/wol/d/r122/lp-tl/1102014246" TargetMode="External" Id="rId2383"/><Relationship Type="http://schemas.openxmlformats.org/officeDocument/2006/relationships/hyperlink" Target="https://wol.jw.org/en/wol/d/r1/lp-e/1102014255" TargetMode="External" Id="rId2384"/><Relationship Type="http://schemas.openxmlformats.org/officeDocument/2006/relationships/hyperlink" Target="https://wol.jw.org/ta/wol/d/r122/lp-tl/1102014255" TargetMode="External" Id="rId2385"/><Relationship Type="http://schemas.openxmlformats.org/officeDocument/2006/relationships/hyperlink" Target="https://wol.jw.org/en/wol/d/r1/lp-e/1102014249" TargetMode="External" Id="rId2386"/><Relationship Type="http://schemas.openxmlformats.org/officeDocument/2006/relationships/hyperlink" Target="https://wol.jw.org/ta/wol/d/r122/lp-tl/1102014249" TargetMode="External" Id="rId2387"/><Relationship Type="http://schemas.openxmlformats.org/officeDocument/2006/relationships/hyperlink" Target="https://wol.jw.org/en/wol/d/r1/lp-e/1102014243" TargetMode="External" Id="rId2388"/><Relationship Type="http://schemas.openxmlformats.org/officeDocument/2006/relationships/hyperlink" Target="https://wol.jw.org/ta/wol/d/r122/lp-tl/1102014243" TargetMode="External" Id="rId2389"/><Relationship Type="http://schemas.openxmlformats.org/officeDocument/2006/relationships/hyperlink" Target="https://wol.jw.org/en/wol/d/r1/lp-e/1102014244" TargetMode="External" Id="rId2390"/><Relationship Type="http://schemas.openxmlformats.org/officeDocument/2006/relationships/hyperlink" Target="https://wol.jw.org/ta/wol/d/r122/lp-tl/1102014244" TargetMode="External" Id="rId2391"/><Relationship Type="http://schemas.openxmlformats.org/officeDocument/2006/relationships/hyperlink" Target="https://wol.jw.org/en/wol/d/r1/lp-e/1101993012" TargetMode="External" Id="rId2392"/><Relationship Type="http://schemas.openxmlformats.org/officeDocument/2006/relationships/hyperlink" Target="https://wol.jw.org/en/wol/d/r1/lp-e/1101993040" TargetMode="External" Id="rId2393"/><Relationship Type="http://schemas.openxmlformats.org/officeDocument/2006/relationships/hyperlink" Target="https://wol.jw.org/en/wol/d/r1/lp-e/1101993014" TargetMode="External" Id="rId2394"/><Relationship Type="http://schemas.openxmlformats.org/officeDocument/2006/relationships/hyperlink" Target="https://wol.jw.org/en/wol/d/r1/lp-e/1102014243" TargetMode="External" Id="rId2395"/><Relationship Type="http://schemas.openxmlformats.org/officeDocument/2006/relationships/hyperlink" Target="https://wol.jw.org/ta/wol/d/r122/lp-tl/1102014243" TargetMode="External" Id="rId2396"/><Relationship Type="http://schemas.openxmlformats.org/officeDocument/2006/relationships/hyperlink" Target="https://wol.jw.org/en/wol/mp/r1/lp-e/kr/2014/90" TargetMode="External" Id="rId2397"/><Relationship Type="http://schemas.openxmlformats.org/officeDocument/2006/relationships/hyperlink" Target="https://wol.jw.org/en/wol/d/r1/lp-e/1101993046" TargetMode="External" Id="rId2398"/><Relationship Type="http://schemas.openxmlformats.org/officeDocument/2006/relationships/hyperlink" Target="https://wol.jw.org/en/wol/mp/r1/lp-e/kr/2014/90" TargetMode="External" Id="rId2399"/><Relationship Type="http://schemas.openxmlformats.org/officeDocument/2006/relationships/hyperlink" Target="https://wol.jw.org/en/wol/d/r1/lp-e/1101993012" TargetMode="External" Id="rId2400"/><Relationship Type="http://schemas.openxmlformats.org/officeDocument/2006/relationships/hyperlink" Target="https://wol.jw.org/en/wol/d/r1/lp-e/1101993046" TargetMode="External" Id="rId2401"/><Relationship Type="http://schemas.openxmlformats.org/officeDocument/2006/relationships/hyperlink" Target="https://wol.jw.org/en/wol/d/r1/lp-e/1102014255" TargetMode="External" Id="rId2402"/><Relationship Type="http://schemas.openxmlformats.org/officeDocument/2006/relationships/hyperlink" Target="https://wol.jw.org/ta/wol/d/r122/lp-tl/1102014255" TargetMode="External" Id="rId2403"/><Relationship Type="http://schemas.openxmlformats.org/officeDocument/2006/relationships/hyperlink" Target="https://wol.jw.org/en/wol/d/r1/lp-e/1101993014" TargetMode="External" Id="rId2404"/><Relationship Type="http://schemas.openxmlformats.org/officeDocument/2006/relationships/hyperlink" Target="https://wol.jw.org/en/wol/d/r1/lp-e/1101993046" TargetMode="External" Id="rId2405"/><Relationship Type="http://schemas.openxmlformats.org/officeDocument/2006/relationships/hyperlink" Target="https://wol.jw.org/en/wol/mp/r1/lp-e/kr/2014/226" TargetMode="External" Id="rId2406"/><Relationship Type="http://schemas.openxmlformats.org/officeDocument/2006/relationships/hyperlink" Target="https://wol.jw.org/en/wol/d/r1/lp-e/1102014252" TargetMode="External" Id="rId2407"/><Relationship Type="http://schemas.openxmlformats.org/officeDocument/2006/relationships/hyperlink" Target="https://wol.jw.org/ta/wol/d/r122/lp-tl/1102014252" TargetMode="External" Id="rId2408"/><Relationship Type="http://schemas.openxmlformats.org/officeDocument/2006/relationships/hyperlink" Target="https://wol.jw.org/en/wol/d/r1/lp-e/2005721" TargetMode="External" Id="rId2409"/><Relationship Type="http://schemas.openxmlformats.org/officeDocument/2006/relationships/hyperlink" Target="https://wol.jw.org/ta/wol/d/r122/lp-tl/2005721" TargetMode="External" Id="rId2410"/><Relationship Type="http://schemas.openxmlformats.org/officeDocument/2006/relationships/hyperlink" Target="https://wol.jw.org/en/wol/d/r1/lp-e/1101993046" TargetMode="External" Id="rId2411"/><Relationship Type="http://schemas.openxmlformats.org/officeDocument/2006/relationships/hyperlink" Target="https://wol.jw.org/en/wol/d/r1/lp-e/1101993046" TargetMode="External" Id="rId2412"/><Relationship Type="http://schemas.openxmlformats.org/officeDocument/2006/relationships/hyperlink" Target="https://wol.jw.org/en/wol/mp/r1/lp-e/kr/2014/135" TargetMode="External" Id="rId2413"/><Relationship Type="http://schemas.openxmlformats.org/officeDocument/2006/relationships/hyperlink" Target="https://wol.jw.org/en/wol/d/r1/lp-e/1102014247" TargetMode="External" Id="rId2414"/><Relationship Type="http://schemas.openxmlformats.org/officeDocument/2006/relationships/hyperlink" Target="https://wol.jw.org/ta/wol/d/r122/lp-tl/1102014247" TargetMode="External" Id="rId2415"/><Relationship Type="http://schemas.openxmlformats.org/officeDocument/2006/relationships/hyperlink" Target="https://wol.jw.org/en/wol/mp/r1/lp-e/kr/2014/156" TargetMode="External" Id="rId2416"/><Relationship Type="http://schemas.openxmlformats.org/officeDocument/2006/relationships/hyperlink" Target="https://wol.jw.org/en/wol/d/r1/lp-e/1101993008" TargetMode="External" Id="rId2417"/><Relationship Type="http://schemas.openxmlformats.org/officeDocument/2006/relationships/hyperlink" Target="https://wol.jw.org/en/wol/d/r1/lp-e/1101993008" TargetMode="External" Id="rId2418"/><Relationship Type="http://schemas.openxmlformats.org/officeDocument/2006/relationships/hyperlink" Target="https://wol.jw.org/en/wol/d/r1/lp-e/1101993046" TargetMode="External" Id="rId2419"/><Relationship Type="http://schemas.openxmlformats.org/officeDocument/2006/relationships/hyperlink" Target="https://wol.jw.org/en/wol/d/r1/lp-e/1101993041" TargetMode="External" Id="rId2420"/><Relationship Type="http://schemas.openxmlformats.org/officeDocument/2006/relationships/hyperlink" Target="https://wol.jw.org/en/wol/d/r1/lp-e/1102014252" TargetMode="External" Id="rId2421"/><Relationship Type="http://schemas.openxmlformats.org/officeDocument/2006/relationships/hyperlink" Target="https://wol.jw.org/ta/wol/d/r122/lp-tl/1102014252" TargetMode="External" Id="rId2422"/><Relationship Type="http://schemas.openxmlformats.org/officeDocument/2006/relationships/hyperlink" Target="https://wol.jw.org/en/wol/mp/r1/lp-e/kr/2014/254" TargetMode="External" Id="rId2423"/><Relationship Type="http://schemas.openxmlformats.org/officeDocument/2006/relationships/hyperlink" Target="https://wol.jw.org/en/wol/d/r1/lp-e/1101993046" TargetMode="External" Id="rId2424"/><Relationship Type="http://schemas.openxmlformats.org/officeDocument/2006/relationships/hyperlink" Target="https://wol.jw.org/en/wol/mp/r1/lp-e/kr/2014/152" TargetMode="External" Id="rId2425"/><Relationship Type="http://schemas.openxmlformats.org/officeDocument/2006/relationships/hyperlink" Target="https://wol.jw.org/en/wol/d/r1/lp-e/1101993008" TargetMode="External" Id="rId2426"/><Relationship Type="http://schemas.openxmlformats.org/officeDocument/2006/relationships/hyperlink" Target="https://wol.jw.org/en/wol/d/r1/lp-e/1101993041" TargetMode="External" Id="rId2427"/><Relationship Type="http://schemas.openxmlformats.org/officeDocument/2006/relationships/hyperlink" Target="https://wol.jw.org/en/wol/d/r1/lp-e/1101993046" TargetMode="External" Id="rId2428"/><Relationship Type="http://schemas.openxmlformats.org/officeDocument/2006/relationships/hyperlink" Target="https://wol.jw.org/en/wol/d/r1/lp-e/1101993041" TargetMode="External" Id="rId2429"/><Relationship Type="http://schemas.openxmlformats.org/officeDocument/2006/relationships/hyperlink" Target="https://wol.jw.org/en/wol/d/r1/lp-e/1102014250" TargetMode="External" Id="rId2430"/><Relationship Type="http://schemas.openxmlformats.org/officeDocument/2006/relationships/hyperlink" Target="https://wol.jw.org/ta/wol/d/r122/lp-tl/1102014250" TargetMode="External" Id="rId2431"/><Relationship Type="http://schemas.openxmlformats.org/officeDocument/2006/relationships/hyperlink" Target="https://wol.jw.org/en/wol/d/r1/lp-e/1101999301" TargetMode="External" Id="rId2432"/><Relationship Type="http://schemas.openxmlformats.org/officeDocument/2006/relationships/hyperlink" Target="https://wol.jw.org/en/wol/d/r1/lp-e/1101993046" TargetMode="External" Id="rId2433"/><Relationship Type="http://schemas.openxmlformats.org/officeDocument/2006/relationships/hyperlink" Target="https://wol.jw.org/en/wol/mp/r1/lp-e/kr/2014/103" TargetMode="External" Id="rId2434"/><Relationship Type="http://schemas.openxmlformats.org/officeDocument/2006/relationships/hyperlink" Target="https://wol.jw.org/en/wol/d/r1/lp-e/1102014244" TargetMode="External" Id="rId2435"/><Relationship Type="http://schemas.openxmlformats.org/officeDocument/2006/relationships/hyperlink" Target="https://wol.jw.org/ta/wol/d/r122/lp-tl/1102014244" TargetMode="External" Id="rId2436"/><Relationship Type="http://schemas.openxmlformats.org/officeDocument/2006/relationships/hyperlink" Target="https://wol.jw.org/en/wol/mp/r1/lp-e/kr/2014/103" TargetMode="External" Id="rId2437"/><Relationship Type="http://schemas.openxmlformats.org/officeDocument/2006/relationships/hyperlink" Target="https://wol.jw.org/en/wol/d/r1/lp-e/1102014252" TargetMode="External" Id="rId2438"/><Relationship Type="http://schemas.openxmlformats.org/officeDocument/2006/relationships/hyperlink" Target="https://wol.jw.org/ta/wol/d/r122/lp-tl/1102014252" TargetMode="External" Id="rId2439"/><Relationship Type="http://schemas.openxmlformats.org/officeDocument/2006/relationships/hyperlink" Target="https://wol.jw.org/en/wol/d/r1/lp-e/1101993046" TargetMode="External" Id="rId2440"/><Relationship Type="http://schemas.openxmlformats.org/officeDocument/2006/relationships/hyperlink" Target="https://wol.jw.org/en/wol/mp/r1/lp-e/kr/2014/137" TargetMode="External" Id="rId2441"/><Relationship Type="http://schemas.openxmlformats.org/officeDocument/2006/relationships/hyperlink" Target="https://wol.jw.org/en/wol/d/r1/lp-e/1101993046" TargetMode="External" Id="rId2442"/><Relationship Type="http://schemas.openxmlformats.org/officeDocument/2006/relationships/hyperlink" Target="https://wol.jw.org/en/wol/d/r1/lp-e/1102014249" TargetMode="External" Id="rId2443"/><Relationship Type="http://schemas.openxmlformats.org/officeDocument/2006/relationships/hyperlink" Target="https://wol.jw.org/ta/wol/d/r122/lp-tl/1102014249" TargetMode="External" Id="rId2444"/><Relationship Type="http://schemas.openxmlformats.org/officeDocument/2006/relationships/hyperlink" Target="https://wol.jw.org/en/wol/d/r1/lp-e/1102014249" TargetMode="External" Id="rId2445"/><Relationship Type="http://schemas.openxmlformats.org/officeDocument/2006/relationships/hyperlink" Target="https://wol.jw.org/ta/wol/d/r122/lp-tl/1102014249" TargetMode="External" Id="rId2446"/><Relationship Type="http://schemas.openxmlformats.org/officeDocument/2006/relationships/hyperlink" Target="https://wol.jw.org/en/wol/d/r1/lp-e/1101993018" TargetMode="External" Id="rId2447"/><Relationship Type="http://schemas.openxmlformats.org/officeDocument/2006/relationships/hyperlink" Target="https://wol.jw.org/en/wol/d/r1/lp-e/1101993041" TargetMode="External" Id="rId2448"/><Relationship Type="http://schemas.openxmlformats.org/officeDocument/2006/relationships/hyperlink" Target="https://wol.jw.org/en/wol/d/r1/lp-e/1101993046" TargetMode="External" Id="rId2449"/><Relationship Type="http://schemas.openxmlformats.org/officeDocument/2006/relationships/hyperlink" Target="https://wol.jw.org/en/wol/mp/r1/lp-e/kr/2014/449" TargetMode="External" Id="rId2450"/><Relationship Type="http://schemas.openxmlformats.org/officeDocument/2006/relationships/hyperlink" Target="https://wol.jw.org/en/wol/d/r1/lp-e/1102014247" TargetMode="External" Id="rId2451"/><Relationship Type="http://schemas.openxmlformats.org/officeDocument/2006/relationships/hyperlink" Target="https://wol.jw.org/ta/wol/d/r122/lp-tl/1102014247" TargetMode="External" Id="rId2452"/><Relationship Type="http://schemas.openxmlformats.org/officeDocument/2006/relationships/hyperlink" Target="https://wol.jw.org/en/wol/d/r1/lp-e/1102014251" TargetMode="External" Id="rId2453"/><Relationship Type="http://schemas.openxmlformats.org/officeDocument/2006/relationships/hyperlink" Target="https://wol.jw.org/ta/wol/d/r122/lp-tl/1102014251" TargetMode="External" Id="rId2454"/><Relationship Type="http://schemas.openxmlformats.org/officeDocument/2006/relationships/hyperlink" Target="https://wol.jw.org/en/wol/d/r1/lp-e/1102014247" TargetMode="External" Id="rId2455"/><Relationship Type="http://schemas.openxmlformats.org/officeDocument/2006/relationships/hyperlink" Target="https://wol.jw.org/ta/wol/d/r122/lp-tl/1102014247" TargetMode="External" Id="rId2456"/><Relationship Type="http://schemas.openxmlformats.org/officeDocument/2006/relationships/hyperlink" Target="https://wol.jw.org/en/wol/d/r1/lp-e/1101993008" TargetMode="External" Id="rId2457"/><Relationship Type="http://schemas.openxmlformats.org/officeDocument/2006/relationships/hyperlink" Target="https://wol.jw.org/en/wol/d/r1/lp-e/1102014246" TargetMode="External" Id="rId2458"/><Relationship Type="http://schemas.openxmlformats.org/officeDocument/2006/relationships/hyperlink" Target="https://wol.jw.org/ta/wol/d/r122/lp-tl/1102014246" TargetMode="External" Id="rId2459"/><Relationship Type="http://schemas.openxmlformats.org/officeDocument/2006/relationships/hyperlink" Target="https://wol.jw.org/en/wol/d/r1/lp-e/1101993046" TargetMode="External" Id="rId2460"/><Relationship Type="http://schemas.openxmlformats.org/officeDocument/2006/relationships/hyperlink" Target="https://wol.jw.org/en/wol/d/r1/lp-e/1101993019" TargetMode="External" Id="rId2461"/><Relationship Type="http://schemas.openxmlformats.org/officeDocument/2006/relationships/hyperlink" Target="https://wol.jw.org/en/wol/d/r1/lp-e/1101993019" TargetMode="External" Id="rId2462"/><Relationship Type="http://schemas.openxmlformats.org/officeDocument/2006/relationships/hyperlink" Target="https://wol.jw.org/en/wol/d/r1/lp-e/1101993041" TargetMode="External" Id="rId2463"/><Relationship Type="http://schemas.openxmlformats.org/officeDocument/2006/relationships/hyperlink" Target="https://wol.jw.org/en/wol/d/r1/lp-e/1102014252" TargetMode="External" Id="rId2464"/><Relationship Type="http://schemas.openxmlformats.org/officeDocument/2006/relationships/hyperlink" Target="https://wol.jw.org/ta/wol/d/r122/lp-tl/1102014252" TargetMode="External" Id="rId2465"/><Relationship Type="http://schemas.openxmlformats.org/officeDocument/2006/relationships/hyperlink" Target="https://wol.jw.org/en/wol/d/r1/lp-e/1101999037" TargetMode="External" Id="rId2466"/><Relationship Type="http://schemas.openxmlformats.org/officeDocument/2006/relationships/hyperlink" Target="https://wol.jw.org/ta/wol/d/r122/lp-tl/1101999037" TargetMode="External" Id="rId2467"/><Relationship Type="http://schemas.openxmlformats.org/officeDocument/2006/relationships/hyperlink" Target="https://wol.jw.org/en/wol/d/r1/lp-e/1101993046" TargetMode="External" Id="rId2468"/><Relationship Type="http://schemas.openxmlformats.org/officeDocument/2006/relationships/hyperlink" Target="https://wol.jw.org/en/wol/d/r1/lp-e/1101993008" TargetMode="External" Id="rId2469"/><Relationship Type="http://schemas.openxmlformats.org/officeDocument/2006/relationships/hyperlink" Target="https://wol.jw.org/en/wol/d/r1/lp-e/1101993008" TargetMode="External" Id="rId2470"/><Relationship Type="http://schemas.openxmlformats.org/officeDocument/2006/relationships/hyperlink" Target="https://wol.jw.org/en/wol/d/r1/lp-e/1101993040" TargetMode="External" Id="rId2471"/><Relationship Type="http://schemas.openxmlformats.org/officeDocument/2006/relationships/hyperlink" Target="https://wol.jw.org/en/wol/d/r1/lp-e/1101993018" TargetMode="External" Id="rId2472"/><Relationship Type="http://schemas.openxmlformats.org/officeDocument/2006/relationships/hyperlink" Target="https://wol.jw.org/en/wol/d/r1/lp-e/1101993046" TargetMode="External" Id="rId2473"/><Relationship Type="http://schemas.openxmlformats.org/officeDocument/2006/relationships/hyperlink" Target="https://wol.jw.org/en/wol/d/r1/lp-e/2008487" TargetMode="External" Id="rId2474"/><Relationship Type="http://schemas.openxmlformats.org/officeDocument/2006/relationships/hyperlink" Target="https://wol.jw.org/ta/wol/d/r122/lp-tl/2008487" TargetMode="External" Id="rId2475"/><Relationship Type="http://schemas.openxmlformats.org/officeDocument/2006/relationships/hyperlink" Target="https://wol.jw.org/en/wol/d/r1/lp-e/1101993012" TargetMode="External" Id="rId2476"/><Relationship Type="http://schemas.openxmlformats.org/officeDocument/2006/relationships/hyperlink" Target="https://wol.jw.org/en/wol/mp/r1/lp-e/kr/2014/86" TargetMode="External" Id="rId2477"/><Relationship Type="http://schemas.openxmlformats.org/officeDocument/2006/relationships/hyperlink" Target="https://wol.jw.org/en/wol/d/r1/lp-e/1101999301" TargetMode="External" Id="rId2478"/><Relationship Type="http://schemas.openxmlformats.org/officeDocument/2006/relationships/hyperlink" Target="https://wol.jw.org/en/wol/d/r1/lp-e/1102014253" TargetMode="External" Id="rId2479"/><Relationship Type="http://schemas.openxmlformats.org/officeDocument/2006/relationships/hyperlink" Target="https://wol.jw.org/ta/wol/d/r122/lp-tl/1102014253" TargetMode="External" Id="rId2480"/><Relationship Type="http://schemas.openxmlformats.org/officeDocument/2006/relationships/hyperlink" Target="https://wol.jw.org/en/wol/d/r1/lp-e/1102014247" TargetMode="External" Id="rId2481"/><Relationship Type="http://schemas.openxmlformats.org/officeDocument/2006/relationships/hyperlink" Target="https://wol.jw.org/ta/wol/d/r122/lp-tl/1102014247" TargetMode="External" Id="rId2482"/><Relationship Type="http://schemas.openxmlformats.org/officeDocument/2006/relationships/hyperlink" Target="https://wol.jw.org/en/wol/mp/r1/lp-e/kr/2014/154" TargetMode="External" Id="rId2483"/><Relationship Type="http://schemas.openxmlformats.org/officeDocument/2006/relationships/hyperlink" Target="https://wol.jw.org/en/wol/d/r1/lp-e/1101993046" TargetMode="External" Id="rId2484"/><Relationship Type="http://schemas.openxmlformats.org/officeDocument/2006/relationships/hyperlink" Target="https://wol.jw.org/en/wol/d/r1/lp-e/1102014253" TargetMode="External" Id="rId2485"/><Relationship Type="http://schemas.openxmlformats.org/officeDocument/2006/relationships/hyperlink" Target="https://wol.jw.org/ta/wol/d/r122/lp-tl/1102014253" TargetMode="External" Id="rId2486"/><Relationship Type="http://schemas.openxmlformats.org/officeDocument/2006/relationships/hyperlink" Target="https://wol.jw.org/en/wol/mp/r1/lp-e/kr/2014/272" TargetMode="External" Id="rId2487"/><Relationship Type="http://schemas.openxmlformats.org/officeDocument/2006/relationships/hyperlink" Target="https://wol.jw.org/en/wol/d/r1/lp-e/1102014252" TargetMode="External" Id="rId2488"/><Relationship Type="http://schemas.openxmlformats.org/officeDocument/2006/relationships/hyperlink" Target="https://wol.jw.org/ta/wol/d/r122/lp-tl/1102014252" TargetMode="External" Id="rId2489"/><Relationship Type="http://schemas.openxmlformats.org/officeDocument/2006/relationships/hyperlink" Target="https://wol.jw.org/en/wol/d/r1/lp-e/1101993046" TargetMode="External" Id="rId2490"/><Relationship Type="http://schemas.openxmlformats.org/officeDocument/2006/relationships/hyperlink" Target="https://wol.jw.org/en/wol/d/r1/lp-e/1101993009" TargetMode="External" Id="rId2491"/><Relationship Type="http://schemas.openxmlformats.org/officeDocument/2006/relationships/hyperlink" Target="https://wol.jw.org/en/wol/d/r1/lp-e/1101993040" TargetMode="External" Id="rId2492"/><Relationship Type="http://schemas.openxmlformats.org/officeDocument/2006/relationships/hyperlink" Target="https://wol.jw.org/en/wol/d/r1/lp-e/1101993041" TargetMode="External" Id="rId2493"/><Relationship Type="http://schemas.openxmlformats.org/officeDocument/2006/relationships/hyperlink" Target="https://wol.jw.org/en/wol/d/r1/lp-e/1101993041" TargetMode="External" Id="rId2494"/><Relationship Type="http://schemas.openxmlformats.org/officeDocument/2006/relationships/hyperlink" Target="https://wol.jw.org/en/wol/d/r1/lp-e/1101993046" TargetMode="External" Id="rId2495"/><Relationship Type="http://schemas.openxmlformats.org/officeDocument/2006/relationships/hyperlink" Target="https://wol.jw.org/en/wol/d/r1/lp-e/1101993039" TargetMode="External" Id="rId2496"/><Relationship Type="http://schemas.openxmlformats.org/officeDocument/2006/relationships/hyperlink" Target="https://wol.jw.org/en/wol/d/r1/lp-e/1101993008" TargetMode="External" Id="rId2497"/><Relationship Type="http://schemas.openxmlformats.org/officeDocument/2006/relationships/hyperlink" Target="https://wol.jw.org/en/wol/d/r1/lp-e/1101993046" TargetMode="External" Id="rId2498"/><Relationship Type="http://schemas.openxmlformats.org/officeDocument/2006/relationships/hyperlink" Target="https://wol.jw.org/en/wol/d/r1/lp-e/1101993046" TargetMode="External" Id="rId2499"/><Relationship Type="http://schemas.openxmlformats.org/officeDocument/2006/relationships/hyperlink" Target="https://wol.jw.org/en/wol/d/r1/lp-e/1101993012" TargetMode="External" Id="rId2500"/><Relationship Type="http://schemas.openxmlformats.org/officeDocument/2006/relationships/hyperlink" Target="https://wol.jw.org/en/wol/d/r1/lp-e/1101993046" TargetMode="External" Id="rId2501"/><Relationship Type="http://schemas.openxmlformats.org/officeDocument/2006/relationships/hyperlink" Target="https://wol.jw.org/en/wol/mp/r1/lp-e/kr/2014/97" TargetMode="External" Id="rId2502"/><Relationship Type="http://schemas.openxmlformats.org/officeDocument/2006/relationships/hyperlink" Target="https://wol.jw.org/en/wol/d/r1/lp-e/1101993046" TargetMode="External" Id="rId2503"/><Relationship Type="http://schemas.openxmlformats.org/officeDocument/2006/relationships/hyperlink" Target="https://wol.jw.org/en/wol/d/r1/lp-e/1101993046" TargetMode="External" Id="rId2504"/><Relationship Type="http://schemas.openxmlformats.org/officeDocument/2006/relationships/hyperlink" Target="https://wol.jw.org/en/wol/d/r1/lp-e/1101993046" TargetMode="External" Id="rId2505"/><Relationship Type="http://schemas.openxmlformats.org/officeDocument/2006/relationships/hyperlink" Target="https://wol.jw.org/en/wol/d/r1/lp-e/1101993009" TargetMode="External" Id="rId2506"/><Relationship Type="http://schemas.openxmlformats.org/officeDocument/2006/relationships/hyperlink" Target="https://wol.jw.org/en/wol/d/r1/lp-e/1101993009" TargetMode="External" Id="rId2507"/><Relationship Type="http://schemas.openxmlformats.org/officeDocument/2006/relationships/hyperlink" Target="https://wol.jw.org/en/wol/d/r1/lp-e/1101993009" TargetMode="External" Id="rId2508"/><Relationship Type="http://schemas.openxmlformats.org/officeDocument/2006/relationships/hyperlink" Target="https://wol.jw.org/en/wol/d/r1/lp-e/1102014255" TargetMode="External" Id="rId2509"/><Relationship Type="http://schemas.openxmlformats.org/officeDocument/2006/relationships/hyperlink" Target="https://wol.jw.org/ta/wol/d/r122/lp-tl/1102014255" TargetMode="External" Id="rId2510"/><Relationship Type="http://schemas.openxmlformats.org/officeDocument/2006/relationships/hyperlink" Target="https://wol.jw.org/en/wol/d/r1/lp-e/2005721" TargetMode="External" Id="rId2511"/><Relationship Type="http://schemas.openxmlformats.org/officeDocument/2006/relationships/hyperlink" Target="https://wol.jw.org/ta/wol/d/r122/lp-tl/2005721" TargetMode="External" Id="rId2512"/><Relationship Type="http://schemas.openxmlformats.org/officeDocument/2006/relationships/hyperlink" Target="https://wol.jw.org/en/wol/d/r1/lp-e/1101993046" TargetMode="External" Id="rId2513"/><Relationship Type="http://schemas.openxmlformats.org/officeDocument/2006/relationships/hyperlink" Target="https://wol.jw.org/en/wol/d/r1/lp-e/1101993012" TargetMode="External" Id="rId2514"/><Relationship Type="http://schemas.openxmlformats.org/officeDocument/2006/relationships/hyperlink" Target="https://wol.jw.org/en/wol/d/r1/lp-e/1101993046" TargetMode="External" Id="rId2515"/><Relationship Type="http://schemas.openxmlformats.org/officeDocument/2006/relationships/hyperlink" Target="https://wol.jw.org/en/wol/d/r1/lp-e/1102014256" TargetMode="External" Id="rId2516"/><Relationship Type="http://schemas.openxmlformats.org/officeDocument/2006/relationships/hyperlink" Target="https://wol.jw.org/ta/wol/d/r122/lp-tl/1102014256" TargetMode="External" Id="rId2517"/><Relationship Type="http://schemas.openxmlformats.org/officeDocument/2006/relationships/hyperlink" Target="https://wol.jw.org/en/wol/d/r1/lp-e/1101993046" TargetMode="External" Id="rId2518"/><Relationship Type="http://schemas.openxmlformats.org/officeDocument/2006/relationships/hyperlink" Target="https://wol.jw.org/en/wol/d/r1/lp-e/1101993046" TargetMode="External" Id="rId2519"/><Relationship Type="http://schemas.openxmlformats.org/officeDocument/2006/relationships/hyperlink" Target="https://wol.jw.org/en/wol/d/r1/lp-e/1102014252" TargetMode="External" Id="rId2520"/><Relationship Type="http://schemas.openxmlformats.org/officeDocument/2006/relationships/hyperlink" Target="https://wol.jw.org/ta/wol/d/r122/lp-tl/1102014252" TargetMode="External" Id="rId2521"/><Relationship Type="http://schemas.openxmlformats.org/officeDocument/2006/relationships/hyperlink" Target="https://wol.jw.org/en/wol/d/r1/lp-e/1101993041" TargetMode="External" Id="rId2522"/><Relationship Type="http://schemas.openxmlformats.org/officeDocument/2006/relationships/hyperlink" Target="https://wol.jw.org/en/wol/d/r1/lp-e/1101993046" TargetMode="External" Id="rId2523"/><Relationship Type="http://schemas.openxmlformats.org/officeDocument/2006/relationships/hyperlink" Target="https://wol.jw.org/en/wol/d/r1/lp-e/1101993037" TargetMode="External" Id="rId2524"/><Relationship Type="http://schemas.openxmlformats.org/officeDocument/2006/relationships/hyperlink" Target="https://wol.jw.org/en/wol/d/r1/lp-e/1102014255" TargetMode="External" Id="rId2525"/><Relationship Type="http://schemas.openxmlformats.org/officeDocument/2006/relationships/hyperlink" Target="https://wol.jw.org/ta/wol/d/r122/lp-tl/1102014255" TargetMode="External" Id="rId2526"/><Relationship Type="http://schemas.openxmlformats.org/officeDocument/2006/relationships/hyperlink" Target="https://wol.jw.org/en/wol/mp/r1/lp-e/kr/2014/317" TargetMode="External" Id="rId2527"/><Relationship Type="http://schemas.openxmlformats.org/officeDocument/2006/relationships/hyperlink" Target="https://wol.jw.org/en/wol/d/r1/lp-e/1102014250" TargetMode="External" Id="rId2528"/><Relationship Type="http://schemas.openxmlformats.org/officeDocument/2006/relationships/hyperlink" Target="https://wol.jw.org/ta/wol/d/r122/lp-tl/1102014250" TargetMode="External" Id="rId2529"/><Relationship Type="http://schemas.openxmlformats.org/officeDocument/2006/relationships/hyperlink" Target="https://wol.jw.org/en/wol/d/r1/lp-e/1102014250" TargetMode="External" Id="rId2530"/><Relationship Type="http://schemas.openxmlformats.org/officeDocument/2006/relationships/hyperlink" Target="https://wol.jw.org/ta/wol/d/r122/lp-tl/1102014250" TargetMode="External" Id="rId2531"/><Relationship Type="http://schemas.openxmlformats.org/officeDocument/2006/relationships/hyperlink" Target="https://www.jw.org/en/news/region/united-states/historic-milestones-united-states/" TargetMode="External" Id="rId2532"/><Relationship Type="http://schemas.openxmlformats.org/officeDocument/2006/relationships/hyperlink" Target="https://wol.jw.org/en/wol/d/r1/lp-e/1101993018" TargetMode="External" Id="rId2533"/><Relationship Type="http://schemas.openxmlformats.org/officeDocument/2006/relationships/hyperlink" Target="https://wol.jw.org/en/wol/d/r1/lp-e/1102014255" TargetMode="External" Id="rId2534"/><Relationship Type="http://schemas.openxmlformats.org/officeDocument/2006/relationships/hyperlink" Target="https://wol.jw.org/ta/wol/d/r122/lp-tl/1102014255" TargetMode="External" Id="rId2535"/><Relationship Type="http://schemas.openxmlformats.org/officeDocument/2006/relationships/hyperlink" Target="https://wol.jw.org/en/wol/d/r1/lp-e/1102014247" TargetMode="External" Id="rId2536"/><Relationship Type="http://schemas.openxmlformats.org/officeDocument/2006/relationships/hyperlink" Target="https://wol.jw.org/ta/wol/d/r122/lp-tl/1102014247" TargetMode="External" Id="rId2537"/><Relationship Type="http://schemas.openxmlformats.org/officeDocument/2006/relationships/hyperlink" Target="https://wol.jw.org/en/wol/d/r1/lp-e/1101993046" TargetMode="External" Id="rId2538"/><Relationship Type="http://schemas.openxmlformats.org/officeDocument/2006/relationships/hyperlink" Target="https://wol.jw.org/en/wol/d/r1/lp-e/1101999301" TargetMode="External" Id="rId2539"/><Relationship Type="http://schemas.openxmlformats.org/officeDocument/2006/relationships/hyperlink" Target="https://wol.jw.org/en/wol/d/r1/lp-e/1101988034" TargetMode="External" Id="rId2540"/><Relationship Type="http://schemas.openxmlformats.org/officeDocument/2006/relationships/hyperlink" Target="https://wol.jw.org/ta/wol/d/r122/lp-tl/1101988034" TargetMode="External" Id="rId2541"/><Relationship Type="http://schemas.openxmlformats.org/officeDocument/2006/relationships/hyperlink" Target="https://wol.jw.org/en/wol/d/r1/lp-e/1101988034" TargetMode="External" Id="rId2542"/><Relationship Type="http://schemas.openxmlformats.org/officeDocument/2006/relationships/hyperlink" Target="https://wol.jw.org/ta/wol/d/r122/lp-tl/1101988034" TargetMode="External" Id="rId2543"/><Relationship Type="http://schemas.openxmlformats.org/officeDocument/2006/relationships/hyperlink" Target="https://wol.jw.org/en/wol/d/r1/lp-e/1101993020" TargetMode="External" Id="rId2544"/><Relationship Type="http://schemas.openxmlformats.org/officeDocument/2006/relationships/hyperlink" Target="https://wol.jw.org/en/wol/d/r1/lp-e/1102014262" TargetMode="External" Id="rId2545"/><Relationship Type="http://schemas.openxmlformats.org/officeDocument/2006/relationships/hyperlink" Target="https://wol.jw.org/ta/wol/d/r122/lp-tl/1102014262" TargetMode="External" Id="rId2546"/><Relationship Type="http://schemas.openxmlformats.org/officeDocument/2006/relationships/hyperlink" Target="https://wol.jw.org/en/wol/d/r1/lp-e/2020408" TargetMode="External" Id="rId2547"/><Relationship Type="http://schemas.openxmlformats.org/officeDocument/2006/relationships/hyperlink" Target="https://wol.jw.org/ta/wol/d/r122/lp-tl/2020408" TargetMode="External" Id="rId2548"/><Relationship Type="http://schemas.openxmlformats.org/officeDocument/2006/relationships/hyperlink" Target="https://wol.jw.org/en/wol/d/r1/lp-e/2020408" TargetMode="External" Id="rId2549"/><Relationship Type="http://schemas.openxmlformats.org/officeDocument/2006/relationships/hyperlink" Target="https://wol.jw.org/ta/wol/d/r122/lp-tl/2020408" TargetMode="External" Id="rId2550"/><Relationship Type="http://schemas.openxmlformats.org/officeDocument/2006/relationships/hyperlink" Target="https://wol.jw.org/en/wol/d/r1/lp-e/1101993046" TargetMode="External" Id="rId2551"/><Relationship Type="http://schemas.openxmlformats.org/officeDocument/2006/relationships/hyperlink" Target="https://wol.jw.org/en/wol/d/r1/lp-e/1101993009" TargetMode="External" Id="rId2552"/><Relationship Type="http://schemas.openxmlformats.org/officeDocument/2006/relationships/hyperlink" Target="https://wol.jw.org/en/wol/d/r1/lp-e/1101993009" TargetMode="External" Id="rId2553"/><Relationship Type="http://schemas.openxmlformats.org/officeDocument/2006/relationships/hyperlink" Target="https://wol.jw.org/en/wol/d/r1/lp-e/1101993046" TargetMode="External" Id="rId2554"/><Relationship Type="http://schemas.openxmlformats.org/officeDocument/2006/relationships/hyperlink" Target="https://wol.jw.org/en/wol/d/r1/lp-e/1200277174" TargetMode="External" Id="rId2555"/><Relationship Type="http://schemas.openxmlformats.org/officeDocument/2006/relationships/hyperlink" Target="https://wol.jw.org/en/wol/d/r1/lp-e/1200271388" TargetMode="External" Id="rId2556"/><Relationship Type="http://schemas.openxmlformats.org/officeDocument/2006/relationships/hyperlink" Target="https://wol.jw.org/en/wol/d/r1/lp-e/1102014247" TargetMode="External" Id="rId2557"/><Relationship Type="http://schemas.openxmlformats.org/officeDocument/2006/relationships/hyperlink" Target="https://wol.jw.org/ta/wol/d/r122/lp-tl/1102014247" TargetMode="External" Id="rId2558"/><Relationship Type="http://schemas.openxmlformats.org/officeDocument/2006/relationships/hyperlink" Target="https://wol.jw.org/en/wol/d/r1/lp-e/1101993046" TargetMode="External" Id="rId2559"/><Relationship Type="http://schemas.openxmlformats.org/officeDocument/2006/relationships/hyperlink" Target="https://wol.jw.org/en/wol/d/r1/lp-e/1102014247" TargetMode="External" Id="rId2560"/><Relationship Type="http://schemas.openxmlformats.org/officeDocument/2006/relationships/hyperlink" Target="https://wol.jw.org/ta/wol/d/r122/lp-tl/1102014247" TargetMode="External" Id="rId2561"/><Relationship Type="http://schemas.openxmlformats.org/officeDocument/2006/relationships/hyperlink" Target="https://wol.jw.org/en/wol/d/r1/lp-e/1101993046" TargetMode="External" Id="rId2562"/><Relationship Type="http://schemas.openxmlformats.org/officeDocument/2006/relationships/hyperlink" Target="https://wol.jw.org/en/wol/d/r1/lp-e/1101993046" TargetMode="External" Id="rId2563"/><Relationship Type="http://schemas.openxmlformats.org/officeDocument/2006/relationships/hyperlink" Target="https://wol.jw.org/en/wol/d/r1/lp-e/1102014262" TargetMode="External" Id="rId2564"/><Relationship Type="http://schemas.openxmlformats.org/officeDocument/2006/relationships/hyperlink" Target="https://wol.jw.org/ta/wol/d/r122/lp-tl/1102014262" TargetMode="External" Id="rId2565"/><Relationship Type="http://schemas.openxmlformats.org/officeDocument/2006/relationships/hyperlink" Target="https://wol.jw.org/en/wol/mp/r1/lp-e/kr/2014/384" TargetMode="External" Id="rId2566"/><Relationship Type="http://schemas.openxmlformats.org/officeDocument/2006/relationships/hyperlink" Target="https://wol.jw.org/en/wol/d/r1/lp-e/1102014252" TargetMode="External" Id="rId2567"/><Relationship Type="http://schemas.openxmlformats.org/officeDocument/2006/relationships/hyperlink" Target="https://wol.jw.org/ta/wol/d/r122/lp-tl/1102014252" TargetMode="External" Id="rId2568"/><Relationship Type="http://schemas.openxmlformats.org/officeDocument/2006/relationships/hyperlink" Target="https://wol.jw.org/en/wol/d/r1/lp-e/1102014247" TargetMode="External" Id="rId2569"/><Relationship Type="http://schemas.openxmlformats.org/officeDocument/2006/relationships/hyperlink" Target="https://wol.jw.org/ta/wol/d/r122/lp-tl/1102014247" TargetMode="External" Id="rId2570"/><Relationship Type="http://schemas.openxmlformats.org/officeDocument/2006/relationships/hyperlink" Target="https://wol.jw.org/en/wol/d/r1/lp-e/1101990132" TargetMode="External" Id="rId2571"/><Relationship Type="http://schemas.openxmlformats.org/officeDocument/2006/relationships/hyperlink" Target="https://wol.jw.org/ta/wol/d/r122/lp-tl/1101990132" TargetMode="External" Id="rId2572"/><Relationship Type="http://schemas.openxmlformats.org/officeDocument/2006/relationships/hyperlink" Target="https://wol.jw.org/en/wol/d/r1/lp-e/1102014252" TargetMode="External" Id="rId2573"/><Relationship Type="http://schemas.openxmlformats.org/officeDocument/2006/relationships/hyperlink" Target="https://wol.jw.org/ta/wol/d/r122/lp-tl/1102014252" TargetMode="External" Id="rId2574"/><Relationship Type="http://schemas.openxmlformats.org/officeDocument/2006/relationships/hyperlink" Target="https://wol.jw.org/en/wol/d/r1/lp-e/1200277174" TargetMode="External" Id="rId2575"/><Relationship Type="http://schemas.openxmlformats.org/officeDocument/2006/relationships/hyperlink" Target="https://wol.jw.org/en/wol/d/r1/lp-e/1101993046" TargetMode="External" Id="rId2576"/><Relationship Type="http://schemas.openxmlformats.org/officeDocument/2006/relationships/hyperlink" Target="https://wol.jw.org/en/wol/d/r1/lp-e/1200271388" TargetMode="External" Id="rId2577"/><Relationship Type="http://schemas.openxmlformats.org/officeDocument/2006/relationships/hyperlink" Target="https://wol.jw.org/en/wol/d/r1/lp-e/1101993046" TargetMode="External" Id="rId2578"/><Relationship Type="http://schemas.openxmlformats.org/officeDocument/2006/relationships/hyperlink" Target="https://wol.jw.org/en/wol/d/r1/lp-e/1102014243" TargetMode="External" Id="rId2579"/><Relationship Type="http://schemas.openxmlformats.org/officeDocument/2006/relationships/hyperlink" Target="https://wol.jw.org/ta/wol/d/r122/lp-tl/1102014243" TargetMode="External" Id="rId2580"/><Relationship Type="http://schemas.openxmlformats.org/officeDocument/2006/relationships/hyperlink" Target="https://wol.jw.org/en/wol/d/r1/lp-e/1102014243" TargetMode="External" Id="rId2581"/><Relationship Type="http://schemas.openxmlformats.org/officeDocument/2006/relationships/hyperlink" Target="https://wol.jw.org/ta/wol/d/r122/lp-tl/1102014243" TargetMode="External" Id="rId2582"/><Relationship Type="http://schemas.openxmlformats.org/officeDocument/2006/relationships/hyperlink" Target="https://wol.jw.org/en/wol/d/r1/lp-e/1200271388" TargetMode="External" Id="rId2583"/><Relationship Type="http://schemas.openxmlformats.org/officeDocument/2006/relationships/hyperlink" Target="https://wol.jw.org/en/wol/d/r1/lp-e/1102014262" TargetMode="External" Id="rId2584"/><Relationship Type="http://schemas.openxmlformats.org/officeDocument/2006/relationships/hyperlink" Target="https://wol.jw.org/ta/wol/d/r122/lp-tl/1102014262" TargetMode="External" Id="rId2585"/><Relationship Type="http://schemas.openxmlformats.org/officeDocument/2006/relationships/hyperlink" Target="https://wol.jw.org/en/wol/d/r1/lp-e/1200271388" TargetMode="External" Id="rId2586"/><Relationship Type="http://schemas.openxmlformats.org/officeDocument/2006/relationships/hyperlink" Target="https://wol.jw.org/en/wol/d/r1/lp-e/1102014256" TargetMode="External" Id="rId2587"/><Relationship Type="http://schemas.openxmlformats.org/officeDocument/2006/relationships/hyperlink" Target="https://wol.jw.org/ta/wol/d/r122/lp-tl/1102014256" TargetMode="External" Id="rId2588"/><Relationship Type="http://schemas.openxmlformats.org/officeDocument/2006/relationships/hyperlink" Target="https://wol.jw.org/en/wol/d/r1/lp-e/1200277174" TargetMode="External" Id="rId2589"/><Relationship Type="http://schemas.openxmlformats.org/officeDocument/2006/relationships/hyperlink" Target="https://wol.jw.org/en/wol/d/r1/lp-e/1200277174" TargetMode="External" Id="rId2590"/><Relationship Type="http://schemas.openxmlformats.org/officeDocument/2006/relationships/hyperlink" Target="https://wol.jw.org/en/wol/d/r1/lp-e/1102014253" TargetMode="External" Id="rId2591"/><Relationship Type="http://schemas.openxmlformats.org/officeDocument/2006/relationships/hyperlink" Target="https://wol.jw.org/ta/wol/d/r122/lp-tl/1102014253" TargetMode="External" Id="rId2592"/><Relationship Type="http://schemas.openxmlformats.org/officeDocument/2006/relationships/hyperlink" Target="https://wol.jw.org/en/wol/d/r1/lp-e/1102014255" TargetMode="External" Id="rId2593"/><Relationship Type="http://schemas.openxmlformats.org/officeDocument/2006/relationships/hyperlink" Target="https://wol.jw.org/ta/wol/d/r122/lp-tl/1102014255" TargetMode="External" Id="rId2594"/><Relationship Type="http://schemas.openxmlformats.org/officeDocument/2006/relationships/hyperlink" Target="https://wol.jw.org/en/wol/mp/r1/lp-e/kr/2014/319" TargetMode="External" Id="rId2595"/><Relationship Type="http://schemas.openxmlformats.org/officeDocument/2006/relationships/hyperlink" Target="https://wol.jw.org/en/wol/d/r1/lp-e/1102014255" TargetMode="External" Id="rId2596"/><Relationship Type="http://schemas.openxmlformats.org/officeDocument/2006/relationships/hyperlink" Target="https://wol.jw.org/ta/wol/d/r122/lp-tl/1102014255" TargetMode="External" Id="rId2597"/><Relationship Type="http://schemas.openxmlformats.org/officeDocument/2006/relationships/hyperlink" Target="https://wol.jw.org/en/wol/d/r1/lp-e/1102014252" TargetMode="External" Id="rId2598"/><Relationship Type="http://schemas.openxmlformats.org/officeDocument/2006/relationships/hyperlink" Target="https://wol.jw.org/ta/wol/d/r122/lp-tl/1102014252" TargetMode="External" Id="rId2599"/><Relationship Type="http://schemas.openxmlformats.org/officeDocument/2006/relationships/hyperlink" Target="https://wol.jw.org/en/wol/d/r1/lp-e/1101993046" TargetMode="External" Id="rId2600"/><Relationship Type="http://schemas.openxmlformats.org/officeDocument/2006/relationships/hyperlink" Target="https://cms-imgp.jw-cdn.org/img/p/702025088/univ/art/702025088_univ_lsr_lg.jpg" TargetMode="External" Id="rId2601"/><Relationship Type="http://schemas.openxmlformats.org/officeDocument/2006/relationships/hyperlink" Target="https://wol.jw.org/en/wol/d/r1/lp-e/1101993046" TargetMode="External" Id="rId2602"/><Relationship Type="http://schemas.openxmlformats.org/officeDocument/2006/relationships/hyperlink" Target="https://wol.jw.org/en/wol/d/r1/lp-e/1102014252" TargetMode="External" Id="rId2603"/><Relationship Type="http://schemas.openxmlformats.org/officeDocument/2006/relationships/hyperlink" Target="https://wol.jw.org/ta/wol/d/r122/lp-tl/1102014252" TargetMode="External" Id="rId2604"/><Relationship Type="http://schemas.openxmlformats.org/officeDocument/2006/relationships/hyperlink" Target="https://wol.jw.org/en/wol/d/r1/lp-e/1102014250" TargetMode="External" Id="rId2605"/><Relationship Type="http://schemas.openxmlformats.org/officeDocument/2006/relationships/hyperlink" Target="https://wol.jw.org/ta/wol/d/r122/lp-tl/1102014250" TargetMode="External" Id="rId2606"/><Relationship Type="http://schemas.openxmlformats.org/officeDocument/2006/relationships/hyperlink" Target="https://wol.jw.org/en/wol/d/r1/lp-e/1200271388" TargetMode="External" Id="rId2607"/><Relationship Type="http://schemas.openxmlformats.org/officeDocument/2006/relationships/hyperlink" Target="https://wol.jw.org/en/wol/d/r1/lp-e/1102014246" TargetMode="External" Id="rId2608"/><Relationship Type="http://schemas.openxmlformats.org/officeDocument/2006/relationships/hyperlink" Target="https://wol.jw.org/ta/wol/d/r122/lp-tl/1102014246" TargetMode="External" Id="rId2609"/><Relationship Type="http://schemas.openxmlformats.org/officeDocument/2006/relationships/hyperlink" Target="https://wol.jw.org/en/wol/d/r1/lp-e/1200271388" TargetMode="External" Id="rId2610"/><Relationship Type="http://schemas.openxmlformats.org/officeDocument/2006/relationships/hyperlink" Target="https://wol.jw.org/en/wol/d/r1/lp-e/1102014250" TargetMode="External" Id="rId2611"/><Relationship Type="http://schemas.openxmlformats.org/officeDocument/2006/relationships/hyperlink" Target="https://wol.jw.org/ta/wol/d/r122/lp-tl/1102014250" TargetMode="External" Id="rId2612"/><Relationship Type="http://schemas.openxmlformats.org/officeDocument/2006/relationships/hyperlink" Target="https://wol.jw.org/en/wol/d/r1/lp-e/1102014252" TargetMode="External" Id="rId2613"/><Relationship Type="http://schemas.openxmlformats.org/officeDocument/2006/relationships/hyperlink" Target="https://wol.jw.org/ta/wol/d/r122/lp-tl/1102014252" TargetMode="External" Id="rId2614"/><Relationship Type="http://schemas.openxmlformats.org/officeDocument/2006/relationships/hyperlink" Target="https://wol.jw.org/en/wol/d/r1/lp-e/1200277174" TargetMode="External" Id="rId2615"/><Relationship Type="http://schemas.openxmlformats.org/officeDocument/2006/relationships/hyperlink" Target="https://wol.jw.org/en/wol/d/r1/lp-e/1200277174" TargetMode="External" Id="rId2616"/><Relationship Type="http://schemas.openxmlformats.org/officeDocument/2006/relationships/hyperlink" Target="https://wol.jw.org/en/wol/d/r1/lp-e/1200277174" TargetMode="External" Id="rId2617"/><Relationship Type="http://schemas.openxmlformats.org/officeDocument/2006/relationships/hyperlink" Target="https://wol.jw.org/en/wol/d/r1/lp-e/1200271388" TargetMode="External" Id="rId2618"/><Relationship Type="http://schemas.openxmlformats.org/officeDocument/2006/relationships/hyperlink" Target="https://wol.jw.org/en/wol/d/r1/lp-e/1102014252" TargetMode="External" Id="rId2619"/><Relationship Type="http://schemas.openxmlformats.org/officeDocument/2006/relationships/hyperlink" Target="https://wol.jw.org/ta/wol/d/r122/lp-tl/1102014252" TargetMode="External" Id="rId2620"/><Relationship Type="http://schemas.openxmlformats.org/officeDocument/2006/relationships/hyperlink" Target="https://wol.jw.org/en/wol/d/r1/lp-e/1102014252" TargetMode="External" Id="rId2621"/><Relationship Type="http://schemas.openxmlformats.org/officeDocument/2006/relationships/hyperlink" Target="https://wol.jw.org/ta/wol/d/r122/lp-tl/1102014252" TargetMode="External" Id="rId2622"/><Relationship Type="http://schemas.openxmlformats.org/officeDocument/2006/relationships/hyperlink" Target="https://wol.jw.org/en/wol/d/r1/lp-e/1101993046" TargetMode="External" Id="rId2623"/><Relationship Type="http://schemas.openxmlformats.org/officeDocument/2006/relationships/hyperlink" Target="https://wol.jw.org/en/wol/d/r1/lp-e/1102014252" TargetMode="External" Id="rId2624"/><Relationship Type="http://schemas.openxmlformats.org/officeDocument/2006/relationships/hyperlink" Target="https://wol.jw.org/ta/wol/d/r122/lp-tl/1102014252" TargetMode="External" Id="rId2625"/><Relationship Type="http://schemas.openxmlformats.org/officeDocument/2006/relationships/hyperlink" Target="https://wol.jw.org/en/wol/d/r1/lp-e/1200271388" TargetMode="External" Id="rId2626"/><Relationship Type="http://schemas.openxmlformats.org/officeDocument/2006/relationships/hyperlink" Target="https://wol.jw.org/en/wol/d/r1/lp-e/1102014246" TargetMode="External" Id="rId2627"/><Relationship Type="http://schemas.openxmlformats.org/officeDocument/2006/relationships/hyperlink" Target="https://wol.jw.org/ta/wol/d/r122/lp-tl/1102014246" TargetMode="External" Id="rId2628"/><Relationship Type="http://schemas.openxmlformats.org/officeDocument/2006/relationships/hyperlink" Target="https://wol.jw.org/en/wol/d/r1/lp-e/1200271388" TargetMode="External" Id="rId2629"/><Relationship Type="http://schemas.openxmlformats.org/officeDocument/2006/relationships/hyperlink" Target="https://wol.jw.org/en/wol/d/r1/lp-e/1200277174" TargetMode="External" Id="rId2630"/><Relationship Type="http://schemas.openxmlformats.org/officeDocument/2006/relationships/hyperlink" Target="https://wol.jw.org/en/wol/d/r1/lp-e/1200271388" TargetMode="External" Id="rId2631"/><Relationship Type="http://schemas.openxmlformats.org/officeDocument/2006/relationships/hyperlink" Target="https://wol.jw.org/en/wol/d/r1/lp-e/1102014255" TargetMode="External" Id="rId2632"/><Relationship Type="http://schemas.openxmlformats.org/officeDocument/2006/relationships/hyperlink" Target="https://wol.jw.org/ta/wol/d/r122/lp-tl/1102014255" TargetMode="External" Id="rId2633"/><Relationship Type="http://schemas.openxmlformats.org/officeDocument/2006/relationships/hyperlink" Target="https://wol.jw.org/en/wol/d/r1/lp-e/1101993046" TargetMode="External" Id="rId2634"/><Relationship Type="http://schemas.openxmlformats.org/officeDocument/2006/relationships/hyperlink" Target="https://wol.jw.org/en/wol/d/r1/lp-e/1200271388" TargetMode="External" Id="rId2635"/><Relationship Type="http://schemas.openxmlformats.org/officeDocument/2006/relationships/hyperlink" Target="https://wol.jw.org/en/wol/d/r1/lp-e/1102014246" TargetMode="External" Id="rId2636"/><Relationship Type="http://schemas.openxmlformats.org/officeDocument/2006/relationships/hyperlink" Target="https://wol.jw.org/ta/wol/d/r122/lp-tl/1102014246" TargetMode="External" Id="rId2637"/><Relationship Type="http://schemas.openxmlformats.org/officeDocument/2006/relationships/hyperlink" Target="https://wol.jw.org/en/wol/d/r1/lp-e/1101993046" TargetMode="External" Id="rId2638"/><Relationship Type="http://schemas.openxmlformats.org/officeDocument/2006/relationships/hyperlink" Target="https://wol.jw.org/en/wol/d/r1/lp-e/1200271388" TargetMode="External" Id="rId2639"/><Relationship Type="http://schemas.openxmlformats.org/officeDocument/2006/relationships/hyperlink" Target="https://wol.jw.org/en/wol/d/r1/lp-e/1102014255" TargetMode="External" Id="rId2640"/><Relationship Type="http://schemas.openxmlformats.org/officeDocument/2006/relationships/hyperlink" Target="https://wol.jw.org/ta/wol/d/r122/lp-tl/1102014255" TargetMode="External" Id="rId2641"/><Relationship Type="http://schemas.openxmlformats.org/officeDocument/2006/relationships/hyperlink" Target="https://wol.jw.org/en/wol/d/r1/lp-e/1101993046" TargetMode="External" Id="rId2642"/><Relationship Type="http://schemas.openxmlformats.org/officeDocument/2006/relationships/hyperlink" Target="https://wol.jw.org/en/wol/d/r1/lp-e/1102014256" TargetMode="External" Id="rId2643"/><Relationship Type="http://schemas.openxmlformats.org/officeDocument/2006/relationships/hyperlink" Target="https://wol.jw.org/ta/wol/d/r122/lp-tl/1102014256" TargetMode="External" Id="rId2644"/><Relationship Type="http://schemas.openxmlformats.org/officeDocument/2006/relationships/hyperlink" Target="https://wol.jw.org/en/wol/d/r1/lp-e/1200271388" TargetMode="External" Id="rId2645"/><Relationship Type="http://schemas.openxmlformats.org/officeDocument/2006/relationships/hyperlink" Target="https://wol.jw.org/en/wol/d/r1/lp-e/1102014243" TargetMode="External" Id="rId2646"/><Relationship Type="http://schemas.openxmlformats.org/officeDocument/2006/relationships/hyperlink" Target="https://wol.jw.org/ta/wol/d/r122/lp-tl/1102014243" TargetMode="External" Id="rId2647"/><Relationship Type="http://schemas.openxmlformats.org/officeDocument/2006/relationships/hyperlink" Target="https://wol.jw.org/en/wol/d/r1/lp-e/1102014243" TargetMode="External" Id="rId2648"/><Relationship Type="http://schemas.openxmlformats.org/officeDocument/2006/relationships/hyperlink" Target="https://wol.jw.org/ta/wol/d/r122/lp-tl/1102014243" TargetMode="External" Id="rId2649"/><Relationship Type="http://schemas.openxmlformats.org/officeDocument/2006/relationships/hyperlink" Target="https://wol.jw.org/en/wol/d/r1/lp-e/1101993046" TargetMode="External" Id="rId2650"/><Relationship Type="http://schemas.openxmlformats.org/officeDocument/2006/relationships/hyperlink" Target="https://wol.jw.org/en/wol/d/r1/lp-e/1200277174" TargetMode="External" Id="rId2651"/><Relationship Type="http://schemas.openxmlformats.org/officeDocument/2006/relationships/hyperlink" Target="https://wol.jw.org/en/wol/d/r1/lp-e/1101993046" TargetMode="External" Id="rId2652"/><Relationship Type="http://schemas.openxmlformats.org/officeDocument/2006/relationships/hyperlink" Target="https://wol.jw.org/en/wol/d/r1/lp-e/1102014246" TargetMode="External" Id="rId2653"/><Relationship Type="http://schemas.openxmlformats.org/officeDocument/2006/relationships/hyperlink" Target="https://wol.jw.org/ta/wol/d/r122/lp-tl/1102014246" TargetMode="External" Id="rId2654"/><Relationship Type="http://schemas.openxmlformats.org/officeDocument/2006/relationships/hyperlink" Target="https://wol.jw.org/en/wol/d/r1/lp-e/1200271388" TargetMode="External" Id="rId2655"/><Relationship Type="http://schemas.openxmlformats.org/officeDocument/2006/relationships/hyperlink" Target="https://wol.jw.org/en/wol/d/r1/lp-e/1102014244" TargetMode="External" Id="rId2656"/><Relationship Type="http://schemas.openxmlformats.org/officeDocument/2006/relationships/hyperlink" Target="https://wol.jw.org/ta/wol/d/r122/lp-tl/1102014244" TargetMode="External" Id="rId2657"/><Relationship Type="http://schemas.openxmlformats.org/officeDocument/2006/relationships/hyperlink" Target="https://wol.jw.org/en/wol/d/r1/lp-e/1102014244" TargetMode="External" Id="rId2658"/><Relationship Type="http://schemas.openxmlformats.org/officeDocument/2006/relationships/hyperlink" Target="https://wol.jw.org/ta/wol/d/r122/lp-tl/1102014244" TargetMode="External" Id="rId2659"/><Relationship Type="http://schemas.openxmlformats.org/officeDocument/2006/relationships/hyperlink" Target="https://wol.jw.org/en/wol/d/r1/lp-e/1200277174" TargetMode="External" Id="rId2660"/><Relationship Type="http://schemas.openxmlformats.org/officeDocument/2006/relationships/hyperlink" Target="https://wol.jw.org/en/wol/d/r1/lp-e/1200271388" TargetMode="External" Id="rId2661"/><Relationship Type="http://schemas.openxmlformats.org/officeDocument/2006/relationships/hyperlink" Target="https://wol.jw.org/en/wol/d/r1/lp-e/1101993046" TargetMode="External" Id="rId2662"/><Relationship Type="http://schemas.openxmlformats.org/officeDocument/2006/relationships/hyperlink" Target="https://wol.jw.org/en/wol/d/r1/lp-e/1101993046" TargetMode="External" Id="rId2663"/><Relationship Type="http://schemas.openxmlformats.org/officeDocument/2006/relationships/hyperlink" Target="https://wol.jw.org/en/wol/d/r1/lp-e/1200271388" TargetMode="External" Id="rId2664"/><Relationship Type="http://schemas.openxmlformats.org/officeDocument/2006/relationships/hyperlink" Target="https://wol.jw.org/en/wol/d/r1/lp-e/1102014251" TargetMode="External" Id="rId2665"/><Relationship Type="http://schemas.openxmlformats.org/officeDocument/2006/relationships/hyperlink" Target="https://wol.jw.org/ta/wol/d/r122/lp-tl/1102014251" TargetMode="External" Id="rId2666"/><Relationship Type="http://schemas.openxmlformats.org/officeDocument/2006/relationships/hyperlink" Target="https://wol.jw.org/en/wol/d/r1/lp-e/1200277174" TargetMode="External" Id="rId2667"/><Relationship Type="http://schemas.openxmlformats.org/officeDocument/2006/relationships/hyperlink" Target="https://wol.jw.org/en/wol/d/r1/lp-e/1200271388" TargetMode="External" Id="rId2668"/><Relationship Type="http://schemas.openxmlformats.org/officeDocument/2006/relationships/hyperlink" Target="https://wol.jw.org/en/wol/d/r1/lp-e/1101993046" TargetMode="External" Id="rId2669"/><Relationship Type="http://schemas.openxmlformats.org/officeDocument/2006/relationships/hyperlink" Target="https://wol.jw.org/en/wol/d/r1/lp-e/1200277174" TargetMode="External" Id="rId2670"/><Relationship Type="http://schemas.openxmlformats.org/officeDocument/2006/relationships/hyperlink" Target="https://wol.jw.org/en/wol/d/r1/lp-e/1200271388" TargetMode="External" Id="rId2671"/><Relationship Type="http://schemas.openxmlformats.org/officeDocument/2006/relationships/hyperlink" Target="https://wol.jw.org/en/wol/d/r1/lp-e/1102014251" TargetMode="External" Id="rId2672"/><Relationship Type="http://schemas.openxmlformats.org/officeDocument/2006/relationships/hyperlink" Target="https://wol.jw.org/ta/wol/d/r122/lp-tl/1102014251" TargetMode="External" Id="rId2673"/><Relationship Type="http://schemas.openxmlformats.org/officeDocument/2006/relationships/hyperlink" Target="https://wol.jw.org/en/wol/mp/r1/lp-e/kr/2014/220" TargetMode="External" Id="rId2674"/><Relationship Type="http://schemas.openxmlformats.org/officeDocument/2006/relationships/hyperlink" Target="https://wol.jw.org/en/wol/d/r1/lp-e/1102014255" TargetMode="External" Id="rId2675"/><Relationship Type="http://schemas.openxmlformats.org/officeDocument/2006/relationships/hyperlink" Target="https://wol.jw.org/ta/wol/d/r122/lp-tl/1102014255" TargetMode="External" Id="rId2676"/><Relationship Type="http://schemas.openxmlformats.org/officeDocument/2006/relationships/hyperlink" Target="https://wol.jw.org/en/wol/mp/r1/lp-e/kr/2014/320" TargetMode="External" Id="rId2677"/><Relationship Type="http://schemas.openxmlformats.org/officeDocument/2006/relationships/hyperlink" Target="https://www.jw.org/en/news/region/sweden/Sixty-Years-Later-Witnesses-in-Sweden-Reflect-on-Historic-Decision-About-Conscientious-Objection/" TargetMode="External" Id="rId2678"/><Relationship Type="http://schemas.openxmlformats.org/officeDocument/2006/relationships/hyperlink" Target="https://cms-imgp.jw-cdn.org/img/p/702026164/univ/art/702026164_univ_lsr_lg.jpg" TargetMode="External" Id="rId2679"/><Relationship Type="http://schemas.openxmlformats.org/officeDocument/2006/relationships/hyperlink" Target="https://wol.jw.org/en/wol/d/r1/lp-e/1200271388" TargetMode="External" Id="rId2680"/><Relationship Type="http://schemas.openxmlformats.org/officeDocument/2006/relationships/hyperlink" Target="https://wol.jw.org/en/wol/d/r1/lp-e/1101993046" TargetMode="External" Id="rId2681"/><Relationship Type="http://schemas.openxmlformats.org/officeDocument/2006/relationships/hyperlink" Target="https://wol.jw.org/en/wol/d/r1/lp-e/301999001" TargetMode="External" Id="rId2682"/><Relationship Type="http://schemas.openxmlformats.org/officeDocument/2006/relationships/hyperlink" Target="https://wol.jw.org/en/wol/d/r1/lp-e/1200271388" TargetMode="External" Id="rId2683"/><Relationship Type="http://schemas.openxmlformats.org/officeDocument/2006/relationships/hyperlink" Target="https://wol.jw.org/en/wol/d/r1/lp-e/1102014247" TargetMode="External" Id="rId2684"/><Relationship Type="http://schemas.openxmlformats.org/officeDocument/2006/relationships/hyperlink" Target="https://wol.jw.org/ta/wol/d/r122/lp-tl/1102014247" TargetMode="External" Id="rId2685"/><Relationship Type="http://schemas.openxmlformats.org/officeDocument/2006/relationships/hyperlink" Target="https://wol.jw.org/en/wol/d/r1/lp-e/1101993046" TargetMode="External" Id="rId2686"/><Relationship Type="http://schemas.openxmlformats.org/officeDocument/2006/relationships/hyperlink" Target="https://wol.jw.org/en/wol/d/r1/lp-e/1200277174" TargetMode="External" Id="rId2687"/><Relationship Type="http://schemas.openxmlformats.org/officeDocument/2006/relationships/hyperlink" Target="https://wol.jw.org/en/wol/d/r1/lp-e/1200277174" TargetMode="External" Id="rId2688"/><Relationship Type="http://schemas.openxmlformats.org/officeDocument/2006/relationships/hyperlink" Target="https://wol.jw.org/en/wol/d/r1/lp-e/1200271388" TargetMode="External" Id="rId2689"/><Relationship Type="http://schemas.openxmlformats.org/officeDocument/2006/relationships/hyperlink" Target="https://wol.jw.org/en/wol/d/r1/lp-e/1102014246" TargetMode="External" Id="rId2690"/><Relationship Type="http://schemas.openxmlformats.org/officeDocument/2006/relationships/hyperlink" Target="https://wol.jw.org/ta/wol/d/r122/lp-tl/1102014246" TargetMode="External" Id="rId2691"/><Relationship Type="http://schemas.openxmlformats.org/officeDocument/2006/relationships/hyperlink" Target="https://wol.jw.org/en/wol/d/r1/lp-e/1200271388" TargetMode="External" Id="rId2692"/><Relationship Type="http://schemas.openxmlformats.org/officeDocument/2006/relationships/hyperlink" Target="https://wol.jw.org/en/wol/d/r1/lp-e/1200277174" TargetMode="External" Id="rId2693"/><Relationship Type="http://schemas.openxmlformats.org/officeDocument/2006/relationships/hyperlink" Target="https://wol.jw.org/en/wol/d/r1/lp-e/1200271388" TargetMode="External" Id="rId2694"/><Relationship Type="http://schemas.openxmlformats.org/officeDocument/2006/relationships/hyperlink" Target="https://wol.jw.org/en/wol/d/r1/lp-e/1101993046" TargetMode="External" Id="rId2695"/><Relationship Type="http://schemas.openxmlformats.org/officeDocument/2006/relationships/hyperlink" Target="https://wol.jw.org/en/wol/d/r1/lp-e/1101993046" TargetMode="External" Id="rId2696"/><Relationship Type="http://schemas.openxmlformats.org/officeDocument/2006/relationships/hyperlink" Target="https://wol.jw.org/en/wol/d/r1/lp-e/1200277174" TargetMode="External" Id="rId2697"/><Relationship Type="http://schemas.openxmlformats.org/officeDocument/2006/relationships/hyperlink" Target="https://wol.jw.org/en/wol/d/r1/lp-e/1200277174" TargetMode="External" Id="rId2698"/><Relationship Type="http://schemas.openxmlformats.org/officeDocument/2006/relationships/hyperlink" Target="https://wol.jw.org/en/wol/d/r1/lp-e/1200271388" TargetMode="External" Id="rId2699"/><Relationship Type="http://schemas.openxmlformats.org/officeDocument/2006/relationships/hyperlink" Target="https://wol.jw.org/en/wol/d/r1/lp-e/1101993046" TargetMode="External" Id="rId2700"/><Relationship Type="http://schemas.openxmlformats.org/officeDocument/2006/relationships/hyperlink" Target="https://wol.jw.org/en/wol/d/r1/lp-e/1200271388" TargetMode="External" Id="rId2701"/><Relationship Type="http://schemas.openxmlformats.org/officeDocument/2006/relationships/hyperlink" Target="https://wol.jw.org/en/wol/d/r1/lp-e/1102014250" TargetMode="External" Id="rId2702"/><Relationship Type="http://schemas.openxmlformats.org/officeDocument/2006/relationships/hyperlink" Target="https://wol.jw.org/ta/wol/d/r122/lp-tl/1102014250" TargetMode="External" Id="rId2703"/><Relationship Type="http://schemas.openxmlformats.org/officeDocument/2006/relationships/hyperlink" Target="https://wol.jw.org/en/wol/d/r1/lp-e/1200271388" TargetMode="External" Id="rId2704"/><Relationship Type="http://schemas.openxmlformats.org/officeDocument/2006/relationships/hyperlink" Target="https://wol.jw.org/en/wol/d/r1/lp-e/1101993046" TargetMode="External" Id="rId2705"/><Relationship Type="http://schemas.openxmlformats.org/officeDocument/2006/relationships/hyperlink" Target="https://wol.jw.org/en/wol/d/r1/lp-e/2010849" TargetMode="External" Id="rId2706"/><Relationship Type="http://schemas.openxmlformats.org/officeDocument/2006/relationships/hyperlink" Target="https://wol.jw.org/ta/wol/d/r122/lp-tl/2010849" TargetMode="External" Id="rId2707"/><Relationship Type="http://schemas.openxmlformats.org/officeDocument/2006/relationships/hyperlink" Target="https://wol.jw.org/en/wol/d/r1/lp-e/2007002" TargetMode="External" Id="rId2708"/><Relationship Type="http://schemas.openxmlformats.org/officeDocument/2006/relationships/hyperlink" Target="https://wol.jw.org/ta/wol/d/r122/lp-tl/2007002" TargetMode="External" Id="rId2709"/><Relationship Type="http://schemas.openxmlformats.org/officeDocument/2006/relationships/hyperlink" Target="https://wol.jw.org/en/wol/d/r1/lp-e/1975047" TargetMode="External" Id="rId2710"/><Relationship Type="http://schemas.openxmlformats.org/officeDocument/2006/relationships/hyperlink" Target="https://wol.jw.org/en/wol/d/r1/lp-e/1200271388" TargetMode="External" Id="rId2711"/><Relationship Type="http://schemas.openxmlformats.org/officeDocument/2006/relationships/hyperlink" Target="https://wol.jw.org/en/wol/d/r1/lp-e/1101993046" TargetMode="External" Id="rId2712"/><Relationship Type="http://schemas.openxmlformats.org/officeDocument/2006/relationships/hyperlink" Target="https://wol.jw.org/en/wol/d/r1/lp-e/1102014253" TargetMode="External" Id="rId2713"/><Relationship Type="http://schemas.openxmlformats.org/officeDocument/2006/relationships/hyperlink" Target="https://wol.jw.org/ta/wol/d/r122/lp-tl/1102014253" TargetMode="External" Id="rId2714"/><Relationship Type="http://schemas.openxmlformats.org/officeDocument/2006/relationships/hyperlink" Target="https://wol.jw.org/en/wol/d/r1/lp-e/1200277174" TargetMode="External" Id="rId2715"/><Relationship Type="http://schemas.openxmlformats.org/officeDocument/2006/relationships/hyperlink" Target="https://wol.jw.org/en/wol/d/r1/lp-e/1200271388" TargetMode="External" Id="rId2716"/><Relationship Type="http://schemas.openxmlformats.org/officeDocument/2006/relationships/hyperlink" Target="https://wol.jw.org/en/wol/d/r1/lp-e/1101993046" TargetMode="External" Id="rId2717"/><Relationship Type="http://schemas.openxmlformats.org/officeDocument/2006/relationships/hyperlink" Target="https://wol.jw.org/en/wol/d/r1/lp-e/1101993046" TargetMode="External" Id="rId2718"/><Relationship Type="http://schemas.openxmlformats.org/officeDocument/2006/relationships/hyperlink" Target="https://wol.jw.org/en/wol/d/r1/lp-e/1200271388" TargetMode="External" Id="rId2719"/><Relationship Type="http://schemas.openxmlformats.org/officeDocument/2006/relationships/hyperlink" Target="https://wol.jw.org/en/wol/d/r1/lp-e/1101993046" TargetMode="External" Id="rId2720"/><Relationship Type="http://schemas.openxmlformats.org/officeDocument/2006/relationships/hyperlink" Target="https://wol.jw.org/en/wol/d/r1/lp-e/1977526" TargetMode="External" Id="rId2721"/><Relationship Type="http://schemas.openxmlformats.org/officeDocument/2006/relationships/hyperlink" Target="https://wol.jw.org/en/wol/d/r1/lp-e/1977564" TargetMode="External" Id="rId2722"/><Relationship Type="http://schemas.openxmlformats.org/officeDocument/2006/relationships/hyperlink" Target="https://wol.jw.org/en/wol/d/r1/lp-e/1200271562" TargetMode="External" Id="rId2723"/><Relationship Type="http://schemas.openxmlformats.org/officeDocument/2006/relationships/hyperlink" Target="https://wol.jw.org/en/wol/d/r1/lp-e/1988687" TargetMode="External" Id="rId2724"/><Relationship Type="http://schemas.openxmlformats.org/officeDocument/2006/relationships/hyperlink" Target="https://wol.jw.org/en/wol/d/r1/lp-e/1200271388" TargetMode="External" Id="rId2725"/><Relationship Type="http://schemas.openxmlformats.org/officeDocument/2006/relationships/hyperlink" Target="https://wol.jw.org/en/wol/d/r1/lp-e/1102014250" TargetMode="External" Id="rId2726"/><Relationship Type="http://schemas.openxmlformats.org/officeDocument/2006/relationships/hyperlink" Target="https://wol.jw.org/ta/wol/d/r122/lp-tl/1102014250" TargetMode="External" Id="rId2727"/><Relationship Type="http://schemas.openxmlformats.org/officeDocument/2006/relationships/hyperlink" Target="https://wol.jw.org/en/wol/d/r1/lp-e/1102014253" TargetMode="External" Id="rId2728"/><Relationship Type="http://schemas.openxmlformats.org/officeDocument/2006/relationships/hyperlink" Target="https://wol.jw.org/ta/wol/d/r122/lp-tl/1102014253" TargetMode="External" Id="rId2729"/><Relationship Type="http://schemas.openxmlformats.org/officeDocument/2006/relationships/hyperlink" Target="https://wol.jw.org/en/wol/d/r1/lp-e/1200277174" TargetMode="External" Id="rId2730"/><Relationship Type="http://schemas.openxmlformats.org/officeDocument/2006/relationships/hyperlink" Target="https://wol.jw.org/en/wol/d/r1/lp-e/1200271388" TargetMode="External" Id="rId2731"/><Relationship Type="http://schemas.openxmlformats.org/officeDocument/2006/relationships/hyperlink" Target="https://wol.jw.org/en/wol/d/r1/lp-e/1102014250" TargetMode="External" Id="rId2732"/><Relationship Type="http://schemas.openxmlformats.org/officeDocument/2006/relationships/hyperlink" Target="https://wol.jw.org/ta/wol/d/r122/lp-tl/1102014250" TargetMode="External" Id="rId2733"/><Relationship Type="http://schemas.openxmlformats.org/officeDocument/2006/relationships/hyperlink" Target="https://wol.jw.org/en/wol/d/r1/lp-e/1200271388" TargetMode="External" Id="rId2734"/><Relationship Type="http://schemas.openxmlformats.org/officeDocument/2006/relationships/hyperlink" Target="https://wol.jw.org/en/wol/d/r1/lp-e/1200271388" TargetMode="External" Id="rId2735"/><Relationship Type="http://schemas.openxmlformats.org/officeDocument/2006/relationships/hyperlink" Target="https://wol.jw.org/en/wol/d/r1/lp-e/1102014255" TargetMode="External" Id="rId2736"/><Relationship Type="http://schemas.openxmlformats.org/officeDocument/2006/relationships/hyperlink" Target="https://wol.jw.org/ta/wol/d/r122/lp-tl/1102014255" TargetMode="External" Id="rId2737"/><Relationship Type="http://schemas.openxmlformats.org/officeDocument/2006/relationships/hyperlink" Target="https://wol.jw.org/en/wol/d/r1/lp-e/1102014247" TargetMode="External" Id="rId2738"/><Relationship Type="http://schemas.openxmlformats.org/officeDocument/2006/relationships/hyperlink" Target="https://wol.jw.org/ta/wol/d/r122/lp-tl/1102014247" TargetMode="External" Id="rId2739"/><Relationship Type="http://schemas.openxmlformats.org/officeDocument/2006/relationships/hyperlink" Target="https://wol.jw.org/en/wol/d/r1/lp-e/1200271388" TargetMode="External" Id="rId2740"/><Relationship Type="http://schemas.openxmlformats.org/officeDocument/2006/relationships/hyperlink" Target="https://wol.jw.org/en/wol/d/r1/lp-e/1102014247" TargetMode="External" Id="rId2741"/><Relationship Type="http://schemas.openxmlformats.org/officeDocument/2006/relationships/hyperlink" Target="https://wol.jw.org/ta/wol/d/r122/lp-tl/1102014247" TargetMode="External" Id="rId2742"/><Relationship Type="http://schemas.openxmlformats.org/officeDocument/2006/relationships/hyperlink" Target="https://wol.jw.org/en/wol/d/r1/lp-e/1102014250" TargetMode="External" Id="rId2743"/><Relationship Type="http://schemas.openxmlformats.org/officeDocument/2006/relationships/hyperlink" Target="https://wol.jw.org/ta/wol/d/r122/lp-tl/1102014250" TargetMode="External" Id="rId2744"/><Relationship Type="http://schemas.openxmlformats.org/officeDocument/2006/relationships/hyperlink" Target="https://wol.jw.org/en/wol/d/r1/lp-e/1102014258" TargetMode="External" Id="rId2745"/><Relationship Type="http://schemas.openxmlformats.org/officeDocument/2006/relationships/hyperlink" Target="https://wol.jw.org/ta/wol/d/r122/lp-tl/1102014258" TargetMode="External" Id="rId2746"/><Relationship Type="http://schemas.openxmlformats.org/officeDocument/2006/relationships/hyperlink" Target="https://wol.jw.org/en/wol/d/r1/lp-e/1200277174" TargetMode="External" Id="rId2747"/><Relationship Type="http://schemas.openxmlformats.org/officeDocument/2006/relationships/hyperlink" Target="https://wol.jw.org/en/wol/d/r1/lp-e/1200271388" TargetMode="External" Id="rId2748"/><Relationship Type="http://schemas.openxmlformats.org/officeDocument/2006/relationships/hyperlink" Target="https://wol.jw.org/en/wol/d/r1/lp-e/1102014254" TargetMode="External" Id="rId2749"/><Relationship Type="http://schemas.openxmlformats.org/officeDocument/2006/relationships/hyperlink" Target="https://wol.jw.org/ta/wol/d/r122/lp-tl/1102014254" TargetMode="External" Id="rId2750"/><Relationship Type="http://schemas.openxmlformats.org/officeDocument/2006/relationships/hyperlink" Target="https://wol.jw.org/en/wol/d/r1/lp-e/1102014253" TargetMode="External" Id="rId2751"/><Relationship Type="http://schemas.openxmlformats.org/officeDocument/2006/relationships/hyperlink" Target="https://wol.jw.org/ta/wol/d/r122/lp-tl/1102014253" TargetMode="External" Id="rId2752"/><Relationship Type="http://schemas.openxmlformats.org/officeDocument/2006/relationships/hyperlink" Target="https://wol.jw.org/en/wol/d/r1/lp-e/1102014252" TargetMode="External" Id="rId2753"/><Relationship Type="http://schemas.openxmlformats.org/officeDocument/2006/relationships/hyperlink" Target="https://wol.jw.org/ta/wol/d/r122/lp-tl/1102014252" TargetMode="External" Id="rId2754"/><Relationship Type="http://schemas.openxmlformats.org/officeDocument/2006/relationships/hyperlink" Target="https://wol.jw.org/en/wol/d/r1/lp-e/1101993046" TargetMode="External" Id="rId2755"/><Relationship Type="http://schemas.openxmlformats.org/officeDocument/2006/relationships/hyperlink" Target="https://wol.jw.org/en/wol/d/r1/lp-e/1200277174" TargetMode="External" Id="rId2756"/><Relationship Type="http://schemas.openxmlformats.org/officeDocument/2006/relationships/hyperlink" Target="https://wol.jw.org/en/wol/d/r1/lp-e/1200271388" TargetMode="External" Id="rId2757"/><Relationship Type="http://schemas.openxmlformats.org/officeDocument/2006/relationships/hyperlink" Target="https://wol.jw.org/en/wol/d/r1/lp-e/1102014256" TargetMode="External" Id="rId2758"/><Relationship Type="http://schemas.openxmlformats.org/officeDocument/2006/relationships/hyperlink" Target="https://wol.jw.org/ta/wol/d/r122/lp-tl/1102014256" TargetMode="External" Id="rId2759"/><Relationship Type="http://schemas.openxmlformats.org/officeDocument/2006/relationships/hyperlink" Target="https://wol.jw.org/en/wol/d/r1/lp-e/1102014255" TargetMode="External" Id="rId2760"/><Relationship Type="http://schemas.openxmlformats.org/officeDocument/2006/relationships/hyperlink" Target="https://wol.jw.org/ta/wol/d/r122/lp-tl/1102014255" TargetMode="External" Id="rId2761"/><Relationship Type="http://schemas.openxmlformats.org/officeDocument/2006/relationships/hyperlink" Target="https://wol.jw.org/en/wol/mp/r1/lp-e/kr/2014/323" TargetMode="External" Id="rId2762"/><Relationship Type="http://schemas.openxmlformats.org/officeDocument/2006/relationships/hyperlink" Target="https://wol.jw.org/en/wol/d/r1/lp-e/1101990134" TargetMode="External" Id="rId2763"/><Relationship Type="http://schemas.openxmlformats.org/officeDocument/2006/relationships/hyperlink" Target="https://wol.jw.org/ta/wol/d/r122/lp-tl/1101990134" TargetMode="External" Id="rId2764"/><Relationship Type="http://schemas.openxmlformats.org/officeDocument/2006/relationships/hyperlink" Target="https://wol.jw.org/en/wol/d/r1/lp-e/1200277174" TargetMode="External" Id="rId2765"/><Relationship Type="http://schemas.openxmlformats.org/officeDocument/2006/relationships/hyperlink" Target="https://wol.jw.org/en/wol/d/r1/lp-e/1200271388" TargetMode="External" Id="rId2766"/><Relationship Type="http://schemas.openxmlformats.org/officeDocument/2006/relationships/hyperlink" Target="https://wol.jw.org/en/wol/d/r1/lp-e/1101993046" TargetMode="External" Id="rId2767"/><Relationship Type="http://schemas.openxmlformats.org/officeDocument/2006/relationships/hyperlink" Target="https://wol.jw.org/en/wol/d/r1/lp-e/1101993046" TargetMode="External" Id="rId2768"/><Relationship Type="http://schemas.openxmlformats.org/officeDocument/2006/relationships/hyperlink" Target="https://wol.jw.org/en/wol/d/r1/lp-e/1102014252" TargetMode="External" Id="rId2769"/><Relationship Type="http://schemas.openxmlformats.org/officeDocument/2006/relationships/hyperlink" Target="https://wol.jw.org/ta/wol/d/r122/lp-tl/1102014252" TargetMode="External" Id="rId2770"/><Relationship Type="http://schemas.openxmlformats.org/officeDocument/2006/relationships/hyperlink" Target="https://wol.jw.org/en/wol/d/r1/lp-e/1200277174" TargetMode="External" Id="rId2771"/><Relationship Type="http://schemas.openxmlformats.org/officeDocument/2006/relationships/hyperlink" Target="https://wol.jw.org/en/wol/d/r1/lp-e/1200277174" TargetMode="External" Id="rId2772"/><Relationship Type="http://schemas.openxmlformats.org/officeDocument/2006/relationships/hyperlink" Target="https://wol.jw.org/en/wol/d/r1/lp-e/1200271388" TargetMode="External" Id="rId2773"/><Relationship Type="http://schemas.openxmlformats.org/officeDocument/2006/relationships/hyperlink" Target="https://wol.jw.org/en/wol/d/r1/lp-e/1101993046" TargetMode="External" Id="rId2774"/><Relationship Type="http://schemas.openxmlformats.org/officeDocument/2006/relationships/hyperlink" Target="https://wol.jw.org/en/wol/d/r1/lp-e/1102014252" TargetMode="External" Id="rId2775"/><Relationship Type="http://schemas.openxmlformats.org/officeDocument/2006/relationships/hyperlink" Target="https://wol.jw.org/ta/wol/d/r122/lp-tl/1102014252" TargetMode="External" Id="rId2776"/><Relationship Type="http://schemas.openxmlformats.org/officeDocument/2006/relationships/hyperlink" Target="https://wol.jw.org/en/wol/d/r1/lp-e/1102014252" TargetMode="External" Id="rId2777"/><Relationship Type="http://schemas.openxmlformats.org/officeDocument/2006/relationships/hyperlink" Target="https://wol.jw.org/ta/wol/d/r122/lp-tl/1102014252" TargetMode="External" Id="rId2778"/><Relationship Type="http://schemas.openxmlformats.org/officeDocument/2006/relationships/hyperlink" Target="https://wol.jw.org/en/wol/d/r1/lp-e/1102014252" TargetMode="External" Id="rId2779"/><Relationship Type="http://schemas.openxmlformats.org/officeDocument/2006/relationships/hyperlink" Target="https://wol.jw.org/ta/wol/d/r122/lp-tl/1102014252" TargetMode="External" Id="rId2780"/><Relationship Type="http://schemas.openxmlformats.org/officeDocument/2006/relationships/hyperlink" Target="https://wol.jw.org/en/wol/d/r1/lp-e/1102014258" TargetMode="External" Id="rId2781"/><Relationship Type="http://schemas.openxmlformats.org/officeDocument/2006/relationships/hyperlink" Target="https://wol.jw.org/ta/wol/d/r122/lp-tl/1102014258" TargetMode="External" Id="rId2782"/><Relationship Type="http://schemas.openxmlformats.org/officeDocument/2006/relationships/hyperlink" Target="https://wol.jw.org/en/wol/d/r1/lp-e/1101993046" TargetMode="External" Id="rId2783"/><Relationship Type="http://schemas.openxmlformats.org/officeDocument/2006/relationships/hyperlink" Target="https://wol.jw.org/en/wol/d/r1/lp-e/1200277174" TargetMode="External" Id="rId2784"/><Relationship Type="http://schemas.openxmlformats.org/officeDocument/2006/relationships/hyperlink" Target="https://wol.jw.org/en/wol/d/r1/lp-e/1200277174" TargetMode="External" Id="rId2785"/><Relationship Type="http://schemas.openxmlformats.org/officeDocument/2006/relationships/hyperlink" Target="https://wol.jw.org/en/wol/d/r1/lp-e/1200271388" TargetMode="External" Id="rId2786"/><Relationship Type="http://schemas.openxmlformats.org/officeDocument/2006/relationships/hyperlink" Target="https://wol.jw.org/en/wol/d/r1/lp-e/1101993046" TargetMode="External" Id="rId2787"/><Relationship Type="http://schemas.openxmlformats.org/officeDocument/2006/relationships/hyperlink" Target="https://wol.jw.org/en/wol/d/r1/lp-e/1200277174" TargetMode="External" Id="rId2788"/><Relationship Type="http://schemas.openxmlformats.org/officeDocument/2006/relationships/hyperlink" Target="https://wol.jw.org/en/wol/d/r1/lp-e/1200277174" TargetMode="External" Id="rId2789"/><Relationship Type="http://schemas.openxmlformats.org/officeDocument/2006/relationships/hyperlink" Target="https://wol.jw.org/en/wol/d/r1/lp-e/1200277174" TargetMode="External" Id="rId2790"/><Relationship Type="http://schemas.openxmlformats.org/officeDocument/2006/relationships/hyperlink" Target="https://wol.jw.org/en/wol/d/r1/lp-e/1200277174" TargetMode="External" Id="rId2791"/><Relationship Type="http://schemas.openxmlformats.org/officeDocument/2006/relationships/hyperlink" Target="https://wol.jw.org/en/wol/d/r1/lp-e/1200277174" TargetMode="External" Id="rId2792"/><Relationship Type="http://schemas.openxmlformats.org/officeDocument/2006/relationships/hyperlink" Target="https://wol.jw.org/en/wol/d/r1/lp-e/1200277174" TargetMode="External" Id="rId2793"/><Relationship Type="http://schemas.openxmlformats.org/officeDocument/2006/relationships/hyperlink" Target="https://wol.jw.org/en/wol/d/r1/lp-e/1200277174" TargetMode="External" Id="rId2794"/><Relationship Type="http://schemas.openxmlformats.org/officeDocument/2006/relationships/hyperlink" Target="https://wol.jw.org/en/wol/d/r1/lp-e/1200271388" TargetMode="External" Id="rId2795"/><Relationship Type="http://schemas.openxmlformats.org/officeDocument/2006/relationships/hyperlink" Target="https://wol.jw.org/en/wol/d/r1/lp-e/1988687" TargetMode="External" Id="rId2796"/><Relationship Type="http://schemas.openxmlformats.org/officeDocument/2006/relationships/hyperlink" Target="https://wol.jw.org/en/wol/d/r1/lp-e/1102014252" TargetMode="External" Id="rId2797"/><Relationship Type="http://schemas.openxmlformats.org/officeDocument/2006/relationships/hyperlink" Target="https://wol.jw.org/ta/wol/d/r122/lp-tl/1102014252" TargetMode="External" Id="rId2798"/><Relationship Type="http://schemas.openxmlformats.org/officeDocument/2006/relationships/hyperlink" Target="https://wol.jw.org/en/wol/d/r1/lp-e/1102014247" TargetMode="External" Id="rId2799"/><Relationship Type="http://schemas.openxmlformats.org/officeDocument/2006/relationships/hyperlink" Target="https://wol.jw.org/ta/wol/d/r122/lp-tl/1102014247" TargetMode="External" Id="rId2800"/><Relationship Type="http://schemas.openxmlformats.org/officeDocument/2006/relationships/hyperlink" Target="https://wol.jw.org/en/wol/d/r1/lp-e/1200271388" TargetMode="External" Id="rId2801"/><Relationship Type="http://schemas.openxmlformats.org/officeDocument/2006/relationships/hyperlink" Target="https://wol.jw.org/en/wol/d/r1/lp-e/1101993046" TargetMode="External" Id="rId2802"/><Relationship Type="http://schemas.openxmlformats.org/officeDocument/2006/relationships/hyperlink" Target="https://wol.jw.org/en/wol/d/r1/lp-e/1200271388" TargetMode="External" Id="rId2803"/><Relationship Type="http://schemas.openxmlformats.org/officeDocument/2006/relationships/hyperlink" Target="https://wol.jw.org/en/wol/d/r1/lp-e/1102014253" TargetMode="External" Id="rId2804"/><Relationship Type="http://schemas.openxmlformats.org/officeDocument/2006/relationships/hyperlink" Target="https://wol.jw.org/ta/wol/d/r122/lp-tl/1102014253" TargetMode="External" Id="rId2805"/><Relationship Type="http://schemas.openxmlformats.org/officeDocument/2006/relationships/hyperlink" Target="https://wol.jw.org/en/wol/d/r1/lp-e/1102014257" TargetMode="External" Id="rId2806"/><Relationship Type="http://schemas.openxmlformats.org/officeDocument/2006/relationships/hyperlink" Target="https://wol.jw.org/ta/wol/d/r122/lp-tl/1102014257" TargetMode="External" Id="rId2807"/><Relationship Type="http://schemas.openxmlformats.org/officeDocument/2006/relationships/hyperlink" Target="https://wol.jw.org/en/wol/d/r1/lp-e/1102014255" TargetMode="External" Id="rId2808"/><Relationship Type="http://schemas.openxmlformats.org/officeDocument/2006/relationships/hyperlink" Target="https://wol.jw.org/ta/wol/d/r122/lp-tl/1102014255" TargetMode="External" Id="rId2809"/><Relationship Type="http://schemas.openxmlformats.org/officeDocument/2006/relationships/hyperlink" Target="https://wol.jw.org/en/wol/d/r1/lp-e/1101993046" TargetMode="External" Id="rId2810"/><Relationship Type="http://schemas.openxmlformats.org/officeDocument/2006/relationships/hyperlink" Target="https://wol.jw.org/en/wol/d/r1/lp-e/1101993046" TargetMode="External" Id="rId2811"/><Relationship Type="http://schemas.openxmlformats.org/officeDocument/2006/relationships/hyperlink" Target="https://wol.jw.org/en/wol/d/r1/lp-e/1102014246" TargetMode="External" Id="rId2812"/><Relationship Type="http://schemas.openxmlformats.org/officeDocument/2006/relationships/hyperlink" Target="https://wol.jw.org/ta/wol/d/r122/lp-tl/1102014246" TargetMode="External" Id="rId2813"/><Relationship Type="http://schemas.openxmlformats.org/officeDocument/2006/relationships/hyperlink" Target="https://wol.jw.org/en/wol/d/r1/lp-e/1101993046" TargetMode="External" Id="rId2814"/><Relationship Type="http://schemas.openxmlformats.org/officeDocument/2006/relationships/hyperlink" Target="https://wol.jw.org/en/wol/d/r1/lp-e/1200277174" TargetMode="External" Id="rId2815"/><Relationship Type="http://schemas.openxmlformats.org/officeDocument/2006/relationships/hyperlink" Target="https://wol.jw.org/en/wol/d/r1/lp-e/1200271388" TargetMode="External" Id="rId2816"/><Relationship Type="http://schemas.openxmlformats.org/officeDocument/2006/relationships/hyperlink" Target="https://wol.jw.org/en/wol/d/r1/lp-e/1102014254" TargetMode="External" Id="rId2817"/><Relationship Type="http://schemas.openxmlformats.org/officeDocument/2006/relationships/hyperlink" Target="https://wol.jw.org/ta/wol/d/r122/lp-tl/1102014254" TargetMode="External" Id="rId2818"/><Relationship Type="http://schemas.openxmlformats.org/officeDocument/2006/relationships/hyperlink" Target="https://wol.jw.org/en/wol/d/r1/lp-e/2020408" TargetMode="External" Id="rId2819"/><Relationship Type="http://schemas.openxmlformats.org/officeDocument/2006/relationships/hyperlink" Target="https://wol.jw.org/ta/wol/d/r122/lp-tl/2020408" TargetMode="External" Id="rId2820"/><Relationship Type="http://schemas.openxmlformats.org/officeDocument/2006/relationships/hyperlink" Target="https://wol.jw.org/en/wol/d/r1/lp-e/2020408" TargetMode="External" Id="rId2821"/><Relationship Type="http://schemas.openxmlformats.org/officeDocument/2006/relationships/hyperlink" Target="https://wol.jw.org/ta/wol/d/r122/lp-tl/2020408" TargetMode="External" Id="rId2822"/><Relationship Type="http://schemas.openxmlformats.org/officeDocument/2006/relationships/hyperlink" Target="https://wol.jw.org/en/wol/d/r1/lp-e/1200277174" TargetMode="External" Id="rId2823"/><Relationship Type="http://schemas.openxmlformats.org/officeDocument/2006/relationships/hyperlink" Target="https://wol.jw.org/en/wol/d/r1/lp-e/1101993046" TargetMode="External" Id="rId2824"/><Relationship Type="http://schemas.openxmlformats.org/officeDocument/2006/relationships/hyperlink" Target="https://wol.jw.org/en/wol/d/r1/lp-e/1102014255" TargetMode="External" Id="rId2825"/><Relationship Type="http://schemas.openxmlformats.org/officeDocument/2006/relationships/hyperlink" Target="https://wol.jw.org/ta/wol/d/r122/lp-tl/1102014255" TargetMode="External" Id="rId2826"/><Relationship Type="http://schemas.openxmlformats.org/officeDocument/2006/relationships/hyperlink" Target="https://wol.jw.org/en/wol/d/r1/lp-e/1101993046" TargetMode="External" Id="rId2827"/><Relationship Type="http://schemas.openxmlformats.org/officeDocument/2006/relationships/hyperlink" Target="https://wol.jw.org/en/wol/d/r1/lp-e/1102014254" TargetMode="External" Id="rId2828"/><Relationship Type="http://schemas.openxmlformats.org/officeDocument/2006/relationships/hyperlink" Target="https://wol.jw.org/ta/wol/d/r122/lp-tl/1102014254" TargetMode="External" Id="rId2829"/><Relationship Type="http://schemas.openxmlformats.org/officeDocument/2006/relationships/hyperlink" Target="https://wol.jw.org/en/wol/d/r1/lp-e/1102014254" TargetMode="External" Id="rId2830"/><Relationship Type="http://schemas.openxmlformats.org/officeDocument/2006/relationships/hyperlink" Target="https://wol.jw.org/ta/wol/d/r122/lp-tl/1102014254" TargetMode="External" Id="rId2831"/><Relationship Type="http://schemas.openxmlformats.org/officeDocument/2006/relationships/hyperlink" Target="https://wol.jw.org/en/wol/d/r1/lp-e/1993207" TargetMode="External" Id="rId2832"/><Relationship Type="http://schemas.openxmlformats.org/officeDocument/2006/relationships/hyperlink" Target="https://wol.jw.org/en/wol/d/r1/lp-e/1993207" TargetMode="External" Id="rId2833"/><Relationship Type="http://schemas.openxmlformats.org/officeDocument/2006/relationships/hyperlink" Target="https://wol.jw.org/en/wol/d/r1/lp-e/1993207" TargetMode="External" Id="rId2834"/><Relationship Type="http://schemas.openxmlformats.org/officeDocument/2006/relationships/hyperlink" Target="https://wol.jw.org/en/wol/d/r1/lp-e/1200277174" TargetMode="External" Id="rId2835"/><Relationship Type="http://schemas.openxmlformats.org/officeDocument/2006/relationships/hyperlink" Target="https://wol.jw.org/en/wol/d/r1/lp-e/1200277174" TargetMode="External" Id="rId2836"/><Relationship Type="http://schemas.openxmlformats.org/officeDocument/2006/relationships/hyperlink" Target="https://wol.jw.org/en/wol/d/r1/lp-e/1102014255" TargetMode="External" Id="rId2837"/><Relationship Type="http://schemas.openxmlformats.org/officeDocument/2006/relationships/hyperlink" Target="https://wol.jw.org/ta/wol/d/r122/lp-tl/1102014255" TargetMode="External" Id="rId2838"/><Relationship Type="http://schemas.openxmlformats.org/officeDocument/2006/relationships/hyperlink" Target="https://wol.jw.org/en/wol/d/r1/lp-e/1102014252" TargetMode="External" Id="rId2839"/><Relationship Type="http://schemas.openxmlformats.org/officeDocument/2006/relationships/hyperlink" Target="https://wol.jw.org/ta/wol/d/r122/lp-tl/1102014252" TargetMode="External" Id="rId2840"/><Relationship Type="http://schemas.openxmlformats.org/officeDocument/2006/relationships/hyperlink" Target="https://wol.jw.org/en/wol/d/r1/lp-e/1102014252" TargetMode="External" Id="rId2841"/><Relationship Type="http://schemas.openxmlformats.org/officeDocument/2006/relationships/hyperlink" Target="https://wol.jw.org/ta/wol/d/r122/lp-tl/1102014252" TargetMode="External" Id="rId2842"/><Relationship Type="http://schemas.openxmlformats.org/officeDocument/2006/relationships/hyperlink" Target="https://wol.jw.org/en/wol/d/r1/lp-e/1102014254" TargetMode="External" Id="rId2843"/><Relationship Type="http://schemas.openxmlformats.org/officeDocument/2006/relationships/hyperlink" Target="https://wol.jw.org/ta/wol/d/r122/lp-tl/1102014254" TargetMode="External" Id="rId2844"/><Relationship Type="http://schemas.openxmlformats.org/officeDocument/2006/relationships/hyperlink" Target="https://wol.jw.org/en/wol/d/r1/lp-e/1200277174" TargetMode="External" Id="rId2845"/><Relationship Type="http://schemas.openxmlformats.org/officeDocument/2006/relationships/hyperlink" Target="https://wol.jw.org/en/wol/d/r1/lp-e/1200271388" TargetMode="External" Id="rId2846"/><Relationship Type="http://schemas.openxmlformats.org/officeDocument/2006/relationships/hyperlink" Target="https://wol.jw.org/en/wol/d/r1/lp-e/1102014262" TargetMode="External" Id="rId2847"/><Relationship Type="http://schemas.openxmlformats.org/officeDocument/2006/relationships/hyperlink" Target="https://wol.jw.org/ta/wol/d/r122/lp-tl/1102014262" TargetMode="External" Id="rId2848"/><Relationship Type="http://schemas.openxmlformats.org/officeDocument/2006/relationships/hyperlink" Target="https://wol.jw.org/en/wol/d/r1/lp-e/1102014253" TargetMode="External" Id="rId2849"/><Relationship Type="http://schemas.openxmlformats.org/officeDocument/2006/relationships/hyperlink" Target="https://wol.jw.org/ta/wol/d/r122/lp-tl/1102014253" TargetMode="External" Id="rId2850"/><Relationship Type="http://schemas.openxmlformats.org/officeDocument/2006/relationships/hyperlink" Target="https://wol.jw.org/en/wol/d/r1/lp-e/1994808" TargetMode="External" Id="rId2851"/><Relationship Type="http://schemas.openxmlformats.org/officeDocument/2006/relationships/hyperlink" Target="https://wol.jw.org/ta/wol/d/r122/lp-tl/1994808" TargetMode="External" Id="rId2852"/><Relationship Type="http://schemas.openxmlformats.org/officeDocument/2006/relationships/hyperlink" Target="https://wol.jw.org/en/wol/d/r1/lp-e/1994808" TargetMode="External" Id="rId2853"/><Relationship Type="http://schemas.openxmlformats.org/officeDocument/2006/relationships/hyperlink" Target="https://wol.jw.org/ta/wol/d/r122/lp-tl/1994808" TargetMode="External" Id="rId2854"/><Relationship Type="http://schemas.openxmlformats.org/officeDocument/2006/relationships/hyperlink" Target="https://wol.jw.org/en/wol/d/r1/lp-e/1200277174" TargetMode="External" Id="rId2855"/><Relationship Type="http://schemas.openxmlformats.org/officeDocument/2006/relationships/hyperlink" Target="https://wol.jw.org/en/wol/d/r1/lp-e/1200277174" TargetMode="External" Id="rId2856"/><Relationship Type="http://schemas.openxmlformats.org/officeDocument/2006/relationships/hyperlink" Target="https://wol.jw.org/en/wol/d/r1/lp-e/1200271388" TargetMode="External" Id="rId2857"/><Relationship Type="http://schemas.openxmlformats.org/officeDocument/2006/relationships/hyperlink" Target="https://wol.jw.org/en/wol/d/r1/lp-e/1102014247" TargetMode="External" Id="rId2858"/><Relationship Type="http://schemas.openxmlformats.org/officeDocument/2006/relationships/hyperlink" Target="https://wol.jw.org/ta/wol/d/r122/lp-tl/1102014247" TargetMode="External" Id="rId2859"/><Relationship Type="http://schemas.openxmlformats.org/officeDocument/2006/relationships/hyperlink" Target="https://wol.jw.org/en/wol/d/r1/lp-e/1200277174" TargetMode="External" Id="rId2860"/><Relationship Type="http://schemas.openxmlformats.org/officeDocument/2006/relationships/hyperlink" Target="https://wol.jw.org/en/wol/d/r1/lp-e/1200277174" TargetMode="External" Id="rId2861"/><Relationship Type="http://schemas.openxmlformats.org/officeDocument/2006/relationships/hyperlink" Target="https://wol.jw.org/en/wol/d/r1/lp-e/1200277174" TargetMode="External" Id="rId2862"/><Relationship Type="http://schemas.openxmlformats.org/officeDocument/2006/relationships/hyperlink" Target="https://wol.jw.org/en/wol/d/r1/lp-e/1200277174" TargetMode="External" Id="rId2863"/><Relationship Type="http://schemas.openxmlformats.org/officeDocument/2006/relationships/hyperlink" Target="https://wol.jw.org/en/wol/d/r1/lp-e/1200271388" TargetMode="External" Id="rId2864"/><Relationship Type="http://schemas.openxmlformats.org/officeDocument/2006/relationships/hyperlink" Target="https://wol.jw.org/en/wol/d/r1/lp-e/1102014254" TargetMode="External" Id="rId2865"/><Relationship Type="http://schemas.openxmlformats.org/officeDocument/2006/relationships/hyperlink" Target="https://wol.jw.org/ta/wol/d/r122/lp-tl/1102014254" TargetMode="External" Id="rId2866"/><Relationship Type="http://schemas.openxmlformats.org/officeDocument/2006/relationships/hyperlink" Target="https://wol.jw.org/en/wol/d/r1/lp-e/1102014246" TargetMode="External" Id="rId2867"/><Relationship Type="http://schemas.openxmlformats.org/officeDocument/2006/relationships/hyperlink" Target="https://wol.jw.org/ta/wol/d/r122/lp-tl/1102014246" TargetMode="External" Id="rId2868"/><Relationship Type="http://schemas.openxmlformats.org/officeDocument/2006/relationships/hyperlink" Target="https://wol.jw.org/en/wol/d/r1/lp-e/1200277174" TargetMode="External" Id="rId2869"/><Relationship Type="http://schemas.openxmlformats.org/officeDocument/2006/relationships/hyperlink" Target="https://wol.jw.org/en/wol/d/r1/lp-e/1200271388" TargetMode="External" Id="rId2870"/><Relationship Type="http://schemas.openxmlformats.org/officeDocument/2006/relationships/hyperlink" Target="https://wol.jw.org/en/wol/d/r1/lp-e/1102014246" TargetMode="External" Id="rId2871"/><Relationship Type="http://schemas.openxmlformats.org/officeDocument/2006/relationships/hyperlink" Target="https://wol.jw.org/ta/wol/d/r122/lp-tl/1102014246" TargetMode="External" Id="rId2872"/><Relationship Type="http://schemas.openxmlformats.org/officeDocument/2006/relationships/hyperlink" Target="https://cms-imgp.jw-cdn.org/img/p/702022287/univ/art/702022287_univ_lsr_lg.jpg" TargetMode="External" Id="rId2873"/><Relationship Type="http://schemas.openxmlformats.org/officeDocument/2006/relationships/hyperlink" Target="https://wol.jw.org/en/wol/d/r1/lp-e/1200277174" TargetMode="External" Id="rId2874"/><Relationship Type="http://schemas.openxmlformats.org/officeDocument/2006/relationships/hyperlink" Target="https://wol.jw.org/en/wol/d/r1/lp-e/1200277174" TargetMode="External" Id="rId2875"/><Relationship Type="http://schemas.openxmlformats.org/officeDocument/2006/relationships/hyperlink" Target="https://wol.jw.org/en/wol/d/r1/lp-e/1200271388" TargetMode="External" Id="rId2876"/><Relationship Type="http://schemas.openxmlformats.org/officeDocument/2006/relationships/hyperlink" Target="https://wol.jw.org/en/wol/d/r1/lp-e/1102014254" TargetMode="External" Id="rId2877"/><Relationship Type="http://schemas.openxmlformats.org/officeDocument/2006/relationships/hyperlink" Target="https://wol.jw.org/ta/wol/d/r122/lp-tl/1102014254" TargetMode="External" Id="rId2878"/><Relationship Type="http://schemas.openxmlformats.org/officeDocument/2006/relationships/hyperlink" Target="https://wol.jw.org/en/wol/d/r1/lp-e/1200277174" TargetMode="External" Id="rId2879"/><Relationship Type="http://schemas.openxmlformats.org/officeDocument/2006/relationships/hyperlink" Target="https://wol.jw.org/en/wol/d/r1/lp-e/1200271388" TargetMode="External" Id="rId2880"/><Relationship Type="http://schemas.openxmlformats.org/officeDocument/2006/relationships/hyperlink" Target="https://wol.jw.org/en/wol/d/r1/lp-e/1102014258" TargetMode="External" Id="rId2881"/><Relationship Type="http://schemas.openxmlformats.org/officeDocument/2006/relationships/hyperlink" Target="https://wol.jw.org/ta/wol/d/r122/lp-tl/1102014258" TargetMode="External" Id="rId2882"/><Relationship Type="http://schemas.openxmlformats.org/officeDocument/2006/relationships/hyperlink" Target="https://wol.jw.org/en/wol/d/r1/lp-e/1102014250" TargetMode="External" Id="rId2883"/><Relationship Type="http://schemas.openxmlformats.org/officeDocument/2006/relationships/hyperlink" Target="https://wol.jw.org/ta/wol/d/r122/lp-tl/1102014250" TargetMode="External" Id="rId2884"/><Relationship Type="http://schemas.openxmlformats.org/officeDocument/2006/relationships/hyperlink" Target="https://wol.jw.org/en/wol/d/r1/lp-e/1999842" TargetMode="External" Id="rId2885"/><Relationship Type="http://schemas.openxmlformats.org/officeDocument/2006/relationships/hyperlink" Target="https://wol.jw.org/ta/wol/d/r122/lp-tl/1999842" TargetMode="External" Id="rId2886"/><Relationship Type="http://schemas.openxmlformats.org/officeDocument/2006/relationships/hyperlink" Target="https://wol.jw.org/en/wol/d/r1/lp-e/2014922" TargetMode="External" Id="rId2887"/><Relationship Type="http://schemas.openxmlformats.org/officeDocument/2006/relationships/hyperlink" Target="https://wol.jw.org/ta/wol/d/r122/lp-tl/2014922" TargetMode="External" Id="rId2888"/><Relationship Type="http://schemas.openxmlformats.org/officeDocument/2006/relationships/hyperlink" Target="https://wol.jw.org/en/wol/d/r1/lp-e/2014922" TargetMode="External" Id="rId2889"/><Relationship Type="http://schemas.openxmlformats.org/officeDocument/2006/relationships/hyperlink" Target="https://wol.jw.org/ta/wol/d/r122/lp-tl/2014922" TargetMode="External" Id="rId2890"/><Relationship Type="http://schemas.openxmlformats.org/officeDocument/2006/relationships/hyperlink" Target="https://wol.jw.org/en/wol/d/r1/lp-e/2000007" TargetMode="External" Id="rId2891"/><Relationship Type="http://schemas.openxmlformats.org/officeDocument/2006/relationships/hyperlink" Target="https://wol.jw.org/ta/wol/d/r122/lp-tl/2000007" TargetMode="External" Id="rId2892"/><Relationship Type="http://schemas.openxmlformats.org/officeDocument/2006/relationships/hyperlink" Target="https://wol.jw.org/en/wol/d/r1/lp-e/2000007" TargetMode="External" Id="rId2893"/><Relationship Type="http://schemas.openxmlformats.org/officeDocument/2006/relationships/hyperlink" Target="https://wol.jw.org/ta/wol/d/r122/lp-tl/2000007" TargetMode="External" Id="rId2894"/><Relationship Type="http://schemas.openxmlformats.org/officeDocument/2006/relationships/hyperlink" Target="https://wol.jw.org/en/wol/d/r1/lp-e/2000007" TargetMode="External" Id="rId2895"/><Relationship Type="http://schemas.openxmlformats.org/officeDocument/2006/relationships/hyperlink" Target="https://wol.jw.org/ta/wol/d/r122/lp-tl/2000007" TargetMode="External" Id="rId2896"/><Relationship Type="http://schemas.openxmlformats.org/officeDocument/2006/relationships/hyperlink" Target="https://wol.jw.org/en/wol/d/r1/lp-e/1200277174" TargetMode="External" Id="rId2897"/><Relationship Type="http://schemas.openxmlformats.org/officeDocument/2006/relationships/hyperlink" Target="https://wol.jw.org/en/wol/d/r1/lp-e/1200277174" TargetMode="External" Id="rId2898"/><Relationship Type="http://schemas.openxmlformats.org/officeDocument/2006/relationships/hyperlink" Target="https://wol.jw.org/en/wol/d/r1/lp-e/1200271388" TargetMode="External" Id="rId2899"/><Relationship Type="http://schemas.openxmlformats.org/officeDocument/2006/relationships/hyperlink" Target="https://wol.jw.org/en/wol/d/r1/lp-e/1102014253" TargetMode="External" Id="rId2900"/><Relationship Type="http://schemas.openxmlformats.org/officeDocument/2006/relationships/hyperlink" Target="https://wol.jw.org/ta/wol/d/r122/lp-tl/1102014253" TargetMode="External" Id="rId2901"/><Relationship Type="http://schemas.openxmlformats.org/officeDocument/2006/relationships/hyperlink" Target="https://wol.jw.org/en/wol/d/r1/lp-e/1102014247" TargetMode="External" Id="rId2902"/><Relationship Type="http://schemas.openxmlformats.org/officeDocument/2006/relationships/hyperlink" Target="https://wol.jw.org/ta/wol/d/r122/lp-tl/1102014247" TargetMode="External" Id="rId2903"/><Relationship Type="http://schemas.openxmlformats.org/officeDocument/2006/relationships/hyperlink" Target="https://wol.jw.org/en/wol/d/r1/lp-e/1102014254" TargetMode="External" Id="rId2904"/><Relationship Type="http://schemas.openxmlformats.org/officeDocument/2006/relationships/hyperlink" Target="https://wol.jw.org/ta/wol/d/r122/lp-tl/1102014254" TargetMode="External" Id="rId2905"/><Relationship Type="http://schemas.openxmlformats.org/officeDocument/2006/relationships/hyperlink" Target="https://wol.jw.org/en/wol/d/r1/lp-e/1102014247" TargetMode="External" Id="rId2906"/><Relationship Type="http://schemas.openxmlformats.org/officeDocument/2006/relationships/hyperlink" Target="https://wol.jw.org/ta/wol/d/r122/lp-tl/1102014247" TargetMode="External" Id="rId2907"/><Relationship Type="http://schemas.openxmlformats.org/officeDocument/2006/relationships/hyperlink" Target="https://wol.jw.org/en/wol/d/r1/lp-e/1200277174" TargetMode="External" Id="rId2908"/><Relationship Type="http://schemas.openxmlformats.org/officeDocument/2006/relationships/hyperlink" Target="https://wol.jw.org/en/wol/d/r1/lp-e/1200277174" TargetMode="External" Id="rId2909"/><Relationship Type="http://schemas.openxmlformats.org/officeDocument/2006/relationships/hyperlink" Target="https://wol.jw.org/en/wol/d/r1/lp-e/1200277174" TargetMode="External" Id="rId2910"/><Relationship Type="http://schemas.openxmlformats.org/officeDocument/2006/relationships/hyperlink" Target="https://wol.jw.org/en/wol/d/r1/lp-e/1200271388" TargetMode="External" Id="rId2911"/><Relationship Type="http://schemas.openxmlformats.org/officeDocument/2006/relationships/hyperlink" Target="https://wol.jw.org/en/wol/d/r1/lp-e/1102014258" TargetMode="External" Id="rId2912"/><Relationship Type="http://schemas.openxmlformats.org/officeDocument/2006/relationships/hyperlink" Target="https://wol.jw.org/ta/wol/d/r122/lp-tl/1102014258" TargetMode="External" Id="rId2913"/><Relationship Type="http://schemas.openxmlformats.org/officeDocument/2006/relationships/hyperlink" Target="https://wol.jw.org/en/wol/d/r1/lp-e/1102014253" TargetMode="External" Id="rId2914"/><Relationship Type="http://schemas.openxmlformats.org/officeDocument/2006/relationships/hyperlink" Target="https://wol.jw.org/ta/wol/d/r122/lp-tl/1102014253" TargetMode="External" Id="rId2915"/><Relationship Type="http://schemas.openxmlformats.org/officeDocument/2006/relationships/hyperlink" Target="https://wol.jw.org/en/wol/d/r1/lp-e/1102014254" TargetMode="External" Id="rId2916"/><Relationship Type="http://schemas.openxmlformats.org/officeDocument/2006/relationships/hyperlink" Target="https://wol.jw.org/ta/wol/d/r122/lp-tl/1102014254" TargetMode="External" Id="rId2917"/><Relationship Type="http://schemas.openxmlformats.org/officeDocument/2006/relationships/hyperlink" Target="https://wol.jw.org/en/wol/d/r1/lp-e/1200277174" TargetMode="External" Id="rId2918"/><Relationship Type="http://schemas.openxmlformats.org/officeDocument/2006/relationships/hyperlink" Target="https://wol.jw.org/en/wol/d/r1/lp-e/1200271388" TargetMode="External" Id="rId2919"/><Relationship Type="http://schemas.openxmlformats.org/officeDocument/2006/relationships/hyperlink" Target="https://wol.jw.org/en/wol/d/r1/lp-e/1102014252" TargetMode="External" Id="rId2920"/><Relationship Type="http://schemas.openxmlformats.org/officeDocument/2006/relationships/hyperlink" Target="https://wol.jw.org/ta/wol/d/r122/lp-tl/1102014252" TargetMode="External" Id="rId2921"/><Relationship Type="http://schemas.openxmlformats.org/officeDocument/2006/relationships/hyperlink" Target="https://wol.jw.org/en/wol/d/r1/lp-e/1102014253" TargetMode="External" Id="rId2922"/><Relationship Type="http://schemas.openxmlformats.org/officeDocument/2006/relationships/hyperlink" Target="https://wol.jw.org/ta/wol/d/r122/lp-tl/1102014253" TargetMode="External" Id="rId2923"/><Relationship Type="http://schemas.openxmlformats.org/officeDocument/2006/relationships/hyperlink" Target="https://wol.jw.org/en/wol/d/r1/lp-e/1200277174" TargetMode="External" Id="rId2924"/><Relationship Type="http://schemas.openxmlformats.org/officeDocument/2006/relationships/hyperlink" Target="https://wol.jw.org/en/wol/d/r1/lp-e/1200277174" TargetMode="External" Id="rId2925"/><Relationship Type="http://schemas.openxmlformats.org/officeDocument/2006/relationships/hyperlink" Target="https://wol.jw.org/en/wol/d/r1/lp-e/1200271388" TargetMode="External" Id="rId2926"/><Relationship Type="http://schemas.openxmlformats.org/officeDocument/2006/relationships/hyperlink" Target="https://wol.jw.org/en/wol/d/r1/lp-e/1102014247" TargetMode="External" Id="rId2927"/><Relationship Type="http://schemas.openxmlformats.org/officeDocument/2006/relationships/hyperlink" Target="https://wol.jw.org/ta/wol/d/r122/lp-tl/1102014247" TargetMode="External" Id="rId2928"/><Relationship Type="http://schemas.openxmlformats.org/officeDocument/2006/relationships/hyperlink" Target="https://wol.jw.org/en/wol/d/r1/lp-e/1200271388" TargetMode="External" Id="rId2929"/><Relationship Type="http://schemas.openxmlformats.org/officeDocument/2006/relationships/hyperlink" Target="https://wol.jw.org/en/wol/d/r1/lp-e/1102014254" TargetMode="External" Id="rId2930"/><Relationship Type="http://schemas.openxmlformats.org/officeDocument/2006/relationships/hyperlink" Target="https://wol.jw.org/ta/wol/d/r122/lp-tl/1102014254" TargetMode="External" Id="rId2931"/><Relationship Type="http://schemas.openxmlformats.org/officeDocument/2006/relationships/hyperlink" Target="https://wol.jw.org/en/wol/d/r1/lp-e/1102014247" TargetMode="External" Id="rId2932"/><Relationship Type="http://schemas.openxmlformats.org/officeDocument/2006/relationships/hyperlink" Target="https://wol.jw.org/ta/wol/d/r122/lp-tl/1102014247" TargetMode="External" Id="rId2933"/><Relationship Type="http://schemas.openxmlformats.org/officeDocument/2006/relationships/hyperlink" Target="https://wol.jw.org/en/wol/d/r1/lp-e/1200271388" TargetMode="External" Id="rId2934"/><Relationship Type="http://schemas.openxmlformats.org/officeDocument/2006/relationships/hyperlink" Target="https://wol.jw.org/en/wol/d/r1/lp-e/2006207" TargetMode="External" Id="rId2935"/><Relationship Type="http://schemas.openxmlformats.org/officeDocument/2006/relationships/hyperlink" Target="https://wol.jw.org/ta/wol/d/r122/lp-tl/2006207" TargetMode="External" Id="rId2936"/><Relationship Type="http://schemas.openxmlformats.org/officeDocument/2006/relationships/hyperlink" Target="https://wol.jw.org/en/wol/d/r1/lp-e/2006207" TargetMode="External" Id="rId2937"/><Relationship Type="http://schemas.openxmlformats.org/officeDocument/2006/relationships/hyperlink" Target="https://wol.jw.org/ta/wol/d/r122/lp-tl/2006207" TargetMode="External" Id="rId2938"/><Relationship Type="http://schemas.openxmlformats.org/officeDocument/2006/relationships/hyperlink" Target="https://wol.jw.org/en/wol/d/r1/lp-e/2006207" TargetMode="External" Id="rId2939"/><Relationship Type="http://schemas.openxmlformats.org/officeDocument/2006/relationships/hyperlink" Target="https://wol.jw.org/ta/wol/d/r122/lp-tl/2006207" TargetMode="External" Id="rId2940"/><Relationship Type="http://schemas.openxmlformats.org/officeDocument/2006/relationships/hyperlink" Target="https://wol.jw.org/en/wol/d/r1/lp-e/2005721" TargetMode="External" Id="rId2941"/><Relationship Type="http://schemas.openxmlformats.org/officeDocument/2006/relationships/hyperlink" Target="https://wol.jw.org/ta/wol/d/r122/lp-tl/2005721" TargetMode="External" Id="rId2942"/><Relationship Type="http://schemas.openxmlformats.org/officeDocument/2006/relationships/hyperlink" Target="https://wol.jw.org/en/wol/d/r1/lp-e/1200277174" TargetMode="External" Id="rId2943"/><Relationship Type="http://schemas.openxmlformats.org/officeDocument/2006/relationships/hyperlink" Target="https://wol.jw.org/en/wol/d/r1/lp-e/1200271388" TargetMode="External" Id="rId2944"/><Relationship Type="http://schemas.openxmlformats.org/officeDocument/2006/relationships/hyperlink" Target="https://wol.jw.org/en/wol/d/r1/lp-e/2007002" TargetMode="External" Id="rId2945"/><Relationship Type="http://schemas.openxmlformats.org/officeDocument/2006/relationships/hyperlink" Target="https://wol.jw.org/ta/wol/d/r122/lp-tl/2007002" TargetMode="External" Id="rId2946"/><Relationship Type="http://schemas.openxmlformats.org/officeDocument/2006/relationships/hyperlink" Target="https://wol.jw.org/en/wol/d/r1/lp-e/1200277174" TargetMode="External" Id="rId2947"/><Relationship Type="http://schemas.openxmlformats.org/officeDocument/2006/relationships/hyperlink" Target="https://wol.jw.org/en/wol/d/r1/lp-e/1200277174" TargetMode="External" Id="rId2948"/><Relationship Type="http://schemas.openxmlformats.org/officeDocument/2006/relationships/hyperlink" Target="https://wol.jw.org/en/wol/d/r1/lp-e/1200271388" TargetMode="External" Id="rId2949"/><Relationship Type="http://schemas.openxmlformats.org/officeDocument/2006/relationships/hyperlink" Target="https://wol.jw.org/en/wol/d/r1/lp-e/1200277174" TargetMode="External" Id="rId2950"/><Relationship Type="http://schemas.openxmlformats.org/officeDocument/2006/relationships/hyperlink" Target="https://wol.jw.org/en/wol/d/r1/lp-e/1200277174" TargetMode="External" Id="rId2951"/><Relationship Type="http://schemas.openxmlformats.org/officeDocument/2006/relationships/hyperlink" Target="https://wol.jw.org/en/wol/d/r1/lp-e/1200277174" TargetMode="External" Id="rId2952"/><Relationship Type="http://schemas.openxmlformats.org/officeDocument/2006/relationships/hyperlink" Target="https://wol.jw.org/en/wol/d/r1/lp-e/1200277174" TargetMode="External" Id="rId2953"/><Relationship Type="http://schemas.openxmlformats.org/officeDocument/2006/relationships/hyperlink" Target="https://wol.jw.org/en/wol/d/r1/lp-e/1200277174" TargetMode="External" Id="rId2954"/><Relationship Type="http://schemas.openxmlformats.org/officeDocument/2006/relationships/hyperlink" Target="https://wol.jw.org/en/wol/d/r1/lp-e/1200277174" TargetMode="External" Id="rId2955"/><Relationship Type="http://schemas.openxmlformats.org/officeDocument/2006/relationships/hyperlink" Target="https://wol.jw.org/en/wol/d/r1/lp-e/1200277174" TargetMode="External" Id="rId2956"/><Relationship Type="http://schemas.openxmlformats.org/officeDocument/2006/relationships/hyperlink" Target="https://wol.jw.org/en/wol/d/r1/lp-e/1200271388" TargetMode="External" Id="rId2957"/><Relationship Type="http://schemas.openxmlformats.org/officeDocument/2006/relationships/hyperlink" Target="https://wol.jw.org/en/wol/d/r1/lp-e/1102014255" TargetMode="External" Id="rId2958"/><Relationship Type="http://schemas.openxmlformats.org/officeDocument/2006/relationships/hyperlink" Target="https://wol.jw.org/ta/wol/d/r122/lp-tl/1102014255" TargetMode="External" Id="rId2959"/><Relationship Type="http://schemas.openxmlformats.org/officeDocument/2006/relationships/hyperlink" Target="https://wol.jw.org/en/wol/d/r1/lp-e/1102014262" TargetMode="External" Id="rId2960"/><Relationship Type="http://schemas.openxmlformats.org/officeDocument/2006/relationships/hyperlink" Target="https://wol.jw.org/ta/wol/d/r122/lp-tl/1102014262" TargetMode="External" Id="rId2961"/><Relationship Type="http://schemas.openxmlformats.org/officeDocument/2006/relationships/hyperlink" Target="https://wol.jw.org/en/wol/d/r1/lp-e/1200277174" TargetMode="External" Id="rId2962"/><Relationship Type="http://schemas.openxmlformats.org/officeDocument/2006/relationships/hyperlink" Target="https://wol.jw.org/en/wol/d/r1/lp-e/1200277174" TargetMode="External" Id="rId2963"/><Relationship Type="http://schemas.openxmlformats.org/officeDocument/2006/relationships/hyperlink" Target="https://wol.jw.org/en/wol/d/r1/lp-e/1200277174" TargetMode="External" Id="rId2964"/><Relationship Type="http://schemas.openxmlformats.org/officeDocument/2006/relationships/hyperlink" Target="https://wol.jw.org/en/wol/d/r1/lp-e/1200271388" TargetMode="External" Id="rId2965"/><Relationship Type="http://schemas.openxmlformats.org/officeDocument/2006/relationships/hyperlink" Target="https://wol.jw.org/en/wol/d/r1/lp-e/1102014255" TargetMode="External" Id="rId2966"/><Relationship Type="http://schemas.openxmlformats.org/officeDocument/2006/relationships/hyperlink" Target="https://wol.jw.org/ta/wol/d/r122/lp-tl/1102014255" TargetMode="External" Id="rId2967"/><Relationship Type="http://schemas.openxmlformats.org/officeDocument/2006/relationships/hyperlink" Target="https://wol.jw.org/en/wol/d/r1/lp-e/1102014253" TargetMode="External" Id="rId2968"/><Relationship Type="http://schemas.openxmlformats.org/officeDocument/2006/relationships/hyperlink" Target="https://wol.jw.org/ta/wol/d/r122/lp-tl/1102014253" TargetMode="External" Id="rId2969"/><Relationship Type="http://schemas.openxmlformats.org/officeDocument/2006/relationships/hyperlink" Target="https://wol.jw.org/en/wol/d/r1/lp-e/1200277174" TargetMode="External" Id="rId2970"/><Relationship Type="http://schemas.openxmlformats.org/officeDocument/2006/relationships/hyperlink" Target="https://wol.jw.org/en/wol/d/r1/lp-e/1200277174" TargetMode="External" Id="rId2971"/><Relationship Type="http://schemas.openxmlformats.org/officeDocument/2006/relationships/hyperlink" Target="https://wol.jw.org/en/wol/d/r1/lp-e/1200271388" TargetMode="External" Id="rId2972"/><Relationship Type="http://schemas.openxmlformats.org/officeDocument/2006/relationships/hyperlink" Target="https://wol.jw.org/en/wol/d/r1/lp-e/1102014254" TargetMode="External" Id="rId2973"/><Relationship Type="http://schemas.openxmlformats.org/officeDocument/2006/relationships/hyperlink" Target="https://wol.jw.org/ta/wol/d/r122/lp-tl/1102014254" TargetMode="External" Id="rId2974"/><Relationship Type="http://schemas.openxmlformats.org/officeDocument/2006/relationships/hyperlink" Target="https://wol.jw.org/en/wol/d/r1/lp-e/1102014258" TargetMode="External" Id="rId2975"/><Relationship Type="http://schemas.openxmlformats.org/officeDocument/2006/relationships/hyperlink" Target="https://wol.jw.org/ta/wol/d/r122/lp-tl/1102014258" TargetMode="External" Id="rId2976"/><Relationship Type="http://schemas.openxmlformats.org/officeDocument/2006/relationships/hyperlink" Target="https://wol.jw.org/en/wol/mp/r1/lp-e/kr/2014/379" TargetMode="External" Id="rId2977"/><Relationship Type="http://schemas.openxmlformats.org/officeDocument/2006/relationships/hyperlink" Target="https://wol.jw.org/en/wol/d/r1/lp-e/2010849" TargetMode="External" Id="rId2978"/><Relationship Type="http://schemas.openxmlformats.org/officeDocument/2006/relationships/hyperlink" Target="https://wol.jw.org/ta/wol/d/r122/lp-tl/2010849" TargetMode="External" Id="rId2979"/><Relationship Type="http://schemas.openxmlformats.org/officeDocument/2006/relationships/hyperlink" Target="https://wol.jw.org/en/wol/d/r1/lp-e/2011369" TargetMode="External" Id="rId2980"/><Relationship Type="http://schemas.openxmlformats.org/officeDocument/2006/relationships/hyperlink" Target="https://wol.jw.org/ta/wol/d/r122/lp-tl/2011369" TargetMode="External" Id="rId2981"/><Relationship Type="http://schemas.openxmlformats.org/officeDocument/2006/relationships/hyperlink" Target="https://wol.jw.org/en/wol/d/r1/lp-e/1200277174" TargetMode="External" Id="rId2982"/><Relationship Type="http://schemas.openxmlformats.org/officeDocument/2006/relationships/hyperlink" Target="https://wol.jw.org/en/wol/d/r1/lp-e/1200277174" TargetMode="External" Id="rId2983"/><Relationship Type="http://schemas.openxmlformats.org/officeDocument/2006/relationships/hyperlink" Target="https://wol.jw.org/en/wol/d/r1/lp-e/1200277174" TargetMode="External" Id="rId2984"/><Relationship Type="http://schemas.openxmlformats.org/officeDocument/2006/relationships/hyperlink" Target="https://wol.jw.org/en/wol/d/r1/lp-e/1200277174" TargetMode="External" Id="rId2985"/><Relationship Type="http://schemas.openxmlformats.org/officeDocument/2006/relationships/hyperlink" Target="https://wol.jw.org/en/wol/d/r1/lp-e/1102014262" TargetMode="External" Id="rId2986"/><Relationship Type="http://schemas.openxmlformats.org/officeDocument/2006/relationships/hyperlink" Target="https://wol.jw.org/ta/wol/d/r122/lp-tl/1102014262" TargetMode="External" Id="rId2987"/><Relationship Type="http://schemas.openxmlformats.org/officeDocument/2006/relationships/hyperlink" Target="https://wol.jw.org/en/wol/d/r1/lp-e/1102014255" TargetMode="External" Id="rId2988"/><Relationship Type="http://schemas.openxmlformats.org/officeDocument/2006/relationships/hyperlink" Target="https://wol.jw.org/ta/wol/d/r122/lp-tl/1102014255" TargetMode="External" Id="rId2989"/><Relationship Type="http://schemas.openxmlformats.org/officeDocument/2006/relationships/hyperlink" Target="https://wol.jw.org/en/wol/d/r1/lp-e/1102014246" TargetMode="External" Id="rId2990"/><Relationship Type="http://schemas.openxmlformats.org/officeDocument/2006/relationships/hyperlink" Target="https://wol.jw.org/ta/wol/d/r122/lp-tl/1102014246" TargetMode="External" Id="rId2991"/><Relationship Type="http://schemas.openxmlformats.org/officeDocument/2006/relationships/hyperlink" Target="https://wol.jw.org/en/wol/d/r1/lp-e/1102014254" TargetMode="External" Id="rId2992"/><Relationship Type="http://schemas.openxmlformats.org/officeDocument/2006/relationships/hyperlink" Target="https://wol.jw.org/ta/wol/d/r122/lp-tl/1102014254" TargetMode="External" Id="rId2993"/><Relationship Type="http://schemas.openxmlformats.org/officeDocument/2006/relationships/hyperlink" Target="https://wol.jw.org/en/wol/d/r1/lp-e/1102014253" TargetMode="External" Id="rId2994"/><Relationship Type="http://schemas.openxmlformats.org/officeDocument/2006/relationships/hyperlink" Target="https://wol.jw.org/ta/wol/d/r122/lp-tl/1102014253" TargetMode="External" Id="rId2995"/><Relationship Type="http://schemas.openxmlformats.org/officeDocument/2006/relationships/hyperlink" Target="https://wol.jw.org/en/wol/d/r1/lp-e/1102014256" TargetMode="External" Id="rId2996"/><Relationship Type="http://schemas.openxmlformats.org/officeDocument/2006/relationships/hyperlink" Target="https://wol.jw.org/ta/wol/d/r122/lp-tl/1102014256" TargetMode="External" Id="rId2997"/><Relationship Type="http://schemas.openxmlformats.org/officeDocument/2006/relationships/hyperlink" Target="https://wol.jw.org/en/wol/d/r1/lp-e/1200277174" TargetMode="External" Id="rId2998"/><Relationship Type="http://schemas.openxmlformats.org/officeDocument/2006/relationships/hyperlink" Target="https://wol.jw.org/en/wol/d/r1/lp-e/1200277174" TargetMode="External" Id="rId2999"/><Relationship Type="http://schemas.openxmlformats.org/officeDocument/2006/relationships/hyperlink" Target="https://wol.jw.org/en/wol/d/r1/lp-e/1200277174" TargetMode="External" Id="rId3000"/><Relationship Type="http://schemas.openxmlformats.org/officeDocument/2006/relationships/hyperlink" Target="https://wol.jw.org/en/wol/d/r1/lp-e/1200277174" TargetMode="External" Id="rId3001"/><Relationship Type="http://schemas.openxmlformats.org/officeDocument/2006/relationships/hyperlink" Target="https://wol.jw.org/en/wol/d/r1/lp-e/1200277174" TargetMode="External" Id="rId3002"/><Relationship Type="http://schemas.openxmlformats.org/officeDocument/2006/relationships/hyperlink" Target="https://wol.jw.org/en/wol/d/r1/lp-e/1200277174" TargetMode="External" Id="rId3003"/><Relationship Type="http://schemas.openxmlformats.org/officeDocument/2006/relationships/hyperlink" Target="https://wol.jw.org/en/wol/d/r1/lp-e/1200271388" TargetMode="External" Id="rId3004"/><Relationship Type="http://schemas.openxmlformats.org/officeDocument/2006/relationships/hyperlink" Target="https://wol.jw.org/en/wol/d/r1/lp-e/1102014254" TargetMode="External" Id="rId3005"/><Relationship Type="http://schemas.openxmlformats.org/officeDocument/2006/relationships/hyperlink" Target="https://wol.jw.org/ta/wol/d/r122/lp-tl/1102014254" TargetMode="External" Id="rId3006"/><Relationship Type="http://schemas.openxmlformats.org/officeDocument/2006/relationships/hyperlink" Target="https://www.jw.org/en/news/region/global/A-Decade-of-JWORG-Part-1/" TargetMode="External" Id="rId3007"/><Relationship Type="http://schemas.openxmlformats.org/officeDocument/2006/relationships/hyperlink" Target="https://cms-imgp.jw-cdn.org/img/p/702022287/univ/art/702022287_univ_lsr_lg.jpg" TargetMode="External" Id="rId3008"/><Relationship Type="http://schemas.openxmlformats.org/officeDocument/2006/relationships/hyperlink" Target="https://wol.jw.org/en/wol/d/r1/lp-e/2013534" TargetMode="External" Id="rId3009"/><Relationship Type="http://schemas.openxmlformats.org/officeDocument/2006/relationships/hyperlink" Target="https://wol.jw.org/ta/wol/d/r122/lp-tl/2013534" TargetMode="External" Id="rId3010"/><Relationship Type="http://schemas.openxmlformats.org/officeDocument/2006/relationships/hyperlink" Target="https://wol.jw.org/en/wol/d/r1/lp-e/2013534" TargetMode="External" Id="rId3011"/><Relationship Type="http://schemas.openxmlformats.org/officeDocument/2006/relationships/hyperlink" Target="https://wol.jw.org/ta/wol/d/r122/lp-tl/2013534" TargetMode="External" Id="rId3012"/><Relationship Type="http://schemas.openxmlformats.org/officeDocument/2006/relationships/hyperlink" Target="https://wol.jw.org/en/wol/d/r1/lp-e/102012375" TargetMode="External" Id="rId3013"/><Relationship Type="http://schemas.openxmlformats.org/officeDocument/2006/relationships/hyperlink" Target="https://wol.jw.org/en/wol/d/r1/lp-e/1200277174" TargetMode="External" Id="rId3014"/><Relationship Type="http://schemas.openxmlformats.org/officeDocument/2006/relationships/hyperlink" Target="https://wol.jw.org/en/wol/d/r1/lp-e/1200277174" TargetMode="External" Id="rId3015"/><Relationship Type="http://schemas.openxmlformats.org/officeDocument/2006/relationships/hyperlink" Target="https://wol.jw.org/en/wol/d/r1/lp-e/1200277174" TargetMode="External" Id="rId3016"/><Relationship Type="http://schemas.openxmlformats.org/officeDocument/2006/relationships/hyperlink" Target="https://wol.jw.org/en/wol/d/r1/lp-e/1200277174" TargetMode="External" Id="rId3017"/><Relationship Type="http://schemas.openxmlformats.org/officeDocument/2006/relationships/hyperlink" Target="https://wol.jw.org/en/wol/d/r1/lp-e/1200277174" TargetMode="External" Id="rId3018"/><Relationship Type="http://schemas.openxmlformats.org/officeDocument/2006/relationships/hyperlink" Target="https://wol.jw.org/en/wol/d/r1/lp-e/1200277174" TargetMode="External" Id="rId3019"/><Relationship Type="http://schemas.openxmlformats.org/officeDocument/2006/relationships/hyperlink" Target="https://wol.jw.org/en/wol/d/r1/lp-e/1200277174" TargetMode="External" Id="rId3020"/><Relationship Type="http://schemas.openxmlformats.org/officeDocument/2006/relationships/hyperlink" Target="https://wol.jw.org/en/wol/d/r1/lp-e/1200277174" TargetMode="External" Id="rId3021"/><Relationship Type="http://schemas.openxmlformats.org/officeDocument/2006/relationships/hyperlink" Target="https://wol.jw.org/en/wol/d/r1/lp-e/1200277174" TargetMode="External" Id="rId3022"/><Relationship Type="http://schemas.openxmlformats.org/officeDocument/2006/relationships/hyperlink" Target="https://wol.jw.org/en/wol/d/r1/lp-e/1200277174" TargetMode="External" Id="rId3023"/><Relationship Type="http://schemas.openxmlformats.org/officeDocument/2006/relationships/hyperlink" Target="https://wol.jw.org/en/wol/d/r1/lp-e/1200271388" TargetMode="External" Id="rId3024"/><Relationship Type="http://schemas.openxmlformats.org/officeDocument/2006/relationships/hyperlink" Target="https://wol.jw.org/en/wol/d/r1/lp-e/1102014246" TargetMode="External" Id="rId3025"/><Relationship Type="http://schemas.openxmlformats.org/officeDocument/2006/relationships/hyperlink" Target="https://wol.jw.org/ta/wol/d/r122/lp-tl/1102014246" TargetMode="External" Id="rId3026"/><Relationship Type="http://schemas.openxmlformats.org/officeDocument/2006/relationships/hyperlink" Target="https://wol.jw.org/en/wol/d/r1/lp-e/1102014249" TargetMode="External" Id="rId3027"/><Relationship Type="http://schemas.openxmlformats.org/officeDocument/2006/relationships/hyperlink" Target="https://wol.jw.org/ta/wol/d/r122/lp-tl/1102014249" TargetMode="External" Id="rId3028"/><Relationship Type="http://schemas.openxmlformats.org/officeDocument/2006/relationships/hyperlink" Target="https://wol.jw.org/en/wol/d/r1/lp-e/1102014256" TargetMode="External" Id="rId3029"/><Relationship Type="http://schemas.openxmlformats.org/officeDocument/2006/relationships/hyperlink" Target="https://wol.jw.org/ta/wol/d/r122/lp-tl/1102014256" TargetMode="External" Id="rId3030"/><Relationship Type="http://schemas.openxmlformats.org/officeDocument/2006/relationships/hyperlink" Target="https://wol.jw.org/en/wol/d/r1/lp-e/1102014262" TargetMode="External" Id="rId3031"/><Relationship Type="http://schemas.openxmlformats.org/officeDocument/2006/relationships/hyperlink" Target="https://wol.jw.org/ta/wol/d/r122/lp-tl/1102014262" TargetMode="External" Id="rId3032"/><Relationship Type="http://schemas.openxmlformats.org/officeDocument/2006/relationships/hyperlink" Target="https://wol.jw.org/en/wol/d/r1/lp-e/302014042" TargetMode="External" Id="rId3033"/><Relationship Type="http://schemas.openxmlformats.org/officeDocument/2006/relationships/hyperlink" Target="https://wol.jw.org/en/wol/d/r1/lp-e/302015054" TargetMode="External" Id="rId3034"/><Relationship Type="http://schemas.openxmlformats.org/officeDocument/2006/relationships/hyperlink" Target="https://wol.jw.org/en/wol/d/r1/lp-e/1102014247" TargetMode="External" Id="rId3035"/><Relationship Type="http://schemas.openxmlformats.org/officeDocument/2006/relationships/hyperlink" Target="https://wol.jw.org/ta/wol/d/r122/lp-tl/1102014247" TargetMode="External" Id="rId3036"/><Relationship Type="http://schemas.openxmlformats.org/officeDocument/2006/relationships/hyperlink" Target="https://cms-imgp.jw-cdn.org/img/p/502014229/univ/art/502014229_univ_lsr_lg.jpg" TargetMode="External" Id="rId3037"/><Relationship Type="http://schemas.openxmlformats.org/officeDocument/2006/relationships/hyperlink" Target="https://wol.jw.org/en/wol/d/r1/lp-e/1102014253" TargetMode="External" Id="rId3038"/><Relationship Type="http://schemas.openxmlformats.org/officeDocument/2006/relationships/hyperlink" Target="https://wol.jw.org/ta/wol/d/r122/lp-tl/1102014253" TargetMode="External" Id="rId3039"/><Relationship Type="http://schemas.openxmlformats.org/officeDocument/2006/relationships/hyperlink" Target="https://wol.jw.org/en/wol/d/r1/lp-e/302015057" TargetMode="External" Id="rId3040"/><Relationship Type="http://schemas.openxmlformats.org/officeDocument/2006/relationships/hyperlink" Target="https://wol.jw.org/en/wol/d/r1/lp-e/1200277174" TargetMode="External" Id="rId3041"/><Relationship Type="http://schemas.openxmlformats.org/officeDocument/2006/relationships/hyperlink" Target="https://wol.jw.org/en/wol/d/r1/lp-e/1200277174" TargetMode="External" Id="rId3042"/><Relationship Type="http://schemas.openxmlformats.org/officeDocument/2006/relationships/hyperlink" Target="https://wol.jw.org/en/wol/d/r1/lp-e/1200277174" TargetMode="External" Id="rId3043"/><Relationship Type="http://schemas.openxmlformats.org/officeDocument/2006/relationships/hyperlink" Target="https://wol.jw.org/en/wol/d/r1/lp-e/1200277174" TargetMode="External" Id="rId3044"/><Relationship Type="http://schemas.openxmlformats.org/officeDocument/2006/relationships/hyperlink" Target="https://wol.jw.org/en/wol/d/r1/lp-e/1200277174" TargetMode="External" Id="rId3045"/><Relationship Type="http://schemas.openxmlformats.org/officeDocument/2006/relationships/hyperlink" Target="https://wol.jw.org/en/wol/d/r1/lp-e/1200277174" TargetMode="External" Id="rId3046"/><Relationship Type="http://schemas.openxmlformats.org/officeDocument/2006/relationships/hyperlink" Target="https://wol.jw.org/en/wol/d/r1/lp-e/1200277174" TargetMode="External" Id="rId3047"/><Relationship Type="http://schemas.openxmlformats.org/officeDocument/2006/relationships/hyperlink" Target="https://wol.jw.org/en/wol/d/r1/lp-e/1102014255" TargetMode="External" Id="rId3048"/><Relationship Type="http://schemas.openxmlformats.org/officeDocument/2006/relationships/hyperlink" Target="https://wol.jw.org/ta/wol/d/r122/lp-tl/1102014255" TargetMode="External" Id="rId3049"/><Relationship Type="http://schemas.openxmlformats.org/officeDocument/2006/relationships/hyperlink" Target="https://wol.jw.org/en/wol/d/r1/lp-e/1102014247" TargetMode="External" Id="rId3050"/><Relationship Type="http://schemas.openxmlformats.org/officeDocument/2006/relationships/hyperlink" Target="https://wol.jw.org/ta/wol/d/r122/lp-tl/1102014247" TargetMode="External" Id="rId3051"/><Relationship Type="http://schemas.openxmlformats.org/officeDocument/2006/relationships/hyperlink" Target="https://wol.jw.org/en/wol/d/r1/lp-e/302015056" TargetMode="External" Id="rId3052"/><Relationship Type="http://schemas.openxmlformats.org/officeDocument/2006/relationships/hyperlink" Target="https://wol.jw.org/en/wol/d/r1/lp-e/2014922" TargetMode="External" Id="rId3053"/><Relationship Type="http://schemas.openxmlformats.org/officeDocument/2006/relationships/hyperlink" Target="https://wol.jw.org/ta/wol/d/r122/lp-tl/2014922" TargetMode="External" Id="rId3054"/><Relationship Type="http://schemas.openxmlformats.org/officeDocument/2006/relationships/hyperlink" Target="https://cms-imgp.jw-cdn.org/img/p/402014922/univ/art/402014922_univ_lsr_lg.jpg" TargetMode="External" Id="rId3055"/><Relationship Type="http://schemas.openxmlformats.org/officeDocument/2006/relationships/hyperlink" Target="https://wol.jw.org/en/wol/d/r1/lp-e/302015057" TargetMode="External" Id="rId3056"/><Relationship Type="http://schemas.openxmlformats.org/officeDocument/2006/relationships/hyperlink" Target="https://www.jw.org/en/jehovahs-witnesses/activities/events/annual-meeting-report-2014/" TargetMode="External" Id="rId3057"/><Relationship Type="http://schemas.openxmlformats.org/officeDocument/2006/relationships/hyperlink" Target="https://www.jw.org/ta/&#2991;&#3014;&#2965;&#3019;&#2997;&#3006;&#2997;&#3007;&#2985;&#3021;-&#2970;&#3006;&#2975;&#3021;&#2970;&#3007;&#2965;&#2995;&#3021;/&#2958;&#2969;&#3021;&#2965;&#2995;&#3009;&#2975;&#3016;&#2991;-&#2997;&#3015;&#2994;&#3016;&#2965;&#2995;&#3021;/&#2984;&#3007;&#2965;&#2996;&#3021;&#2970;&#3021;&#2970;&#3007;&#2965;&#2995;&#3021;/2014-&#2997;&#2992;&#3009;&#2975;&#3006;&#2984;&#3021;&#2980;&#2992;&#2965;&#3021;-&#2965;&#3010;&#2975;&#3021;&#2975;&#2980;&#3021;&#2980;&#3007;&#2985;&#3021;-&#2949;&#2993;&#3007;&#2965;&#3021;&#2965;&#3016;/" TargetMode="External" Id="rId3058"/><Relationship Type="http://schemas.openxmlformats.org/officeDocument/2006/relationships/hyperlink" Target="https://cms-imgp.jw-cdn.org/img/p/502015512/univ/art/502015512_univ_lsr_lg.jpg" TargetMode="External" Id="rId3059"/><Relationship Type="http://schemas.openxmlformats.org/officeDocument/2006/relationships/hyperlink" Target="https://wol.jw.org/en/wol/d/r1/lp-e/302016046" TargetMode="External" Id="rId3060"/><Relationship Type="http://schemas.openxmlformats.org/officeDocument/2006/relationships/hyperlink" Target="https://cms-imgp.jw-cdn.org/img/p/702019258/univ/wpub/702019258_univ_lsr_lg.jpg" TargetMode="External" Id="rId3061"/><Relationship Type="http://schemas.openxmlformats.org/officeDocument/2006/relationships/hyperlink" Target="https://wol.jw.org/en/wol/d/r1/lp-e/1200277174" TargetMode="External" Id="rId3062"/><Relationship Type="http://schemas.openxmlformats.org/officeDocument/2006/relationships/hyperlink" Target="https://wol.jw.org/en/wol/d/r1/lp-e/1200277174" TargetMode="External" Id="rId3063"/><Relationship Type="http://schemas.openxmlformats.org/officeDocument/2006/relationships/hyperlink" Target="https://wol.jw.org/en/wol/d/r1/lp-e/1200277174" TargetMode="External" Id="rId3064"/><Relationship Type="http://schemas.openxmlformats.org/officeDocument/2006/relationships/hyperlink" Target="https://wol.jw.org/en/wol/d/r1/lp-e/1200277174" TargetMode="External" Id="rId3065"/><Relationship Type="http://schemas.openxmlformats.org/officeDocument/2006/relationships/hyperlink" Target="https://wol.jw.org/en/wol/d/r1/lp-e/1200277174" TargetMode="External" Id="rId3066"/><Relationship Type="http://schemas.openxmlformats.org/officeDocument/2006/relationships/hyperlink" Target="https://wol.jw.org/en/wol/d/r1/lp-e/1200277174" TargetMode="External" Id="rId3067"/><Relationship Type="http://schemas.openxmlformats.org/officeDocument/2006/relationships/hyperlink" Target="https://wol.jw.org/en/wol/d/r1/lp-e/1200271388" TargetMode="External" Id="rId3068"/><Relationship Type="http://schemas.openxmlformats.org/officeDocument/2006/relationships/hyperlink" Target="https://wol.jw.org/en/wol/d/r1/lp-e/302016052" TargetMode="External" Id="rId3069"/><Relationship Type="http://schemas.openxmlformats.org/officeDocument/2006/relationships/hyperlink" Target="https://wol.jw.org/en/wol/d/r1/lp-e/302016052" TargetMode="External" Id="rId3070"/><Relationship Type="http://schemas.openxmlformats.org/officeDocument/2006/relationships/hyperlink" Target="https://www.jw.org/en/news/region/global/JW-Broadcasting-Reaches-Five-Year-Mark/" TargetMode="External" Id="rId3071"/><Relationship Type="http://schemas.openxmlformats.org/officeDocument/2006/relationships/hyperlink" Target="https://cms-imgp.jw-cdn.org/img/p/702019258/univ/wpub/702019258_univ_lsr_lg.jpg" TargetMode="External" Id="rId3072"/><Relationship Type="http://schemas.openxmlformats.org/officeDocument/2006/relationships/hyperlink" Target="https://wol.jw.org/en/wol/d/r1/lp-e/302016053" TargetMode="External" Id="rId3073"/><Relationship Type="http://schemas.openxmlformats.org/officeDocument/2006/relationships/hyperlink" Target="https://wol.jw.org/en/wol/d/r1/lp-e/302016053" TargetMode="External" Id="rId3074"/><Relationship Type="http://schemas.openxmlformats.org/officeDocument/2006/relationships/hyperlink" Target="https://wol.jw.org/en/wol/d/r1/lp-e/302017037" TargetMode="External" Id="rId3075"/><Relationship Type="http://schemas.openxmlformats.org/officeDocument/2006/relationships/hyperlink" Target="https://wol.jw.org/en/wol/d/r1/lp-e/302017039" TargetMode="External" Id="rId3076"/><Relationship Type="http://schemas.openxmlformats.org/officeDocument/2006/relationships/hyperlink" Target="https://wol.jw.org/en/wol/d/r1/lp-e/302017042" TargetMode="External" Id="rId3077"/><Relationship Type="http://schemas.openxmlformats.org/officeDocument/2006/relationships/hyperlink" Target="https://wol.jw.org/en/wol/d/r1/lp-e/1200277174" TargetMode="External" Id="rId3078"/><Relationship Type="http://schemas.openxmlformats.org/officeDocument/2006/relationships/hyperlink" Target="https://wol.jw.org/en/wol/d/r1/lp-e/1200277174" TargetMode="External" Id="rId3079"/><Relationship Type="http://schemas.openxmlformats.org/officeDocument/2006/relationships/hyperlink" Target="https://wol.jw.org/en/wol/d/r1/lp-e/1200277174" TargetMode="External" Id="rId3080"/><Relationship Type="http://schemas.openxmlformats.org/officeDocument/2006/relationships/hyperlink" Target="https://wol.jw.org/en/wol/d/r1/lp-e/1200277174" TargetMode="External" Id="rId3081"/><Relationship Type="http://schemas.openxmlformats.org/officeDocument/2006/relationships/hyperlink" Target="https://wol.jw.org/en/wol/d/r1/lp-e/1200277174" TargetMode="External" Id="rId3082"/><Relationship Type="http://schemas.openxmlformats.org/officeDocument/2006/relationships/hyperlink" Target="https://wol.jw.org/en/wol/d/r1/lp-e/1200277174" TargetMode="External" Id="rId3083"/><Relationship Type="http://schemas.openxmlformats.org/officeDocument/2006/relationships/hyperlink" Target="https://wol.jw.org/en/wol/d/r1/lp-e/1200277174" TargetMode="External" Id="rId3084"/><Relationship Type="http://schemas.openxmlformats.org/officeDocument/2006/relationships/hyperlink" Target="https://wol.jw.org/en/wol/d/r1/lp-e/1200271388" TargetMode="External" Id="rId3085"/><Relationship Type="http://schemas.openxmlformats.org/officeDocument/2006/relationships/hyperlink" Target="https://wol.jw.org/en/wol/d/r1/lp-e/302017036" TargetMode="External" Id="rId3086"/><Relationship Type="http://schemas.openxmlformats.org/officeDocument/2006/relationships/hyperlink" Target="https://wol.jw.org/en/wol/d/r1/lp-e/302017042" TargetMode="External" Id="rId3087"/><Relationship Type="http://schemas.openxmlformats.org/officeDocument/2006/relationships/hyperlink" Target="https://wol.jw.org/en/wol/d/r1/lp-e/302017041" TargetMode="External" Id="rId3088"/><Relationship Type="http://schemas.openxmlformats.org/officeDocument/2006/relationships/hyperlink" Target="https://wol.jw.org/en/wol/d/r1/lp-e/1200277174" TargetMode="External" Id="rId3089"/><Relationship Type="http://schemas.openxmlformats.org/officeDocument/2006/relationships/hyperlink" Target="https://wol.jw.org/en/wol/d/r1/lp-e/1200277174" TargetMode="External" Id="rId3090"/><Relationship Type="http://schemas.openxmlformats.org/officeDocument/2006/relationships/hyperlink" Target="https://wol.jw.org/en/wol/d/r1/lp-e/1200277174" TargetMode="External" Id="rId3091"/><Relationship Type="http://schemas.openxmlformats.org/officeDocument/2006/relationships/hyperlink" Target="https://wol.jw.org/en/wol/d/r1/lp-e/1200277174" TargetMode="External" Id="rId3092"/><Relationship Type="http://schemas.openxmlformats.org/officeDocument/2006/relationships/hyperlink" Target="https://wol.jw.org/en/wol/d/r1/lp-e/1200271388" TargetMode="External" Id="rId3093"/><Relationship Type="http://schemas.openxmlformats.org/officeDocument/2006/relationships/hyperlink" Target="https://wol.jw.org/en/wol/d/r1/lp-e/1200271562" TargetMode="External" Id="rId3094"/><Relationship Type="http://schemas.openxmlformats.org/officeDocument/2006/relationships/hyperlink" Target="https://wol.jw.org/en/wol/d/r1/lp-e/302017036" TargetMode="External" Id="rId3095"/><Relationship Type="http://schemas.openxmlformats.org/officeDocument/2006/relationships/hyperlink" Target="https://www.jw.org/en/news/region/russia/supreme-court-rules-to-criminalize-jehovahs-witnesses-activity/" TargetMode="External" Id="rId3096"/><Relationship Type="http://schemas.openxmlformats.org/officeDocument/2006/relationships/hyperlink" Target="https://cms-imgp.jw-cdn.org/img/p/802017815/univ/art/802017815_univ_lsr_lg.jpg" TargetMode="External" Id="rId3097"/><Relationship Type="http://schemas.openxmlformats.org/officeDocument/2006/relationships/hyperlink" Target="https://www.jw.org/en/news/region/russia/supreme-court-rules-to-criminalize-jehovahs-witnesses-activity/" TargetMode="External" Id="rId3098"/><Relationship Type="http://schemas.openxmlformats.org/officeDocument/2006/relationships/hyperlink" Target="https://www.jw.org/en/news/releases/by-region/united-states/open-house-new-world-headquarters-jehovahs-witnesses/" TargetMode="External" Id="rId3099"/><Relationship Type="http://schemas.openxmlformats.org/officeDocument/2006/relationships/hyperlink" Target="https://cms-imgp.jw-cdn.org/img/p/702017121/univ/art/702017121_univ_lsr_lg.jpg" TargetMode="External" Id="rId3100"/><Relationship Type="http://schemas.openxmlformats.org/officeDocument/2006/relationships/hyperlink" Target="https://www.jw.org/en/news/region/united-states/open-house-draws-positive-community-response/" TargetMode="External" Id="rId3101"/><Relationship Type="http://schemas.openxmlformats.org/officeDocument/2006/relationships/hyperlink" Target="https://cms-imgp.jw-cdn.org/img/p/702017123/univ/art/702017123_univ_lsr_lg.jpg" TargetMode="External" Id="rId3102"/><Relationship Type="http://schemas.openxmlformats.org/officeDocument/2006/relationships/hyperlink" Target="https://www.jw.org/en/news/region/russia/supreme-court-confirms-earlier-ruling-to-criminalize-jehovahs-witnesses/" TargetMode="External" Id="rId3103"/><Relationship Type="http://schemas.openxmlformats.org/officeDocument/2006/relationships/hyperlink" Target="https://cms-imgp.jw-cdn.org/img/p/802017832/univ/art/802017832_univ_lsr_lg.jpg" TargetMode="External" Id="rId3104"/><Relationship Type="http://schemas.openxmlformats.org/officeDocument/2006/relationships/hyperlink" Target="https://wol.jw.org/en/wol/d/r1/lp-e/1200277174" TargetMode="External" Id="rId3105"/><Relationship Type="http://schemas.openxmlformats.org/officeDocument/2006/relationships/hyperlink" Target="https://wol.jw.org/en/wol/d/r1/lp-e/1200277174" TargetMode="External" Id="rId3106"/><Relationship Type="http://schemas.openxmlformats.org/officeDocument/2006/relationships/hyperlink" Target="https://wol.jw.org/en/wol/d/r1/lp-e/1200277174" TargetMode="External" Id="rId3107"/><Relationship Type="http://schemas.openxmlformats.org/officeDocument/2006/relationships/hyperlink" Target="https://wol.jw.org/en/wol/d/r1/lp-e/1200277174" TargetMode="External" Id="rId3108"/><Relationship Type="http://schemas.openxmlformats.org/officeDocument/2006/relationships/hyperlink" Target="https://wol.jw.org/en/wol/d/r1/lp-e/1200277174" TargetMode="External" Id="rId3109"/><Relationship Type="http://schemas.openxmlformats.org/officeDocument/2006/relationships/hyperlink" Target="https://wol.jw.org/en/wol/d/r1/lp-e/1200277174" TargetMode="External" Id="rId3110"/><Relationship Type="http://schemas.openxmlformats.org/officeDocument/2006/relationships/hyperlink" Target="https://wol.jw.org/en/wol/d/r1/lp-e/1200277174" TargetMode="External" Id="rId3111"/><Relationship Type="http://schemas.openxmlformats.org/officeDocument/2006/relationships/hyperlink" Target="https://wol.jw.org/en/wol/d/r1/lp-e/1200277174" TargetMode="External" Id="rId3112"/><Relationship Type="http://schemas.openxmlformats.org/officeDocument/2006/relationships/hyperlink" Target="https://wol.jw.org/en/wol/d/r1/lp-e/1200277174" TargetMode="External" Id="rId3113"/><Relationship Type="http://schemas.openxmlformats.org/officeDocument/2006/relationships/hyperlink" Target="https://wol.jw.org/en/wol/d/r1/lp-e/1200271388" TargetMode="External" Id="rId3114"/><Relationship Type="http://schemas.openxmlformats.org/officeDocument/2006/relationships/hyperlink" Target="https://wol.jw.org/en/wol/d/r1/lp-e/2019248" TargetMode="External" Id="rId3115"/><Relationship Type="http://schemas.openxmlformats.org/officeDocument/2006/relationships/hyperlink" Target="https://wol.jw.org/ta/wol/d/r122/lp-tl/2019248" TargetMode="External" Id="rId3116"/><Relationship Type="http://schemas.openxmlformats.org/officeDocument/2006/relationships/hyperlink" Target="https://wol.jw.org/en/wol/d/r1/lp-e/2019248" TargetMode="External" Id="rId3117"/><Relationship Type="http://schemas.openxmlformats.org/officeDocument/2006/relationships/hyperlink" Target="https://wol.jw.org/ta/wol/d/r122/lp-tl/2019248" TargetMode="External" Id="rId3118"/><Relationship Type="http://schemas.openxmlformats.org/officeDocument/2006/relationships/hyperlink" Target="https://wol.jw.org/en/wol/d/r1/lp-e/2020401" TargetMode="External" Id="rId3119"/><Relationship Type="http://schemas.openxmlformats.org/officeDocument/2006/relationships/hyperlink" Target="https://wol.jw.org/ta/wol/d/r122/lp-tl/2020401" TargetMode="External" Id="rId3120"/><Relationship Type="http://schemas.openxmlformats.org/officeDocument/2006/relationships/hyperlink" Target="https://www.jw.org/en/news/region/south-korea/historic-supreme-court-decision-20181101/" TargetMode="External" Id="rId3121"/><Relationship Type="http://schemas.openxmlformats.org/officeDocument/2006/relationships/hyperlink" Target="https://wol.jw.org/en/wol/d/r1/lp-e/1200271388" TargetMode="External" Id="rId3122"/><Relationship Type="http://schemas.openxmlformats.org/officeDocument/2006/relationships/hyperlink" Target="https://www.jw.org/en/news/region/south-korea/All-Witnesses-Imprisoned-for-Conscientious-Objection-in-South-Korea-Now-Free/" TargetMode="External" Id="rId3123"/><Relationship Type="http://schemas.openxmlformats.org/officeDocument/2006/relationships/hyperlink" Target="https://cms-imgp.jw-cdn.org/img/p/702019120/univ/art/702019120_univ_lsr_lg.jpg" TargetMode="External" Id="rId3124"/><Relationship Type="http://schemas.openxmlformats.org/officeDocument/2006/relationships/hyperlink" Target="https://www.jw.org/en/news/region/global/2019-Annual-Meeting-Summary/" TargetMode="External" Id="rId3125"/><Relationship Type="http://schemas.openxmlformats.org/officeDocument/2006/relationships/hyperlink" Target="https://cms-imgp.jw-cdn.org/img/p/702019260/univ/art/702019260_univ_lsr_lg.jpg" TargetMode="External" Id="rId3126"/><Relationship Type="http://schemas.openxmlformats.org/officeDocument/2006/relationships/hyperlink" Target="https://wol.jw.org/en/wol/d/r1/lp-e/1200277174" TargetMode="External" Id="rId3127"/><Relationship Type="http://schemas.openxmlformats.org/officeDocument/2006/relationships/hyperlink" Target="https://wol.jw.org/en/wol/d/r1/lp-e/1200277174" TargetMode="External" Id="rId3128"/><Relationship Type="http://schemas.openxmlformats.org/officeDocument/2006/relationships/hyperlink" Target="https://wol.jw.org/en/wol/d/r1/lp-e/1200277174" TargetMode="External" Id="rId3129"/><Relationship Type="http://schemas.openxmlformats.org/officeDocument/2006/relationships/hyperlink" Target="https://wol.jw.org/en/wol/d/r1/lp-e/1200277174" TargetMode="External" Id="rId3130"/><Relationship Type="http://schemas.openxmlformats.org/officeDocument/2006/relationships/hyperlink" Target="https://wol.jw.org/en/wol/d/r1/lp-e/1200277174" TargetMode="External" Id="rId3131"/><Relationship Type="http://schemas.openxmlformats.org/officeDocument/2006/relationships/hyperlink" Target="https://wol.jw.org/en/wol/d/r1/lp-e/1200277174" TargetMode="External" Id="rId3132"/><Relationship Type="http://schemas.openxmlformats.org/officeDocument/2006/relationships/hyperlink" Target="https://wol.jw.org/en/wol/d/r1/lp-e/1200277174" TargetMode="External" Id="rId3133"/><Relationship Type="http://schemas.openxmlformats.org/officeDocument/2006/relationships/hyperlink" Target="https://wol.jw.org/en/wol/d/r1/lp-e/1200271388" TargetMode="External" Id="rId3134"/><Relationship Type="http://schemas.openxmlformats.org/officeDocument/2006/relationships/hyperlink" Target="https://www.jw.org/en/news/region/global/Jehovahs-Witnesses-Return-to-Meeting-in-Person/" TargetMode="External" Id="rId3135"/><Relationship Type="http://schemas.openxmlformats.org/officeDocument/2006/relationships/hyperlink" Target="https://cms-imgp.jw-cdn.org/img/p/702022179/univ/art/702022179_univ_lsr_lg.jpg" TargetMode="External" Id="rId3136"/><Relationship Type="http://schemas.openxmlformats.org/officeDocument/2006/relationships/hyperlink" Target="https://www.jw.org/en/news/region/global/Jehovahs-Witnesses-Return-to-Meeting-in-Person/" TargetMode="External" Id="rId3137"/><Relationship Type="http://schemas.openxmlformats.org/officeDocument/2006/relationships/hyperlink" Target="https://www.jw.org/en/news/region/global/jw-coronavirus-update-and-response/" TargetMode="External" Id="rId3138"/><Relationship Type="http://schemas.openxmlformats.org/officeDocument/2006/relationships/hyperlink" Target="https://cms-imgp.jw-cdn.org/img/p/702020168/univ/art/702020168_univ_lsr_lg.jpg" TargetMode="External" Id="rId3139"/><Relationship Type="http://schemas.openxmlformats.org/officeDocument/2006/relationships/hyperlink" Target="https://www.jw.org/en/news/region/global/2020-Governing-Body-Update-1/" TargetMode="External" Id="rId3140"/><Relationship Type="http://schemas.openxmlformats.org/officeDocument/2006/relationships/hyperlink" Target="https://cms-imgp.jw-cdn.org/img/p/702020178/univ/art/702020178_univ_lsr_lg.jpg" TargetMode="External" Id="rId3141"/><Relationship Type="http://schemas.openxmlformats.org/officeDocument/2006/relationships/hyperlink" Target="https://wol.jw.org/en/wol/d/r1/lp-e/1200277174" TargetMode="External" Id="rId3142"/><Relationship Type="http://schemas.openxmlformats.org/officeDocument/2006/relationships/hyperlink" Target="https://wol.jw.org/en/wol/d/r1/lp-e/1200277174" TargetMode="External" Id="rId3143"/><Relationship Type="http://schemas.openxmlformats.org/officeDocument/2006/relationships/hyperlink" Target="https://wol.jw.org/en/wol/d/r1/lp-e/1200277174" TargetMode="External" Id="rId3144"/><Relationship Type="http://schemas.openxmlformats.org/officeDocument/2006/relationships/hyperlink" Target="https://wol.jw.org/en/wol/d/r1/lp-e/1200271388" TargetMode="External" Id="rId3145"/><Relationship Type="http://schemas.openxmlformats.org/officeDocument/2006/relationships/hyperlink" Target="https://www.jw.org/en/news/region/global/2021-Governing-Body-Update-8/" TargetMode="External" Id="rId3146"/><Relationship Type="http://schemas.openxmlformats.org/officeDocument/2006/relationships/hyperlink" Target="https://www.jw.org/ta/&#2970;&#3014;&#2991;&#3021;&#2980;&#3007;&#2965;&#2995;&#3021;/&#2984;&#3006;&#2975;&#3009;&#2965;&#2995;&#3021;/&#2953;&#2994;&#2965;-&#2970;&#3014;&#2991;&#3021;&#2980;&#3007;&#2965;&#2995;&#3021;/2021-&#2950;&#2995;&#3009;&#2990;&#3021;-&#2965;&#3009;&#2996;&#3009;&#2997;&#3007;&#2985;&#3021;-&#2949;&#2993;&#3007;&#2965;&#3021;&#2965;&#3016;-8/" TargetMode="External" Id="rId3147"/><Relationship Type="http://schemas.openxmlformats.org/officeDocument/2006/relationships/hyperlink" Target="https://cms-imgp.jw-cdn.org/img/p/702021085/univ/art/702021085_univ_lsr_lg.jpg" TargetMode="External" Id="rId3148"/><Relationship Type="http://schemas.openxmlformats.org/officeDocument/2006/relationships/hyperlink" Target="https://www.jw.org/en/news/region/global/The-Governing-Body-Announces-That-Some-In-Person-Meetings-Will-Resume-in-Select-Areas/" TargetMode="External" Id="rId3149"/><Relationship Type="http://schemas.openxmlformats.org/officeDocument/2006/relationships/hyperlink" Target="https://cms-imgp.jw-cdn.org/img/p/702021380/univ/art/702021380_univ_lsr_lg.jpg" TargetMode="External" Id="rId3150"/><Relationship Type="http://schemas.openxmlformats.org/officeDocument/2006/relationships/hyperlink" Target="https://www.jw.org/en/news/region/global/2021-Governing-Body-Update-9/" TargetMode="External" Id="rId3151"/><Relationship Type="http://schemas.openxmlformats.org/officeDocument/2006/relationships/hyperlink" Target="https://www.jw.org/ta/&#2970;&#3014;&#2991;&#3021;&#2980;&#3007;&#2965;&#2995;&#3021;/&#2984;&#3006;&#2975;&#3009;&#2965;&#2995;&#3021;/&#2953;&#2994;&#2965;-&#2970;&#3014;&#2991;&#3021;&#2980;&#3007;&#2965;&#2995;&#3021;/2021-&#2950;&#2995;&#3009;&#2990;&#3021;-&#2965;&#3009;&#2996;&#3009;&#2997;&#3007;&#2985;&#3021;-&#2949;&#2993;&#3007;&#2965;&#3021;&#2965;&#3016;-9/" TargetMode="External" Id="rId3152"/><Relationship Type="http://schemas.openxmlformats.org/officeDocument/2006/relationships/hyperlink" Target="https://cms-imgp.jw-cdn.org/img/p/702021088/univ/art/702021088_univ_lsr_lg.jpg" TargetMode="External" Id="rId3153"/><Relationship Type="http://schemas.openxmlformats.org/officeDocument/2006/relationships/hyperlink" Target="https://wol.jw.org/en/wol/d/r1/lp-e/1200277174" TargetMode="External" Id="rId3154"/><Relationship Type="http://schemas.openxmlformats.org/officeDocument/2006/relationships/hyperlink" Target="https://wol.jw.org/en/wol/d/r1/lp-e/1200277174" TargetMode="External" Id="rId3155"/><Relationship Type="http://schemas.openxmlformats.org/officeDocument/2006/relationships/hyperlink" Target="https://wol.jw.org/en/wol/d/r1/lp-e/1200277174" TargetMode="External" Id="rId3156"/><Relationship Type="http://schemas.openxmlformats.org/officeDocument/2006/relationships/hyperlink" Target="https://wol.jw.org/en/wol/d/r1/lp-e/1200277174" TargetMode="External" Id="rId3157"/><Relationship Type="http://schemas.openxmlformats.org/officeDocument/2006/relationships/hyperlink" Target="https://wol.jw.org/en/wol/d/r1/lp-e/1200277174" TargetMode="External" Id="rId3158"/><Relationship Type="http://schemas.openxmlformats.org/officeDocument/2006/relationships/hyperlink" Target="https://wol.jw.org/en/wol/d/r1/lp-e/1200277174" TargetMode="External" Id="rId3159"/><Relationship Type="http://schemas.openxmlformats.org/officeDocument/2006/relationships/hyperlink" Target="https://wol.jw.org/en/wol/d/r1/lp-e/1200271388" TargetMode="External" Id="rId3160"/><Relationship Type="http://schemas.openxmlformats.org/officeDocument/2006/relationships/hyperlink" Target="https://www.jw.org/en/news/region/global/Jehovahs-Witnesses-Return-to-Meeting-in-Person/" TargetMode="External" Id="rId3161"/><Relationship Type="http://schemas.openxmlformats.org/officeDocument/2006/relationships/hyperlink" Target="https://cms-imgp.jw-cdn.org/img/p/702022179/univ/art/702022179_univ_lsr_lg.jpg" TargetMode="External" Id="rId3162"/><Relationship Type="http://schemas.openxmlformats.org/officeDocument/2006/relationships/hyperlink" Target="https://www.jw.org/en/news/region/global/Resuming-Public-Witnessing/" TargetMode="External" Id="rId3163"/><Relationship Type="http://schemas.openxmlformats.org/officeDocument/2006/relationships/hyperlink" Target="https://www.jw.org/ta/&#2970;&#3014;&#2991;&#3021;&#2980;&#3007;&#2965;&#2995;&#3021;/&#2984;&#3006;&#2975;&#3009;&#2965;&#2995;&#3021;/&#2953;&#2994;&#2965;-&#2970;&#3014;&#2991;&#3021;&#2980;&#3007;&#2965;&#2995;&#3021;/&#2986;&#3018;&#2980;&#3009;-&#2954;&#2996;&#3007;&#2991;&#2990;&#3021;-&#2990;&#3008;&#2979;&#3021;&#2975;&#3009;&#2990;&#3021;-&#2950;&#2992;&#2990;&#3021;&#2986;&#2990;&#3021;/" TargetMode="External" Id="rId3164"/><Relationship Type="http://schemas.openxmlformats.org/officeDocument/2006/relationships/hyperlink" Target="https://www.jw.org/en/news/region/russia/European-Court-Issues-Landmark-Judgment-Against-Russia-for-Persecuting-Jehovahs-Witnesses/" TargetMode="External" Id="rId3165"/><Relationship Type="http://schemas.openxmlformats.org/officeDocument/2006/relationships/hyperlink" Target="https://cms-imgp.jw-cdn.org/img/p/702022212/univ/art/702022212_univ_lsr_lg.jpg" TargetMode="External" Id="rId3166"/><Relationship Type="http://schemas.openxmlformats.org/officeDocument/2006/relationships/hyperlink" Target="https://www.jw.org/en/news/region/global/2022-Governing-Body-Update-6/" TargetMode="External" Id="rId3167"/><Relationship Type="http://schemas.openxmlformats.org/officeDocument/2006/relationships/hyperlink" Target="https://www.jw.org/ta/&#2970;&#3014;&#2991;&#3021;&#2980;&#3007;&#2965;&#2995;&#3021;/&#2984;&#3006;&#2975;&#3009;&#2965;&#2995;&#3021;/&#2953;&#2994;&#2965;-&#2970;&#3014;&#2991;&#3021;&#2980;&#3007;&#2965;&#2995;&#3021;/2022-&#2950;&#2995;&#3009;&#2990;&#3021;-&#2965;&#3009;&#2996;&#3009;&#2997;&#3007;&#2985;&#3021;-&#2949;&#2993;&#3007;&#2965;&#3021;&#2965;&#3016;-6/" TargetMode="External" Id="rId3168"/><Relationship Type="http://schemas.openxmlformats.org/officeDocument/2006/relationships/hyperlink" Target="https://cms-imgp.jw-cdn.org/img/p/702022018/univ/art/702022018_univ_lsr_lg.jpg" TargetMode="External" Id="rId3169"/><Relationship Type="http://schemas.openxmlformats.org/officeDocument/2006/relationships/hyperlink" Target="https://www.jw.org/en/news/region/global/Jehovahs-Witnesses-Resume-House-to-House-Ministry/" TargetMode="External" Id="rId3170"/><Relationship Type="http://schemas.openxmlformats.org/officeDocument/2006/relationships/hyperlink" Target="https://cms-imgp.jw-cdn.org/img/p/702022264/univ/art/702022264_univ_lsr_lg.jpg" TargetMode="External" Id="rId3171"/><Relationship Type="http://schemas.openxmlformats.org/officeDocument/2006/relationships/hyperlink" Target="https://www.jw.org/en/news/region/global/Town-Board-of-Ramapo-Approves-Special-Permit/" TargetMode="External" Id="rId3172"/><Relationship Type="http://schemas.openxmlformats.org/officeDocument/2006/relationships/hyperlink" Target="https://cms-imgp.jw-cdn.org/img/p/702023054/univ/art/702023054_univ_lsr_lg.jpg" TargetMode="External" Id="rId3173"/><Relationship Type="http://schemas.openxmlformats.org/officeDocument/2006/relationships/hyperlink" Target="https://www.jw.org/en/news/region/global/In-Person-Circuit-Assemblies-and-Theocratic-Schools-Resume/" TargetMode="External" Id="rId3174"/><Relationship Type="http://schemas.openxmlformats.org/officeDocument/2006/relationships/hyperlink" Target="https://cms-imgp.jw-cdn.org/img/p/702023091/univ/art/702023091_univ_lsr_lg.jpg" TargetMode="External" Id="rId3175"/><Relationship Type="http://schemas.openxmlformats.org/officeDocument/2006/relationships/hyperlink" Target="https://wol.jw.org/en/wol/d/r1/lp-e/1200271388" TargetMode="External" Id="rId3176"/><Relationship Type="http://schemas.openxmlformats.org/officeDocument/2006/relationships/hyperlink" Target="https://www.jw.org/en/library/books/2023-Service-Year-Report-of-Jehovahs-Witnesses-Worldwide/2023-Grand-Totals/" TargetMode="External" Id="rId3177"/><Relationship Type="http://schemas.openxmlformats.org/officeDocument/2006/relationships/hyperlink" Target="https://www.jw.org/ta/&#2994;&#3016;&#2986;&#3021;&#2992;&#2992;&#3007;/&#2986;&#3009;&#2980;&#3021;&#2980;&#2965;&#2969;&#3021;&#2965;&#2995;&#3021;/2023-&#2953;&#2994;&#2965;&#2990;&#3021;-&#2990;&#3009;&#2996;&#3009;&#2997;&#2980;&#3009;&#2990;&#3021;-&#2951;&#2992;&#3009;&#2965;&#3021;&#2965;&#3009;&#2990;&#3021;-&#2991;&#3014;&#2965;&#3019;&#2997;&#3006;&#2997;&#3007;&#2985;&#3021;-&#2970;&#3006;&#2975;&#3021;&#2970;&#3007;&#2965;&#2995;&#3009;&#2975;&#3016;&#2991;-&#2954;&#2996;&#3007;&#2991;-&#2950;&#2979;&#3021;&#2975;&#3009;-&#2949;&#2993;&#3007;&#2965;&#3021;&#2965;&#3016;/2023-&#2990;&#3018;&#2980;&#3021;&#2980;-&#2958;&#2979;&#3021;&#2979;&#3007;&#2965;&#3021;&#2965;&#3016;/" TargetMode="External" Id="rId3178"/><Relationship Type="http://schemas.openxmlformats.org/officeDocument/2006/relationships/hyperlink" Target="https://www.jw.org/en/news/region/global/2023-Governing-Body-Update-1/" TargetMode="External" Id="rId3179"/><Relationship Type="http://schemas.openxmlformats.org/officeDocument/2006/relationships/hyperlink" Target="https://www.jw.org/ta/&#2970;&#3014;&#2991;&#3021;&#2980;&#3007;&#2965;&#2995;&#3021;/&#2984;&#3006;&#2975;&#3009;&#2965;&#2995;&#3021;/&#2953;&#2994;&#2965;-&#2970;&#3014;&#2991;&#3021;&#2980;&#3007;&#2965;&#2995;&#3021;/2023-&#2950;&#2995;&#3009;&#2990;&#3021;-&#2965;&#3009;&#2996;&#3009;&#2997;&#3007;&#2985;&#3021;-&#2949;&#2993;&#3007;&#2965;&#3021;&#2965;&#3016;-1/" TargetMode="External" Id="rId3180"/><Relationship Type="http://schemas.openxmlformats.org/officeDocument/2006/relationships/hyperlink" Target="https://cms-imgp.jw-cdn.org/img/p/702023003/univ/art/702023003_univ_lsr_lg.jpg" TargetMode="External" Id="rId3181"/><Relationship Type="http://schemas.openxmlformats.org/officeDocument/2006/relationships/hyperlink" Target="https://wol.jw.org/en/wol/d/r1/lp-e/2024287" TargetMode="External" Id="rId3182"/><Relationship Type="http://schemas.openxmlformats.org/officeDocument/2006/relationships/hyperlink" Target="https://wol.jw.org/ta/wol/d/r122/lp-tl/2024287" TargetMode="External" Id="rId3183"/><Relationship Type="http://schemas.openxmlformats.org/officeDocument/2006/relationships/hyperlink" Target="https://cms-imgp.jw-cdn.org/img/p/702023006/univ/art/702023006_univ_lsr_lg.jpg" TargetMode="External" Id="rId3184"/><Relationship Type="http://schemas.openxmlformats.org/officeDocument/2006/relationships/hyperlink" Target="https://wol.jw.org/en/wol/d/r1/lp-e/2024287" TargetMode="External" Id="rId3185"/><Relationship Type="http://schemas.openxmlformats.org/officeDocument/2006/relationships/hyperlink" Target="https://wol.jw.org/ta/wol/d/r122/lp-tl/2024287" TargetMode="External" Id="rId3186"/><Relationship Type="http://schemas.openxmlformats.org/officeDocument/2006/relationships/hyperlink" Target="https://wol.jw.org/en/wol/d/r1/lp-e/2024287" TargetMode="External" Id="rId3187"/><Relationship Type="http://schemas.openxmlformats.org/officeDocument/2006/relationships/hyperlink" Target="https://wol.jw.org/ta/wol/d/r122/lp-tl/2024287" TargetMode="External" Id="rId3188"/><Relationship Type="http://schemas.openxmlformats.org/officeDocument/2006/relationships/hyperlink" Target="https://www.jw.org/en/news/region/global/Ramapo-Construction-Project-Receives-Major-Approval-to-Proceed/" TargetMode="External" Id="rId3189"/><Relationship Type="http://schemas.openxmlformats.org/officeDocument/2006/relationships/hyperlink" Target="https://cms-imgp.jw-cdn.org/img/p/702023213/univ/art/702023213_univ_lsr_lg.jpg" TargetMode="External" Id="rId3190"/><Relationship Type="http://schemas.openxmlformats.org/officeDocument/2006/relationships/hyperlink" Target="https://wol.jw.org/en/wol/d/r1/lp-e/2024406" TargetMode="External" Id="rId3191"/><Relationship Type="http://schemas.openxmlformats.org/officeDocument/2006/relationships/hyperlink" Target="https://wol.jw.org/ta/wol/d/r122/lp-tl/2024406" TargetMode="External" Id="rId3192"/><Relationship Type="http://schemas.openxmlformats.org/officeDocument/2006/relationships/hyperlink" Target="https://www.jw.org/en/news/region/global/2023-Governing-Body-Update-7/" TargetMode="External" Id="rId3193"/><Relationship Type="http://schemas.openxmlformats.org/officeDocument/2006/relationships/hyperlink" Target="https://www.jw.org/ta/&#2970;&#3014;&#2991;&#3021;&#2980;&#3007;&#2965;&#2995;&#3021;/&#2984;&#3006;&#2975;&#3009;&#2965;&#2995;&#3021;/&#2953;&#2994;&#2965;-&#2970;&#3014;&#2991;&#3021;&#2980;&#3007;&#2965;&#2995;&#3021;/2023-&#2950;&#2995;&#3009;&#2990;&#3021;-&#2965;&#3009;&#2996;&#3009;&#2997;&#3007;&#2985;&#3021;-&#2949;&#2993;&#3007;&#2965;&#3021;&#2965;&#3016;-7/" TargetMode="External" Id="rId3194"/><Relationship Type="http://schemas.openxmlformats.org/officeDocument/2006/relationships/hyperlink" Target="https://cms-imgp.jw-cdn.org/img/p/702023021/univ/art/702023021_univ_lsr_lg.jpg" TargetMode="External" Id="rId3195"/><Relationship Type="http://schemas.openxmlformats.org/officeDocument/2006/relationships/hyperlink" Target="https://wol.jw.org/en/wol/d/r1/lp-e/2024406" TargetMode="External" Id="rId3196"/><Relationship Type="http://schemas.openxmlformats.org/officeDocument/2006/relationships/hyperlink" Target="https://wol.jw.org/ta/wol/d/r122/lp-tl/2024406" TargetMode="External" Id="rId3197"/><Relationship Type="http://schemas.openxmlformats.org/officeDocument/2006/relationships/hyperlink" Target="https://www.jw.org/en/news/region/global/2023-Governing-Body-Update-8/" TargetMode="External" Id="rId3198"/><Relationship Type="http://schemas.openxmlformats.org/officeDocument/2006/relationships/hyperlink" Target="https://www.jw.org/ta/&#2970;&#3014;&#2991;&#3021;&#2980;&#3007;&#2965;&#2995;&#3021;/&#2984;&#3006;&#2975;&#3009;&#2965;&#2995;&#3021;/&#2953;&#2994;&#2965;-&#2970;&#3014;&#2991;&#3021;&#2980;&#3007;&#2965;&#2995;&#3021;/2023-&#2950;&#2995;&#3009;&#2990;&#3021;-&#2965;&#3009;&#2996;&#3009;&#2997;&#3007;&#2985;&#3021;-&#2949;&#2993;&#3007;&#2965;&#3021;&#2965;&#3016;-8/" TargetMode="External" Id="rId3199"/><Relationship Type="http://schemas.openxmlformats.org/officeDocument/2006/relationships/hyperlink" Target="https://cms-imgp.jw-cdn.org/img/p/702023024/univ/art/702023024_univ_lsr_lg.jpg" TargetMode="External" Id="rId3200"/><Relationship Type="http://schemas.openxmlformats.org/officeDocument/2006/relationships/hyperlink" Target="https://wol.jw.org/en/wol/d/r1/lp-e/1200277174" TargetMode="External" Id="rId3201"/><Relationship Type="http://schemas.openxmlformats.org/officeDocument/2006/relationships/hyperlink" Target="https://wol.jw.org/en/wol/d/r1/lp-e/1200277174" TargetMode="External" Id="rId3202"/><Relationship Type="http://schemas.openxmlformats.org/officeDocument/2006/relationships/hyperlink" Target="https://wol.jw.org/en/wol/d/r1/lp-e/1200277174" TargetMode="External" Id="rId3203"/><Relationship Type="http://schemas.openxmlformats.org/officeDocument/2006/relationships/hyperlink" Target="https://wol.jw.org/en/wol/d/r1/lp-e/1200277174" TargetMode="External" Id="rId3204"/><Relationship Type="http://schemas.openxmlformats.org/officeDocument/2006/relationships/hyperlink" Target="https://wol.jw.org/en/wol/d/r1/lp-e/1200277174" TargetMode="External" Id="rId3205"/><Relationship Type="http://schemas.openxmlformats.org/officeDocument/2006/relationships/hyperlink" Target="https://wol.jw.org/en/wol/d/r1/lp-e/1200277174" TargetMode="External" Id="rId3206"/><Relationship Type="http://schemas.openxmlformats.org/officeDocument/2006/relationships/hyperlink" Target="https://wol.jw.org/en/wol/d/r1/lp-e/1200277174" TargetMode="External" Id="rId3207"/><Relationship Type="http://schemas.openxmlformats.org/officeDocument/2006/relationships/hyperlink" Target="https://wol.jw.org/en/wol/d/r1/lp-e/1200277174" TargetMode="External" Id="rId3208"/><Relationship Type="http://schemas.openxmlformats.org/officeDocument/2006/relationships/hyperlink" Target="https://wol.jw.org/en/wol/d/r1/lp-e/1200277174" TargetMode="External" Id="rId3209"/><Relationship Type="http://schemas.openxmlformats.org/officeDocument/2006/relationships/hyperlink" Target="https://wol.jw.org/en/wol/d/r1/lp-e/1200277174" TargetMode="External" Id="rId3210"/><Relationship Type="http://schemas.openxmlformats.org/officeDocument/2006/relationships/hyperlink" Target="https://wol.jw.org/en/wol/d/r1/lp-e/1200277174" TargetMode="External" Id="rId3211"/><Relationship Type="http://schemas.openxmlformats.org/officeDocument/2006/relationships/hyperlink" Target="https://wol.jw.org/en/wol/d/r1/lp-e/1200277174" TargetMode="External" Id="rId3212"/><Relationship Type="http://schemas.openxmlformats.org/officeDocument/2006/relationships/hyperlink" Target="https://wol.jw.org/en/wol/d/r1/lp-e/1200277174" TargetMode="External" Id="rId3213"/><Relationship Type="http://schemas.openxmlformats.org/officeDocument/2006/relationships/hyperlink" Target="https://wol.jw.org/en/wol/d/r1/lp-e/1200277174" TargetMode="External" Id="rId3214"/><Relationship Type="http://schemas.openxmlformats.org/officeDocument/2006/relationships/hyperlink" Target="https://wol.jw.org/en/wol/d/r1/lp-e/1200271388" TargetMode="External" Id="rId3215"/><Relationship Type="http://schemas.openxmlformats.org/officeDocument/2006/relationships/hyperlink" Target="https://www.jw.org/en/news/region/global/2024-Governing-Body-Update-2/" TargetMode="External" Id="rId3216"/><Relationship Type="http://schemas.openxmlformats.org/officeDocument/2006/relationships/hyperlink" Target="https://www.jw.org/ta/&#2970;&#3014;&#2991;&#3021;&#2980;&#3007;&#2965;&#2995;&#3021;/&#2984;&#3006;&#2975;&#3009;&#2965;&#2995;&#3021;/&#2953;&#2994;&#2965;-&#2970;&#3014;&#2991;&#3021;&#2980;&#3007;&#2965;&#2995;&#3021;/2024-&#2950;&#2995;&#3009;&#2990;&#3021;-&#2965;&#3009;&#2996;&#3009;&#2997;&#3007;&#2985;&#3021;-&#2949;&#2993;&#3007;&#2965;&#3021;&#2965;&#3016;-2/" TargetMode="External" Id="rId3217"/><Relationship Type="http://schemas.openxmlformats.org/officeDocument/2006/relationships/hyperlink" Target="https://cms-imgp.jw-cdn.org/img/p/1112024005/univ/art/1112024005_univ_lsr_lg.jpg" TargetMode="External" Id="rId3218"/><Relationship Type="http://schemas.openxmlformats.org/officeDocument/2006/relationships/hyperlink" Target="https://www.jw.org/en/news/region/global/2024-Governing-Body-Update-3/" TargetMode="External" Id="rId3219"/><Relationship Type="http://schemas.openxmlformats.org/officeDocument/2006/relationships/hyperlink" Target="https://www.jw.org/ta/&#2970;&#3014;&#2991;&#3021;&#2980;&#3007;&#2965;&#2995;&#3021;/&#2984;&#3006;&#2975;&#3009;&#2965;&#2995;&#3021;/&#2953;&#2994;&#2965;-&#2970;&#3014;&#2991;&#3021;&#2980;&#3007;&#2965;&#2995;&#3021;/2024-&#2950;&#2995;&#3009;&#2990;&#3021;-&#2965;&#3009;&#2996;&#3009;&#2997;&#3007;&#2985;&#3021;-&#2949;&#2993;&#3007;&#2965;&#3021;&#2965;&#3016;-3/" TargetMode="External" Id="rId3220"/><Relationship Type="http://schemas.openxmlformats.org/officeDocument/2006/relationships/hyperlink" Target="https://cms-imgp.jw-cdn.org/img/p/1112024008/univ/art/1112024008_univ_lsr_lg.jpg" TargetMode="External" Id="rId3221"/><Relationship Type="http://schemas.openxmlformats.org/officeDocument/2006/relationships/hyperlink" Target="https://wol.jw.org/en/wol/d/r1/lp-e/2025605" TargetMode="External" Id="rId3222"/><Relationship Type="http://schemas.openxmlformats.org/officeDocument/2006/relationships/hyperlink" Target="https://wol.jw.org/ta/wol/d/r122/lp-tl/2025605" TargetMode="External" Id="rId3223"/><Relationship Type="http://schemas.openxmlformats.org/officeDocument/2006/relationships/hyperlink" Target="https://cms-imgp.jw-cdn.org/img/p/2025605/univ/art/2025605_univ_lsr_lg.jpg" TargetMode="External" Id="rId3224"/><Relationship Type="http://schemas.openxmlformats.org/officeDocument/2006/relationships/hyperlink" Target="https://wol.jw.org/en/wol/d/r1/lp-e/2025605" TargetMode="External" Id="rId3225"/><Relationship Type="http://schemas.openxmlformats.org/officeDocument/2006/relationships/hyperlink" Target="https://wol.jw.org/ta/wol/d/r122/lp-tl/2025605" TargetMode="External" Id="rId3226"/><Relationship Type="http://schemas.openxmlformats.org/officeDocument/2006/relationships/hyperlink" Target="https://wol.jw.org/en/wol/d/r1/lp-e/2025605" TargetMode="External" Id="rId3227"/><Relationship Type="http://schemas.openxmlformats.org/officeDocument/2006/relationships/hyperlink" Target="https://wol.jw.org/ta/wol/d/r122/lp-tl/2025605" TargetMode="External" Id="rId3228"/><Relationship Type="http://schemas.openxmlformats.org/officeDocument/2006/relationships/hyperlink" Target="https://www.jw.org/en/news/region/global/Approval-to-Begin-Major-Construction-at-Ramapo-Received/" TargetMode="External" Id="rId3229"/><Relationship Type="http://schemas.openxmlformats.org/officeDocument/2006/relationships/hyperlink" Target="https://cms-imgp.jw-cdn.org/img/p/702024253/univ/art/702024253_univ_lsr_lg.jpg" TargetMode="External" Id="rId3230"/><Relationship Type="http://schemas.openxmlformats.org/officeDocument/2006/relationships/hyperlink" Target="https://www.jw.org/en/news/region/global/Approval-to-Begin-Major-Construction-at-Ramapo-Received/" TargetMode="External" Id="rId3231"/><Relationship Type="http://schemas.openxmlformats.org/officeDocument/2006/relationships/hyperlink" Target="https://www.jw.org/en/news/region/global/2024-Governing-Body-Update-8/" TargetMode="External" Id="rId3232"/><Relationship Type="http://schemas.openxmlformats.org/officeDocument/2006/relationships/hyperlink" Target="https://www.jw.org/ta/&#2970;&#3014;&#2991;&#3021;&#2980;&#3007;&#2965;&#2995;&#3021;/&#2984;&#3006;&#2975;&#3009;&#2965;&#2995;&#3021;/&#2953;&#2994;&#2965;-&#2970;&#3014;&#2991;&#3021;&#2980;&#3007;&#2965;&#2995;&#3021;/2024-&#2950;&#2995;&#3009;&#2990;&#3021;-&#2965;&#3009;&#2996;&#3009;&#2997;&#3007;&#2985;&#3021;-&#2949;&#2993;&#3007;&#2965;&#3021;&#2965;&#3016;-8/" TargetMode="External" Id="rId3233"/><Relationship Type="http://schemas.openxmlformats.org/officeDocument/2006/relationships/hyperlink" Target="https://cms-imgp.jw-cdn.org/img/p/1112024023/univ/art/1112024023_univ_lsr_lg.jpg" TargetMode="External" Id="rId3234"/><Relationship Type="http://schemas.openxmlformats.org/officeDocument/2006/relationships/hyperlink" Target="https://wol.jw.org/en/wol/d/r1/lp-e/1200277174" TargetMode="External" Id="rId3235"/><Relationship Type="http://schemas.openxmlformats.org/officeDocument/2006/relationships/hyperlink" Target="https://wol.jw.org/en/wol/d/r1/lp-e/1200277174" TargetMode="External" Id="rId3236"/><Relationship Type="http://schemas.openxmlformats.org/officeDocument/2006/relationships/hyperlink" Target="https://wol.jw.org/en/wol/d/r1/lp-e/1200277174" TargetMode="External" Id="rId3237"/><Relationship Type="http://schemas.openxmlformats.org/officeDocument/2006/relationships/hyperlink" Target="https://wol.jw.org/en/wol/d/r1/lp-e/1200277174" TargetMode="External" Id="rId3238"/><Relationship Type="http://schemas.openxmlformats.org/officeDocument/2006/relationships/hyperlink" Target="https://wol.jw.org/en/wol/d/r1/lp-e/1200277174" TargetMode="External" Id="rId3239"/><Relationship Type="http://schemas.openxmlformats.org/officeDocument/2006/relationships/hyperlink" Target="https://wol.jw.org/en/wol/d/r1/lp-e/1200271388" TargetMode="External" Id="rId3240"/><Relationship Type="http://schemas.openxmlformats.org/officeDocument/2006/relationships/hyperlink" Target="https://www.jw.org/en/library/books/2025-Service-Year-Report-of-Jehovahs-Witnesses-Worldwide/2025-Grand-Totals/" TargetMode="External" Id="rId3241"/><Relationship Type="http://schemas.openxmlformats.org/officeDocument/2006/relationships/hyperlink" Target="https://www.jw.org/ta/&#2994;&#3016;&#2986;&#3021;&#2992;&#2992;&#3007;/&#2986;&#3009;&#2980;&#3021;&#2980;&#2965;&#2969;&#3021;&#2965;&#2995;&#3021;/2025-Service-Year-Report-of-Jehovahs-Witnesses-Worldwide/2025-&#2990;&#3018;&#2980;&#3021;&#2980;-&#2958;&#2979;&#3021;&#2979;&#3007;&#2965;&#3021;&#2965;&#3016;/" TargetMode="External" Id="rId3242"/><Relationship Type="http://schemas.openxmlformats.org/officeDocument/2006/relationships/hyperlink" Target="https://cms-imgp.jw-cdn.org/img/p/1112024040/univ/art/1112024040_univ_lsr_lg.jpg" TargetMode="External" Id="rId3243"/><Relationship Type="http://schemas.openxmlformats.org/officeDocument/2006/relationships/hyperlink" Target="https://www.jw.org/en/news/region/global/2025-Governing-Body-Update-1/" TargetMode="External" Id="rId3244"/><Relationship Type="http://schemas.openxmlformats.org/officeDocument/2006/relationships/hyperlink" Target="https://www.jw.org/ta/&#2970;&#3014;&#2991;&#3021;&#2980;&#3007;&#2965;&#2995;&#3021;/&#2984;&#3006;&#2975;&#3009;&#2965;&#2995;&#3021;/&#2953;&#2994;&#2965;-&#2970;&#3014;&#2991;&#3021;&#2980;&#3007;&#2965;&#2995;&#3021;/2025-&#2950;&#2995;&#3009;&#2990;&#3021;-&#2965;&#3009;&#2996;&#3009;&#2997;&#3007;&#2985;&#3021;-&#2949;&#2993;&#3007;&#2965;&#3021;&#2965;&#3016;-1/" TargetMode="External" Id="rId3245"/><Relationship Type="http://schemas.openxmlformats.org/officeDocument/2006/relationships/hyperlink" Target="https://cms-imgp.jw-cdn.org/img/p/1112024026/univ/art/1112024026_univ_lsr_lg.jpg" TargetMode="External" Id="rId3246"/><Relationship Type="http://schemas.openxmlformats.org/officeDocument/2006/relationships/hyperlink" Target="https://www.jw.org/en/news/region/global/2025-Governing-Body-Update-2/" TargetMode="External" Id="rId3247"/><Relationship Type="http://schemas.openxmlformats.org/officeDocument/2006/relationships/hyperlink" Target="https://www.jw.org/ta/&#2970;&#3014;&#2991;&#3021;&#2980;&#3007;&#2965;&#2995;&#3021;/&#2984;&#3006;&#2975;&#3009;&#2965;&#2995;&#3021;/&#2953;&#2994;&#2965;-&#2970;&#3014;&#2991;&#3021;&#2980;&#3007;&#2965;&#2995;&#3021;/2025-&#2950;&#2995;&#3009;&#2990;&#3021;-&#2965;&#3009;&#2996;&#3009;&#2997;&#3007;&#2985;&#3021;-&#2949;&#2993;&#3007;&#2965;&#3021;&#2965;&#3016;-2/" TargetMode="External" Id="rId3248"/><Relationship Type="http://schemas.openxmlformats.org/officeDocument/2006/relationships/hyperlink" Target="https://cms-imgp.jw-cdn.org/img/p/1112024029/univ/art/1112024029_univ_lsr_lg.jpg" TargetMode="External" Id="rId3249"/><Relationship Type="http://schemas.openxmlformats.org/officeDocument/2006/relationships/hyperlink" Target="https://www.jw.org/en/news/region/global/2025-Governing-Body-Update-4/" TargetMode="External" Id="rId3250"/><Relationship Type="http://schemas.openxmlformats.org/officeDocument/2006/relationships/hyperlink" Target="https://www.jw.org/ta/&#2970;&#3014;&#2991;&#3021;&#2980;&#3007;&#2965;&#2995;&#3021;/&#2984;&#3006;&#2975;&#3009;&#2965;&#2995;&#3021;/&#2953;&#2994;&#2965;-&#2970;&#3014;&#2991;&#3021;&#2980;&#3007;&#2965;&#2995;&#3021;/2025-&#2950;&#2995;&#3009;&#2990;&#3021;-&#2965;&#3009;&#2996;&#3009;&#2997;&#3007;&#2985;&#3021;-&#2949;&#2993;&#3007;&#2965;&#3021;&#2965;&#3016;-4/" TargetMode="External" Id="rId3251"/><Relationship Type="http://schemas.openxmlformats.org/officeDocument/2006/relationships/hyperlink" Target="https://cms-imgp.jw-cdn.org/img/p/1112024035/univ/art/1112024035_univ_lsr_lg.jpg" TargetMode="External" Id="rId3252"/><Relationship Type="http://schemas.openxmlformats.org/officeDocument/2006/relationships/hyperlink" Target="https://www.jw.org/en/news/region/global/New-World-Translation-of-the-Christian-Greek-Scriptures-First-Released-75-Years-Ago/" TargetMode="External" Id="rId3253"/><Relationship Type="http://schemas.openxmlformats.org/officeDocument/2006/relationships/hyperlink" Target="https://cms-imgp.jw-cdn.org/img/p/702025088/univ/art/702025088_univ_lsr_lg.jpg" TargetMode="External" Id="rId3254"/><Relationship Type="http://schemas.openxmlformats.org/officeDocument/2006/relationships/hyperlink" Target="https://www.jw.org/en/news/region/global/2025-Governing-Body-Update-5/" TargetMode="External" Id="rId3255"/><Relationship Type="http://schemas.openxmlformats.org/officeDocument/2006/relationships/hyperlink" Target="https://www.jw.org/ta/&#2970;&#3014;&#2991;&#3021;&#2980;&#3007;&#2965;&#2995;&#3021;/&#2984;&#3006;&#2975;&#3009;&#2965;&#2995;&#3021;/&#2953;&#2994;&#2965;-&#2970;&#3014;&#2991;&#3021;&#2980;&#3007;&#2965;&#2995;&#3021;/2025-&#2950;&#2995;&#3009;&#2990;&#3021;-&#2965;&#3009;&#2996;&#3009;&#2997;&#3007;&#2985;&#3021;-&#2949;&#2993;&#3007;&#2965;&#3021;&#2965;&#3016;-5/" TargetMode="External" Id="rId3256"/><Relationship Type="http://schemas.openxmlformats.org/officeDocument/2006/relationships/hyperlink" Target="https://cms-imgp.jw-cdn.org/img/p/1112024036/univ/art/1112024036_univ_lsr_lg.jpg" TargetMode="External" Id="rId3257"/><Relationship Type="http://schemas.openxmlformats.org/officeDocument/2006/relationships/hyperlink" Target="https://www.jw.org/en/news/region/global/2025-Governing-Body-Update-6/" TargetMode="External" Id="rId3258"/><Relationship Type="http://schemas.openxmlformats.org/officeDocument/2006/relationships/hyperlink" Target="https://www.jw.org/ta/&#2970;&#3014;&#2991;&#3021;&#2980;&#3007;&#2965;&#2995;&#3021;/&#2984;&#3006;&#2975;&#3009;&#2965;&#2995;&#3021;/&#2953;&#2994;&#2965;-&#2970;&#3014;&#2991;&#3021;&#2980;&#3007;&#2965;&#2995;&#3021;/2025-&#2950;&#2995;&#3009;&#2990;&#3021;-&#2965;&#3009;&#2996;&#3009;&#2997;&#3007;&#2985;&#3021;-&#2949;&#2993;&#3007;&#2965;&#3021;&#2965;&#3016;-6/" TargetMode="External" Id="rId3259"/><Relationship Type="http://schemas.openxmlformats.org/officeDocument/2006/relationships/hyperlink" Target="https://cms-imgp.jw-cdn.org/img/p/1112024039/univ/art/1112024039_univ_lsr_lg.jpg" TargetMode="External" Id="rId3260"/><Relationship Type="http://schemas.openxmlformats.org/officeDocument/2006/relationships/hyperlink" Target="https://www.jw.org/en/news/region/global/Ramapo-Construction-Update-2/" TargetMode="External" Id="rId3261"/><Relationship Type="http://schemas.openxmlformats.org/officeDocument/2006/relationships/hyperlink" Target="https://cms-imgp.jw-cdn.org/img/p/702026009/univ/art/702026009_univ_lsr_lg.jpg" TargetMode="External" Id="rId3262"/><Relationship Type="http://schemas.openxmlformats.org/officeDocument/2006/relationships/hyperlink" Target="https://www.jw.org/en/news/region/global/2025-Governing-Body-Update-8/" TargetMode="External" Id="rId3263"/><Relationship Type="http://schemas.openxmlformats.org/officeDocument/2006/relationships/hyperlink" Target="https://www.jw.org/ta/&#2970;&#3014;&#2991;&#3021;&#2980;&#3007;&#2965;&#2995;&#3021;/&#2984;&#3006;&#2975;&#3009;&#2965;&#2995;&#3021;/&#2953;&#2994;&#2965;-&#2970;&#3014;&#2991;&#3021;&#2980;&#3007;&#2965;&#2995;&#3021;/2025-&#2950;&#2995;&#3009;&#2990;&#3021;-&#2965;&#3009;&#2996;&#3009;&#2997;&#3007;&#2985;&#3021;-&#2949;&#2993;&#3007;&#2965;&#3021;&#2965;&#3016;-8/" TargetMode="External" Id="rId3264"/><Relationship Type="http://schemas.openxmlformats.org/officeDocument/2006/relationships/hyperlink" Target="https://cms-imgp.jw-cdn.org/img/p/1112024041/univ/art/1112024041_univ_lsr_lg.jpg" TargetMode="External" Id="rId3265"/><Relationship Type="http://schemas.openxmlformats.org/officeDocument/2006/relationships/hyperlink" Target="https://wol.jw.org/en/wol/d/r1/lp-e/1200277174" TargetMode="External" Id="rId3266"/><Relationship Type="http://schemas.openxmlformats.org/officeDocument/2006/relationships/hyperlink" Target="https://wol.jw.org/en/wol/d/r1/lp-e/1200277174" TargetMode="External" Id="rId3267"/><Relationship Type="http://schemas.openxmlformats.org/officeDocument/2006/relationships/hyperlink" Target="https://wol.jw.org/en/wol/d/r1/lp-e/1200277174" TargetMode="External" Id="rId3268"/><Relationship Type="http://schemas.openxmlformats.org/officeDocument/2006/relationships/hyperlink" Target="https://wol.jw.org/en/wol/d/r1/lp-e/1200277174" TargetMode="External" Id="rId3269"/><Relationship Type="http://schemas.openxmlformats.org/officeDocument/2006/relationships/hyperlink" Target="https://www.jw.org/en/news/region/global/Ramapo-Construction-Update-2/" TargetMode="External" Id="rId3270"/><Relationship Type="http://schemas.openxmlformats.org/officeDocument/2006/relationships/hyperlink" Target="https://cms-imgp.jw-cdn.org/img/p/702026009/univ/art/702026009_univ_lsr_lg.jpg" TargetMode="External" Id="rId3271"/><Relationship Type="http://schemas.openxmlformats.org/officeDocument/2006/relationships/hyperlink" Target="https://www.jw.org/en/news/region/global/2026-Governing-Body-Update-1/" TargetMode="External" Id="rId3272"/><Relationship Type="http://schemas.openxmlformats.org/officeDocument/2006/relationships/hyperlink" Target="https://www.jw.org/ta/&#2970;&#3014;&#2991;&#3021;&#2980;&#3007;&#2965;&#2995;&#3021;/&#2984;&#3006;&#2975;&#3009;&#2965;&#2995;&#3021;/&#2953;&#2994;&#2965;-&#2970;&#3014;&#2991;&#3021;&#2980;&#3007;&#2965;&#2995;&#3021;/2026-&#2950;&#2995;&#3009;&#2990;&#3021;-&#2965;&#3009;&#2996;&#3009;&#2997;&#3007;&#2985;&#3021;-&#2949;&#2993;&#3007;&#2965;&#3021;&#2965;&#3016;-1/" TargetMode="External" Id="rId3273"/><Relationship Type="http://schemas.openxmlformats.org/officeDocument/2006/relationships/hyperlink" Target="https://cms-imgp.jw-cdn.org/img/p/1112024048/univ/art/1112024048_univ_lsr_lg.jpg" TargetMode="External" Id="rId3274"/><Relationship Type="http://schemas.openxmlformats.org/officeDocument/2006/relationships/hyperlink" Target="https://www.jw.org/en/news/region/global/2026-Governing-Body-Update-2/" TargetMode="External" Id="rId3275"/><Relationship Type="http://schemas.openxmlformats.org/officeDocument/2006/relationships/hyperlink" Target="https://www.jw.org/ta/&#2970;&#3014;&#2991;&#3021;&#2980;&#3007;&#2965;&#2995;&#3021;/&#2984;&#3006;&#2975;&#3009;&#2965;&#2995;&#3021;/&#2953;&#2994;&#2965;-&#2970;&#3014;&#2991;&#3021;&#2980;&#3007;&#2965;&#2995;&#3021;/2026-&#2950;&#2995;&#3009;&#2990;&#3021;-&#2965;&#3009;&#2996;&#3009;&#2997;&#3007;&#2985;&#3021;-&#2949;&#2993;&#3007;&#2965;&#3021;&#2965;&#3016;-2/" TargetMode="External" Id="rId3276"/><Relationship Type="http://schemas.openxmlformats.org/officeDocument/2006/relationships/hyperlink" Target="https://cms-imgp.jw-cdn.org/img/p/1112024049/univ/art/1112024049_univ_lsr_lg.jpg" TargetMode="External" Id="rId3277"/><Relationship Type="http://schemas.openxmlformats.org/officeDocument/2006/relationships/hyperlink" Target="https://www.jw.org/en/news/region/global/2026-Governing-Body-Update-3/" TargetMode="External" Id="rId3278"/><Relationship Type="http://schemas.openxmlformats.org/officeDocument/2006/relationships/hyperlink" Target="https://www.jw.org/ta/&#2970;&#3014;&#2991;&#3021;&#2980;&#3007;&#2965;&#2995;&#3021;/&#2984;&#3006;&#2975;&#3009;&#2965;&#2995;&#3021;/&#2953;&#2994;&#2965;-&#2970;&#3014;&#2991;&#3021;&#2980;&#3007;&#2965;&#2995;&#3021;/2026-&#2950;&#2995;&#3009;&#2990;&#3021;-&#2965;&#3009;&#2996;&#3009;&#2997;&#3007;&#2985;&#3021;-&#2949;&#2993;&#3007;&#2965;&#3021;&#2965;&#3016;-3/" TargetMode="External" Id="rId3279"/><Relationship Type="http://schemas.openxmlformats.org/officeDocument/2006/relationships/hyperlink" Target="https://cms-imgp.jw-cdn.org/img/p/1112024050/univ/art/1112024050_univ_lsr_lg.jpg" TargetMode="External" Id="rId3280"/><Relationship Type="http://schemas.openxmlformats.org/officeDocument/2006/relationships/hyperlink" Target="https://www.jw.org/en/news/region/global/Door-to-Door-Preaching-Constitutes-for-Jehovahs-Witnesses-an-Essential-Manifestation-of-Their-Religion/" TargetMode="External" Id="rId3281"/><Relationship Type="http://schemas.openxmlformats.org/officeDocument/2006/relationships/hyperlink" Target="https://cms-imgp.jw-cdn.org/img/p/702026117/univ/art/702026117_univ_lsr_lg.jpg" TargetMode="External" Id="rId3282"/><Relationship Type="http://schemas.openxmlformats.org/officeDocument/2006/relationships/hyperlink" Target="https://www.jw.org/en/news/region/global/2026-Governing-Body-Update-4/" TargetMode="External" Id="rId3283"/><Relationship Type="http://schemas.openxmlformats.org/officeDocument/2006/relationships/hyperlink" Target="https://www.jw.org/ta/&#2970;&#3014;&#2991;&#3021;&#2980;&#3007;&#2965;&#2995;&#3021;/&#2984;&#3006;&#2975;&#3009;&#2965;&#2995;&#3021;/&#2953;&#2994;&#2965;-&#2970;&#3014;&#2991;&#3021;&#2980;&#3007;&#2965;&#2995;&#3021;/2026-&#2950;&#2995;&#3009;&#2990;&#3021;-&#2965;&#3009;&#2996;&#3009;&#2997;&#3007;&#2985;&#3021;-&#2949;&#2993;&#3007;&#2965;&#3021;&#2965;&#3016;-4/" TargetMode="External" Id="rId3284"/><Relationship Type="http://schemas.openxmlformats.org/officeDocument/2006/relationships/hyperlink" Target="https://cms-imgp.jw-cdn.org/img/p/1112024061/univ/art/1112024061_univ_lsr_lg.jpg" TargetMode="External" Id="rId3285"/><Relationship Type="http://schemas.openxmlformats.org/officeDocument/2006/relationships/hyperlink" Target="https://www.jw.org/en/news/region/global/2026-Eternal-Happiness-International-Conventions-Get-Underway-in-Cameroon-and-Romania/" TargetMode="External" Id="rId3286"/><Relationship Type="http://schemas.openxmlformats.org/officeDocument/2006/relationships/hyperlink" Target="https://cms-imgp.jw-cdn.org/img/p/702026102/univ/art/702026102_univ_lsr_lg.jpg" TargetMode="External" Id="rId3287"/><Relationship Type="http://schemas.openxmlformats.org/officeDocument/2006/relationships/hyperlink" Target="https://www.jw.org/en/news/region/united-states/Witnesses-Purchase-Property-Near-World-Headquarters-in-Warwick-New-York-USA/" TargetMode="External" Id="rId3288"/><Relationship Type="http://schemas.openxmlformats.org/officeDocument/2006/relationships/hyperlink" Target="https://www.jw.org/ta/&#2970;&#3014;&#2991;&#3021;&#2980;&#3007;&#2965;&#2995;&#3021;/&#2984;&#3006;&#2975;&#3009;&#2965;&#2995;&#3021;/&#2949;&#2990;&#3014;&#2992;&#3007;&#2965;&#3021;&#2965;&#3006;/&#2949;&#2990;&#3014;&#2992;&#3007;&#2965;&#3021;&#2965;&#3006;&#2997;&#3007;&#2994;&#3021;-&#2984;&#3007;&#2991;&#3009;-&#2991;&#3006;&#2992;&#3021;&#2965;&#3021;&#2965;&#3007;&#2994;&#3021;-&#2951;&#2992;&#3009;&#2965;&#3021;&#2965;&#3007;&#2993;-&#2997;&#3006;&#2992;&#3021;&#2997;&#3007;&#2965;&#3021;-&#2953;&#2994;&#2965;&#2980;&#3021;-&#2980;&#2994;&#3016;&#2990;&#3016;-&#2949;&#2994;&#3009;&#2997;&#2994;&#2965;&#2980;&#3021;&#2980;&#3009;&#2965;&#3021;&#2965;&#3009;-&#2949;&#2992;&#3009;&#2965;&#3007;&#2994;&#3021;-&#2970;&#3006;&#2975;&#3021;&#2970;&#3007;&#2965;&#2995;&#3021;-&#2951;&#2975;&#2980;&#3021;&#2980;&#3016;-&#2997;&#3006;&#2969;&#3021;&#2965;&#3007;&#2991;&#3007;&#2992;&#3009;&#2965;&#3021;&#2965;&#3007;&#2993;&#3006;&#2992;&#3021;&#2965;&#2995;&#3021;/" TargetMode="External" Id="rId3289"/><Relationship Type="http://schemas.openxmlformats.org/officeDocument/2006/relationships/hyperlink" Target="https://cms-imgp.jw-cdn.org/img/p/702026132/univ/art/702026132_univ_lsr_lg.jpg" TargetMode="External" Id="rId3290"/><Relationship Type="http://schemas.openxmlformats.org/officeDocument/2006/relationships/hyperlink" Target="https://www.jw.org/en/news/region/ukraine/European-Court-of-Human-Rights-Rules-in-Favor-of-Religious-Tolerance-in-Ukraine/" TargetMode="External" Id="rId3291"/><Relationship Type="http://schemas.openxmlformats.org/officeDocument/2006/relationships/hyperlink" Target="https://cms-imgp.jw-cdn.org/img/p/702026162/univ/art/702026162_univ_lsr_lg.jpg" TargetMode="External" Id="rId3292"/><Relationship Type="http://schemas.openxmlformats.org/officeDocument/2006/relationships/hyperlink" Target="https://www.jw.org/en/news/region/global/2026-Governing-Body-Update-5/" TargetMode="External" Id="rId3293"/><Relationship Type="http://schemas.openxmlformats.org/officeDocument/2006/relationships/hyperlink" Target="https://www.jw.org/ta/&#2970;&#3014;&#2991;&#3021;&#2980;&#3007;&#2965;&#2995;&#3021;/&#2984;&#3006;&#2975;&#3009;&#2965;&#2995;&#3021;/&#2953;&#2994;&#2965;-&#2970;&#3014;&#2991;&#3021;&#2980;&#3007;&#2965;&#2995;&#3021;/2026-&#2950;&#2995;&#3009;&#2990;&#3021;-&#2965;&#3009;&#2996;&#3009;&#2997;&#3007;&#2985;&#3021;-&#2949;&#2993;&#3007;&#2965;&#3021;&#2965;&#3016;-5/" TargetMode="External" Id="rId3294"/><Relationship Type="http://schemas.openxmlformats.org/officeDocument/2006/relationships/hyperlink" Target="https://cms-imgp.jw-cdn.org/img/p/1112024059/univ/art/1112024059_univ_lsr_lg.jpg" TargetMode="External" Id="rId3295"/><Relationship Type="http://schemas.openxmlformats.org/officeDocument/2006/relationships/hyperlink" Target="https://www.jw.org/en/news/region/global/Ramapo-Construction-Update-3/" TargetMode="External" Id="rId3296"/><Relationship Type="http://schemas.openxmlformats.org/officeDocument/2006/relationships/hyperlink" Target="https://cms-imgp.jw-cdn.org/img/p/702026115/univ/art/702026115_univ_lsr_lg.jpg" TargetMode="External" Id="rId3297"/><Relationship Type="http://schemas.openxmlformats.org/officeDocument/2006/relationships/hyperlink" Target="https://www.jw.org/en/news/region/moldova/Jehovahs-Witnesses-Conduct-First-Ever-Special-Preaching-Campaign-in-Moldova/" TargetMode="External" Id="rId3298"/><Relationship Type="http://schemas.openxmlformats.org/officeDocument/2006/relationships/hyperlink" Target="https://cms-imgp.jw-cdn.org/img/p/702026167/univ/art/702026167_univ_lsr_lg.jpg" TargetMode="External" Id="rId3299"/><Relationship Type="http://schemas.openxmlformats.org/officeDocument/2006/relationships/hyperlink" Target="https://www.jw.org/en/news/region/global/2026-Governing-Body-Update-6/" TargetMode="External" Id="rId3300"/><Relationship Type="http://schemas.openxmlformats.org/officeDocument/2006/relationships/hyperlink" Target="https://www.jw.org/ta/&#2970;&#3014;&#2991;&#3021;&#2980;&#3007;&#2965;&#2995;&#3021;/&#2984;&#3006;&#2975;&#3009;&#2965;&#2995;&#3021;/&#2953;&#2994;&#2965;-&#2970;&#3014;&#2991;&#3021;&#2980;&#3007;&#2965;&#2995;&#3021;/2026-&#2950;&#2995;&#3009;&#2990;&#3021;-&#2965;&#3009;&#2996;&#3009;&#2997;&#3007;&#2985;&#3021;-&#2949;&#2993;&#3007;&#2965;&#3021;&#2965;&#3016;-6/" TargetMode="External" Id="rId3301"/><Relationship Type="http://schemas.openxmlformats.org/officeDocument/2006/relationships/hyperlink" Target="https://cms-imgp.jw-cdn.org/img/p/1112024060/univ/art/1112024060_univ_lsr_lg.jpg" TargetMode="External" Id="rId3302"/><Relationship Type="http://schemas.openxmlformats.org/officeDocument/2006/relationships/hyperlink" Target="https://wol.jw.org/en/wol/d/r1/lp-e/1102014263" TargetMode="External" Id="rId3303"/><Relationship Type="http://schemas.openxmlformats.org/officeDocument/2006/relationships/hyperlink" Target="https://wol.jw.org/ta/wol/d/r122/lp-tl/1102014263" TargetMode="External" Id="rId3304"/><Relationship Type="http://schemas.openxmlformats.org/officeDocument/2006/relationships/hyperlink" Target="https://wol.jw.org/en/wol/mp/r1/lp-e/kr/2014/409" TargetMode="External" Id="rId3305"/><Relationship Type="http://schemas.openxmlformats.org/officeDocument/2006/relationships/hyperlink" Target="https://wol.jw.org/en/wol/d/r1/lp-e/1102014263" TargetMode="External" Id="rId3306"/><Relationship Type="http://schemas.openxmlformats.org/officeDocument/2006/relationships/hyperlink" Target="https://wol.jw.org/ta/wol/d/r122/lp-tl/1102014263" TargetMode="External" Id="rId3307"/><Relationship Type="http://schemas.openxmlformats.org/officeDocument/2006/relationships/hyperlink" Target="https://wol.jw.org/en/wol/d/r1/lp-e/1102014263" TargetMode="External" Id="rId3308"/><Relationship Type="http://schemas.openxmlformats.org/officeDocument/2006/relationships/hyperlink" Target="https://wol.jw.org/ta/wol/d/r122/lp-tl/1102014263" TargetMode="External" Id="rId3309"/><Relationship Type="http://schemas.openxmlformats.org/officeDocument/2006/relationships/hyperlink" Target="https://wol.jw.org/en/wol/mp/r1/lp-e/kr/2014/411" TargetMode="External" Id="rId3310"/><Relationship Type="http://schemas.openxmlformats.org/officeDocument/2006/relationships/hyperlink" Target="https://wol.jw.org/en/wol/d/r1/lp-e/1102014263" TargetMode="External" Id="rId3311"/><Relationship Type="http://schemas.openxmlformats.org/officeDocument/2006/relationships/hyperlink" Target="https://wol.jw.org/ta/wol/d/r122/lp-tl/1102014263" TargetMode="External" Id="rId3312"/><Relationship Type="http://schemas.openxmlformats.org/officeDocument/2006/relationships/hyperlink" Target="https://wol.jw.org/en/wol/d/r1/lp-e/1102014263" TargetMode="External" Id="rId3313"/><Relationship Type="http://schemas.openxmlformats.org/officeDocument/2006/relationships/hyperlink" Target="https://wol.jw.org/ta/wol/d/r122/lp-tl/1102014263" TargetMode="External" Id="rId3314"/><Relationship Type="http://schemas.openxmlformats.org/officeDocument/2006/relationships/hyperlink" Target="https://wol.jw.org/en/wol/d/r1/lp-e/1102014263" TargetMode="External" Id="rId3315"/><Relationship Type="http://schemas.openxmlformats.org/officeDocument/2006/relationships/hyperlink" Target="https://wol.jw.org/ta/wol/d/r122/lp-tl/1102014263" TargetMode="External" Id="rId3316"/><Relationship Type="http://schemas.openxmlformats.org/officeDocument/2006/relationships/hyperlink" Target="https://wol.jw.org/en/wol/mp/r1/lp-e/kr/2014/413" TargetMode="External" Id="rId3317"/><Relationship Type="http://schemas.openxmlformats.org/officeDocument/2006/relationships/hyperlink" Target="https://wol.jw.org/en/wol/d/r1/lp-e/1102014263" TargetMode="External" Id="rId3318"/><Relationship Type="http://schemas.openxmlformats.org/officeDocument/2006/relationships/hyperlink" Target="https://wol.jw.org/ta/wol/d/r122/lp-tl/1102014263" TargetMode="External" Id="rId3319"/><Relationship Type="http://schemas.openxmlformats.org/officeDocument/2006/relationships/hyperlink" Target="https://wol.jw.org/en/wol/mp/r1/lp-e/kr/2014/415" TargetMode="External" Id="rId3320"/><Relationship Type="http://schemas.openxmlformats.org/officeDocument/2006/relationships/hyperlink" Target="https://wol.jw.org/en/wol/d/r1/lp-e/1102014263" TargetMode="External" Id="rId3321"/><Relationship Type="http://schemas.openxmlformats.org/officeDocument/2006/relationships/hyperlink" Target="https://wol.jw.org/ta/wol/d/r122/lp-tl/1102014263" TargetMode="External" Id="rId3322"/><Relationship Type="http://schemas.openxmlformats.org/officeDocument/2006/relationships/hyperlink" Target="https://wol.jw.org/en/wol/mp/r1/lp-e/kr/2014/417" TargetMode="External" Id="rId3323"/><Relationship Type="http://schemas.openxmlformats.org/officeDocument/2006/relationships/hyperlink" Target="https://wol.jw.org/en/wol/d/r1/lp-e/1102014263" TargetMode="External" Id="rId3324"/><Relationship Type="http://schemas.openxmlformats.org/officeDocument/2006/relationships/hyperlink" Target="https://wol.jw.org/ta/wol/d/r122/lp-tl/1102014263" TargetMode="External" Id="rId3325"/><Relationship Type="http://schemas.openxmlformats.org/officeDocument/2006/relationships/hyperlink" Target="https://wol.jw.org/en/wol/mp/r1/lp-e/kr/2014/419" TargetMode="External" Id="rId3326"/><Relationship Type="http://schemas.openxmlformats.org/officeDocument/2006/relationships/hyperlink" Target="https://wol.jw.org/en/wol/d/r1/lp-e/1102014263" TargetMode="External" Id="rId3327"/><Relationship Type="http://schemas.openxmlformats.org/officeDocument/2006/relationships/hyperlink" Target="https://wol.jw.org/ta/wol/d/r122/lp-tl/1102014263" TargetMode="External" Id="rId3328"/><Relationship Type="http://schemas.openxmlformats.org/officeDocument/2006/relationships/hyperlink" Target="https://wol.jw.org/en/wol/mp/r1/lp-e/kr/2014/407" TargetMode="External" Id="rId3329"/><Relationship Type="http://schemas.openxmlformats.org/officeDocument/2006/relationships/hyperlink" Target="https://wol.jw.org/en/wol/d/r1/lp-e/2015523" TargetMode="External" Id="rId3330"/><Relationship Type="http://schemas.openxmlformats.org/officeDocument/2006/relationships/hyperlink" Target="https://wol.jw.org/ta/wol/d/r122/lp-tl/2015523" TargetMode="External" Id="rId3331"/><Relationship Type="http://schemas.openxmlformats.org/officeDocument/2006/relationships/hyperlink" Target="https://wol.jw.org/en/wol/d/r1/lp-e/1102014263" TargetMode="External" Id="rId3332"/><Relationship Type="http://schemas.openxmlformats.org/officeDocument/2006/relationships/hyperlink" Target="https://wol.jw.org/ta/wol/d/r122/lp-tl/1102014263" TargetMode="External" Id="rId3333"/><Relationship Type="http://schemas.openxmlformats.org/officeDocument/2006/relationships/hyperlink" Target="https://wol.jw.org/en/wol/mp/r1/lp-e/w12/2012/206" TargetMode="External" Id="rId3334"/><Relationship Type="http://schemas.openxmlformats.org/officeDocument/2006/relationships/hyperlink" Target="https://wol.jw.org/en/wol/d/r1/lp-e/1102014263" TargetMode="External" Id="rId3335"/><Relationship Type="http://schemas.openxmlformats.org/officeDocument/2006/relationships/hyperlink" Target="https://wol.jw.org/ta/wol/d/r122/lp-tl/1102014263" TargetMode="External" Id="rId3336"/><Relationship Type="http://schemas.openxmlformats.org/officeDocument/2006/relationships/hyperlink" Target="https://wol.jw.org/en/wol/d/r1/lp-e/2012681" TargetMode="External" Id="rId3337"/><Relationship Type="http://schemas.openxmlformats.org/officeDocument/2006/relationships/hyperlink" Target="https://wol.jw.org/ta/wol/d/r122/lp-tl/2012681" TargetMode="External" Id="rId3338"/><Relationship Type="http://schemas.openxmlformats.org/officeDocument/2006/relationships/hyperlink" Target="https://wol.jw.org/en/wol/mp/r1/lp-e/w12/2012/216" TargetMode="External" Id="rId3339"/><Relationship Type="http://schemas.openxmlformats.org/officeDocument/2006/relationships/hyperlink" Target="https://wol.jw.org/en/wol/d/r1/lp-e/2012681" TargetMode="External" Id="rId3340"/><Relationship Type="http://schemas.openxmlformats.org/officeDocument/2006/relationships/hyperlink" Target="https://wol.jw.org/ta/wol/d/r122/lp-tl/2012681" TargetMode="External" Id="rId3341"/><Relationship Type="http://schemas.openxmlformats.org/officeDocument/2006/relationships/hyperlink" Target="https://wol.jw.org/en/wol/d/r1/lp-e/2022567" TargetMode="External" Id="rId3342"/><Relationship Type="http://schemas.openxmlformats.org/officeDocument/2006/relationships/hyperlink" Target="https://wol.jw.org/ta/wol/d/r122/lp-tl/2022567" TargetMode="External" Id="rId3343"/><Relationship Type="http://schemas.openxmlformats.org/officeDocument/2006/relationships/hyperlink" Target="https://wol.jw.org/en/wol/mp/r1/lp-e/w12/2012/218" TargetMode="External" Id="rId3344"/><Relationship Type="http://schemas.openxmlformats.org/officeDocument/2006/relationships/hyperlink" Target="https://wol.jw.org/en/wol/d/r1/lp-e/2022567" TargetMode="External" Id="rId3345"/><Relationship Type="http://schemas.openxmlformats.org/officeDocument/2006/relationships/hyperlink" Target="https://wol.jw.org/ta/wol/d/r122/lp-tl/2022567" TargetMode="External" Id="rId3346"/><Relationship Type="http://schemas.openxmlformats.org/officeDocument/2006/relationships/hyperlink" Target="https://wol.jw.org/en/wol/mp/r1/lp-e/w22/2022/643" TargetMode="External" Id="rId3347"/><Relationship Type="http://schemas.openxmlformats.org/officeDocument/2006/relationships/hyperlink" Target="https://wol.jw.org/en/wol/d/r1/lp-e/1102017192" TargetMode="External" Id="rId3348"/><Relationship Type="http://schemas.openxmlformats.org/officeDocument/2006/relationships/hyperlink" Target="https://wol.jw.org/ta/wol/d/r122/lp-tl/1102017192" TargetMode="External" Id="rId3349"/><Relationship Type="http://schemas.openxmlformats.org/officeDocument/2006/relationships/hyperlink" Target="https://wol.jw.org/en/wol/mp/r1/lp-e/rr/2018/499" TargetMode="External" Id="rId3350"/><Relationship Type="http://schemas.openxmlformats.org/officeDocument/2006/relationships/hyperlink" Target="https://wol.jw.org/en/wol/d/r1/lp-e/1102017192" TargetMode="External" Id="rId3351"/><Relationship Type="http://schemas.openxmlformats.org/officeDocument/2006/relationships/hyperlink" Target="https://wol.jw.org/ta/wol/d/r122/lp-tl/1102017192" TargetMode="External" Id="rId3352"/><Relationship Type="http://schemas.openxmlformats.org/officeDocument/2006/relationships/hyperlink" Target="https://wol.jw.org/en/wol/mp/r1/lp-e/rr/2018/501" TargetMode="External" Id="rId3353"/><Relationship Type="http://schemas.openxmlformats.org/officeDocument/2006/relationships/hyperlink" Target="https://wol.jw.org/en/wol/d/r1/lp-e/1102017192" TargetMode="External" Id="rId3354"/><Relationship Type="http://schemas.openxmlformats.org/officeDocument/2006/relationships/hyperlink" Target="https://wol.jw.org/ta/wol/d/r122/lp-tl/1102017192" TargetMode="External" Id="rId3355"/><Relationship Type="http://schemas.openxmlformats.org/officeDocument/2006/relationships/hyperlink" Target="https://wol.jw.org/en/wol/mp/r1/lp-e/w22/2022/317" TargetMode="External" Id="rId3356"/></Relationships>
</file>

<file path=xl/worksheets/_rels/sheet3.xml.rels><Relationships xmlns="http://schemas.openxmlformats.org/package/2006/relationships"><Relationship Type="http://schemas.openxmlformats.org/officeDocument/2006/relationships/hyperlink" Target="https://wol.jw.org/en/wol/d/r1/lp-e/1001070224" TargetMode="External" Id="rId1"/><Relationship Type="http://schemas.openxmlformats.org/officeDocument/2006/relationships/hyperlink" Target="https://wol.jw.org/en/wol/d/r1/lp-e/2014763" TargetMode="External" Id="rId2"/><Relationship Type="http://schemas.openxmlformats.org/officeDocument/2006/relationships/hyperlink" Target="https://wol.jw.org/en/wol/d/r1/lp-e/1101999037" TargetMode="External" Id="rId3"/><Relationship Type="http://schemas.openxmlformats.org/officeDocument/2006/relationships/hyperlink" Target="https://wol.jw.org/en/wol/d/r1/lp-e/1001070223" TargetMode="External" Id="rId4"/><Relationship Type="http://schemas.openxmlformats.org/officeDocument/2006/relationships/hyperlink" Target="https://wol.jw.org/en/wol/d/r1/lp-e/1101989039" TargetMode="External" Id="rId5"/><Relationship Type="http://schemas.openxmlformats.org/officeDocument/2006/relationships/hyperlink" Target="https://wol.jw.org/en/wol/d/r1/lp-e/1001070203" TargetMode="External" Id="rId6"/><Relationship Type="http://schemas.openxmlformats.org/officeDocument/2006/relationships/hyperlink" Target="https://wol.jw.org/en/wol/d/r1/lp-e/1001070232" TargetMode="External" Id="rId7"/><Relationship Type="http://schemas.openxmlformats.org/officeDocument/2006/relationships/hyperlink" Target="https://wol.jw.org/en/wol/d/r1/lp-e/1001070230" TargetMode="External" Id="rId8"/><Relationship Type="http://schemas.openxmlformats.org/officeDocument/2006/relationships/hyperlink" Target="https://wol.jw.org/en/wol/d/r1/lp-e/1001070227" TargetMode="External" Id="rId9"/><Relationship Type="http://schemas.openxmlformats.org/officeDocument/2006/relationships/hyperlink" Target="https://wol.jw.org/en/wol/d/r1/lp-e/2020408" TargetMode="External" Id="rId10"/><Relationship Type="http://schemas.openxmlformats.org/officeDocument/2006/relationships/hyperlink" Target="https://wol.jw.org/en/wol/d/r1/lp-e/2005721" TargetMode="External" Id="rId11"/><Relationship Type="http://schemas.openxmlformats.org/officeDocument/2006/relationships/hyperlink" Target="https://wol.jw.org/en/wol/d/r1/lp-e/1200001647" TargetMode="External" Id="rId12"/><Relationship Type="http://schemas.openxmlformats.org/officeDocument/2006/relationships/hyperlink" Target="https://www.jw.org/en/library/books/jesus/messianic-prophecies-fulfilled/" TargetMode="External" Id="rId13"/><Relationship Type="http://schemas.openxmlformats.org/officeDocument/2006/relationships/hyperlink" Target="https://wol.jw.org/en/wol/d/r1/lp-e/1001070222" TargetMode="External" Id="rId14"/><Relationship Type="http://schemas.openxmlformats.org/officeDocument/2006/relationships/hyperlink" Target="https://wol.jw.org/en/wol/d/r1/lp-e/1001070221" TargetMode="External" Id="rId15"/><Relationship Type="http://schemas.openxmlformats.org/officeDocument/2006/relationships/hyperlink" Target="https://wol.jw.org/en/wol/d/r1/lp-e/1001070206" TargetMode="External" Id="rId16"/><Relationship Type="http://schemas.openxmlformats.org/officeDocument/2006/relationships/hyperlink" Target="https://wol.jw.org/en/wol/d/r1/lp-e/1001070226" TargetMode="External" Id="rId17"/><Relationship Type="http://schemas.openxmlformats.org/officeDocument/2006/relationships/hyperlink" Target="https://wol.jw.org/en/wol/d/r1/lp-e/2012446" TargetMode="External" Id="rId18"/><Relationship Type="http://schemas.openxmlformats.org/officeDocument/2006/relationships/hyperlink" Target="https://wol.jw.org/en/wol/d/r1/lp-e/1001070234" TargetMode="External" Id="rId19"/><Relationship Type="http://schemas.openxmlformats.org/officeDocument/2006/relationships/hyperlink" Target="https://wol.jw.org/en/wol/d/r1/lp-e/1001070225" TargetMode="External" Id="rId20"/><Relationship Type="http://schemas.openxmlformats.org/officeDocument/2006/relationships/hyperlink" Target="https://wol.jw.org/en/wol/d/r1/lp-e/1001070228" TargetMode="External" Id="rId21"/><Relationship Type="http://schemas.openxmlformats.org/officeDocument/2006/relationships/hyperlink" Target="https://wol.jw.org/en/wol/d/r1/lp-e/2013531" TargetMode="External" Id="rId22"/><Relationship Type="http://schemas.openxmlformats.org/officeDocument/2006/relationships/hyperlink" Target="https://wol.jw.org/en/wol/d/r1/lp-e/1001061229" TargetMode="External" Id="rId23"/><Relationship Type="http://schemas.openxmlformats.org/officeDocument/2006/relationships/hyperlink" Target="https://wol.jw.org/en/wol/d/r1/lp-e/1001070071" TargetMode="External" Id="rId24"/><Relationship Type="http://schemas.openxmlformats.org/officeDocument/2006/relationships/hyperlink" Target="https://wol.jw.org/en/wol/d/r1/lp-e/2025605" TargetMode="External" Id="rId25"/><Relationship Type="http://schemas.openxmlformats.org/officeDocument/2006/relationships/hyperlink" Target="https://wol.jw.org/en/wol/d/r1/lp-e/1001061226" TargetMode="External" Id="rId26"/><Relationship Type="http://schemas.openxmlformats.org/officeDocument/2006/relationships/hyperlink" Target="https://wol.jw.org/en/wol/d/r1/lp-e/1101990130" TargetMode="External" Id="rId27"/><Relationship Type="http://schemas.openxmlformats.org/officeDocument/2006/relationships/hyperlink" Target="https://wol.jw.org/en/wol/d/r1/lp-e/1101990130" TargetMode="External" Id="rId28"/><Relationship Type="http://schemas.openxmlformats.org/officeDocument/2006/relationships/hyperlink" Target="https://wol.jw.org/en/wol/d/r1/lp-e/1101990130" TargetMode="External" Id="rId29"/><Relationship Type="http://schemas.openxmlformats.org/officeDocument/2006/relationships/hyperlink" Target="https://wol.jw.org/en/wol/d/r1/lp-e/1101990130" TargetMode="External" Id="rId30"/><Relationship Type="http://schemas.openxmlformats.org/officeDocument/2006/relationships/hyperlink" Target="https://wol.jw.org/en/wol/d/r1/lp-e/1200000852" TargetMode="External" Id="rId31"/><Relationship Type="http://schemas.openxmlformats.org/officeDocument/2006/relationships/hyperlink" Target="https://wol.jw.org/en/wol/d/r1/lp-e/1200003447" TargetMode="External" Id="rId32"/><Relationship Type="http://schemas.openxmlformats.org/officeDocument/2006/relationships/hyperlink" Target="https://wol.jw.org/en/wol/d/r1/lp-e/1200000970" TargetMode="External" Id="rId33"/><Relationship Type="http://schemas.openxmlformats.org/officeDocument/2006/relationships/hyperlink" Target="https://wol.jw.org/en/wol/d/r1/lp-e/1101993046" TargetMode="External" Id="rId34"/></Relationships>
</file>

<file path=xl/worksheets/_rels/sheet6.xml.rels><Relationships xmlns="http://schemas.openxmlformats.org/package/2006/relationships"><Relationship Type="http://schemas.openxmlformats.org/officeDocument/2006/relationships/hyperlink" Target="https://wol.jw.org/en/wol/d/r1/lp-e/1101990130" TargetMode="External" Id="rId1"/><Relationship Type="http://schemas.openxmlformats.org/officeDocument/2006/relationships/hyperlink" Target="https://wol.jw.org/ta/wol/d/r122/lp-tl/1101990130" TargetMode="External" Id="rId2"/><Relationship Type="http://schemas.openxmlformats.org/officeDocument/2006/relationships/hyperlink" Target="https://wol.jw.org/en/wol/d/r1/lp-e/1200000970" TargetMode="External" Id="rId3"/><Relationship Type="http://schemas.openxmlformats.org/officeDocument/2006/relationships/hyperlink" Target="https://wol.jw.org/en/wol/d/r1/lp-e/1200002451" TargetMode="External" Id="rId4"/><Relationship Type="http://schemas.openxmlformats.org/officeDocument/2006/relationships/hyperlink" Target="https://wol.jw.org/en/wol/d/r1/lp-e/1200277174" TargetMode="External" Id="rId5"/><Relationship Type="http://schemas.openxmlformats.org/officeDocument/2006/relationships/hyperlink" Target="https://wol.jw.org/en/wol/d/r1/lp-e/1101993046" TargetMode="External" Id="rId6"/><Relationship Type="http://schemas.openxmlformats.org/officeDocument/2006/relationships/hyperlink" Target="https://wol.jw.org/en/wol/d/r1/lp-e/1001070071" TargetMode="External" Id="rId7"/><Relationship Type="http://schemas.openxmlformats.org/officeDocument/2006/relationships/hyperlink" Target="https://wol.jw.org/ta/wol/d/r122/lp-tl/1001070071" TargetMode="External" Id="rId8"/><Relationship Type="http://schemas.openxmlformats.org/officeDocument/2006/relationships/hyperlink" Target="https://wol.jw.org/en/wol/d/r1/lp-e/1001060002" TargetMode="External" Id="rId9"/><Relationship Type="http://schemas.openxmlformats.org/officeDocument/2006/relationships/hyperlink" Target="https://wol.jw.org/en/wol/d/r1/lp-e/1200271388" TargetMode="External" Id="rId10"/><Relationship Type="http://schemas.openxmlformats.org/officeDocument/2006/relationships/hyperlink" Target="https://wol.jw.org/en/wol/d/r1/lp-e/1102009041" TargetMode="External" Id="rId11"/><Relationship Type="http://schemas.openxmlformats.org/officeDocument/2006/relationships/hyperlink" Target="https://wol.jw.org/ta/wol/d/r122/lp-tl/1102009041" TargetMode="External" Id="rId12"/><Relationship Type="http://schemas.openxmlformats.org/officeDocument/2006/relationships/hyperlink" Target="https://wol.jw.org/en/wol/d/r1/lp-e/1001070206" TargetMode="External" Id="rId13"/><Relationship Type="http://schemas.openxmlformats.org/officeDocument/2006/relationships/hyperlink" Target="https://wol.jw.org/ta/wol/d/r122/lp-tl/1001070206" TargetMode="External" Id="rId14"/><Relationship Type="http://schemas.openxmlformats.org/officeDocument/2006/relationships/hyperlink" Target="https://wol.jw.org/en/wol/d/r1/lp-e/1200271562" TargetMode="External" Id="rId15"/><Relationship Type="http://schemas.openxmlformats.org/officeDocument/2006/relationships/hyperlink" Target="https://wol.jw.org/en/wol/d/r1/lp-e/1102014241" TargetMode="External" Id="rId16"/><Relationship Type="http://schemas.openxmlformats.org/officeDocument/2006/relationships/hyperlink" Target="https://wol.jw.org/ta/wol/d/r122/lp-tl/1102014241" TargetMode="External" Id="rId17"/><Relationship Type="http://schemas.openxmlformats.org/officeDocument/2006/relationships/hyperlink" Target="https://wol.jw.org/en/wol/d/r1/lp-e/1001061215" TargetMode="External" Id="rId18"/><Relationship Type="http://schemas.openxmlformats.org/officeDocument/2006/relationships/hyperlink" Target="https://wol.jw.org/ta/wol/d/r122/lp-tl/1001061215" TargetMode="External" Id="rId19"/><Relationship Type="http://schemas.openxmlformats.org/officeDocument/2006/relationships/hyperlink" Target="https://wol.jw.org/en/wol/d/r1/lp-e/1102014255" TargetMode="External" Id="rId20"/><Relationship Type="http://schemas.openxmlformats.org/officeDocument/2006/relationships/hyperlink" Target="https://wol.jw.org/ta/wol/d/r122/lp-tl/1102014255" TargetMode="External" Id="rId21"/><Relationship Type="http://schemas.openxmlformats.org/officeDocument/2006/relationships/hyperlink" Target="https://wol.jw.org/en/wol/d/r1/lp-e/1101993006#h=19" TargetMode="External" Id="rId22"/><Relationship Type="http://schemas.openxmlformats.org/officeDocument/2006/relationships/hyperlink" Target="https://wol.jw.org/en/wol/d/r1/lp-e/1200004359" TargetMode="External" Id="rId23"/><Relationship Type="http://schemas.openxmlformats.org/officeDocument/2006/relationships/hyperlink" Target="https://wol.jw.org/en/wol/d/r1/lp-e/1101999032" TargetMode="External" Id="rId24"/><Relationship Type="http://schemas.openxmlformats.org/officeDocument/2006/relationships/hyperlink" Target="https://wol.jw.org/ta/wol/d/r122/lp-tl/1101999032" TargetMode="External" Id="rId25"/><Relationship Type="http://schemas.openxmlformats.org/officeDocument/2006/relationships/hyperlink" Target="https://wol.jw.org/en/wol/d/r1/lp-e/1102014247" TargetMode="External" Id="rId26"/><Relationship Type="http://schemas.openxmlformats.org/officeDocument/2006/relationships/hyperlink" Target="https://wol.jw.org/ta/wol/d/r122/lp-tl/1102014247" TargetMode="External" Id="rId27"/><Relationship Type="http://schemas.openxmlformats.org/officeDocument/2006/relationships/hyperlink" Target="https://wol.jw.org/en/wol/d/r1/lp-e/1101999023" TargetMode="External" Id="rId28"/><Relationship Type="http://schemas.openxmlformats.org/officeDocument/2006/relationships/hyperlink" Target="https://wol.jw.org/ta/wol/d/r122/lp-tl/1101999023" TargetMode="External" Id="rId29"/><Relationship Type="http://schemas.openxmlformats.org/officeDocument/2006/relationships/hyperlink" Target="https://wol.jw.org/en/wol/d/r1/lp-e/1200010959" TargetMode="External" Id="rId30"/><Relationship Type="http://schemas.openxmlformats.org/officeDocument/2006/relationships/hyperlink" Target="https://wol.jw.org/en/wol/d/r1/lp-e/1001070209" TargetMode="External" Id="rId31"/><Relationship Type="http://schemas.openxmlformats.org/officeDocument/2006/relationships/hyperlink" Target="https://wol.jw.org/ta/wol/d/r122/lp-tl/1001070209" TargetMode="External" Id="rId32"/><Relationship Type="http://schemas.openxmlformats.org/officeDocument/2006/relationships/hyperlink" Target="https://wol.jw.org/en/wol/d/r1/lp-e/1001061209" TargetMode="External" Id="rId33"/><Relationship Type="http://schemas.openxmlformats.org/officeDocument/2006/relationships/hyperlink" Target="https://wol.jw.org/ta/wol/d/r122/lp-tl/1001061209" TargetMode="External" Id="rId34"/><Relationship Type="http://schemas.openxmlformats.org/officeDocument/2006/relationships/hyperlink" Target="https://wol.jw.org/en/wol/d/r1/lp-e/1101990045#h=16" TargetMode="External" Id="rId35"/><Relationship Type="http://schemas.openxmlformats.org/officeDocument/2006/relationships/hyperlink" Target="https://wol.jw.org/ta/wol/d/r122/lp-tl/1101990045#h=16" TargetMode="External" Id="rId36"/><Relationship Type="http://schemas.openxmlformats.org/officeDocument/2006/relationships/hyperlink" Target="https://wol.jw.org/en/wol/d/r1/lp-e/1101993012" TargetMode="External" Id="rId37"/><Relationship Type="http://schemas.openxmlformats.org/officeDocument/2006/relationships/hyperlink" Target="https://wol.jw.org/en/wol/d/r1/lp-e/1001070211" TargetMode="External" Id="rId38"/><Relationship Type="http://schemas.openxmlformats.org/officeDocument/2006/relationships/hyperlink" Target="https://wol.jw.org/ta/wol/d/r122/lp-tl/1001070211" TargetMode="External" Id="rId39"/><Relationship Type="http://schemas.openxmlformats.org/officeDocument/2006/relationships/hyperlink" Target="https://wol.jw.org/en/wol/d/r1/lp-e/1001061211" TargetMode="External" Id="rId40"/><Relationship Type="http://schemas.openxmlformats.org/officeDocument/2006/relationships/hyperlink" Target="https://wol.jw.org/ta/wol/d/r122/lp-tl/1001061211" TargetMode="External" Id="rId41"/><Relationship Type="http://schemas.openxmlformats.org/officeDocument/2006/relationships/hyperlink" Target="https://wol.jw.org/en/wol/d/r1/lp-e/1997685#h=5" TargetMode="External" Id="rId42"/><Relationship Type="http://schemas.openxmlformats.org/officeDocument/2006/relationships/hyperlink" Target="https://wol.jw.org/ta/wol/d/r122/lp-tl/1997685#h=5" TargetMode="External" Id="rId43"/><Relationship Type="http://schemas.openxmlformats.org/officeDocument/2006/relationships/hyperlink" Target="https://wol.jw.org/en/wol/d/r1/lp-e/1101993018" TargetMode="External" Id="rId44"/><Relationship Type="http://schemas.openxmlformats.org/officeDocument/2006/relationships/hyperlink" Target="https://wol.jw.org/en/wol/d/r1/lp-e/1200003406" TargetMode="External" Id="rId45"/><Relationship Type="http://schemas.openxmlformats.org/officeDocument/2006/relationships/hyperlink" Target="https://wol.jw.org/en/wol/d/r1/lp-e/1102014246" TargetMode="External" Id="rId46"/><Relationship Type="http://schemas.openxmlformats.org/officeDocument/2006/relationships/hyperlink" Target="https://wol.jw.org/ta/wol/d/r122/lp-tl/1102014246" TargetMode="External" Id="rId47"/><Relationship Type="http://schemas.openxmlformats.org/officeDocument/2006/relationships/hyperlink" Target="https://wol.jw.org/en/wol/d/r1/lp-e/1101993008" TargetMode="External" Id="rId48"/><Relationship Type="http://schemas.openxmlformats.org/officeDocument/2006/relationships/hyperlink" Target="https://wol.jw.org/en/wol/d/r1/lp-e/1102014252" TargetMode="External" Id="rId49"/><Relationship Type="http://schemas.openxmlformats.org/officeDocument/2006/relationships/hyperlink" Target="https://wol.jw.org/ta/wol/d/r122/lp-tl/1102014252" TargetMode="External" Id="rId50"/><Relationship Type="http://schemas.openxmlformats.org/officeDocument/2006/relationships/hyperlink" Target="https://wol.jw.org/en/wol/d/r1/lp-e/1001070212" TargetMode="External" Id="rId51"/><Relationship Type="http://schemas.openxmlformats.org/officeDocument/2006/relationships/hyperlink" Target="https://wol.jw.org/ta/wol/d/r122/lp-tl/1001070212" TargetMode="External" Id="rId52"/><Relationship Type="http://schemas.openxmlformats.org/officeDocument/2006/relationships/hyperlink" Target="https://wol.jw.org/en/wol/d/r1/lp-e/1001061212" TargetMode="External" Id="rId53"/><Relationship Type="http://schemas.openxmlformats.org/officeDocument/2006/relationships/hyperlink" Target="https://wol.jw.org/ta/wol/d/r122/lp-tl/1001061212" TargetMode="External" Id="rId54"/><Relationship Type="http://schemas.openxmlformats.org/officeDocument/2006/relationships/hyperlink" Target="https://wol.jw.org/en/wol/d/r1/lp-e/1101993019" TargetMode="External" Id="rId55"/><Relationship Type="http://schemas.openxmlformats.org/officeDocument/2006/relationships/hyperlink" Target="https://wol.jw.org/en/wol/d/r1/lp-e/1102025962" TargetMode="External" Id="rId56"/><Relationship Type="http://schemas.openxmlformats.org/officeDocument/2006/relationships/hyperlink" Target="https://wol.jw.org/ta/wol/d/r122/lp-tl/1102025962" TargetMode="External" Id="rId57"/><Relationship Type="http://schemas.openxmlformats.org/officeDocument/2006/relationships/hyperlink" Target="https://wol.jw.org/en/wol/d/r1/lp-e/1200002436" TargetMode="External" Id="rId58"/><Relationship Type="http://schemas.openxmlformats.org/officeDocument/2006/relationships/hyperlink" Target="https://wol.jw.org/en/wol/d/r1/lp-e/1001070214" TargetMode="External" Id="rId59"/><Relationship Type="http://schemas.openxmlformats.org/officeDocument/2006/relationships/hyperlink" Target="https://wol.jw.org/ta/wol/d/r122/lp-tl/1001070214" TargetMode="External" Id="rId60"/><Relationship Type="http://schemas.openxmlformats.org/officeDocument/2006/relationships/hyperlink" Target="https://wol.jw.org/en/wol/d/r1/lp-e/1001070213" TargetMode="External" Id="rId61"/><Relationship Type="http://schemas.openxmlformats.org/officeDocument/2006/relationships/hyperlink" Target="https://wol.jw.org/ta/wol/d/r122/lp-tl/1001070213" TargetMode="External" Id="rId62"/><Relationship Type="http://schemas.openxmlformats.org/officeDocument/2006/relationships/hyperlink" Target="https://wol.jw.org/en/wol/d/r1/lp-e/1001061213" TargetMode="External" Id="rId63"/><Relationship Type="http://schemas.openxmlformats.org/officeDocument/2006/relationships/hyperlink" Target="https://wol.jw.org/ta/wol/d/r122/lp-tl/1001061213" TargetMode="External" Id="rId64"/><Relationship Type="http://schemas.openxmlformats.org/officeDocument/2006/relationships/hyperlink" Target="https://wol.jw.org/en/wol/d/r1/lp-e/1200002893#h=28" TargetMode="External" Id="rId65"/><Relationship Type="http://schemas.openxmlformats.org/officeDocument/2006/relationships/hyperlink" Target="https://wol.jw.org/en/wol/d/r1/lp-e/1200003447" TargetMode="External" Id="rId66"/><Relationship Type="http://schemas.openxmlformats.org/officeDocument/2006/relationships/hyperlink" Target="https://wol.jw.org/en/wol/d/r1/lp-e/1200000852" TargetMode="External" Id="rId67"/><Relationship Type="http://schemas.openxmlformats.org/officeDocument/2006/relationships/hyperlink" Target="https://wol.jw.org/en/wol/d/r1/lp-e/1001070210" TargetMode="External" Id="rId68"/><Relationship Type="http://schemas.openxmlformats.org/officeDocument/2006/relationships/hyperlink" Target="https://wol.jw.org/ta/wol/d/r122/lp-tl/1001070210" TargetMode="External" Id="rId69"/><Relationship Type="http://schemas.openxmlformats.org/officeDocument/2006/relationships/hyperlink" Target="https://wol.jw.org/en/wol/d/r1/lp-e/1001061210" TargetMode="External" Id="rId70"/><Relationship Type="http://schemas.openxmlformats.org/officeDocument/2006/relationships/hyperlink" Target="https://wol.jw.org/ta/wol/d/r122/lp-tl/1001061210" TargetMode="External" Id="rId71"/><Relationship Type="http://schemas.openxmlformats.org/officeDocument/2006/relationships/hyperlink" Target="https://wol.jw.org/en/wol/d/r1/lp-e/1001061214" TargetMode="External" Id="rId72"/><Relationship Type="http://schemas.openxmlformats.org/officeDocument/2006/relationships/hyperlink" Target="https://wol.jw.org/ta/wol/d/r122/lp-tl/1001061214" TargetMode="External" Id="rId73"/><Relationship Type="http://schemas.openxmlformats.org/officeDocument/2006/relationships/hyperlink" Target="https://wol.jw.org/en/wol/d/r1/lp-e/1101990043#h=22" TargetMode="External" Id="rId74"/><Relationship Type="http://schemas.openxmlformats.org/officeDocument/2006/relationships/hyperlink" Target="https://wol.jw.org/ta/wol/d/r122/lp-tl/1101990043#h=22" TargetMode="External" Id="rId75"/><Relationship Type="http://schemas.openxmlformats.org/officeDocument/2006/relationships/hyperlink" Target="https://wol.jw.org/en/wol/d/r1/lp-e/1102000101" TargetMode="External" Id="rId76"/><Relationship Type="http://schemas.openxmlformats.org/officeDocument/2006/relationships/hyperlink" Target="https://wol.jw.org/ta/wol/d/r122/lp-tl/1102000101" TargetMode="External" Id="rId77"/><Relationship Type="http://schemas.openxmlformats.org/officeDocument/2006/relationships/hyperlink" Target="https://wol.jw.org/en/wol/d/r1/lp-e/1001070207" TargetMode="External" Id="rId78"/><Relationship Type="http://schemas.openxmlformats.org/officeDocument/2006/relationships/hyperlink" Target="https://wol.jw.org/ta/wol/d/r122/lp-tl/1001070207" TargetMode="External" Id="rId79"/><Relationship Type="http://schemas.openxmlformats.org/officeDocument/2006/relationships/hyperlink" Target="https://wol.jw.org/en/wol/d/r1/lp-e/1101993040" TargetMode="External" Id="rId80"/><Relationship Type="http://schemas.openxmlformats.org/officeDocument/2006/relationships/hyperlink" Target="https://wol.jw.org/en/wol/d/r1/lp-e/1102014253" TargetMode="External" Id="rId81"/><Relationship Type="http://schemas.openxmlformats.org/officeDocument/2006/relationships/hyperlink" Target="https://wol.jw.org/ta/wol/d/r122/lp-tl/1102014253" TargetMode="External" Id="rId82"/><Relationship Type="http://schemas.openxmlformats.org/officeDocument/2006/relationships/hyperlink" Target="https://wol.jw.org/en/wol/d/r1/lp-e/1200004554" TargetMode="External" Id="rId83"/><Relationship Type="http://schemas.openxmlformats.org/officeDocument/2006/relationships/hyperlink" Target="https://wol.jw.org/en/wol/d/r1/lp-e/1001061207" TargetMode="External" Id="rId84"/><Relationship Type="http://schemas.openxmlformats.org/officeDocument/2006/relationships/hyperlink" Target="https://wol.jw.org/ta/wol/d/r122/lp-tl/1001061207" TargetMode="External" Id="rId85"/><Relationship Type="http://schemas.openxmlformats.org/officeDocument/2006/relationships/hyperlink" Target="https://wol.jw.org/en/wol/d/r1/lp-e/1997603#h=14" TargetMode="External" Id="rId86"/><Relationship Type="http://schemas.openxmlformats.org/officeDocument/2006/relationships/hyperlink" Target="https://wol.jw.org/ta/wol/d/r122/lp-tl/1997603#h=14" TargetMode="External" Id="rId87"/><Relationship Type="http://schemas.openxmlformats.org/officeDocument/2006/relationships/hyperlink" Target="https://wol.jw.org/en/wol/d/r1/lp-e/101979409#h=4" TargetMode="External" Id="rId88"/><Relationship Type="http://schemas.openxmlformats.org/officeDocument/2006/relationships/hyperlink" Target="https://wol.jw.org/en/wol/d/r1/lp-e/1200001765" TargetMode="External" Id="rId89"/><Relationship Type="http://schemas.openxmlformats.org/officeDocument/2006/relationships/hyperlink" Target="https://wol.jw.org/en/wol/d/r1/lp-e/1101993041" TargetMode="External" Id="rId90"/><Relationship Type="http://schemas.openxmlformats.org/officeDocument/2006/relationships/hyperlink" Target="https://wol.jw.org/en/wol/d/r1/lp-e/1101999028" TargetMode="External" Id="rId91"/><Relationship Type="http://schemas.openxmlformats.org/officeDocument/2006/relationships/hyperlink" Target="https://wol.jw.org/ta/wol/d/r122/lp-tl/1101999028" TargetMode="External" Id="rId92"/><Relationship Type="http://schemas.openxmlformats.org/officeDocument/2006/relationships/hyperlink" Target="https://wol.jw.org/en/wol/d/r1/lp-e/1101990133#h=15" TargetMode="External" Id="rId93"/><Relationship Type="http://schemas.openxmlformats.org/officeDocument/2006/relationships/hyperlink" Target="https://wol.jw.org/ta/wol/d/r122/lp-tl/1101990133#h=15" TargetMode="External" Id="rId94"/><Relationship Type="http://schemas.openxmlformats.org/officeDocument/2006/relationships/hyperlink" Target="https://wol.jw.org/en/wol/d/r1/lp-e/1101990134#h=114" TargetMode="External" Id="rId95"/><Relationship Type="http://schemas.openxmlformats.org/officeDocument/2006/relationships/hyperlink" Target="https://wol.jw.org/ta/wol/d/r122/lp-tl/1101990134#h=114" TargetMode="External" Id="rId96"/><Relationship Type="http://schemas.openxmlformats.org/officeDocument/2006/relationships/hyperlink" Target="https://wol.jw.org/en/wol/d/r1/lp-e/1101993007" TargetMode="External" Id="rId97"/><Relationship Type="http://schemas.openxmlformats.org/officeDocument/2006/relationships/hyperlink" Target="https://wol.jw.org/en/wol/d/r1/lp-e/1101997025#h=5" TargetMode="External" Id="rId98"/><Relationship Type="http://schemas.openxmlformats.org/officeDocument/2006/relationships/hyperlink" Target="https://wol.jw.org/ta/wol/d/r122/lp-tl/1101997025#h=5" TargetMode="External" Id="rId99"/><Relationship Type="http://schemas.openxmlformats.org/officeDocument/2006/relationships/hyperlink" Target="https://wol.jw.org/en/wol/d/r1/lp-e/1101993009" TargetMode="External" Id="rId100"/><Relationship Type="http://schemas.openxmlformats.org/officeDocument/2006/relationships/hyperlink" Target="https://wol.jw.org/en/wol/d/r1/lp-e/1102014250" TargetMode="External" Id="rId101"/><Relationship Type="http://schemas.openxmlformats.org/officeDocument/2006/relationships/hyperlink" Target="https://wol.jw.org/ta/wol/d/r122/lp-tl/1102014250" TargetMode="External" Id="rId102"/><Relationship Type="http://schemas.openxmlformats.org/officeDocument/2006/relationships/hyperlink" Target="https://wol.jw.org/en/wol/d/r1/lp-e/1102014254" TargetMode="External" Id="rId103"/><Relationship Type="http://schemas.openxmlformats.org/officeDocument/2006/relationships/hyperlink" Target="https://wol.jw.org/ta/wol/d/r122/lp-tl/1102014254" TargetMode="External" Id="rId104"/><Relationship Type="http://schemas.openxmlformats.org/officeDocument/2006/relationships/hyperlink" Target="https://wol.jw.org/en/wol/d/r1/lp-e/1200000060" TargetMode="External" Id="rId105"/><Relationship Type="http://schemas.openxmlformats.org/officeDocument/2006/relationships/hyperlink" Target="https://wol.jw.org/en/wol/d/r1/lp-e/1200002000" TargetMode="External" Id="rId106"/><Relationship Type="http://schemas.openxmlformats.org/officeDocument/2006/relationships/hyperlink" Target="https://wol.jw.org/en/wol/d/r1/lp-e/1001070208" TargetMode="External" Id="rId107"/><Relationship Type="http://schemas.openxmlformats.org/officeDocument/2006/relationships/hyperlink" Target="https://wol.jw.org/ta/wol/d/r122/lp-tl/1001070208" TargetMode="External" Id="rId108"/><Relationship Type="http://schemas.openxmlformats.org/officeDocument/2006/relationships/hyperlink" Target="https://www.jw.org/en/news/region/united-states/historic-milestones-united-states/" TargetMode="External" Id="rId109"/><Relationship Type="http://schemas.openxmlformats.org/officeDocument/2006/relationships/hyperlink" Target="https://wol.jw.org/en/wol/d/r1/lp-e/1102014244" TargetMode="External" Id="rId110"/><Relationship Type="http://schemas.openxmlformats.org/officeDocument/2006/relationships/hyperlink" Target="https://wol.jw.org/ta/wol/d/r122/lp-tl/1102014244" TargetMode="External" Id="rId111"/><Relationship Type="http://schemas.openxmlformats.org/officeDocument/2006/relationships/hyperlink" Target="https://wol.jw.org/en/wol/d/r1/lp-e/2025605" TargetMode="External" Id="rId112"/><Relationship Type="http://schemas.openxmlformats.org/officeDocument/2006/relationships/hyperlink" Target="https://wol.jw.org/ta/wol/d/r122/lp-tl/2025605" TargetMode="External" Id="rId113"/><Relationship Type="http://schemas.openxmlformats.org/officeDocument/2006/relationships/hyperlink" Target="https://wol.jw.org/en/wol/d/r1/lp-e/1001061226" TargetMode="External" Id="rId114"/><Relationship Type="http://schemas.openxmlformats.org/officeDocument/2006/relationships/hyperlink" Target="https://wol.jw.org/ta/wol/d/r122/lp-tl/1001061226" TargetMode="External" Id="rId115"/><Relationship Type="http://schemas.openxmlformats.org/officeDocument/2006/relationships/hyperlink" Target="https://wol.jw.org/en/wol/d/r1/lp-e/1001061208" TargetMode="External" Id="rId116"/><Relationship Type="http://schemas.openxmlformats.org/officeDocument/2006/relationships/hyperlink" Target="https://wol.jw.org/ta/wol/d/r122/lp-tl/1001061208" TargetMode="External" Id="rId117"/><Relationship Type="http://schemas.openxmlformats.org/officeDocument/2006/relationships/hyperlink" Target="https://wol.jw.org/en/wol/d/r1/lp-e/1997763#h=18" TargetMode="External" Id="rId118"/><Relationship Type="http://schemas.openxmlformats.org/officeDocument/2006/relationships/hyperlink" Target="https://wol.jw.org/ta/wol/d/r122/lp-tl/1997763#h=18" TargetMode="External" Id="rId119"/><Relationship Type="http://schemas.openxmlformats.org/officeDocument/2006/relationships/hyperlink" Target="https://wol.jw.org/en/wol/d/r1/lp-e/1102014251" TargetMode="External" Id="rId120"/><Relationship Type="http://schemas.openxmlformats.org/officeDocument/2006/relationships/hyperlink" Target="https://wol.jw.org/ta/wol/d/r122/lp-tl/1102014251" TargetMode="External" Id="rId121"/><Relationship Type="http://schemas.openxmlformats.org/officeDocument/2006/relationships/hyperlink" Target="https://wol.jw.org/en/wol/d/r1/lp-e/1101993020" TargetMode="External" Id="rId122"/><Relationship Type="http://schemas.openxmlformats.org/officeDocument/2006/relationships/hyperlink" Target="https://wol.jw.org/en/wol/d/r1/lp-e/1102014263" TargetMode="External" Id="rId123"/><Relationship Type="http://schemas.openxmlformats.org/officeDocument/2006/relationships/hyperlink" Target="https://wol.jw.org/ta/wol/d/r122/lp-tl/1102014263" TargetMode="External" Id="rId124"/><Relationship Type="http://schemas.openxmlformats.org/officeDocument/2006/relationships/hyperlink" Target="https://wol.jw.org/en/wol/d/r1/lp-e/1200002545" TargetMode="External" Id="rId125"/><Relationship Type="http://schemas.openxmlformats.org/officeDocument/2006/relationships/hyperlink" Target="https://wol.jw.org/en/wol/d/r1/lp-e/101997724#h=10" TargetMode="External" Id="rId126"/><Relationship Type="http://schemas.openxmlformats.org/officeDocument/2006/relationships/hyperlink" Target="https://wol.jw.org/ta/wol/d/r122/lp-tl/101997724#h=10" TargetMode="External" Id="rId127"/><Relationship Type="http://schemas.openxmlformats.org/officeDocument/2006/relationships/hyperlink" Target="https://wol.jw.org/en/wol/d/r1/lp-e/1992442#h=13" TargetMode="External" Id="rId128"/><Relationship Type="http://schemas.openxmlformats.org/officeDocument/2006/relationships/hyperlink" Target="https://wol.jw.org/ta/wol/d/r122/lp-tl/1992442#h=13" TargetMode="External" Id="rId129"/><Relationship Type="http://schemas.openxmlformats.org/officeDocument/2006/relationships/hyperlink" Target="https://wol.jw.org/en/wol/d/r1/lp-e/2003686#h=16" TargetMode="External" Id="rId130"/><Relationship Type="http://schemas.openxmlformats.org/officeDocument/2006/relationships/hyperlink" Target="https://wol.jw.org/ta/wol/d/r122/lp-tl/2003686#h=16" TargetMode="External" Id="rId131"/><Relationship Type="http://schemas.openxmlformats.org/officeDocument/2006/relationships/hyperlink" Target="https://wol.jw.org/en/wol/d/r1/lp-e/1101993036" TargetMode="External" Id="rId132"/><Relationship Type="http://schemas.openxmlformats.org/officeDocument/2006/relationships/hyperlink" Target="https://wol.jw.org/en/wol/d/r1/lp-e/1102014243" TargetMode="External" Id="rId133"/><Relationship Type="http://schemas.openxmlformats.org/officeDocument/2006/relationships/hyperlink" Target="https://wol.jw.org/ta/wol/d/r122/lp-tl/1102014243" TargetMode="External" Id="rId134"/><Relationship Type="http://schemas.openxmlformats.org/officeDocument/2006/relationships/hyperlink" Target="https://wol.jw.org/en/wol/d/r1/lp-e/1102014258" TargetMode="External" Id="rId135"/><Relationship Type="http://schemas.openxmlformats.org/officeDocument/2006/relationships/hyperlink" Target="https://wol.jw.org/ta/wol/d/r122/lp-tl/1102014258" TargetMode="External" Id="rId136"/><Relationship Type="http://schemas.openxmlformats.org/officeDocument/2006/relationships/hyperlink" Target="https://wol.jw.org/en/wol/d/r1/lp-e/1101999037" TargetMode="External" Id="rId137"/><Relationship Type="http://schemas.openxmlformats.org/officeDocument/2006/relationships/hyperlink" Target="https://wol.jw.org/ta/wol/d/r122/lp-tl/1101999037" TargetMode="External" Id="rId138"/><Relationship Type="http://schemas.openxmlformats.org/officeDocument/2006/relationships/hyperlink" Target="https://wol.jw.org/en/wol/d/r1/lp-e/2009402#h=5" TargetMode="External" Id="rId139"/><Relationship Type="http://schemas.openxmlformats.org/officeDocument/2006/relationships/hyperlink" Target="https://wol.jw.org/en/wol/d/r1/lp-e/301975002" TargetMode="External" Id="rId140"/><Relationship Type="http://schemas.openxmlformats.org/officeDocument/2006/relationships/hyperlink" Target="https://wol.jw.org/en/wol/d/r1/lp-e/2020408" TargetMode="External" Id="rId141"/><Relationship Type="http://schemas.openxmlformats.org/officeDocument/2006/relationships/hyperlink" Target="https://wol.jw.org/ta/wol/d/r122/lp-tl/2020408" TargetMode="External" Id="rId142"/><Relationship Type="http://schemas.openxmlformats.org/officeDocument/2006/relationships/hyperlink" Target="https://wol.jw.org/en/wol/d/r1/lp-e/1102014256" TargetMode="External" Id="rId143"/><Relationship Type="http://schemas.openxmlformats.org/officeDocument/2006/relationships/hyperlink" Target="https://wol.jw.org/ta/wol/d/r122/lp-tl/1102014256" TargetMode="External" Id="rId144"/><Relationship Type="http://schemas.openxmlformats.org/officeDocument/2006/relationships/hyperlink" Target="https://wol.jw.org/en/wol/d/r1/lp-e/1200001054" TargetMode="External" Id="rId145"/><Relationship Type="http://schemas.openxmlformats.org/officeDocument/2006/relationships/hyperlink" Target="https://wol.jw.org/en/wol/d/r1/lp-e/1200003200" TargetMode="External" Id="rId146"/><Relationship Type="http://schemas.openxmlformats.org/officeDocument/2006/relationships/hyperlink" Target="https://wol.jw.org/en/wol/d/r1/lp-e/1101990088" TargetMode="External" Id="rId147"/><Relationship Type="http://schemas.openxmlformats.org/officeDocument/2006/relationships/hyperlink" Target="https://wol.jw.org/ta/wol/d/r122/lp-tl/1101990088" TargetMode="External" Id="rId148"/><Relationship Type="http://schemas.openxmlformats.org/officeDocument/2006/relationships/hyperlink" Target="https://wol.jw.org/en/wol/d/r1/lp-e/1101990132" TargetMode="External" Id="rId149"/><Relationship Type="http://schemas.openxmlformats.org/officeDocument/2006/relationships/hyperlink" Target="https://wol.jw.org/ta/wol/d/r122/lp-tl/1101990132" TargetMode="External" Id="rId150"/><Relationship Type="http://schemas.openxmlformats.org/officeDocument/2006/relationships/hyperlink" Target="https://wol.jw.org/en/wol/d/r1/lp-e/1993481#h=23" TargetMode="External" Id="rId151"/><Relationship Type="http://schemas.openxmlformats.org/officeDocument/2006/relationships/hyperlink" Target="https://wol.jw.org/ta/wol/d/r122/lp-tl/1993481#h=23" TargetMode="External" Id="rId152"/><Relationship Type="http://schemas.openxmlformats.org/officeDocument/2006/relationships/hyperlink" Target="https://wol.jw.org/en/wol/d/r1/lp-e/2002205#h=7" TargetMode="External" Id="rId153"/><Relationship Type="http://schemas.openxmlformats.org/officeDocument/2006/relationships/hyperlink" Target="https://wol.jw.org/ta/wol/d/r122/lp-tl/2002205#h=7" TargetMode="External" Id="rId154"/><Relationship Type="http://schemas.openxmlformats.org/officeDocument/2006/relationships/hyperlink" Target="https://wol.jw.org/en/wol/d/r1/lp-e/102011446#h=5" TargetMode="External" Id="rId155"/><Relationship Type="http://schemas.openxmlformats.org/officeDocument/2006/relationships/hyperlink" Target="https://wol.jw.org/en/wol/d/r1/lp-e/1001061171" TargetMode="External" Id="rId156"/><Relationship Type="http://schemas.openxmlformats.org/officeDocument/2006/relationships/hyperlink" Target="https://wol.jw.org/ta/wol/d/r122/lp-tl/1001061171" TargetMode="External" Id="rId157"/><Relationship Type="http://schemas.openxmlformats.org/officeDocument/2006/relationships/hyperlink" Target="https://wol.jw.org/en/wol/d/r1/lp-e/1200002525" TargetMode="External" Id="rId158"/><Relationship Type="http://schemas.openxmlformats.org/officeDocument/2006/relationships/hyperlink" Target="https://wol.jw.org/en/wol/d/r1/lp-e/1101999029" TargetMode="External" Id="rId159"/><Relationship Type="http://schemas.openxmlformats.org/officeDocument/2006/relationships/hyperlink" Target="https://wol.jw.org/ta/wol/d/r122/lp-tl/1101999029" TargetMode="External" Id="rId160"/><Relationship Type="http://schemas.openxmlformats.org/officeDocument/2006/relationships/hyperlink" Target="https://wol.jw.org/en/wol/d/r1/lp-e/1200003915" TargetMode="External" Id="rId161"/><Relationship Type="http://schemas.openxmlformats.org/officeDocument/2006/relationships/hyperlink" Target="https://wol.jw.org/en/wol/d/r1/lp-e/1101999034" TargetMode="External" Id="rId162"/><Relationship Type="http://schemas.openxmlformats.org/officeDocument/2006/relationships/hyperlink" Target="https://wol.jw.org/ta/wol/d/r122/lp-tl/1101999034" TargetMode="External" Id="rId163"/><Relationship Type="http://schemas.openxmlformats.org/officeDocument/2006/relationships/hyperlink" Target="https://wol.jw.org/en/wol/d/r1/lp-e/1001070203" TargetMode="External" Id="rId164"/><Relationship Type="http://schemas.openxmlformats.org/officeDocument/2006/relationships/hyperlink" Target="https://wol.jw.org/ta/wol/d/r122/lp-tl/1001070203" TargetMode="External" Id="rId165"/><Relationship Type="http://schemas.openxmlformats.org/officeDocument/2006/relationships/hyperlink" Target="https://wol.jw.org/en/wol/d/r1/lp-e/1200002489" TargetMode="External" Id="rId166"/><Relationship Type="http://schemas.openxmlformats.org/officeDocument/2006/relationships/hyperlink" Target="https://wol.jw.org/en/wol/d/r1/lp-e/1101993005#h=15" TargetMode="External" Id="rId167"/><Relationship Type="http://schemas.openxmlformats.org/officeDocument/2006/relationships/hyperlink" Target="https://wol.jw.org/en/wol/d/r1/lp-e/1102014249" TargetMode="External" Id="rId168"/><Relationship Type="http://schemas.openxmlformats.org/officeDocument/2006/relationships/hyperlink" Target="https://wol.jw.org/ta/wol/d/r122/lp-tl/1102014249" TargetMode="External" Id="rId169"/><Relationship Type="http://schemas.openxmlformats.org/officeDocument/2006/relationships/hyperlink" Target="https://wol.jw.org/en/wol/d/r1/lp-e/2015523" TargetMode="External" Id="rId170"/><Relationship Type="http://schemas.openxmlformats.org/officeDocument/2006/relationships/hyperlink" Target="https://wol.jw.org/ta/wol/d/r122/lp-tl/2015523" TargetMode="External" Id="rId171"/><Relationship Type="http://schemas.openxmlformats.org/officeDocument/2006/relationships/hyperlink" Target="https://wol.jw.org/en/wol/d/r1/lp-e/1200000530" TargetMode="External" Id="rId172"/><Relationship Type="http://schemas.openxmlformats.org/officeDocument/2006/relationships/hyperlink" Target="https://wol.jw.org/en/wol/d/r1/lp-e/1200001102" TargetMode="External" Id="rId173"/><Relationship Type="http://schemas.openxmlformats.org/officeDocument/2006/relationships/hyperlink" Target="https://wol.jw.org/en/wol/d/r1/lp-e/1200001124" TargetMode="External" Id="rId174"/><Relationship Type="http://schemas.openxmlformats.org/officeDocument/2006/relationships/hyperlink" Target="https://wol.jw.org/en/wol/d/r1/lp-e/1001061233" TargetMode="External" Id="rId175"/><Relationship Type="http://schemas.openxmlformats.org/officeDocument/2006/relationships/hyperlink" Target="https://wol.jw.org/ta/wol/d/r122/lp-tl/1001061233" TargetMode="External" Id="rId176"/><Relationship Type="http://schemas.openxmlformats.org/officeDocument/2006/relationships/hyperlink" Target="https://wol.jw.org/en/wol/d/r1/lp-e/2013531" TargetMode="External" Id="rId177"/><Relationship Type="http://schemas.openxmlformats.org/officeDocument/2006/relationships/hyperlink" Target="https://wol.jw.org/ta/wol/d/r122/lp-tl/2013531" TargetMode="External" Id="rId178"/><Relationship Type="http://schemas.openxmlformats.org/officeDocument/2006/relationships/hyperlink" Target="https://wol.jw.org/en/wol/d/r1/lp-e/102011443#h=30" TargetMode="External" Id="rId179"/><Relationship Type="http://schemas.openxmlformats.org/officeDocument/2006/relationships/hyperlink" Target="https://wol.jw.org/en/wol/d/r1/lp-e/2020400" TargetMode="External" Id="rId180"/><Relationship Type="http://schemas.openxmlformats.org/officeDocument/2006/relationships/hyperlink" Target="https://wol.jw.org/ta/wol/d/r122/lp-tl/2020400" TargetMode="External" Id="rId181"/><Relationship Type="http://schemas.openxmlformats.org/officeDocument/2006/relationships/hyperlink" Target="https://wol.jw.org/en/wol/d/r1/lp-e/301975003" TargetMode="External" Id="rId182"/><Relationship Type="http://schemas.openxmlformats.org/officeDocument/2006/relationships/hyperlink" Target="https://wol.jw.org/en/wol/d/r1/lp-e/1101999301" TargetMode="External" Id="rId183"/><Relationship Type="http://schemas.openxmlformats.org/officeDocument/2006/relationships/hyperlink" Target="https://wol.jw.org/en/wol/d/r1/lp-e/1200003266" TargetMode="External" Id="rId184"/><Relationship Type="http://schemas.openxmlformats.org/officeDocument/2006/relationships/hyperlink" Target="https://wol.jw.org/en/wol/d/r1/lp-e/1200002203" TargetMode="External" Id="rId185"/><Relationship Type="http://schemas.openxmlformats.org/officeDocument/2006/relationships/hyperlink" Target="https://wol.jw.org/en/wol/d/r1/lp-e/1200002011" TargetMode="External" Id="rId186"/><Relationship Type="http://schemas.openxmlformats.org/officeDocument/2006/relationships/hyperlink" Target="https://wol.jw.org/en/wol/d/r1/lp-e/1200002375" TargetMode="External" Id="rId187"/><Relationship Type="http://schemas.openxmlformats.org/officeDocument/2006/relationships/hyperlink" Target="https://wol.jw.org/en/wol/d/r1/lp-e/1101990076" TargetMode="External" Id="rId188"/><Relationship Type="http://schemas.openxmlformats.org/officeDocument/2006/relationships/hyperlink" Target="https://wol.jw.org/ta/wol/d/r122/lp-tl/1101990076" TargetMode="External" Id="rId189"/><Relationship Type="http://schemas.openxmlformats.org/officeDocument/2006/relationships/hyperlink" Target="https://wol.jw.org/en/wol/d/r1/lp-e/1200000389" TargetMode="External" Id="rId190"/><Relationship Type="http://schemas.openxmlformats.org/officeDocument/2006/relationships/hyperlink" Target="https://wol.jw.org/en/wol/d/r1/lp-e/1200003763" TargetMode="External" Id="rId191"/><Relationship Type="http://schemas.openxmlformats.org/officeDocument/2006/relationships/hyperlink" Target="https://wol.jw.org/en/wol/d/r1/lp-e/1001070234" TargetMode="External" Id="rId192"/><Relationship Type="http://schemas.openxmlformats.org/officeDocument/2006/relationships/hyperlink" Target="https://wol.jw.org/ta/wol/d/r122/lp-tl/1001070234" TargetMode="External" Id="rId193"/><Relationship Type="http://schemas.openxmlformats.org/officeDocument/2006/relationships/hyperlink" Target="https://wol.jw.org/en/wol/d/r1/lp-e/2013122#h=17" TargetMode="External" Id="rId194"/><Relationship Type="http://schemas.openxmlformats.org/officeDocument/2006/relationships/hyperlink" Target="https://wol.jw.org/ta/wol/d/r122/lp-tl/2013122#h=17" TargetMode="External" Id="rId195"/><Relationship Type="http://schemas.openxmlformats.org/officeDocument/2006/relationships/hyperlink" Target="https://wol.jw.org/en/wol/d/r1/lp-e/1101993037" TargetMode="External" Id="rId196"/><Relationship Type="http://schemas.openxmlformats.org/officeDocument/2006/relationships/hyperlink" Target="https://wol.jw.org/en/wol/d/r1/lp-e/1102014262" TargetMode="External" Id="rId197"/><Relationship Type="http://schemas.openxmlformats.org/officeDocument/2006/relationships/hyperlink" Target="https://wol.jw.org/ta/wol/d/r122/lp-tl/1102014262" TargetMode="External" Id="rId198"/><Relationship Type="http://schemas.openxmlformats.org/officeDocument/2006/relationships/hyperlink" Target="https://wol.jw.org/en/wol/d/r1/lp-e/2012681" TargetMode="External" Id="rId199"/><Relationship Type="http://schemas.openxmlformats.org/officeDocument/2006/relationships/hyperlink" Target="https://wol.jw.org/ta/wol/d/r122/lp-tl/2012681" TargetMode="External" Id="rId200"/><Relationship Type="http://schemas.openxmlformats.org/officeDocument/2006/relationships/hyperlink" Target="https://wol.jw.org/en/wol/d/r1/lp-e/2012682" TargetMode="External" Id="rId201"/><Relationship Type="http://schemas.openxmlformats.org/officeDocument/2006/relationships/hyperlink" Target="https://wol.jw.org/ta/wol/d/r122/lp-tl/2012682" TargetMode="External" Id="rId202"/><Relationship Type="http://schemas.openxmlformats.org/officeDocument/2006/relationships/hyperlink" Target="https://wol.jw.org/en/wol/d/r1/lp-e/1200002279" TargetMode="External" Id="rId203"/><Relationship Type="http://schemas.openxmlformats.org/officeDocument/2006/relationships/hyperlink" Target="https://wol.jw.org/en/wol/d/r1/lp-e/1101990075" TargetMode="External" Id="rId204"/><Relationship Type="http://schemas.openxmlformats.org/officeDocument/2006/relationships/hyperlink" Target="https://wol.jw.org/ta/wol/d/r122/lp-tl/1101990075" TargetMode="External" Id="rId205"/><Relationship Type="http://schemas.openxmlformats.org/officeDocument/2006/relationships/hyperlink" Target="https://wol.jw.org/en/wol/d/r1/lp-e/1101990087" TargetMode="External" Id="rId206"/><Relationship Type="http://schemas.openxmlformats.org/officeDocument/2006/relationships/hyperlink" Target="https://wol.jw.org/ta/wol/d/r122/lp-tl/1101990087" TargetMode="External" Id="rId207"/><Relationship Type="http://schemas.openxmlformats.org/officeDocument/2006/relationships/hyperlink" Target="https://wol.jw.org/en/wol/d/r1/lp-e/1101999030" TargetMode="External" Id="rId208"/><Relationship Type="http://schemas.openxmlformats.org/officeDocument/2006/relationships/hyperlink" Target="https://wol.jw.org/ta/wol/d/r122/lp-tl/1101999030" TargetMode="External" Id="rId209"/><Relationship Type="http://schemas.openxmlformats.org/officeDocument/2006/relationships/hyperlink" Target="https://wol.jw.org/en/wol/d/r1/lp-e/1200000292" TargetMode="External" Id="rId210"/><Relationship Type="http://schemas.openxmlformats.org/officeDocument/2006/relationships/hyperlink" Target="https://wol.jw.org/en/wol/d/r1/lp-e/102007409#h=9" TargetMode="External" Id="rId211"/><Relationship Type="http://schemas.openxmlformats.org/officeDocument/2006/relationships/hyperlink" Target="https://wol.jw.org/ta/wol/d/r122/lp-tl/102007409#h=9" TargetMode="External" Id="rId212"/><Relationship Type="http://schemas.openxmlformats.org/officeDocument/2006/relationships/hyperlink" Target="https://wol.jw.org/en/wol/d/r1/lp-e/2001166#h=10" TargetMode="External" Id="rId213"/><Relationship Type="http://schemas.openxmlformats.org/officeDocument/2006/relationships/hyperlink" Target="https://wol.jw.org/ta/wol/d/r122/lp-tl/2001166#h=10" TargetMode="External" Id="rId214"/><Relationship Type="http://schemas.openxmlformats.org/officeDocument/2006/relationships/hyperlink" Target="https://wol.jw.org/en/wol/d/r1/lp-e/1995282#h=15" TargetMode="External" Id="rId215"/><Relationship Type="http://schemas.openxmlformats.org/officeDocument/2006/relationships/hyperlink" Target="https://wol.jw.org/ta/wol/d/r122/lp-tl/1995282#h=15" TargetMode="External" Id="rId216"/><Relationship Type="http://schemas.openxmlformats.org/officeDocument/2006/relationships/hyperlink" Target="https://wol.jw.org/en/wol/d/r1/lp-e/2012408#h=6" TargetMode="External" Id="rId217"/><Relationship Type="http://schemas.openxmlformats.org/officeDocument/2006/relationships/hyperlink" Target="https://wol.jw.org/en/wol/d/r1/lp-e/2007483#h=3" TargetMode="External" Id="rId218"/><Relationship Type="http://schemas.openxmlformats.org/officeDocument/2006/relationships/hyperlink" Target="https://wol.jw.org/ta/wol/d/r122/lp-tl/2007483#h=3" TargetMode="External" Id="rId219"/><Relationship Type="http://schemas.openxmlformats.org/officeDocument/2006/relationships/hyperlink" Target="https://wol.jw.org/en/wol/d/r1/lp-e/1101993014" TargetMode="External" Id="rId220"/><Relationship Type="http://schemas.openxmlformats.org/officeDocument/2006/relationships/hyperlink" Target="https://wol.jw.org/en/wol/d/r1/lp-e/1101988034" TargetMode="External" Id="rId221"/><Relationship Type="http://schemas.openxmlformats.org/officeDocument/2006/relationships/hyperlink" Target="https://wol.jw.org/ta/wol/d/r122/lp-tl/1101988034" TargetMode="External" Id="rId222"/><Relationship Type="http://schemas.openxmlformats.org/officeDocument/2006/relationships/hyperlink" Target="https://wol.jw.org/en/wol/d/r1/lp-e/2000007" TargetMode="External" Id="rId223"/><Relationship Type="http://schemas.openxmlformats.org/officeDocument/2006/relationships/hyperlink" Target="https://wol.jw.org/ta/wol/d/r122/lp-tl/2000007" TargetMode="External" Id="rId224"/><Relationship Type="http://schemas.openxmlformats.org/officeDocument/2006/relationships/hyperlink" Target="https://wol.jw.org/en/wol/d/r1/lp-e/1102017192" TargetMode="External" Id="rId225"/><Relationship Type="http://schemas.openxmlformats.org/officeDocument/2006/relationships/hyperlink" Target="https://wol.jw.org/ta/wol/d/r122/lp-tl/1102017192" TargetMode="External" Id="rId226"/><Relationship Type="http://schemas.openxmlformats.org/officeDocument/2006/relationships/hyperlink" Target="https://wol.jw.org/en/wol/d/r1/lp-e/1200003118" TargetMode="External" Id="rId227"/><Relationship Type="http://schemas.openxmlformats.org/officeDocument/2006/relationships/hyperlink" Target="https://wol.jw.org/en/wol/d/r1/lp-e/1200004178" TargetMode="External" Id="rId228"/><Relationship Type="http://schemas.openxmlformats.org/officeDocument/2006/relationships/hyperlink" Target="https://wol.jw.org/en/wol/d/r1/lp-e/1101990072" TargetMode="External" Id="rId229"/><Relationship Type="http://schemas.openxmlformats.org/officeDocument/2006/relationships/hyperlink" Target="https://wol.jw.org/ta/wol/d/r122/lp-tl/1101990072" TargetMode="External" Id="rId230"/><Relationship Type="http://schemas.openxmlformats.org/officeDocument/2006/relationships/hyperlink" Target="https://wol.jw.org/en/wol/d/r1/lp-e/1101990073" TargetMode="External" Id="rId231"/><Relationship Type="http://schemas.openxmlformats.org/officeDocument/2006/relationships/hyperlink" Target="https://wol.jw.org/ta/wol/d/r122/lp-tl/1101990073" TargetMode="External" Id="rId232"/><Relationship Type="http://schemas.openxmlformats.org/officeDocument/2006/relationships/hyperlink" Target="https://wol.jw.org/en/wol/d/r1/lp-e/1200001117" TargetMode="External" Id="rId233"/><Relationship Type="http://schemas.openxmlformats.org/officeDocument/2006/relationships/hyperlink" Target="https://wol.jw.org/en/wol/d/r1/lp-e/1001061229" TargetMode="External" Id="rId234"/><Relationship Type="http://schemas.openxmlformats.org/officeDocument/2006/relationships/hyperlink" Target="https://wol.jw.org/ta/wol/d/r122/lp-tl/1001061229" TargetMode="External" Id="rId235"/><Relationship Type="http://schemas.openxmlformats.org/officeDocument/2006/relationships/hyperlink" Target="https://wol.jw.org/en/wol/d/r1/lp-e/1200000888" TargetMode="External" Id="rId236"/><Relationship Type="http://schemas.openxmlformats.org/officeDocument/2006/relationships/hyperlink" Target="https://wol.jw.org/en/wol/d/r1/lp-e/1200000468" TargetMode="External" Id="rId237"/><Relationship Type="http://schemas.openxmlformats.org/officeDocument/2006/relationships/hyperlink" Target="https://wol.jw.org/en/wol/d/r1/lp-e/1001070717" TargetMode="External" Id="rId238"/><Relationship Type="http://schemas.openxmlformats.org/officeDocument/2006/relationships/hyperlink" Target="https://wol.jw.org/en/wol/d/r1/lp-e/1101990116" TargetMode="External" Id="rId239"/><Relationship Type="http://schemas.openxmlformats.org/officeDocument/2006/relationships/hyperlink" Target="https://wol.jw.org/ta/wol/d/r122/lp-tl/1101990116" TargetMode="External" Id="rId240"/><Relationship Type="http://schemas.openxmlformats.org/officeDocument/2006/relationships/hyperlink" Target="https://wol.jw.org/en/wol/d/r1/lp-e/1966284" TargetMode="External" Id="rId241"/><Relationship Type="http://schemas.openxmlformats.org/officeDocument/2006/relationships/hyperlink" Target="https://wol.jw.org/en/wol/d/r1/lp-e/1001070624" TargetMode="External" Id="rId242"/><Relationship Type="http://schemas.openxmlformats.org/officeDocument/2006/relationships/hyperlink" Target="https://wol.jw.org/ta/wol/d/r122/lp-tl/1001070624" TargetMode="External" Id="rId243"/><Relationship Type="http://schemas.openxmlformats.org/officeDocument/2006/relationships/hyperlink" Target="https://wol.jw.org/en/wol/d/r1/lp-e/2016843#h=19" TargetMode="External" Id="rId244"/><Relationship Type="http://schemas.openxmlformats.org/officeDocument/2006/relationships/hyperlink" Target="https://wol.jw.org/ta/wol/d/r122/lp-tl/2016843#h=19" TargetMode="External" Id="rId245"/><Relationship Type="http://schemas.openxmlformats.org/officeDocument/2006/relationships/hyperlink" Target="https://wol.jw.org/en/wol/d/r1/lp-e/2010647#h=7" TargetMode="External" Id="rId246"/><Relationship Type="http://schemas.openxmlformats.org/officeDocument/2006/relationships/hyperlink" Target="https://wol.jw.org/en/wol/d/r1/lp-e/301975006" TargetMode="External" Id="rId247"/><Relationship Type="http://schemas.openxmlformats.org/officeDocument/2006/relationships/hyperlink" Target="https://wol.jw.org/en/wol/d/r1/lp-e/1101993013" TargetMode="External" Id="rId248"/><Relationship Type="http://schemas.openxmlformats.org/officeDocument/2006/relationships/hyperlink" Target="https://wol.jw.org/en/wol/d/r1/lp-e/1993207" TargetMode="External" Id="rId249"/><Relationship Type="http://schemas.openxmlformats.org/officeDocument/2006/relationships/hyperlink" Target="https://www.jw.org/en/news/region/global/Jehovahs-Witnesses-Return-to-Meeting-in-Person/" TargetMode="External" Id="rId250"/><Relationship Type="http://schemas.openxmlformats.org/officeDocument/2006/relationships/hyperlink" Target="https://wol.jw.org/en/wol/d/r1/lp-e/1200003997" TargetMode="External" Id="rId251"/><Relationship Type="http://schemas.openxmlformats.org/officeDocument/2006/relationships/hyperlink" Target="https://wol.jw.org/en/wol/d/r1/lp-e/1200002215" TargetMode="External" Id="rId252"/><Relationship Type="http://schemas.openxmlformats.org/officeDocument/2006/relationships/hyperlink" Target="https://wol.jw.org/en/wol/d/r1/lp-e/1200001458" TargetMode="External" Id="rId253"/><Relationship Type="http://schemas.openxmlformats.org/officeDocument/2006/relationships/hyperlink" Target="https://wol.jw.org/en/wol/d/r1/lp-e/1101990067" TargetMode="External" Id="rId254"/><Relationship Type="http://schemas.openxmlformats.org/officeDocument/2006/relationships/hyperlink" Target="https://wol.jw.org/ta/wol/d/r122/lp-tl/1101990067" TargetMode="External" Id="rId255"/><Relationship Type="http://schemas.openxmlformats.org/officeDocument/2006/relationships/hyperlink" Target="https://wol.jw.org/en/wol/d/r1/lp-e/1200002523" TargetMode="External" Id="rId256"/><Relationship Type="http://schemas.openxmlformats.org/officeDocument/2006/relationships/hyperlink" Target="https://wol.jw.org/en/wol/d/r1/lp-e/1101990071" TargetMode="External" Id="rId257"/><Relationship Type="http://schemas.openxmlformats.org/officeDocument/2006/relationships/hyperlink" Target="https://wol.jw.org/ta/wol/d/r122/lp-tl/1101990071" TargetMode="External" Id="rId258"/><Relationship Type="http://schemas.openxmlformats.org/officeDocument/2006/relationships/hyperlink" Target="https://wol.jw.org/en/wol/d/r1/lp-e/1101990092" TargetMode="External" Id="rId259"/><Relationship Type="http://schemas.openxmlformats.org/officeDocument/2006/relationships/hyperlink" Target="https://wol.jw.org/ta/wol/d/r122/lp-tl/1101990092" TargetMode="External" Id="rId260"/><Relationship Type="http://schemas.openxmlformats.org/officeDocument/2006/relationships/hyperlink" Target="https://wol.jw.org/en/wol/d/r1/lp-e/1200000316" TargetMode="External" Id="rId261"/><Relationship Type="http://schemas.openxmlformats.org/officeDocument/2006/relationships/hyperlink" Target="https://wol.jw.org/en/wol/d/r1/lp-e/1200001476" TargetMode="External" Id="rId262"/><Relationship Type="http://schemas.openxmlformats.org/officeDocument/2006/relationships/hyperlink" Target="https://wol.jw.org/en/wol/d/r1/lp-e/1200000142" TargetMode="External" Id="rId263"/><Relationship Type="http://schemas.openxmlformats.org/officeDocument/2006/relationships/hyperlink" Target="https://wol.jw.org/en/wol/d/r1/lp-e/1200004682" TargetMode="External" Id="rId264"/><Relationship Type="http://schemas.openxmlformats.org/officeDocument/2006/relationships/hyperlink" Target="https://wol.jw.org/en/wol/d/r1/lp-e/1200003212" TargetMode="External" Id="rId265"/><Relationship Type="http://schemas.openxmlformats.org/officeDocument/2006/relationships/hyperlink" Target="https://wol.jw.org/en/wol/d/r1/lp-e/1200000192" TargetMode="External" Id="rId266"/><Relationship Type="http://schemas.openxmlformats.org/officeDocument/2006/relationships/hyperlink" Target="https://wol.jw.org/en/wol/d/r1/lp-e/1200002773" TargetMode="External" Id="rId267"/><Relationship Type="http://schemas.openxmlformats.org/officeDocument/2006/relationships/hyperlink" Target="https://wol.jw.org/en/wol/d/r1/lp-e/1001070233" TargetMode="External" Id="rId268"/><Relationship Type="http://schemas.openxmlformats.org/officeDocument/2006/relationships/hyperlink" Target="https://wol.jw.org/ta/wol/d/r122/lp-tl/1001070233" TargetMode="External" Id="rId269"/><Relationship Type="http://schemas.openxmlformats.org/officeDocument/2006/relationships/hyperlink" Target="https://wol.jw.org/en/wol/d/r1/lp-e/1200003451" TargetMode="External" Id="rId270"/><Relationship Type="http://schemas.openxmlformats.org/officeDocument/2006/relationships/hyperlink" Target="https://wol.jw.org/en/wol/d/r1/lp-e/1200001502" TargetMode="External" Id="rId271"/><Relationship Type="http://schemas.openxmlformats.org/officeDocument/2006/relationships/hyperlink" Target="https://wol.jw.org/en/wol/d/r1/lp-e/1200003452" TargetMode="External" Id="rId272"/><Relationship Type="http://schemas.openxmlformats.org/officeDocument/2006/relationships/hyperlink" Target="https://wol.jw.org/en/wol/d/r1/lp-e/1990760" TargetMode="External" Id="rId273"/><Relationship Type="http://schemas.openxmlformats.org/officeDocument/2006/relationships/hyperlink" Target="https://wol.jw.org/en/wol/d/r1/lp-e/1991804#h=13" TargetMode="External" Id="rId274"/><Relationship Type="http://schemas.openxmlformats.org/officeDocument/2006/relationships/hyperlink" Target="https://wol.jw.org/en/wol/d/r1/lp-e/101997327#h=5" TargetMode="External" Id="rId275"/><Relationship Type="http://schemas.openxmlformats.org/officeDocument/2006/relationships/hyperlink" Target="https://wol.jw.org/ta/wol/d/r122/lp-tl/101997327#h=5" TargetMode="External" Id="rId276"/><Relationship Type="http://schemas.openxmlformats.org/officeDocument/2006/relationships/hyperlink" Target="https://wol.jw.org/en/wol/d/r1/lp-e/2004205#h=9" TargetMode="External" Id="rId277"/><Relationship Type="http://schemas.openxmlformats.org/officeDocument/2006/relationships/hyperlink" Target="https://wol.jw.org/ta/wol/d/r122/lp-tl/2004205#h=9" TargetMode="External" Id="rId278"/><Relationship Type="http://schemas.openxmlformats.org/officeDocument/2006/relationships/hyperlink" Target="https://wol.jw.org/en/wol/d/r1/lp-e/2013533" TargetMode="External" Id="rId279"/><Relationship Type="http://schemas.openxmlformats.org/officeDocument/2006/relationships/hyperlink" Target="https://wol.jw.org/ta/wol/d/r122/lp-tl/2013533" TargetMode="External" Id="rId280"/><Relationship Type="http://schemas.openxmlformats.org/officeDocument/2006/relationships/hyperlink" Target="https://wol.jw.org/en/wol/d/r1/lp-e/2005721" TargetMode="External" Id="rId281"/><Relationship Type="http://schemas.openxmlformats.org/officeDocument/2006/relationships/hyperlink" Target="https://wol.jw.org/ta/wol/d/r122/lp-tl/2005721" TargetMode="External" Id="rId282"/><Relationship Type="http://schemas.openxmlformats.org/officeDocument/2006/relationships/hyperlink" Target="https://wol.jw.org/en/wol/d/r1/lp-e/2022401" TargetMode="External" Id="rId283"/><Relationship Type="http://schemas.openxmlformats.org/officeDocument/2006/relationships/hyperlink" Target="https://wol.jw.org/ta/wol/d/r122/lp-tl/2022401" TargetMode="External" Id="rId284"/><Relationship Type="http://schemas.openxmlformats.org/officeDocument/2006/relationships/hyperlink" Target="https://wol.jw.org/en/wol/d/r1/lp-e/2014922" TargetMode="External" Id="rId285"/><Relationship Type="http://schemas.openxmlformats.org/officeDocument/2006/relationships/hyperlink" Target="https://wol.jw.org/ta/wol/d/r122/lp-tl/2014922" TargetMode="External" Id="rId286"/><Relationship Type="http://schemas.openxmlformats.org/officeDocument/2006/relationships/hyperlink" Target="https://wol.jw.org/en/wol/d/r1/lp-e/2024287" TargetMode="External" Id="rId287"/><Relationship Type="http://schemas.openxmlformats.org/officeDocument/2006/relationships/hyperlink" Target="https://wol.jw.org/ta/wol/d/r122/lp-tl/2024287" TargetMode="External" Id="rId288"/><Relationship Type="http://schemas.openxmlformats.org/officeDocument/2006/relationships/hyperlink" Target="https://wol.jw.org/en/wol/d/r1/lp-e/1200000089" TargetMode="External" Id="rId289"/><Relationship Type="http://schemas.openxmlformats.org/officeDocument/2006/relationships/hyperlink" Target="https://wol.jw.org/en/wol/d/r1/lp-e/1200003911" TargetMode="External" Id="rId290"/><Relationship Type="http://schemas.openxmlformats.org/officeDocument/2006/relationships/hyperlink" Target="https://wol.jw.org/en/wol/d/r1/lp-e/1200002329" TargetMode="External" Id="rId291"/><Relationship Type="http://schemas.openxmlformats.org/officeDocument/2006/relationships/hyperlink" Target="https://wol.jw.org/en/wol/d/r1/lp-e/1200000367" TargetMode="External" Id="rId292"/><Relationship Type="http://schemas.openxmlformats.org/officeDocument/2006/relationships/hyperlink" Target="https://wol.jw.org/en/wol/d/r1/lp-e/1200003988" TargetMode="External" Id="rId293"/><Relationship Type="http://schemas.openxmlformats.org/officeDocument/2006/relationships/hyperlink" Target="https://wol.jw.org/en/wol/d/r1/lp-e/1200003421" TargetMode="External" Id="rId294"/><Relationship Type="http://schemas.openxmlformats.org/officeDocument/2006/relationships/hyperlink" Target="https://wol.jw.org/en/wol/d/r1/lp-e/1200003712" TargetMode="External" Id="rId295"/><Relationship Type="http://schemas.openxmlformats.org/officeDocument/2006/relationships/hyperlink" Target="https://wol.jw.org/en/wol/d/r1/lp-e/1200003909" TargetMode="External" Id="rId296"/><Relationship Type="http://schemas.openxmlformats.org/officeDocument/2006/relationships/hyperlink" Target="https://wol.jw.org/en/wol/d/r1/lp-e/1200003170" TargetMode="External" Id="rId297"/><Relationship Type="http://schemas.openxmlformats.org/officeDocument/2006/relationships/hyperlink" Target="https://wol.jw.org/en/wol/d/r1/lp-e/1200001650" TargetMode="External" Id="rId298"/><Relationship Type="http://schemas.openxmlformats.org/officeDocument/2006/relationships/hyperlink" Target="https://wol.jw.org/en/wol/d/r1/lp-e/1200000005" TargetMode="External" Id="rId299"/><Relationship Type="http://schemas.openxmlformats.org/officeDocument/2006/relationships/hyperlink" Target="https://wol.jw.org/en/wol/d/r1/lp-e/1101990066" TargetMode="External" Id="rId300"/><Relationship Type="http://schemas.openxmlformats.org/officeDocument/2006/relationships/hyperlink" Target="https://wol.jw.org/ta/wol/d/r122/lp-tl/1101990066" TargetMode="External" Id="rId301"/><Relationship Type="http://schemas.openxmlformats.org/officeDocument/2006/relationships/hyperlink" Target="https://wol.jw.org/en/wol/d/r1/lp-e/1200001065" TargetMode="External" Id="rId302"/><Relationship Type="http://schemas.openxmlformats.org/officeDocument/2006/relationships/hyperlink" Target="https://wol.jw.org/en/wol/d/r1/lp-e/1200003397" TargetMode="External" Id="rId303"/><Relationship Type="http://schemas.openxmlformats.org/officeDocument/2006/relationships/hyperlink" Target="https://wol.jw.org/en/wol/d/r1/lp-e/1001061223" TargetMode="External" Id="rId304"/><Relationship Type="http://schemas.openxmlformats.org/officeDocument/2006/relationships/hyperlink" Target="https://wol.jw.org/ta/wol/d/r122/lp-tl/1001061223" TargetMode="External" Id="rId305"/><Relationship Type="http://schemas.openxmlformats.org/officeDocument/2006/relationships/hyperlink" Target="https://wol.jw.org/en/wol/d/r1/lp-e/1200001130" TargetMode="External" Id="rId306"/><Relationship Type="http://schemas.openxmlformats.org/officeDocument/2006/relationships/hyperlink" Target="https://wol.jw.org/en/wol/d/r1/lp-e/1101990093" TargetMode="External" Id="rId307"/><Relationship Type="http://schemas.openxmlformats.org/officeDocument/2006/relationships/hyperlink" Target="https://wol.jw.org/ta/wol/d/r122/lp-tl/1101990093" TargetMode="External" Id="rId308"/><Relationship Type="http://schemas.openxmlformats.org/officeDocument/2006/relationships/hyperlink" Target="https://wol.jw.org/en/wol/d/r1/lp-e/1101990085" TargetMode="External" Id="rId309"/><Relationship Type="http://schemas.openxmlformats.org/officeDocument/2006/relationships/hyperlink" Target="https://wol.jw.org/ta/wol/d/r122/lp-tl/1101990085" TargetMode="External" Id="rId310"/><Relationship Type="http://schemas.openxmlformats.org/officeDocument/2006/relationships/hyperlink" Target="https://wol.jw.org/en/wol/d/r1/lp-e/1101990095" TargetMode="External" Id="rId311"/><Relationship Type="http://schemas.openxmlformats.org/officeDocument/2006/relationships/hyperlink" Target="https://wol.jw.org/ta/wol/d/r122/lp-tl/1101990095" TargetMode="External" Id="rId312"/><Relationship Type="http://schemas.openxmlformats.org/officeDocument/2006/relationships/hyperlink" Target="https://wol.jw.org/en/wol/d/r1/lp-e/1101990096" TargetMode="External" Id="rId313"/><Relationship Type="http://schemas.openxmlformats.org/officeDocument/2006/relationships/hyperlink" Target="https://wol.jw.org/ta/wol/d/r122/lp-tl/1101990096" TargetMode="External" Id="rId314"/><Relationship Type="http://schemas.openxmlformats.org/officeDocument/2006/relationships/hyperlink" Target="https://wol.jw.org/en/wol/d/r1/lp-e/1200004716" TargetMode="External" Id="rId315"/><Relationship Type="http://schemas.openxmlformats.org/officeDocument/2006/relationships/hyperlink" Target="https://wol.jw.org/en/wol/d/r1/lp-e/1101990098" TargetMode="External" Id="rId316"/><Relationship Type="http://schemas.openxmlformats.org/officeDocument/2006/relationships/hyperlink" Target="https://wol.jw.org/ta/wol/d/r122/lp-tl/1101990098" TargetMode="External" Id="rId317"/><Relationship Type="http://schemas.openxmlformats.org/officeDocument/2006/relationships/hyperlink" Target="https://wol.jw.org/en/wol/d/r1/lp-e/1101990099" TargetMode="External" Id="rId318"/><Relationship Type="http://schemas.openxmlformats.org/officeDocument/2006/relationships/hyperlink" Target="https://wol.jw.org/ta/wol/d/r122/lp-tl/1101990099" TargetMode="External" Id="rId319"/><Relationship Type="http://schemas.openxmlformats.org/officeDocument/2006/relationships/hyperlink" Target="https://wol.jw.org/en/wol/d/r1/lp-e/1200003213" TargetMode="External" Id="rId320"/><Relationship Type="http://schemas.openxmlformats.org/officeDocument/2006/relationships/hyperlink" Target="https://wol.jw.org/en/wol/d/r1/lp-e/1101990077" TargetMode="External" Id="rId321"/><Relationship Type="http://schemas.openxmlformats.org/officeDocument/2006/relationships/hyperlink" Target="https://wol.jw.org/ta/wol/d/r122/lp-tl/1101990077" TargetMode="External" Id="rId322"/><Relationship Type="http://schemas.openxmlformats.org/officeDocument/2006/relationships/hyperlink" Target="https://wol.jw.org/en/wol/d/r1/lp-e/1200002313" TargetMode="External" Id="rId323"/><Relationship Type="http://schemas.openxmlformats.org/officeDocument/2006/relationships/hyperlink" Target="https://wol.jw.org/en/wol/d/r1/lp-e/1001070701" TargetMode="External" Id="rId324"/><Relationship Type="http://schemas.openxmlformats.org/officeDocument/2006/relationships/hyperlink" Target="https://wol.jw.org/en/wol/d/r1/lp-e/1001070700" TargetMode="External" Id="rId325"/><Relationship Type="http://schemas.openxmlformats.org/officeDocument/2006/relationships/hyperlink" Target="https://wol.jw.org/en/wol/d/r1/lp-e/1001070707" TargetMode="External" Id="rId326"/><Relationship Type="http://schemas.openxmlformats.org/officeDocument/2006/relationships/hyperlink" Target="https://wol.jw.org/en/wol/d/r1/lp-e/1001070705" TargetMode="External" Id="rId327"/><Relationship Type="http://schemas.openxmlformats.org/officeDocument/2006/relationships/hyperlink" Target="https://wol.jw.org/en/wol/d/r1/lp-e/1200001193" TargetMode="External" Id="rId328"/><Relationship Type="http://schemas.openxmlformats.org/officeDocument/2006/relationships/hyperlink" Target="https://wol.jw.org/en/wol/d/r1/lp-e/1200000880#h=28" TargetMode="External" Id="rId329"/><Relationship Type="http://schemas.openxmlformats.org/officeDocument/2006/relationships/hyperlink" Target="https://wol.jw.org/en/wol/d/r1/lp-e/1101989032#h=13" TargetMode="External" Id="rId330"/><Relationship Type="http://schemas.openxmlformats.org/officeDocument/2006/relationships/hyperlink" Target="https://wol.jw.org/en/wol/d/r1/lp-e/1200000756#h=31" TargetMode="External" Id="rId331"/><Relationship Type="http://schemas.openxmlformats.org/officeDocument/2006/relationships/hyperlink" Target="https://wol.jw.org/en/wol/d/r1/lp-e/2009251#h=9" TargetMode="External" Id="rId332"/><Relationship Type="http://schemas.openxmlformats.org/officeDocument/2006/relationships/hyperlink" Target="https://wol.jw.org/en/wol/d/r1/lp-e/1200000305#h=13" TargetMode="External" Id="rId333"/><Relationship Type="http://schemas.openxmlformats.org/officeDocument/2006/relationships/hyperlink" Target="https://wol.jw.org/en/wol/d/r1/lp-e/501100071#h=8" TargetMode="External" Id="rId334"/><Relationship Type="http://schemas.openxmlformats.org/officeDocument/2006/relationships/hyperlink" Target="https://wol.jw.org/ta/wol/d/r122/lp-tl/501100071#h=8" TargetMode="External" Id="rId335"/><Relationship Type="http://schemas.openxmlformats.org/officeDocument/2006/relationships/hyperlink" Target="https://wol.jw.org/en/wol/d/r1/lp-e/1977526" TargetMode="External" Id="rId336"/><Relationship Type="http://schemas.openxmlformats.org/officeDocument/2006/relationships/hyperlink" Target="https://wol.jw.org/en/wol/d/r1/lp-e/1977564" TargetMode="External" Id="rId337"/><Relationship Type="http://schemas.openxmlformats.org/officeDocument/2006/relationships/hyperlink" Target="https://wol.jw.org/en/wol/d/r1/lp-e/302017036" TargetMode="External" Id="rId338"/><Relationship Type="http://schemas.openxmlformats.org/officeDocument/2006/relationships/hyperlink" Target="https://wol.jw.org/en/wol/d/r1/lp-e/502016185" TargetMode="External" Id="rId339"/><Relationship Type="http://schemas.openxmlformats.org/officeDocument/2006/relationships/hyperlink" Target="https://wol.jw.org/ta/wol/d/r122/lp-tl/502016185" TargetMode="External" Id="rId340"/><Relationship Type="http://schemas.openxmlformats.org/officeDocument/2006/relationships/hyperlink" Target="https://wol.jw.org/en/wol/d/r1/lp-e/2014083" TargetMode="External" Id="rId341"/><Relationship Type="http://schemas.openxmlformats.org/officeDocument/2006/relationships/hyperlink" Target="https://wol.jw.org/en/wol/d/r1/lp-e/1102014245" TargetMode="External" Id="rId342"/><Relationship Type="http://schemas.openxmlformats.org/officeDocument/2006/relationships/hyperlink" Target="https://wol.jw.org/ta/wol/d/r122/lp-tl/1102014245" TargetMode="External" Id="rId343"/><Relationship Type="http://schemas.openxmlformats.org/officeDocument/2006/relationships/hyperlink" Target="https://wol.jw.org/en/wol/d/r1/lp-e/102006001" TargetMode="External" Id="rId344"/><Relationship Type="http://schemas.openxmlformats.org/officeDocument/2006/relationships/hyperlink" Target="https://wol.jw.org/ta/wol/d/r122/lp-tl/102006001" TargetMode="External" Id="rId345"/><Relationship Type="http://schemas.openxmlformats.org/officeDocument/2006/relationships/hyperlink" Target="https://wol.jw.org/en/wol/d/r1/lp-e/302017039" TargetMode="External" Id="rId346"/><Relationship Type="http://schemas.openxmlformats.org/officeDocument/2006/relationships/hyperlink" Target="https://wol.jw.org/en/wol/d/r1/lp-e/2010849" TargetMode="External" Id="rId347"/><Relationship Type="http://schemas.openxmlformats.org/officeDocument/2006/relationships/hyperlink" Target="https://wol.jw.org/ta/wol/d/r122/lp-tl/2010849" TargetMode="External" Id="rId348"/><Relationship Type="http://schemas.openxmlformats.org/officeDocument/2006/relationships/hyperlink" Target="https://wol.jw.org/en/wol/d/r1/lp-e/2007002" TargetMode="External" Id="rId349"/><Relationship Type="http://schemas.openxmlformats.org/officeDocument/2006/relationships/hyperlink" Target="https://wol.jw.org/ta/wol/d/r122/lp-tl/2007002" TargetMode="External" Id="rId350"/><Relationship Type="http://schemas.openxmlformats.org/officeDocument/2006/relationships/hyperlink" Target="https://wol.jw.org/en/wol/d/r1/lp-e/1988687" TargetMode="External" Id="rId351"/><Relationship Type="http://schemas.openxmlformats.org/officeDocument/2006/relationships/hyperlink" Target="https://wol.jw.org/en/wol/d/r1/lp-e/2020401" TargetMode="External" Id="rId352"/><Relationship Type="http://schemas.openxmlformats.org/officeDocument/2006/relationships/hyperlink" Target="https://wol.jw.org/ta/wol/d/r122/lp-tl/2020401" TargetMode="External" Id="rId353"/><Relationship Type="http://schemas.openxmlformats.org/officeDocument/2006/relationships/hyperlink" Target="https://wol.jw.org/en/wol/d/r1/lp-e/2006207" TargetMode="External" Id="rId354"/><Relationship Type="http://schemas.openxmlformats.org/officeDocument/2006/relationships/hyperlink" Target="https://wol.jw.org/ta/wol/d/r122/lp-tl/2006207" TargetMode="External" Id="rId355"/><Relationship Type="http://schemas.openxmlformats.org/officeDocument/2006/relationships/hyperlink" Target="https://wol.jw.org/en/wol/d/r1/lp-e/2019248" TargetMode="External" Id="rId356"/><Relationship Type="http://schemas.openxmlformats.org/officeDocument/2006/relationships/hyperlink" Target="https://wol.jw.org/ta/wol/d/r122/lp-tl/2019248" TargetMode="External" Id="rId357"/><Relationship Type="http://schemas.openxmlformats.org/officeDocument/2006/relationships/hyperlink" Target="https://wol.jw.org/en/wol/d/r1/lp-e/1200003022" TargetMode="External" Id="rId358"/><Relationship Type="http://schemas.openxmlformats.org/officeDocument/2006/relationships/hyperlink" Target="https://wol.jw.org/en/wol/d/r1/lp-e/1200002475" TargetMode="External" Id="rId359"/><Relationship Type="http://schemas.openxmlformats.org/officeDocument/2006/relationships/hyperlink" Target="https://wol.jw.org/en/wol/d/r1/lp-e/1101990062" TargetMode="External" Id="rId360"/><Relationship Type="http://schemas.openxmlformats.org/officeDocument/2006/relationships/hyperlink" Target="https://wol.jw.org/ta/wol/d/r122/lp-tl/1101990062" TargetMode="External" Id="rId361"/><Relationship Type="http://schemas.openxmlformats.org/officeDocument/2006/relationships/hyperlink" Target="https://wol.jw.org/en/wol/d/r1/lp-e/1200002888" TargetMode="External" Id="rId362"/><Relationship Type="http://schemas.openxmlformats.org/officeDocument/2006/relationships/hyperlink" Target="https://wol.jw.org/en/wol/d/r1/lp-e/502016227" TargetMode="External" Id="rId363"/><Relationship Type="http://schemas.openxmlformats.org/officeDocument/2006/relationships/hyperlink" Target="https://wol.jw.org/en/wol/d/r1/lp-e/1200000863" TargetMode="External" Id="rId364"/><Relationship Type="http://schemas.openxmlformats.org/officeDocument/2006/relationships/hyperlink" Target="https://wol.jw.org/en/wol/d/r1/lp-e/1001061224" TargetMode="External" Id="rId365"/><Relationship Type="http://schemas.openxmlformats.org/officeDocument/2006/relationships/hyperlink" Target="https://wol.jw.org/ta/wol/d/r122/lp-tl/1001061224" TargetMode="External" Id="rId366"/><Relationship Type="http://schemas.openxmlformats.org/officeDocument/2006/relationships/hyperlink" Target="https://wol.jw.org/en/wol/d/r1/lp-e/1101990068" TargetMode="External" Id="rId367"/><Relationship Type="http://schemas.openxmlformats.org/officeDocument/2006/relationships/hyperlink" Target="https://wol.jw.org/ta/wol/d/r122/lp-tl/1101990068" TargetMode="External" Id="rId368"/><Relationship Type="http://schemas.openxmlformats.org/officeDocument/2006/relationships/hyperlink" Target="https://wol.jw.org/en/wol/d/r1/lp-e/1101990069" TargetMode="External" Id="rId369"/><Relationship Type="http://schemas.openxmlformats.org/officeDocument/2006/relationships/hyperlink" Target="https://wol.jw.org/ta/wol/d/r122/lp-tl/1101990069" TargetMode="External" Id="rId370"/><Relationship Type="http://schemas.openxmlformats.org/officeDocument/2006/relationships/hyperlink" Target="https://wol.jw.org/en/wol/d/r1/lp-e/1200003824" TargetMode="External" Id="rId371"/><Relationship Type="http://schemas.openxmlformats.org/officeDocument/2006/relationships/hyperlink" Target="https://wol.jw.org/en/wol/d/r1/lp-e/1200001290" TargetMode="External" Id="rId372"/><Relationship Type="http://schemas.openxmlformats.org/officeDocument/2006/relationships/hyperlink" Target="https://wol.jw.org/en/wol/d/r1/lp-e/1101990070" TargetMode="External" Id="rId373"/><Relationship Type="http://schemas.openxmlformats.org/officeDocument/2006/relationships/hyperlink" Target="https://wol.jw.org/ta/wol/d/r122/lp-tl/1101990070" TargetMode="External" Id="rId374"/><Relationship Type="http://schemas.openxmlformats.org/officeDocument/2006/relationships/hyperlink" Target="https://wol.jw.org/en/wol/d/r1/lp-e/1001061227" TargetMode="External" Id="rId375"/><Relationship Type="http://schemas.openxmlformats.org/officeDocument/2006/relationships/hyperlink" Target="https://wol.jw.org/ta/wol/d/r122/lp-tl/1001061227" TargetMode="External" Id="rId376"/><Relationship Type="http://schemas.openxmlformats.org/officeDocument/2006/relationships/hyperlink" Target="https://wol.jw.org/en/wol/d/r1/lp-e/1200002613" TargetMode="External" Id="rId377"/><Relationship Type="http://schemas.openxmlformats.org/officeDocument/2006/relationships/hyperlink" Target="https://wol.jw.org/en/wol/d/r1/lp-e/1101990091" TargetMode="External" Id="rId378"/><Relationship Type="http://schemas.openxmlformats.org/officeDocument/2006/relationships/hyperlink" Target="https://wol.jw.org/ta/wol/d/r122/lp-tl/1101990091" TargetMode="External" Id="rId379"/><Relationship Type="http://schemas.openxmlformats.org/officeDocument/2006/relationships/hyperlink" Target="https://wol.jw.org/en/wol/d/r1/lp-e/1101990090" TargetMode="External" Id="rId380"/><Relationship Type="http://schemas.openxmlformats.org/officeDocument/2006/relationships/hyperlink" Target="https://wol.jw.org/ta/wol/d/r122/lp-tl/1101990090" TargetMode="External" Id="rId381"/><Relationship Type="http://schemas.openxmlformats.org/officeDocument/2006/relationships/hyperlink" Target="https://wol.jw.org/en/wol/d/r1/lp-e/1101990089" TargetMode="External" Id="rId382"/><Relationship Type="http://schemas.openxmlformats.org/officeDocument/2006/relationships/hyperlink" Target="https://wol.jw.org/ta/wol/d/r122/lp-tl/1101990089" TargetMode="External" Id="rId383"/><Relationship Type="http://schemas.openxmlformats.org/officeDocument/2006/relationships/hyperlink" Target="https://wol.jw.org/en/wol/d/r1/lp-e/1101990084" TargetMode="External" Id="rId384"/><Relationship Type="http://schemas.openxmlformats.org/officeDocument/2006/relationships/hyperlink" Target="https://wol.jw.org/ta/wol/d/r122/lp-tl/1101990084" TargetMode="External" Id="rId385"/><Relationship Type="http://schemas.openxmlformats.org/officeDocument/2006/relationships/hyperlink" Target="https://wol.jw.org/en/wol/d/r1/lp-e/1101990094" TargetMode="External" Id="rId386"/><Relationship Type="http://schemas.openxmlformats.org/officeDocument/2006/relationships/hyperlink" Target="https://wol.jw.org/ta/wol/d/r122/lp-tl/1101990094" TargetMode="External" Id="rId387"/><Relationship Type="http://schemas.openxmlformats.org/officeDocument/2006/relationships/hyperlink" Target="https://wol.jw.org/en/wol/d/r1/lp-e/1200000447" TargetMode="External" Id="rId388"/><Relationship Type="http://schemas.openxmlformats.org/officeDocument/2006/relationships/hyperlink" Target="https://wol.jw.org/en/wol/d/r1/lp-e/1101990097" TargetMode="External" Id="rId389"/><Relationship Type="http://schemas.openxmlformats.org/officeDocument/2006/relationships/hyperlink" Target="https://wol.jw.org/ta/wol/d/r122/lp-tl/1101990097" TargetMode="External" Id="rId390"/><Relationship Type="http://schemas.openxmlformats.org/officeDocument/2006/relationships/hyperlink" Target="https://wol.jw.org/en/wol/d/r1/lp-e/1200001789" TargetMode="External" Id="rId391"/><Relationship Type="http://schemas.openxmlformats.org/officeDocument/2006/relationships/hyperlink" Target="https://wol.jw.org/en/wol/d/r1/lp-e/1200001469" TargetMode="External" Id="rId392"/><Relationship Type="http://schemas.openxmlformats.org/officeDocument/2006/relationships/hyperlink" Target="https://wol.jw.org/en/wol/d/r1/lp-e/1200002149" TargetMode="External" Id="rId393"/><Relationship Type="http://schemas.openxmlformats.org/officeDocument/2006/relationships/hyperlink" Target="https://wol.jw.org/en/wol/d/r1/lp-e/1101999026" TargetMode="External" Id="rId394"/><Relationship Type="http://schemas.openxmlformats.org/officeDocument/2006/relationships/hyperlink" Target="https://wol.jw.org/ta/wol/d/r122/lp-tl/1101999026" TargetMode="External" Id="rId395"/><Relationship Type="http://schemas.openxmlformats.org/officeDocument/2006/relationships/hyperlink" Target="https://wol.jw.org/en/wol/d/r1/lp-e/1200001453" TargetMode="External" Id="rId396"/><Relationship Type="http://schemas.openxmlformats.org/officeDocument/2006/relationships/hyperlink" Target="https://wol.jw.org/en/wol/d/r1/lp-e/1200003156" TargetMode="External" Id="rId397"/><Relationship Type="http://schemas.openxmlformats.org/officeDocument/2006/relationships/hyperlink" Target="https://wol.jw.org/en/wol/d/r1/lp-e/1200000628" TargetMode="External" Id="rId398"/><Relationship Type="http://schemas.openxmlformats.org/officeDocument/2006/relationships/hyperlink" Target="https://wol.jw.org/en/wol/d/r1/lp-e/1200001118" TargetMode="External" Id="rId399"/><Relationship Type="http://schemas.openxmlformats.org/officeDocument/2006/relationships/hyperlink" Target="https://wol.jw.org/en/wol/d/r1/lp-e/1200001431" TargetMode="External" Id="rId400"/><Relationship Type="http://schemas.openxmlformats.org/officeDocument/2006/relationships/hyperlink" Target="https://wol.jw.org/en/wol/d/r1/lp-e/1101990078" TargetMode="External" Id="rId401"/><Relationship Type="http://schemas.openxmlformats.org/officeDocument/2006/relationships/hyperlink" Target="https://wol.jw.org/ta/wol/d/r122/lp-tl/1101990078" TargetMode="External" Id="rId402"/><Relationship Type="http://schemas.openxmlformats.org/officeDocument/2006/relationships/hyperlink" Target="https://wol.jw.org/en/wol/d/r1/lp-e/1200003588" TargetMode="External" Id="rId403"/><Relationship Type="http://schemas.openxmlformats.org/officeDocument/2006/relationships/hyperlink" Target="https://wol.jw.org/en/wol/d/r1/lp-e/1101990074" TargetMode="External" Id="rId404"/><Relationship Type="http://schemas.openxmlformats.org/officeDocument/2006/relationships/hyperlink" Target="https://wol.jw.org/ta/wol/d/r122/lp-tl/1101990074" TargetMode="External" Id="rId405"/><Relationship Type="http://schemas.openxmlformats.org/officeDocument/2006/relationships/hyperlink" Target="https://wol.jw.org/en/wol/d/r1/lp-e/1101990100" TargetMode="External" Id="rId406"/><Relationship Type="http://schemas.openxmlformats.org/officeDocument/2006/relationships/hyperlink" Target="https://wol.jw.org/ta/wol/d/r122/lp-tl/1101990100" TargetMode="External" Id="rId407"/><Relationship Type="http://schemas.openxmlformats.org/officeDocument/2006/relationships/hyperlink" Target="https://wol.jw.org/en/wol/d/r1/lp-e/1200002861" TargetMode="External" Id="rId408"/><Relationship Type="http://schemas.openxmlformats.org/officeDocument/2006/relationships/hyperlink" Target="https://wol.jw.org/en/wol/d/r1/lp-e/1200001506" TargetMode="External" Id="rId409"/><Relationship Type="http://schemas.openxmlformats.org/officeDocument/2006/relationships/hyperlink" Target="https://wol.jw.org/en/wol/d/r1/lp-e/1001061232" TargetMode="External" Id="rId410"/><Relationship Type="http://schemas.openxmlformats.org/officeDocument/2006/relationships/hyperlink" Target="https://wol.jw.org/ta/wol/d/r122/lp-tl/1001061232" TargetMode="External" Id="rId411"/><Relationship Type="http://schemas.openxmlformats.org/officeDocument/2006/relationships/hyperlink" Target="https://wol.jw.org/en/wol/d/r1/lp-e/1200003431" TargetMode="External" Id="rId412"/><Relationship Type="http://schemas.openxmlformats.org/officeDocument/2006/relationships/hyperlink" Target="https://wol.jw.org/en/wol/d/r1/lp-e/1102009044" TargetMode="External" Id="rId413"/><Relationship Type="http://schemas.openxmlformats.org/officeDocument/2006/relationships/hyperlink" Target="https://wol.jw.org/ta/wol/d/r122/lp-tl/1102009044" TargetMode="External" Id="rId414"/><Relationship Type="http://schemas.openxmlformats.org/officeDocument/2006/relationships/hyperlink" Target="https://wol.jw.org/en/wol/d/r1/lp-e/1200004153" TargetMode="External" Id="rId415"/><Relationship Type="http://schemas.openxmlformats.org/officeDocument/2006/relationships/hyperlink" Target="https://wol.jw.org/en/wol/d/r1/lp-e/1001070690" TargetMode="External" Id="rId416"/><Relationship Type="http://schemas.openxmlformats.org/officeDocument/2006/relationships/hyperlink" Target="https://wol.jw.org/en/wol/d/r1/lp-e/1200000853" TargetMode="External" Id="rId417"/><Relationship Type="http://schemas.openxmlformats.org/officeDocument/2006/relationships/hyperlink" Target="https://wol.jw.org/en/wol/d/r1/lp-e/1101990101" TargetMode="External" Id="rId418"/><Relationship Type="http://schemas.openxmlformats.org/officeDocument/2006/relationships/hyperlink" Target="https://wol.jw.org/ta/wol/d/r122/lp-tl/1101990101" TargetMode="External" Id="rId419"/><Relationship Type="http://schemas.openxmlformats.org/officeDocument/2006/relationships/hyperlink" Target="https://wol.jw.org/en/wol/d/r1/lp-e/1200000129" TargetMode="External" Id="rId420"/><Relationship Type="http://schemas.openxmlformats.org/officeDocument/2006/relationships/hyperlink" Target="https://wol.jw.org/en/wol/d/r1/lp-e/1200001603" TargetMode="External" Id="rId421"/><Relationship Type="http://schemas.openxmlformats.org/officeDocument/2006/relationships/hyperlink" Target="https://wol.jw.org/en/wol/d/r1/lp-e/1001070714" TargetMode="External" Id="rId422"/><Relationship Type="http://schemas.openxmlformats.org/officeDocument/2006/relationships/hyperlink" Target="https://wol.jw.org/en/wol/d/r1/lp-e/1001070710" TargetMode="External" Id="rId423"/><Relationship Type="http://schemas.openxmlformats.org/officeDocument/2006/relationships/hyperlink" Target="https://wol.jw.org/en/wol/d/r1/lp-e/1200001512" TargetMode="External" Id="rId424"/><Relationship Type="http://schemas.openxmlformats.org/officeDocument/2006/relationships/hyperlink" Target="https://wol.jw.org/en/wol/d/r1/lp-e/1101990102" TargetMode="External" Id="rId425"/><Relationship Type="http://schemas.openxmlformats.org/officeDocument/2006/relationships/hyperlink" Target="https://wol.jw.org/ta/wol/d/r122/lp-tl/1101990102" TargetMode="External" Id="rId426"/><Relationship Type="http://schemas.openxmlformats.org/officeDocument/2006/relationships/hyperlink" Target="https://wol.jw.org/en/wol/d/r1/lp-e/1101990105" TargetMode="External" Id="rId427"/><Relationship Type="http://schemas.openxmlformats.org/officeDocument/2006/relationships/hyperlink" Target="https://wol.jw.org/ta/wol/d/r122/lp-tl/1101990105" TargetMode="External" Id="rId428"/><Relationship Type="http://schemas.openxmlformats.org/officeDocument/2006/relationships/hyperlink" Target="https://wol.jw.org/en/wol/d/r1/lp-e/1101990120" TargetMode="External" Id="rId429"/><Relationship Type="http://schemas.openxmlformats.org/officeDocument/2006/relationships/hyperlink" Target="https://wol.jw.org/ta/wol/d/r122/lp-tl/1101990120" TargetMode="External" Id="rId430"/><Relationship Type="http://schemas.openxmlformats.org/officeDocument/2006/relationships/hyperlink" Target="https://wol.jw.org/en/wol/d/r1/lp-e/1101990126" TargetMode="External" Id="rId431"/><Relationship Type="http://schemas.openxmlformats.org/officeDocument/2006/relationships/hyperlink" Target="https://wol.jw.org/ta/wol/d/r122/lp-tl/1101990126" TargetMode="External" Id="rId432"/><Relationship Type="http://schemas.openxmlformats.org/officeDocument/2006/relationships/hyperlink" Target="https://wol.jw.org/en/wol/d/r1/lp-e/1200001106" TargetMode="External" Id="rId433"/><Relationship Type="http://schemas.openxmlformats.org/officeDocument/2006/relationships/hyperlink" Target="https://wol.jw.org/en/wol/d/r1/lp-e/1200003403" TargetMode="External" Id="rId434"/><Relationship Type="http://schemas.openxmlformats.org/officeDocument/2006/relationships/hyperlink" Target="https://wol.jw.org/en/wol/d/r1/lp-e/1101990104" TargetMode="External" Id="rId435"/><Relationship Type="http://schemas.openxmlformats.org/officeDocument/2006/relationships/hyperlink" Target="https://wol.jw.org/ta/wol/d/r122/lp-tl/1101990104" TargetMode="External" Id="rId436"/><Relationship Type="http://schemas.openxmlformats.org/officeDocument/2006/relationships/hyperlink" Target="https://wol.jw.org/en/wol/d/r1/lp-e/1101990123" TargetMode="External" Id="rId437"/><Relationship Type="http://schemas.openxmlformats.org/officeDocument/2006/relationships/hyperlink" Target="https://wol.jw.org/ta/wol/d/r122/lp-tl/1101990123" TargetMode="External" Id="rId438"/><Relationship Type="http://schemas.openxmlformats.org/officeDocument/2006/relationships/hyperlink" Target="https://wol.jw.org/en/wol/d/r1/lp-e/1101990124" TargetMode="External" Id="rId439"/><Relationship Type="http://schemas.openxmlformats.org/officeDocument/2006/relationships/hyperlink" Target="https://wol.jw.org/ta/wol/d/r122/lp-tl/1101990124" TargetMode="External" Id="rId440"/><Relationship Type="http://schemas.openxmlformats.org/officeDocument/2006/relationships/hyperlink" Target="https://wol.jw.org/en/wol/d/r1/lp-e/1101990125" TargetMode="External" Id="rId441"/><Relationship Type="http://schemas.openxmlformats.org/officeDocument/2006/relationships/hyperlink" Target="https://wol.jw.org/ta/wol/d/r122/lp-tl/1101990125" TargetMode="External" Id="rId442"/><Relationship Type="http://schemas.openxmlformats.org/officeDocument/2006/relationships/hyperlink" Target="https://wol.jw.org/en/wol/d/r1/lp-e/1101989303#h=2" TargetMode="External" Id="rId443"/><Relationship Type="http://schemas.openxmlformats.org/officeDocument/2006/relationships/hyperlink" Target="https://wol.jw.org/ta/wol/d/r122/lp-tl/1101989303#h=2" TargetMode="External" Id="rId444"/><Relationship Type="http://schemas.openxmlformats.org/officeDocument/2006/relationships/hyperlink" Target="https://wol.jw.org/en/wol/d/r1/lp-e/102001725#h=4" TargetMode="External" Id="rId445"/><Relationship Type="http://schemas.openxmlformats.org/officeDocument/2006/relationships/hyperlink" Target="https://wol.jw.org/en/wol/d/r1/lp-e/101998884#h=20" TargetMode="External" Id="rId446"/><Relationship Type="http://schemas.openxmlformats.org/officeDocument/2006/relationships/hyperlink" Target="https://wol.jw.org/ta/wol/d/r122/lp-tl/101998884#h=20" TargetMode="External" Id="rId447"/><Relationship Type="http://schemas.openxmlformats.org/officeDocument/2006/relationships/hyperlink" Target="https://wol.jw.org/en/wol/d/r1/lp-e/101986288" TargetMode="External" Id="rId448"/><Relationship Type="http://schemas.openxmlformats.org/officeDocument/2006/relationships/hyperlink" Target="https://wol.jw.org/ta/wol/d/r122/lp-tl/101986288" TargetMode="External" Id="rId449"/><Relationship Type="http://schemas.openxmlformats.org/officeDocument/2006/relationships/hyperlink" Target="https://wol.jw.org/en/wol/d/r1/lp-e/1997527#h=2" TargetMode="External" Id="rId450"/><Relationship Type="http://schemas.openxmlformats.org/officeDocument/2006/relationships/hyperlink" Target="https://wol.jw.org/ta/wol/d/r122/lp-tl/1997527#h=2" TargetMode="External" Id="rId451"/><Relationship Type="http://schemas.openxmlformats.org/officeDocument/2006/relationships/hyperlink" Target="https://wol.jw.org/en/wol/d/r1/lp-e/1101993023" TargetMode="External" Id="rId452"/><Relationship Type="http://schemas.openxmlformats.org/officeDocument/2006/relationships/hyperlink" Target="https://wol.jw.org/en/wol/d/r1/lp-e/2022485" TargetMode="External" Id="rId453"/><Relationship Type="http://schemas.openxmlformats.org/officeDocument/2006/relationships/hyperlink" Target="https://wol.jw.org/ta/wol/d/r122/lp-tl/2022485" TargetMode="External" Id="rId454"/><Relationship Type="http://schemas.openxmlformats.org/officeDocument/2006/relationships/hyperlink" Target="https://wol.jw.org/en/wol/d/r1/lp-e/1955684" TargetMode="External" Id="rId455"/><Relationship Type="http://schemas.openxmlformats.org/officeDocument/2006/relationships/hyperlink" Target="https://www.jw.org/en/news/region/global/New-World-Translation-of-the-Christian-Greek-Scriptures-First-Released-75-Years-Ago/" TargetMode="External" Id="rId456"/><Relationship Type="http://schemas.openxmlformats.org/officeDocument/2006/relationships/hyperlink" Target="https://wol.jw.org/en/wol/d/r1/lp-e/1994808" TargetMode="External" Id="rId457"/><Relationship Type="http://schemas.openxmlformats.org/officeDocument/2006/relationships/hyperlink" Target="https://wol.jw.org/ta/wol/d/r122/lp-tl/1994808" TargetMode="External" Id="rId458"/><Relationship Type="http://schemas.openxmlformats.org/officeDocument/2006/relationships/hyperlink" Target="https://www.jw.org/en/news/region/global/A-Decade-of-JWORG-Part-1/" TargetMode="External" Id="rId459"/><Relationship Type="http://schemas.openxmlformats.org/officeDocument/2006/relationships/hyperlink" Target="https://wol.jw.org/en/wol/d/r1/lp-e/2013534" TargetMode="External" Id="rId460"/><Relationship Type="http://schemas.openxmlformats.org/officeDocument/2006/relationships/hyperlink" Target="https://wol.jw.org/ta/wol/d/r122/lp-tl/2013534" TargetMode="External" Id="rId461"/><Relationship Type="http://schemas.openxmlformats.org/officeDocument/2006/relationships/hyperlink" Target="https://wol.jw.org/en/wol/d/r1/lp-e/302014042" TargetMode="External" Id="rId462"/><Relationship Type="http://schemas.openxmlformats.org/officeDocument/2006/relationships/hyperlink" Target="https://wol.jw.org/en/wol/d/r1/lp-e/302015054" TargetMode="External" Id="rId463"/><Relationship Type="http://schemas.openxmlformats.org/officeDocument/2006/relationships/hyperlink" Target="https://wol.jw.org/en/wol/d/r1/lp-e/302015057" TargetMode="External" Id="rId464"/><Relationship Type="http://schemas.openxmlformats.org/officeDocument/2006/relationships/hyperlink" Target="https://www.jw.org/en/news/region/global/JW-Broadcasting-Reaches-Five-Year-Mark/" TargetMode="External" Id="rId465"/><Relationship Type="http://schemas.openxmlformats.org/officeDocument/2006/relationships/hyperlink" Target="https://wol.jw.org/en/wol/d/r1/lp-e/302016052" TargetMode="External" Id="rId466"/><Relationship Type="http://schemas.openxmlformats.org/officeDocument/2006/relationships/hyperlink" Target="https://wol.jw.org/en/wol/d/r1/lp-e/302016053" TargetMode="External" Id="rId467"/><Relationship Type="http://schemas.openxmlformats.org/officeDocument/2006/relationships/hyperlink" Target="https://wol.jw.org/en/wol/d/r1/lp-e/302017042" TargetMode="External" Id="rId468"/><Relationship Type="http://schemas.openxmlformats.org/officeDocument/2006/relationships/hyperlink" Target="https://www.jw.org/en/news/region/russia/supreme-court-rules-to-criminalize-jehovahs-witnesses-activity/" TargetMode="External" Id="rId469"/><Relationship Type="http://schemas.openxmlformats.org/officeDocument/2006/relationships/hyperlink" Target="https://www.jw.org/en/news/region/global/2026-Governing-Body-Update-3/" TargetMode="External" Id="rId470"/><Relationship Type="http://schemas.openxmlformats.org/officeDocument/2006/relationships/hyperlink" Target="https://www.jw.org/ta/&#2970;&#3014;&#2991;&#3021;&#2980;&#3007;&#2965;&#2995;&#3021;/&#2984;&#3006;&#2975;&#3009;&#2965;&#2995;&#3021;/&#2953;&#2994;&#2965;-&#2970;&#3014;&#2991;&#3021;&#2980;&#3007;&#2965;&#2995;&#3021;/2026-&#2950;&#2995;&#3009;&#2990;&#3021;-&#2965;&#3009;&#2996;&#3009;&#2997;&#3007;&#2985;&#3021;-&#2949;&#2993;&#3007;&#2965;&#3021;&#2965;&#3016;-3/" TargetMode="External" Id="rId471"/><Relationship Type="http://schemas.openxmlformats.org/officeDocument/2006/relationships/hyperlink" Target="https://www.jw.org/en/news/region/global/Town-Board-of-Ramapo-Approves-Special-Permit/" TargetMode="External" Id="rId472"/><Relationship Type="http://schemas.openxmlformats.org/officeDocument/2006/relationships/hyperlink" Target="https://wol.jw.org/en/wol/d/r1/lp-e/2024406" TargetMode="External" Id="rId473"/><Relationship Type="http://schemas.openxmlformats.org/officeDocument/2006/relationships/hyperlink" Target="https://wol.jw.org/ta/wol/d/r122/lp-tl/2024406" TargetMode="External" Id="rId474"/><Relationship Type="http://schemas.openxmlformats.org/officeDocument/2006/relationships/hyperlink" Target="https://www.jw.org/en/news/region/global/Approval-to-Begin-Major-Construction-at-Ramapo-Received/" TargetMode="External" Id="rId475"/><Relationship Type="http://schemas.openxmlformats.org/officeDocument/2006/relationships/hyperlink" Target="https://www.jw.org/en/news/region/global/Ramapo-Construction-Update-3/" TargetMode="External" Id="rId476"/><Relationship Type="http://schemas.openxmlformats.org/officeDocument/2006/relationships/hyperlink" Target="https://www.jw.org/en/news/region/global/Ramapo-Construction-Update-2/" TargetMode="External" Id="rId477"/><Relationship Type="http://schemas.openxmlformats.org/officeDocument/2006/relationships/hyperlink" Target="https://wol.jw.org/en/wol/d/r1/lp-e/1102017176" TargetMode="External" Id="rId478"/><Relationship Type="http://schemas.openxmlformats.org/officeDocument/2006/relationships/hyperlink" Target="https://wol.jw.org/ta/wol/d/r122/lp-tl/1102017176" TargetMode="External" Id="rId479"/><Relationship Type="http://schemas.openxmlformats.org/officeDocument/2006/relationships/hyperlink" Target="https://wol.jw.org/en/wol/d/r1/lp-e/2019603" TargetMode="External" Id="rId480"/><Relationship Type="http://schemas.openxmlformats.org/officeDocument/2006/relationships/hyperlink" Target="https://wol.jw.org/ta/wol/d/r122/lp-tl/2019603" TargetMode="External" Id="rId481"/><Relationship Type="http://schemas.openxmlformats.org/officeDocument/2006/relationships/hyperlink" Target="https://wol.jw.org/en/wol/d/r1/lp-e/1102017178" TargetMode="External" Id="rId482"/><Relationship Type="http://schemas.openxmlformats.org/officeDocument/2006/relationships/hyperlink" Target="https://wol.jw.org/ta/wol/d/r122/lp-tl/1102017178" TargetMode="External" Id="rId483"/><Relationship Type="http://schemas.openxmlformats.org/officeDocument/2006/relationships/hyperlink" Target="https://wol.jw.org/en/wol/d/r1/lp-e/1200000065" TargetMode="External" Id="rId484"/><Relationship Type="http://schemas.openxmlformats.org/officeDocument/2006/relationships/hyperlink" Target="https://wol.jw.org/en/wol/d/r1/lp-e/2022567" TargetMode="External" Id="rId485"/><Relationship Type="http://schemas.openxmlformats.org/officeDocument/2006/relationships/hyperlink" Target="https://wol.jw.org/ta/wol/d/r122/lp-tl/2022567" TargetMode="External" Id="rId486"/><Relationship Type="http://schemas.openxmlformats.org/officeDocument/2006/relationships/hyperlink" Target="https://wol.jw.org/en/wol/d/r1/lp-e/1200003709" TargetMode="External" Id="rId487"/><Relationship Type="http://schemas.openxmlformats.org/officeDocument/2006/relationships/hyperlink" Target="https://wol.jw.org/en/wol/d/r1/lp-e/1200002323" TargetMode="External" Id="rId488"/><Relationship Type="http://schemas.openxmlformats.org/officeDocument/2006/relationships/hyperlink" Target="https://wol.jw.org/en/wol/d/r1/lp-e/1200001832" TargetMode="External" Id="rId489"/><Relationship Type="http://schemas.openxmlformats.org/officeDocument/2006/relationships/hyperlink" Target="https://wol.jw.org/en/wol/d/r1/lp-e/1200001150" TargetMode="External" Id="rId490"/><Relationship Type="http://schemas.openxmlformats.org/officeDocument/2006/relationships/hyperlink" Target="https://wol.jw.org/en/wol/d/r1/lp-e/1200000384" TargetMode="External" Id="rId491"/><Relationship Type="http://schemas.openxmlformats.org/officeDocument/2006/relationships/hyperlink" Target="https://wol.jw.org/en/wol/d/r1/lp-e/1200000529" TargetMode="External" Id="rId492"/><Relationship Type="http://schemas.openxmlformats.org/officeDocument/2006/relationships/hyperlink" Target="https://wol.jw.org/en/wol/d/r1/lp-e/1200004368" TargetMode="External" Id="rId493"/><Relationship Type="http://schemas.openxmlformats.org/officeDocument/2006/relationships/hyperlink" Target="https://wol.jw.org/en/wol/d/r1/lp-e/1200002970" TargetMode="External" Id="rId494"/><Relationship Type="http://schemas.openxmlformats.org/officeDocument/2006/relationships/hyperlink" Target="https://wol.jw.org/en/wol/d/r1/lp-e/1200003658" TargetMode="External" Id="rId495"/><Relationship Type="http://schemas.openxmlformats.org/officeDocument/2006/relationships/hyperlink" Target="https://wol.jw.org/en/wol/d/r1/lp-e/1200001417" TargetMode="External" Id="rId496"/><Relationship Type="http://schemas.openxmlformats.org/officeDocument/2006/relationships/hyperlink" Target="https://wol.jw.org/en/wol/d/r1/lp-e/1200003621" TargetMode="External" Id="rId497"/><Relationship Type="http://schemas.openxmlformats.org/officeDocument/2006/relationships/hyperlink" Target="https://wol.jw.org/en/wol/d/r1/lp-e/2015086" TargetMode="External" Id="rId498"/><Relationship Type="http://schemas.openxmlformats.org/officeDocument/2006/relationships/hyperlink" Target="https://wol.jw.org/en/wol/d/r1/lp-e/1200002694" TargetMode="External" Id="rId499"/><Relationship Type="http://schemas.openxmlformats.org/officeDocument/2006/relationships/hyperlink" Target="https://wol.jw.org/en/wol/d/r1/lp-e/1101990063" TargetMode="External" Id="rId500"/><Relationship Type="http://schemas.openxmlformats.org/officeDocument/2006/relationships/hyperlink" Target="https://wol.jw.org/ta/wol/d/r122/lp-tl/1101990063" TargetMode="External" Id="rId501"/><Relationship Type="http://schemas.openxmlformats.org/officeDocument/2006/relationships/hyperlink" Target="https://wol.jw.org/en/wol/d/r1/lp-e/1101990064" TargetMode="External" Id="rId502"/><Relationship Type="http://schemas.openxmlformats.org/officeDocument/2006/relationships/hyperlink" Target="https://wol.jw.org/ta/wol/d/r122/lp-tl/1101990064" TargetMode="External" Id="rId503"/><Relationship Type="http://schemas.openxmlformats.org/officeDocument/2006/relationships/hyperlink" Target="https://wol.jw.org/en/wol/d/r1/lp-e/1200004295" TargetMode="External" Id="rId504"/><Relationship Type="http://schemas.openxmlformats.org/officeDocument/2006/relationships/hyperlink" Target="https://wol.jw.org/en/wol/d/r1/lp-e/1001061225" TargetMode="External" Id="rId505"/><Relationship Type="http://schemas.openxmlformats.org/officeDocument/2006/relationships/hyperlink" Target="https://wol.jw.org/ta/wol/d/r122/lp-tl/1001061225" TargetMode="External" Id="rId506"/><Relationship Type="http://schemas.openxmlformats.org/officeDocument/2006/relationships/hyperlink" Target="https://wol.jw.org/en/wol/d/r1/lp-e/1200003074" TargetMode="External" Id="rId507"/><Relationship Type="http://schemas.openxmlformats.org/officeDocument/2006/relationships/hyperlink" Target="https://wol.jw.org/en/wol/d/r1/lp-e/1200000382" TargetMode="External" Id="rId508"/><Relationship Type="http://schemas.openxmlformats.org/officeDocument/2006/relationships/hyperlink" Target="https://wol.jw.org/en/wol/d/r1/lp-e/1200000130" TargetMode="External" Id="rId509"/><Relationship Type="http://schemas.openxmlformats.org/officeDocument/2006/relationships/hyperlink" Target="https://wol.jw.org/en/wol/d/r1/lp-e/1200000381" TargetMode="External" Id="rId510"/><Relationship Type="http://schemas.openxmlformats.org/officeDocument/2006/relationships/hyperlink" Target="https://wol.jw.org/en/wol/d/r1/lp-e/1101990065" TargetMode="External" Id="rId511"/><Relationship Type="http://schemas.openxmlformats.org/officeDocument/2006/relationships/hyperlink" Target="https://wol.jw.org/ta/wol/d/r122/lp-tl/1101990065" TargetMode="External" Id="rId512"/><Relationship Type="http://schemas.openxmlformats.org/officeDocument/2006/relationships/hyperlink" Target="https://wol.jw.org/en/wol/d/r1/lp-e/1101990079" TargetMode="External" Id="rId513"/><Relationship Type="http://schemas.openxmlformats.org/officeDocument/2006/relationships/hyperlink" Target="https://wol.jw.org/ta/wol/d/r122/lp-tl/1101990079" TargetMode="External" Id="rId514"/><Relationship Type="http://schemas.openxmlformats.org/officeDocument/2006/relationships/hyperlink" Target="https://wol.jw.org/en/wol/d/r1/lp-e/1200003623" TargetMode="External" Id="rId515"/><Relationship Type="http://schemas.openxmlformats.org/officeDocument/2006/relationships/hyperlink" Target="https://wol.jw.org/en/wol/d/r1/lp-e/1200001695" TargetMode="External" Id="rId516"/><Relationship Type="http://schemas.openxmlformats.org/officeDocument/2006/relationships/hyperlink" Target="https://wol.jw.org/en/wol/d/r1/lp-e/1200000874" TargetMode="External" Id="rId517"/><Relationship Type="http://schemas.openxmlformats.org/officeDocument/2006/relationships/hyperlink" Target="https://wol.jw.org/en/wol/d/r1/lp-e/1200002426" TargetMode="External" Id="rId518"/><Relationship Type="http://schemas.openxmlformats.org/officeDocument/2006/relationships/hyperlink" Target="https://wol.jw.org/en/wol/d/r1/lp-e/1200000178" TargetMode="External" Id="rId519"/><Relationship Type="http://schemas.openxmlformats.org/officeDocument/2006/relationships/hyperlink" Target="https://wol.jw.org/en/wol/d/r1/lp-e/1200000369" TargetMode="External" Id="rId520"/><Relationship Type="http://schemas.openxmlformats.org/officeDocument/2006/relationships/hyperlink" Target="https://wol.jw.org/en/wol/d/r1/lp-e/1200002524" TargetMode="External" Id="rId521"/><Relationship Type="http://schemas.openxmlformats.org/officeDocument/2006/relationships/hyperlink" Target="https://wol.jw.org/en/wol/d/r1/lp-e/1200002546" TargetMode="External" Id="rId522"/><Relationship Type="http://schemas.openxmlformats.org/officeDocument/2006/relationships/hyperlink" Target="https://wol.jw.org/en/wol/d/r1/lp-e/1200003349" TargetMode="External" Id="rId523"/><Relationship Type="http://schemas.openxmlformats.org/officeDocument/2006/relationships/hyperlink" Target="https://wol.jw.org/en/wol/d/r1/lp-e/1200002536" TargetMode="External" Id="rId524"/><Relationship Type="http://schemas.openxmlformats.org/officeDocument/2006/relationships/hyperlink" Target="https://wol.jw.org/en/wol/d/r1/lp-e/1200001268" TargetMode="External" Id="rId525"/><Relationship Type="http://schemas.openxmlformats.org/officeDocument/2006/relationships/hyperlink" Target="https://wol.jw.org/en/wol/d/r1/lp-e/1200001138" TargetMode="External" Id="rId526"/><Relationship Type="http://schemas.openxmlformats.org/officeDocument/2006/relationships/hyperlink" Target="https://wol.jw.org/en/wol/d/r1/lp-e/1200003777" TargetMode="External" Id="rId527"/><Relationship Type="http://schemas.openxmlformats.org/officeDocument/2006/relationships/hyperlink" Target="https://wol.jw.org/en/wol/d/r1/lp-e/1200001685" TargetMode="External" Id="rId528"/><Relationship Type="http://schemas.openxmlformats.org/officeDocument/2006/relationships/hyperlink" Target="https://wol.jw.org/en/wol/d/r1/lp-e/1200002413" TargetMode="External" Id="rId529"/><Relationship Type="http://schemas.openxmlformats.org/officeDocument/2006/relationships/hyperlink" Target="https://wol.jw.org/en/wol/d/r1/lp-e/1200003823" TargetMode="External" Id="rId530"/><Relationship Type="http://schemas.openxmlformats.org/officeDocument/2006/relationships/hyperlink" Target="https://wol.jw.org/en/wol/d/r1/lp-e/1966004" TargetMode="External" Id="rId531"/><Relationship Type="http://schemas.openxmlformats.org/officeDocument/2006/relationships/hyperlink" Target="https://wol.jw.org/en/wol/d/r1/lp-e/1101990083" TargetMode="External" Id="rId532"/><Relationship Type="http://schemas.openxmlformats.org/officeDocument/2006/relationships/hyperlink" Target="https://wol.jw.org/ta/wol/d/r122/lp-tl/1101990083" TargetMode="External" Id="rId533"/><Relationship Type="http://schemas.openxmlformats.org/officeDocument/2006/relationships/hyperlink" Target="https://wol.jw.org/en/wol/d/r1/lp-e/1101990082" TargetMode="External" Id="rId534"/><Relationship Type="http://schemas.openxmlformats.org/officeDocument/2006/relationships/hyperlink" Target="https://wol.jw.org/ta/wol/d/r122/lp-tl/1101990082" TargetMode="External" Id="rId535"/><Relationship Type="http://schemas.openxmlformats.org/officeDocument/2006/relationships/hyperlink" Target="https://wol.jw.org/en/wol/d/r1/lp-e/1200001307" TargetMode="External" Id="rId536"/><Relationship Type="http://schemas.openxmlformats.org/officeDocument/2006/relationships/hyperlink" Target="https://wol.jw.org/en/wol/d/r1/lp-e/1200001316" TargetMode="External" Id="rId537"/><Relationship Type="http://schemas.openxmlformats.org/officeDocument/2006/relationships/hyperlink" Target="https://wol.jw.org/en/wol/d/r1/lp-e/1200002503" TargetMode="External" Id="rId538"/><Relationship Type="http://schemas.openxmlformats.org/officeDocument/2006/relationships/hyperlink" Target="https://wol.jw.org/en/wol/d/r1/lp-e/1200000246" TargetMode="External" Id="rId539"/><Relationship Type="http://schemas.openxmlformats.org/officeDocument/2006/relationships/hyperlink" Target="https://wol.jw.org/en/wol/d/r1/lp-e/1200002086" TargetMode="External" Id="rId540"/><Relationship Type="http://schemas.openxmlformats.org/officeDocument/2006/relationships/hyperlink" Target="https://wol.jw.org/en/wol/d/r1/lp-e/1001070215" TargetMode="External" Id="rId541"/><Relationship Type="http://schemas.openxmlformats.org/officeDocument/2006/relationships/hyperlink" Target="https://wol.jw.org/ta/wol/d/r122/lp-tl/1001070215" TargetMode="External" Id="rId542"/><Relationship Type="http://schemas.openxmlformats.org/officeDocument/2006/relationships/hyperlink" Target="https://wol.jw.org/en/wol/d/r1/lp-e/1200001265" TargetMode="External" Id="rId543"/><Relationship Type="http://schemas.openxmlformats.org/officeDocument/2006/relationships/hyperlink" Target="https://wol.jw.org/en/wol/d/r1/lp-e/1200003897" TargetMode="External" Id="rId544"/><Relationship Type="http://schemas.openxmlformats.org/officeDocument/2006/relationships/hyperlink" Target="https://wol.jw.org/en/wol/d/r1/lp-e/1101990081" TargetMode="External" Id="rId545"/><Relationship Type="http://schemas.openxmlformats.org/officeDocument/2006/relationships/hyperlink" Target="https://wol.jw.org/ta/wol/d/r122/lp-tl/1101990081" TargetMode="External" Id="rId546"/><Relationship Type="http://schemas.openxmlformats.org/officeDocument/2006/relationships/hyperlink" Target="https://wol.jw.org/en/wol/d/r1/lp-e/1200004696" TargetMode="External" Id="rId547"/><Relationship Type="http://schemas.openxmlformats.org/officeDocument/2006/relationships/hyperlink" Target="https://wol.jw.org/en/wol/d/r1/lp-e/1200000682" TargetMode="External" Id="rId548"/><Relationship Type="http://schemas.openxmlformats.org/officeDocument/2006/relationships/hyperlink" Target="https://wol.jw.org/en/wol/d/r1/lp-e/1200003172" TargetMode="External" Id="rId549"/><Relationship Type="http://schemas.openxmlformats.org/officeDocument/2006/relationships/hyperlink" Target="https://wol.jw.org/en/wol/d/r1/lp-e/1101990086" TargetMode="External" Id="rId550"/><Relationship Type="http://schemas.openxmlformats.org/officeDocument/2006/relationships/hyperlink" Target="https://wol.jw.org/ta/wol/d/r122/lp-tl/1101990086" TargetMode="External" Id="rId551"/><Relationship Type="http://schemas.openxmlformats.org/officeDocument/2006/relationships/hyperlink" Target="https://wol.jw.org/en/wol/d/r1/lp-e/1200001632" TargetMode="External" Id="rId552"/><Relationship Type="http://schemas.openxmlformats.org/officeDocument/2006/relationships/hyperlink" Target="https://wol.jw.org/en/wol/d/r1/lp-e/1101999025" TargetMode="External" Id="rId553"/><Relationship Type="http://schemas.openxmlformats.org/officeDocument/2006/relationships/hyperlink" Target="https://wol.jw.org/ta/wol/d/r122/lp-tl/1101999025" TargetMode="External" Id="rId554"/><Relationship Type="http://schemas.openxmlformats.org/officeDocument/2006/relationships/hyperlink" Target="https://wol.jw.org/en/wol/d/r1/lp-e/1102005159" TargetMode="External" Id="rId555"/><Relationship Type="http://schemas.openxmlformats.org/officeDocument/2006/relationships/hyperlink" Target="https://wol.jw.org/ta/wol/d/r122/lp-tl/1102005159" TargetMode="External" Id="rId556"/><Relationship Type="http://schemas.openxmlformats.org/officeDocument/2006/relationships/hyperlink" Target="https://wol.jw.org/en/wol/d/r1/lp-e/1200003287" TargetMode="External" Id="rId557"/><Relationship Type="http://schemas.openxmlformats.org/officeDocument/2006/relationships/hyperlink" Target="https://wol.jw.org/en/wol/d/r1/lp-e/1200001258" TargetMode="External" Id="rId558"/><Relationship Type="http://schemas.openxmlformats.org/officeDocument/2006/relationships/hyperlink" Target="https://wol.jw.org/en/wol/d/r1/lp-e/1101999031" TargetMode="External" Id="rId559"/><Relationship Type="http://schemas.openxmlformats.org/officeDocument/2006/relationships/hyperlink" Target="https://wol.jw.org/ta/wol/d/r122/lp-tl/1101999031" TargetMode="External" Id="rId560"/><Relationship Type="http://schemas.openxmlformats.org/officeDocument/2006/relationships/hyperlink" Target="https://wol.jw.org/en/wol/d/r1/lp-e/1200001812" TargetMode="External" Id="rId561"/><Relationship Type="http://schemas.openxmlformats.org/officeDocument/2006/relationships/hyperlink" Target="https://wol.jw.org/en/wol/d/r1/lp-e/1200001813" TargetMode="External" Id="rId562"/><Relationship Type="http://schemas.openxmlformats.org/officeDocument/2006/relationships/hyperlink" Target="https://wol.jw.org/en/wol/d/r1/lp-e/2006162" TargetMode="External" Id="rId563"/><Relationship Type="http://schemas.openxmlformats.org/officeDocument/2006/relationships/hyperlink" Target="https://wol.jw.org/ta/wol/d/r122/lp-tl/2006162" TargetMode="External" Id="rId564"/><Relationship Type="http://schemas.openxmlformats.org/officeDocument/2006/relationships/hyperlink" Target="https://wol.jw.org/en/wol/d/r1/lp-e/1200003111" TargetMode="External" Id="rId565"/><Relationship Type="http://schemas.openxmlformats.org/officeDocument/2006/relationships/hyperlink" Target="https://wol.jw.org/en/wol/d/r1/lp-e/1200001430" TargetMode="External" Id="rId566"/><Relationship Type="http://schemas.openxmlformats.org/officeDocument/2006/relationships/hyperlink" Target="https://wol.jw.org/en/wol/d/r1/lp-e/1200001475" TargetMode="External" Id="rId567"/><Relationship Type="http://schemas.openxmlformats.org/officeDocument/2006/relationships/hyperlink" Target="https://wol.jw.org/en/wol/d/r1/lp-e/1101990080" TargetMode="External" Id="rId568"/><Relationship Type="http://schemas.openxmlformats.org/officeDocument/2006/relationships/hyperlink" Target="https://wol.jw.org/ta/wol/d/r122/lp-tl/1101990080" TargetMode="External" Id="rId569"/><Relationship Type="http://schemas.openxmlformats.org/officeDocument/2006/relationships/hyperlink" Target="https://wol.jw.org/en/wol/d/r1/lp-e/1200004681" TargetMode="External" Id="rId570"/><Relationship Type="http://schemas.openxmlformats.org/officeDocument/2006/relationships/hyperlink" Target="https://wol.jw.org/en/wol/d/r1/lp-e/1001070232" TargetMode="External" Id="rId571"/><Relationship Type="http://schemas.openxmlformats.org/officeDocument/2006/relationships/hyperlink" Target="https://wol.jw.org/ta/wol/d/r122/lp-tl/1001070232" TargetMode="External" Id="rId572"/><Relationship Type="http://schemas.openxmlformats.org/officeDocument/2006/relationships/hyperlink" Target="https://wol.jw.org/en/wol/d/r1/lp-e/1001070693" TargetMode="External" Id="rId573"/><Relationship Type="http://schemas.openxmlformats.org/officeDocument/2006/relationships/hyperlink" Target="https://wol.jw.org/en/wol/d/r1/lp-e/1200001041" TargetMode="External" Id="rId574"/><Relationship Type="http://schemas.openxmlformats.org/officeDocument/2006/relationships/hyperlink" Target="https://wol.jw.org/en/wol/d/r1/lp-e/1001070698" TargetMode="External" Id="rId575"/><Relationship Type="http://schemas.openxmlformats.org/officeDocument/2006/relationships/hyperlink" Target="https://wol.jw.org/en/wol/d/r1/lp-e/1001070702" TargetMode="External" Id="rId576"/><Relationship Type="http://schemas.openxmlformats.org/officeDocument/2006/relationships/hyperlink" Target="https://wol.jw.org/en/wol/d/r1/lp-e/1101990109" TargetMode="External" Id="rId577"/><Relationship Type="http://schemas.openxmlformats.org/officeDocument/2006/relationships/hyperlink" Target="https://wol.jw.org/ta/wol/d/r122/lp-tl/1101990109" TargetMode="External" Id="rId578"/><Relationship Type="http://schemas.openxmlformats.org/officeDocument/2006/relationships/hyperlink" Target="https://wol.jw.org/en/wol/d/r1/lp-e/1101990113" TargetMode="External" Id="rId579"/><Relationship Type="http://schemas.openxmlformats.org/officeDocument/2006/relationships/hyperlink" Target="https://wol.jw.org/ta/wol/d/r122/lp-tl/1101990113" TargetMode="External" Id="rId580"/><Relationship Type="http://schemas.openxmlformats.org/officeDocument/2006/relationships/hyperlink" Target="https://wol.jw.org/en/wol/d/r1/lp-e/1101990114" TargetMode="External" Id="rId581"/><Relationship Type="http://schemas.openxmlformats.org/officeDocument/2006/relationships/hyperlink" Target="https://wol.jw.org/ta/wol/d/r122/lp-tl/1101990114" TargetMode="External" Id="rId582"/><Relationship Type="http://schemas.openxmlformats.org/officeDocument/2006/relationships/hyperlink" Target="https://wol.jw.org/en/wol/d/r1/lp-e/1101990107" TargetMode="External" Id="rId583"/><Relationship Type="http://schemas.openxmlformats.org/officeDocument/2006/relationships/hyperlink" Target="https://wol.jw.org/ta/wol/d/r122/lp-tl/1101990107" TargetMode="External" Id="rId584"/><Relationship Type="http://schemas.openxmlformats.org/officeDocument/2006/relationships/hyperlink" Target="https://wol.jw.org/en/wol/d/r1/lp-e/1101990108" TargetMode="External" Id="rId585"/><Relationship Type="http://schemas.openxmlformats.org/officeDocument/2006/relationships/hyperlink" Target="https://wol.jw.org/ta/wol/d/r122/lp-tl/1101990108" TargetMode="External" Id="rId586"/><Relationship Type="http://schemas.openxmlformats.org/officeDocument/2006/relationships/hyperlink" Target="https://wol.jw.org/en/wol/d/r1/lp-e/1101990103" TargetMode="External" Id="rId587"/><Relationship Type="http://schemas.openxmlformats.org/officeDocument/2006/relationships/hyperlink" Target="https://wol.jw.org/ta/wol/d/r122/lp-tl/1101990103" TargetMode="External" Id="rId588"/><Relationship Type="http://schemas.openxmlformats.org/officeDocument/2006/relationships/hyperlink" Target="https://wol.jw.org/en/wol/d/r1/lp-e/1101990106" TargetMode="External" Id="rId589"/><Relationship Type="http://schemas.openxmlformats.org/officeDocument/2006/relationships/hyperlink" Target="https://wol.jw.org/ta/wol/d/r122/lp-tl/1101990106" TargetMode="External" Id="rId590"/><Relationship Type="http://schemas.openxmlformats.org/officeDocument/2006/relationships/hyperlink" Target="https://wol.jw.org/en/wol/d/r1/lp-e/1001070712" TargetMode="External" Id="rId591"/><Relationship Type="http://schemas.openxmlformats.org/officeDocument/2006/relationships/hyperlink" Target="https://wol.jw.org/en/wol/d/r1/lp-e/1001061234" TargetMode="External" Id="rId592"/><Relationship Type="http://schemas.openxmlformats.org/officeDocument/2006/relationships/hyperlink" Target="https://wol.jw.org/ta/wol/d/r122/lp-tl/1001061234" TargetMode="External" Id="rId593"/><Relationship Type="http://schemas.openxmlformats.org/officeDocument/2006/relationships/hyperlink" Target="https://wol.jw.org/en/wol/d/r1/lp-e/1101990110" TargetMode="External" Id="rId594"/><Relationship Type="http://schemas.openxmlformats.org/officeDocument/2006/relationships/hyperlink" Target="https://wol.jw.org/ta/wol/d/r122/lp-tl/1101990110" TargetMode="External" Id="rId595"/><Relationship Type="http://schemas.openxmlformats.org/officeDocument/2006/relationships/hyperlink" Target="https://wol.jw.org/en/wol/d/r1/lp-e/1101990111" TargetMode="External" Id="rId596"/><Relationship Type="http://schemas.openxmlformats.org/officeDocument/2006/relationships/hyperlink" Target="https://wol.jw.org/ta/wol/d/r122/lp-tl/1101990111" TargetMode="External" Id="rId597"/><Relationship Type="http://schemas.openxmlformats.org/officeDocument/2006/relationships/hyperlink" Target="https://wol.jw.org/en/wol/d/r1/lp-e/1101990112" TargetMode="External" Id="rId598"/><Relationship Type="http://schemas.openxmlformats.org/officeDocument/2006/relationships/hyperlink" Target="https://wol.jw.org/ta/wol/d/r122/lp-tl/1101990112" TargetMode="External" Id="rId599"/><Relationship Type="http://schemas.openxmlformats.org/officeDocument/2006/relationships/hyperlink" Target="https://wol.jw.org/en/wol/d/r1/lp-e/1101990118" TargetMode="External" Id="rId600"/><Relationship Type="http://schemas.openxmlformats.org/officeDocument/2006/relationships/hyperlink" Target="https://wol.jw.org/ta/wol/d/r122/lp-tl/1101990118" TargetMode="External" Id="rId601"/><Relationship Type="http://schemas.openxmlformats.org/officeDocument/2006/relationships/hyperlink" Target="https://wol.jw.org/en/wol/d/r1/lp-e/1101990115" TargetMode="External" Id="rId602"/><Relationship Type="http://schemas.openxmlformats.org/officeDocument/2006/relationships/hyperlink" Target="https://wol.jw.org/ta/wol/d/r122/lp-tl/1101990115" TargetMode="External" Id="rId603"/><Relationship Type="http://schemas.openxmlformats.org/officeDocument/2006/relationships/hyperlink" Target="https://wol.jw.org/en/wol/d/r1/lp-e/1101990117" TargetMode="External" Id="rId604"/><Relationship Type="http://schemas.openxmlformats.org/officeDocument/2006/relationships/hyperlink" Target="https://wol.jw.org/ta/wol/d/r122/lp-tl/1101990117" TargetMode="External" Id="rId605"/><Relationship Type="http://schemas.openxmlformats.org/officeDocument/2006/relationships/hyperlink" Target="https://wol.jw.org/en/wol/d/r1/lp-e/1101990119" TargetMode="External" Id="rId606"/><Relationship Type="http://schemas.openxmlformats.org/officeDocument/2006/relationships/hyperlink" Target="https://wol.jw.org/ta/wol/d/r122/lp-tl/1101990119" TargetMode="External" Id="rId607"/><Relationship Type="http://schemas.openxmlformats.org/officeDocument/2006/relationships/hyperlink" Target="https://wol.jw.org/en/wol/d/r1/lp-e/1101990121" TargetMode="External" Id="rId608"/><Relationship Type="http://schemas.openxmlformats.org/officeDocument/2006/relationships/hyperlink" Target="https://wol.jw.org/ta/wol/d/r122/lp-tl/1101990121" TargetMode="External" Id="rId609"/><Relationship Type="http://schemas.openxmlformats.org/officeDocument/2006/relationships/hyperlink" Target="https://wol.jw.org/en/wol/d/r1/lp-e/1101990122" TargetMode="External" Id="rId610"/><Relationship Type="http://schemas.openxmlformats.org/officeDocument/2006/relationships/hyperlink" Target="https://wol.jw.org/ta/wol/d/r122/lp-tl/1101990122" TargetMode="External" Id="rId611"/><Relationship Type="http://schemas.openxmlformats.org/officeDocument/2006/relationships/hyperlink" Target="https://wol.jw.org/en/wol/d/r1/lp-e/1986606" TargetMode="External" Id="rId612"/><Relationship Type="http://schemas.openxmlformats.org/officeDocument/2006/relationships/hyperlink" Target="https://wol.jw.org/en/wol/d/r1/lp-e/1001070691" TargetMode="External" Id="rId613"/><Relationship Type="http://schemas.openxmlformats.org/officeDocument/2006/relationships/hyperlink" Target="https://wol.jw.org/en/wol/d/r1/lp-e/1101990127" TargetMode="External" Id="rId614"/><Relationship Type="http://schemas.openxmlformats.org/officeDocument/2006/relationships/hyperlink" Target="https://wol.jw.org/ta/wol/d/r122/lp-tl/1101990127" TargetMode="External" Id="rId615"/><Relationship Type="http://schemas.openxmlformats.org/officeDocument/2006/relationships/hyperlink" Target="https://wol.jw.org/en/wol/d/r1/lp-e/1200003717" TargetMode="External" Id="rId616"/><Relationship Type="http://schemas.openxmlformats.org/officeDocument/2006/relationships/hyperlink" Target="https://wol.jw.org/en/wol/d/r1/lp-e/1101989212#h=14" TargetMode="External" Id="rId617"/><Relationship Type="http://schemas.openxmlformats.org/officeDocument/2006/relationships/hyperlink" Target="https://wol.jw.org/ta/wol/d/r122/lp-tl/1101989212#h=14" TargetMode="External" Id="rId618"/><Relationship Type="http://schemas.openxmlformats.org/officeDocument/2006/relationships/hyperlink" Target="https://wol.jw.org/en/wol/d/r1/lp-e/1986201#h=35" TargetMode="External" Id="rId619"/><Relationship Type="http://schemas.openxmlformats.org/officeDocument/2006/relationships/hyperlink" Target="https://wol.jw.org/en/wol/d/r1/lp-e/102011442#h=12" TargetMode="External" Id="rId620"/><Relationship Type="http://schemas.openxmlformats.org/officeDocument/2006/relationships/hyperlink" Target="https://wol.jw.org/en/wol/d/r1/lp-e/1997723#h=9" TargetMode="External" Id="rId621"/><Relationship Type="http://schemas.openxmlformats.org/officeDocument/2006/relationships/hyperlink" Target="https://wol.jw.org/ta/wol/d/r122/lp-tl/1997723#h=9" TargetMode="External" Id="rId622"/><Relationship Type="http://schemas.openxmlformats.org/officeDocument/2006/relationships/hyperlink" Target="https://wol.jw.org/en/wol/d/r1/lp-e/2015921#h=21" TargetMode="External" Id="rId623"/><Relationship Type="http://schemas.openxmlformats.org/officeDocument/2006/relationships/hyperlink" Target="https://wol.jw.org/ta/wol/d/r122/lp-tl/2015921#h=21" TargetMode="External" Id="rId624"/><Relationship Type="http://schemas.openxmlformats.org/officeDocument/2006/relationships/hyperlink" Target="https://wol.jw.org/en/wol/d/r1/lp-e/1200003778#h=15" TargetMode="External" Id="rId625"/><Relationship Type="http://schemas.openxmlformats.org/officeDocument/2006/relationships/hyperlink" Target="https://wol.jw.org/en/wol/d/r1/lp-e/502014219#h=28" TargetMode="External" Id="rId626"/><Relationship Type="http://schemas.openxmlformats.org/officeDocument/2006/relationships/hyperlink" Target="https://wol.jw.org/ta/wol/d/r122/lp-tl/502014219#h=28" TargetMode="External" Id="rId627"/><Relationship Type="http://schemas.openxmlformats.org/officeDocument/2006/relationships/hyperlink" Target="https://wol.jw.org/en/wol/d/r1/lp-e/101998086#h=28" TargetMode="External" Id="rId628"/><Relationship Type="http://schemas.openxmlformats.org/officeDocument/2006/relationships/hyperlink" Target="https://wol.jw.org/ta/wol/d/r122/lp-tl/101998086#h=28" TargetMode="External" Id="rId629"/><Relationship Type="http://schemas.openxmlformats.org/officeDocument/2006/relationships/hyperlink" Target="https://wol.jw.org/en/wol/d/r1/lp-e/1992686#h=2" TargetMode="External" Id="rId630"/><Relationship Type="http://schemas.openxmlformats.org/officeDocument/2006/relationships/hyperlink" Target="https://wol.jw.org/ta/wol/d/r122/lp-tl/1992686#h=2" TargetMode="External" Id="rId631"/><Relationship Type="http://schemas.openxmlformats.org/officeDocument/2006/relationships/hyperlink" Target="https://wol.jw.org/en/wol/d/r1/lp-e/1102018055" TargetMode="External" Id="rId632"/><Relationship Type="http://schemas.openxmlformats.org/officeDocument/2006/relationships/hyperlink" Target="https://wol.jw.org/ta/wol/d/r122/lp-tl/1102018055" TargetMode="External" Id="rId633"/><Relationship Type="http://schemas.openxmlformats.org/officeDocument/2006/relationships/hyperlink" Target="https://wol.jw.org/en/wol/d/r1/lp-e/1999084" TargetMode="External" Id="rId634"/><Relationship Type="http://schemas.openxmlformats.org/officeDocument/2006/relationships/hyperlink" Target="https://wol.jw.org/ta/wol/d/r122/lp-tl/1999084" TargetMode="External" Id="rId635"/><Relationship Type="http://schemas.openxmlformats.org/officeDocument/2006/relationships/hyperlink" Target="https://wol.jw.org/en/wol/d/r1/lp-e/1102014268" TargetMode="External" Id="rId636"/><Relationship Type="http://schemas.openxmlformats.org/officeDocument/2006/relationships/hyperlink" Target="https://wol.jw.org/ta/wol/d/r122/lp-tl/1102014268" TargetMode="External" Id="rId637"/><Relationship Type="http://schemas.openxmlformats.org/officeDocument/2006/relationships/hyperlink" Target="https://wol.jw.org/en/wol/d/r1/lp-e/1001070221" TargetMode="External" Id="rId638"/><Relationship Type="http://schemas.openxmlformats.org/officeDocument/2006/relationships/hyperlink" Target="https://wol.jw.org/ta/wol/d/r122/lp-tl/1001070221" TargetMode="External" Id="rId639"/><Relationship Type="http://schemas.openxmlformats.org/officeDocument/2006/relationships/hyperlink" Target="https://wol.jw.org/en/wol/d/r1/lp-e/1966281" TargetMode="External" Id="rId640"/><Relationship Type="http://schemas.openxmlformats.org/officeDocument/2006/relationships/hyperlink" Target="https://wol.jw.org/en/wol/d/r1/lp-e/1101988028" TargetMode="External" Id="rId641"/><Relationship Type="http://schemas.openxmlformats.org/officeDocument/2006/relationships/hyperlink" Target="https://wol.jw.org/ta/wol/d/r122/lp-tl/1101988028" TargetMode="External" Id="rId642"/><Relationship Type="http://schemas.openxmlformats.org/officeDocument/2006/relationships/hyperlink" Target="https://wol.jw.org/en/wol/d/r1/lp-e/2017321" TargetMode="External" Id="rId643"/><Relationship Type="http://schemas.openxmlformats.org/officeDocument/2006/relationships/hyperlink" Target="https://wol.jw.org/ta/wol/d/r122/lp-tl/2017321" TargetMode="External" Id="rId644"/><Relationship Type="http://schemas.openxmlformats.org/officeDocument/2006/relationships/hyperlink" Target="https://wol.jw.org/en/wol/d/r1/lp-e/2008487" TargetMode="External" Id="rId645"/><Relationship Type="http://schemas.openxmlformats.org/officeDocument/2006/relationships/hyperlink" Target="https://wol.jw.org/ta/wol/d/r122/lp-tl/2008487" TargetMode="External" Id="rId646"/><Relationship Type="http://schemas.openxmlformats.org/officeDocument/2006/relationships/hyperlink" Target="https://wol.jw.org/en/wol/d/r1/lp-e/1101993039" TargetMode="External" Id="rId647"/><Relationship Type="http://schemas.openxmlformats.org/officeDocument/2006/relationships/hyperlink" Target="https://wol.jw.org/en/wol/d/r1/lp-e/2016247" TargetMode="External" Id="rId648"/><Relationship Type="http://schemas.openxmlformats.org/officeDocument/2006/relationships/hyperlink" Target="https://wol.jw.org/ta/wol/d/r122/lp-tl/2016247" TargetMode="External" Id="rId649"/><Relationship Type="http://schemas.openxmlformats.org/officeDocument/2006/relationships/hyperlink" Target="https://wol.jw.org/en/wol/d/r1/lp-e/2020167" TargetMode="External" Id="rId650"/><Relationship Type="http://schemas.openxmlformats.org/officeDocument/2006/relationships/hyperlink" Target="https://wol.jw.org/ta/wol/d/r122/lp-tl/2020167" TargetMode="External" Id="rId651"/><Relationship Type="http://schemas.openxmlformats.org/officeDocument/2006/relationships/hyperlink" Target="https://www.jw.org/en/news/region/sweden/Sixty-Years-Later-Witnesses-in-Sweden-Reflect-on-Historic-Decision-About-Conscientious-Objection/" TargetMode="External" Id="rId652"/><Relationship Type="http://schemas.openxmlformats.org/officeDocument/2006/relationships/hyperlink" Target="https://wol.jw.org/en/wol/d/r1/lp-e/301999001" TargetMode="External" Id="rId653"/><Relationship Type="http://schemas.openxmlformats.org/officeDocument/2006/relationships/hyperlink" Target="https://wol.jw.org/en/wol/d/r1/lp-e/301995004" TargetMode="External" Id="rId654"/><Relationship Type="http://schemas.openxmlformats.org/officeDocument/2006/relationships/hyperlink" Target="https://wol.jw.org/en/wol/d/r1/lp-e/1975047" TargetMode="External" Id="rId655"/><Relationship Type="http://schemas.openxmlformats.org/officeDocument/2006/relationships/hyperlink" Target="https://wol.jw.org/en/wol/d/r1/lp-e/1102014257" TargetMode="External" Id="rId656"/><Relationship Type="http://schemas.openxmlformats.org/officeDocument/2006/relationships/hyperlink" Target="https://wol.jw.org/ta/wol/d/r122/lp-tl/1102014257" TargetMode="External" Id="rId657"/><Relationship Type="http://schemas.openxmlformats.org/officeDocument/2006/relationships/hyperlink" Target="https://wol.jw.org/en/wol/d/r1/lp-e/1999842" TargetMode="External" Id="rId658"/><Relationship Type="http://schemas.openxmlformats.org/officeDocument/2006/relationships/hyperlink" Target="https://wol.jw.org/ta/wol/d/r122/lp-tl/1999842" TargetMode="External" Id="rId659"/><Relationship Type="http://schemas.openxmlformats.org/officeDocument/2006/relationships/hyperlink" Target="https://wol.jw.org/en/wol/d/r1/lp-e/2011369" TargetMode="External" Id="rId660"/><Relationship Type="http://schemas.openxmlformats.org/officeDocument/2006/relationships/hyperlink" Target="https://wol.jw.org/ta/wol/d/r122/lp-tl/2011369" TargetMode="External" Id="rId661"/><Relationship Type="http://schemas.openxmlformats.org/officeDocument/2006/relationships/hyperlink" Target="https://wol.jw.org/en/wol/d/r1/lp-e/102012375" TargetMode="External" Id="rId662"/><Relationship Type="http://schemas.openxmlformats.org/officeDocument/2006/relationships/hyperlink" Target="https://www.jw.org/en/news/region/global/revised-new-world-translation-20131011/" TargetMode="External" Id="rId663"/><Relationship Type="http://schemas.openxmlformats.org/officeDocument/2006/relationships/hyperlink" Target="https://wol.jw.org/en/wol/d/r1/lp-e/302015055" TargetMode="External" Id="rId664"/><Relationship Type="http://schemas.openxmlformats.org/officeDocument/2006/relationships/hyperlink" Target="https://www.jw.org/en/jehovahs-witnesses/activities/events/annual-meeting-report-2013/" TargetMode="External" Id="rId665"/><Relationship Type="http://schemas.openxmlformats.org/officeDocument/2006/relationships/hyperlink" Target="https://wol.jw.org/en/wol/d/r1/lp-e/302015056" TargetMode="External" Id="rId666"/><Relationship Type="http://schemas.openxmlformats.org/officeDocument/2006/relationships/hyperlink" Target="https://www.jw.org/en/library/magazines/ws20141215/guy-pierce-governing-body-dies/" TargetMode="External" Id="rId667"/><Relationship Type="http://schemas.openxmlformats.org/officeDocument/2006/relationships/hyperlink" Target="https://www.jw.org/en/jehovahs-witnesses/activities/events/annual-meeting-report-2014/" TargetMode="External" Id="rId668"/><Relationship Type="http://schemas.openxmlformats.org/officeDocument/2006/relationships/hyperlink" Target="https://www.jw.org/ta/&#2991;&#3014;&#2965;&#3019;&#2997;&#3006;&#2997;&#3007;&#2985;&#3021;-&#2970;&#3006;&#2975;&#3021;&#2970;&#3007;&#2965;&#2995;&#3021;/&#2958;&#2969;&#3021;&#2965;&#2995;&#3009;&#2975;&#3016;&#2991;-&#2997;&#3015;&#2994;&#3016;&#2965;&#2995;&#3021;/&#2984;&#3007;&#2965;&#2996;&#3021;&#2970;&#3021;&#2970;&#3007;&#2965;&#2995;&#3021;/2014-&#2997;&#2992;&#3009;&#2975;&#3006;&#2984;&#3021;&#2980;&#2992;&#2965;&#3021;-&#2965;&#3010;&#2975;&#3021;&#2975;&#2980;&#3021;&#2980;&#3007;&#2985;&#3021;-&#2949;&#2993;&#3007;&#2965;&#3021;&#2965;&#3016;/" TargetMode="External" Id="rId669"/><Relationship Type="http://schemas.openxmlformats.org/officeDocument/2006/relationships/hyperlink" Target="https://wol.jw.org/en/wol/d/r1/lp-e/302016046" TargetMode="External" Id="rId670"/><Relationship Type="http://schemas.openxmlformats.org/officeDocument/2006/relationships/hyperlink" Target="https://wol.jw.org/en/wol/d/r1/lp-e/2015202" TargetMode="External" Id="rId671"/><Relationship Type="http://schemas.openxmlformats.org/officeDocument/2006/relationships/hyperlink" Target="https://wol.jw.org/ta/wol/d/r122/lp-tl/2015202" TargetMode="External" Id="rId672"/><Relationship Type="http://schemas.openxmlformats.org/officeDocument/2006/relationships/hyperlink" Target="https://wol.jw.org/en/wol/d/r1/lp-e/302017037" TargetMode="External" Id="rId673"/><Relationship Type="http://schemas.openxmlformats.org/officeDocument/2006/relationships/hyperlink" Target="https://wol.jw.org/en/wol/d/r1/lp-e/302017041" TargetMode="External" Id="rId674"/><Relationship Type="http://schemas.openxmlformats.org/officeDocument/2006/relationships/hyperlink" Target="https://www.jw.org/en/news/releases/by-region/united-states/open-house-new-world-headquarters-jehovahs-witnesses/" TargetMode="External" Id="rId675"/><Relationship Type="http://schemas.openxmlformats.org/officeDocument/2006/relationships/hyperlink" Target="https://www.jw.org/en/news/region/united-states/open-house-draws-positive-community-response/" TargetMode="External" Id="rId676"/><Relationship Type="http://schemas.openxmlformats.org/officeDocument/2006/relationships/hyperlink" Target="https://www.jw.org/en/news/region/russia/supreme-court-confirms-earlier-ruling-to-criminalize-jehovahs-witnesses/" TargetMode="External" Id="rId677"/><Relationship Type="http://schemas.openxmlformats.org/officeDocument/2006/relationships/hyperlink" Target="https://www.jw.org/en/news/releases/by-region/world/kenneth-cook-governing-body/" TargetMode="External" Id="rId678"/><Relationship Type="http://schemas.openxmlformats.org/officeDocument/2006/relationships/hyperlink" Target="https://www.jw.org/en/news/region/south-korea/historic-supreme-court-decision-20181101/" TargetMode="External" Id="rId679"/><Relationship Type="http://schemas.openxmlformats.org/officeDocument/2006/relationships/hyperlink" Target="https://www.jw.org/en/news/region/south-korea/All-Witnesses-Imprisoned-for-Conscientious-Objection-in-South-Korea-Now-Free/" TargetMode="External" Id="rId680"/><Relationship Type="http://schemas.openxmlformats.org/officeDocument/2006/relationships/hyperlink" Target="https://www.jw.org/en/news/region/global/2019-Annual-Meeting-Summary/" TargetMode="External" Id="rId681"/><Relationship Type="http://schemas.openxmlformats.org/officeDocument/2006/relationships/hyperlink" Target="https://www.jw.org/en/news/region/global/jw-coronavirus-update-and-response/" TargetMode="External" Id="rId682"/><Relationship Type="http://schemas.openxmlformats.org/officeDocument/2006/relationships/hyperlink" Target="https://www.jw.org/en/news/region/global/2020-Governing-Body-Update-1/" TargetMode="External" Id="rId683"/><Relationship Type="http://schemas.openxmlformats.org/officeDocument/2006/relationships/hyperlink" Target="https://www.jw.org/en/news/region/global/2021-Governing-Body-Update-8/" TargetMode="External" Id="rId684"/><Relationship Type="http://schemas.openxmlformats.org/officeDocument/2006/relationships/hyperlink" Target="https://www.jw.org/ta/&#2970;&#3014;&#2991;&#3021;&#2980;&#3007;&#2965;&#2995;&#3021;/&#2984;&#3006;&#2975;&#3009;&#2965;&#2995;&#3021;/&#2953;&#2994;&#2965;-&#2970;&#3014;&#2991;&#3021;&#2980;&#3007;&#2965;&#2995;&#3021;/2021-&#2950;&#2995;&#3009;&#2990;&#3021;-&#2965;&#3009;&#2996;&#3009;&#2997;&#3007;&#2985;&#3021;-&#2949;&#2993;&#3007;&#2965;&#3021;&#2965;&#3016;-8/" TargetMode="External" Id="rId685"/><Relationship Type="http://schemas.openxmlformats.org/officeDocument/2006/relationships/hyperlink" Target="https://www.jw.org/en/news/region/global/The-Governing-Body-Announces-That-Some-In-Person-Meetings-Will-Resume-in-Select-Areas/" TargetMode="External" Id="rId686"/><Relationship Type="http://schemas.openxmlformats.org/officeDocument/2006/relationships/hyperlink" Target="https://www.jw.org/en/news/region/global/2021-Governing-Body-Update-9/" TargetMode="External" Id="rId687"/><Relationship Type="http://schemas.openxmlformats.org/officeDocument/2006/relationships/hyperlink" Target="https://www.jw.org/ta/&#2970;&#3014;&#2991;&#3021;&#2980;&#3007;&#2965;&#2995;&#3021;/&#2984;&#3006;&#2975;&#3009;&#2965;&#2995;&#3021;/&#2953;&#2994;&#2965;-&#2970;&#3014;&#2991;&#3021;&#2980;&#3007;&#2965;&#2995;&#3021;/2021-&#2950;&#2995;&#3009;&#2990;&#3021;-&#2965;&#3009;&#2996;&#3009;&#2997;&#3007;&#2985;&#3021;-&#2949;&#2993;&#3007;&#2965;&#3021;&#2965;&#3016;-9/" TargetMode="External" Id="rId688"/><Relationship Type="http://schemas.openxmlformats.org/officeDocument/2006/relationships/hyperlink" Target="https://www.jw.org/en/news/region/global/2022-Governing-Body-Update-3/" TargetMode="External" Id="rId689"/><Relationship Type="http://schemas.openxmlformats.org/officeDocument/2006/relationships/hyperlink" Target="https://www.jw.org/ta/&#2970;&#3014;&#2991;&#3021;&#2980;&#3007;&#2965;&#2995;&#3021;/&#2984;&#3006;&#2975;&#3009;&#2965;&#2995;&#3021;/&#2953;&#2994;&#2965;-&#2970;&#3014;&#2991;&#3021;&#2980;&#3007;&#2965;&#2995;&#3021;/2022-&#2950;&#2995;&#3009;&#2990;&#3021;-&#2965;&#3009;&#2996;&#3009;&#2997;&#3007;&#2985;&#3021;-&#2949;&#2993;&#3007;&#2965;&#3021;&#2965;&#3016;-3/" TargetMode="External" Id="rId690"/><Relationship Type="http://schemas.openxmlformats.org/officeDocument/2006/relationships/hyperlink" Target="https://www.jw.org/en/news/region/global/Resuming-Public-Witnessing/" TargetMode="External" Id="rId691"/><Relationship Type="http://schemas.openxmlformats.org/officeDocument/2006/relationships/hyperlink" Target="https://www.jw.org/ta/&#2970;&#3014;&#2991;&#3021;&#2980;&#3007;&#2965;&#2995;&#3021;/&#2984;&#3006;&#2975;&#3009;&#2965;&#2995;&#3021;/&#2953;&#2994;&#2965;-&#2970;&#3014;&#2991;&#3021;&#2980;&#3007;&#2965;&#2995;&#3021;/&#2986;&#3018;&#2980;&#3009;-&#2954;&#2996;&#3007;&#2991;&#2990;&#3021;-&#2990;&#3008;&#2979;&#3021;&#2975;&#3009;&#2990;&#3021;-&#2950;&#2992;&#2990;&#3021;&#2986;&#2990;&#3021;/" TargetMode="External" Id="rId692"/><Relationship Type="http://schemas.openxmlformats.org/officeDocument/2006/relationships/hyperlink" Target="https://www.jw.org/en/news/region/russia/European-Court-Issues-Landmark-Judgment-Against-Russia-for-Persecuting-Jehovahs-Witnesses/" TargetMode="External" Id="rId693"/><Relationship Type="http://schemas.openxmlformats.org/officeDocument/2006/relationships/hyperlink" Target="https://www.jw.org/en/news/region/global/2022-Governing-Body-Update-6/" TargetMode="External" Id="rId694"/><Relationship Type="http://schemas.openxmlformats.org/officeDocument/2006/relationships/hyperlink" Target="https://www.jw.org/ta/&#2970;&#3014;&#2991;&#3021;&#2980;&#3007;&#2965;&#2995;&#3021;/&#2984;&#3006;&#2975;&#3009;&#2965;&#2995;&#3021;/&#2953;&#2994;&#2965;-&#2970;&#3014;&#2991;&#3021;&#2980;&#3007;&#2965;&#2995;&#3021;/2022-&#2950;&#2995;&#3009;&#2990;&#3021;-&#2965;&#3009;&#2996;&#3009;&#2997;&#3007;&#2985;&#3021;-&#2949;&#2993;&#3007;&#2965;&#3021;&#2965;&#3016;-6/" TargetMode="External" Id="rId695"/><Relationship Type="http://schemas.openxmlformats.org/officeDocument/2006/relationships/hyperlink" Target="https://www.jw.org/en/news/region/global/Jehovahs-Witnesses-Resume-House-to-House-Ministry/" TargetMode="External" Id="rId696"/><Relationship Type="http://schemas.openxmlformats.org/officeDocument/2006/relationships/hyperlink" Target="https://www.jw.org/en/news/region/global/In-Person-Circuit-Assemblies-and-Theocratic-Schools-Resume/" TargetMode="External" Id="rId697"/><Relationship Type="http://schemas.openxmlformats.org/officeDocument/2006/relationships/hyperlink" Target="https://www.jw.org/en/library/books/2023-Service-Year-Report-of-Jehovahs-Witnesses-Worldwide/2023-Grand-Totals/" TargetMode="External" Id="rId698"/><Relationship Type="http://schemas.openxmlformats.org/officeDocument/2006/relationships/hyperlink" Target="https://www.jw.org/ta/&#2994;&#3016;&#2986;&#3021;&#2992;&#2992;&#3007;/&#2986;&#3009;&#2980;&#3021;&#2980;&#2965;&#2969;&#3021;&#2965;&#2995;&#3021;/2023-&#2953;&#2994;&#2965;&#2990;&#3021;-&#2990;&#3009;&#2996;&#3009;&#2997;&#2980;&#3009;&#2990;&#3021;-&#2951;&#2992;&#3009;&#2965;&#3021;&#2965;&#3009;&#2990;&#3021;-&#2991;&#3014;&#2965;&#3019;&#2997;&#3006;&#2997;&#3007;&#2985;&#3021;-&#2970;&#3006;&#2975;&#3021;&#2970;&#3007;&#2965;&#2995;&#3009;&#2975;&#3016;&#2991;-&#2954;&#2996;&#3007;&#2991;-&#2950;&#2979;&#3021;&#2975;&#3009;-&#2949;&#2993;&#3007;&#2965;&#3021;&#2965;&#3016;/2023-&#2990;&#3018;&#2980;&#3021;&#2980;-&#2958;&#2979;&#3021;&#2979;&#3007;&#2965;&#3021;&#2965;&#3016;/" TargetMode="External" Id="rId699"/><Relationship Type="http://schemas.openxmlformats.org/officeDocument/2006/relationships/hyperlink" Target="https://www.jw.org/en/news/region/global/2023-Governing-Body-Update-1/" TargetMode="External" Id="rId700"/><Relationship Type="http://schemas.openxmlformats.org/officeDocument/2006/relationships/hyperlink" Target="https://www.jw.org/ta/&#2970;&#3014;&#2991;&#3021;&#2980;&#3007;&#2965;&#2995;&#3021;/&#2984;&#3006;&#2975;&#3009;&#2965;&#2995;&#3021;/&#2953;&#2994;&#2965;-&#2970;&#3014;&#2991;&#3021;&#2980;&#3007;&#2965;&#2995;&#3021;/2023-&#2950;&#2995;&#3009;&#2990;&#3021;-&#2965;&#3009;&#2996;&#3009;&#2997;&#3007;&#2985;&#3021;-&#2949;&#2993;&#3007;&#2965;&#3021;&#2965;&#3016;-1/" TargetMode="External" Id="rId701"/><Relationship Type="http://schemas.openxmlformats.org/officeDocument/2006/relationships/hyperlink" Target="https://www.jw.org/en/news/region/global/2023-Governing-Body-Update-2/" TargetMode="External" Id="rId702"/><Relationship Type="http://schemas.openxmlformats.org/officeDocument/2006/relationships/hyperlink" Target="https://www.jw.org/ta/&#2970;&#3014;&#2991;&#3021;&#2980;&#3007;&#2965;&#2995;&#3021;/&#2984;&#3006;&#2975;&#3009;&#2965;&#2995;&#3021;/&#2953;&#2994;&#2965;-&#2970;&#3014;&#2991;&#3021;&#2980;&#3007;&#2965;&#2995;&#3021;/2023-&#2950;&#2995;&#3009;&#2990;&#3021;-&#2965;&#3009;&#2996;&#3009;&#2997;&#3007;&#2985;&#3021;-&#2949;&#2993;&#3007;&#2965;&#3021;&#2965;&#3016;-2/" TargetMode="External" Id="rId703"/><Relationship Type="http://schemas.openxmlformats.org/officeDocument/2006/relationships/hyperlink" Target="https://www.jw.org/en/news/region/global/Ramapo-Construction-Project-Receives-Major-Approval-to-Proceed/" TargetMode="External" Id="rId704"/><Relationship Type="http://schemas.openxmlformats.org/officeDocument/2006/relationships/hyperlink" Target="https://www.jw.org/en/news/region/global/2023-Governing-Body-Update-7/" TargetMode="External" Id="rId705"/><Relationship Type="http://schemas.openxmlformats.org/officeDocument/2006/relationships/hyperlink" Target="https://www.jw.org/ta/&#2970;&#3014;&#2991;&#3021;&#2980;&#3007;&#2965;&#2995;&#3021;/&#2984;&#3006;&#2975;&#3009;&#2965;&#2995;&#3021;/&#2953;&#2994;&#2965;-&#2970;&#3014;&#2991;&#3021;&#2980;&#3007;&#2965;&#2995;&#3021;/2023-&#2950;&#2995;&#3009;&#2990;&#3021;-&#2965;&#3009;&#2996;&#3009;&#2997;&#3007;&#2985;&#3021;-&#2949;&#2993;&#3007;&#2965;&#3021;&#2965;&#3016;-7/" TargetMode="External" Id="rId706"/><Relationship Type="http://schemas.openxmlformats.org/officeDocument/2006/relationships/hyperlink" Target="https://www.jw.org/en/news/region/global/2023-Governing-Body-Update-8/" TargetMode="External" Id="rId707"/><Relationship Type="http://schemas.openxmlformats.org/officeDocument/2006/relationships/hyperlink" Target="https://www.jw.org/ta/&#2970;&#3014;&#2991;&#3021;&#2980;&#3007;&#2965;&#2995;&#3021;/&#2984;&#3006;&#2975;&#3009;&#2965;&#2995;&#3021;/&#2953;&#2994;&#2965;-&#2970;&#3014;&#2991;&#3021;&#2980;&#3007;&#2965;&#2995;&#3021;/2023-&#2950;&#2995;&#3009;&#2990;&#3021;-&#2965;&#3009;&#2996;&#3009;&#2997;&#3007;&#2985;&#3021;-&#2949;&#2993;&#3007;&#2965;&#3021;&#2965;&#3016;-8/" TargetMode="External" Id="rId708"/><Relationship Type="http://schemas.openxmlformats.org/officeDocument/2006/relationships/hyperlink" Target="https://www.jw.org/en/news/region/global/2024-Governing-Body-Update-2/" TargetMode="External" Id="rId709"/><Relationship Type="http://schemas.openxmlformats.org/officeDocument/2006/relationships/hyperlink" Target="https://www.jw.org/ta/&#2970;&#3014;&#2991;&#3021;&#2980;&#3007;&#2965;&#2995;&#3021;/&#2984;&#3006;&#2975;&#3009;&#2965;&#2995;&#3021;/&#2953;&#2994;&#2965;-&#2970;&#3014;&#2991;&#3021;&#2980;&#3007;&#2965;&#2995;&#3021;/2024-&#2950;&#2995;&#3009;&#2990;&#3021;-&#2965;&#3009;&#2996;&#3009;&#2997;&#3007;&#2985;&#3021;-&#2949;&#2993;&#3007;&#2965;&#3021;&#2965;&#3016;-2/" TargetMode="External" Id="rId710"/><Relationship Type="http://schemas.openxmlformats.org/officeDocument/2006/relationships/hyperlink" Target="https://www.jw.org/en/news/region/global/2024-Governing-Body-Update-3/" TargetMode="External" Id="rId711"/><Relationship Type="http://schemas.openxmlformats.org/officeDocument/2006/relationships/hyperlink" Target="https://www.jw.org/ta/&#2970;&#3014;&#2991;&#3021;&#2980;&#3007;&#2965;&#2995;&#3021;/&#2984;&#3006;&#2975;&#3009;&#2965;&#2995;&#3021;/&#2953;&#2994;&#2965;-&#2970;&#3014;&#2991;&#3021;&#2980;&#3007;&#2965;&#2995;&#3021;/2024-&#2950;&#2995;&#3009;&#2990;&#3021;-&#2965;&#3009;&#2996;&#3009;&#2997;&#3007;&#2985;&#3021;-&#2949;&#2993;&#3007;&#2965;&#3021;&#2965;&#3016;-3/" TargetMode="External" Id="rId712"/><Relationship Type="http://schemas.openxmlformats.org/officeDocument/2006/relationships/hyperlink" Target="https://www.jw.org/en/library/magazines/watchtower-study-october-2025/Two-New-Members-of-the-Governing-Body/" TargetMode="External" Id="rId713"/><Relationship Type="http://schemas.openxmlformats.org/officeDocument/2006/relationships/hyperlink" Target="https://www.jw.org/ta/&#2994;&#3016;&#2986;&#3021;&#2992;&#2992;&#3007;/&#2986;&#2980;&#3021;&#2980;&#3007;&#2992;&#3007;&#2965;&#3016;&#2965;&#2995;&#3021;/&#2965;&#3006;&#2997;&#2993;&#3021;&#2965;&#3019;&#2986;&#3009;&#2992;&#2990;&#3021;-&#2986;&#2975;&#3007;&#2986;&#3021;&#2986;&#3009;-&#2951;&#2980;&#2996;&#3021;-&#2949;&#2965;&#3021;&#2975;&#3019;&#2986;&#2992;&#3021;-2025/&#2950;&#2995;&#3009;&#2990;&#3021;-&#2965;&#3009;&#2996;&#3009;&#2997;&#3007;&#2985;&#3021;-&#2951;&#2992;&#2979;&#3021;&#2975;&#3009;-&#2986;&#3009;&#2980;&#3007;&#2991;-&#2949;&#2969;&#3021;&#2965;&#2980;&#3021;&#2980;&#3007;&#2985;&#2992;&#3021;&#2965;&#2995;&#3021;/" TargetMode="External" Id="rId714"/><Relationship Type="http://schemas.openxmlformats.org/officeDocument/2006/relationships/hyperlink" Target="https://www.jw.org/en/news/region/global/2024-Governing-Body-Update-7/" TargetMode="External" Id="rId715"/><Relationship Type="http://schemas.openxmlformats.org/officeDocument/2006/relationships/hyperlink" Target="https://www.jw.org/ta/&#2970;&#3014;&#2991;&#3021;&#2980;&#3007;&#2965;&#2995;&#3021;/&#2984;&#3006;&#2975;&#3009;&#2965;&#2995;&#3021;/&#2953;&#2994;&#2965;-&#2970;&#3014;&#2991;&#3021;&#2980;&#3007;&#2965;&#2995;&#3021;/2024-&#2950;&#2995;&#3009;&#2990;&#3021;-&#2965;&#3009;&#2996;&#3009;&#2997;&#3007;&#2985;&#3021;-&#2949;&#2993;&#3007;&#2965;&#3021;&#2965;&#3016;-7/" TargetMode="External" Id="rId716"/><Relationship Type="http://schemas.openxmlformats.org/officeDocument/2006/relationships/hyperlink" Target="https://www.jw.org/en/news/region/global/Ramapo-Construction-Update-1/" TargetMode="External" Id="rId717"/><Relationship Type="http://schemas.openxmlformats.org/officeDocument/2006/relationships/hyperlink" Target="https://www.jw.org/en/news/region/global/2024-Governing-Body-Update-8/" TargetMode="External" Id="rId718"/><Relationship Type="http://schemas.openxmlformats.org/officeDocument/2006/relationships/hyperlink" Target="https://www.jw.org/ta/&#2970;&#3014;&#2991;&#3021;&#2980;&#3007;&#2965;&#2995;&#3021;/&#2984;&#3006;&#2975;&#3009;&#2965;&#2995;&#3021;/&#2953;&#2994;&#2965;-&#2970;&#3014;&#2991;&#3021;&#2980;&#3007;&#2965;&#2995;&#3021;/2024-&#2950;&#2995;&#3009;&#2990;&#3021;-&#2965;&#3009;&#2996;&#3009;&#2997;&#3007;&#2985;&#3021;-&#2949;&#2993;&#3007;&#2965;&#3021;&#2965;&#3016;-8/" TargetMode="External" Id="rId719"/><Relationship Type="http://schemas.openxmlformats.org/officeDocument/2006/relationships/hyperlink" Target="https://www.jw.org/en/library/books/2025-Service-Year-Report-of-Jehovahs-Witnesses-Worldwide/2025-Grand-Totals/" TargetMode="External" Id="rId720"/><Relationship Type="http://schemas.openxmlformats.org/officeDocument/2006/relationships/hyperlink" Target="https://www.jw.org/ta/&#2994;&#3016;&#2986;&#3021;&#2992;&#2992;&#3007;/&#2986;&#3009;&#2980;&#3021;&#2980;&#2965;&#2969;&#3021;&#2965;&#2995;&#3021;/2025-Service-Year-Report-of-Jehovahs-Witnesses-Worldwide/2025-&#2990;&#3018;&#2980;&#3021;&#2980;-&#2958;&#2979;&#3021;&#2979;&#3007;&#2965;&#3021;&#2965;&#3016;/" TargetMode="External" Id="rId721"/><Relationship Type="http://schemas.openxmlformats.org/officeDocument/2006/relationships/hyperlink" Target="https://www.jw.org/en/news/region/global/2025-Governing-Body-Update-7/" TargetMode="External" Id="rId722"/><Relationship Type="http://schemas.openxmlformats.org/officeDocument/2006/relationships/hyperlink" Target="https://www.jw.org/ta/&#2970;&#3014;&#2991;&#3021;&#2980;&#3007;&#2965;&#2995;&#3021;/&#2984;&#3006;&#2975;&#3009;&#2965;&#2995;&#3021;/&#2953;&#2994;&#2965;-&#2970;&#3014;&#2991;&#3021;&#2980;&#3007;&#2965;&#2995;&#3021;/2025-&#2950;&#2995;&#3009;&#2990;&#3021;-&#2965;&#3009;&#2996;&#3009;&#2997;&#3007;&#2985;&#3021;-&#2949;&#2993;&#3007;&#2965;&#3021;&#2965;&#3016;-7/" TargetMode="External" Id="rId723"/><Relationship Type="http://schemas.openxmlformats.org/officeDocument/2006/relationships/hyperlink" Target="https://www.jw.org/en/news/region/global/2025-Governing-Body-Update-1/" TargetMode="External" Id="rId724"/><Relationship Type="http://schemas.openxmlformats.org/officeDocument/2006/relationships/hyperlink" Target="https://www.jw.org/ta/&#2970;&#3014;&#2991;&#3021;&#2980;&#3007;&#2965;&#2995;&#3021;/&#2984;&#3006;&#2975;&#3009;&#2965;&#2995;&#3021;/&#2953;&#2994;&#2965;-&#2970;&#3014;&#2991;&#3021;&#2980;&#3007;&#2965;&#2995;&#3021;/2025-&#2950;&#2995;&#3009;&#2990;&#3021;-&#2965;&#3009;&#2996;&#3009;&#2997;&#3007;&#2985;&#3021;-&#2949;&#2993;&#3007;&#2965;&#3021;&#2965;&#3016;-1/" TargetMode="External" Id="rId725"/><Relationship Type="http://schemas.openxmlformats.org/officeDocument/2006/relationships/hyperlink" Target="https://www.jw.org/en/news/region/global/2025-Governing-Body-Update-2/" TargetMode="External" Id="rId726"/><Relationship Type="http://schemas.openxmlformats.org/officeDocument/2006/relationships/hyperlink" Target="https://www.jw.org/ta/&#2970;&#3014;&#2991;&#3021;&#2980;&#3007;&#2965;&#2995;&#3021;/&#2984;&#3006;&#2975;&#3009;&#2965;&#2995;&#3021;/&#2953;&#2994;&#2965;-&#2970;&#3014;&#2991;&#3021;&#2980;&#3007;&#2965;&#2995;&#3021;/2025-&#2950;&#2995;&#3009;&#2990;&#3021;-&#2965;&#3009;&#2996;&#3009;&#2997;&#3007;&#2985;&#3021;-&#2949;&#2993;&#3007;&#2965;&#3021;&#2965;&#3016;-2/" TargetMode="External" Id="rId727"/><Relationship Type="http://schemas.openxmlformats.org/officeDocument/2006/relationships/hyperlink" Target="https://www.jw.org/en/news/region/global/2025-Governing-Body-Update-4/" TargetMode="External" Id="rId728"/><Relationship Type="http://schemas.openxmlformats.org/officeDocument/2006/relationships/hyperlink" Target="https://www.jw.org/ta/&#2970;&#3014;&#2991;&#3021;&#2980;&#3007;&#2965;&#2995;&#3021;/&#2984;&#3006;&#2975;&#3009;&#2965;&#2995;&#3021;/&#2953;&#2994;&#2965;-&#2970;&#3014;&#2991;&#3021;&#2980;&#3007;&#2965;&#2995;&#3021;/2025-&#2950;&#2995;&#3009;&#2990;&#3021;-&#2965;&#3009;&#2996;&#3009;&#2997;&#3007;&#2985;&#3021;-&#2949;&#2993;&#3007;&#2965;&#3021;&#2965;&#3016;-4/" TargetMode="External" Id="rId729"/><Relationship Type="http://schemas.openxmlformats.org/officeDocument/2006/relationships/hyperlink" Target="https://www.jw.org/en/news/region/global/2025-Governing-Body-Update-5/" TargetMode="External" Id="rId730"/><Relationship Type="http://schemas.openxmlformats.org/officeDocument/2006/relationships/hyperlink" Target="https://www.jw.org/ta/&#2970;&#3014;&#2991;&#3021;&#2980;&#3007;&#2965;&#2995;&#3021;/&#2984;&#3006;&#2975;&#3009;&#2965;&#2995;&#3021;/&#2953;&#2994;&#2965;-&#2970;&#3014;&#2991;&#3021;&#2980;&#3007;&#2965;&#2995;&#3021;/2025-&#2950;&#2995;&#3009;&#2990;&#3021;-&#2965;&#3009;&#2996;&#3009;&#2997;&#3007;&#2985;&#3021;-&#2949;&#2993;&#3007;&#2965;&#3021;&#2965;&#3016;-5/" TargetMode="External" Id="rId731"/><Relationship Type="http://schemas.openxmlformats.org/officeDocument/2006/relationships/hyperlink" Target="https://www.jw.org/en/news/region/global/2025-Governing-Body-Update-6/" TargetMode="External" Id="rId732"/><Relationship Type="http://schemas.openxmlformats.org/officeDocument/2006/relationships/hyperlink" Target="https://www.jw.org/ta/&#2970;&#3014;&#2991;&#3021;&#2980;&#3007;&#2965;&#2995;&#3021;/&#2984;&#3006;&#2975;&#3009;&#2965;&#2995;&#3021;/&#2953;&#2994;&#2965;-&#2970;&#3014;&#2991;&#3021;&#2980;&#3007;&#2965;&#2995;&#3021;/2025-&#2950;&#2995;&#3009;&#2990;&#3021;-&#2965;&#3009;&#2996;&#3009;&#2997;&#3007;&#2985;&#3021;-&#2949;&#2993;&#3007;&#2965;&#3021;&#2965;&#3016;-6/" TargetMode="External" Id="rId733"/><Relationship Type="http://schemas.openxmlformats.org/officeDocument/2006/relationships/hyperlink" Target="https://www.jw.org/en/news/region/global/2025-Governing-Body-Update-8/" TargetMode="External" Id="rId734"/><Relationship Type="http://schemas.openxmlformats.org/officeDocument/2006/relationships/hyperlink" Target="https://www.jw.org/ta/&#2970;&#3014;&#2991;&#3021;&#2980;&#3007;&#2965;&#2995;&#3021;/&#2984;&#3006;&#2975;&#3009;&#2965;&#2995;&#3021;/&#2953;&#2994;&#2965;-&#2970;&#3014;&#2991;&#3021;&#2980;&#3007;&#2965;&#2995;&#3021;/2025-&#2950;&#2995;&#3009;&#2990;&#3021;-&#2965;&#3009;&#2996;&#3009;&#2997;&#3007;&#2985;&#3021;-&#2949;&#2993;&#3007;&#2965;&#3021;&#2965;&#3016;-8/" TargetMode="External" Id="rId735"/><Relationship Type="http://schemas.openxmlformats.org/officeDocument/2006/relationships/hyperlink" Target="https://www.jw.org/en/news/region/global/2026-Governing-Body-Update-1/" TargetMode="External" Id="rId736"/><Relationship Type="http://schemas.openxmlformats.org/officeDocument/2006/relationships/hyperlink" Target="https://www.jw.org/ta/&#2970;&#3014;&#2991;&#3021;&#2980;&#3007;&#2965;&#2995;&#3021;/&#2984;&#3006;&#2975;&#3009;&#2965;&#2995;&#3021;/&#2953;&#2994;&#2965;-&#2970;&#3014;&#2991;&#3021;&#2980;&#3007;&#2965;&#2995;&#3021;/2026-&#2950;&#2995;&#3009;&#2990;&#3021;-&#2965;&#3009;&#2996;&#3009;&#2997;&#3007;&#2985;&#3021;-&#2949;&#2993;&#3007;&#2965;&#3021;&#2965;&#3016;-1/" TargetMode="External" Id="rId737"/><Relationship Type="http://schemas.openxmlformats.org/officeDocument/2006/relationships/hyperlink" Target="https://www.jw.org/en/news/region/global/2026-Governing-Body-Update-2/" TargetMode="External" Id="rId738"/><Relationship Type="http://schemas.openxmlformats.org/officeDocument/2006/relationships/hyperlink" Target="https://www.jw.org/ta/&#2970;&#3014;&#2991;&#3021;&#2980;&#3007;&#2965;&#2995;&#3021;/&#2984;&#3006;&#2975;&#3009;&#2965;&#2995;&#3021;/&#2953;&#2994;&#2965;-&#2970;&#3014;&#2991;&#3021;&#2980;&#3007;&#2965;&#2995;&#3021;/2026-&#2950;&#2995;&#3009;&#2990;&#3021;-&#2965;&#3009;&#2996;&#3009;&#2997;&#3007;&#2985;&#3021;-&#2949;&#2993;&#3007;&#2965;&#3021;&#2965;&#3016;-2/" TargetMode="External" Id="rId739"/><Relationship Type="http://schemas.openxmlformats.org/officeDocument/2006/relationships/hyperlink" Target="https://www.jw.org/en/news/region/global/Door-to-Door-Preaching-Constitutes-for-Jehovahs-Witnesses-an-Essential-Manifestation-of-Their-Religion/" TargetMode="External" Id="rId740"/><Relationship Type="http://schemas.openxmlformats.org/officeDocument/2006/relationships/hyperlink" Target="https://www.jw.org/en/news/region/global/2026-Governing-Body-Update-4/" TargetMode="External" Id="rId741"/><Relationship Type="http://schemas.openxmlformats.org/officeDocument/2006/relationships/hyperlink" Target="https://www.jw.org/ta/&#2970;&#3014;&#2991;&#3021;&#2980;&#3007;&#2965;&#2995;&#3021;/&#2984;&#3006;&#2975;&#3009;&#2965;&#2995;&#3021;/&#2953;&#2994;&#2965;-&#2970;&#3014;&#2991;&#3021;&#2980;&#3007;&#2965;&#2995;&#3021;/2026-&#2950;&#2995;&#3009;&#2990;&#3021;-&#2965;&#3009;&#2996;&#3009;&#2997;&#3007;&#2985;&#3021;-&#2949;&#2993;&#3007;&#2965;&#3021;&#2965;&#3016;-4/" TargetMode="External" Id="rId742"/><Relationship Type="http://schemas.openxmlformats.org/officeDocument/2006/relationships/hyperlink" Target="https://www.jw.org/en/news/region/global/2026-Eternal-Happiness-International-Conventions-Get-Underway-in-Cameroon-and-Romania/" TargetMode="External" Id="rId743"/><Relationship Type="http://schemas.openxmlformats.org/officeDocument/2006/relationships/hyperlink" Target="https://www.jw.org/en/news/region/united-states/Witnesses-Purchase-Property-Near-World-Headquarters-in-Warwick-New-York-USA/" TargetMode="External" Id="rId744"/><Relationship Type="http://schemas.openxmlformats.org/officeDocument/2006/relationships/hyperlink" Target="https://www.jw.org/ta/&#2970;&#3014;&#2991;&#3021;&#2980;&#3007;&#2965;&#2995;&#3021;/&#2984;&#3006;&#2975;&#3009;&#2965;&#2995;&#3021;/&#2949;&#2990;&#3014;&#2992;&#3007;&#2965;&#3021;&#2965;&#3006;/&#2949;&#2990;&#3014;&#2992;&#3007;&#2965;&#3021;&#2965;&#3006;&#2997;&#3007;&#2994;&#3021;-&#2984;&#3007;&#2991;&#3009;-&#2991;&#3006;&#2992;&#3021;&#2965;&#3021;&#2965;&#3007;&#2994;&#3021;-&#2951;&#2992;&#3009;&#2965;&#3021;&#2965;&#3007;&#2993;-&#2997;&#3006;&#2992;&#3021;&#2997;&#3007;&#2965;&#3021;-&#2953;&#2994;&#2965;&#2980;&#3021;-&#2980;&#2994;&#3016;&#2990;&#3016;-&#2949;&#2994;&#3009;&#2997;&#2994;&#2965;&#2980;&#3021;&#2980;&#3009;&#2965;&#3021;&#2965;&#3009;-&#2949;&#2992;&#3009;&#2965;&#3007;&#2994;&#3021;-&#2970;&#3006;&#2975;&#3021;&#2970;&#3007;&#2965;&#2995;&#3021;-&#2951;&#2975;&#2980;&#3021;&#2980;&#3016;-&#2997;&#3006;&#2969;&#3021;&#2965;&#3007;&#2991;&#3007;&#2992;&#3009;&#2965;&#3021;&#2965;&#3007;&#2993;&#3006;&#2992;&#3021;&#2965;&#2995;&#3021;/" TargetMode="External" Id="rId745"/><Relationship Type="http://schemas.openxmlformats.org/officeDocument/2006/relationships/hyperlink" Target="https://www.jw.org/en/news/region/ukraine/European-Court-of-Human-Rights-Rules-in-Favor-of-Religious-Tolerance-in-Ukraine/" TargetMode="External" Id="rId746"/><Relationship Type="http://schemas.openxmlformats.org/officeDocument/2006/relationships/hyperlink" Target="https://www.jw.org/en/news/region/global/2026-Governing-Body-Update-5/" TargetMode="External" Id="rId747"/><Relationship Type="http://schemas.openxmlformats.org/officeDocument/2006/relationships/hyperlink" Target="https://www.jw.org/ta/&#2970;&#3014;&#2991;&#3021;&#2980;&#3007;&#2965;&#2995;&#3021;/&#2984;&#3006;&#2975;&#3009;&#2965;&#2995;&#3021;/&#2953;&#2994;&#2965;-&#2970;&#3014;&#2991;&#3021;&#2980;&#3007;&#2965;&#2995;&#3021;/2026-&#2950;&#2995;&#3009;&#2990;&#3021;-&#2965;&#3009;&#2996;&#3009;&#2997;&#3007;&#2985;&#3021;-&#2949;&#2993;&#3007;&#2965;&#3021;&#2965;&#3016;-5/" TargetMode="External" Id="rId748"/><Relationship Type="http://schemas.openxmlformats.org/officeDocument/2006/relationships/hyperlink" Target="https://www.jw.org/en/news/region/moldova/Jehovahs-Witnesses-Conduct-First-Ever-Special-Preaching-Campaign-in-Moldova/" TargetMode="External" Id="rId749"/><Relationship Type="http://schemas.openxmlformats.org/officeDocument/2006/relationships/hyperlink" Target="https://www.jw.org/en/news/region/global/2026-Governing-Body-Update-6/" TargetMode="External" Id="rId750"/><Relationship Type="http://schemas.openxmlformats.org/officeDocument/2006/relationships/hyperlink" Target="https://www.jw.org/ta/&#2970;&#3014;&#2991;&#3021;&#2980;&#3007;&#2965;&#2995;&#3021;/&#2984;&#3006;&#2975;&#3009;&#2965;&#2995;&#3021;/&#2953;&#2994;&#2965;-&#2970;&#3014;&#2991;&#3021;&#2980;&#3007;&#2965;&#2995;&#3021;/2026-&#2950;&#2995;&#3009;&#2990;&#3021;-&#2965;&#3009;&#2996;&#3009;&#2997;&#3007;&#2985;&#3021;-&#2949;&#2993;&#3007;&#2965;&#3021;&#2965;&#3016;-6/" TargetMode="External" Id="rId751"/><Relationship Type="http://schemas.openxmlformats.org/officeDocument/2006/relationships/hyperlink" Target="https://wol.jw.org/en/wol/d/r1/lp-e/1102017175" TargetMode="External" Id="rId752"/><Relationship Type="http://schemas.openxmlformats.org/officeDocument/2006/relationships/hyperlink" Target="https://wol.jw.org/ta/wol/d/r122/lp-tl/1102017175" TargetMode="External" Id="rId753"/><Relationship Type="http://schemas.openxmlformats.org/officeDocument/2006/relationships/hyperlink" Target="https://wol.jw.org/en/wol/d/r1/lp-e/1200004476" TargetMode="External" Id="rId754"/><Relationship Type="http://schemas.openxmlformats.org/officeDocument/2006/relationships/hyperlink" Target="https://wol.jw.org/en/wol/d/r1/lp-e/1102017177" TargetMode="External" Id="rId755"/><Relationship Type="http://schemas.openxmlformats.org/officeDocument/2006/relationships/hyperlink" Target="https://wol.jw.org/ta/wol/d/r122/lp-tl/1102017177" TargetMode="External" Id="rId756"/><Relationship Type="http://schemas.openxmlformats.org/officeDocument/2006/relationships/hyperlink" Target="https://wol.jw.org/en/wol/d/r1/lp-e/1200001884" TargetMode="External" Id="rId757"/><Relationship Type="http://schemas.openxmlformats.org/officeDocument/2006/relationships/hyperlink" Target="https://wol.jw.org/en/wol/d/r1/lp-e/2022402" TargetMode="External" Id="rId758"/><Relationship Type="http://schemas.openxmlformats.org/officeDocument/2006/relationships/hyperlink" Target="https://wol.jw.org/ta/wol/d/r122/lp-tl/2022402" TargetMode="External" Id="rId759"/><Relationship Type="http://schemas.openxmlformats.org/officeDocument/2006/relationships/hyperlink" Target="https://wol.jw.org/en/wol/d/r1/lp-e/1200002547" TargetMode="External" Id="rId760"/></Relationships>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8" customWidth="1" min="1" max="1"/>
    <col width="100" customWidth="1" min="2" max="2"/>
  </cols>
  <sheetData>
    <row r="1">
      <c r="A1" s="1" t="inlineStr">
        <is>
          <t>JW Timeline – data review</t>
        </is>
      </c>
      <c r="B1" s="2" t="n"/>
    </row>
    <row r="2">
      <c r="A2" s="3" t="inlineStr">
        <is>
          <t>Data version</t>
        </is>
      </c>
      <c r="B2" s="2" t="inlineStr">
        <is>
          <t>2026-10-10 · 1902 records · schema v2 · github.com/jeyantx/jw-timeline</t>
        </is>
      </c>
    </row>
    <row r="3">
      <c r="A3" s="3" t="inlineStr">
        <is>
          <t>Sources</t>
        </is>
      </c>
      <c r="B3" s="2" t="inlineStr">
        <is>
          <t>Every record cites wol.jw.org or www.jw.org only (515 documents; see the Sources sheet).</t>
        </is>
      </c>
    </row>
    <row r="4">
      <c r="A4" s="3" t="n"/>
      <c r="B4" s="2" t="n"/>
    </row>
    <row r="5">
      <c r="A5" s="4" t="inlineStr">
        <is>
          <t>SHEETS</t>
        </is>
      </c>
      <c r="B5" s="2" t="n"/>
    </row>
    <row r="6">
      <c r="A6" s="3" t="inlineStr">
        <is>
          <t>Timeline</t>
        </is>
      </c>
      <c r="B6" s="2" t="inlineStr">
        <is>
          <t>One row per record, oldest first. Use the filter arrows (e.g. Type = Span, Band = Bible, Category, Chart hint, Series). Hidden technical columns can be unhidden.</t>
        </is>
      </c>
    </row>
    <row r="7">
      <c r="A7" s="3" t="inlineStr">
        <is>
          <t>Series</t>
        </is>
      </c>
      <c r="B7" s="2" t="inlineStr">
        <is>
          <t>Curated groups that belong together and get their own colour on the chart: prophecy and fulfillment, world powers of Daniel, covenants, successions of kings, reproduced jw.org charts.</t>
        </is>
      </c>
    </row>
    <row r="8">
      <c r="A8" s="3" t="inlineStr">
        <is>
          <t>Series members</t>
        </is>
      </c>
      <c r="B8" s="2" t="inlineStr">
        <is>
          <t>Every member of every series in order, with its role (prophecy, fulfillment, rise, fall, ruler…) and caption.</t>
        </is>
      </c>
    </row>
    <row r="9">
      <c r="A9" s="3" t="inlineStr">
        <is>
          <t>Add new events</t>
        </is>
      </c>
      <c r="B9" s="2" t="inlineStr">
        <is>
          <t>Blank rows for anything missing. A jw.org / wol.jw.org link is required for every new row. Row 2 is a grey example.</t>
        </is>
      </c>
    </row>
    <row r="10">
      <c r="A10" s="3" t="inlineStr">
        <is>
          <t>Sources</t>
        </is>
      </c>
      <c r="B10" s="2" t="inlineStr">
        <is>
          <t>Every jw.org document used, with how many records cite it.</t>
        </is>
      </c>
    </row>
    <row r="11">
      <c r="A11" s="3" t="inlineStr">
        <is>
          <t>Categories</t>
        </is>
      </c>
      <c r="B11" s="2" t="inlineStr">
        <is>
          <t>The 32 categories, their meaning and live counts.</t>
        </is>
      </c>
    </row>
    <row r="12">
      <c r="A12" s="3" t="inlineStr">
        <is>
          <t>Summary</t>
        </is>
      </c>
      <c r="B12" s="2" t="inlineStr">
        <is>
          <t>Live counts, including how many rows you have marked.</t>
        </is>
      </c>
    </row>
    <row r="13">
      <c r="A13" s="3" t="n"/>
      <c r="B13" s="2" t="n"/>
    </row>
    <row r="14">
      <c r="A14" s="4" t="inlineStr">
        <is>
          <t>HOW TO REVIEW</t>
        </is>
      </c>
      <c r="B14" s="2" t="n"/>
    </row>
    <row r="15">
      <c r="A15" s="5" t="inlineStr">
        <is>
          <t>Yellow cells</t>
        </is>
      </c>
      <c r="B15" s="2" t="inlineStr">
        <is>
          <t>Are yours to fill. Everything else is the data as collected – change it only through the comment column, so the change can be traced back to a source.</t>
        </is>
      </c>
    </row>
    <row r="16">
      <c r="A16" s="5" t="inlineStr">
        <is>
          <t>✎ Status</t>
        </is>
      </c>
      <c r="B16" s="2" t="inlineStr">
        <is>
          <t>OK · Fix (say what in the comment) · Remove · Add Tamil · Duplicate (name the other ID in the comment).</t>
        </is>
      </c>
    </row>
    <row r="17">
      <c r="A17" s="5" t="inlineStr">
        <is>
          <t>✎ Importance (1-3)</t>
        </is>
      </c>
      <c r="B17" s="2" t="inlineStr">
        <is>
          <t>1 = must appear on the A0 chart · 2 = major · 3 = detail (app only). Leave blank if unsure.</t>
        </is>
      </c>
    </row>
    <row r="18">
      <c r="A18" s="5" t="inlineStr">
        <is>
          <t>✎ Correction / comment</t>
        </is>
      </c>
      <c r="B18" s="2" t="inlineStr">
        <is>
          <t>What is wrong and the jw.org link that shows the right value.</t>
        </is>
      </c>
    </row>
    <row r="19">
      <c r="A19" s="3" t="n"/>
      <c r="B19" s="2" t="n"/>
    </row>
    <row r="20">
      <c r="A20" s="4" t="inlineStr">
        <is>
          <t>READING THE COLUMNS</t>
        </is>
      </c>
      <c r="B20" s="2" t="n"/>
    </row>
    <row r="21">
      <c r="A21" s="3" t="inlineStr">
        <is>
          <t>Type</t>
        </is>
      </c>
      <c r="B21" s="2" t="inlineStr">
        <is>
          <t>Point = one moment. Span = lasted from a start to an end (a life, a reign, a journey, a ban).</t>
        </is>
      </c>
    </row>
    <row r="22">
      <c r="A22" s="3" t="inlineStr">
        <is>
          <t>Date (as printed)</t>
        </is>
      </c>
      <c r="B22" s="2" t="inlineStr">
        <is>
          <t>Exactly as the jw.org source prints it. c. = about, a. = after, b. = before.</t>
        </is>
      </c>
    </row>
    <row r="23">
      <c r="A23" s="3" t="inlineStr">
        <is>
          <t>Start / End precision</t>
        </is>
      </c>
      <c r="B23" s="2" t="inlineStr">
        <is>
          <t>Exact · Approx. (c.) · Before (b.) · After (a.) · Between (happened once, somewhere in a window, e.g. '31 or 32 C.E.') · Not stated (jw.org gives no year; only the order is known) · Ongoing (span not ended) · Future (undated).</t>
        </is>
      </c>
    </row>
    <row r="24">
      <c r="A24" s="3" t="inlineStr">
        <is>
          <t>Duration</t>
        </is>
      </c>
      <c r="B24" s="2" t="inlineStr">
        <is>
          <t>As printed ('41 years'), or computed from the start and end.</t>
        </is>
      </c>
    </row>
    <row r="25">
      <c r="A25" s="3" t="inlineStr">
        <is>
          <t>Chart hint</t>
        </is>
      </c>
      <c r="B25" s="2" t="inlineStr">
        <is>
          <t>Covered by span – a birth, death, creation or accession that only marks the start/end of a life, reign or office bar; the chart can hide it and show the bar. Span endpoint – starts/ends a span but matters on its own (kept). Index list entry – one-line entry from the Watch Tower Publications Index lists (beliefs clarified, convention themes); app detail. Use '✎ Show on chart' to override.</t>
        </is>
      </c>
    </row>
    <row r="26">
      <c r="A26" s="3" t="inlineStr">
        <is>
          <t>Series</t>
        </is>
      </c>
      <c r="B26" s="2" t="inlineStr">
        <is>
          <t>Which series a record belongs to, with its position and role.</t>
        </is>
      </c>
    </row>
    <row r="27">
      <c r="A27" s="3" t="inlineStr">
        <is>
          <t>Computed by pipeline</t>
        </is>
      </c>
      <c r="B27" s="2" t="inlineStr">
        <is>
          <t>Filled when the record or a value was built from other sourced records – e.g. a lifespan from a birth and a death, a reign ending when the next king begins (NWT App. A6). Check these especially.</t>
        </is>
      </c>
    </row>
    <row r="28">
      <c r="A28" s="3" t="inlineStr">
        <is>
          <t>Sources differ</t>
        </is>
      </c>
      <c r="B28" s="2" t="inlineStr">
        <is>
          <t>Number of places where two jw.org publications give different values; the next column says what differs.</t>
        </is>
      </c>
    </row>
    <row r="29">
      <c r="A29" s="3" t="inlineStr">
        <is>
          <t>Tamil columns</t>
        </is>
      </c>
      <c r="B29" s="2" t="inlineStr">
        <is>
          <t>Only filled with text copied from Tamil jw.org pages. Blank = no Tamil page found (Insight and Proclaimers have no Tamil edition).</t>
        </is>
      </c>
    </row>
    <row r="30">
      <c r="A30" s="3" t="inlineStr">
        <is>
          <t>Links</t>
        </is>
      </c>
      <c r="B30" s="2" t="inlineStr">
        <is>
          <t>'open' cells link to the page on wol.jw.org.</t>
        </is>
      </c>
    </row>
    <row r="31">
      <c r="A31" s="3" t="n"/>
      <c r="B31" s="2" t="n"/>
    </row>
    <row r="32">
      <c r="A32" s="4" t="inlineStr">
        <is>
          <t>SEND IT BACK</t>
        </is>
      </c>
      <c r="B32" s="2" t="n"/>
    </row>
    <row r="33">
      <c r="A33" s="3" t="n"/>
      <c r="B33" s="2" t="inlineStr">
        <is>
          <t>Save the file and share it back (or upload to the repo). The changes will be applied to the JSON and a new version exported.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1903"/>
  <sheetViews>
    <sheetView workbookViewId="0">
      <pane xSplit="10" ySplit="1" topLeftCell="K2"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15" customWidth="1" min="3" max="3"/>
    <col width="26" customWidth="1" min="4" max="4"/>
    <col width="22" customWidth="1" min="5" max="5"/>
    <col width="10" customWidth="1" min="6" max="6"/>
    <col width="13" customWidth="1" min="7" max="7"/>
    <col width="10" customWidth="1" min="8" max="8"/>
    <col width="13" customWidth="1" min="9" max="9"/>
    <col width="13" customWidth="1" min="10" max="10"/>
    <col width="46" customWidth="1" min="11" max="11"/>
    <col width="40" customWidth="1" min="12" max="12"/>
    <col width="60" customWidth="1" min="13" max="13"/>
    <col width="50" customWidth="1" min="14" max="14"/>
    <col width="14" customWidth="1" min="15" max="15"/>
    <col width="22" customWidth="1" min="16" max="16"/>
    <col width="14" customWidth="1" min="17" max="17"/>
    <col width="22" customWidth="1" min="18" max="18"/>
    <col width="20" customWidth="1" min="19" max="19"/>
    <col width="22" customWidth="1" min="20" max="20"/>
    <col width="20" customWidth="1" min="21" max="21"/>
    <col width="8" customWidth="1" min="22" max="22"/>
    <col width="34" customWidth="1" min="23" max="23"/>
    <col width="16" customWidth="1" min="24" max="24"/>
    <col width="16" customWidth="1" min="25" max="25"/>
    <col hidden="1" width="30" customWidth="1" min="26" max="26"/>
    <col width="7" customWidth="1" min="27" max="27"/>
    <col width="16" customWidth="1" min="28" max="28"/>
    <col width="8" customWidth="1" min="29" max="29"/>
    <col width="40" customWidth="1" min="30" max="30"/>
    <col width="36" customWidth="1" min="31" max="31"/>
    <col hidden="1" width="10" customWidth="1" min="32" max="32"/>
    <col hidden="1" width="10" customWidth="1" min="33" max="33"/>
    <col hidden="1" width="10" customWidth="1" min="34" max="34"/>
    <col width="24" customWidth="1" min="35" max="35"/>
    <col width="34" customWidth="1" min="36" max="36"/>
    <col width="30" customWidth="1" min="37" max="37"/>
    <col hidden="1" width="30" customWidth="1" min="38" max="38"/>
    <col hidden="1" width="9" customWidth="1" min="39" max="39"/>
    <col width="12" customWidth="1" min="40" max="40"/>
    <col width="11" customWidth="1" min="41" max="41"/>
    <col width="10" customWidth="1" min="42" max="42"/>
    <col width="40" customWidth="1" min="43" max="43"/>
  </cols>
  <sheetData>
    <row r="1" ht="32" customHeight="1">
      <c r="A1" s="6" t="inlineStr">
        <is>
          <t>ID</t>
        </is>
      </c>
      <c r="B1" s="6" t="inlineStr">
        <is>
          <t>Type</t>
        </is>
      </c>
      <c r="C1" s="6" t="inlineStr">
        <is>
          <t>Span kind</t>
        </is>
      </c>
      <c r="D1" s="6" t="inlineStr">
        <is>
          <t>Date (as printed)</t>
        </is>
      </c>
      <c r="E1" s="6" t="inlineStr">
        <is>
          <t>Date (Tamil)</t>
        </is>
      </c>
      <c r="F1" s="6" t="inlineStr">
        <is>
          <t>Start year</t>
        </is>
      </c>
      <c r="G1" s="6" t="inlineStr">
        <is>
          <t>Start precision</t>
        </is>
      </c>
      <c r="H1" s="6" t="inlineStr">
        <is>
          <t>End year</t>
        </is>
      </c>
      <c r="I1" s="6" t="inlineStr">
        <is>
          <t>End precision</t>
        </is>
      </c>
      <c r="J1" s="6" t="inlineStr">
        <is>
          <t>Duration</t>
        </is>
      </c>
      <c r="K1" s="6" t="inlineStr">
        <is>
          <t>Title (English)</t>
        </is>
      </c>
      <c r="L1" s="6" t="inlineStr">
        <is>
          <t>Title (Tamil)</t>
        </is>
      </c>
      <c r="M1" s="6" t="inlineStr">
        <is>
          <t>Description (English)</t>
        </is>
      </c>
      <c r="N1" s="6" t="inlineStr">
        <is>
          <t>Description (Tamil)</t>
        </is>
      </c>
      <c r="O1" s="6" t="inlineStr">
        <is>
          <t>Band</t>
        </is>
      </c>
      <c r="P1" s="6" t="inlineStr">
        <is>
          <t>Category</t>
        </is>
      </c>
      <c r="Q1" s="6" t="inlineStr">
        <is>
          <t>Event kind</t>
        </is>
      </c>
      <c r="R1" s="6" t="inlineStr">
        <is>
          <t>People</t>
        </is>
      </c>
      <c r="S1" s="6" t="inlineStr">
        <is>
          <t>Places</t>
        </is>
      </c>
      <c r="T1" s="6" t="inlineStr">
        <is>
          <t>Scriptures (English)</t>
        </is>
      </c>
      <c r="U1" s="6" t="inlineStr">
        <is>
          <t>Scriptures (Tamil)</t>
        </is>
      </c>
      <c r="V1" s="6" t="inlineStr">
        <is>
          <t>Sources</t>
        </is>
      </c>
      <c r="W1" s="6" t="inlineStr">
        <is>
          <t>Main source</t>
        </is>
      </c>
      <c r="X1" s="6" t="inlineStr">
        <is>
          <t>Main source link (EN)</t>
        </is>
      </c>
      <c r="Y1" s="6" t="inlineStr">
        <is>
          <t>Main source link (TA)</t>
        </is>
      </c>
      <c r="Z1" s="6" t="inlineStr">
        <is>
          <t>All source links (EN)</t>
        </is>
      </c>
      <c r="AA1" s="6" t="inlineStr">
        <is>
          <t>Images</t>
        </is>
      </c>
      <c r="AB1" s="6" t="inlineStr">
        <is>
          <t>First image</t>
        </is>
      </c>
      <c r="AC1" s="6" t="inlineStr">
        <is>
          <t>Sources differ</t>
        </is>
      </c>
      <c r="AD1" s="6" t="inlineStr">
        <is>
          <t>Where sources differ</t>
        </is>
      </c>
      <c r="AE1" s="6" t="inlineStr">
        <is>
          <t>Computed by pipeline</t>
        </is>
      </c>
      <c r="AF1" s="6" t="inlineStr">
        <is>
          <t>Start event ID</t>
        </is>
      </c>
      <c r="AG1" s="6" t="inlineStr">
        <is>
          <t>End event ID</t>
        </is>
      </c>
      <c r="AH1" s="6" t="inlineStr">
        <is>
          <t>Inside span</t>
        </is>
      </c>
      <c r="AI1" s="6" t="inlineStr">
        <is>
          <t>Chart hint</t>
        </is>
      </c>
      <c r="AJ1" s="6" t="inlineStr">
        <is>
          <t>Start/end of span</t>
        </is>
      </c>
      <c r="AK1" s="6" t="inlineStr">
        <is>
          <t>Series</t>
        </is>
      </c>
      <c r="AL1" s="6" t="inlineStr">
        <is>
          <t>Notes</t>
        </is>
      </c>
      <c r="AM1" s="6" t="inlineStr">
        <is>
          <t>Sort key</t>
        </is>
      </c>
      <c r="AN1" s="6" t="inlineStr">
        <is>
          <t>✎ Status</t>
        </is>
      </c>
      <c r="AO1" s="6" t="inlineStr">
        <is>
          <t>✎ Importance (1-3)</t>
        </is>
      </c>
      <c r="AP1" s="6" t="inlineStr">
        <is>
          <t>✎ Show on chart</t>
        </is>
      </c>
      <c r="AQ1" s="6" t="inlineStr">
        <is>
          <t>✎ Correction / comment</t>
        </is>
      </c>
    </row>
    <row r="2">
      <c r="A2" s="7" t="inlineStr">
        <is>
          <t>b1-0001</t>
        </is>
      </c>
      <c r="B2" s="7" t="inlineStr">
        <is>
          <t>Point</t>
        </is>
      </c>
      <c r="C2" s="7" t="n"/>
      <c r="D2" s="7" t="inlineStr">
        <is>
          <t>4026 B.C.E.</t>
        </is>
      </c>
      <c r="E2" s="7" t="inlineStr">
        <is>
          <t>பொ.ச.மு. 4026</t>
        </is>
      </c>
      <c r="F2" s="7" t="inlineStr">
        <is>
          <t>4026 BCE</t>
        </is>
      </c>
      <c r="G2" s="7" t="inlineStr">
        <is>
          <t>Exact</t>
        </is>
      </c>
      <c r="H2" s="7" t="n"/>
      <c r="I2" s="7" t="n"/>
      <c r="J2" s="7" t="n"/>
      <c r="K2" s="2" t="inlineStr">
        <is>
          <t>Creation of Adam</t>
        </is>
      </c>
      <c r="L2" s="2" t="inlineStr">
        <is>
          <t>ஆதாம் படைக்கப்பட்டது</t>
        </is>
      </c>
      <c r="M2" s="7" t="inlineStr">
        <is>
          <t>Jehovah forms the first man, Adam, from the dust of the ground. Counting back 1,656 years from the Flood gives 4026 B.C.E., perhaps in the autumn, when the year began on the most ancient calendars.</t>
        </is>
      </c>
      <c r="N2" s="7" t="inlineStr">
        <is>
          <t>1,656 ஆண்டுகளை முந்தின தேதியாகிய பொ.ச.மு. 2370 உடன் கூட்டினால், ஆதாம் படைக்கப்பட்ட ஆண்டாகிய பொ.ச.மு. 4026-க்கு வருகிறோம். பூர்வ காலண்டர்களில் பெரும்பான்மையானவை இலையுதிர் காலத்தில் தொடங்கினதால், ஆதாம் இலையுதிர் காலத்தில் படைக்கப்பட்டிருக்கலாம்.</t>
        </is>
      </c>
      <c r="O2" s="8" t="inlineStr">
        <is>
          <t>Bible</t>
        </is>
      </c>
      <c r="P2" s="7" t="inlineStr">
        <is>
          <t>bible.creation</t>
        </is>
      </c>
      <c r="Q2" s="7" t="inlineStr">
        <is>
          <t>creation</t>
        </is>
      </c>
      <c r="R2" s="7" t="inlineStr">
        <is>
          <t>Adam</t>
        </is>
      </c>
      <c r="S2" s="7" t="inlineStr">
        <is>
          <t>Eden</t>
        </is>
      </c>
      <c r="T2" s="7" t="inlineStr">
        <is>
          <t>Gen. 2:7</t>
        </is>
      </c>
      <c r="U2" s="7" t="inlineStr">
        <is>
          <t>ஆதி. 2:7</t>
        </is>
      </c>
      <c r="V2" s="7" t="n">
        <v>4</v>
      </c>
      <c r="W2" s="7" t="inlineStr">
        <is>
          <t>Study Number 3—Measuring Events in the Stream of Time</t>
        </is>
      </c>
      <c r="X2" s="9" t="inlineStr">
        <is>
          <t>open</t>
        </is>
      </c>
      <c r="Y2" s="9" t="inlineStr">
        <is>
          <t>open</t>
        </is>
      </c>
      <c r="Z2" s="7" t="inlineStr">
        <is>
          <t>https://wol.jw.org/en/wol/d/r1/lp-e/1101990130
https://wol.jw.org/en/wol/d/r1/lp-e/1101990130
https://wol.jw.org/en/wol/d/r1/lp-e/1200000089
https://wol.jw.org/en/wol/d/r1/lp-e/1200000970</t>
        </is>
      </c>
      <c r="AA2" s="7" t="n">
        <v>0</v>
      </c>
      <c r="AB2" s="7" t="n"/>
      <c r="AC2" s="7" t="n">
        <v>0</v>
      </c>
      <c r="AD2" s="7" t="n"/>
      <c r="AE2" s="7" t="n"/>
      <c r="AF2" s="7" t="n"/>
      <c r="AG2" s="7" t="n"/>
      <c r="AH2" s="7" t="n"/>
      <c r="AI2" s="7" t="inlineStr">
        <is>
          <t>Span endpoint – keep</t>
        </is>
      </c>
      <c r="AJ2" s="7" t="inlineStr">
        <is>
          <t>start of Life of Adam (d1-0001)</t>
        </is>
      </c>
      <c r="AK2" s="7" t="inlineStr">
        <is>
          <t>patriarchs-travels #1 (item)</t>
        </is>
      </c>
      <c r="AL2" s="7" t="n"/>
      <c r="AM2" s="7" t="n">
        <v>-4025.25</v>
      </c>
      <c r="AN2" s="10" t="n"/>
      <c r="AO2" s="10" t="n"/>
      <c r="AP2" s="10" t="n"/>
      <c r="AQ2" s="10" t="n"/>
    </row>
    <row r="3">
      <c r="A3" s="7" t="inlineStr">
        <is>
          <t>d1-0001</t>
        </is>
      </c>
      <c r="B3" s="11" t="inlineStr">
        <is>
          <t>Span</t>
        </is>
      </c>
      <c r="C3" s="7" t="inlineStr">
        <is>
          <t>lifespan</t>
        </is>
      </c>
      <c r="D3" s="7" t="inlineStr">
        <is>
          <t>4026 B.C.E. – 3096 B.C.E.</t>
        </is>
      </c>
      <c r="E3" s="7" t="inlineStr">
        <is>
          <t>பொ.ச.மு. 4026 – பொ.ச.மு. 3096</t>
        </is>
      </c>
      <c r="F3" s="7" t="inlineStr">
        <is>
          <t>4026 BCE</t>
        </is>
      </c>
      <c r="G3" s="7" t="inlineStr">
        <is>
          <t>Exact</t>
        </is>
      </c>
      <c r="H3" s="7" t="inlineStr">
        <is>
          <t>3096 BCE</t>
        </is>
      </c>
      <c r="I3" s="7" t="inlineStr">
        <is>
          <t>Exact</t>
        </is>
      </c>
      <c r="J3" s="7" t="inlineStr">
        <is>
          <t>930 years</t>
        </is>
      </c>
      <c r="K3" s="2" t="inlineStr">
        <is>
          <t>Life of Adam</t>
        </is>
      </c>
      <c r="L3" s="2" t="n"/>
      <c r="M3" s="7" t="inlineStr">
        <is>
          <t>Adam: from Creation of Adam (4026 B.C.E.) to Death of Adam (3096 B.C.E.). Dates as given in the cited jw.org publications.</t>
        </is>
      </c>
      <c r="N3" s="7" t="n"/>
      <c r="O3" s="8" t="inlineStr">
        <is>
          <t>Bible</t>
        </is>
      </c>
      <c r="P3" s="7" t="inlineStr">
        <is>
          <t>bible.creation</t>
        </is>
      </c>
      <c r="Q3" s="7" t="inlineStr">
        <is>
          <t>lifespan</t>
        </is>
      </c>
      <c r="R3" s="7" t="inlineStr">
        <is>
          <t>Adam</t>
        </is>
      </c>
      <c r="S3" s="7" t="inlineStr">
        <is>
          <t>Eden</t>
        </is>
      </c>
      <c r="T3" s="7" t="inlineStr">
        <is>
          <t>Gen. 2:7; Gen. 5:5</t>
        </is>
      </c>
      <c r="U3" s="7" t="inlineStr">
        <is>
          <t>ஆதி. 2:7; ஆதி. 5:5</t>
        </is>
      </c>
      <c r="V3" s="7" t="n">
        <v>3</v>
      </c>
      <c r="W3" s="7" t="inlineStr">
        <is>
          <t>Study Number 3—Measuring Events in the Stream of Time</t>
        </is>
      </c>
      <c r="X3" s="9" t="inlineStr">
        <is>
          <t>open</t>
        </is>
      </c>
      <c r="Y3" s="9" t="inlineStr">
        <is>
          <t>open</t>
        </is>
      </c>
      <c r="Z3" s="7" t="inlineStr">
        <is>
          <t>https://wol.jw.org/en/wol/d/r1/lp-e/1101990130
https://wol.jw.org/en/wol/d/r1/lp-e/1200000089
https://wol.jw.org/en/wol/d/r1/lp-e/1200000970</t>
        </is>
      </c>
      <c r="AA3" s="7" t="n">
        <v>0</v>
      </c>
      <c r="AB3" s="7" t="n"/>
      <c r="AC3" s="7" t="n">
        <v>0</v>
      </c>
      <c r="AD3" s="7" t="n"/>
      <c r="AE3" s="7" t="inlineStr">
        <is>
          <t>Built from b1-0001 (start) and b1-0009 (end).</t>
        </is>
      </c>
      <c r="AF3" s="7" t="inlineStr">
        <is>
          <t>b1-0001</t>
        </is>
      </c>
      <c r="AG3" s="7" t="inlineStr">
        <is>
          <t>b1-0009</t>
        </is>
      </c>
      <c r="AH3" s="7" t="n"/>
      <c r="AI3" s="7" t="n"/>
      <c r="AJ3" s="7" t="n"/>
      <c r="AK3" s="7" t="inlineStr">
        <is>
          <t>pre-flood-patriarchs #1 (item); messianic-line #1 (item)</t>
        </is>
      </c>
      <c r="AL3" s="7" t="n"/>
      <c r="AM3" s="7" t="n">
        <v>-4025.25</v>
      </c>
      <c r="AN3" s="10" t="n"/>
      <c r="AO3" s="10" t="n"/>
      <c r="AP3" s="10" t="n"/>
      <c r="AQ3" s="10" t="n"/>
    </row>
    <row r="4">
      <c r="A4" s="7" t="inlineStr">
        <is>
          <t>b1-0002</t>
        </is>
      </c>
      <c r="B4" s="7" t="inlineStr">
        <is>
          <t>Point</t>
        </is>
      </c>
      <c r="C4" s="7" t="n"/>
      <c r="D4" s="7" t="inlineStr">
        <is>
          <t>a. 4026 B.C.E.</t>
        </is>
      </c>
      <c r="E4" s="7" t="inlineStr">
        <is>
          <t>பொ.ச.மு. 4026-க்கு பி.</t>
        </is>
      </c>
      <c r="F4" s="7" t="inlineStr">
        <is>
          <t>4026 BCE</t>
        </is>
      </c>
      <c r="G4" s="7" t="inlineStr">
        <is>
          <t>After (a.)</t>
        </is>
      </c>
      <c r="H4" s="7" t="n"/>
      <c r="I4" s="7" t="n"/>
      <c r="J4" s="7" t="n"/>
      <c r="K4" s="2" t="inlineStr">
        <is>
          <t>Edenic covenant made; first prophecy</t>
        </is>
      </c>
      <c r="L4" s="2" t="inlineStr">
        <is>
          <t>ஏதேனிய உடன்படிக்கை செய்யப்பட்டது, முதல் தீர்க்கதரிசனம்</t>
        </is>
      </c>
      <c r="M4" s="7" t="inlineStr">
        <is>
          <t>After the rebellion in Eden, Jehovah states his purpose at Genesis 3:15, foretelling enmity between the serpent and the woman and between their seeds. This is the Bible's first prophecy.</t>
        </is>
      </c>
      <c r="N4" s="7" t="n"/>
      <c r="O4" s="8" t="inlineStr">
        <is>
          <t>Bible</t>
        </is>
      </c>
      <c r="P4" s="7" t="inlineStr">
        <is>
          <t>bible.covenant</t>
        </is>
      </c>
      <c r="Q4" s="7" t="inlineStr">
        <is>
          <t>covenant</t>
        </is>
      </c>
      <c r="R4" s="7" t="inlineStr">
        <is>
          <t>Adam; Eve</t>
        </is>
      </c>
      <c r="S4" s="7" t="inlineStr">
        <is>
          <t>Eden</t>
        </is>
      </c>
      <c r="T4" s="7" t="inlineStr">
        <is>
          <t>Gen. 3:15</t>
        </is>
      </c>
      <c r="U4" s="7" t="inlineStr">
        <is>
          <t>ஆதி. 3:15</t>
        </is>
      </c>
      <c r="V4" s="7" t="n">
        <v>2</v>
      </c>
      <c r="W4" s="7" t="inlineStr">
        <is>
          <t>Study Number 3—Measuring Events in the Stream of Time</t>
        </is>
      </c>
      <c r="X4" s="9" t="inlineStr">
        <is>
          <t>open</t>
        </is>
      </c>
      <c r="Y4" s="9" t="inlineStr">
        <is>
          <t>open</t>
        </is>
      </c>
      <c r="Z4" s="7" t="inlineStr">
        <is>
          <t>https://wol.jw.org/en/wol/d/r1/lp-e/1101990130
https://wol.jw.org/en/wol/d/r1/lp-e/1200001054</t>
        </is>
      </c>
      <c r="AA4" s="7" t="n">
        <v>0</v>
      </c>
      <c r="AB4" s="7" t="n"/>
      <c r="AC4" s="7" t="n">
        <v>0</v>
      </c>
      <c r="AD4" s="7" t="n"/>
      <c r="AE4" s="7" t="n"/>
      <c r="AF4" s="7" t="n"/>
      <c r="AG4" s="7" t="n"/>
      <c r="AH4" s="7" t="n"/>
      <c r="AI4" s="7" t="n"/>
      <c r="AJ4" s="7" t="n"/>
      <c r="AK4" s="7" t="inlineStr">
        <is>
          <t>covenants #1 (start); promised-offspring #1 (prophecy)</t>
        </is>
      </c>
      <c r="AL4" s="7" t="n"/>
      <c r="AM4" s="7" t="n">
        <v>-4025.24</v>
      </c>
      <c r="AN4" s="10" t="n"/>
      <c r="AO4" s="10" t="n"/>
      <c r="AP4" s="10" t="n"/>
      <c r="AQ4" s="10" t="n"/>
    </row>
    <row r="5">
      <c r="A5" s="7" t="inlineStr">
        <is>
          <t>b1-0003</t>
        </is>
      </c>
      <c r="B5" s="7" t="inlineStr">
        <is>
          <t>Point</t>
        </is>
      </c>
      <c r="C5" s="7" t="n"/>
      <c r="D5" s="7" t="inlineStr">
        <is>
          <t>b. 3896 B.C.E.</t>
        </is>
      </c>
      <c r="E5" s="7" t="inlineStr">
        <is>
          <t>பொ.ச.மு. 3896 மு.</t>
        </is>
      </c>
      <c r="F5" s="7" t="inlineStr">
        <is>
          <t>3896 BCE</t>
        </is>
      </c>
      <c r="G5" s="7" t="inlineStr">
        <is>
          <t>Before (b.)</t>
        </is>
      </c>
      <c r="H5" s="7" t="n"/>
      <c r="I5" s="7" t="n"/>
      <c r="J5" s="7" t="n"/>
      <c r="K5" s="2" t="inlineStr">
        <is>
          <t>Cain slays Abel</t>
        </is>
      </c>
      <c r="L5" s="2" t="inlineStr">
        <is>
          <t>காயீன் ஆபேலைக் கொல்கிறான்</t>
        </is>
      </c>
      <c r="M5" s="7" t="inlineStr">
        <is>
          <t>Cain, the firstborn son of Adam and Eve, kills his brother Abel. This took place before the birth of Seth in 3896 B.C.E.</t>
        </is>
      </c>
      <c r="N5" s="7" t="n"/>
      <c r="O5" s="8" t="inlineStr">
        <is>
          <t>Bible</t>
        </is>
      </c>
      <c r="P5" s="7" t="inlineStr">
        <is>
          <t>bible.judgment</t>
        </is>
      </c>
      <c r="Q5" s="7" t="inlineStr">
        <is>
          <t>murder</t>
        </is>
      </c>
      <c r="R5" s="7" t="inlineStr">
        <is>
          <t>Cain; Abel</t>
        </is>
      </c>
      <c r="S5" s="7" t="n"/>
      <c r="T5" s="7" t="inlineStr">
        <is>
          <t>Gen. 4:8</t>
        </is>
      </c>
      <c r="U5" s="7" t="inlineStr">
        <is>
          <t>ஆதி. 4:8</t>
        </is>
      </c>
      <c r="V5" s="7" t="n">
        <v>1</v>
      </c>
      <c r="W5" s="7" t="inlineStr">
        <is>
          <t>Study Number 3—Measuring Events in the Stream of Time</t>
        </is>
      </c>
      <c r="X5" s="9" t="inlineStr">
        <is>
          <t>open</t>
        </is>
      </c>
      <c r="Y5" s="9" t="inlineStr">
        <is>
          <t>open</t>
        </is>
      </c>
      <c r="Z5" s="7" t="inlineStr">
        <is>
          <t>https://wol.jw.org/en/wol/d/r1/lp-e/1101990130</t>
        </is>
      </c>
      <c r="AA5" s="7" t="n">
        <v>0</v>
      </c>
      <c r="AB5" s="7" t="n"/>
      <c r="AC5" s="7" t="n">
        <v>0</v>
      </c>
      <c r="AD5" s="7" t="n"/>
      <c r="AE5" s="7" t="n"/>
      <c r="AF5" s="7" t="n"/>
      <c r="AG5" s="7" t="n"/>
      <c r="AH5" s="7" t="n"/>
      <c r="AI5" s="7" t="n"/>
      <c r="AJ5" s="7" t="n"/>
      <c r="AK5" s="7" t="n"/>
      <c r="AL5" s="7" t="n"/>
      <c r="AM5" s="7" t="n">
        <v>-3896.01</v>
      </c>
      <c r="AN5" s="10" t="n"/>
      <c r="AO5" s="10" t="n"/>
      <c r="AP5" s="10" t="n"/>
      <c r="AQ5" s="10" t="n"/>
    </row>
    <row r="6">
      <c r="A6" s="7" t="inlineStr">
        <is>
          <t>b1-0004</t>
        </is>
      </c>
      <c r="B6" s="7" t="inlineStr">
        <is>
          <t>Point</t>
        </is>
      </c>
      <c r="C6" s="7" t="n"/>
      <c r="D6" s="7" t="inlineStr">
        <is>
          <t>3896 B.C.E.</t>
        </is>
      </c>
      <c r="E6" s="7" t="inlineStr">
        <is>
          <t>பொ.ச.மு. 3896</t>
        </is>
      </c>
      <c r="F6" s="7" t="inlineStr">
        <is>
          <t>3896 BCE</t>
        </is>
      </c>
      <c r="G6" s="7" t="inlineStr">
        <is>
          <t>Exact</t>
        </is>
      </c>
      <c r="H6" s="7" t="n"/>
      <c r="I6" s="7" t="n"/>
      <c r="J6" s="7" t="n"/>
      <c r="K6" s="2" t="inlineStr">
        <is>
          <t>Birth of Seth</t>
        </is>
      </c>
      <c r="L6" s="2" t="inlineStr">
        <is>
          <t>சேத்தின் பிறப்பு</t>
        </is>
      </c>
      <c r="M6" s="7" t="inlineStr">
        <is>
          <t>Seth is born to Adam and Eve when Adam is 130 years old; Eve names him as a replacement for Abel.</t>
        </is>
      </c>
      <c r="N6" s="7" t="n"/>
      <c r="O6" s="8" t="inlineStr">
        <is>
          <t>Bible</t>
        </is>
      </c>
      <c r="P6" s="7" t="inlineStr">
        <is>
          <t>bible.patriarch</t>
        </is>
      </c>
      <c r="Q6" s="7" t="inlineStr">
        <is>
          <t>birth</t>
        </is>
      </c>
      <c r="R6" s="7" t="inlineStr">
        <is>
          <t>Seth; Adam; Eve</t>
        </is>
      </c>
      <c r="S6" s="7" t="n"/>
      <c r="T6" s="7" t="inlineStr">
        <is>
          <t>Gen. 5:3</t>
        </is>
      </c>
      <c r="U6" s="7" t="inlineStr">
        <is>
          <t>ஆதி. 5:3</t>
        </is>
      </c>
      <c r="V6" s="7" t="n">
        <v>2</v>
      </c>
      <c r="W6" s="7" t="inlineStr">
        <is>
          <t>Study Number 3—Measuring Events in the Stream of Time</t>
        </is>
      </c>
      <c r="X6" s="9" t="inlineStr">
        <is>
          <t>open</t>
        </is>
      </c>
      <c r="Y6" s="9" t="inlineStr">
        <is>
          <t>open</t>
        </is>
      </c>
      <c r="Z6" s="7" t="inlineStr">
        <is>
          <t>https://wol.jw.org/en/wol/d/r1/lp-e/1101990130
https://wol.jw.org/en/wol/d/r1/lp-e/1200003911</t>
        </is>
      </c>
      <c r="AA6" s="7" t="n">
        <v>0</v>
      </c>
      <c r="AB6" s="7" t="n"/>
      <c r="AC6" s="7" t="n">
        <v>0</v>
      </c>
      <c r="AD6" s="7" t="n"/>
      <c r="AE6" s="7" t="n"/>
      <c r="AF6" s="7" t="n"/>
      <c r="AG6" s="7" t="n"/>
      <c r="AH6" s="7" t="n"/>
      <c r="AI6" s="7" t="inlineStr">
        <is>
          <t>Covered by span – hide on chart</t>
        </is>
      </c>
      <c r="AJ6" s="7" t="inlineStr">
        <is>
          <t>start of Life of Seth (d1-0002)</t>
        </is>
      </c>
      <c r="AK6" s="7" t="n"/>
      <c r="AL6" s="7" t="n"/>
      <c r="AM6" s="7" t="n">
        <v>-3896</v>
      </c>
      <c r="AN6" s="10" t="n"/>
      <c r="AO6" s="10" t="n"/>
      <c r="AP6" s="10" t="n"/>
      <c r="AQ6" s="10" t="n"/>
    </row>
    <row r="7">
      <c r="A7" s="7" t="inlineStr">
        <is>
          <t>d1-0002</t>
        </is>
      </c>
      <c r="B7" s="11" t="inlineStr">
        <is>
          <t>Span</t>
        </is>
      </c>
      <c r="C7" s="7" t="inlineStr">
        <is>
          <t>lifespan</t>
        </is>
      </c>
      <c r="D7" s="7" t="inlineStr">
        <is>
          <t>3896 B.C.E. – 2984 B.C.E.</t>
        </is>
      </c>
      <c r="E7" s="7" t="n"/>
      <c r="F7" s="7" t="inlineStr">
        <is>
          <t>3896 BCE</t>
        </is>
      </c>
      <c r="G7" s="7" t="inlineStr">
        <is>
          <t>Exact</t>
        </is>
      </c>
      <c r="H7" s="7" t="inlineStr">
        <is>
          <t>2984 BCE</t>
        </is>
      </c>
      <c r="I7" s="7" t="inlineStr">
        <is>
          <t>Exact</t>
        </is>
      </c>
      <c r="J7" s="7" t="inlineStr">
        <is>
          <t>912 years</t>
        </is>
      </c>
      <c r="K7" s="2" t="inlineStr">
        <is>
          <t>Life of Seth</t>
        </is>
      </c>
      <c r="L7" s="2" t="n"/>
      <c r="M7" s="7" t="inlineStr">
        <is>
          <t>Seth: from Birth of Seth (3896 B.C.E.) to Death of Seth (2984 B.C.E.). Dates as given in the cited jw.org publications.</t>
        </is>
      </c>
      <c r="N7" s="7" t="n"/>
      <c r="O7" s="8" t="inlineStr">
        <is>
          <t>Bible</t>
        </is>
      </c>
      <c r="P7" s="7" t="inlineStr">
        <is>
          <t>bible.patriarch</t>
        </is>
      </c>
      <c r="Q7" s="7" t="inlineStr">
        <is>
          <t>lifespan</t>
        </is>
      </c>
      <c r="R7" s="7" t="inlineStr">
        <is>
          <t>Seth</t>
        </is>
      </c>
      <c r="S7" s="7" t="n"/>
      <c r="T7" s="7" t="inlineStr">
        <is>
          <t>Gen. 5:3; Gen. 5:8</t>
        </is>
      </c>
      <c r="U7" s="7" t="inlineStr">
        <is>
          <t>ஆதி. 5:3</t>
        </is>
      </c>
      <c r="V7" s="7" t="n">
        <v>2</v>
      </c>
      <c r="W7" s="7" t="inlineStr">
        <is>
          <t>Study Number 3—Measuring Events in the Stream of Time</t>
        </is>
      </c>
      <c r="X7" s="9" t="inlineStr">
        <is>
          <t>open</t>
        </is>
      </c>
      <c r="Y7" s="9" t="inlineStr">
        <is>
          <t>open</t>
        </is>
      </c>
      <c r="Z7" s="7" t="inlineStr">
        <is>
          <t>https://wol.jw.org/en/wol/d/r1/lp-e/1101990130
https://wol.jw.org/en/wol/d/r1/lp-e/1200003911</t>
        </is>
      </c>
      <c r="AA7" s="7" t="n">
        <v>0</v>
      </c>
      <c r="AB7" s="7" t="n"/>
      <c r="AC7" s="7" t="n">
        <v>0</v>
      </c>
      <c r="AD7" s="7" t="n"/>
      <c r="AE7" s="7" t="inlineStr">
        <is>
          <t>Built from b1-0004 (start) and b1-0011 (end).</t>
        </is>
      </c>
      <c r="AF7" s="7" t="inlineStr">
        <is>
          <t>b1-0004</t>
        </is>
      </c>
      <c r="AG7" s="7" t="inlineStr">
        <is>
          <t>b1-0011</t>
        </is>
      </c>
      <c r="AH7" s="7" t="n"/>
      <c r="AI7" s="7" t="n"/>
      <c r="AJ7" s="7" t="n"/>
      <c r="AK7" s="7" t="inlineStr">
        <is>
          <t>pre-flood-patriarchs #2 (item); messianic-line #2 (item)</t>
        </is>
      </c>
      <c r="AL7" s="7" t="n"/>
      <c r="AM7" s="7" t="n">
        <v>-3896</v>
      </c>
      <c r="AN7" s="10" t="n"/>
      <c r="AO7" s="10" t="n"/>
      <c r="AP7" s="10" t="n"/>
      <c r="AQ7" s="10" t="n"/>
    </row>
    <row r="8">
      <c r="A8" s="7" t="inlineStr">
        <is>
          <t>b1-0005</t>
        </is>
      </c>
      <c r="B8" s="7" t="inlineStr">
        <is>
          <t>Point</t>
        </is>
      </c>
      <c r="C8" s="7" t="n"/>
      <c r="D8" s="7" t="inlineStr">
        <is>
          <t>3566 B.C.E.</t>
        </is>
      </c>
      <c r="E8" s="7" t="n"/>
      <c r="F8" s="7" t="inlineStr">
        <is>
          <t>3566 BCE</t>
        </is>
      </c>
      <c r="G8" s="7" t="inlineStr">
        <is>
          <t>Exact</t>
        </is>
      </c>
      <c r="H8" s="7" t="n"/>
      <c r="I8" s="7" t="n"/>
      <c r="J8" s="7" t="n"/>
      <c r="K8" s="2" t="inlineStr">
        <is>
          <t>Birth of Jared</t>
        </is>
      </c>
      <c r="L8" s="2" t="n"/>
      <c r="M8" s="7" t="inlineStr">
        <is>
          <t>Jared, son of Mahalalel and father of Enoch, is born. His life span of 962 years is second only to his grandson Methuselah's.</t>
        </is>
      </c>
      <c r="N8" s="7" t="n"/>
      <c r="O8" s="8" t="inlineStr">
        <is>
          <t>Bible</t>
        </is>
      </c>
      <c r="P8" s="7" t="inlineStr">
        <is>
          <t>bible.patriarch</t>
        </is>
      </c>
      <c r="Q8" s="7" t="inlineStr">
        <is>
          <t>birth</t>
        </is>
      </c>
      <c r="R8" s="7" t="inlineStr">
        <is>
          <t>Jared; Mahalalel</t>
        </is>
      </c>
      <c r="S8" s="7" t="n"/>
      <c r="T8" s="7" t="inlineStr">
        <is>
          <t>Gen. 5:15-20</t>
        </is>
      </c>
      <c r="U8" s="7" t="n"/>
      <c r="V8" s="7" t="n">
        <v>1</v>
      </c>
      <c r="W8" s="7" t="inlineStr">
        <is>
          <t>Jared</t>
        </is>
      </c>
      <c r="X8" s="9" t="inlineStr">
        <is>
          <t>open</t>
        </is>
      </c>
      <c r="Y8" s="7" t="n"/>
      <c r="Z8" s="7" t="inlineStr">
        <is>
          <t>https://wol.jw.org/en/wol/d/r1/lp-e/1200002329</t>
        </is>
      </c>
      <c r="AA8" s="7" t="n">
        <v>0</v>
      </c>
      <c r="AB8" s="7" t="n"/>
      <c r="AC8" s="7" t="n">
        <v>0</v>
      </c>
      <c r="AD8" s="7" t="n"/>
      <c r="AE8" s="7" t="n"/>
      <c r="AF8" s="7" t="n"/>
      <c r="AG8" s="7" t="n"/>
      <c r="AH8" s="7" t="n"/>
      <c r="AI8" s="7" t="inlineStr">
        <is>
          <t>Covered by span – hide on chart</t>
        </is>
      </c>
      <c r="AJ8" s="7" t="inlineStr">
        <is>
          <t>start of Life of Jared (d1-0003)</t>
        </is>
      </c>
      <c r="AK8" s="7" t="n"/>
      <c r="AL8" s="7" t="n"/>
      <c r="AM8" s="7" t="n">
        <v>-3566</v>
      </c>
      <c r="AN8" s="10" t="n"/>
      <c r="AO8" s="10" t="n"/>
      <c r="AP8" s="10" t="n"/>
      <c r="AQ8" s="10" t="n"/>
    </row>
    <row r="9">
      <c r="A9" s="7" t="inlineStr">
        <is>
          <t>d1-0003</t>
        </is>
      </c>
      <c r="B9" s="11" t="inlineStr">
        <is>
          <t>Span</t>
        </is>
      </c>
      <c r="C9" s="7" t="inlineStr">
        <is>
          <t>lifespan</t>
        </is>
      </c>
      <c r="D9" s="7" t="inlineStr">
        <is>
          <t>3566 B.C.E. – 2604 B.C.E.</t>
        </is>
      </c>
      <c r="E9" s="7" t="n"/>
      <c r="F9" s="7" t="inlineStr">
        <is>
          <t>3566 BCE</t>
        </is>
      </c>
      <c r="G9" s="7" t="inlineStr">
        <is>
          <t>Exact</t>
        </is>
      </c>
      <c r="H9" s="7" t="inlineStr">
        <is>
          <t>2604 BCE</t>
        </is>
      </c>
      <c r="I9" s="7" t="inlineStr">
        <is>
          <t>Exact</t>
        </is>
      </c>
      <c r="J9" s="7" t="inlineStr">
        <is>
          <t>962 years</t>
        </is>
      </c>
      <c r="K9" s="2" t="inlineStr">
        <is>
          <t>Life of Jared</t>
        </is>
      </c>
      <c r="L9" s="2" t="n"/>
      <c r="M9" s="7" t="inlineStr">
        <is>
          <t>Jared: from Birth of Jared (3566 B.C.E.) to Death of Jared (2604 B.C.E.). Dates as given in the cited jw.org publications.</t>
        </is>
      </c>
      <c r="N9" s="7" t="n"/>
      <c r="O9" s="8" t="inlineStr">
        <is>
          <t>Bible</t>
        </is>
      </c>
      <c r="P9" s="7" t="inlineStr">
        <is>
          <t>bible.patriarch</t>
        </is>
      </c>
      <c r="Q9" s="7" t="inlineStr">
        <is>
          <t>lifespan</t>
        </is>
      </c>
      <c r="R9" s="7" t="inlineStr">
        <is>
          <t>Jared</t>
        </is>
      </c>
      <c r="S9" s="7" t="n"/>
      <c r="T9" s="7" t="inlineStr">
        <is>
          <t>Gen. 5:15-20; Gen. 5:20</t>
        </is>
      </c>
      <c r="U9" s="7" t="n"/>
      <c r="V9" s="7" t="n">
        <v>1</v>
      </c>
      <c r="W9" s="7" t="inlineStr">
        <is>
          <t>Jared</t>
        </is>
      </c>
      <c r="X9" s="9" t="inlineStr">
        <is>
          <t>open</t>
        </is>
      </c>
      <c r="Y9" s="7" t="n"/>
      <c r="Z9" s="7" t="inlineStr">
        <is>
          <t>https://wol.jw.org/en/wol/d/r1/lp-e/1200002329</t>
        </is>
      </c>
      <c r="AA9" s="7" t="n">
        <v>0</v>
      </c>
      <c r="AB9" s="7" t="n"/>
      <c r="AC9" s="7" t="n">
        <v>0</v>
      </c>
      <c r="AD9" s="7" t="n"/>
      <c r="AE9" s="7" t="inlineStr">
        <is>
          <t>Built from b1-0005 (start) and b1-0013 (end).</t>
        </is>
      </c>
      <c r="AF9" s="7" t="inlineStr">
        <is>
          <t>b1-0005</t>
        </is>
      </c>
      <c r="AG9" s="7" t="inlineStr">
        <is>
          <t>b1-0013</t>
        </is>
      </c>
      <c r="AH9" s="7" t="n"/>
      <c r="AI9" s="7" t="n"/>
      <c r="AJ9" s="7" t="n"/>
      <c r="AK9" s="7" t="inlineStr">
        <is>
          <t>pre-flood-patriarchs #3 (item); messianic-line #6 (item)</t>
        </is>
      </c>
      <c r="AL9" s="7" t="n"/>
      <c r="AM9" s="7" t="n">
        <v>-3566</v>
      </c>
      <c r="AN9" s="10" t="n"/>
      <c r="AO9" s="10" t="n"/>
      <c r="AP9" s="10" t="n"/>
      <c r="AQ9" s="10" t="n"/>
    </row>
    <row r="10">
      <c r="A10" s="7" t="inlineStr">
        <is>
          <t>b1-0006</t>
        </is>
      </c>
      <c r="B10" s="7" t="inlineStr">
        <is>
          <t>Point</t>
        </is>
      </c>
      <c r="C10" s="7" t="n"/>
      <c r="D10" s="7" t="inlineStr">
        <is>
          <t>3404 B.C.E.</t>
        </is>
      </c>
      <c r="E10" s="7" t="inlineStr">
        <is>
          <t>பொ.ச.மு. 3404</t>
        </is>
      </c>
      <c r="F10" s="7" t="inlineStr">
        <is>
          <t>3404 BCE</t>
        </is>
      </c>
      <c r="G10" s="7" t="inlineStr">
        <is>
          <t>Exact</t>
        </is>
      </c>
      <c r="H10" s="7" t="n"/>
      <c r="I10" s="7" t="n"/>
      <c r="J10" s="7" t="n"/>
      <c r="K10" s="2" t="inlineStr">
        <is>
          <t>Birth of righteous Enoch</t>
        </is>
      </c>
      <c r="L10" s="2" t="inlineStr">
        <is>
          <t>நீதிமான் ஏனோக்கின் பிறப்பு</t>
        </is>
      </c>
      <c r="M10" s="7" t="inlineStr">
        <is>
          <t>Enoch is born to Jared when Jared is 162 years old. Enoch became known for walking with the true God.</t>
        </is>
      </c>
      <c r="N10" s="7" t="n"/>
      <c r="O10" s="8" t="inlineStr">
        <is>
          <t>Bible</t>
        </is>
      </c>
      <c r="P10" s="7" t="inlineStr">
        <is>
          <t>bible.patriarch</t>
        </is>
      </c>
      <c r="Q10" s="7" t="inlineStr">
        <is>
          <t>birth</t>
        </is>
      </c>
      <c r="R10" s="7" t="inlineStr">
        <is>
          <t>Enoch; Jared</t>
        </is>
      </c>
      <c r="S10" s="7" t="n"/>
      <c r="T10" s="7" t="inlineStr">
        <is>
          <t>Gen. 5:18</t>
        </is>
      </c>
      <c r="U10" s="7" t="inlineStr">
        <is>
          <t>ஆதி. 5:18</t>
        </is>
      </c>
      <c r="V10" s="7" t="n">
        <v>1</v>
      </c>
      <c r="W10" s="7" t="inlineStr">
        <is>
          <t>Study Number 3—Measuring Events in the Stream of Time</t>
        </is>
      </c>
      <c r="X10" s="9" t="inlineStr">
        <is>
          <t>open</t>
        </is>
      </c>
      <c r="Y10" s="9" t="inlineStr">
        <is>
          <t>open</t>
        </is>
      </c>
      <c r="Z10" s="7" t="inlineStr">
        <is>
          <t>https://wol.jw.org/en/wol/d/r1/lp-e/1101990130</t>
        </is>
      </c>
      <c r="AA10" s="7" t="n">
        <v>0</v>
      </c>
      <c r="AB10" s="7" t="n"/>
      <c r="AC10" s="7" t="n">
        <v>0</v>
      </c>
      <c r="AD10" s="7" t="n"/>
      <c r="AE10" s="7" t="n"/>
      <c r="AF10" s="7" t="n"/>
      <c r="AG10" s="7" t="n"/>
      <c r="AH10" s="7" t="n"/>
      <c r="AI10" s="7" t="inlineStr">
        <is>
          <t>Covered by span – hide on chart</t>
        </is>
      </c>
      <c r="AJ10" s="7" t="inlineStr">
        <is>
          <t>start of Life of Enoch (until God took him) (d1-0004)</t>
        </is>
      </c>
      <c r="AK10" s="7" t="n"/>
      <c r="AL10" s="7" t="n"/>
      <c r="AM10" s="7" t="n">
        <v>-3404</v>
      </c>
      <c r="AN10" s="10" t="n"/>
      <c r="AO10" s="10" t="n"/>
      <c r="AP10" s="10" t="n"/>
      <c r="AQ10" s="10" t="n"/>
    </row>
    <row r="11">
      <c r="A11" s="7" t="inlineStr">
        <is>
          <t>d1-0004</t>
        </is>
      </c>
      <c r="B11" s="11" t="inlineStr">
        <is>
          <t>Span</t>
        </is>
      </c>
      <c r="C11" s="7" t="inlineStr">
        <is>
          <t>lifespan</t>
        </is>
      </c>
      <c r="D11" s="7" t="inlineStr">
        <is>
          <t>3404 B.C.E. – 3039 B.C.E.</t>
        </is>
      </c>
      <c r="E11" s="7" t="inlineStr">
        <is>
          <t>பொ.ச.மு. 3404 – பொ.ச.மு. 3039</t>
        </is>
      </c>
      <c r="F11" s="7" t="inlineStr">
        <is>
          <t>3404 BCE</t>
        </is>
      </c>
      <c r="G11" s="7" t="inlineStr">
        <is>
          <t>Exact</t>
        </is>
      </c>
      <c r="H11" s="7" t="inlineStr">
        <is>
          <t>3039 BCE</t>
        </is>
      </c>
      <c r="I11" s="7" t="inlineStr">
        <is>
          <t>Exact</t>
        </is>
      </c>
      <c r="J11" s="7" t="inlineStr">
        <is>
          <t>365 years</t>
        </is>
      </c>
      <c r="K11" s="2" t="inlineStr">
        <is>
          <t>Life of Enoch (until God took him)</t>
        </is>
      </c>
      <c r="L11" s="2" t="n"/>
      <c r="M11" s="7" t="inlineStr">
        <is>
          <t>Enoch: from Birth of righteous Enoch (3404 B.C.E.) to Transference of Enoch; end of his prophesying (3039 B.C.E.). Dates as given in the cited jw.org publications.</t>
        </is>
      </c>
      <c r="N11" s="7" t="n"/>
      <c r="O11" s="8" t="inlineStr">
        <is>
          <t>Bible</t>
        </is>
      </c>
      <c r="P11" s="7" t="inlineStr">
        <is>
          <t>bible.patriarch</t>
        </is>
      </c>
      <c r="Q11" s="7" t="inlineStr">
        <is>
          <t>lifespan</t>
        </is>
      </c>
      <c r="R11" s="7" t="inlineStr">
        <is>
          <t>Enoch</t>
        </is>
      </c>
      <c r="S11" s="7" t="n"/>
      <c r="T11" s="7" t="inlineStr">
        <is>
          <t>Gen. 5:18; Gen. 5:23, 24; Jude 14</t>
        </is>
      </c>
      <c r="U11" s="7" t="inlineStr">
        <is>
          <t>ஆதி. 5:18; ஆதி. 5:23, 24; யூ. 14</t>
        </is>
      </c>
      <c r="V11" s="7" t="n">
        <v>1</v>
      </c>
      <c r="W11" s="7" t="inlineStr">
        <is>
          <t>Study Number 3—Measuring Events in the Stream of Time</t>
        </is>
      </c>
      <c r="X11" s="9" t="inlineStr">
        <is>
          <t>open</t>
        </is>
      </c>
      <c r="Y11" s="9" t="inlineStr">
        <is>
          <t>open</t>
        </is>
      </c>
      <c r="Z11" s="7" t="inlineStr">
        <is>
          <t>https://wol.jw.org/en/wol/d/r1/lp-e/1101990130</t>
        </is>
      </c>
      <c r="AA11" s="7" t="n">
        <v>0</v>
      </c>
      <c r="AB11" s="7" t="n"/>
      <c r="AC11" s="7" t="n">
        <v>0</v>
      </c>
      <c r="AD11" s="7" t="n"/>
      <c r="AE11" s="7" t="inlineStr">
        <is>
          <t>Built from b1-0006 (start) and b1-0010 (end).</t>
        </is>
      </c>
      <c r="AF11" s="7" t="inlineStr">
        <is>
          <t>b1-0006</t>
        </is>
      </c>
      <c r="AG11" s="7" t="inlineStr">
        <is>
          <t>b1-0010</t>
        </is>
      </c>
      <c r="AH11" s="7" t="n"/>
      <c r="AI11" s="7" t="n"/>
      <c r="AJ11" s="7" t="n"/>
      <c r="AK11" s="7" t="inlineStr">
        <is>
          <t>pre-flood-patriarchs #4 (item); messianic-line #7 (item)</t>
        </is>
      </c>
      <c r="AL11" s="7" t="n"/>
      <c r="AM11" s="7" t="n">
        <v>-3404</v>
      </c>
      <c r="AN11" s="10" t="n"/>
      <c r="AO11" s="10" t="n"/>
      <c r="AP11" s="10" t="n"/>
      <c r="AQ11" s="10" t="n"/>
    </row>
    <row r="12">
      <c r="A12" s="7" t="inlineStr">
        <is>
          <t>b1-0007</t>
        </is>
      </c>
      <c r="B12" s="7" t="inlineStr">
        <is>
          <t>Point</t>
        </is>
      </c>
      <c r="C12" s="7" t="n"/>
      <c r="D12" s="7" t="inlineStr">
        <is>
          <t>3339 B.C.E.</t>
        </is>
      </c>
      <c r="E12" s="7" t="inlineStr">
        <is>
          <t>பொ.ச.மு. 3339</t>
        </is>
      </c>
      <c r="F12" s="7" t="inlineStr">
        <is>
          <t>3339 BCE</t>
        </is>
      </c>
      <c r="G12" s="7" t="inlineStr">
        <is>
          <t>Exact</t>
        </is>
      </c>
      <c r="H12" s="7" t="n"/>
      <c r="I12" s="7" t="n"/>
      <c r="J12" s="7" t="n"/>
      <c r="K12" s="2" t="inlineStr">
        <is>
          <t>Birth of Methuselah</t>
        </is>
      </c>
      <c r="L12" s="2" t="inlineStr">
        <is>
          <t>மெத்தூசலாவின் பிறப்பு</t>
        </is>
      </c>
      <c r="M12" s="7" t="inlineStr">
        <is>
          <t>Methuselah is born to Enoch when Enoch is 65 years old.</t>
        </is>
      </c>
      <c r="N12" s="7" t="n"/>
      <c r="O12" s="8" t="inlineStr">
        <is>
          <t>Bible</t>
        </is>
      </c>
      <c r="P12" s="7" t="inlineStr">
        <is>
          <t>bible.patriarch</t>
        </is>
      </c>
      <c r="Q12" s="7" t="inlineStr">
        <is>
          <t>birth</t>
        </is>
      </c>
      <c r="R12" s="7" t="inlineStr">
        <is>
          <t>Methuselah; Enoch</t>
        </is>
      </c>
      <c r="S12" s="7" t="n"/>
      <c r="T12" s="7" t="inlineStr">
        <is>
          <t>Gen. 5:21</t>
        </is>
      </c>
      <c r="U12" s="7" t="inlineStr">
        <is>
          <t>ஆதி. 5:21</t>
        </is>
      </c>
      <c r="V12" s="7" t="n">
        <v>1</v>
      </c>
      <c r="W12" s="7" t="inlineStr">
        <is>
          <t>Study Number 3—Measuring Events in the Stream of Time</t>
        </is>
      </c>
      <c r="X12" s="9" t="inlineStr">
        <is>
          <t>open</t>
        </is>
      </c>
      <c r="Y12" s="9" t="inlineStr">
        <is>
          <t>open</t>
        </is>
      </c>
      <c r="Z12" s="7" t="inlineStr">
        <is>
          <t>https://wol.jw.org/en/wol/d/r1/lp-e/1101990130</t>
        </is>
      </c>
      <c r="AA12" s="7" t="n">
        <v>0</v>
      </c>
      <c r="AB12" s="7" t="n"/>
      <c r="AC12" s="7" t="n">
        <v>0</v>
      </c>
      <c r="AD12" s="7" t="n"/>
      <c r="AE12" s="7" t="n"/>
      <c r="AF12" s="7" t="n"/>
      <c r="AG12" s="7" t="n"/>
      <c r="AH12" s="7" t="n"/>
      <c r="AI12" s="7" t="inlineStr">
        <is>
          <t>Covered by span – hide on chart</t>
        </is>
      </c>
      <c r="AJ12" s="7" t="inlineStr">
        <is>
          <t>start of Life of Methuselah (d1-0005)</t>
        </is>
      </c>
      <c r="AK12" s="7" t="n"/>
      <c r="AL12" s="7" t="n"/>
      <c r="AM12" s="7" t="n">
        <v>-3339</v>
      </c>
      <c r="AN12" s="10" t="n"/>
      <c r="AO12" s="10" t="n"/>
      <c r="AP12" s="10" t="n"/>
      <c r="AQ12" s="10" t="n"/>
    </row>
    <row r="13">
      <c r="A13" s="7" t="inlineStr">
        <is>
          <t>d1-0005</t>
        </is>
      </c>
      <c r="B13" s="11" t="inlineStr">
        <is>
          <t>Span</t>
        </is>
      </c>
      <c r="C13" s="7" t="inlineStr">
        <is>
          <t>lifespan</t>
        </is>
      </c>
      <c r="D13" s="7" t="inlineStr">
        <is>
          <t>3339 B.C.E. – 2370 B.C.E.</t>
        </is>
      </c>
      <c r="E13" s="7" t="inlineStr">
        <is>
          <t>பொ.ச.மு. 3339 – பொ.ச.மு. 2370</t>
        </is>
      </c>
      <c r="F13" s="7" t="inlineStr">
        <is>
          <t>3339 BCE</t>
        </is>
      </c>
      <c r="G13" s="7" t="inlineStr">
        <is>
          <t>Exact</t>
        </is>
      </c>
      <c r="H13" s="7" t="inlineStr">
        <is>
          <t>2370 BCE</t>
        </is>
      </c>
      <c r="I13" s="7" t="inlineStr">
        <is>
          <t>Exact</t>
        </is>
      </c>
      <c r="J13" s="7" t="inlineStr">
        <is>
          <t>969 years</t>
        </is>
      </c>
      <c r="K13" s="2" t="inlineStr">
        <is>
          <t>Life of Methuselah</t>
        </is>
      </c>
      <c r="L13" s="2" t="n"/>
      <c r="M13" s="7" t="inlineStr">
        <is>
          <t>Methuselah: from Birth of Methuselah (3339 B.C.E.) to Death of Methuselah (2370 B.C.E.). Dates as given in the cited jw.org publications.</t>
        </is>
      </c>
      <c r="N13" s="7" t="n"/>
      <c r="O13" s="8" t="inlineStr">
        <is>
          <t>Bible</t>
        </is>
      </c>
      <c r="P13" s="7" t="inlineStr">
        <is>
          <t>bible.patriarch</t>
        </is>
      </c>
      <c r="Q13" s="7" t="inlineStr">
        <is>
          <t>lifespan</t>
        </is>
      </c>
      <c r="R13" s="7" t="inlineStr">
        <is>
          <t>Methuselah</t>
        </is>
      </c>
      <c r="S13" s="7" t="n"/>
      <c r="T13" s="7" t="inlineStr">
        <is>
          <t>Gen. 5:21; Gen. 5:27</t>
        </is>
      </c>
      <c r="U13" s="7" t="inlineStr">
        <is>
          <t>ஆதி. 5:21; ஆதி. 5:27</t>
        </is>
      </c>
      <c r="V13" s="7" t="n">
        <v>2</v>
      </c>
      <c r="W13" s="7" t="inlineStr">
        <is>
          <t>Study Number 3—Measuring Events in the Stream of Time</t>
        </is>
      </c>
      <c r="X13" s="9" t="inlineStr">
        <is>
          <t>open</t>
        </is>
      </c>
      <c r="Y13" s="9" t="inlineStr">
        <is>
          <t>open</t>
        </is>
      </c>
      <c r="Z13" s="7" t="inlineStr">
        <is>
          <t>https://wol.jw.org/en/wol/d/r1/lp-e/1101990130
https://wol.jw.org/en/wol/d/r1/lp-e/1200003022</t>
        </is>
      </c>
      <c r="AA13" s="7" t="n">
        <v>0</v>
      </c>
      <c r="AB13" s="7" t="n"/>
      <c r="AC13" s="7" t="n">
        <v>0</v>
      </c>
      <c r="AD13" s="7" t="n"/>
      <c r="AE13" s="7" t="inlineStr">
        <is>
          <t>Built from b1-0007 (start) and b1-0018 (end).</t>
        </is>
      </c>
      <c r="AF13" s="7" t="inlineStr">
        <is>
          <t>b1-0007</t>
        </is>
      </c>
      <c r="AG13" s="7" t="inlineStr">
        <is>
          <t>b1-0018</t>
        </is>
      </c>
      <c r="AH13" s="7" t="n"/>
      <c r="AI13" s="7" t="n"/>
      <c r="AJ13" s="7" t="n"/>
      <c r="AK13" s="7" t="inlineStr">
        <is>
          <t>pre-flood-patriarchs #5 (item); messianic-line #8 (item)</t>
        </is>
      </c>
      <c r="AL13" s="7" t="n"/>
      <c r="AM13" s="7" t="n">
        <v>-3339</v>
      </c>
      <c r="AN13" s="10" t="n"/>
      <c r="AO13" s="10" t="n"/>
      <c r="AP13" s="10" t="n"/>
      <c r="AQ13" s="10" t="n"/>
    </row>
    <row r="14">
      <c r="A14" s="7" t="inlineStr">
        <is>
          <t>b1-0008</t>
        </is>
      </c>
      <c r="B14" s="7" t="inlineStr">
        <is>
          <t>Point</t>
        </is>
      </c>
      <c r="C14" s="7" t="n"/>
      <c r="D14" s="7" t="inlineStr">
        <is>
          <t>3152 B.C.E.</t>
        </is>
      </c>
      <c r="E14" s="7" t="inlineStr">
        <is>
          <t>பொ.ச.மு. 3152</t>
        </is>
      </c>
      <c r="F14" s="7" t="inlineStr">
        <is>
          <t>3152 BCE</t>
        </is>
      </c>
      <c r="G14" s="7" t="inlineStr">
        <is>
          <t>Exact</t>
        </is>
      </c>
      <c r="H14" s="7" t="n"/>
      <c r="I14" s="7" t="n"/>
      <c r="J14" s="7" t="n"/>
      <c r="K14" s="2" t="inlineStr">
        <is>
          <t>Birth of Lamech</t>
        </is>
      </c>
      <c r="L14" s="2" t="inlineStr">
        <is>
          <t>லாமேக்கின் பிறப்பு</t>
        </is>
      </c>
      <c r="M14" s="7" t="inlineStr">
        <is>
          <t>Lamech, the father of Noah, is born to Methuselah.</t>
        </is>
      </c>
      <c r="N14" s="7" t="n"/>
      <c r="O14" s="8" t="inlineStr">
        <is>
          <t>Bible</t>
        </is>
      </c>
      <c r="P14" s="7" t="inlineStr">
        <is>
          <t>bible.patriarch</t>
        </is>
      </c>
      <c r="Q14" s="7" t="inlineStr">
        <is>
          <t>birth</t>
        </is>
      </c>
      <c r="R14" s="7" t="inlineStr">
        <is>
          <t>Lamech; Methuselah</t>
        </is>
      </c>
      <c r="S14" s="7" t="n"/>
      <c r="T14" s="7" t="inlineStr">
        <is>
          <t>Gen. 5:25</t>
        </is>
      </c>
      <c r="U14" s="7" t="inlineStr">
        <is>
          <t>ஆதி. 5:25</t>
        </is>
      </c>
      <c r="V14" s="7" t="n">
        <v>1</v>
      </c>
      <c r="W14" s="7" t="inlineStr">
        <is>
          <t>Study Number 3—Measuring Events in the Stream of Time</t>
        </is>
      </c>
      <c r="X14" s="9" t="inlineStr">
        <is>
          <t>open</t>
        </is>
      </c>
      <c r="Y14" s="9" t="inlineStr">
        <is>
          <t>open</t>
        </is>
      </c>
      <c r="Z14" s="7" t="inlineStr">
        <is>
          <t>https://wol.jw.org/en/wol/d/r1/lp-e/1101990130</t>
        </is>
      </c>
      <c r="AA14" s="7" t="n">
        <v>0</v>
      </c>
      <c r="AB14" s="7" t="n"/>
      <c r="AC14" s="7" t="n">
        <v>0</v>
      </c>
      <c r="AD14" s="7" t="n"/>
      <c r="AE14" s="7" t="n"/>
      <c r="AF14" s="7" t="n"/>
      <c r="AG14" s="7" t="n"/>
      <c r="AH14" s="7" t="n"/>
      <c r="AI14" s="7" t="n"/>
      <c r="AJ14" s="7" t="n"/>
      <c r="AK14" s="7" t="inlineStr">
        <is>
          <t>messianic-line #9 (item)</t>
        </is>
      </c>
      <c r="AL14" s="7" t="n"/>
      <c r="AM14" s="7" t="n">
        <v>-3152</v>
      </c>
      <c r="AN14" s="10" t="n"/>
      <c r="AO14" s="10" t="n"/>
      <c r="AP14" s="10" t="n"/>
      <c r="AQ14" s="10" t="n"/>
    </row>
    <row r="15">
      <c r="A15" s="7" t="inlineStr">
        <is>
          <t>b1-0009</t>
        </is>
      </c>
      <c r="B15" s="7" t="inlineStr">
        <is>
          <t>Point</t>
        </is>
      </c>
      <c r="C15" s="7" t="n"/>
      <c r="D15" s="7" t="inlineStr">
        <is>
          <t>3096 B.C.E.</t>
        </is>
      </c>
      <c r="E15" s="7" t="inlineStr">
        <is>
          <t>பொ.ச.மு. 3096</t>
        </is>
      </c>
      <c r="F15" s="7" t="inlineStr">
        <is>
          <t>3096 BCE</t>
        </is>
      </c>
      <c r="G15" s="7" t="inlineStr">
        <is>
          <t>Exact</t>
        </is>
      </c>
      <c r="H15" s="7" t="n"/>
      <c r="I15" s="7" t="n"/>
      <c r="J15" s="7" t="n"/>
      <c r="K15" s="2" t="inlineStr">
        <is>
          <t>Death of Adam</t>
        </is>
      </c>
      <c r="L15" s="2" t="inlineStr">
        <is>
          <t>ஆதாமின் மரணம்</t>
        </is>
      </c>
      <c r="M15" s="7" t="inlineStr">
        <is>
          <t>After living 930 years, Adam dies and returns to the ground, as Jehovah had said would happen because of his sin.</t>
        </is>
      </c>
      <c r="N15" s="7" t="n"/>
      <c r="O15" s="8" t="inlineStr">
        <is>
          <t>Bible</t>
        </is>
      </c>
      <c r="P15" s="7" t="inlineStr">
        <is>
          <t>bible.patriarch</t>
        </is>
      </c>
      <c r="Q15" s="7" t="inlineStr">
        <is>
          <t>death</t>
        </is>
      </c>
      <c r="R15" s="7" t="inlineStr">
        <is>
          <t>Adam</t>
        </is>
      </c>
      <c r="S15" s="7" t="n"/>
      <c r="T15" s="7" t="inlineStr">
        <is>
          <t>Gen. 5:5</t>
        </is>
      </c>
      <c r="U15" s="7" t="inlineStr">
        <is>
          <t>ஆதி. 5:5</t>
        </is>
      </c>
      <c r="V15" s="7" t="n">
        <v>2</v>
      </c>
      <c r="W15" s="7" t="inlineStr">
        <is>
          <t>Study Number 3—Measuring Events in the Stream of Time</t>
        </is>
      </c>
      <c r="X15" s="9" t="inlineStr">
        <is>
          <t>open</t>
        </is>
      </c>
      <c r="Y15" s="9" t="inlineStr">
        <is>
          <t>open</t>
        </is>
      </c>
      <c r="Z15" s="7" t="inlineStr">
        <is>
          <t>https://wol.jw.org/en/wol/d/r1/lp-e/1101990130
https://wol.jw.org/en/wol/d/r1/lp-e/1200000089</t>
        </is>
      </c>
      <c r="AA15" s="7" t="n">
        <v>0</v>
      </c>
      <c r="AB15" s="7" t="n"/>
      <c r="AC15" s="7" t="n">
        <v>0</v>
      </c>
      <c r="AD15" s="7" t="n"/>
      <c r="AE15" s="7" t="n"/>
      <c r="AF15" s="7" t="n"/>
      <c r="AG15" s="7" t="n"/>
      <c r="AH15" s="7" t="n"/>
      <c r="AI15" s="7" t="inlineStr">
        <is>
          <t>Covered by span – hide on chart</t>
        </is>
      </c>
      <c r="AJ15" s="7" t="inlineStr">
        <is>
          <t>end of Life of Adam (d1-0001)</t>
        </is>
      </c>
      <c r="AK15" s="7" t="n"/>
      <c r="AL15" s="7" t="n"/>
      <c r="AM15" s="7" t="n">
        <v>-3096</v>
      </c>
      <c r="AN15" s="10" t="n"/>
      <c r="AO15" s="10" t="n"/>
      <c r="AP15" s="10" t="n"/>
      <c r="AQ15" s="10" t="n"/>
    </row>
    <row r="16">
      <c r="A16" s="7" t="inlineStr">
        <is>
          <t>b1-0010</t>
        </is>
      </c>
      <c r="B16" s="7" t="inlineStr">
        <is>
          <t>Point</t>
        </is>
      </c>
      <c r="C16" s="7" t="n"/>
      <c r="D16" s="7" t="inlineStr">
        <is>
          <t>3039 B.C.E.</t>
        </is>
      </c>
      <c r="E16" s="7" t="inlineStr">
        <is>
          <t>பொ.ச.மு. 3039</t>
        </is>
      </c>
      <c r="F16" s="7" t="inlineStr">
        <is>
          <t>3039 BCE</t>
        </is>
      </c>
      <c r="G16" s="7" t="inlineStr">
        <is>
          <t>Exact</t>
        </is>
      </c>
      <c r="H16" s="7" t="n"/>
      <c r="I16" s="7" t="n"/>
      <c r="J16" s="7" t="n"/>
      <c r="K16" s="2" t="inlineStr">
        <is>
          <t>Transference of Enoch; end of his prophesying</t>
        </is>
      </c>
      <c r="L16" s="2" t="inlineStr">
        <is>
          <t>ஏனோக்கு எடுத்துக்கொள்ளப்படுகிறார்; அவர் தீர்க்கதரிசனம் உரைத்த காலம் முடிகிறது</t>
        </is>
      </c>
      <c r="M16" s="7" t="inlineStr">
        <is>
          <t>God takes Enoch, ending his period of prophesying against the ungodly. Enoch had walked with the true God.</t>
        </is>
      </c>
      <c r="N16" s="7" t="n"/>
      <c r="O16" s="8" t="inlineStr">
        <is>
          <t>Bible</t>
        </is>
      </c>
      <c r="P16" s="7" t="inlineStr">
        <is>
          <t>bible.prophet</t>
        </is>
      </c>
      <c r="Q16" s="7" t="inlineStr">
        <is>
          <t>death</t>
        </is>
      </c>
      <c r="R16" s="7" t="inlineStr">
        <is>
          <t>Enoch</t>
        </is>
      </c>
      <c r="S16" s="7" t="n"/>
      <c r="T16" s="7" t="inlineStr">
        <is>
          <t>Gen. 5:23, 24; Jude 14</t>
        </is>
      </c>
      <c r="U16" s="7" t="inlineStr">
        <is>
          <t>ஆதி. 5:23, 24; யூ. 14</t>
        </is>
      </c>
      <c r="V16" s="7" t="n">
        <v>1</v>
      </c>
      <c r="W16" s="7" t="inlineStr">
        <is>
          <t>Study Number 3—Measuring Events in the Stream of Time</t>
        </is>
      </c>
      <c r="X16" s="9" t="inlineStr">
        <is>
          <t>open</t>
        </is>
      </c>
      <c r="Y16" s="9" t="inlineStr">
        <is>
          <t>open</t>
        </is>
      </c>
      <c r="Z16" s="7" t="inlineStr">
        <is>
          <t>https://wol.jw.org/en/wol/d/r1/lp-e/1101990130</t>
        </is>
      </c>
      <c r="AA16" s="7" t="n">
        <v>0</v>
      </c>
      <c r="AB16" s="7" t="n"/>
      <c r="AC16" s="7" t="n">
        <v>0</v>
      </c>
      <c r="AD16" s="7" t="n"/>
      <c r="AE16" s="7" t="n"/>
      <c r="AF16" s="7" t="n"/>
      <c r="AG16" s="7" t="n"/>
      <c r="AH16" s="7" t="n"/>
      <c r="AI16" s="7" t="inlineStr">
        <is>
          <t>Covered by span – hide on chart</t>
        </is>
      </c>
      <c r="AJ16" s="7" t="inlineStr">
        <is>
          <t>end of Life of Enoch (until God took him) (d1-0004)</t>
        </is>
      </c>
      <c r="AK16" s="7" t="n"/>
      <c r="AL16" s="7" t="n"/>
      <c r="AM16" s="7" t="n">
        <v>-3039</v>
      </c>
      <c r="AN16" s="10" t="n"/>
      <c r="AO16" s="10" t="n"/>
      <c r="AP16" s="10" t="n"/>
      <c r="AQ16" s="10" t="n"/>
    </row>
    <row r="17">
      <c r="A17" s="7" t="inlineStr">
        <is>
          <t>b1-0011</t>
        </is>
      </c>
      <c r="B17" s="7" t="inlineStr">
        <is>
          <t>Point</t>
        </is>
      </c>
      <c r="C17" s="7" t="n"/>
      <c r="D17" s="7" t="inlineStr">
        <is>
          <t>2984 B.C.E.</t>
        </is>
      </c>
      <c r="E17" s="7" t="n"/>
      <c r="F17" s="7" t="inlineStr">
        <is>
          <t>2984 BCE</t>
        </is>
      </c>
      <c r="G17" s="7" t="inlineStr">
        <is>
          <t>Exact</t>
        </is>
      </c>
      <c r="H17" s="7" t="n"/>
      <c r="I17" s="7" t="n"/>
      <c r="J17" s="7" t="n"/>
      <c r="K17" s="2" t="inlineStr">
        <is>
          <t>Death of Seth</t>
        </is>
      </c>
      <c r="L17" s="2" t="n"/>
      <c r="M17" s="7" t="inlineStr">
        <is>
          <t>Seth dies at the age of 912.</t>
        </is>
      </c>
      <c r="N17" s="7" t="n"/>
      <c r="O17" s="8" t="inlineStr">
        <is>
          <t>Bible</t>
        </is>
      </c>
      <c r="P17" s="7" t="inlineStr">
        <is>
          <t>bible.patriarch</t>
        </is>
      </c>
      <c r="Q17" s="7" t="inlineStr">
        <is>
          <t>death</t>
        </is>
      </c>
      <c r="R17" s="7" t="inlineStr">
        <is>
          <t>Seth</t>
        </is>
      </c>
      <c r="S17" s="7" t="n"/>
      <c r="T17" s="7" t="inlineStr">
        <is>
          <t>Gen. 5:8</t>
        </is>
      </c>
      <c r="U17" s="7" t="n"/>
      <c r="V17" s="7" t="n">
        <v>1</v>
      </c>
      <c r="W17" s="7" t="inlineStr">
        <is>
          <t>Seth</t>
        </is>
      </c>
      <c r="X17" s="9" t="inlineStr">
        <is>
          <t>open</t>
        </is>
      </c>
      <c r="Y17" s="7" t="n"/>
      <c r="Z17" s="7" t="inlineStr">
        <is>
          <t>https://wol.jw.org/en/wol/d/r1/lp-e/1200003911</t>
        </is>
      </c>
      <c r="AA17" s="7" t="n">
        <v>0</v>
      </c>
      <c r="AB17" s="7" t="n"/>
      <c r="AC17" s="7" t="n">
        <v>0</v>
      </c>
      <c r="AD17" s="7" t="n"/>
      <c r="AE17" s="7" t="n"/>
      <c r="AF17" s="7" t="n"/>
      <c r="AG17" s="7" t="n"/>
      <c r="AH17" s="7" t="n"/>
      <c r="AI17" s="7" t="inlineStr">
        <is>
          <t>Covered by span – hide on chart</t>
        </is>
      </c>
      <c r="AJ17" s="7" t="inlineStr">
        <is>
          <t>end of Life of Seth (d1-0002)</t>
        </is>
      </c>
      <c r="AK17" s="7" t="n"/>
      <c r="AL17" s="7" t="n"/>
      <c r="AM17" s="7" t="n">
        <v>-2984</v>
      </c>
      <c r="AN17" s="10" t="n"/>
      <c r="AO17" s="10" t="n"/>
      <c r="AP17" s="10" t="n"/>
      <c r="AQ17" s="10" t="n"/>
    </row>
    <row r="18">
      <c r="A18" s="7" t="inlineStr">
        <is>
          <t>b1-0012</t>
        </is>
      </c>
      <c r="B18" s="7" t="inlineStr">
        <is>
          <t>Point</t>
        </is>
      </c>
      <c r="C18" s="7" t="n"/>
      <c r="D18" s="7" t="inlineStr">
        <is>
          <t>2970 B.C.E.</t>
        </is>
      </c>
      <c r="E18" s="7" t="inlineStr">
        <is>
          <t>பொ.ச.மு. 2970</t>
        </is>
      </c>
      <c r="F18" s="7" t="inlineStr">
        <is>
          <t>2970 BCE</t>
        </is>
      </c>
      <c r="G18" s="7" t="inlineStr">
        <is>
          <t>Exact</t>
        </is>
      </c>
      <c r="H18" s="7" t="n"/>
      <c r="I18" s="7" t="n"/>
      <c r="J18" s="7" t="n"/>
      <c r="K18" s="2" t="inlineStr">
        <is>
          <t>Birth of Noah</t>
        </is>
      </c>
      <c r="L18" s="2" t="inlineStr">
        <is>
          <t>நோவாவின் பிறப்பு</t>
        </is>
      </c>
      <c r="M18" s="7" t="inlineStr">
        <is>
          <t>Noah is born to Lamech, the tenth in line from Adam through Seth, 126 years after Adam's death. Lamech names him in hope of comfort from the cursed ground.</t>
        </is>
      </c>
      <c r="N18" s="7" t="n"/>
      <c r="O18" s="8" t="inlineStr">
        <is>
          <t>Bible</t>
        </is>
      </c>
      <c r="P18" s="7" t="inlineStr">
        <is>
          <t>bible.patriarch</t>
        </is>
      </c>
      <c r="Q18" s="7" t="inlineStr">
        <is>
          <t>birth</t>
        </is>
      </c>
      <c r="R18" s="7" t="inlineStr">
        <is>
          <t>Noah; Lamech</t>
        </is>
      </c>
      <c r="S18" s="7" t="n"/>
      <c r="T18" s="7" t="inlineStr">
        <is>
          <t>Gen. 5:28, 29</t>
        </is>
      </c>
      <c r="U18" s="7" t="inlineStr">
        <is>
          <t>ஆதி. 5:28, 29</t>
        </is>
      </c>
      <c r="V18" s="7" t="n">
        <v>2</v>
      </c>
      <c r="W18" s="7" t="inlineStr">
        <is>
          <t>Study Number 3—Measuring Events in the Stream of Time</t>
        </is>
      </c>
      <c r="X18" s="9" t="inlineStr">
        <is>
          <t>open</t>
        </is>
      </c>
      <c r="Y18" s="9" t="inlineStr">
        <is>
          <t>open</t>
        </is>
      </c>
      <c r="Z18" s="7" t="inlineStr">
        <is>
          <t>https://wol.jw.org/en/wol/d/r1/lp-e/1101990130
https://wol.jw.org/en/wol/d/r1/lp-e/1200003266</t>
        </is>
      </c>
      <c r="AA18" s="7" t="n">
        <v>0</v>
      </c>
      <c r="AB18" s="7" t="n"/>
      <c r="AC18" s="7" t="n">
        <v>0</v>
      </c>
      <c r="AD18" s="7" t="n"/>
      <c r="AE18" s="7" t="n"/>
      <c r="AF18" s="7" t="n"/>
      <c r="AG18" s="7" t="n"/>
      <c r="AH18" s="7" t="n"/>
      <c r="AI18" s="7" t="inlineStr">
        <is>
          <t>Covered by span – hide on chart</t>
        </is>
      </c>
      <c r="AJ18" s="7" t="inlineStr">
        <is>
          <t>start of Life of Noah (d1-0006)</t>
        </is>
      </c>
      <c r="AK18" s="7" t="n"/>
      <c r="AL18" s="7" t="n"/>
      <c r="AM18" s="7" t="n">
        <v>-2970</v>
      </c>
      <c r="AN18" s="10" t="n"/>
      <c r="AO18" s="10" t="n"/>
      <c r="AP18" s="10" t="n"/>
      <c r="AQ18" s="10" t="n"/>
    </row>
    <row r="19">
      <c r="A19" s="7" t="inlineStr">
        <is>
          <t>d1-0006</t>
        </is>
      </c>
      <c r="B19" s="11" t="inlineStr">
        <is>
          <t>Span</t>
        </is>
      </c>
      <c r="C19" s="7" t="inlineStr">
        <is>
          <t>lifespan</t>
        </is>
      </c>
      <c r="D19" s="7" t="inlineStr">
        <is>
          <t>2970 B.C.E. – 2020 B.C.E.</t>
        </is>
      </c>
      <c r="E19" s="7" t="inlineStr">
        <is>
          <t>பொ.ச.மு. 2970 – பொ.ச.மு. 2020</t>
        </is>
      </c>
      <c r="F19" s="7" t="inlineStr">
        <is>
          <t>2970 BCE</t>
        </is>
      </c>
      <c r="G19" s="7" t="inlineStr">
        <is>
          <t>Exact</t>
        </is>
      </c>
      <c r="H19" s="7" t="inlineStr">
        <is>
          <t>2020 BCE</t>
        </is>
      </c>
      <c r="I19" s="7" t="inlineStr">
        <is>
          <t>Exact</t>
        </is>
      </c>
      <c r="J19" s="7" t="inlineStr">
        <is>
          <t>950 years</t>
        </is>
      </c>
      <c r="K19" s="2" t="inlineStr">
        <is>
          <t>Life of Noah</t>
        </is>
      </c>
      <c r="L19" s="2" t="n"/>
      <c r="M19" s="7" t="inlineStr">
        <is>
          <t>Noah: from Birth of Noah (2970 B.C.E.) to Death of Noah (2020 B.C.E.). Dates as given in the cited jw.org publications.</t>
        </is>
      </c>
      <c r="N19" s="7" t="n"/>
      <c r="O19" s="8" t="inlineStr">
        <is>
          <t>Bible</t>
        </is>
      </c>
      <c r="P19" s="7" t="inlineStr">
        <is>
          <t>bible.patriarch</t>
        </is>
      </c>
      <c r="Q19" s="7" t="inlineStr">
        <is>
          <t>lifespan</t>
        </is>
      </c>
      <c r="R19" s="7" t="inlineStr">
        <is>
          <t>Noah</t>
        </is>
      </c>
      <c r="S19" s="7" t="n"/>
      <c r="T19" s="7" t="inlineStr">
        <is>
          <t>Gen. 5:28, 29; Gen. 9:28, 29</t>
        </is>
      </c>
      <c r="U19" s="7" t="inlineStr">
        <is>
          <t>ஆதி. 5:28, 29; ஆதி. 9:28, 29</t>
        </is>
      </c>
      <c r="V19" s="7" t="n">
        <v>2</v>
      </c>
      <c r="W19" s="7" t="inlineStr">
        <is>
          <t>Study Number 3—Measuring Events in the Stream of Time</t>
        </is>
      </c>
      <c r="X19" s="9" t="inlineStr">
        <is>
          <t>open</t>
        </is>
      </c>
      <c r="Y19" s="9" t="inlineStr">
        <is>
          <t>open</t>
        </is>
      </c>
      <c r="Z19" s="7" t="inlineStr">
        <is>
          <t>https://wol.jw.org/en/wol/d/r1/lp-e/1101990130
https://wol.jw.org/en/wol/d/r1/lp-e/1200003266</t>
        </is>
      </c>
      <c r="AA19" s="7" t="n">
        <v>0</v>
      </c>
      <c r="AB19" s="7" t="n"/>
      <c r="AC19" s="7" t="n">
        <v>0</v>
      </c>
      <c r="AD19" s="7" t="n"/>
      <c r="AE19" s="7" t="inlineStr">
        <is>
          <t>Built from b1-0012 (start) and b1-0031 (end).</t>
        </is>
      </c>
      <c r="AF19" s="7" t="inlineStr">
        <is>
          <t>b1-0012</t>
        </is>
      </c>
      <c r="AG19" s="7" t="inlineStr">
        <is>
          <t>b1-0031</t>
        </is>
      </c>
      <c r="AH19" s="7" t="n"/>
      <c r="AI19" s="7" t="n"/>
      <c r="AJ19" s="7" t="n"/>
      <c r="AK19" s="7" t="inlineStr">
        <is>
          <t>pre-flood-patriarchs #6 (item); messianic-line #10 (item)</t>
        </is>
      </c>
      <c r="AL19" s="7" t="n"/>
      <c r="AM19" s="7" t="n">
        <v>-2970</v>
      </c>
      <c r="AN19" s="10" t="n"/>
      <c r="AO19" s="10" t="n"/>
      <c r="AP19" s="10" t="n"/>
      <c r="AQ19" s="10" t="n"/>
    </row>
    <row r="20">
      <c r="A20" s="7" t="inlineStr">
        <is>
          <t>b1-0013</t>
        </is>
      </c>
      <c r="B20" s="7" t="inlineStr">
        <is>
          <t>Point</t>
        </is>
      </c>
      <c r="C20" s="7" t="n"/>
      <c r="D20" s="7" t="inlineStr">
        <is>
          <t>2604 B.C.E.</t>
        </is>
      </c>
      <c r="E20" s="7" t="n"/>
      <c r="F20" s="7" t="inlineStr">
        <is>
          <t>2604 BCE</t>
        </is>
      </c>
      <c r="G20" s="7" t="inlineStr">
        <is>
          <t>Exact</t>
        </is>
      </c>
      <c r="H20" s="7" t="n"/>
      <c r="I20" s="7" t="n"/>
      <c r="J20" s="7" t="n"/>
      <c r="K20" s="2" t="inlineStr">
        <is>
          <t>Death of Jared</t>
        </is>
      </c>
      <c r="L20" s="2" t="n"/>
      <c r="M20" s="7" t="inlineStr">
        <is>
          <t>Jared dies after living 962 years.</t>
        </is>
      </c>
      <c r="N20" s="7" t="n"/>
      <c r="O20" s="8" t="inlineStr">
        <is>
          <t>Bible</t>
        </is>
      </c>
      <c r="P20" s="7" t="inlineStr">
        <is>
          <t>bible.patriarch</t>
        </is>
      </c>
      <c r="Q20" s="7" t="inlineStr">
        <is>
          <t>death</t>
        </is>
      </c>
      <c r="R20" s="7" t="inlineStr">
        <is>
          <t>Jared</t>
        </is>
      </c>
      <c r="S20" s="7" t="n"/>
      <c r="T20" s="7" t="inlineStr">
        <is>
          <t>Gen. 5:20</t>
        </is>
      </c>
      <c r="U20" s="7" t="n"/>
      <c r="V20" s="7" t="n">
        <v>1</v>
      </c>
      <c r="W20" s="7" t="inlineStr">
        <is>
          <t>Jared</t>
        </is>
      </c>
      <c r="X20" s="9" t="inlineStr">
        <is>
          <t>open</t>
        </is>
      </c>
      <c r="Y20" s="7" t="n"/>
      <c r="Z20" s="7" t="inlineStr">
        <is>
          <t>https://wol.jw.org/en/wol/d/r1/lp-e/1200002329</t>
        </is>
      </c>
      <c r="AA20" s="7" t="n">
        <v>0</v>
      </c>
      <c r="AB20" s="7" t="n"/>
      <c r="AC20" s="7" t="n">
        <v>0</v>
      </c>
      <c r="AD20" s="7" t="n"/>
      <c r="AE20" s="7" t="n"/>
      <c r="AF20" s="7" t="n"/>
      <c r="AG20" s="7" t="n"/>
      <c r="AH20" s="7" t="n"/>
      <c r="AI20" s="7" t="inlineStr">
        <is>
          <t>Covered by span – hide on chart</t>
        </is>
      </c>
      <c r="AJ20" s="7" t="inlineStr">
        <is>
          <t>end of Life of Jared (d1-0003)</t>
        </is>
      </c>
      <c r="AK20" s="7" t="n"/>
      <c r="AL20" s="7" t="n"/>
      <c r="AM20" s="7" t="n">
        <v>-2604</v>
      </c>
      <c r="AN20" s="10" t="n"/>
      <c r="AO20" s="10" t="n"/>
      <c r="AP20" s="10" t="n"/>
      <c r="AQ20" s="10" t="n"/>
    </row>
    <row r="21">
      <c r="A21" s="7" t="inlineStr">
        <is>
          <t>b1-0014</t>
        </is>
      </c>
      <c r="B21" s="7" t="inlineStr">
        <is>
          <t>Point</t>
        </is>
      </c>
      <c r="C21" s="7" t="n"/>
      <c r="D21" s="7" t="inlineStr">
        <is>
          <t>2490 B.C.E.</t>
        </is>
      </c>
      <c r="E21" s="7" t="inlineStr">
        <is>
          <t>பொ.ச.மு. 2490</t>
        </is>
      </c>
      <c r="F21" s="7" t="inlineStr">
        <is>
          <t>2490 BCE</t>
        </is>
      </c>
      <c r="G21" s="7" t="inlineStr">
        <is>
          <t>Exact</t>
        </is>
      </c>
      <c r="H21" s="7" t="n"/>
      <c r="I21" s="7" t="n"/>
      <c r="J21" s="7" t="n"/>
      <c r="K21" s="2" t="inlineStr">
        <is>
          <t>God's pronouncement about mankind (120 years)</t>
        </is>
      </c>
      <c r="L21" s="2" t="inlineStr">
        <is>
          <t>மனிதகுலத்தைக் குறித்து கடவுளுடைய அறிவிப்பு</t>
        </is>
      </c>
      <c r="M21" s="7" t="inlineStr">
        <is>
          <t>Jehovah declares that his spirit will not act toward man indefinitely and that man's days will amount to 120 years, setting a time limit for that ungodly world.</t>
        </is>
      </c>
      <c r="N21" s="7" t="n"/>
      <c r="O21" s="8" t="inlineStr">
        <is>
          <t>Bible</t>
        </is>
      </c>
      <c r="P21" s="7" t="inlineStr">
        <is>
          <t>bible.judgment</t>
        </is>
      </c>
      <c r="Q21" s="7" t="inlineStr">
        <is>
          <t>decree</t>
        </is>
      </c>
      <c r="R21" s="7" t="inlineStr">
        <is>
          <t>Noah</t>
        </is>
      </c>
      <c r="S21" s="7" t="n"/>
      <c r="T21" s="7" t="inlineStr">
        <is>
          <t>Gen. 6:3</t>
        </is>
      </c>
      <c r="U21" s="7" t="inlineStr">
        <is>
          <t>ஆதி. 6:3</t>
        </is>
      </c>
      <c r="V21" s="7" t="n">
        <v>2</v>
      </c>
      <c r="W21" s="7" t="inlineStr">
        <is>
          <t>Study Number 3—Measuring Events in the Stream of Time</t>
        </is>
      </c>
      <c r="X21" s="9" t="inlineStr">
        <is>
          <t>open</t>
        </is>
      </c>
      <c r="Y21" s="9" t="inlineStr">
        <is>
          <t>open</t>
        </is>
      </c>
      <c r="Z21" s="7" t="inlineStr">
        <is>
          <t>https://wol.jw.org/en/wol/d/r1/lp-e/1101990130
https://wol.jw.org/en/wol/d/r1/lp-e/1200003266</t>
        </is>
      </c>
      <c r="AA21" s="7" t="n">
        <v>0</v>
      </c>
      <c r="AB21" s="7" t="n"/>
      <c r="AC21" s="7" t="n">
        <v>0</v>
      </c>
      <c r="AD21" s="7" t="n"/>
      <c r="AE21" s="7" t="n"/>
      <c r="AF21" s="7" t="n"/>
      <c r="AG21" s="7" t="n"/>
      <c r="AH21" s="7" t="n"/>
      <c r="AI21" s="7" t="n"/>
      <c r="AJ21" s="7" t="n"/>
      <c r="AK21" s="7" t="n"/>
      <c r="AL21" s="7" t="n"/>
      <c r="AM21" s="7" t="n">
        <v>-2490</v>
      </c>
      <c r="AN21" s="10" t="n"/>
      <c r="AO21" s="10" t="n"/>
      <c r="AP21" s="10" t="n"/>
      <c r="AQ21" s="10" t="n"/>
    </row>
    <row r="22">
      <c r="A22" s="7" t="inlineStr">
        <is>
          <t>b1-0015</t>
        </is>
      </c>
      <c r="B22" s="7" t="inlineStr">
        <is>
          <t>Point</t>
        </is>
      </c>
      <c r="C22" s="7" t="n"/>
      <c r="D22" s="7" t="inlineStr">
        <is>
          <t>2470 B.C.E.</t>
        </is>
      </c>
      <c r="E22" s="7" t="inlineStr">
        <is>
          <t>பொ.ச.மு. 2470</t>
        </is>
      </c>
      <c r="F22" s="7" t="inlineStr">
        <is>
          <t>2470 BCE</t>
        </is>
      </c>
      <c r="G22" s="7" t="inlineStr">
        <is>
          <t>Exact</t>
        </is>
      </c>
      <c r="H22" s="7" t="n"/>
      <c r="I22" s="7" t="n"/>
      <c r="J22" s="7" t="n"/>
      <c r="K22" s="2" t="inlineStr">
        <is>
          <t>Birth of Japheth</t>
        </is>
      </c>
      <c r="L22" s="2" t="inlineStr">
        <is>
          <t>யாப்பேத்தின் பிறப்பு</t>
        </is>
      </c>
      <c r="M22" s="7" t="inlineStr">
        <is>
          <t>Noah's first son, probably Japheth, is born when Noah is 500 years old.</t>
        </is>
      </c>
      <c r="N22" s="7" t="n"/>
      <c r="O22" s="8" t="inlineStr">
        <is>
          <t>Bible</t>
        </is>
      </c>
      <c r="P22" s="7" t="inlineStr">
        <is>
          <t>bible.patriarch</t>
        </is>
      </c>
      <c r="Q22" s="7" t="inlineStr">
        <is>
          <t>birth</t>
        </is>
      </c>
      <c r="R22" s="7" t="inlineStr">
        <is>
          <t>Japheth; Noah</t>
        </is>
      </c>
      <c r="S22" s="7" t="n"/>
      <c r="T22" s="7" t="inlineStr">
        <is>
          <t>Gen. 5:32; Gen. 9:24; Gen. 10:21</t>
        </is>
      </c>
      <c r="U22" s="7" t="inlineStr">
        <is>
          <t>ஆதி. 5:32; ஆதி 9:24; ஆதி. 10:21</t>
        </is>
      </c>
      <c r="V22" s="7" t="n">
        <v>3</v>
      </c>
      <c r="W22" s="7" t="inlineStr">
        <is>
          <t>Study Number 3—Measuring Events in the Stream of Time</t>
        </is>
      </c>
      <c r="X22" s="9" t="inlineStr">
        <is>
          <t>open</t>
        </is>
      </c>
      <c r="Y22" s="9" t="inlineStr">
        <is>
          <t>open</t>
        </is>
      </c>
      <c r="Z22" s="7" t="inlineStr">
        <is>
          <t>https://wol.jw.org/en/wol/d/r1/lp-e/1101990130
https://wol.jw.org/en/wol/d/r1/lp-e/1200002323
https://wol.jw.org/en/wol/d/r1/lp-e/1200003266</t>
        </is>
      </c>
      <c r="AA22" s="7" t="n">
        <v>0</v>
      </c>
      <c r="AB22" s="7" t="n"/>
      <c r="AC22" s="7" t="n">
        <v>1</v>
      </c>
      <c r="AD22" s="7" t="inlineStr">
        <is>
          <t>Insight 'Japheth' and 'Noah' present 2470 B.C.E. as depending on Japheth being the eldest son ('probably Japheth'); the si chart states it without qualification.</t>
        </is>
      </c>
      <c r="AE22" s="7" t="n"/>
      <c r="AF22" s="7" t="n"/>
      <c r="AG22" s="7" t="n"/>
      <c r="AH22" s="7" t="n"/>
      <c r="AI22" s="7" t="n"/>
      <c r="AJ22" s="7" t="n"/>
      <c r="AK22" s="7" t="n"/>
      <c r="AL22" s="7" t="n"/>
      <c r="AM22" s="7" t="n">
        <v>-2470</v>
      </c>
      <c r="AN22" s="10" t="n"/>
      <c r="AO22" s="10" t="n"/>
      <c r="AP22" s="10" t="n"/>
      <c r="AQ22" s="10" t="n"/>
    </row>
    <row r="23">
      <c r="A23" s="7" t="inlineStr">
        <is>
          <t>b1-0016</t>
        </is>
      </c>
      <c r="B23" s="7" t="inlineStr">
        <is>
          <t>Point</t>
        </is>
      </c>
      <c r="C23" s="7" t="n"/>
      <c r="D23" s="7" t="inlineStr">
        <is>
          <t>after 2470 B.C.E.</t>
        </is>
      </c>
      <c r="E23" s="7" t="n"/>
      <c r="F23" s="7" t="inlineStr">
        <is>
          <t>2470 BCE</t>
        </is>
      </c>
      <c r="G23" s="7" t="inlineStr">
        <is>
          <t>After (a.)</t>
        </is>
      </c>
      <c r="H23" s="7" t="n"/>
      <c r="I23" s="7" t="n"/>
      <c r="J23" s="7" t="n"/>
      <c r="K23" s="2" t="inlineStr">
        <is>
          <t>Birth of Ham</t>
        </is>
      </c>
      <c r="L23" s="2" t="inlineStr">
        <is>
          <t>யாப்பேத்தின் பிறப்பு</t>
        </is>
      </c>
      <c r="M23" s="7" t="inlineStr">
        <is>
          <t>Ham, one of Noah's three sons, is born sometime after 2470 B.C.E. The Bible does not state the year, and he appears to be the youngest son.</t>
        </is>
      </c>
      <c r="N23" s="7" t="n"/>
      <c r="O23" s="8" t="inlineStr">
        <is>
          <t>Bible</t>
        </is>
      </c>
      <c r="P23" s="7" t="inlineStr">
        <is>
          <t>bible.patriarch</t>
        </is>
      </c>
      <c r="Q23" s="7" t="inlineStr">
        <is>
          <t>birth</t>
        </is>
      </c>
      <c r="R23" s="7" t="inlineStr">
        <is>
          <t>Ham; Noah</t>
        </is>
      </c>
      <c r="S23" s="7" t="n"/>
      <c r="T23" s="7" t="inlineStr">
        <is>
          <t>Gen. 5:32; Gen. 9:24</t>
        </is>
      </c>
      <c r="U23" s="7" t="n"/>
      <c r="V23" s="7" t="n">
        <v>2</v>
      </c>
      <c r="W23" s="7" t="inlineStr">
        <is>
          <t>Ham</t>
        </is>
      </c>
      <c r="X23" s="9" t="inlineStr">
        <is>
          <t>open</t>
        </is>
      </c>
      <c r="Y23" s="7" t="n"/>
      <c r="Z23" s="7" t="inlineStr">
        <is>
          <t>https://wol.jw.org/en/wol/d/r1/lp-e/1200001832
https://wol.jw.org/en/wol/d/r1/lp-e/1200003266</t>
        </is>
      </c>
      <c r="AA23" s="7" t="n">
        <v>0</v>
      </c>
      <c r="AB23" s="7" t="n"/>
      <c r="AC23" s="7" t="n">
        <v>0</v>
      </c>
      <c r="AD23" s="7" t="n"/>
      <c r="AE23" s="7" t="n"/>
      <c r="AF23" s="7" t="n"/>
      <c r="AG23" s="7" t="n"/>
      <c r="AH23" s="7" t="n"/>
      <c r="AI23" s="7" t="n"/>
      <c r="AJ23" s="7" t="n"/>
      <c r="AK23" s="7" t="n"/>
      <c r="AL23" s="7" t="inlineStr">
        <is>
          <t>Insight 'Shem' says Ham appears to be the 'youngest son', so his birth likely followed Shem's (2468); sort_key only reflects 'after 2470'. [title_ta from owner's Tamil sheet]</t>
        </is>
      </c>
      <c r="AM23" s="7" t="n">
        <v>-2469.99</v>
      </c>
      <c r="AN23" s="10" t="n"/>
      <c r="AO23" s="10" t="n"/>
      <c r="AP23" s="10" t="n"/>
      <c r="AQ23" s="10" t="n"/>
    </row>
    <row r="24">
      <c r="A24" s="7" t="inlineStr">
        <is>
          <t>b1-0017</t>
        </is>
      </c>
      <c r="B24" s="7" t="inlineStr">
        <is>
          <t>Point</t>
        </is>
      </c>
      <c r="C24" s="7" t="n"/>
      <c r="D24" s="7" t="inlineStr">
        <is>
          <t>2468 B.C.E.</t>
        </is>
      </c>
      <c r="E24" s="7" t="inlineStr">
        <is>
          <t>பொ.ச.மு. 2468</t>
        </is>
      </c>
      <c r="F24" s="7" t="inlineStr">
        <is>
          <t>2468 BCE</t>
        </is>
      </c>
      <c r="G24" s="7" t="inlineStr">
        <is>
          <t>Exact</t>
        </is>
      </c>
      <c r="H24" s="7" t="n"/>
      <c r="I24" s="7" t="n"/>
      <c r="J24" s="7" t="n"/>
      <c r="K24" s="2" t="inlineStr">
        <is>
          <t>Birth of Shem</t>
        </is>
      </c>
      <c r="L24" s="2" t="inlineStr">
        <is>
          <t>சேமின் பிறப்பு</t>
        </is>
      </c>
      <c r="M24" s="7" t="inlineStr">
        <is>
          <t>Shem is born when Noah is 502 years old, two years after Noah's first son.</t>
        </is>
      </c>
      <c r="N24" s="7" t="n"/>
      <c r="O24" s="8" t="inlineStr">
        <is>
          <t>Bible</t>
        </is>
      </c>
      <c r="P24" s="7" t="inlineStr">
        <is>
          <t>bible.patriarch</t>
        </is>
      </c>
      <c r="Q24" s="7" t="inlineStr">
        <is>
          <t>birth</t>
        </is>
      </c>
      <c r="R24" s="7" t="inlineStr">
        <is>
          <t>Shem; Noah</t>
        </is>
      </c>
      <c r="S24" s="7" t="n"/>
      <c r="T24" s="7" t="inlineStr">
        <is>
          <t>Gen. 7:11; Gen. 11:10</t>
        </is>
      </c>
      <c r="U24" s="7" t="inlineStr">
        <is>
          <t>ஆதி. 7:11; ஆதி. 11:10</t>
        </is>
      </c>
      <c r="V24" s="7" t="n">
        <v>2</v>
      </c>
      <c r="W24" s="7" t="inlineStr">
        <is>
          <t>Study Number 3—Measuring Events in the Stream of Time</t>
        </is>
      </c>
      <c r="X24" s="9" t="inlineStr">
        <is>
          <t>open</t>
        </is>
      </c>
      <c r="Y24" s="9" t="inlineStr">
        <is>
          <t>open</t>
        </is>
      </c>
      <c r="Z24" s="7" t="inlineStr">
        <is>
          <t>https://wol.jw.org/en/wol/d/r1/lp-e/1101990130
https://wol.jw.org/en/wol/d/r1/lp-e/1200003997</t>
        </is>
      </c>
      <c r="AA24" s="7" t="n">
        <v>0</v>
      </c>
      <c r="AB24" s="7" t="n"/>
      <c r="AC24" s="7" t="n">
        <v>0</v>
      </c>
      <c r="AD24" s="7" t="n"/>
      <c r="AE24" s="7" t="n"/>
      <c r="AF24" s="7" t="n"/>
      <c r="AG24" s="7" t="n"/>
      <c r="AH24" s="7" t="n"/>
      <c r="AI24" s="7" t="inlineStr">
        <is>
          <t>Covered by span – hide on chart</t>
        </is>
      </c>
      <c r="AJ24" s="7" t="inlineStr">
        <is>
          <t>start of Life of Shem (d1-0007)</t>
        </is>
      </c>
      <c r="AK24" s="7" t="n"/>
      <c r="AL24" s="7" t="n"/>
      <c r="AM24" s="7" t="n">
        <v>-2468</v>
      </c>
      <c r="AN24" s="10" t="n"/>
      <c r="AO24" s="10" t="n"/>
      <c r="AP24" s="10" t="n"/>
      <c r="AQ24" s="10" t="n"/>
    </row>
    <row r="25">
      <c r="A25" s="7" t="inlineStr">
        <is>
          <t>d1-0007</t>
        </is>
      </c>
      <c r="B25" s="11" t="inlineStr">
        <is>
          <t>Span</t>
        </is>
      </c>
      <c r="C25" s="7" t="inlineStr">
        <is>
          <t>lifespan</t>
        </is>
      </c>
      <c r="D25" s="7" t="inlineStr">
        <is>
          <t>2468 B.C.E. – 1868 B.C.E.</t>
        </is>
      </c>
      <c r="E25" s="7" t="inlineStr">
        <is>
          <t>பொ.ச.மு. 2468 – பொ.ச.மு. 1868</t>
        </is>
      </c>
      <c r="F25" s="7" t="inlineStr">
        <is>
          <t>2468 BCE</t>
        </is>
      </c>
      <c r="G25" s="7" t="inlineStr">
        <is>
          <t>Exact</t>
        </is>
      </c>
      <c r="H25" s="7" t="inlineStr">
        <is>
          <t>1868 BCE</t>
        </is>
      </c>
      <c r="I25" s="7" t="inlineStr">
        <is>
          <t>Exact</t>
        </is>
      </c>
      <c r="J25" s="7" t="inlineStr">
        <is>
          <t>600 years</t>
        </is>
      </c>
      <c r="K25" s="2" t="inlineStr">
        <is>
          <t>Life of Shem</t>
        </is>
      </c>
      <c r="L25" s="2" t="n"/>
      <c r="M25" s="7" t="inlineStr">
        <is>
          <t>Shem: from Birth of Shem (2468 B.C.E.) to Death of Shem (1868 B.C.E.). Dates as given in the cited jw.org publications.</t>
        </is>
      </c>
      <c r="N25" s="7" t="n"/>
      <c r="O25" s="8" t="inlineStr">
        <is>
          <t>Bible</t>
        </is>
      </c>
      <c r="P25" s="7" t="inlineStr">
        <is>
          <t>bible.patriarch</t>
        </is>
      </c>
      <c r="Q25" s="7" t="inlineStr">
        <is>
          <t>lifespan</t>
        </is>
      </c>
      <c r="R25" s="7" t="inlineStr">
        <is>
          <t>Shem</t>
        </is>
      </c>
      <c r="S25" s="7" t="n"/>
      <c r="T25" s="7" t="inlineStr">
        <is>
          <t>Gen. 7:11; Gen. 11:10; Gen. 11:11</t>
        </is>
      </c>
      <c r="U25" s="7" t="inlineStr">
        <is>
          <t>ஆதி. 7:11; ஆதி. 11:10; ஆதி. 11:11</t>
        </is>
      </c>
      <c r="V25" s="7" t="n">
        <v>2</v>
      </c>
      <c r="W25" s="7" t="inlineStr">
        <is>
          <t>Study Number 3—Measuring Events in the Stream of Time</t>
        </is>
      </c>
      <c r="X25" s="9" t="inlineStr">
        <is>
          <t>open</t>
        </is>
      </c>
      <c r="Y25" s="9" t="inlineStr">
        <is>
          <t>open</t>
        </is>
      </c>
      <c r="Z25" s="7" t="inlineStr">
        <is>
          <t>https://wol.jw.org/en/wol/d/r1/lp-e/1101990130
https://wol.jw.org/en/wol/d/r1/lp-e/1200003997</t>
        </is>
      </c>
      <c r="AA25" s="7" t="n">
        <v>0</v>
      </c>
      <c r="AB25" s="7" t="n"/>
      <c r="AC25" s="7" t="n">
        <v>0</v>
      </c>
      <c r="AD25" s="7" t="n"/>
      <c r="AE25" s="7" t="inlineStr">
        <is>
          <t>Built from b1-0017 (start) and b1-0051 (end).</t>
        </is>
      </c>
      <c r="AF25" s="7" t="inlineStr">
        <is>
          <t>b1-0017</t>
        </is>
      </c>
      <c r="AG25" s="7" t="inlineStr">
        <is>
          <t>b1-0051</t>
        </is>
      </c>
      <c r="AH25" s="7" t="n"/>
      <c r="AI25" s="7" t="n"/>
      <c r="AJ25" s="7" t="n"/>
      <c r="AK25" s="7" t="inlineStr">
        <is>
          <t>post-flood-patriarchs #1 (item); messianic-line #11 (item)</t>
        </is>
      </c>
      <c r="AL25" s="7" t="n"/>
      <c r="AM25" s="7" t="n">
        <v>-2468</v>
      </c>
      <c r="AN25" s="10" t="n"/>
      <c r="AO25" s="10" t="n"/>
      <c r="AP25" s="10" t="n"/>
      <c r="AQ25" s="10" t="n"/>
    </row>
    <row r="26">
      <c r="A26" s="7" t="inlineStr">
        <is>
          <t>b1-0018</t>
        </is>
      </c>
      <c r="B26" s="7" t="inlineStr">
        <is>
          <t>Point</t>
        </is>
      </c>
      <c r="C26" s="7" t="n"/>
      <c r="D26" s="7" t="inlineStr">
        <is>
          <t>2370 B.C.E.</t>
        </is>
      </c>
      <c r="E26" s="7" t="inlineStr">
        <is>
          <t>பொ.ச.மு. 2370</t>
        </is>
      </c>
      <c r="F26" s="7" t="inlineStr">
        <is>
          <t>2370 BCE</t>
        </is>
      </c>
      <c r="G26" s="7" t="inlineStr">
        <is>
          <t>Exact</t>
        </is>
      </c>
      <c r="H26" s="7" t="n"/>
      <c r="I26" s="7" t="n"/>
      <c r="J26" s="7" t="n"/>
      <c r="K26" s="2" t="inlineStr">
        <is>
          <t>Death of Methuselah</t>
        </is>
      </c>
      <c r="L26" s="2" t="inlineStr">
        <is>
          <t>மெத்தூசலாவின் மரணம்</t>
        </is>
      </c>
      <c r="M26" s="7" t="inlineStr">
        <is>
          <t>Methuselah, the longest-lived man in the Bible record, dies in the year the Flood began.</t>
        </is>
      </c>
      <c r="N26" s="7" t="n"/>
      <c r="O26" s="8" t="inlineStr">
        <is>
          <t>Bible</t>
        </is>
      </c>
      <c r="P26" s="7" t="inlineStr">
        <is>
          <t>bible.patriarch</t>
        </is>
      </c>
      <c r="Q26" s="7" t="inlineStr">
        <is>
          <t>death</t>
        </is>
      </c>
      <c r="R26" s="7" t="inlineStr">
        <is>
          <t>Methuselah</t>
        </is>
      </c>
      <c r="S26" s="7" t="n"/>
      <c r="T26" s="7" t="inlineStr">
        <is>
          <t>Gen. 5:27</t>
        </is>
      </c>
      <c r="U26" s="7" t="inlineStr">
        <is>
          <t>ஆதி. 5:27</t>
        </is>
      </c>
      <c r="V26" s="7" t="n">
        <v>2</v>
      </c>
      <c r="W26" s="7" t="inlineStr">
        <is>
          <t>Study Number 3—Measuring Events in the Stream of Time</t>
        </is>
      </c>
      <c r="X26" s="9" t="inlineStr">
        <is>
          <t>open</t>
        </is>
      </c>
      <c r="Y26" s="9" t="inlineStr">
        <is>
          <t>open</t>
        </is>
      </c>
      <c r="Z26" s="7" t="inlineStr">
        <is>
          <t>https://wol.jw.org/en/wol/d/r1/lp-e/1101990130
https://wol.jw.org/en/wol/d/r1/lp-e/1200003022</t>
        </is>
      </c>
      <c r="AA26" s="7" t="n">
        <v>0</v>
      </c>
      <c r="AB26" s="7" t="n"/>
      <c r="AC26" s="7" t="n">
        <v>0</v>
      </c>
      <c r="AD26" s="7" t="n"/>
      <c r="AE26" s="7" t="n"/>
      <c r="AF26" s="7" t="n"/>
      <c r="AG26" s="7" t="n"/>
      <c r="AH26" s="7" t="n"/>
      <c r="AI26" s="7" t="inlineStr">
        <is>
          <t>Covered by span – hide on chart</t>
        </is>
      </c>
      <c r="AJ26" s="7" t="inlineStr">
        <is>
          <t>end of Life of Methuselah (d1-0005)</t>
        </is>
      </c>
      <c r="AK26" s="7" t="n"/>
      <c r="AL26" s="7" t="n"/>
      <c r="AM26" s="7" t="n">
        <v>-2369.3</v>
      </c>
      <c r="AN26" s="10" t="n"/>
      <c r="AO26" s="10" t="n"/>
      <c r="AP26" s="10" t="n"/>
      <c r="AQ26" s="10" t="n"/>
    </row>
    <row r="27">
      <c r="A27" s="7" t="inlineStr">
        <is>
          <t>b1-0019</t>
        </is>
      </c>
      <c r="B27" s="7" t="inlineStr">
        <is>
          <t>Point</t>
        </is>
      </c>
      <c r="C27" s="7" t="n"/>
      <c r="D27" s="7" t="inlineStr">
        <is>
          <t>2370 B.C.E.</t>
        </is>
      </c>
      <c r="E27" s="7" t="inlineStr">
        <is>
          <t>பொ.ச.மு. 2370</t>
        </is>
      </c>
      <c r="F27" s="7" t="inlineStr">
        <is>
          <t>2370 BCE</t>
        </is>
      </c>
      <c r="G27" s="7" t="inlineStr">
        <is>
          <t>Exact</t>
        </is>
      </c>
      <c r="H27" s="7" t="n"/>
      <c r="I27" s="7" t="n"/>
      <c r="J27" s="7" t="n"/>
      <c r="K27" s="2" t="inlineStr">
        <is>
          <t>Floodwaters fall: the global Deluge begins</t>
        </is>
      </c>
      <c r="L27" s="2" t="inlineStr">
        <is>
          <t>பிரளயம் ஏற்படுதல் (இலையுதிர்காலத்தில்)</t>
        </is>
      </c>
      <c r="M27" s="7" t="inlineStr">
        <is>
          <t>In Noah's 600th year the floodwaters begin to fall, destroying the ungodly world; Noah and his family are preserved in the ark. Counting from an autumn year start, the date corresponds roughly to early November.</t>
        </is>
      </c>
      <c r="N27" s="7" t="inlineStr">
        <is>
          <t>427 ஆண்டுகளை பொ.ச.மு. 1943-உடன் கூட்டினால் பொ.ச.மு. 2370 வருகிறது. இவ்வாறு, நோவாவின் நாளின் ஜலப்பிரளயம் பொ.ச.மு. 2370-ல் தொடங்கினதென்று பைபிளின் கால அட்டவணை காட்டுகிறது.</t>
        </is>
      </c>
      <c r="O27" s="8" t="inlineStr">
        <is>
          <t>Bible</t>
        </is>
      </c>
      <c r="P27" s="7" t="inlineStr">
        <is>
          <t>bible.judgment</t>
        </is>
      </c>
      <c r="Q27" s="7" t="inlineStr">
        <is>
          <t>judgment</t>
        </is>
      </c>
      <c r="R27" s="7" t="inlineStr">
        <is>
          <t>Noah; Shem; Ham; Japheth</t>
        </is>
      </c>
      <c r="S27" s="7" t="n"/>
      <c r="T27" s="7" t="inlineStr">
        <is>
          <t>Gen. 7:6, 11</t>
        </is>
      </c>
      <c r="U27" s="7" t="inlineStr">
        <is>
          <t>ஆதி. 7:6, 11</t>
        </is>
      </c>
      <c r="V27" s="7" t="n">
        <v>4</v>
      </c>
      <c r="W27" s="7" t="inlineStr">
        <is>
          <t>Study Number 3—Measuring Events in the Stream of Time</t>
        </is>
      </c>
      <c r="X27" s="9" t="inlineStr">
        <is>
          <t>open</t>
        </is>
      </c>
      <c r="Y27" s="9" t="inlineStr">
        <is>
          <t>open</t>
        </is>
      </c>
      <c r="Z27" s="7" t="inlineStr">
        <is>
          <t>https://wol.jw.org/en/wol/d/r1/lp-e/1101990130
https://wol.jw.org/en/wol/d/r1/lp-e/1101990130
https://wol.jw.org/en/wol/d/r1/lp-e/1200000970
https://wol.jw.org/en/wol/d/r1/lp-e/1200000367</t>
        </is>
      </c>
      <c r="AA27" s="7" t="n">
        <v>0</v>
      </c>
      <c r="AB27" s="7" t="n"/>
      <c r="AC27" s="7" t="n">
        <v>0</v>
      </c>
      <c r="AD27" s="7" t="n"/>
      <c r="AE27" s="7" t="n"/>
      <c r="AF27" s="7" t="n"/>
      <c r="AG27" s="7" t="n"/>
      <c r="AH27" s="7" t="n"/>
      <c r="AI27" s="7" t="inlineStr">
        <is>
          <t>Span endpoint – keep</t>
        </is>
      </c>
      <c r="AJ27" s="7" t="inlineStr">
        <is>
          <t>start of The Deluge: the global Flood of Noah’s day (b12-0001)</t>
        </is>
      </c>
      <c r="AK27" s="7" t="n"/>
      <c r="AL27" s="7" t="inlineStr">
        <is>
          <t>Bible: 2nd month, 17th day of Noah's 600th year (Gen. 7:11).</t>
        </is>
      </c>
      <c r="AM27" s="7" t="n">
        <v>-2369.15</v>
      </c>
      <c r="AN27" s="10" t="n"/>
      <c r="AO27" s="10" t="n"/>
      <c r="AP27" s="10" t="n"/>
      <c r="AQ27" s="10" t="n"/>
    </row>
    <row r="28">
      <c r="A28" s="7" t="inlineStr">
        <is>
          <t>b12-0001</t>
        </is>
      </c>
      <c r="B28" s="11" t="inlineStr">
        <is>
          <t>Span</t>
        </is>
      </c>
      <c r="C28" s="7" t="inlineStr">
        <is>
          <t>period</t>
        </is>
      </c>
      <c r="D28" s="7" t="inlineStr">
        <is>
          <t>2370–2369 B.C.E.</t>
        </is>
      </c>
      <c r="E28" s="7" t="n"/>
      <c r="F28" s="7" t="inlineStr">
        <is>
          <t>2370 BCE</t>
        </is>
      </c>
      <c r="G28" s="7" t="inlineStr">
        <is>
          <t>Exact</t>
        </is>
      </c>
      <c r="H28" s="7" t="inlineStr">
        <is>
          <t>2369 BCE</t>
        </is>
      </c>
      <c r="I28" s="7" t="inlineStr">
        <is>
          <t>Exact</t>
        </is>
      </c>
      <c r="J28" s="7" t="n"/>
      <c r="K28" s="2" t="inlineStr">
        <is>
          <t>The Deluge: the global Flood of Noah’s day</t>
        </is>
      </c>
      <c r="L28" s="2" t="n"/>
      <c r="M28" s="7" t="inlineStr">
        <is>
          <t>The floodwaters began to fall in 2370 B.C.E.; Noah, his family and the animals in the ark survived, and the post-Flood era began in 2369 B.C.E.</t>
        </is>
      </c>
      <c r="N28" s="7" t="inlineStr">
        <is>
          <t>இவ்வாறு, நோவாவின் நாளின் ஜலப்பிரளயம் பொ.ச.மு. 2370-ல் தொடங்கினதென்று பைபிளின் கால அட்டவணை காட்டுகிறது.</t>
        </is>
      </c>
      <c r="O28" s="8" t="inlineStr">
        <is>
          <t>Bible</t>
        </is>
      </c>
      <c r="P28" s="7" t="inlineStr">
        <is>
          <t>bible.judgment</t>
        </is>
      </c>
      <c r="Q28" s="7" t="n"/>
      <c r="R28" s="7" t="inlineStr">
        <is>
          <t>Noah; Shem; Ham; Japheth</t>
        </is>
      </c>
      <c r="S28" s="7" t="n"/>
      <c r="T28" s="7" t="inlineStr">
        <is>
          <t>Gen. 7:11; Gen. 8:13-18</t>
        </is>
      </c>
      <c r="U28" s="7" t="inlineStr">
        <is>
          <t>ஆதி. 7:11; ஆதி. 8:13-18</t>
        </is>
      </c>
      <c r="V28" s="7" t="n">
        <v>4</v>
      </c>
      <c r="W28" s="7" t="inlineStr">
        <is>
          <t>Ark</t>
        </is>
      </c>
      <c r="X28" s="9" t="inlineStr">
        <is>
          <t>open</t>
        </is>
      </c>
      <c r="Y28" s="7" t="n"/>
      <c r="Z28" s="7" t="inlineStr">
        <is>
          <t>https://wol.jw.org/en/wol/d/r1/lp-e/1200000367
https://wol.jw.org/en/wol/d/r1/lp-e/1101990130
https://wol.jw.org/en/wol/d/r1/lp-e/1200000970
https://wol.jw.org/en/wol/d/r1/lp-e/1200001150</t>
        </is>
      </c>
      <c r="AA28" s="7" t="n">
        <v>0</v>
      </c>
      <c r="AB28" s="7" t="n"/>
      <c r="AC28" s="7" t="n">
        <v>0</v>
      </c>
      <c r="AD28" s="7" t="n"/>
      <c r="AE28" s="7" t="n"/>
      <c r="AF28" s="7" t="inlineStr">
        <is>
          <t>b1-0019</t>
        </is>
      </c>
      <c r="AG28" s="7" t="inlineStr">
        <is>
          <t>b1-0020</t>
        </is>
      </c>
      <c r="AH28" s="7" t="n"/>
      <c r="AI28" s="7" t="n"/>
      <c r="AJ28" s="7" t="n"/>
      <c r="AK28" s="7" t="n"/>
      <c r="AL28" s="7" t="n"/>
      <c r="AM28" s="7" t="n">
        <v>-2369.15</v>
      </c>
      <c r="AN28" s="10" t="n"/>
      <c r="AO28" s="10" t="n"/>
      <c r="AP28" s="10" t="n"/>
      <c r="AQ28" s="10" t="n"/>
    </row>
    <row r="29">
      <c r="A29" s="7" t="inlineStr">
        <is>
          <t>b1-0020</t>
        </is>
      </c>
      <c r="B29" s="7" t="inlineStr">
        <is>
          <t>Point</t>
        </is>
      </c>
      <c r="C29" s="7" t="n"/>
      <c r="D29" s="7" t="inlineStr">
        <is>
          <t>2369 B.C.E.</t>
        </is>
      </c>
      <c r="E29" s="7" t="n"/>
      <c r="F29" s="7" t="inlineStr">
        <is>
          <t>2369 BCE</t>
        </is>
      </c>
      <c r="G29" s="7" t="inlineStr">
        <is>
          <t>Exact</t>
        </is>
      </c>
      <c r="H29" s="7" t="n"/>
      <c r="I29" s="7" t="n"/>
      <c r="J29" s="7" t="n"/>
      <c r="K29" s="2" t="inlineStr">
        <is>
          <t>Noah and family leave the ark; post-Flood era begins</t>
        </is>
      </c>
      <c r="L29" s="2" t="inlineStr">
        <is>
          <t>ஜலப்பிரளயத்துக்குப் பின் உடன்படிக்கை</t>
        </is>
      </c>
      <c r="M29" s="7" t="inlineStr">
        <is>
          <t>After 1 year and 10 days, the floodwaters have dried up and Noah's family leaves the ark, which had come to rest in the mountains of Ararat. Noah offers sacrifices to Jehovah.</t>
        </is>
      </c>
      <c r="N29" s="7" t="n"/>
      <c r="O29" s="8" t="inlineStr">
        <is>
          <t>Bible</t>
        </is>
      </c>
      <c r="P29" s="7" t="inlineStr">
        <is>
          <t>bible.patriarch</t>
        </is>
      </c>
      <c r="Q29" s="7" t="inlineStr">
        <is>
          <t>deliverance</t>
        </is>
      </c>
      <c r="R29" s="7" t="inlineStr">
        <is>
          <t>Noah</t>
        </is>
      </c>
      <c r="S29" s="7" t="inlineStr">
        <is>
          <t>Ararat</t>
        </is>
      </c>
      <c r="T29" s="7" t="inlineStr">
        <is>
          <t>Gen. 8:13, 14; Gen. 8:18-22</t>
        </is>
      </c>
      <c r="U29" s="7" t="n"/>
      <c r="V29" s="7" t="n">
        <v>3</v>
      </c>
      <c r="W29" s="7" t="inlineStr">
        <is>
          <t>Chronology</t>
        </is>
      </c>
      <c r="X29" s="9" t="inlineStr">
        <is>
          <t>open</t>
        </is>
      </c>
      <c r="Y29" s="7" t="n"/>
      <c r="Z29" s="7" t="inlineStr">
        <is>
          <t>https://wol.jw.org/en/wol/d/r1/lp-e/1200000970
https://wol.jw.org/en/wol/d/r1/lp-e/1200000367
https://wol.jw.org/en/wol/d/r1/lp-e/1200001054</t>
        </is>
      </c>
      <c r="AA29" s="7" t="n">
        <v>0</v>
      </c>
      <c r="AB29" s="7" t="n"/>
      <c r="AC29" s="7" t="n">
        <v>0</v>
      </c>
      <c r="AD29" s="7" t="n"/>
      <c r="AE29" s="7" t="n"/>
      <c r="AF29" s="7" t="n"/>
      <c r="AG29" s="7" t="n"/>
      <c r="AH29" s="7" t="n"/>
      <c r="AI29" s="7" t="inlineStr">
        <is>
          <t>Span endpoint – keep</t>
        </is>
      </c>
      <c r="AJ29" s="7" t="inlineStr">
        <is>
          <t>end of The Deluge: the global Flood of Noah’s day (b12-0001)</t>
        </is>
      </c>
      <c r="AK29" s="7" t="inlineStr">
        <is>
          <t>covenants #25 (end)</t>
        </is>
      </c>
      <c r="AL29" s="7" t="inlineStr">
        <is>
          <t>[title_ta from owner's Tamil sheet]</t>
        </is>
      </c>
      <c r="AM29" s="7" t="n">
        <v>-2368.15</v>
      </c>
      <c r="AN29" s="10" t="n"/>
      <c r="AO29" s="10" t="n"/>
      <c r="AP29" s="10" t="n"/>
      <c r="AQ29" s="10" t="n"/>
    </row>
    <row r="30">
      <c r="A30" s="7" t="inlineStr">
        <is>
          <t>b1-0021</t>
        </is>
      </c>
      <c r="B30" s="7" t="inlineStr">
        <is>
          <t>Point</t>
        </is>
      </c>
      <c r="C30" s="7" t="n"/>
      <c r="D30" s="7" t="inlineStr">
        <is>
          <t>2369 B.C.E.</t>
        </is>
      </c>
      <c r="E30" s="7" t="inlineStr">
        <is>
          <t>பொ.ச.மு. 2369</t>
        </is>
      </c>
      <c r="F30" s="7" t="inlineStr">
        <is>
          <t>2369 BCE</t>
        </is>
      </c>
      <c r="G30" s="7" t="inlineStr">
        <is>
          <t>Exact</t>
        </is>
      </c>
      <c r="H30" s="7" t="n"/>
      <c r="I30" s="7" t="n"/>
      <c r="J30" s="7" t="n"/>
      <c r="K30" s="2" t="inlineStr">
        <is>
          <t>Covenant made after the Flood (rainbow covenant)</t>
        </is>
      </c>
      <c r="L30" s="2" t="inlineStr">
        <is>
          <t>ஜலப்பிரளயத்துக்குப் பின் உடன்படிக்கை செய்தல்</t>
        </is>
      </c>
      <c r="M30" s="7" t="inlineStr">
        <is>
          <t>Jehovah makes a covenant with Noah and all flesh, promising never again to destroy all flesh by a flood, with the rainbow as its sign. He also gives decrees on eating meat, not eating blood, and capital punishment.</t>
        </is>
      </c>
      <c r="N30" s="7" t="n"/>
      <c r="O30" s="8" t="inlineStr">
        <is>
          <t>Bible</t>
        </is>
      </c>
      <c r="P30" s="7" t="inlineStr">
        <is>
          <t>bible.covenant</t>
        </is>
      </c>
      <c r="Q30" s="7" t="inlineStr">
        <is>
          <t>covenant</t>
        </is>
      </c>
      <c r="R30" s="7" t="inlineStr">
        <is>
          <t>Noah</t>
        </is>
      </c>
      <c r="S30" s="7" t="inlineStr">
        <is>
          <t>Ararat</t>
        </is>
      </c>
      <c r="T30" s="7" t="inlineStr">
        <is>
          <t>Gen. 8:13; Gen. 9:16</t>
        </is>
      </c>
      <c r="U30" s="7" t="inlineStr">
        <is>
          <t>ஆதி. 8:13; ஆதி. 9:16</t>
        </is>
      </c>
      <c r="V30" s="7" t="n">
        <v>3</v>
      </c>
      <c r="W30" s="7" t="inlineStr">
        <is>
          <t>Study Number 3—Measuring Events in the Stream of Time</t>
        </is>
      </c>
      <c r="X30" s="9" t="inlineStr">
        <is>
          <t>open</t>
        </is>
      </c>
      <c r="Y30" s="9" t="inlineStr">
        <is>
          <t>open</t>
        </is>
      </c>
      <c r="Z30" s="7" t="inlineStr">
        <is>
          <t>https://wol.jw.org/en/wol/d/r1/lp-e/1101990130
https://wol.jw.org/en/wol/d/r1/lp-e/1200001054
https://wol.jw.org/en/wol/d/r1/lp-e/1200003266</t>
        </is>
      </c>
      <c r="AA30" s="7" t="n">
        <v>0</v>
      </c>
      <c r="AB30" s="7" t="n"/>
      <c r="AC30" s="7" t="n">
        <v>0</v>
      </c>
      <c r="AD30" s="7" t="n"/>
      <c r="AE30" s="7" t="n"/>
      <c r="AF30" s="7" t="n"/>
      <c r="AG30" s="7" t="n"/>
      <c r="AH30" s="7" t="n"/>
      <c r="AI30" s="7" t="n"/>
      <c r="AJ30" s="7" t="n"/>
      <c r="AK30" s="7" t="inlineStr">
        <is>
          <t>covenants #26 (start)</t>
        </is>
      </c>
      <c r="AL30" s="7" t="n"/>
      <c r="AM30" s="7" t="n">
        <v>-2368.14</v>
      </c>
      <c r="AN30" s="10" t="n"/>
      <c r="AO30" s="10" t="n"/>
      <c r="AP30" s="10" t="n"/>
      <c r="AQ30" s="10" t="n"/>
    </row>
    <row r="31">
      <c r="A31" s="7" t="inlineStr">
        <is>
          <t>b1-0022</t>
        </is>
      </c>
      <c r="B31" s="7" t="inlineStr">
        <is>
          <t>Point</t>
        </is>
      </c>
      <c r="C31" s="7" t="n"/>
      <c r="D31" s="7" t="inlineStr">
        <is>
          <t>2368 B.C.E.</t>
        </is>
      </c>
      <c r="E31" s="7" t="inlineStr">
        <is>
          <t>பொ.ச.மு. 2368</t>
        </is>
      </c>
      <c r="F31" s="7" t="inlineStr">
        <is>
          <t>2368 BCE</t>
        </is>
      </c>
      <c r="G31" s="7" t="inlineStr">
        <is>
          <t>Exact</t>
        </is>
      </c>
      <c r="H31" s="7" t="n"/>
      <c r="I31" s="7" t="n"/>
      <c r="J31" s="7" t="n"/>
      <c r="K31" s="2" t="inlineStr">
        <is>
          <t>Birth of Arpachshad</t>
        </is>
      </c>
      <c r="L31" s="2" t="inlineStr">
        <is>
          <t>அர்பக்சாத்தின் பிறப்பு</t>
        </is>
      </c>
      <c r="M31" s="7" t="inlineStr">
        <is>
          <t>Shem, at 100 years of age, fathers Arpachshad two years after the Flood began.</t>
        </is>
      </c>
      <c r="N31" s="7" t="n"/>
      <c r="O31" s="8" t="inlineStr">
        <is>
          <t>Bible</t>
        </is>
      </c>
      <c r="P31" s="7" t="inlineStr">
        <is>
          <t>bible.patriarch</t>
        </is>
      </c>
      <c r="Q31" s="7" t="inlineStr">
        <is>
          <t>birth</t>
        </is>
      </c>
      <c r="R31" s="7" t="inlineStr">
        <is>
          <t>Arpachshad; Shem</t>
        </is>
      </c>
      <c r="S31" s="7" t="n"/>
      <c r="T31" s="7" t="inlineStr">
        <is>
          <t>Gen. 11:10</t>
        </is>
      </c>
      <c r="U31" s="7" t="inlineStr">
        <is>
          <t>ஆதி. 11:10</t>
        </is>
      </c>
      <c r="V31" s="7" t="n">
        <v>3</v>
      </c>
      <c r="W31" s="7" t="inlineStr">
        <is>
          <t>Study Number 3—Measuring Events in the Stream of Time</t>
        </is>
      </c>
      <c r="X31" s="9" t="inlineStr">
        <is>
          <t>open</t>
        </is>
      </c>
      <c r="Y31" s="9" t="inlineStr">
        <is>
          <t>open</t>
        </is>
      </c>
      <c r="Z31" s="7" t="inlineStr">
        <is>
          <t>https://wol.jw.org/en/wol/d/r1/lp-e/1101990130
https://wol.jw.org/en/wol/d/r1/lp-e/1200000384
https://wol.jw.org/en/wol/d/r1/lp-e/1200003997</t>
        </is>
      </c>
      <c r="AA31" s="7" t="n">
        <v>0</v>
      </c>
      <c r="AB31" s="7" t="n"/>
      <c r="AC31" s="7" t="n">
        <v>1</v>
      </c>
      <c r="AD31" s="7" t="inlineStr">
        <is>
          <t>Insight 'Arpachshad' says 'about 2368'; si chart and Insight 'Shem' give 2368 without qualifier.</t>
        </is>
      </c>
      <c r="AE31" s="7" t="n"/>
      <c r="AF31" s="7" t="n"/>
      <c r="AG31" s="7" t="n"/>
      <c r="AH31" s="7" t="n"/>
      <c r="AI31" s="7" t="n"/>
      <c r="AJ31" s="7" t="n"/>
      <c r="AK31" s="7" t="inlineStr">
        <is>
          <t>messianic-line #12 (item)</t>
        </is>
      </c>
      <c r="AL31" s="7" t="n"/>
      <c r="AM31" s="7" t="n">
        <v>-2368</v>
      </c>
      <c r="AN31" s="10" t="n"/>
      <c r="AO31" s="10" t="n"/>
      <c r="AP31" s="10" t="n"/>
      <c r="AQ31" s="10" t="n"/>
    </row>
    <row r="32">
      <c r="A32" s="7" t="inlineStr">
        <is>
          <t>b1-0023</t>
        </is>
      </c>
      <c r="B32" s="7" t="inlineStr">
        <is>
          <t>Point</t>
        </is>
      </c>
      <c r="C32" s="7" t="n"/>
      <c r="D32" s="7" t="inlineStr">
        <is>
          <t>2333 B.C.E.</t>
        </is>
      </c>
      <c r="E32" s="7" t="n"/>
      <c r="F32" s="7" t="inlineStr">
        <is>
          <t>2333 BCE</t>
        </is>
      </c>
      <c r="G32" s="7" t="inlineStr">
        <is>
          <t>Exact</t>
        </is>
      </c>
      <c r="H32" s="7" t="n"/>
      <c r="I32" s="7" t="n"/>
      <c r="J32" s="7" t="n"/>
      <c r="K32" s="2" t="inlineStr">
        <is>
          <t>Birth of Shelah</t>
        </is>
      </c>
      <c r="L32" s="2" t="n"/>
      <c r="M32" s="7" t="inlineStr">
        <is>
          <t>Shelah, son of Arpachshad and grandson of Shem, is born.</t>
        </is>
      </c>
      <c r="N32" s="7" t="n"/>
      <c r="O32" s="8" t="inlineStr">
        <is>
          <t>Bible</t>
        </is>
      </c>
      <c r="P32" s="7" t="inlineStr">
        <is>
          <t>bible.patriarch</t>
        </is>
      </c>
      <c r="Q32" s="7" t="inlineStr">
        <is>
          <t>birth</t>
        </is>
      </c>
      <c r="R32" s="7" t="inlineStr">
        <is>
          <t>Shelah; Arpachshad</t>
        </is>
      </c>
      <c r="S32" s="7" t="n"/>
      <c r="T32" s="7" t="inlineStr">
        <is>
          <t>Gen. 11:12</t>
        </is>
      </c>
      <c r="U32" s="7" t="n"/>
      <c r="V32" s="7" t="n">
        <v>1</v>
      </c>
      <c r="W32" s="7" t="inlineStr">
        <is>
          <t>Shelah</t>
        </is>
      </c>
      <c r="X32" s="9" t="inlineStr">
        <is>
          <t>open</t>
        </is>
      </c>
      <c r="Y32" s="7" t="n"/>
      <c r="Z32" s="7" t="inlineStr">
        <is>
          <t>https://wol.jw.org/en/wol/d/r1/lp-e/1200003988</t>
        </is>
      </c>
      <c r="AA32" s="7" t="n">
        <v>0</v>
      </c>
      <c r="AB32" s="7" t="n"/>
      <c r="AC32" s="7" t="n">
        <v>0</v>
      </c>
      <c r="AD32" s="7" t="n"/>
      <c r="AE32" s="7" t="n"/>
      <c r="AF32" s="7" t="n"/>
      <c r="AG32" s="7" t="n"/>
      <c r="AH32" s="7" t="n"/>
      <c r="AI32" s="7" t="inlineStr">
        <is>
          <t>Covered by span – hide on chart</t>
        </is>
      </c>
      <c r="AJ32" s="7" t="inlineStr">
        <is>
          <t>start of Life of Shelah (d1-0008)</t>
        </is>
      </c>
      <c r="AK32" s="7" t="n"/>
      <c r="AL32" s="7" t="n"/>
      <c r="AM32" s="7" t="n">
        <v>-2333</v>
      </c>
      <c r="AN32" s="10" t="n"/>
      <c r="AO32" s="10" t="n"/>
      <c r="AP32" s="10" t="n"/>
      <c r="AQ32" s="10" t="n"/>
    </row>
    <row r="33">
      <c r="A33" s="7" t="inlineStr">
        <is>
          <t>d1-0008</t>
        </is>
      </c>
      <c r="B33" s="11" t="inlineStr">
        <is>
          <t>Span</t>
        </is>
      </c>
      <c r="C33" s="7" t="inlineStr">
        <is>
          <t>lifespan</t>
        </is>
      </c>
      <c r="D33" s="7" t="inlineStr">
        <is>
          <t>2333 B.C.E. – 1900 B.C.E.</t>
        </is>
      </c>
      <c r="E33" s="7" t="n"/>
      <c r="F33" s="7" t="inlineStr">
        <is>
          <t>2333 BCE</t>
        </is>
      </c>
      <c r="G33" s="7" t="inlineStr">
        <is>
          <t>Exact</t>
        </is>
      </c>
      <c r="H33" s="7" t="inlineStr">
        <is>
          <t>1900 BCE</t>
        </is>
      </c>
      <c r="I33" s="7" t="inlineStr">
        <is>
          <t>Exact</t>
        </is>
      </c>
      <c r="J33" s="7" t="inlineStr">
        <is>
          <t>433 years</t>
        </is>
      </c>
      <c r="K33" s="2" t="inlineStr">
        <is>
          <t>Life of Shelah</t>
        </is>
      </c>
      <c r="L33" s="2" t="n"/>
      <c r="M33" s="7" t="inlineStr">
        <is>
          <t>Shelah: from Birth of Shelah (2333 B.C.E.) to Death of Shelah (1900 B.C.E.). Dates as given in the cited jw.org publications.</t>
        </is>
      </c>
      <c r="N33" s="7" t="n"/>
      <c r="O33" s="8" t="inlineStr">
        <is>
          <t>Bible</t>
        </is>
      </c>
      <c r="P33" s="7" t="inlineStr">
        <is>
          <t>bible.patriarch</t>
        </is>
      </c>
      <c r="Q33" s="7" t="inlineStr">
        <is>
          <t>lifespan</t>
        </is>
      </c>
      <c r="R33" s="7" t="inlineStr">
        <is>
          <t>Shelah</t>
        </is>
      </c>
      <c r="S33" s="7" t="n"/>
      <c r="T33" s="7" t="inlineStr">
        <is>
          <t>Gen. 11:12; Gen. 11:15</t>
        </is>
      </c>
      <c r="U33" s="7" t="n"/>
      <c r="V33" s="7" t="n">
        <v>1</v>
      </c>
      <c r="W33" s="7" t="inlineStr">
        <is>
          <t>Shelah</t>
        </is>
      </c>
      <c r="X33" s="9" t="inlineStr">
        <is>
          <t>open</t>
        </is>
      </c>
      <c r="Y33" s="7" t="n"/>
      <c r="Z33" s="7" t="inlineStr">
        <is>
          <t>https://wol.jw.org/en/wol/d/r1/lp-e/1200003988</t>
        </is>
      </c>
      <c r="AA33" s="7" t="n">
        <v>0</v>
      </c>
      <c r="AB33" s="7" t="n"/>
      <c r="AC33" s="7" t="n">
        <v>0</v>
      </c>
      <c r="AD33" s="7" t="n"/>
      <c r="AE33" s="7" t="inlineStr">
        <is>
          <t>Built from b1-0023 (start) and b1-0048 (end).</t>
        </is>
      </c>
      <c r="AF33" s="7" t="inlineStr">
        <is>
          <t>b1-0023</t>
        </is>
      </c>
      <c r="AG33" s="7" t="inlineStr">
        <is>
          <t>b1-0048</t>
        </is>
      </c>
      <c r="AH33" s="7" t="n"/>
      <c r="AI33" s="7" t="n"/>
      <c r="AJ33" s="7" t="n"/>
      <c r="AK33" s="7" t="inlineStr">
        <is>
          <t>post-flood-patriarchs #2 (item); messianic-line #13 (item)</t>
        </is>
      </c>
      <c r="AL33" s="7" t="n"/>
      <c r="AM33" s="7" t="n">
        <v>-2333</v>
      </c>
      <c r="AN33" s="10" t="n"/>
      <c r="AO33" s="10" t="n"/>
      <c r="AP33" s="10" t="n"/>
      <c r="AQ33" s="10" t="n"/>
    </row>
    <row r="34">
      <c r="A34" s="7" t="inlineStr">
        <is>
          <t>b1-0024</t>
        </is>
      </c>
      <c r="B34" s="7" t="inlineStr">
        <is>
          <t>Point</t>
        </is>
      </c>
      <c r="C34" s="7" t="n"/>
      <c r="D34" s="7" t="inlineStr">
        <is>
          <t>2269 B.C.E.</t>
        </is>
      </c>
      <c r="E34" s="7" t="n"/>
      <c r="F34" s="7" t="inlineStr">
        <is>
          <t>2269 BCE</t>
        </is>
      </c>
      <c r="G34" s="7" t="inlineStr">
        <is>
          <t>Exact</t>
        </is>
      </c>
      <c r="H34" s="7" t="n"/>
      <c r="I34" s="7" t="n"/>
      <c r="J34" s="7" t="n"/>
      <c r="K34" s="2" t="inlineStr">
        <is>
          <t>Birth of Peleg</t>
        </is>
      </c>
      <c r="L34" s="2" t="inlineStr">
        <is>
          <t>பாபேல் கோபுரம் கட்டுதல்</t>
        </is>
      </c>
      <c r="M34" s="7" t="inlineStr">
        <is>
          <t>Peleg, whose name means 'Division', is born. In his days the earth's population was divided.</t>
        </is>
      </c>
      <c r="N34" s="7" t="n"/>
      <c r="O34" s="8" t="inlineStr">
        <is>
          <t>Bible</t>
        </is>
      </c>
      <c r="P34" s="7" t="inlineStr">
        <is>
          <t>bible.patriarch</t>
        </is>
      </c>
      <c r="Q34" s="7" t="inlineStr">
        <is>
          <t>birth</t>
        </is>
      </c>
      <c r="R34" s="7" t="inlineStr">
        <is>
          <t>Peleg; Eber</t>
        </is>
      </c>
      <c r="S34" s="7" t="n"/>
      <c r="T34" s="7" t="inlineStr">
        <is>
          <t>Gen. 10:25; Gen. 11:16-19</t>
        </is>
      </c>
      <c r="U34" s="7" t="n"/>
      <c r="V34" s="7" t="n">
        <v>2</v>
      </c>
      <c r="W34" s="7" t="inlineStr">
        <is>
          <t>Peleg</t>
        </is>
      </c>
      <c r="X34" s="9" t="inlineStr">
        <is>
          <t>open</t>
        </is>
      </c>
      <c r="Y34" s="7" t="n"/>
      <c r="Z34" s="7" t="inlineStr">
        <is>
          <t>https://wol.jw.org/en/wol/d/r1/lp-e/1200003421
https://wol.jw.org/en/wol/d/r1/lp-e/1200000970</t>
        </is>
      </c>
      <c r="AA34" s="7" t="n">
        <v>0</v>
      </c>
      <c r="AB34" s="7" t="n"/>
      <c r="AC34" s="7" t="n">
        <v>0</v>
      </c>
      <c r="AD34" s="7" t="n"/>
      <c r="AE34" s="7" t="n"/>
      <c r="AF34" s="7" t="n"/>
      <c r="AG34" s="7" t="n"/>
      <c r="AH34" s="7" t="n"/>
      <c r="AI34" s="7" t="inlineStr">
        <is>
          <t>Covered by span – hide on chart</t>
        </is>
      </c>
      <c r="AJ34" s="7" t="inlineStr">
        <is>
          <t>start of Life of Peleg (d1-0009)</t>
        </is>
      </c>
      <c r="AK34" s="7" t="n"/>
      <c r="AL34" s="7" t="inlineStr">
        <is>
          <t>[title_ta from owner's Tamil sheet]</t>
        </is>
      </c>
      <c r="AM34" s="7" t="n">
        <v>-2269</v>
      </c>
      <c r="AN34" s="10" t="n"/>
      <c r="AO34" s="10" t="n"/>
      <c r="AP34" s="10" t="n"/>
      <c r="AQ34" s="10" t="n"/>
    </row>
    <row r="35">
      <c r="A35" s="7" t="inlineStr">
        <is>
          <t>d1-0009</t>
        </is>
      </c>
      <c r="B35" s="11" t="inlineStr">
        <is>
          <t>Span</t>
        </is>
      </c>
      <c r="C35" s="7" t="inlineStr">
        <is>
          <t>lifespan</t>
        </is>
      </c>
      <c r="D35" s="7" t="inlineStr">
        <is>
          <t>2269 B.C.E. – 2030 B.C.E.</t>
        </is>
      </c>
      <c r="E35" s="7" t="n"/>
      <c r="F35" s="7" t="inlineStr">
        <is>
          <t>2269 BCE</t>
        </is>
      </c>
      <c r="G35" s="7" t="inlineStr">
        <is>
          <t>Exact</t>
        </is>
      </c>
      <c r="H35" s="7" t="inlineStr">
        <is>
          <t>2030 BCE</t>
        </is>
      </c>
      <c r="I35" s="7" t="inlineStr">
        <is>
          <t>Exact</t>
        </is>
      </c>
      <c r="J35" s="7" t="inlineStr">
        <is>
          <t>239 years</t>
        </is>
      </c>
      <c r="K35" s="2" t="inlineStr">
        <is>
          <t>Life of Peleg</t>
        </is>
      </c>
      <c r="L35" s="2" t="n"/>
      <c r="M35" s="7" t="inlineStr">
        <is>
          <t>Peleg: from Birth of Peleg (2269 B.C.E.) to Death of Peleg (2030 B.C.E.). Dates as given in the cited jw.org publications.</t>
        </is>
      </c>
      <c r="N35" s="7" t="n"/>
      <c r="O35" s="8" t="inlineStr">
        <is>
          <t>Bible</t>
        </is>
      </c>
      <c r="P35" s="7" t="inlineStr">
        <is>
          <t>bible.patriarch</t>
        </is>
      </c>
      <c r="Q35" s="7" t="inlineStr">
        <is>
          <t>lifespan</t>
        </is>
      </c>
      <c r="R35" s="7" t="inlineStr">
        <is>
          <t>Peleg</t>
        </is>
      </c>
      <c r="S35" s="7" t="n"/>
      <c r="T35" s="7" t="inlineStr">
        <is>
          <t>Gen. 10:25; Gen. 11:16-19; Gen. 11:19</t>
        </is>
      </c>
      <c r="U35" s="7" t="n"/>
      <c r="V35" s="7" t="n">
        <v>2</v>
      </c>
      <c r="W35" s="7" t="inlineStr">
        <is>
          <t>Peleg</t>
        </is>
      </c>
      <c r="X35" s="9" t="inlineStr">
        <is>
          <t>open</t>
        </is>
      </c>
      <c r="Y35" s="7" t="n"/>
      <c r="Z35" s="7" t="inlineStr">
        <is>
          <t>https://wol.jw.org/en/wol/d/r1/lp-e/1200003421
https://wol.jw.org/en/wol/d/r1/lp-e/1200000970</t>
        </is>
      </c>
      <c r="AA35" s="7" t="n">
        <v>0</v>
      </c>
      <c r="AB35" s="7" t="n"/>
      <c r="AC35" s="7" t="n">
        <v>0</v>
      </c>
      <c r="AD35" s="7" t="n"/>
      <c r="AE35" s="7" t="inlineStr">
        <is>
          <t>Built from b1-0024 (start) and b1-0029 (end).</t>
        </is>
      </c>
      <c r="AF35" s="7" t="inlineStr">
        <is>
          <t>b1-0024</t>
        </is>
      </c>
      <c r="AG35" s="7" t="inlineStr">
        <is>
          <t>b1-0029</t>
        </is>
      </c>
      <c r="AH35" s="7" t="n"/>
      <c r="AI35" s="7" t="n"/>
      <c r="AJ35" s="7" t="n"/>
      <c r="AK35" s="7" t="inlineStr">
        <is>
          <t>post-flood-patriarchs #3 (item); messianic-line #15 (item)</t>
        </is>
      </c>
      <c r="AL35" s="7" t="n"/>
      <c r="AM35" s="7" t="n">
        <v>-2269</v>
      </c>
      <c r="AN35" s="10" t="n"/>
      <c r="AO35" s="10" t="n"/>
      <c r="AP35" s="10" t="n"/>
      <c r="AQ35" s="10" t="n"/>
    </row>
    <row r="36">
      <c r="A36" s="7" t="inlineStr">
        <is>
          <t>b1-0025</t>
        </is>
      </c>
      <c r="B36" s="7" t="inlineStr">
        <is>
          <t>Point</t>
        </is>
      </c>
      <c r="C36" s="7" t="n"/>
      <c r="D36" s="7" t="inlineStr">
        <is>
          <t>a. 2269 B.C.E.</t>
        </is>
      </c>
      <c r="E36" s="7" t="inlineStr">
        <is>
          <t>பொ.ச.மு. 2269 பி.</t>
        </is>
      </c>
      <c r="F36" s="7" t="inlineStr">
        <is>
          <t>2269 BCE</t>
        </is>
      </c>
      <c r="G36" s="7" t="inlineStr">
        <is>
          <t>After (a.)</t>
        </is>
      </c>
      <c r="H36" s="7" t="n"/>
      <c r="I36" s="7" t="n"/>
      <c r="J36" s="7" t="n"/>
      <c r="K36" s="2" t="inlineStr">
        <is>
          <t>Building of the Tower of Babel; languages confused</t>
        </is>
      </c>
      <c r="L36" s="2" t="inlineStr">
        <is>
          <t>பாபேல் கோபுரம் கட்டுதல்</t>
        </is>
      </c>
      <c r="M36" s="7" t="inlineStr">
        <is>
          <t>Under Nimrod's leadership, people attempt to build a city and a tower to avoid being scattered. Jehovah confuses their language and scatters them; this division occurred during the days of Peleg.</t>
        </is>
      </c>
      <c r="N36" s="7" t="n"/>
      <c r="O36" s="8" t="inlineStr">
        <is>
          <t>Bible</t>
        </is>
      </c>
      <c r="P36" s="7" t="inlineStr">
        <is>
          <t>bible.judgment</t>
        </is>
      </c>
      <c r="Q36" s="7" t="inlineStr">
        <is>
          <t>judgment</t>
        </is>
      </c>
      <c r="R36" s="7" t="inlineStr">
        <is>
          <t>Nimrod; Peleg</t>
        </is>
      </c>
      <c r="S36" s="7" t="inlineStr">
        <is>
          <t>Babel; Shinar</t>
        </is>
      </c>
      <c r="T36" s="7" t="inlineStr">
        <is>
          <t>Gen. 11:4; Gen. 10:25; Gen. 11:9</t>
        </is>
      </c>
      <c r="U36" s="7" t="inlineStr">
        <is>
          <t>ஆதி. 11:4</t>
        </is>
      </c>
      <c r="V36" s="7" t="n">
        <v>3</v>
      </c>
      <c r="W36" s="7" t="inlineStr">
        <is>
          <t>Study Number 3—Measuring Events in the Stream of Time</t>
        </is>
      </c>
      <c r="X36" s="9" t="inlineStr">
        <is>
          <t>open</t>
        </is>
      </c>
      <c r="Y36" s="9" t="inlineStr">
        <is>
          <t>open</t>
        </is>
      </c>
      <c r="Z36" s="7" t="inlineStr">
        <is>
          <t>https://wol.jw.org/en/wol/d/r1/lp-e/1101990130
https://wol.jw.org/en/wol/d/r1/lp-e/1200000529
https://wol.jw.org/en/wol/d/r1/lp-e/1200000970</t>
        </is>
      </c>
      <c r="AA36" s="7" t="n">
        <v>0</v>
      </c>
      <c r="AB36" s="7" t="n"/>
      <c r="AC36" s="7" t="n">
        <v>1</v>
      </c>
      <c r="AD36" s="7" t="inlineStr">
        <is>
          <t>Insight 'Chronology' says the date is not stated in the record and places the dispersion sometime during Peleg's life (2269-2030 B.C.E.); si chart gives 'a. 2269 B.C.E.'. Not a contradiction, but Insight is less specific.</t>
        </is>
      </c>
      <c r="AE36" s="7" t="n"/>
      <c r="AF36" s="7" t="n"/>
      <c r="AG36" s="7" t="n"/>
      <c r="AH36" s="7" t="n"/>
      <c r="AI36" s="7" t="n"/>
      <c r="AJ36" s="7" t="n"/>
      <c r="AK36" s="7" t="n"/>
      <c r="AL36" s="7" t="n"/>
      <c r="AM36" s="7" t="n">
        <v>-2268.99</v>
      </c>
      <c r="AN36" s="10" t="n"/>
      <c r="AO36" s="10" t="n"/>
      <c r="AP36" s="10" t="n"/>
      <c r="AQ36" s="10" t="n"/>
    </row>
    <row r="37">
      <c r="A37" s="7" t="inlineStr">
        <is>
          <t>b1-0026</t>
        </is>
      </c>
      <c r="B37" s="7" t="inlineStr">
        <is>
          <t>Point</t>
        </is>
      </c>
      <c r="C37" s="7" t="n"/>
      <c r="D37" s="7" t="inlineStr">
        <is>
          <t>2239 B.C.E.</t>
        </is>
      </c>
      <c r="E37" s="7" t="n"/>
      <c r="F37" s="7" t="inlineStr">
        <is>
          <t>2239 BCE</t>
        </is>
      </c>
      <c r="G37" s="7" t="inlineStr">
        <is>
          <t>Exact</t>
        </is>
      </c>
      <c r="H37" s="7" t="n"/>
      <c r="I37" s="7" t="n"/>
      <c r="J37" s="7" t="n"/>
      <c r="K37" s="2" t="inlineStr">
        <is>
          <t>Birth of Reu</t>
        </is>
      </c>
      <c r="L37" s="2" t="n"/>
      <c r="M37" s="7" t="inlineStr">
        <is>
          <t>Reu, son of Peleg and an ancestor of Jesus Christ, is born.</t>
        </is>
      </c>
      <c r="N37" s="7" t="n"/>
      <c r="O37" s="8" t="inlineStr">
        <is>
          <t>Bible</t>
        </is>
      </c>
      <c r="P37" s="7" t="inlineStr">
        <is>
          <t>bible.patriarch</t>
        </is>
      </c>
      <c r="Q37" s="7" t="inlineStr">
        <is>
          <t>birth</t>
        </is>
      </c>
      <c r="R37" s="7" t="inlineStr">
        <is>
          <t>Reu; Peleg</t>
        </is>
      </c>
      <c r="S37" s="7" t="n"/>
      <c r="T37" s="7" t="inlineStr">
        <is>
          <t>Gen. 11:18-21; Luke 3:35</t>
        </is>
      </c>
      <c r="U37" s="7" t="n"/>
      <c r="V37" s="7" t="n">
        <v>1</v>
      </c>
      <c r="W37" s="7" t="inlineStr">
        <is>
          <t>Reu</t>
        </is>
      </c>
      <c r="X37" s="9" t="inlineStr">
        <is>
          <t>open</t>
        </is>
      </c>
      <c r="Y37" s="7" t="n"/>
      <c r="Z37" s="7" t="inlineStr">
        <is>
          <t>https://wol.jw.org/en/wol/d/r1/lp-e/1200003712</t>
        </is>
      </c>
      <c r="AA37" s="7" t="n">
        <v>0</v>
      </c>
      <c r="AB37" s="7" t="n"/>
      <c r="AC37" s="7" t="n">
        <v>0</v>
      </c>
      <c r="AD37" s="7" t="n"/>
      <c r="AE37" s="7" t="n"/>
      <c r="AF37" s="7" t="n"/>
      <c r="AG37" s="7" t="n"/>
      <c r="AH37" s="7" t="n"/>
      <c r="AI37" s="7" t="inlineStr">
        <is>
          <t>Covered by span – hide on chart</t>
        </is>
      </c>
      <c r="AJ37" s="7" t="inlineStr">
        <is>
          <t>start of Life of Reu (d1-0010)</t>
        </is>
      </c>
      <c r="AK37" s="7" t="n"/>
      <c r="AL37" s="7" t="n"/>
      <c r="AM37" s="7" t="n">
        <v>-2239</v>
      </c>
      <c r="AN37" s="10" t="n"/>
      <c r="AO37" s="10" t="n"/>
      <c r="AP37" s="10" t="n"/>
      <c r="AQ37" s="10" t="n"/>
    </row>
    <row r="38">
      <c r="A38" s="7" t="inlineStr">
        <is>
          <t>d1-0010</t>
        </is>
      </c>
      <c r="B38" s="11" t="inlineStr">
        <is>
          <t>Span</t>
        </is>
      </c>
      <c r="C38" s="7" t="inlineStr">
        <is>
          <t>lifespan</t>
        </is>
      </c>
      <c r="D38" s="7" t="inlineStr">
        <is>
          <t>2239 B.C.E. – 2000 B.C.E.</t>
        </is>
      </c>
      <c r="E38" s="7" t="n"/>
      <c r="F38" s="7" t="inlineStr">
        <is>
          <t>2239 BCE</t>
        </is>
      </c>
      <c r="G38" s="7" t="inlineStr">
        <is>
          <t>Exact</t>
        </is>
      </c>
      <c r="H38" s="7" t="inlineStr">
        <is>
          <t>2000 BCE</t>
        </is>
      </c>
      <c r="I38" s="7" t="inlineStr">
        <is>
          <t>Exact</t>
        </is>
      </c>
      <c r="J38" s="7" t="inlineStr">
        <is>
          <t>239 years</t>
        </is>
      </c>
      <c r="K38" s="2" t="inlineStr">
        <is>
          <t>Life of Reu</t>
        </is>
      </c>
      <c r="L38" s="2" t="n"/>
      <c r="M38" s="7" t="inlineStr">
        <is>
          <t>Reu: from Birth of Reu (2239 B.C.E.) to Death of Reu (2000 B.C.E.). Dates as given in the cited jw.org publications.</t>
        </is>
      </c>
      <c r="N38" s="7" t="n"/>
      <c r="O38" s="8" t="inlineStr">
        <is>
          <t>Bible</t>
        </is>
      </c>
      <c r="P38" s="7" t="inlineStr">
        <is>
          <t>bible.patriarch</t>
        </is>
      </c>
      <c r="Q38" s="7" t="inlineStr">
        <is>
          <t>lifespan</t>
        </is>
      </c>
      <c r="R38" s="7" t="inlineStr">
        <is>
          <t>Reu</t>
        </is>
      </c>
      <c r="S38" s="7" t="n"/>
      <c r="T38" s="7" t="inlineStr">
        <is>
          <t>Gen. 11:18-21; Luke 3:35; Gen. 11:21</t>
        </is>
      </c>
      <c r="U38" s="7" t="n"/>
      <c r="V38" s="7" t="n">
        <v>1</v>
      </c>
      <c r="W38" s="7" t="inlineStr">
        <is>
          <t>Reu</t>
        </is>
      </c>
      <c r="X38" s="9" t="inlineStr">
        <is>
          <t>open</t>
        </is>
      </c>
      <c r="Y38" s="7" t="n"/>
      <c r="Z38" s="7" t="inlineStr">
        <is>
          <t>https://wol.jw.org/en/wol/d/r1/lp-e/1200003712</t>
        </is>
      </c>
      <c r="AA38" s="7" t="n">
        <v>0</v>
      </c>
      <c r="AB38" s="7" t="n"/>
      <c r="AC38" s="7" t="n">
        <v>0</v>
      </c>
      <c r="AD38" s="7" t="n"/>
      <c r="AE38" s="7" t="inlineStr">
        <is>
          <t>Built from b1-0026 (start) and b1-0033 (end).</t>
        </is>
      </c>
      <c r="AF38" s="7" t="inlineStr">
        <is>
          <t>b1-0026</t>
        </is>
      </c>
      <c r="AG38" s="7" t="inlineStr">
        <is>
          <t>b1-0033</t>
        </is>
      </c>
      <c r="AH38" s="7" t="n"/>
      <c r="AI38" s="7" t="n"/>
      <c r="AJ38" s="7" t="n"/>
      <c r="AK38" s="7" t="inlineStr">
        <is>
          <t>post-flood-patriarchs #4 (item); messianic-line #16 (item)</t>
        </is>
      </c>
      <c r="AL38" s="7" t="n"/>
      <c r="AM38" s="7" t="n">
        <v>-2239</v>
      </c>
      <c r="AN38" s="10" t="n"/>
      <c r="AO38" s="10" t="n"/>
      <c r="AP38" s="10" t="n"/>
      <c r="AQ38" s="10" t="n"/>
    </row>
    <row r="39">
      <c r="A39" s="7" t="inlineStr">
        <is>
          <t>b1-0027</t>
        </is>
      </c>
      <c r="B39" s="7" t="inlineStr">
        <is>
          <t>Point</t>
        </is>
      </c>
      <c r="C39" s="7" t="n"/>
      <c r="D39" s="7" t="inlineStr">
        <is>
          <t>2207 B.C.E.</t>
        </is>
      </c>
      <c r="E39" s="7" t="n"/>
      <c r="F39" s="7" t="inlineStr">
        <is>
          <t>2207 BCE</t>
        </is>
      </c>
      <c r="G39" s="7" t="inlineStr">
        <is>
          <t>Exact</t>
        </is>
      </c>
      <c r="H39" s="7" t="n"/>
      <c r="I39" s="7" t="n"/>
      <c r="J39" s="7" t="n"/>
      <c r="K39" s="2" t="inlineStr">
        <is>
          <t>Birth of Serug</t>
        </is>
      </c>
      <c r="L39" s="2" t="n"/>
      <c r="M39" s="7" t="inlineStr">
        <is>
          <t>Serug, son of Reu, is born; he became father to Nahor at age 30.</t>
        </is>
      </c>
      <c r="N39" s="7" t="n"/>
      <c r="O39" s="8" t="inlineStr">
        <is>
          <t>Bible</t>
        </is>
      </c>
      <c r="P39" s="7" t="inlineStr">
        <is>
          <t>bible.patriarch</t>
        </is>
      </c>
      <c r="Q39" s="7" t="inlineStr">
        <is>
          <t>birth</t>
        </is>
      </c>
      <c r="R39" s="7" t="inlineStr">
        <is>
          <t>Serug; Reu</t>
        </is>
      </c>
      <c r="S39" s="7" t="n"/>
      <c r="T39" s="7" t="inlineStr">
        <is>
          <t>Gen. 11:20-23</t>
        </is>
      </c>
      <c r="U39" s="7" t="n"/>
      <c r="V39" s="7" t="n">
        <v>1</v>
      </c>
      <c r="W39" s="7" t="inlineStr">
        <is>
          <t>Serug</t>
        </is>
      </c>
      <c r="X39" s="9" t="inlineStr">
        <is>
          <t>open</t>
        </is>
      </c>
      <c r="Y39" s="7" t="n"/>
      <c r="Z39" s="7" t="inlineStr">
        <is>
          <t>https://wol.jw.org/en/wol/d/r1/lp-e/1200003909</t>
        </is>
      </c>
      <c r="AA39" s="7" t="n">
        <v>0</v>
      </c>
      <c r="AB39" s="7" t="n"/>
      <c r="AC39" s="7" t="n">
        <v>0</v>
      </c>
      <c r="AD39" s="7" t="n"/>
      <c r="AE39" s="7" t="n"/>
      <c r="AF39" s="7" t="n"/>
      <c r="AG39" s="7" t="n"/>
      <c r="AH39" s="7" t="n"/>
      <c r="AI39" s="7" t="inlineStr">
        <is>
          <t>Covered by span – hide on chart</t>
        </is>
      </c>
      <c r="AJ39" s="7" t="inlineStr">
        <is>
          <t>start of Life of Serug (d1-0011)</t>
        </is>
      </c>
      <c r="AK39" s="7" t="n"/>
      <c r="AL39" s="7" t="n"/>
      <c r="AM39" s="7" t="n">
        <v>-2207</v>
      </c>
      <c r="AN39" s="10" t="n"/>
      <c r="AO39" s="10" t="n"/>
      <c r="AP39" s="10" t="n"/>
      <c r="AQ39" s="10" t="n"/>
    </row>
    <row r="40">
      <c r="A40" s="7" t="inlineStr">
        <is>
          <t>d1-0011</t>
        </is>
      </c>
      <c r="B40" s="11" t="inlineStr">
        <is>
          <t>Span</t>
        </is>
      </c>
      <c r="C40" s="7" t="inlineStr">
        <is>
          <t>lifespan</t>
        </is>
      </c>
      <c r="D40" s="7" t="inlineStr">
        <is>
          <t>2207 B.C.E. – 1977 B.C.E.</t>
        </is>
      </c>
      <c r="E40" s="7" t="n"/>
      <c r="F40" s="7" t="inlineStr">
        <is>
          <t>2207 BCE</t>
        </is>
      </c>
      <c r="G40" s="7" t="inlineStr">
        <is>
          <t>Exact</t>
        </is>
      </c>
      <c r="H40" s="7" t="inlineStr">
        <is>
          <t>1977 BCE</t>
        </is>
      </c>
      <c r="I40" s="7" t="inlineStr">
        <is>
          <t>Exact</t>
        </is>
      </c>
      <c r="J40" s="7" t="inlineStr">
        <is>
          <t>230 years</t>
        </is>
      </c>
      <c r="K40" s="2" t="inlineStr">
        <is>
          <t>Life of Serug</t>
        </is>
      </c>
      <c r="L40" s="2" t="n"/>
      <c r="M40" s="7" t="inlineStr">
        <is>
          <t>Serug: from Birth of Serug (2207 B.C.E.) to Death of Serug (1977 B.C.E.). Dates as given in the cited jw.org publications.</t>
        </is>
      </c>
      <c r="N40" s="7" t="n"/>
      <c r="O40" s="8" t="inlineStr">
        <is>
          <t>Bible</t>
        </is>
      </c>
      <c r="P40" s="7" t="inlineStr">
        <is>
          <t>bible.patriarch</t>
        </is>
      </c>
      <c r="Q40" s="7" t="inlineStr">
        <is>
          <t>lifespan</t>
        </is>
      </c>
      <c r="R40" s="7" t="inlineStr">
        <is>
          <t>Serug</t>
        </is>
      </c>
      <c r="S40" s="7" t="n"/>
      <c r="T40" s="7" t="inlineStr">
        <is>
          <t>Gen. 11:20-23; Gen. 11:23</t>
        </is>
      </c>
      <c r="U40" s="7" t="n"/>
      <c r="V40" s="7" t="n">
        <v>1</v>
      </c>
      <c r="W40" s="7" t="inlineStr">
        <is>
          <t>Serug</t>
        </is>
      </c>
      <c r="X40" s="9" t="inlineStr">
        <is>
          <t>open</t>
        </is>
      </c>
      <c r="Y40" s="7" t="n"/>
      <c r="Z40" s="7" t="inlineStr">
        <is>
          <t>https://wol.jw.org/en/wol/d/r1/lp-e/1200003909</t>
        </is>
      </c>
      <c r="AA40" s="7" t="n">
        <v>0</v>
      </c>
      <c r="AB40" s="7" t="n"/>
      <c r="AC40" s="7" t="n">
        <v>0</v>
      </c>
      <c r="AD40" s="7" t="n"/>
      <c r="AE40" s="7" t="inlineStr">
        <is>
          <t>Built from b1-0027 (start) and b1-0034 (end).</t>
        </is>
      </c>
      <c r="AF40" s="7" t="inlineStr">
        <is>
          <t>b1-0027</t>
        </is>
      </c>
      <c r="AG40" s="7" t="inlineStr">
        <is>
          <t>b1-0034</t>
        </is>
      </c>
      <c r="AH40" s="7" t="n"/>
      <c r="AI40" s="7" t="n"/>
      <c r="AJ40" s="7" t="n"/>
      <c r="AK40" s="7" t="inlineStr">
        <is>
          <t>post-flood-patriarchs #5 (item); messianic-line #17 (item)</t>
        </is>
      </c>
      <c r="AL40" s="7" t="n"/>
      <c r="AM40" s="7" t="n">
        <v>-2207</v>
      </c>
      <c r="AN40" s="10" t="n"/>
      <c r="AO40" s="10" t="n"/>
      <c r="AP40" s="10" t="n"/>
      <c r="AQ40" s="10" t="n"/>
    </row>
    <row r="41">
      <c r="A41" s="7" t="inlineStr">
        <is>
          <t>b1-0028</t>
        </is>
      </c>
      <c r="B41" s="7" t="inlineStr">
        <is>
          <t>Point</t>
        </is>
      </c>
      <c r="C41" s="7" t="n"/>
      <c r="D41" s="7" t="inlineStr">
        <is>
          <t>2177 B.C.E.</t>
        </is>
      </c>
      <c r="E41" s="7" t="n"/>
      <c r="F41" s="7" t="inlineStr">
        <is>
          <t>2177 BCE</t>
        </is>
      </c>
      <c r="G41" s="7" t="inlineStr">
        <is>
          <t>Exact</t>
        </is>
      </c>
      <c r="H41" s="7" t="n"/>
      <c r="I41" s="7" t="n"/>
      <c r="J41" s="7" t="n"/>
      <c r="K41" s="2" t="inlineStr">
        <is>
          <t>Birth of Nahor (grandfather of Abraham)</t>
        </is>
      </c>
      <c r="L41" s="2" t="n"/>
      <c r="M41" s="7" t="inlineStr">
        <is>
          <t>Nahor, son of Serug and grandfather of Abraham, is born.</t>
        </is>
      </c>
      <c r="N41" s="7" t="n"/>
      <c r="O41" s="8" t="inlineStr">
        <is>
          <t>Bible</t>
        </is>
      </c>
      <c r="P41" s="7" t="inlineStr">
        <is>
          <t>bible.patriarch</t>
        </is>
      </c>
      <c r="Q41" s="7" t="inlineStr">
        <is>
          <t>birth</t>
        </is>
      </c>
      <c r="R41" s="7" t="inlineStr">
        <is>
          <t>Nahor; Serug</t>
        </is>
      </c>
      <c r="S41" s="7" t="n"/>
      <c r="T41" s="7" t="inlineStr">
        <is>
          <t>Gen. 11:22-26</t>
        </is>
      </c>
      <c r="U41" s="7" t="n"/>
      <c r="V41" s="7" t="n">
        <v>1</v>
      </c>
      <c r="W41" s="7" t="inlineStr">
        <is>
          <t>Nahor</t>
        </is>
      </c>
      <c r="X41" s="9" t="inlineStr">
        <is>
          <t>open</t>
        </is>
      </c>
      <c r="Y41" s="7" t="n"/>
      <c r="Z41" s="7" t="inlineStr">
        <is>
          <t>https://wol.jw.org/en/wol/d/r1/lp-e/1200003170</t>
        </is>
      </c>
      <c r="AA41" s="7" t="n">
        <v>0</v>
      </c>
      <c r="AB41" s="7" t="n"/>
      <c r="AC41" s="7" t="n">
        <v>0</v>
      </c>
      <c r="AD41" s="7" t="n"/>
      <c r="AE41" s="7" t="n"/>
      <c r="AF41" s="7" t="n"/>
      <c r="AG41" s="7" t="n"/>
      <c r="AH41" s="7" t="n"/>
      <c r="AI41" s="7" t="inlineStr">
        <is>
          <t>Covered by span – hide on chart</t>
        </is>
      </c>
      <c r="AJ41" s="7" t="inlineStr">
        <is>
          <t>start of Life of Nahor (d1-0012)</t>
        </is>
      </c>
      <c r="AK41" s="7" t="n"/>
      <c r="AL41" s="7" t="n"/>
      <c r="AM41" s="7" t="n">
        <v>-2177</v>
      </c>
      <c r="AN41" s="10" t="n"/>
      <c r="AO41" s="10" t="n"/>
      <c r="AP41" s="10" t="n"/>
      <c r="AQ41" s="10" t="n"/>
    </row>
    <row r="42">
      <c r="A42" s="7" t="inlineStr">
        <is>
          <t>d1-0012</t>
        </is>
      </c>
      <c r="B42" s="11" t="inlineStr">
        <is>
          <t>Span</t>
        </is>
      </c>
      <c r="C42" s="7" t="inlineStr">
        <is>
          <t>lifespan</t>
        </is>
      </c>
      <c r="D42" s="7" t="inlineStr">
        <is>
          <t>2177 B.C.E. – 2029 B.C.E.</t>
        </is>
      </c>
      <c r="E42" s="7" t="n"/>
      <c r="F42" s="7" t="inlineStr">
        <is>
          <t>2177 BCE</t>
        </is>
      </c>
      <c r="G42" s="7" t="inlineStr">
        <is>
          <t>Exact</t>
        </is>
      </c>
      <c r="H42" s="7" t="inlineStr">
        <is>
          <t>2029 BCE</t>
        </is>
      </c>
      <c r="I42" s="7" t="inlineStr">
        <is>
          <t>Exact</t>
        </is>
      </c>
      <c r="J42" s="7" t="inlineStr">
        <is>
          <t>148 years</t>
        </is>
      </c>
      <c r="K42" s="2" t="inlineStr">
        <is>
          <t>Life of Nahor</t>
        </is>
      </c>
      <c r="L42" s="2" t="n"/>
      <c r="M42" s="7" t="inlineStr">
        <is>
          <t>Nahor: from Birth of Nahor (grandfather of Abraham) (2177 B.C.E.) to Death of Nahor (grandfather of Abraham) (2029 B.C.E.). Dates as given in the cited jw.org publications.</t>
        </is>
      </c>
      <c r="N42" s="7" t="n"/>
      <c r="O42" s="8" t="inlineStr">
        <is>
          <t>Bible</t>
        </is>
      </c>
      <c r="P42" s="7" t="inlineStr">
        <is>
          <t>bible.patriarch</t>
        </is>
      </c>
      <c r="Q42" s="7" t="inlineStr">
        <is>
          <t>lifespan</t>
        </is>
      </c>
      <c r="R42" s="7" t="inlineStr">
        <is>
          <t>Nahor</t>
        </is>
      </c>
      <c r="S42" s="7" t="n"/>
      <c r="T42" s="7" t="inlineStr">
        <is>
          <t>Gen. 11:22-26; Gen. 11:25</t>
        </is>
      </c>
      <c r="U42" s="7" t="n"/>
      <c r="V42" s="7" t="n">
        <v>1</v>
      </c>
      <c r="W42" s="7" t="inlineStr">
        <is>
          <t>Nahor</t>
        </is>
      </c>
      <c r="X42" s="9" t="inlineStr">
        <is>
          <t>open</t>
        </is>
      </c>
      <c r="Y42" s="7" t="n"/>
      <c r="Z42" s="7" t="inlineStr">
        <is>
          <t>https://wol.jw.org/en/wol/d/r1/lp-e/1200003170</t>
        </is>
      </c>
      <c r="AA42" s="7" t="n">
        <v>0</v>
      </c>
      <c r="AB42" s="7" t="n"/>
      <c r="AC42" s="7" t="n">
        <v>0</v>
      </c>
      <c r="AD42" s="7" t="n"/>
      <c r="AE42" s="7" t="inlineStr">
        <is>
          <t>Built from b1-0028 (start) and b1-0030 (end).</t>
        </is>
      </c>
      <c r="AF42" s="7" t="inlineStr">
        <is>
          <t>b1-0028</t>
        </is>
      </c>
      <c r="AG42" s="7" t="inlineStr">
        <is>
          <t>b1-0030</t>
        </is>
      </c>
      <c r="AH42" s="7" t="n"/>
      <c r="AI42" s="7" t="n"/>
      <c r="AJ42" s="7" t="n"/>
      <c r="AK42" s="7" t="inlineStr">
        <is>
          <t>post-flood-patriarchs #6 (item); messianic-line #18 (item)</t>
        </is>
      </c>
      <c r="AL42" s="7" t="n"/>
      <c r="AM42" s="7" t="n">
        <v>-2177</v>
      </c>
      <c r="AN42" s="10" t="n"/>
      <c r="AO42" s="10" t="n"/>
      <c r="AP42" s="10" t="n"/>
      <c r="AQ42" s="10" t="n"/>
    </row>
    <row r="43">
      <c r="A43" s="7" t="inlineStr">
        <is>
          <t>b1-0029</t>
        </is>
      </c>
      <c r="B43" s="7" t="inlineStr">
        <is>
          <t>Point</t>
        </is>
      </c>
      <c r="C43" s="7" t="n"/>
      <c r="D43" s="7" t="inlineStr">
        <is>
          <t>2030 B.C.E.</t>
        </is>
      </c>
      <c r="E43" s="7" t="n"/>
      <c r="F43" s="7" t="inlineStr">
        <is>
          <t>2030 BCE</t>
        </is>
      </c>
      <c r="G43" s="7" t="inlineStr">
        <is>
          <t>Exact</t>
        </is>
      </c>
      <c r="H43" s="7" t="n"/>
      <c r="I43" s="7" t="n"/>
      <c r="J43" s="7" t="n"/>
      <c r="K43" s="2" t="inlineStr">
        <is>
          <t>Death of Peleg</t>
        </is>
      </c>
      <c r="L43" s="2" t="n"/>
      <c r="M43" s="7" t="inlineStr">
        <is>
          <t>Peleg dies at the age of 239.</t>
        </is>
      </c>
      <c r="N43" s="7" t="n"/>
      <c r="O43" s="8" t="inlineStr">
        <is>
          <t>Bible</t>
        </is>
      </c>
      <c r="P43" s="7" t="inlineStr">
        <is>
          <t>bible.patriarch</t>
        </is>
      </c>
      <c r="Q43" s="7" t="inlineStr">
        <is>
          <t>death</t>
        </is>
      </c>
      <c r="R43" s="7" t="inlineStr">
        <is>
          <t>Peleg</t>
        </is>
      </c>
      <c r="S43" s="7" t="n"/>
      <c r="T43" s="7" t="inlineStr">
        <is>
          <t>Gen. 11:19</t>
        </is>
      </c>
      <c r="U43" s="7" t="n"/>
      <c r="V43" s="7" t="n">
        <v>1</v>
      </c>
      <c r="W43" s="7" t="inlineStr">
        <is>
          <t>Peleg</t>
        </is>
      </c>
      <c r="X43" s="9" t="inlineStr">
        <is>
          <t>open</t>
        </is>
      </c>
      <c r="Y43" s="7" t="n"/>
      <c r="Z43" s="7" t="inlineStr">
        <is>
          <t>https://wol.jw.org/en/wol/d/r1/lp-e/1200003421</t>
        </is>
      </c>
      <c r="AA43" s="7" t="n">
        <v>0</v>
      </c>
      <c r="AB43" s="7" t="n"/>
      <c r="AC43" s="7" t="n">
        <v>0</v>
      </c>
      <c r="AD43" s="7" t="n"/>
      <c r="AE43" s="7" t="n"/>
      <c r="AF43" s="7" t="n"/>
      <c r="AG43" s="7" t="n"/>
      <c r="AH43" s="7" t="n"/>
      <c r="AI43" s="7" t="inlineStr">
        <is>
          <t>Covered by span – hide on chart</t>
        </is>
      </c>
      <c r="AJ43" s="7" t="inlineStr">
        <is>
          <t>end of Life of Peleg (d1-0009)</t>
        </is>
      </c>
      <c r="AK43" s="7" t="n"/>
      <c r="AL43" s="7" t="n"/>
      <c r="AM43" s="7" t="n">
        <v>-2030</v>
      </c>
      <c r="AN43" s="10" t="n"/>
      <c r="AO43" s="10" t="n"/>
      <c r="AP43" s="10" t="n"/>
      <c r="AQ43" s="10" t="n"/>
    </row>
    <row r="44">
      <c r="A44" s="7" t="inlineStr">
        <is>
          <t>b1-0030</t>
        </is>
      </c>
      <c r="B44" s="7" t="inlineStr">
        <is>
          <t>Point</t>
        </is>
      </c>
      <c r="C44" s="7" t="n"/>
      <c r="D44" s="7" t="inlineStr">
        <is>
          <t>2029 B.C.E.</t>
        </is>
      </c>
      <c r="E44" s="7" t="n"/>
      <c r="F44" s="7" t="inlineStr">
        <is>
          <t>2029 BCE</t>
        </is>
      </c>
      <c r="G44" s="7" t="inlineStr">
        <is>
          <t>Exact</t>
        </is>
      </c>
      <c r="H44" s="7" t="n"/>
      <c r="I44" s="7" t="n"/>
      <c r="J44" s="7" t="n"/>
      <c r="K44" s="2" t="inlineStr">
        <is>
          <t>Death of Nahor (grandfather of Abraham)</t>
        </is>
      </c>
      <c r="L44" s="2" t="n"/>
      <c r="M44" s="7" t="inlineStr">
        <is>
          <t>Nahor, son of Serug, dies at the age of 148.</t>
        </is>
      </c>
      <c r="N44" s="7" t="n"/>
      <c r="O44" s="8" t="inlineStr">
        <is>
          <t>Bible</t>
        </is>
      </c>
      <c r="P44" s="7" t="inlineStr">
        <is>
          <t>bible.patriarch</t>
        </is>
      </c>
      <c r="Q44" s="7" t="inlineStr">
        <is>
          <t>death</t>
        </is>
      </c>
      <c r="R44" s="7" t="inlineStr">
        <is>
          <t>Nahor</t>
        </is>
      </c>
      <c r="S44" s="7" t="n"/>
      <c r="T44" s="7" t="inlineStr">
        <is>
          <t>Gen. 11:25</t>
        </is>
      </c>
      <c r="U44" s="7" t="n"/>
      <c r="V44" s="7" t="n">
        <v>1</v>
      </c>
      <c r="W44" s="7" t="inlineStr">
        <is>
          <t>Nahor</t>
        </is>
      </c>
      <c r="X44" s="9" t="inlineStr">
        <is>
          <t>open</t>
        </is>
      </c>
      <c r="Y44" s="7" t="n"/>
      <c r="Z44" s="7" t="inlineStr">
        <is>
          <t>https://wol.jw.org/en/wol/d/r1/lp-e/1200003170</t>
        </is>
      </c>
      <c r="AA44" s="7" t="n">
        <v>0</v>
      </c>
      <c r="AB44" s="7" t="n"/>
      <c r="AC44" s="7" t="n">
        <v>0</v>
      </c>
      <c r="AD44" s="7" t="n"/>
      <c r="AE44" s="7" t="n"/>
      <c r="AF44" s="7" t="n"/>
      <c r="AG44" s="7" t="n"/>
      <c r="AH44" s="7" t="n"/>
      <c r="AI44" s="7" t="inlineStr">
        <is>
          <t>Covered by span – hide on chart</t>
        </is>
      </c>
      <c r="AJ44" s="7" t="inlineStr">
        <is>
          <t>end of Life of Nahor (d1-0012)</t>
        </is>
      </c>
      <c r="AK44" s="7" t="n"/>
      <c r="AL44" s="7" t="n"/>
      <c r="AM44" s="7" t="n">
        <v>-2029</v>
      </c>
      <c r="AN44" s="10" t="n"/>
      <c r="AO44" s="10" t="n"/>
      <c r="AP44" s="10" t="n"/>
      <c r="AQ44" s="10" t="n"/>
    </row>
    <row r="45">
      <c r="A45" s="7" t="inlineStr">
        <is>
          <t>b1-0031</t>
        </is>
      </c>
      <c r="B45" s="7" t="inlineStr">
        <is>
          <t>Point</t>
        </is>
      </c>
      <c r="C45" s="7" t="n"/>
      <c r="D45" s="7" t="inlineStr">
        <is>
          <t>2020 B.C.E.</t>
        </is>
      </c>
      <c r="E45" s="7" t="inlineStr">
        <is>
          <t>பொ.ச.மு. 2020</t>
        </is>
      </c>
      <c r="F45" s="7" t="inlineStr">
        <is>
          <t>2020 BCE</t>
        </is>
      </c>
      <c r="G45" s="7" t="inlineStr">
        <is>
          <t>Exact</t>
        </is>
      </c>
      <c r="H45" s="7" t="n"/>
      <c r="I45" s="7" t="n"/>
      <c r="J45" s="7" t="n"/>
      <c r="K45" s="2" t="inlineStr">
        <is>
          <t>Death of Noah</t>
        </is>
      </c>
      <c r="L45" s="2" t="inlineStr">
        <is>
          <t>நோவாவின் மரணம்</t>
        </is>
      </c>
      <c r="M45" s="7" t="inlineStr">
        <is>
          <t>Noah dies at the age of 950, having lived 350 years after the Flood.</t>
        </is>
      </c>
      <c r="N45" s="7" t="n"/>
      <c r="O45" s="8" t="inlineStr">
        <is>
          <t>Bible</t>
        </is>
      </c>
      <c r="P45" s="7" t="inlineStr">
        <is>
          <t>bible.patriarch</t>
        </is>
      </c>
      <c r="Q45" s="7" t="inlineStr">
        <is>
          <t>death</t>
        </is>
      </c>
      <c r="R45" s="7" t="inlineStr">
        <is>
          <t>Noah</t>
        </is>
      </c>
      <c r="S45" s="7" t="n"/>
      <c r="T45" s="7" t="inlineStr">
        <is>
          <t>Gen. 9:28, 29</t>
        </is>
      </c>
      <c r="U45" s="7" t="inlineStr">
        <is>
          <t>ஆதி. 9:28, 29</t>
        </is>
      </c>
      <c r="V45" s="7" t="n">
        <v>2</v>
      </c>
      <c r="W45" s="7" t="inlineStr">
        <is>
          <t>Study Number 3—Measuring Events in the Stream of Time</t>
        </is>
      </c>
      <c r="X45" s="9" t="inlineStr">
        <is>
          <t>open</t>
        </is>
      </c>
      <c r="Y45" s="9" t="inlineStr">
        <is>
          <t>open</t>
        </is>
      </c>
      <c r="Z45" s="7" t="inlineStr">
        <is>
          <t>https://wol.jw.org/en/wol/d/r1/lp-e/1101990130
https://wol.jw.org/en/wol/d/r1/lp-e/1200003266</t>
        </is>
      </c>
      <c r="AA45" s="7" t="n">
        <v>0</v>
      </c>
      <c r="AB45" s="7" t="n"/>
      <c r="AC45" s="7" t="n">
        <v>0</v>
      </c>
      <c r="AD45" s="7" t="n"/>
      <c r="AE45" s="7" t="n"/>
      <c r="AF45" s="7" t="n"/>
      <c r="AG45" s="7" t="n"/>
      <c r="AH45" s="7" t="n"/>
      <c r="AI45" s="7" t="inlineStr">
        <is>
          <t>Covered by span – hide on chart</t>
        </is>
      </c>
      <c r="AJ45" s="7" t="inlineStr">
        <is>
          <t>end of Life of Noah (d1-0006)</t>
        </is>
      </c>
      <c r="AK45" s="7" t="n"/>
      <c r="AL45" s="7" t="n"/>
      <c r="AM45" s="7" t="n">
        <v>-2020</v>
      </c>
      <c r="AN45" s="10" t="n"/>
      <c r="AO45" s="10" t="n"/>
      <c r="AP45" s="10" t="n"/>
      <c r="AQ45" s="10" t="n"/>
    </row>
    <row r="46">
      <c r="A46" s="7" t="inlineStr">
        <is>
          <t>b1-0032</t>
        </is>
      </c>
      <c r="B46" s="7" t="inlineStr">
        <is>
          <t>Point</t>
        </is>
      </c>
      <c r="C46" s="7" t="n"/>
      <c r="D46" s="7" t="inlineStr">
        <is>
          <t>2018 B.C.E.</t>
        </is>
      </c>
      <c r="E46" s="7" t="inlineStr">
        <is>
          <t>பொ.ச.மு. 2018</t>
        </is>
      </c>
      <c r="F46" s="7" t="inlineStr">
        <is>
          <t>2018 BCE</t>
        </is>
      </c>
      <c r="G46" s="7" t="inlineStr">
        <is>
          <t>Exact</t>
        </is>
      </c>
      <c r="H46" s="7" t="n"/>
      <c r="I46" s="7" t="n"/>
      <c r="J46" s="7" t="n"/>
      <c r="K46" s="2" t="inlineStr">
        <is>
          <t>Birth of Abraham (Abram)</t>
        </is>
      </c>
      <c r="L46" s="2" t="inlineStr">
        <is>
          <t>ஆபிரகாமின் பிறப்பு</t>
        </is>
      </c>
      <c r="M46" s="7" t="inlineStr">
        <is>
          <t>Abram, later named Abraham, is born to Terah 352 years after the Flood, the tenth generation from Noah through Shem.</t>
        </is>
      </c>
      <c r="N46" s="7" t="n"/>
      <c r="O46" s="8" t="inlineStr">
        <is>
          <t>Bible</t>
        </is>
      </c>
      <c r="P46" s="7" t="inlineStr">
        <is>
          <t>bible.patriarch</t>
        </is>
      </c>
      <c r="Q46" s="7" t="inlineStr">
        <is>
          <t>birth</t>
        </is>
      </c>
      <c r="R46" s="7" t="inlineStr">
        <is>
          <t>Abraham; Terah</t>
        </is>
      </c>
      <c r="S46" s="7" t="inlineStr">
        <is>
          <t>Ur</t>
        </is>
      </c>
      <c r="T46" s="7" t="inlineStr">
        <is>
          <t>Gen. 11:26, 32; Gen. 12:4</t>
        </is>
      </c>
      <c r="U46" s="7" t="inlineStr">
        <is>
          <t>ஆதி. 11:26, 32; ஆதி. 12:4</t>
        </is>
      </c>
      <c r="V46" s="7" t="n">
        <v>2</v>
      </c>
      <c r="W46" s="7" t="inlineStr">
        <is>
          <t>Study Number 3—Measuring Events in the Stream of Time</t>
        </is>
      </c>
      <c r="X46" s="9" t="inlineStr">
        <is>
          <t>open</t>
        </is>
      </c>
      <c r="Y46" s="9" t="inlineStr">
        <is>
          <t>open</t>
        </is>
      </c>
      <c r="Z46" s="7" t="inlineStr">
        <is>
          <t>https://wol.jw.org/en/wol/d/r1/lp-e/1101990130
https://wol.jw.org/en/wol/d/r1/lp-e/1200000060</t>
        </is>
      </c>
      <c r="AA46" s="7" t="n">
        <v>1</v>
      </c>
      <c r="AB46" s="9" t="inlineStr">
        <is>
          <t>open</t>
        </is>
      </c>
      <c r="AC46" s="7" t="n">
        <v>0</v>
      </c>
      <c r="AD46" s="7" t="n"/>
      <c r="AE46" s="7" t="n"/>
      <c r="AF46" s="7" t="n"/>
      <c r="AG46" s="7" t="n"/>
      <c r="AH46" s="7" t="n"/>
      <c r="AI46" s="7" t="inlineStr">
        <is>
          <t>Covered by span – hide on chart</t>
        </is>
      </c>
      <c r="AJ46" s="7" t="inlineStr">
        <is>
          <t>start of Life of Abraham (d1-0013)</t>
        </is>
      </c>
      <c r="AK46" s="7" t="n"/>
      <c r="AL46" s="7" t="n"/>
      <c r="AM46" s="7" t="n">
        <v>-2018</v>
      </c>
      <c r="AN46" s="10" t="n"/>
      <c r="AO46" s="10" t="n"/>
      <c r="AP46" s="10" t="n"/>
      <c r="AQ46" s="10" t="n"/>
    </row>
    <row r="47">
      <c r="A47" s="7" t="inlineStr">
        <is>
          <t>d1-0013</t>
        </is>
      </c>
      <c r="B47" s="11" t="inlineStr">
        <is>
          <t>Span</t>
        </is>
      </c>
      <c r="C47" s="7" t="inlineStr">
        <is>
          <t>lifespan</t>
        </is>
      </c>
      <c r="D47" s="7" t="inlineStr">
        <is>
          <t>2018 B.C.E. – 1843 B.C.E.</t>
        </is>
      </c>
      <c r="E47" s="7" t="inlineStr">
        <is>
          <t>பொ.ச.மு. 2018 – பொ.ச.மு. 1843</t>
        </is>
      </c>
      <c r="F47" s="7" t="inlineStr">
        <is>
          <t>2018 BCE</t>
        </is>
      </c>
      <c r="G47" s="7" t="inlineStr">
        <is>
          <t>Exact</t>
        </is>
      </c>
      <c r="H47" s="7" t="inlineStr">
        <is>
          <t>1843 BCE</t>
        </is>
      </c>
      <c r="I47" s="7" t="inlineStr">
        <is>
          <t>Exact</t>
        </is>
      </c>
      <c r="J47" s="7" t="inlineStr">
        <is>
          <t>175 years</t>
        </is>
      </c>
      <c r="K47" s="2" t="inlineStr">
        <is>
          <t>Life of Abraham</t>
        </is>
      </c>
      <c r="L47" s="2" t="n"/>
      <c r="M47" s="7" t="inlineStr">
        <is>
          <t>Abraham: from Birth of Abraham (Abram) (2018 B.C.E.) to Death of Abraham (1843 B.C.E.). Dates as given in the cited jw.org publications.</t>
        </is>
      </c>
      <c r="N47" s="7" t="n"/>
      <c r="O47" s="8" t="inlineStr">
        <is>
          <t>Bible</t>
        </is>
      </c>
      <c r="P47" s="7" t="inlineStr">
        <is>
          <t>bible.patriarch</t>
        </is>
      </c>
      <c r="Q47" s="7" t="inlineStr">
        <is>
          <t>lifespan</t>
        </is>
      </c>
      <c r="R47" s="7" t="inlineStr">
        <is>
          <t>Abraham</t>
        </is>
      </c>
      <c r="S47" s="7" t="inlineStr">
        <is>
          <t>Ur; Machpelah</t>
        </is>
      </c>
      <c r="T47" s="7" t="inlineStr">
        <is>
          <t>Gen. 11:26, 32; Gen. 12:4; Gen. 25:7</t>
        </is>
      </c>
      <c r="U47" s="7" t="inlineStr">
        <is>
          <t>ஆதி. 11:26, 32; ஆதி. 12:4; ஆதி. 25:7</t>
        </is>
      </c>
      <c r="V47" s="7" t="n">
        <v>3</v>
      </c>
      <c r="W47" s="7" t="inlineStr">
        <is>
          <t>Study Number 3—Measuring Events in the Stream of Time</t>
        </is>
      </c>
      <c r="X47" s="9" t="inlineStr">
        <is>
          <t>open</t>
        </is>
      </c>
      <c r="Y47" s="9" t="inlineStr">
        <is>
          <t>open</t>
        </is>
      </c>
      <c r="Z47" s="7" t="inlineStr">
        <is>
          <t>https://wol.jw.org/en/wol/d/r1/lp-e/1101990130
https://wol.jw.org/en/wol/d/r1/lp-e/1200000060
https://wol.jw.org/en/wol/d/r1/lp-e/1200002279</t>
        </is>
      </c>
      <c r="AA47" s="7" t="n">
        <v>0</v>
      </c>
      <c r="AB47" s="7" t="n"/>
      <c r="AC47" s="7" t="n">
        <v>0</v>
      </c>
      <c r="AD47" s="7" t="n"/>
      <c r="AE47" s="7" t="inlineStr">
        <is>
          <t>Built from b1-0032 (start) and b1-0053 (end).</t>
        </is>
      </c>
      <c r="AF47" s="7" t="inlineStr">
        <is>
          <t>b1-0032</t>
        </is>
      </c>
      <c r="AG47" s="7" t="inlineStr">
        <is>
          <t>b1-0053</t>
        </is>
      </c>
      <c r="AH47" s="7" t="n"/>
      <c r="AI47" s="7" t="n"/>
      <c r="AJ47" s="7" t="n"/>
      <c r="AK47" s="7" t="inlineStr">
        <is>
          <t>post-flood-patriarchs #7 (item); messianic-line #20 (item)</t>
        </is>
      </c>
      <c r="AL47" s="7" t="n"/>
      <c r="AM47" s="7" t="n">
        <v>-2018</v>
      </c>
      <c r="AN47" s="10" t="n"/>
      <c r="AO47" s="10" t="n"/>
      <c r="AP47" s="10" t="n"/>
      <c r="AQ47" s="10" t="n"/>
    </row>
    <row r="48">
      <c r="A48" s="7" t="inlineStr">
        <is>
          <t>b1-0033</t>
        </is>
      </c>
      <c r="B48" s="7" t="inlineStr">
        <is>
          <t>Point</t>
        </is>
      </c>
      <c r="C48" s="7" t="n"/>
      <c r="D48" s="7" t="inlineStr">
        <is>
          <t>2000 B.C.E.</t>
        </is>
      </c>
      <c r="E48" s="7" t="n"/>
      <c r="F48" s="7" t="inlineStr">
        <is>
          <t>2000 BCE</t>
        </is>
      </c>
      <c r="G48" s="7" t="inlineStr">
        <is>
          <t>Exact</t>
        </is>
      </c>
      <c r="H48" s="7" t="n"/>
      <c r="I48" s="7" t="n"/>
      <c r="J48" s="7" t="n"/>
      <c r="K48" s="2" t="inlineStr">
        <is>
          <t>Death of Reu</t>
        </is>
      </c>
      <c r="L48" s="2" t="n"/>
      <c r="M48" s="7" t="inlineStr">
        <is>
          <t>Reu dies at the age of 239.</t>
        </is>
      </c>
      <c r="N48" s="7" t="n"/>
      <c r="O48" s="8" t="inlineStr">
        <is>
          <t>Bible</t>
        </is>
      </c>
      <c r="P48" s="7" t="inlineStr">
        <is>
          <t>bible.patriarch</t>
        </is>
      </c>
      <c r="Q48" s="7" t="inlineStr">
        <is>
          <t>death</t>
        </is>
      </c>
      <c r="R48" s="7" t="inlineStr">
        <is>
          <t>Reu</t>
        </is>
      </c>
      <c r="S48" s="7" t="n"/>
      <c r="T48" s="7" t="inlineStr">
        <is>
          <t>Gen. 11:21</t>
        </is>
      </c>
      <c r="U48" s="7" t="n"/>
      <c r="V48" s="7" t="n">
        <v>1</v>
      </c>
      <c r="W48" s="7" t="inlineStr">
        <is>
          <t>Reu</t>
        </is>
      </c>
      <c r="X48" s="9" t="inlineStr">
        <is>
          <t>open</t>
        </is>
      </c>
      <c r="Y48" s="7" t="n"/>
      <c r="Z48" s="7" t="inlineStr">
        <is>
          <t>https://wol.jw.org/en/wol/d/r1/lp-e/1200003712</t>
        </is>
      </c>
      <c r="AA48" s="7" t="n">
        <v>0</v>
      </c>
      <c r="AB48" s="7" t="n"/>
      <c r="AC48" s="7" t="n">
        <v>0</v>
      </c>
      <c r="AD48" s="7" t="n"/>
      <c r="AE48" s="7" t="n"/>
      <c r="AF48" s="7" t="n"/>
      <c r="AG48" s="7" t="n"/>
      <c r="AH48" s="7" t="n"/>
      <c r="AI48" s="7" t="inlineStr">
        <is>
          <t>Covered by span – hide on chart</t>
        </is>
      </c>
      <c r="AJ48" s="7" t="inlineStr">
        <is>
          <t>end of Life of Reu (d1-0010)</t>
        </is>
      </c>
      <c r="AK48" s="7" t="n"/>
      <c r="AL48" s="7" t="n"/>
      <c r="AM48" s="7" t="n">
        <v>-2000</v>
      </c>
      <c r="AN48" s="10" t="n"/>
      <c r="AO48" s="10" t="n"/>
      <c r="AP48" s="10" t="n"/>
      <c r="AQ48" s="10" t="n"/>
    </row>
    <row r="49">
      <c r="A49" s="7" t="inlineStr">
        <is>
          <t>b1-0034</t>
        </is>
      </c>
      <c r="B49" s="7" t="inlineStr">
        <is>
          <t>Point</t>
        </is>
      </c>
      <c r="C49" s="7" t="n"/>
      <c r="D49" s="7" t="inlineStr">
        <is>
          <t>1977 B.C.E.</t>
        </is>
      </c>
      <c r="E49" s="7" t="n"/>
      <c r="F49" s="7" t="inlineStr">
        <is>
          <t>1977 BCE</t>
        </is>
      </c>
      <c r="G49" s="7" t="inlineStr">
        <is>
          <t>Exact</t>
        </is>
      </c>
      <c r="H49" s="7" t="n"/>
      <c r="I49" s="7" t="n"/>
      <c r="J49" s="7" t="n"/>
      <c r="K49" s="2" t="inlineStr">
        <is>
          <t>Death of Serug</t>
        </is>
      </c>
      <c r="L49" s="2" t="n"/>
      <c r="M49" s="7" t="inlineStr">
        <is>
          <t>Serug dies at the age of 230.</t>
        </is>
      </c>
      <c r="N49" s="7" t="n"/>
      <c r="O49" s="8" t="inlineStr">
        <is>
          <t>Bible</t>
        </is>
      </c>
      <c r="P49" s="7" t="inlineStr">
        <is>
          <t>bible.patriarch</t>
        </is>
      </c>
      <c r="Q49" s="7" t="inlineStr">
        <is>
          <t>death</t>
        </is>
      </c>
      <c r="R49" s="7" t="inlineStr">
        <is>
          <t>Serug</t>
        </is>
      </c>
      <c r="S49" s="7" t="n"/>
      <c r="T49" s="7" t="inlineStr">
        <is>
          <t>Gen. 11:23</t>
        </is>
      </c>
      <c r="U49" s="7" t="n"/>
      <c r="V49" s="7" t="n">
        <v>1</v>
      </c>
      <c r="W49" s="7" t="inlineStr">
        <is>
          <t>Serug</t>
        </is>
      </c>
      <c r="X49" s="9" t="inlineStr">
        <is>
          <t>open</t>
        </is>
      </c>
      <c r="Y49" s="7" t="n"/>
      <c r="Z49" s="7" t="inlineStr">
        <is>
          <t>https://wol.jw.org/en/wol/d/r1/lp-e/1200003909</t>
        </is>
      </c>
      <c r="AA49" s="7" t="n">
        <v>0</v>
      </c>
      <c r="AB49" s="7" t="n"/>
      <c r="AC49" s="7" t="n">
        <v>0</v>
      </c>
      <c r="AD49" s="7" t="n"/>
      <c r="AE49" s="7" t="n"/>
      <c r="AF49" s="7" t="n"/>
      <c r="AG49" s="7" t="n"/>
      <c r="AH49" s="7" t="n"/>
      <c r="AI49" s="7" t="inlineStr">
        <is>
          <t>Covered by span – hide on chart</t>
        </is>
      </c>
      <c r="AJ49" s="7" t="inlineStr">
        <is>
          <t>end of Life of Serug (d1-0011)</t>
        </is>
      </c>
      <c r="AK49" s="7" t="n"/>
      <c r="AL49" s="7" t="n"/>
      <c r="AM49" s="7" t="n">
        <v>-1977</v>
      </c>
      <c r="AN49" s="10" t="n"/>
      <c r="AO49" s="10" t="n"/>
      <c r="AP49" s="10" t="n"/>
      <c r="AQ49" s="10" t="n"/>
    </row>
    <row r="50">
      <c r="A50" s="7" t="inlineStr">
        <is>
          <t>b1-0035</t>
        </is>
      </c>
      <c r="B50" s="7" t="inlineStr">
        <is>
          <t>Point</t>
        </is>
      </c>
      <c r="C50" s="7" t="n"/>
      <c r="D50" s="7" t="inlineStr">
        <is>
          <t>c. 1943 B.C.E.</t>
        </is>
      </c>
      <c r="E50" s="7" t="n"/>
      <c r="F50" s="7" t="inlineStr">
        <is>
          <t>1943 BCE</t>
        </is>
      </c>
      <c r="G50" s="7" t="inlineStr">
        <is>
          <t>Approx. (c.)</t>
        </is>
      </c>
      <c r="H50" s="7" t="n"/>
      <c r="I50" s="7" t="n"/>
      <c r="J50" s="7" t="n"/>
      <c r="K50" s="2" t="inlineStr">
        <is>
          <t>Death of Terah at Haran</t>
        </is>
      </c>
      <c r="L50" s="2" t="n"/>
      <c r="M50" s="7" t="inlineStr">
        <is>
          <t>Terah, Abraham's father, who had accompanied the family from Ur, dies in Haran. Abraham then leaves Haran for Canaan.</t>
        </is>
      </c>
      <c r="N50" s="7" t="n"/>
      <c r="O50" s="8" t="inlineStr">
        <is>
          <t>Bible</t>
        </is>
      </c>
      <c r="P50" s="7" t="inlineStr">
        <is>
          <t>bible.patriarch</t>
        </is>
      </c>
      <c r="Q50" s="7" t="inlineStr">
        <is>
          <t>death</t>
        </is>
      </c>
      <c r="R50" s="7" t="inlineStr">
        <is>
          <t>Terah; Abraham</t>
        </is>
      </c>
      <c r="S50" s="7" t="inlineStr">
        <is>
          <t>Haran; Ur</t>
        </is>
      </c>
      <c r="T50" s="7" t="inlineStr">
        <is>
          <t>Gen. 11:31, 32; Acts 7:2-4</t>
        </is>
      </c>
      <c r="U50" s="7" t="n"/>
      <c r="V50" s="7" t="n">
        <v>2</v>
      </c>
      <c r="W50" s="7" t="inlineStr">
        <is>
          <t>Terah</t>
        </is>
      </c>
      <c r="X50" s="9" t="inlineStr">
        <is>
          <t>open</t>
        </is>
      </c>
      <c r="Y50" s="7" t="n"/>
      <c r="Z50" s="7" t="inlineStr">
        <is>
          <t>https://wol.jw.org/en/wol/d/r1/lp-e/1200004368
https://wol.jw.org/en/wol/d/r1/lp-e/1200000970</t>
        </is>
      </c>
      <c r="AA50" s="7" t="n">
        <v>0</v>
      </c>
      <c r="AB50" s="7" t="n"/>
      <c r="AC50" s="7" t="n">
        <v>0</v>
      </c>
      <c r="AD50" s="7" t="n"/>
      <c r="AE50" s="7" t="n"/>
      <c r="AF50" s="7" t="n"/>
      <c r="AG50" s="7" t="n"/>
      <c r="AH50" s="7" t="n"/>
      <c r="AI50" s="7" t="n"/>
      <c r="AJ50" s="7" t="n"/>
      <c r="AK50" s="7" t="inlineStr">
        <is>
          <t>messianic-line #19 (item); patriarchs-travels #2 (context)</t>
        </is>
      </c>
      <c r="AL50" s="7" t="n"/>
      <c r="AM50" s="7" t="n">
        <v>-1942.85</v>
      </c>
      <c r="AN50" s="10" t="n"/>
      <c r="AO50" s="10" t="n"/>
      <c r="AP50" s="10" t="n"/>
      <c r="AQ50" s="10" t="n"/>
    </row>
    <row r="51">
      <c r="A51" s="7" t="inlineStr">
        <is>
          <t>b1-0036</t>
        </is>
      </c>
      <c r="B51" s="7" t="inlineStr">
        <is>
          <t>Point</t>
        </is>
      </c>
      <c r="C51" s="7" t="n"/>
      <c r="D51" s="7" t="inlineStr">
        <is>
          <t>1943 B.C.E., Nisan 14</t>
        </is>
      </c>
      <c r="E51" s="7" t="inlineStr">
        <is>
          <t>பொ.ச.மு. 1943</t>
        </is>
      </c>
      <c r="F51" s="7" t="inlineStr">
        <is>
          <t>1943 BCE</t>
        </is>
      </c>
      <c r="G51" s="7" t="inlineStr">
        <is>
          <t>Exact</t>
        </is>
      </c>
      <c r="H51" s="7" t="n"/>
      <c r="I51" s="7" t="n"/>
      <c r="J51" s="7" t="n"/>
      <c r="K51" s="2" t="inlineStr">
        <is>
          <t>Abraham crosses the Euphrates on his way to Canaan</t>
        </is>
      </c>
      <c r="L51" s="2" t="inlineStr">
        <is>
          <t>ஆபிரகாம் கானானுக்குச் செல்லும் வழியில் ஐப்பிராத்தைக் கடக்கிறார்</t>
        </is>
      </c>
      <c r="M51" s="7" t="inlineStr">
        <is>
          <t>At 75 years of age, following Terah's death, Abraham leaves Haran and crosses the Euphrates on his way to Canaan, evidently on the day later known as Nisan 14.</t>
        </is>
      </c>
      <c r="N51" s="7" t="inlineStr">
        <is>
          <t>ஆகவே இந்தக் காலப்பகுதி, ஆபிரகாம் கானானுக்குச் செல்லும் வழியில் ஐப்பிராத்தைக் கடந்த சமயத்தில் ஆபிரகாமிய உடன்படிக்கை செல்லுபடியானதோடு தொடங்கிற்றென்று உறுதியாகிறது. இது பொ.ச.மு. 1943-ல் நிகழ்ந்தது; அப்போது ஆபிரகாமுக்கு 75 வயது.</t>
        </is>
      </c>
      <c r="O51" s="8" t="inlineStr">
        <is>
          <t>Bible</t>
        </is>
      </c>
      <c r="P51" s="7" t="inlineStr">
        <is>
          <t>bible.patriarch</t>
        </is>
      </c>
      <c r="Q51" s="7" t="inlineStr">
        <is>
          <t>journey</t>
        </is>
      </c>
      <c r="R51" s="7" t="inlineStr">
        <is>
          <t>Abraham; Sarah; Lot</t>
        </is>
      </c>
      <c r="S51" s="7" t="inlineStr">
        <is>
          <t>Haran; Euphrates River; Canaan</t>
        </is>
      </c>
      <c r="T51" s="7" t="inlineStr">
        <is>
          <t>Gen. 12:4, 7; Ex. 12:40; Gal. 3:17</t>
        </is>
      </c>
      <c r="U51" s="7" t="inlineStr">
        <is>
          <t>ஆதி. 12:4, 7; யாத். 12:40; கலா. 3:17</t>
        </is>
      </c>
      <c r="V51" s="7" t="n">
        <v>4</v>
      </c>
      <c r="W51" s="7" t="inlineStr">
        <is>
          <t>Study Number 3—Measuring Events in the Stream of Time</t>
        </is>
      </c>
      <c r="X51" s="9" t="inlineStr">
        <is>
          <t>open</t>
        </is>
      </c>
      <c r="Y51" s="9" t="inlineStr">
        <is>
          <t>open</t>
        </is>
      </c>
      <c r="Z51" s="7" t="inlineStr">
        <is>
          <t>https://wol.jw.org/en/wol/d/r1/lp-e/1101990130
https://wol.jw.org/en/wol/d/r1/lp-e/1101990130
https://wol.jw.org/en/wol/d/r1/lp-e/1200000060
https://wol.jw.org/en/wol/d/r1/lp-e/1200001054</t>
        </is>
      </c>
      <c r="AA51" s="7" t="n">
        <v>0</v>
      </c>
      <c r="AB51" s="7" t="n"/>
      <c r="AC51" s="7" t="n">
        <v>1</v>
      </c>
      <c r="AD51" s="7" t="inlineStr">
        <is>
          <t>si chart gives only the year 1943; Insight adds that the crossing was evidently on Nisan 14.</t>
        </is>
      </c>
      <c r="AE51" s="7" t="n"/>
      <c r="AF51" s="7" t="n"/>
      <c r="AG51" s="7" t="n"/>
      <c r="AH51" s="7" t="n"/>
      <c r="AI51" s="7" t="n"/>
      <c r="AJ51" s="7" t="n"/>
      <c r="AK51" s="7" t="inlineStr">
        <is>
          <t>covenants #3 (context); patriarchs-travels #3 (context)</t>
        </is>
      </c>
      <c r="AL51" s="7" t="inlineStr">
        <is>
          <t>si chart gives the year only; the Nisan 14 day comes from Insight 'Abraham' and 'Covenant' ('evidently').</t>
        </is>
      </c>
      <c r="AM51" s="7" t="n">
        <v>-1942.75</v>
      </c>
      <c r="AN51" s="10" t="n"/>
      <c r="AO51" s="10" t="n"/>
      <c r="AP51" s="10" t="n"/>
      <c r="AQ51" s="10" t="n"/>
    </row>
    <row r="52">
      <c r="A52" s="7" t="inlineStr">
        <is>
          <t>b1-0037</t>
        </is>
      </c>
      <c r="B52" s="7" t="inlineStr">
        <is>
          <t>Point</t>
        </is>
      </c>
      <c r="C52" s="7" t="n"/>
      <c r="D52" s="7" t="inlineStr">
        <is>
          <t>1943 B.C.E.</t>
        </is>
      </c>
      <c r="E52" s="7" t="inlineStr">
        <is>
          <t>பொ.ச.மு. 1943</t>
        </is>
      </c>
      <c r="F52" s="7" t="inlineStr">
        <is>
          <t>1943 BCE</t>
        </is>
      </c>
      <c r="G52" s="7" t="inlineStr">
        <is>
          <t>Exact</t>
        </is>
      </c>
      <c r="H52" s="7" t="n"/>
      <c r="I52" s="7" t="n"/>
      <c r="J52" s="7" t="n"/>
      <c r="K52" s="2" t="inlineStr">
        <is>
          <t>Abrahamic covenant validated; 430-year period to the Law covenant begins</t>
        </is>
      </c>
      <c r="L52" s="2" t="inlineStr">
        <is>
          <t>ஆபிரகாமிய உடன்படிக்கை செல்லுபடியாக்கப்பட்டது; நியாயப்பிரமாண உடன்படிக்கை வரையான 430 ஆண்டு காலப்பகுதியின் தொடக்கம்</t>
        </is>
      </c>
      <c r="M52" s="7" t="inlineStr">
        <is>
          <t>When Abraham crosses the Euphrates and moves into the land God showed him, the Abrahamic covenant takes effect. This starts the 430 years that end with the Exodus and the Law covenant in 1513 B.C.E.</t>
        </is>
      </c>
      <c r="N52" s="7" t="n"/>
      <c r="O52" s="8" t="inlineStr">
        <is>
          <t>Bible</t>
        </is>
      </c>
      <c r="P52" s="7" t="inlineStr">
        <is>
          <t>bible.covenant</t>
        </is>
      </c>
      <c r="Q52" s="7" t="inlineStr">
        <is>
          <t>covenant</t>
        </is>
      </c>
      <c r="R52" s="7" t="inlineStr">
        <is>
          <t>Abraham</t>
        </is>
      </c>
      <c r="S52" s="7" t="inlineStr">
        <is>
          <t>Canaan</t>
        </is>
      </c>
      <c r="T52" s="7" t="inlineStr">
        <is>
          <t>Gen. 12:1-7; Ex. 12:40; Gal. 3:17</t>
        </is>
      </c>
      <c r="U52" s="7" t="inlineStr">
        <is>
          <t>யாத். 12:40; கலா. 3:17</t>
        </is>
      </c>
      <c r="V52" s="7" t="n">
        <v>4</v>
      </c>
      <c r="W52" s="7" t="inlineStr">
        <is>
          <t>Study Number 3—Measuring Events in the Stream of Time</t>
        </is>
      </c>
      <c r="X52" s="9" t="inlineStr">
        <is>
          <t>open</t>
        </is>
      </c>
      <c r="Y52" s="9" t="inlineStr">
        <is>
          <t>open</t>
        </is>
      </c>
      <c r="Z52" s="7" t="inlineStr">
        <is>
          <t>https://wol.jw.org/en/wol/d/r1/lp-e/1101990130
https://wol.jw.org/en/wol/d/r1/lp-e/1101990130
https://wol.jw.org/en/wol/d/r1/lp-e/1200001054
https://wol.jw.org/en/wol/d/r1/lp-e/1200000970</t>
        </is>
      </c>
      <c r="AA52" s="7" t="n">
        <v>0</v>
      </c>
      <c r="AB52" s="7" t="n"/>
      <c r="AC52" s="7" t="n">
        <v>0</v>
      </c>
      <c r="AD52" s="7" t="n"/>
      <c r="AE52" s="7" t="n"/>
      <c r="AF52" s="7" t="n"/>
      <c r="AG52" s="7" t="n"/>
      <c r="AH52" s="7" t="n"/>
      <c r="AI52" s="7" t="inlineStr">
        <is>
          <t>Span endpoint – keep</t>
        </is>
      </c>
      <c r="AJ52" s="7" t="inlineStr">
        <is>
          <t>start of The 430 years from the Abrahamic covenant to the Law covenant (b12-0002)</t>
        </is>
      </c>
      <c r="AK52" s="7" t="inlineStr">
        <is>
          <t>covenants #2 (start); patriarchs-travels #4 (item); promised-offspring #2 (step)</t>
        </is>
      </c>
      <c r="AL52" s="7" t="n"/>
      <c r="AM52" s="7" t="n">
        <v>-1942.74</v>
      </c>
      <c r="AN52" s="10" t="n"/>
      <c r="AO52" s="10" t="n"/>
      <c r="AP52" s="10" t="n"/>
      <c r="AQ52" s="10" t="n"/>
    </row>
    <row r="53">
      <c r="A53" s="7" t="inlineStr">
        <is>
          <t>b12-0002</t>
        </is>
      </c>
      <c r="B53" s="11" t="inlineStr">
        <is>
          <t>Span</t>
        </is>
      </c>
      <c r="C53" s="7" t="inlineStr">
        <is>
          <t>period</t>
        </is>
      </c>
      <c r="D53" s="7" t="inlineStr">
        <is>
          <t>1943 B.C.E.–1513 B.C.E.</t>
        </is>
      </c>
      <c r="E53" s="7" t="n"/>
      <c r="F53" s="7" t="inlineStr">
        <is>
          <t>1943 BCE</t>
        </is>
      </c>
      <c r="G53" s="7" t="inlineStr">
        <is>
          <t>Exact</t>
        </is>
      </c>
      <c r="H53" s="7" t="inlineStr">
        <is>
          <t>1513 BCE</t>
        </is>
      </c>
      <c r="I53" s="7" t="inlineStr">
        <is>
          <t>Exact</t>
        </is>
      </c>
      <c r="J53" s="7" t="inlineStr">
        <is>
          <t>430 years</t>
        </is>
      </c>
      <c r="K53" s="2" t="inlineStr">
        <is>
          <t>The 430 years from the Abrahamic covenant to the Law covenant</t>
        </is>
      </c>
      <c r="L53" s="2" t="n"/>
      <c r="M53" s="7" t="inlineStr">
        <is>
          <t>The 430-year “dwelling” of Exodus 12:40 is counted from Abraham’s crossing of the Euphrates, when the Abrahamic covenant took effect, to 1513 B.C.E.; the first 215 years were spent in Canaan and the rest in Egypt.</t>
        </is>
      </c>
      <c r="N53" s="7" t="inlineStr">
        <is>
          <t>இந்த 430 வருடங்கள், ஆபிரகாம் கானானுக்குச் செல்வதற்காக ஐப்பிராத் நதியைக் கடக்கும்போது தொடங்குகிறது.</t>
        </is>
      </c>
      <c r="O53" s="8" t="inlineStr">
        <is>
          <t>Bible</t>
        </is>
      </c>
      <c r="P53" s="7" t="inlineStr">
        <is>
          <t>bible.covenant</t>
        </is>
      </c>
      <c r="Q53" s="7" t="n"/>
      <c r="R53" s="7" t="inlineStr">
        <is>
          <t>Abraham</t>
        </is>
      </c>
      <c r="S53" s="7" t="n"/>
      <c r="T53" s="7" t="inlineStr">
        <is>
          <t>Ex. 12:40, 41; Gal. 3:17</t>
        </is>
      </c>
      <c r="U53" s="7" t="inlineStr">
        <is>
          <t>யாத். 12:40, 41; கலா. 3:17</t>
        </is>
      </c>
      <c r="V53" s="7" t="n">
        <v>4</v>
      </c>
      <c r="W53" s="7" t="inlineStr">
        <is>
          <t>Study Number 3—Measuring Events in the Stream of Time</t>
        </is>
      </c>
      <c r="X53" s="9" t="inlineStr">
        <is>
          <t>open</t>
        </is>
      </c>
      <c r="Y53" s="9" t="inlineStr">
        <is>
          <t>open</t>
        </is>
      </c>
      <c r="Z53" s="7" t="inlineStr">
        <is>
          <t>https://wol.jw.org/en/wol/d/r1/lp-e/1101990130
https://wol.jw.org/en/wol/d/r1/lp-e/1101990130
https://wol.jw.org/en/wol/d/r1/lp-e/1101990130
https://wol.jw.org/en/wol/d/r1/lp-e/1200000970</t>
        </is>
      </c>
      <c r="AA53" s="7" t="n">
        <v>0</v>
      </c>
      <c r="AB53" s="7" t="n"/>
      <c r="AC53" s="7" t="n">
        <v>0</v>
      </c>
      <c r="AD53" s="7" t="n"/>
      <c r="AE53" s="7" t="n"/>
      <c r="AF53" s="7" t="inlineStr">
        <is>
          <t>b1-0037</t>
        </is>
      </c>
      <c r="AG53" s="7" t="inlineStr">
        <is>
          <t>b2-0022</t>
        </is>
      </c>
      <c r="AH53" s="7" t="n"/>
      <c r="AI53" s="7" t="n"/>
      <c r="AJ53" s="7" t="n"/>
      <c r="AK53" s="7" t="inlineStr">
        <is>
          <t>covenants #4 (context)</t>
        </is>
      </c>
      <c r="AL53" s="7" t="inlineStr">
        <is>
          <t>The si chart lists the end of the 430 years in 1513 B.C.E. beside the Law covenant at Sinai (Gal. 3:17); Insight “Chronology” quotes Exodus 12:41, tying the end to the day Israel left Egypt (Nisan 14, 1513 B.C.E.). Same year in both.</t>
        </is>
      </c>
      <c r="AM53" s="7" t="n">
        <v>-1942.74</v>
      </c>
      <c r="AN53" s="10" t="n"/>
      <c r="AO53" s="10" t="n"/>
      <c r="AP53" s="10" t="n"/>
      <c r="AQ53" s="10" t="n"/>
    </row>
    <row r="54">
      <c r="A54" s="7" t="inlineStr">
        <is>
          <t>b1-0038</t>
        </is>
      </c>
      <c r="B54" s="7" t="inlineStr">
        <is>
          <t>Point</t>
        </is>
      </c>
      <c r="C54" s="7" t="n"/>
      <c r="D54" s="7" t="inlineStr">
        <is>
          <t>b. 1933 B.C.E.</t>
        </is>
      </c>
      <c r="E54" s="7" t="inlineStr">
        <is>
          <t>பொ.ச.மு. 1933 மு.</t>
        </is>
      </c>
      <c r="F54" s="7" t="inlineStr">
        <is>
          <t>1933 BCE</t>
        </is>
      </c>
      <c r="G54" s="7" t="inlineStr">
        <is>
          <t>Before (b.)</t>
        </is>
      </c>
      <c r="H54" s="7" t="n"/>
      <c r="I54" s="7" t="n"/>
      <c r="J54" s="7" t="n"/>
      <c r="K54" s="2" t="inlineStr">
        <is>
          <t>Abraham rescues Lot</t>
        </is>
      </c>
      <c r="L54" s="2" t="inlineStr">
        <is>
          <t>லோத்து மீட்கப்படுகிறார்</t>
        </is>
      </c>
      <c r="M54" s="7" t="inlineStr">
        <is>
          <t>After four allied kings led by Chedorlaomer sack Sodom and Gomorrah and take Lot captive, Abraham pursues them with 318 trained servants, defeats them, and rescues Lot.</t>
        </is>
      </c>
      <c r="N54" s="7" t="n"/>
      <c r="O54" s="8" t="inlineStr">
        <is>
          <t>Bible</t>
        </is>
      </c>
      <c r="P54" s="7" t="inlineStr">
        <is>
          <t>bible.patriarch</t>
        </is>
      </c>
      <c r="Q54" s="7" t="inlineStr">
        <is>
          <t>battle</t>
        </is>
      </c>
      <c r="R54" s="7" t="inlineStr">
        <is>
          <t>Abraham; Lot; Chedorlaomer</t>
        </is>
      </c>
      <c r="S54" s="7" t="inlineStr">
        <is>
          <t>Sodom; Damascus</t>
        </is>
      </c>
      <c r="T54" s="7" t="inlineStr">
        <is>
          <t>Gen. 14:16</t>
        </is>
      </c>
      <c r="U54" s="7" t="inlineStr">
        <is>
          <t>ஆதி. 14:16</t>
        </is>
      </c>
      <c r="V54" s="7" t="n">
        <v>2</v>
      </c>
      <c r="W54" s="7" t="inlineStr">
        <is>
          <t>Study Number 3—Measuring Events in the Stream of Time</t>
        </is>
      </c>
      <c r="X54" s="9" t="inlineStr">
        <is>
          <t>open</t>
        </is>
      </c>
      <c r="Y54" s="9" t="inlineStr">
        <is>
          <t>open</t>
        </is>
      </c>
      <c r="Z54" s="7" t="inlineStr">
        <is>
          <t>https://wol.jw.org/en/wol/d/r1/lp-e/1101990130
https://wol.jw.org/en/wol/d/r1/lp-e/1200000060</t>
        </is>
      </c>
      <c r="AA54" s="7" t="n">
        <v>0</v>
      </c>
      <c r="AB54" s="7" t="n"/>
      <c r="AC54" s="7" t="n">
        <v>0</v>
      </c>
      <c r="AD54" s="7" t="n"/>
      <c r="AE54" s="7" t="n"/>
      <c r="AF54" s="7" t="n"/>
      <c r="AG54" s="7" t="n"/>
      <c r="AH54" s="7" t="n"/>
      <c r="AI54" s="7" t="n"/>
      <c r="AJ54" s="7" t="n"/>
      <c r="AK54" s="7" t="inlineStr">
        <is>
          <t>patriarchs-travels #5 (context)</t>
        </is>
      </c>
      <c r="AL54" s="7" t="n"/>
      <c r="AM54" s="7" t="n">
        <v>-1933.01</v>
      </c>
      <c r="AN54" s="10" t="n"/>
      <c r="AO54" s="10" t="n"/>
      <c r="AP54" s="10" t="n"/>
      <c r="AQ54" s="10" t="n"/>
    </row>
    <row r="55">
      <c r="A55" s="7" t="inlineStr">
        <is>
          <t>b1-0039</t>
        </is>
      </c>
      <c r="B55" s="7" t="inlineStr">
        <is>
          <t>Point</t>
        </is>
      </c>
      <c r="C55" s="7" t="n"/>
      <c r="D55" s="7" t="inlineStr">
        <is>
          <t>b. 1933 B.C.E.</t>
        </is>
      </c>
      <c r="E55" s="7" t="inlineStr">
        <is>
          <t>பொ.ச.மு. 1933 மு.</t>
        </is>
      </c>
      <c r="F55" s="7" t="inlineStr">
        <is>
          <t>1933 BCE</t>
        </is>
      </c>
      <c r="G55" s="7" t="inlineStr">
        <is>
          <t>Before (b.)</t>
        </is>
      </c>
      <c r="H55" s="7" t="n"/>
      <c r="I55" s="7" t="n"/>
      <c r="J55" s="7" t="n"/>
      <c r="K55" s="2" t="inlineStr">
        <is>
          <t>Abraham visits Melchizedek</t>
        </is>
      </c>
      <c r="L55" s="2" t="inlineStr">
        <is>
          <t>ஆபிரகாம் மெல்கிசேதேக்கை சந்திக்கிறார்</t>
        </is>
      </c>
      <c r="M55" s="7" t="inlineStr">
        <is>
          <t>Returning from his victory, Abraham is blessed by Melchizedek, king of Salem and priest of the Most High God, and gives him a tenth of everything. Melchizedek is the first priest mentioned in the Scriptures.</t>
        </is>
      </c>
      <c r="N55" s="7" t="n"/>
      <c r="O55" s="8" t="inlineStr">
        <is>
          <t>Bible</t>
        </is>
      </c>
      <c r="P55" s="7" t="inlineStr">
        <is>
          <t>bible.patriarch</t>
        </is>
      </c>
      <c r="Q55" s="7" t="inlineStr">
        <is>
          <t>meeting</t>
        </is>
      </c>
      <c r="R55" s="7" t="inlineStr">
        <is>
          <t>Abraham; Melchizedek</t>
        </is>
      </c>
      <c r="S55" s="7" t="inlineStr">
        <is>
          <t>Salem</t>
        </is>
      </c>
      <c r="T55" s="7" t="inlineStr">
        <is>
          <t>Gen. 14:18; Gen. 16:3</t>
        </is>
      </c>
      <c r="U55" s="7" t="inlineStr">
        <is>
          <t>ஆதி. 14:18; ஆதி. 16:3</t>
        </is>
      </c>
      <c r="V55" s="7" t="n">
        <v>2</v>
      </c>
      <c r="W55" s="7" t="inlineStr">
        <is>
          <t>Study Number 3—Measuring Events in the Stream of Time</t>
        </is>
      </c>
      <c r="X55" s="9" t="inlineStr">
        <is>
          <t>open</t>
        </is>
      </c>
      <c r="Y55" s="9" t="inlineStr">
        <is>
          <t>open</t>
        </is>
      </c>
      <c r="Z55" s="7" t="inlineStr">
        <is>
          <t>https://wol.jw.org/en/wol/d/r1/lp-e/1101990130
https://wol.jw.org/en/wol/d/r1/lp-e/1200002970</t>
        </is>
      </c>
      <c r="AA55" s="7" t="n">
        <v>0</v>
      </c>
      <c r="AB55" s="7" t="n"/>
      <c r="AC55" s="7" t="n">
        <v>0</v>
      </c>
      <c r="AD55" s="7" t="n"/>
      <c r="AE55" s="7" t="n"/>
      <c r="AF55" s="7" t="n"/>
      <c r="AG55" s="7" t="n"/>
      <c r="AH55" s="7" t="n"/>
      <c r="AI55" s="7" t="n"/>
      <c r="AJ55" s="7" t="n"/>
      <c r="AK55" s="7" t="inlineStr">
        <is>
          <t>covenants #13 (context); patriarchs-travels #6 (context)</t>
        </is>
      </c>
      <c r="AL55" s="7" t="n"/>
      <c r="AM55" s="7" t="n">
        <v>-1933.01</v>
      </c>
      <c r="AN55" s="10" t="n"/>
      <c r="AO55" s="10" t="n"/>
      <c r="AP55" s="10" t="n"/>
      <c r="AQ55" s="10" t="n"/>
    </row>
    <row r="56">
      <c r="A56" s="7" t="inlineStr">
        <is>
          <t>b1-0040</t>
        </is>
      </c>
      <c r="B56" s="7" t="inlineStr">
        <is>
          <t>Point</t>
        </is>
      </c>
      <c r="C56" s="7" t="n"/>
      <c r="D56" s="7" t="inlineStr">
        <is>
          <t>1932 B.C.E.</t>
        </is>
      </c>
      <c r="E56" s="7" t="inlineStr">
        <is>
          <t>பொ.ச.மு. 1932</t>
        </is>
      </c>
      <c r="F56" s="7" t="inlineStr">
        <is>
          <t>1932 BCE</t>
        </is>
      </c>
      <c r="G56" s="7" t="inlineStr">
        <is>
          <t>Exact</t>
        </is>
      </c>
      <c r="H56" s="7" t="n"/>
      <c r="I56" s="7" t="n"/>
      <c r="J56" s="7" t="n"/>
      <c r="K56" s="2" t="inlineStr">
        <is>
          <t>Birth of Ishmael</t>
        </is>
      </c>
      <c r="L56" s="2" t="inlineStr">
        <is>
          <t>இஸ்மவேல் பிறக்கிறார்</t>
        </is>
      </c>
      <c r="M56" s="7" t="inlineStr">
        <is>
          <t>Sarah's Egyptian maidservant Hagar bears Ishmael to Abraham, who is 86 years old.</t>
        </is>
      </c>
      <c r="N56" s="7" t="n"/>
      <c r="O56" s="8" t="inlineStr">
        <is>
          <t>Bible</t>
        </is>
      </c>
      <c r="P56" s="7" t="inlineStr">
        <is>
          <t>bible.patriarch</t>
        </is>
      </c>
      <c r="Q56" s="7" t="inlineStr">
        <is>
          <t>birth</t>
        </is>
      </c>
      <c r="R56" s="7" t="inlineStr">
        <is>
          <t>Ishmael; Abraham; Hagar; Sarah</t>
        </is>
      </c>
      <c r="S56" s="7" t="n"/>
      <c r="T56" s="7" t="inlineStr">
        <is>
          <t>Gen. 16:15, 16</t>
        </is>
      </c>
      <c r="U56" s="7" t="inlineStr">
        <is>
          <t>ஆதி. 16:15, 16</t>
        </is>
      </c>
      <c r="V56" s="7" t="n">
        <v>3</v>
      </c>
      <c r="W56" s="7" t="inlineStr">
        <is>
          <t>Study Number 3—Measuring Events in the Stream of Time</t>
        </is>
      </c>
      <c r="X56" s="9" t="inlineStr">
        <is>
          <t>open</t>
        </is>
      </c>
      <c r="Y56" s="9" t="inlineStr">
        <is>
          <t>open</t>
        </is>
      </c>
      <c r="Z56" s="7" t="inlineStr">
        <is>
          <t>https://wol.jw.org/en/wol/d/r1/lp-e/1101990130
https://wol.jw.org/en/wol/d/r1/lp-e/1200002215
https://wol.jw.org/en/wol/d/r1/lp-e/1200000060</t>
        </is>
      </c>
      <c r="AA56" s="7" t="n">
        <v>0</v>
      </c>
      <c r="AB56" s="7" t="n"/>
      <c r="AC56" s="7" t="n">
        <v>0</v>
      </c>
      <c r="AD56" s="7" t="n"/>
      <c r="AE56" s="7" t="n"/>
      <c r="AF56" s="7" t="n"/>
      <c r="AG56" s="7" t="n"/>
      <c r="AH56" s="7" t="n"/>
      <c r="AI56" s="7" t="inlineStr">
        <is>
          <t>Covered by span – hide on chart</t>
        </is>
      </c>
      <c r="AJ56" s="7" t="inlineStr">
        <is>
          <t>start of Life of Ishmael (d1-0014)</t>
        </is>
      </c>
      <c r="AK56" s="7" t="n"/>
      <c r="AL56" s="7" t="n"/>
      <c r="AM56" s="7" t="n">
        <v>-1932</v>
      </c>
      <c r="AN56" s="10" t="n"/>
      <c r="AO56" s="10" t="n"/>
      <c r="AP56" s="10" t="n"/>
      <c r="AQ56" s="10" t="n"/>
    </row>
    <row r="57">
      <c r="A57" s="7" t="inlineStr">
        <is>
          <t>d1-0014</t>
        </is>
      </c>
      <c r="B57" s="11" t="inlineStr">
        <is>
          <t>Span</t>
        </is>
      </c>
      <c r="C57" s="7" t="inlineStr">
        <is>
          <t>lifespan</t>
        </is>
      </c>
      <c r="D57" s="7" t="inlineStr">
        <is>
          <t>1932 B.C.E. – 1795 B.C.E.</t>
        </is>
      </c>
      <c r="E57" s="7" t="inlineStr">
        <is>
          <t>பொ.ச.மு. 1932 – பொ.ச.மு. 1795</t>
        </is>
      </c>
      <c r="F57" s="7" t="inlineStr">
        <is>
          <t>1932 BCE</t>
        </is>
      </c>
      <c r="G57" s="7" t="inlineStr">
        <is>
          <t>Exact</t>
        </is>
      </c>
      <c r="H57" s="7" t="inlineStr">
        <is>
          <t>1795 BCE</t>
        </is>
      </c>
      <c r="I57" s="7" t="inlineStr">
        <is>
          <t>Exact</t>
        </is>
      </c>
      <c r="J57" s="7" t="inlineStr">
        <is>
          <t>137 years</t>
        </is>
      </c>
      <c r="K57" s="2" t="inlineStr">
        <is>
          <t>Life of Ishmael</t>
        </is>
      </c>
      <c r="L57" s="2" t="n"/>
      <c r="M57" s="7" t="inlineStr">
        <is>
          <t>Ishmael: from Birth of Ishmael (1932 B.C.E.) to Death of Ishmael (1795 B.C.E.). Dates as given in the cited jw.org publications.</t>
        </is>
      </c>
      <c r="N57" s="7" t="n"/>
      <c r="O57" s="8" t="inlineStr">
        <is>
          <t>Bible</t>
        </is>
      </c>
      <c r="P57" s="7" t="inlineStr">
        <is>
          <t>bible.patriarch</t>
        </is>
      </c>
      <c r="Q57" s="7" t="inlineStr">
        <is>
          <t>lifespan</t>
        </is>
      </c>
      <c r="R57" s="7" t="inlineStr">
        <is>
          <t>Ishmael</t>
        </is>
      </c>
      <c r="S57" s="7" t="n"/>
      <c r="T57" s="7" t="inlineStr">
        <is>
          <t>Gen. 16:15, 16; Gen. 25:17</t>
        </is>
      </c>
      <c r="U57" s="7" t="inlineStr">
        <is>
          <t>ஆதி. 16:15, 16; ஆதி. 25:17</t>
        </is>
      </c>
      <c r="V57" s="7" t="n">
        <v>3</v>
      </c>
      <c r="W57" s="7" t="inlineStr">
        <is>
          <t>Study Number 3—Measuring Events in the Stream of Time</t>
        </is>
      </c>
      <c r="X57" s="9" t="inlineStr">
        <is>
          <t>open</t>
        </is>
      </c>
      <c r="Y57" s="9" t="inlineStr">
        <is>
          <t>open</t>
        </is>
      </c>
      <c r="Z57" s="7" t="inlineStr">
        <is>
          <t>https://wol.jw.org/en/wol/d/r1/lp-e/1101990130
https://wol.jw.org/en/wol/d/r1/lp-e/1200002215
https://wol.jw.org/en/wol/d/r1/lp-e/1200000060</t>
        </is>
      </c>
      <c r="AA57" s="7" t="n">
        <v>0</v>
      </c>
      <c r="AB57" s="7" t="n"/>
      <c r="AC57" s="7" t="n">
        <v>0</v>
      </c>
      <c r="AD57" s="7" t="n"/>
      <c r="AE57" s="7" t="inlineStr">
        <is>
          <t>Built from b1-0040 (start) and b1-0055 (end).</t>
        </is>
      </c>
      <c r="AF57" s="7" t="inlineStr">
        <is>
          <t>b1-0040</t>
        </is>
      </c>
      <c r="AG57" s="7" t="inlineStr">
        <is>
          <t>b1-0055</t>
        </is>
      </c>
      <c r="AH57" s="7" t="n"/>
      <c r="AI57" s="7" t="n"/>
      <c r="AJ57" s="7" t="n"/>
      <c r="AK57" s="7" t="inlineStr">
        <is>
          <t>post-flood-patriarchs #8 (item)</t>
        </is>
      </c>
      <c r="AL57" s="7" t="n"/>
      <c r="AM57" s="7" t="n">
        <v>-1932</v>
      </c>
      <c r="AN57" s="10" t="n"/>
      <c r="AO57" s="10" t="n"/>
      <c r="AP57" s="10" t="n"/>
      <c r="AQ57" s="10" t="n"/>
    </row>
    <row r="58">
      <c r="A58" s="7" t="inlineStr">
        <is>
          <t>b1-0041</t>
        </is>
      </c>
      <c r="B58" s="7" t="inlineStr">
        <is>
          <t>Point</t>
        </is>
      </c>
      <c r="C58" s="7" t="n"/>
      <c r="D58" s="7" t="inlineStr">
        <is>
          <t>1919 B.C.E.</t>
        </is>
      </c>
      <c r="E58" s="7" t="inlineStr">
        <is>
          <t>பொ.ச.மு. 1919</t>
        </is>
      </c>
      <c r="F58" s="7" t="inlineStr">
        <is>
          <t>1919 BCE</t>
        </is>
      </c>
      <c r="G58" s="7" t="inlineStr">
        <is>
          <t>Exact</t>
        </is>
      </c>
      <c r="H58" s="7" t="n"/>
      <c r="I58" s="7" t="n"/>
      <c r="J58" s="7" t="n"/>
      <c r="K58" s="2" t="inlineStr">
        <is>
          <t>Covenant of circumcision made</t>
        </is>
      </c>
      <c r="L58" s="2" t="inlineStr">
        <is>
          <t>விருத்தசேதன உடன்படிக்கை செய்யப்பட்டது</t>
        </is>
      </c>
      <c r="M58" s="7" t="inlineStr">
        <is>
          <t>When Abraham is 99, Jehovah makes the covenant of circumcision with him and his natural seed and changes his name from Abram to Abraham.</t>
        </is>
      </c>
      <c r="N58" s="7" t="n"/>
      <c r="O58" s="8" t="inlineStr">
        <is>
          <t>Bible</t>
        </is>
      </c>
      <c r="P58" s="7" t="inlineStr">
        <is>
          <t>bible.covenant</t>
        </is>
      </c>
      <c r="Q58" s="7" t="inlineStr">
        <is>
          <t>covenant</t>
        </is>
      </c>
      <c r="R58" s="7" t="inlineStr">
        <is>
          <t>Abraham</t>
        </is>
      </c>
      <c r="S58" s="7" t="n"/>
      <c r="T58" s="7" t="inlineStr">
        <is>
          <t>Gen. 17:1, 10, 24</t>
        </is>
      </c>
      <c r="U58" s="7" t="inlineStr">
        <is>
          <t>ஆதி. 17:1, 10, 24</t>
        </is>
      </c>
      <c r="V58" s="7" t="n">
        <v>3</v>
      </c>
      <c r="W58" s="7" t="inlineStr">
        <is>
          <t>Study Number 3—Measuring Events in the Stream of Time</t>
        </is>
      </c>
      <c r="X58" s="9" t="inlineStr">
        <is>
          <t>open</t>
        </is>
      </c>
      <c r="Y58" s="9" t="inlineStr">
        <is>
          <t>open</t>
        </is>
      </c>
      <c r="Z58" s="7" t="inlineStr">
        <is>
          <t>https://wol.jw.org/en/wol/d/r1/lp-e/1101990130
https://wol.jw.org/en/wol/d/r1/lp-e/1200001054
https://wol.jw.org/en/wol/d/r1/lp-e/1200000060</t>
        </is>
      </c>
      <c r="AA58" s="7" t="n">
        <v>0</v>
      </c>
      <c r="AB58" s="7" t="n"/>
      <c r="AC58" s="7" t="n">
        <v>0</v>
      </c>
      <c r="AD58" s="7" t="n"/>
      <c r="AE58" s="7" t="n"/>
      <c r="AF58" s="7" t="n"/>
      <c r="AG58" s="7" t="n"/>
      <c r="AH58" s="7" t="n"/>
      <c r="AI58" s="7" t="n"/>
      <c r="AJ58" s="7" t="n"/>
      <c r="AK58" s="7" t="inlineStr">
        <is>
          <t>covenants #27 (start)</t>
        </is>
      </c>
      <c r="AL58" s="7" t="n"/>
      <c r="AM58" s="7" t="n">
        <v>-1919</v>
      </c>
      <c r="AN58" s="10" t="n"/>
      <c r="AO58" s="10" t="n"/>
      <c r="AP58" s="10" t="n"/>
      <c r="AQ58" s="10" t="n"/>
    </row>
    <row r="59">
      <c r="A59" s="7" t="inlineStr">
        <is>
          <t>b1-0042</t>
        </is>
      </c>
      <c r="B59" s="7" t="inlineStr">
        <is>
          <t>Point</t>
        </is>
      </c>
      <c r="C59" s="7" t="n"/>
      <c r="D59" s="7" t="inlineStr">
        <is>
          <t>1919 B.C.E.</t>
        </is>
      </c>
      <c r="E59" s="7" t="inlineStr">
        <is>
          <t>பொ.ச.மு. 1919</t>
        </is>
      </c>
      <c r="F59" s="7" t="inlineStr">
        <is>
          <t>1919 BCE</t>
        </is>
      </c>
      <c r="G59" s="7" t="inlineStr">
        <is>
          <t>Exact</t>
        </is>
      </c>
      <c r="H59" s="7" t="n"/>
      <c r="I59" s="7" t="n"/>
      <c r="J59" s="7" t="n"/>
      <c r="K59" s="2" t="inlineStr">
        <is>
          <t>Judgment of Sodom and Gomorrah</t>
        </is>
      </c>
      <c r="L59" s="2" t="inlineStr">
        <is>
          <t>சோதோம் கொமோராவின் ஆக்கினைத்தீர்ப்பு</t>
        </is>
      </c>
      <c r="M59" s="7" t="inlineStr">
        <is>
          <t>Jehovah destroys Sodom and Gomorrah with fire and sulfur; Lot and his two daughters barely escape.</t>
        </is>
      </c>
      <c r="N59" s="7" t="n"/>
      <c r="O59" s="8" t="inlineStr">
        <is>
          <t>Bible</t>
        </is>
      </c>
      <c r="P59" s="7" t="inlineStr">
        <is>
          <t>bible.judgment</t>
        </is>
      </c>
      <c r="Q59" s="7" t="inlineStr">
        <is>
          <t>judgment</t>
        </is>
      </c>
      <c r="R59" s="7" t="inlineStr">
        <is>
          <t>Lot; Abraham</t>
        </is>
      </c>
      <c r="S59" s="7" t="inlineStr">
        <is>
          <t>Sodom; Gomorrah</t>
        </is>
      </c>
      <c r="T59" s="7" t="inlineStr">
        <is>
          <t>Gen. 19:24</t>
        </is>
      </c>
      <c r="U59" s="7" t="inlineStr">
        <is>
          <t>ஆதி. 19:24</t>
        </is>
      </c>
      <c r="V59" s="7" t="n">
        <v>2</v>
      </c>
      <c r="W59" s="7" t="inlineStr">
        <is>
          <t>Study Number 3—Measuring Events in the Stream of Time</t>
        </is>
      </c>
      <c r="X59" s="9" t="inlineStr">
        <is>
          <t>open</t>
        </is>
      </c>
      <c r="Y59" s="9" t="inlineStr">
        <is>
          <t>open</t>
        </is>
      </c>
      <c r="Z59" s="7" t="inlineStr">
        <is>
          <t>https://wol.jw.org/en/wol/d/r1/lp-e/1101990130
https://wol.jw.org/en/wol/d/r1/lp-e/1200000060</t>
        </is>
      </c>
      <c r="AA59" s="7" t="n">
        <v>0</v>
      </c>
      <c r="AB59" s="7" t="n"/>
      <c r="AC59" s="7" t="n">
        <v>0</v>
      </c>
      <c r="AD59" s="7" t="n"/>
      <c r="AE59" s="7" t="n"/>
      <c r="AF59" s="7" t="n"/>
      <c r="AG59" s="7" t="n"/>
      <c r="AH59" s="7" t="n"/>
      <c r="AI59" s="7" t="n"/>
      <c r="AJ59" s="7" t="n"/>
      <c r="AK59" s="7" t="n"/>
      <c r="AL59" s="7" t="n"/>
      <c r="AM59" s="7" t="n">
        <v>-1918.99</v>
      </c>
      <c r="AN59" s="10" t="n"/>
      <c r="AO59" s="10" t="n"/>
      <c r="AP59" s="10" t="n"/>
      <c r="AQ59" s="10" t="n"/>
    </row>
    <row r="60">
      <c r="A60" s="7" t="inlineStr">
        <is>
          <t>b1-0043</t>
        </is>
      </c>
      <c r="B60" s="7" t="inlineStr">
        <is>
          <t>Point</t>
        </is>
      </c>
      <c r="C60" s="7" t="n"/>
      <c r="D60" s="7" t="inlineStr">
        <is>
          <t>1918 B.C.E.</t>
        </is>
      </c>
      <c r="E60" s="7" t="inlineStr">
        <is>
          <t>பொ.ச.மு. 1918</t>
        </is>
      </c>
      <c r="F60" s="7" t="inlineStr">
        <is>
          <t>1918 BCE</t>
        </is>
      </c>
      <c r="G60" s="7" t="inlineStr">
        <is>
          <t>Exact</t>
        </is>
      </c>
      <c r="H60" s="7" t="n"/>
      <c r="I60" s="7" t="n"/>
      <c r="J60" s="7" t="n"/>
      <c r="K60" s="2" t="inlineStr">
        <is>
          <t>Birth of Isaac, the true heir</t>
        </is>
      </c>
      <c r="L60" s="2" t="inlineStr">
        <is>
          <t>மெய்யான சுதந்தரவாளியாகிய ஈசாக்கின் பிறப்பு</t>
        </is>
      </c>
      <c r="M60" s="7" t="inlineStr">
        <is>
          <t>Isaac, the long-promised heir, is born to Abraham, aged 100, and Sarah, aged 90.</t>
        </is>
      </c>
      <c r="N60" s="7" t="n"/>
      <c r="O60" s="8" t="inlineStr">
        <is>
          <t>Bible</t>
        </is>
      </c>
      <c r="P60" s="7" t="inlineStr">
        <is>
          <t>bible.patriarch</t>
        </is>
      </c>
      <c r="Q60" s="7" t="inlineStr">
        <is>
          <t>birth</t>
        </is>
      </c>
      <c r="R60" s="7" t="inlineStr">
        <is>
          <t>Isaac; Abraham; Sarah</t>
        </is>
      </c>
      <c r="S60" s="7" t="inlineStr">
        <is>
          <t>Gerar</t>
        </is>
      </c>
      <c r="T60" s="7" t="inlineStr">
        <is>
          <t>Gen. 21:2, 5</t>
        </is>
      </c>
      <c r="U60" s="7" t="inlineStr">
        <is>
          <t>ஆதி 21:2, 5</t>
        </is>
      </c>
      <c r="V60" s="7" t="n">
        <v>3</v>
      </c>
      <c r="W60" s="7" t="inlineStr">
        <is>
          <t>Study Number 3—Measuring Events in the Stream of Time</t>
        </is>
      </c>
      <c r="X60" s="9" t="inlineStr">
        <is>
          <t>open</t>
        </is>
      </c>
      <c r="Y60" s="9" t="inlineStr">
        <is>
          <t>open</t>
        </is>
      </c>
      <c r="Z60" s="7" t="inlineStr">
        <is>
          <t>https://wol.jw.org/en/wol/d/r1/lp-e/1101990130
https://wol.jw.org/en/wol/d/r1/lp-e/1200002203
https://wol.jw.org/en/wol/d/r1/lp-e/1200000060</t>
        </is>
      </c>
      <c r="AA60" s="7" t="n">
        <v>0</v>
      </c>
      <c r="AB60" s="7" t="n"/>
      <c r="AC60" s="7" t="n">
        <v>0</v>
      </c>
      <c r="AD60" s="7" t="n"/>
      <c r="AE60" s="7" t="n"/>
      <c r="AF60" s="7" t="n"/>
      <c r="AG60" s="7" t="n"/>
      <c r="AH60" s="7" t="n"/>
      <c r="AI60" s="7" t="inlineStr">
        <is>
          <t>Covered by span – hide on chart</t>
        </is>
      </c>
      <c r="AJ60" s="7" t="inlineStr">
        <is>
          <t>start of Life of Isaac (d1-0015)</t>
        </is>
      </c>
      <c r="AK60" s="7" t="n"/>
      <c r="AL60" s="7" t="n"/>
      <c r="AM60" s="7" t="n">
        <v>-1918</v>
      </c>
      <c r="AN60" s="10" t="n"/>
      <c r="AO60" s="10" t="n"/>
      <c r="AP60" s="10" t="n"/>
      <c r="AQ60" s="10" t="n"/>
    </row>
    <row r="61">
      <c r="A61" s="7" t="inlineStr">
        <is>
          <t>d1-0015</t>
        </is>
      </c>
      <c r="B61" s="11" t="inlineStr">
        <is>
          <t>Span</t>
        </is>
      </c>
      <c r="C61" s="7" t="inlineStr">
        <is>
          <t>lifespan</t>
        </is>
      </c>
      <c r="D61" s="7" t="inlineStr">
        <is>
          <t>1918 B.C.E. – 1738 B.C.E.</t>
        </is>
      </c>
      <c r="E61" s="7" t="inlineStr">
        <is>
          <t>பொ.ச.மு. 1918 – பொ.ச.மு. 1738</t>
        </is>
      </c>
      <c r="F61" s="7" t="inlineStr">
        <is>
          <t>1918 BCE</t>
        </is>
      </c>
      <c r="G61" s="7" t="inlineStr">
        <is>
          <t>Exact</t>
        </is>
      </c>
      <c r="H61" s="7" t="inlineStr">
        <is>
          <t>1738 BCE</t>
        </is>
      </c>
      <c r="I61" s="7" t="inlineStr">
        <is>
          <t>Exact</t>
        </is>
      </c>
      <c r="J61" s="7" t="inlineStr">
        <is>
          <t>180 years</t>
        </is>
      </c>
      <c r="K61" s="2" t="inlineStr">
        <is>
          <t>Life of Isaac</t>
        </is>
      </c>
      <c r="L61" s="2" t="n"/>
      <c r="M61" s="7" t="inlineStr">
        <is>
          <t>Isaac: from Birth of Isaac, the true heir (1918 B.C.E.) to Death of Isaac (1738 B.C.E.). Dates as given in the cited jw.org publications.</t>
        </is>
      </c>
      <c r="N61" s="7" t="n"/>
      <c r="O61" s="8" t="inlineStr">
        <is>
          <t>Bible</t>
        </is>
      </c>
      <c r="P61" s="7" t="inlineStr">
        <is>
          <t>bible.patriarch</t>
        </is>
      </c>
      <c r="Q61" s="7" t="inlineStr">
        <is>
          <t>lifespan</t>
        </is>
      </c>
      <c r="R61" s="7" t="inlineStr">
        <is>
          <t>Isaac</t>
        </is>
      </c>
      <c r="S61" s="7" t="inlineStr">
        <is>
          <t>Gerar; Hebron</t>
        </is>
      </c>
      <c r="T61" s="7" t="inlineStr">
        <is>
          <t>Gen. 21:2, 5; Gen. 35:28, 29</t>
        </is>
      </c>
      <c r="U61" s="7" t="inlineStr">
        <is>
          <t>ஆதி 21:2, 5; ஆதி. 35:28, 29</t>
        </is>
      </c>
      <c r="V61" s="7" t="n">
        <v>3</v>
      </c>
      <c r="W61" s="7" t="inlineStr">
        <is>
          <t>Study Number 3—Measuring Events in the Stream of Time</t>
        </is>
      </c>
      <c r="X61" s="9" t="inlineStr">
        <is>
          <t>open</t>
        </is>
      </c>
      <c r="Y61" s="9" t="inlineStr">
        <is>
          <t>open</t>
        </is>
      </c>
      <c r="Z61" s="7" t="inlineStr">
        <is>
          <t>https://wol.jw.org/en/wol/d/r1/lp-e/1101990130
https://wol.jw.org/en/wol/d/r1/lp-e/1200002203
https://wol.jw.org/en/wol/d/r1/lp-e/1200000060</t>
        </is>
      </c>
      <c r="AA61" s="7" t="n">
        <v>0</v>
      </c>
      <c r="AB61" s="7" t="n"/>
      <c r="AC61" s="7" t="n">
        <v>0</v>
      </c>
      <c r="AD61" s="7" t="n"/>
      <c r="AE61" s="7" t="inlineStr">
        <is>
          <t>Built from b1-0043 (start) and b2-0003 (end).</t>
        </is>
      </c>
      <c r="AF61" s="7" t="inlineStr">
        <is>
          <t>b1-0043</t>
        </is>
      </c>
      <c r="AG61" s="7" t="inlineStr">
        <is>
          <t>b2-0003</t>
        </is>
      </c>
      <c r="AH61" s="7" t="n"/>
      <c r="AI61" s="7" t="n"/>
      <c r="AJ61" s="7" t="n"/>
      <c r="AK61" s="7" t="inlineStr">
        <is>
          <t>post-flood-patriarchs #9 (item); messianic-line #21 (item)</t>
        </is>
      </c>
      <c r="AL61" s="7" t="n"/>
      <c r="AM61" s="7" t="n">
        <v>-1918</v>
      </c>
      <c r="AN61" s="10" t="n"/>
      <c r="AO61" s="10" t="n"/>
      <c r="AP61" s="10" t="n"/>
      <c r="AQ61" s="10" t="n"/>
    </row>
    <row r="62">
      <c r="A62" s="7" t="inlineStr">
        <is>
          <t>b1-0044</t>
        </is>
      </c>
      <c r="B62" s="7" t="inlineStr">
        <is>
          <t>Point</t>
        </is>
      </c>
      <c r="C62" s="7" t="n"/>
      <c r="D62" s="7" t="inlineStr">
        <is>
          <t>1918 B.C.E.</t>
        </is>
      </c>
      <c r="E62" s="7" t="inlineStr">
        <is>
          <t>பொ.ச.மு. 1918</t>
        </is>
      </c>
      <c r="F62" s="7" t="inlineStr">
        <is>
          <t>1918 BCE</t>
        </is>
      </c>
      <c r="G62" s="7" t="inlineStr">
        <is>
          <t>Exact</t>
        </is>
      </c>
      <c r="H62" s="7" t="n"/>
      <c r="I62" s="7" t="n"/>
      <c r="J62" s="7" t="n"/>
      <c r="K62" s="2" t="inlineStr">
        <is>
          <t>Beginning of the 'about 450 years'</t>
        </is>
      </c>
      <c r="L62" s="2" t="inlineStr">
        <is>
          <t>‘ஏறக்குறைய நானூற்றைம்பது வருஷகாலத்தின்’ தொடக்கம்</t>
        </is>
      </c>
      <c r="M62" s="7" t="inlineStr">
        <is>
          <t>The 'about 450 years' of Acts 13:17-20 begin with God's choosing of the forefathers, apparently at Isaac's birth, and end about 1467 B.C.E. when the land of Canaan was distributed.</t>
        </is>
      </c>
      <c r="N62" s="7" t="n"/>
      <c r="O62" s="8" t="inlineStr">
        <is>
          <t>Bible</t>
        </is>
      </c>
      <c r="P62" s="7" t="inlineStr">
        <is>
          <t>bible.prophecy_fulfilled</t>
        </is>
      </c>
      <c r="Q62" s="7" t="inlineStr">
        <is>
          <t>period_start</t>
        </is>
      </c>
      <c r="R62" s="7" t="inlineStr">
        <is>
          <t>Isaac</t>
        </is>
      </c>
      <c r="S62" s="7" t="n"/>
      <c r="T62" s="7" t="inlineStr">
        <is>
          <t>Acts 13:17-20</t>
        </is>
      </c>
      <c r="U62" s="7" t="inlineStr">
        <is>
          <t>அப். 13:17-20</t>
        </is>
      </c>
      <c r="V62" s="7" t="n">
        <v>3</v>
      </c>
      <c r="W62" s="7" t="inlineStr">
        <is>
          <t>Study Number 3—Measuring Events in the Stream of Time</t>
        </is>
      </c>
      <c r="X62" s="9" t="inlineStr">
        <is>
          <t>open</t>
        </is>
      </c>
      <c r="Y62" s="9" t="inlineStr">
        <is>
          <t>open</t>
        </is>
      </c>
      <c r="Z62" s="7" t="inlineStr">
        <is>
          <t>https://wol.jw.org/en/wol/d/r1/lp-e/1101990130
https://wol.jw.org/en/wol/d/r1/lp-e/1200000970
https://wol.jw.org/en/wol/d/r1/lp-e/1200002203</t>
        </is>
      </c>
      <c r="AA62" s="7" t="n">
        <v>0</v>
      </c>
      <c r="AB62" s="7" t="n"/>
      <c r="AC62" s="7" t="n">
        <v>0</v>
      </c>
      <c r="AD62" s="7" t="n"/>
      <c r="AE62" s="7" t="n"/>
      <c r="AF62" s="7" t="n"/>
      <c r="AG62" s="7" t="n"/>
      <c r="AH62" s="7" t="n"/>
      <c r="AI62" s="7" t="inlineStr">
        <is>
          <t>Span endpoint – keep</t>
        </is>
      </c>
      <c r="AJ62" s="7" t="inlineStr">
        <is>
          <t>start of The “about 450 years” of Acts 13:17-20 (b12-0003)</t>
        </is>
      </c>
      <c r="AK62" s="7" t="n"/>
      <c r="AL62" s="7" t="n"/>
      <c r="AM62" s="7" t="n">
        <v>-1917.99</v>
      </c>
      <c r="AN62" s="10" t="n"/>
      <c r="AO62" s="10" t="n"/>
      <c r="AP62" s="10" t="n"/>
      <c r="AQ62" s="10" t="n"/>
    </row>
    <row r="63">
      <c r="A63" s="7" t="inlineStr">
        <is>
          <t>b12-0003</t>
        </is>
      </c>
      <c r="B63" s="11" t="inlineStr">
        <is>
          <t>Span</t>
        </is>
      </c>
      <c r="C63" s="7" t="inlineStr">
        <is>
          <t>period</t>
        </is>
      </c>
      <c r="D63" s="7" t="inlineStr">
        <is>
          <t>1918 B.C.E.–c. 1467 B.C.E.</t>
        </is>
      </c>
      <c r="E63" s="7" t="n"/>
      <c r="F63" s="7" t="inlineStr">
        <is>
          <t>1918 BCE</t>
        </is>
      </c>
      <c r="G63" s="7" t="inlineStr">
        <is>
          <t>Exact</t>
        </is>
      </c>
      <c r="H63" s="7" t="inlineStr">
        <is>
          <t>1467 BCE</t>
        </is>
      </c>
      <c r="I63" s="7" t="inlineStr">
        <is>
          <t>Approx. (c.)</t>
        </is>
      </c>
      <c r="J63" s="7" t="inlineStr">
        <is>
          <t>about 450 years</t>
        </is>
      </c>
      <c r="K63" s="2" t="inlineStr">
        <is>
          <t>The “about 450 years” of Acts 13:17-20</t>
        </is>
      </c>
      <c r="L63" s="2" t="n"/>
      <c r="M63" s="7" t="inlineStr">
        <is>
          <t>Paul’s “about 450 years” evidently ran from the birth of Isaac, the promised seed, to the completion of the initial conquest of Canaan, before the period of the Judges.</t>
        </is>
      </c>
      <c r="N63" s="7" t="n"/>
      <c r="O63" s="8" t="inlineStr">
        <is>
          <t>Bible</t>
        </is>
      </c>
      <c r="P63" s="7" t="inlineStr">
        <is>
          <t>bible.conquest_judges</t>
        </is>
      </c>
      <c r="Q63" s="7" t="n"/>
      <c r="R63" s="7" t="inlineStr">
        <is>
          <t>Isaac</t>
        </is>
      </c>
      <c r="S63" s="7" t="n"/>
      <c r="T63" s="7" t="inlineStr">
        <is>
          <t>Acts 13:17-20</t>
        </is>
      </c>
      <c r="U63" s="7" t="inlineStr">
        <is>
          <t>அப். 13:17-20</t>
        </is>
      </c>
      <c r="V63" s="7" t="n">
        <v>2</v>
      </c>
      <c r="W63" s="7" t="inlineStr">
        <is>
          <t>Chronology</t>
        </is>
      </c>
      <c r="X63" s="9" t="inlineStr">
        <is>
          <t>open</t>
        </is>
      </c>
      <c r="Y63" s="7" t="n"/>
      <c r="Z63" s="7" t="inlineStr">
        <is>
          <t>https://wol.jw.org/en/wol/d/r1/lp-e/1200000970
https://wol.jw.org/en/wol/d/r1/lp-e/1101990130</t>
        </is>
      </c>
      <c r="AA63" s="7" t="n">
        <v>0</v>
      </c>
      <c r="AB63" s="7" t="n"/>
      <c r="AC63" s="7" t="n">
        <v>0</v>
      </c>
      <c r="AD63" s="7" t="n"/>
      <c r="AE63" s="7" t="n"/>
      <c r="AF63" s="7" t="inlineStr">
        <is>
          <t>b1-0044</t>
        </is>
      </c>
      <c r="AG63" s="7" t="inlineStr">
        <is>
          <t>b2-0051</t>
        </is>
      </c>
      <c r="AH63" s="7" t="n"/>
      <c r="AI63" s="7" t="n"/>
      <c r="AJ63" s="7" t="n"/>
      <c r="AK63" s="7" t="n"/>
      <c r="AL63" s="7" t="n"/>
      <c r="AM63" s="7" t="n">
        <v>-1917.99</v>
      </c>
      <c r="AN63" s="10" t="n"/>
      <c r="AO63" s="10" t="n"/>
      <c r="AP63" s="10" t="n"/>
      <c r="AQ63" s="10" t="n"/>
    </row>
    <row r="64">
      <c r="A64" s="7" t="inlineStr">
        <is>
          <t>b1-0045</t>
        </is>
      </c>
      <c r="B64" s="7" t="inlineStr">
        <is>
          <t>Point</t>
        </is>
      </c>
      <c r="C64" s="7" t="n"/>
      <c r="D64" s="7" t="inlineStr">
        <is>
          <t>1913 B.C.E.</t>
        </is>
      </c>
      <c r="E64" s="7" t="inlineStr">
        <is>
          <t>பொ.ச.மு. 1913</t>
        </is>
      </c>
      <c r="F64" s="7" t="inlineStr">
        <is>
          <t>1913 BCE</t>
        </is>
      </c>
      <c r="G64" s="7" t="inlineStr">
        <is>
          <t>Exact</t>
        </is>
      </c>
      <c r="H64" s="7" t="n"/>
      <c r="I64" s="7" t="n"/>
      <c r="J64" s="7" t="n"/>
      <c r="K64" s="2" t="inlineStr">
        <is>
          <t>Weaning of Isaac; Ishmael pokes fun at him</t>
        </is>
      </c>
      <c r="L64" s="2" t="inlineStr">
        <is>
          <t>ஈசாக்கு பால்மறந்தது</t>
        </is>
      </c>
      <c r="M64" s="7" t="inlineStr">
        <is>
          <t>At the feast for Isaac's weaning, about five years after his birth, the 19-year-old Ishmael is caught 'poking fun' at his younger half brother.</t>
        </is>
      </c>
      <c r="N64" s="7" t="n"/>
      <c r="O64" s="8" t="inlineStr">
        <is>
          <t>Bible</t>
        </is>
      </c>
      <c r="P64" s="7" t="inlineStr">
        <is>
          <t>bible.patriarch</t>
        </is>
      </c>
      <c r="Q64" s="7" t="inlineStr">
        <is>
          <t>family</t>
        </is>
      </c>
      <c r="R64" s="7" t="inlineStr">
        <is>
          <t>Isaac; Ishmael; Abraham; Sarah</t>
        </is>
      </c>
      <c r="S64" s="7" t="n"/>
      <c r="T64" s="7" t="inlineStr">
        <is>
          <t>Gen. 21:8</t>
        </is>
      </c>
      <c r="U64" s="7" t="inlineStr">
        <is>
          <t>ஆதி. 21:8</t>
        </is>
      </c>
      <c r="V64" s="7" t="n">
        <v>2</v>
      </c>
      <c r="W64" s="7" t="inlineStr">
        <is>
          <t>Study Number 3—Measuring Events in the Stream of Time</t>
        </is>
      </c>
      <c r="X64" s="9" t="inlineStr">
        <is>
          <t>open</t>
        </is>
      </c>
      <c r="Y64" s="9" t="inlineStr">
        <is>
          <t>open</t>
        </is>
      </c>
      <c r="Z64" s="7" t="inlineStr">
        <is>
          <t>https://wol.jw.org/en/wol/d/r1/lp-e/1101990130
https://wol.jw.org/en/wol/d/r1/lp-e/1200002215</t>
        </is>
      </c>
      <c r="AA64" s="7" t="n">
        <v>0</v>
      </c>
      <c r="AB64" s="7" t="n"/>
      <c r="AC64" s="7" t="n">
        <v>0</v>
      </c>
      <c r="AD64" s="7" t="n"/>
      <c r="AE64" s="7" t="n"/>
      <c r="AF64" s="7" t="n"/>
      <c r="AG64" s="7" t="n"/>
      <c r="AH64" s="7" t="n"/>
      <c r="AI64" s="7" t="n"/>
      <c r="AJ64" s="7" t="n"/>
      <c r="AK64" s="7" t="n"/>
      <c r="AL64" s="7" t="n"/>
      <c r="AM64" s="7" t="n">
        <v>-1913</v>
      </c>
      <c r="AN64" s="10" t="n"/>
      <c r="AO64" s="10" t="n"/>
      <c r="AP64" s="10" t="n"/>
      <c r="AQ64" s="10" t="n"/>
    </row>
    <row r="65">
      <c r="A65" s="7" t="inlineStr">
        <is>
          <t>b1-0046</t>
        </is>
      </c>
      <c r="B65" s="7" t="inlineStr">
        <is>
          <t>Point</t>
        </is>
      </c>
      <c r="C65" s="7" t="n"/>
      <c r="D65" s="7" t="inlineStr">
        <is>
          <t>1913 B.C.E.</t>
        </is>
      </c>
      <c r="E65" s="7" t="inlineStr">
        <is>
          <t>பொ.ச.மு. 1913</t>
        </is>
      </c>
      <c r="F65" s="7" t="inlineStr">
        <is>
          <t>1913 BCE</t>
        </is>
      </c>
      <c r="G65" s="7" t="inlineStr">
        <is>
          <t>Exact</t>
        </is>
      </c>
      <c r="H65" s="7" t="n"/>
      <c r="I65" s="7" t="n"/>
      <c r="J65" s="7" t="n"/>
      <c r="K65" s="2" t="inlineStr">
        <is>
          <t>Ishmael and Hagar sent away</t>
        </is>
      </c>
      <c r="L65" s="2" t="inlineStr">
        <is>
          <t>இஸ்மவேலை அனுப்பிவிடுதல்</t>
        </is>
      </c>
      <c r="M65" s="7" t="inlineStr">
        <is>
          <t>With God's approval of Sarah's insistence, Abraham dismisses Hagar and her son Ishmael.</t>
        </is>
      </c>
      <c r="N65" s="7" t="n"/>
      <c r="O65" s="8" t="inlineStr">
        <is>
          <t>Bible</t>
        </is>
      </c>
      <c r="P65" s="7" t="inlineStr">
        <is>
          <t>bible.patriarch</t>
        </is>
      </c>
      <c r="Q65" s="7" t="inlineStr">
        <is>
          <t>family</t>
        </is>
      </c>
      <c r="R65" s="7" t="inlineStr">
        <is>
          <t>Ishmael; Hagar; Abraham; Sarah</t>
        </is>
      </c>
      <c r="S65" s="7" t="inlineStr">
        <is>
          <t>Beer-sheba</t>
        </is>
      </c>
      <c r="T65" s="7" t="inlineStr">
        <is>
          <t>Gen. 21:10-14</t>
        </is>
      </c>
      <c r="U65" s="7" t="n"/>
      <c r="V65" s="7" t="n">
        <v>2</v>
      </c>
      <c r="W65" s="7" t="inlineStr">
        <is>
          <t>Study Number 3—Measuring Events in the Stream of Time</t>
        </is>
      </c>
      <c r="X65" s="9" t="inlineStr">
        <is>
          <t>open</t>
        </is>
      </c>
      <c r="Y65" s="9" t="inlineStr">
        <is>
          <t>open</t>
        </is>
      </c>
      <c r="Z65" s="7" t="inlineStr">
        <is>
          <t>https://wol.jw.org/en/wol/d/r1/lp-e/1101990130
https://wol.jw.org/en/wol/d/r1/lp-e/1200000060</t>
        </is>
      </c>
      <c r="AA65" s="7" t="n">
        <v>0</v>
      </c>
      <c r="AB65" s="7" t="n"/>
      <c r="AC65" s="7" t="n">
        <v>0</v>
      </c>
      <c r="AD65" s="7" t="n"/>
      <c r="AE65" s="7" t="n"/>
      <c r="AF65" s="7" t="n"/>
      <c r="AG65" s="7" t="n"/>
      <c r="AH65" s="7" t="n"/>
      <c r="AI65" s="7" t="n"/>
      <c r="AJ65" s="7" t="n"/>
      <c r="AK65" s="7" t="n"/>
      <c r="AL65" s="7" t="n"/>
      <c r="AM65" s="7" t="n">
        <v>-1912.99</v>
      </c>
      <c r="AN65" s="10" t="n"/>
      <c r="AO65" s="10" t="n"/>
      <c r="AP65" s="10" t="n"/>
      <c r="AQ65" s="10" t="n"/>
    </row>
    <row r="66">
      <c r="A66" s="7" t="inlineStr">
        <is>
          <t>b1-0047</t>
        </is>
      </c>
      <c r="B66" s="7" t="inlineStr">
        <is>
          <t>Point</t>
        </is>
      </c>
      <c r="C66" s="7" t="n"/>
      <c r="D66" s="7" t="inlineStr">
        <is>
          <t>1913 B.C.E.</t>
        </is>
      </c>
      <c r="E66" s="7" t="inlineStr">
        <is>
          <t>பொ.ச.மு. 1913</t>
        </is>
      </c>
      <c r="F66" s="7" t="inlineStr">
        <is>
          <t>1913 BCE</t>
        </is>
      </c>
      <c r="G66" s="7" t="inlineStr">
        <is>
          <t>Exact</t>
        </is>
      </c>
      <c r="H66" s="7" t="n"/>
      <c r="I66" s="7" t="n"/>
      <c r="J66" s="7" t="n"/>
      <c r="K66" s="2" t="inlineStr">
        <is>
          <t>Beginning of the 400-year affliction of Abraham's seed</t>
        </is>
      </c>
      <c r="L66" s="2" t="inlineStr">
        <is>
          <t>400 வருட துன்பகாலத்தின் தொடக்கம்</t>
        </is>
      </c>
      <c r="M66" s="7" t="inlineStr">
        <is>
          <t>The foretold 400 years of affliction on Abraham's seed begin with Ishmael's mocking of Isaac and end with Israel's deliverance from Egypt in 1513 B.C.E.</t>
        </is>
      </c>
      <c r="N66" s="7" t="inlineStr">
        <is>
          <t>எகிப்தில் இஸ்ரவேலர்கள் பட்ட துன்பத்திலிருந்து பொ.ச.மு. 1513-ல் யெகோவா விடுவித்தார். அப்படியென்றால், அவர்களது துன்ப காலம் பொ.ச.மு. 1913-ல் தொடங்கியிருக்க வேண்டும்.</t>
        </is>
      </c>
      <c r="O66" s="8" t="inlineStr">
        <is>
          <t>Bible</t>
        </is>
      </c>
      <c r="P66" s="7" t="inlineStr">
        <is>
          <t>bible.prophecy_fulfilled</t>
        </is>
      </c>
      <c r="Q66" s="7" t="inlineStr">
        <is>
          <t>period_start</t>
        </is>
      </c>
      <c r="R66" s="7" t="inlineStr">
        <is>
          <t>Isaac; Ishmael</t>
        </is>
      </c>
      <c r="S66" s="7" t="n"/>
      <c r="T66" s="7" t="inlineStr">
        <is>
          <t>Gen. 15:13; Acts 7:6; Gal. 4:29</t>
        </is>
      </c>
      <c r="U66" s="7" t="inlineStr">
        <is>
          <t>ஆதி. 15:13; அப். 7:6</t>
        </is>
      </c>
      <c r="V66" s="7" t="n">
        <v>4</v>
      </c>
      <c r="W66" s="7" t="inlineStr">
        <is>
          <t>Study Number 3—Measuring Events in the Stream of Time</t>
        </is>
      </c>
      <c r="X66" s="9" t="inlineStr">
        <is>
          <t>open</t>
        </is>
      </c>
      <c r="Y66" s="9" t="inlineStr">
        <is>
          <t>open</t>
        </is>
      </c>
      <c r="Z66" s="7" t="inlineStr">
        <is>
          <t>https://wol.jw.org/en/wol/d/r1/lp-e/1101990130
https://wol.jw.org/en/wol/d/r1/lp-e/1101990130
https://wol.jw.org/en/wol/d/r1/lp-e/1200000970
https://wol.jw.org/en/wol/d/r1/lp-e/1200000060</t>
        </is>
      </c>
      <c r="AA66" s="7" t="n">
        <v>0</v>
      </c>
      <c r="AB66" s="7" t="n"/>
      <c r="AC66" s="7" t="n">
        <v>0</v>
      </c>
      <c r="AD66" s="7" t="n"/>
      <c r="AE66" s="7" t="n"/>
      <c r="AF66" s="7" t="n"/>
      <c r="AG66" s="7" t="n"/>
      <c r="AH66" s="7" t="n"/>
      <c r="AI66" s="7" t="inlineStr">
        <is>
          <t>Span endpoint – keep</t>
        </is>
      </c>
      <c r="AJ66" s="7" t="inlineStr">
        <is>
          <t>start of The 400 years of affliction of Abraham’s seed (b12-0004)</t>
        </is>
      </c>
      <c r="AK66" s="7" t="n"/>
      <c r="AL66" s="7" t="n"/>
      <c r="AM66" s="7" t="n">
        <v>-1912.98</v>
      </c>
      <c r="AN66" s="10" t="n"/>
      <c r="AO66" s="10" t="n"/>
      <c r="AP66" s="10" t="n"/>
      <c r="AQ66" s="10" t="n"/>
    </row>
    <row r="67">
      <c r="A67" s="7" t="inlineStr">
        <is>
          <t>b12-0004</t>
        </is>
      </c>
      <c r="B67" s="11" t="inlineStr">
        <is>
          <t>Span</t>
        </is>
      </c>
      <c r="C67" s="7" t="inlineStr">
        <is>
          <t>prophetic period</t>
        </is>
      </c>
      <c r="D67" s="7" t="inlineStr">
        <is>
          <t>1913 B.C.E.–1513 B.C.E.</t>
        </is>
      </c>
      <c r="E67" s="7" t="n"/>
      <c r="F67" s="7" t="inlineStr">
        <is>
          <t>1913 BCE</t>
        </is>
      </c>
      <c r="G67" s="7" t="inlineStr">
        <is>
          <t>Exact</t>
        </is>
      </c>
      <c r="H67" s="7" t="inlineStr">
        <is>
          <t>1513 BCE</t>
        </is>
      </c>
      <c r="I67" s="7" t="inlineStr">
        <is>
          <t>Exact</t>
        </is>
      </c>
      <c r="J67" s="7" t="inlineStr">
        <is>
          <t>400 years</t>
        </is>
      </c>
      <c r="K67" s="2" t="inlineStr">
        <is>
          <t>The 400 years of affliction of Abraham’s seed</t>
        </is>
      </c>
      <c r="L67" s="2" t="n"/>
      <c r="M67" s="7" t="inlineStr">
        <is>
          <t>The foretold 400 years of affliction began when Ishmael poked fun at the newly weaned Isaac and ended when Jehovah freed Israel from Egypt in 1513 B.C.E.</t>
        </is>
      </c>
      <c r="N67" s="7" t="inlineStr">
        <is>
          <t>அப்படியென்றால், அவர்களது துன்ப காலம் பொ.ச.மு. 1913-ல் தொடங்கியிருக்க வேண்டும்.</t>
        </is>
      </c>
      <c r="O67" s="8" t="inlineStr">
        <is>
          <t>Bible</t>
        </is>
      </c>
      <c r="P67" s="7" t="inlineStr">
        <is>
          <t>bible.covenant</t>
        </is>
      </c>
      <c r="Q67" s="7" t="n"/>
      <c r="R67" s="7" t="inlineStr">
        <is>
          <t>Isaac; Ishmael</t>
        </is>
      </c>
      <c r="S67" s="7" t="n"/>
      <c r="T67" s="7" t="inlineStr">
        <is>
          <t>Gen. 15:13; Acts 7:6</t>
        </is>
      </c>
      <c r="U67" s="7" t="inlineStr">
        <is>
          <t>ஆதி. 15:13; அப். 7:6</t>
        </is>
      </c>
      <c r="V67" s="7" t="n">
        <v>3</v>
      </c>
      <c r="W67" s="7" t="inlineStr">
        <is>
          <t>Study Number 3—Measuring Events in the Stream of Time</t>
        </is>
      </c>
      <c r="X67" s="9" t="inlineStr">
        <is>
          <t>open</t>
        </is>
      </c>
      <c r="Y67" s="9" t="inlineStr">
        <is>
          <t>open</t>
        </is>
      </c>
      <c r="Z67" s="7" t="inlineStr">
        <is>
          <t>https://wol.jw.org/en/wol/d/r1/lp-e/1101990130
https://wol.jw.org/en/wol/d/r1/lp-e/1101990130
https://wol.jw.org/en/wol/d/r1/lp-e/1101990130</t>
        </is>
      </c>
      <c r="AA67" s="7" t="n">
        <v>0</v>
      </c>
      <c r="AB67" s="7" t="n"/>
      <c r="AC67" s="7" t="n">
        <v>0</v>
      </c>
      <c r="AD67" s="7" t="n"/>
      <c r="AE67" s="7" t="n"/>
      <c r="AF67" s="7" t="inlineStr">
        <is>
          <t>b1-0047</t>
        </is>
      </c>
      <c r="AG67" s="7" t="inlineStr">
        <is>
          <t>b2-0017</t>
        </is>
      </c>
      <c r="AH67" s="7" t="n"/>
      <c r="AI67" s="7" t="n"/>
      <c r="AJ67" s="7" t="n"/>
      <c r="AK67" s="7" t="n"/>
      <c r="AL67" s="7" t="n"/>
      <c r="AM67" s="7" t="n">
        <v>-1912.98</v>
      </c>
      <c r="AN67" s="10" t="n"/>
      <c r="AO67" s="10" t="n"/>
      <c r="AP67" s="10" t="n"/>
      <c r="AQ67" s="10" t="n"/>
    </row>
    <row r="68">
      <c r="A68" s="7" t="inlineStr">
        <is>
          <t>b1-0048</t>
        </is>
      </c>
      <c r="B68" s="7" t="inlineStr">
        <is>
          <t>Point</t>
        </is>
      </c>
      <c r="C68" s="7" t="n"/>
      <c r="D68" s="7" t="inlineStr">
        <is>
          <t>1900 B.C.E.</t>
        </is>
      </c>
      <c r="E68" s="7" t="n"/>
      <c r="F68" s="7" t="inlineStr">
        <is>
          <t>1900 BCE</t>
        </is>
      </c>
      <c r="G68" s="7" t="inlineStr">
        <is>
          <t>Exact</t>
        </is>
      </c>
      <c r="H68" s="7" t="n"/>
      <c r="I68" s="7" t="n"/>
      <c r="J68" s="7" t="n"/>
      <c r="K68" s="2" t="inlineStr">
        <is>
          <t>Death of Shelah</t>
        </is>
      </c>
      <c r="L68" s="2" t="n"/>
      <c r="M68" s="7" t="inlineStr">
        <is>
          <t>Shelah, son of Arpachshad, dies at the age of 433.</t>
        </is>
      </c>
      <c r="N68" s="7" t="n"/>
      <c r="O68" s="8" t="inlineStr">
        <is>
          <t>Bible</t>
        </is>
      </c>
      <c r="P68" s="7" t="inlineStr">
        <is>
          <t>bible.patriarch</t>
        </is>
      </c>
      <c r="Q68" s="7" t="inlineStr">
        <is>
          <t>death</t>
        </is>
      </c>
      <c r="R68" s="7" t="inlineStr">
        <is>
          <t>Shelah</t>
        </is>
      </c>
      <c r="S68" s="7" t="n"/>
      <c r="T68" s="7" t="inlineStr">
        <is>
          <t>Gen. 11:15</t>
        </is>
      </c>
      <c r="U68" s="7" t="n"/>
      <c r="V68" s="7" t="n">
        <v>1</v>
      </c>
      <c r="W68" s="7" t="inlineStr">
        <is>
          <t>Shelah</t>
        </is>
      </c>
      <c r="X68" s="9" t="inlineStr">
        <is>
          <t>open</t>
        </is>
      </c>
      <c r="Y68" s="7" t="n"/>
      <c r="Z68" s="7" t="inlineStr">
        <is>
          <t>https://wol.jw.org/en/wol/d/r1/lp-e/1200003988</t>
        </is>
      </c>
      <c r="AA68" s="7" t="n">
        <v>0</v>
      </c>
      <c r="AB68" s="7" t="n"/>
      <c r="AC68" s="7" t="n">
        <v>0</v>
      </c>
      <c r="AD68" s="7" t="n"/>
      <c r="AE68" s="7" t="n"/>
      <c r="AF68" s="7" t="n"/>
      <c r="AG68" s="7" t="n"/>
      <c r="AH68" s="7" t="n"/>
      <c r="AI68" s="7" t="inlineStr">
        <is>
          <t>Covered by span – hide on chart</t>
        </is>
      </c>
      <c r="AJ68" s="7" t="inlineStr">
        <is>
          <t>end of Life of Shelah (d1-0008)</t>
        </is>
      </c>
      <c r="AK68" s="7" t="n"/>
      <c r="AL68" s="7" t="n"/>
      <c r="AM68" s="7" t="n">
        <v>-1900</v>
      </c>
      <c r="AN68" s="10" t="n"/>
      <c r="AO68" s="10" t="n"/>
      <c r="AP68" s="10" t="n"/>
      <c r="AQ68" s="10" t="n"/>
    </row>
    <row r="69">
      <c r="A69" s="7" t="inlineStr">
        <is>
          <t>b1-0049</t>
        </is>
      </c>
      <c r="B69" s="7" t="inlineStr">
        <is>
          <t>Point</t>
        </is>
      </c>
      <c r="C69" s="7" t="n"/>
      <c r="D69" s="7" t="inlineStr">
        <is>
          <t>1881 B.C.E.</t>
        </is>
      </c>
      <c r="E69" s="7" t="inlineStr">
        <is>
          <t>பொ.ச.மு. 1881</t>
        </is>
      </c>
      <c r="F69" s="7" t="inlineStr">
        <is>
          <t>1881 BCE</t>
        </is>
      </c>
      <c r="G69" s="7" t="inlineStr">
        <is>
          <t>Exact</t>
        </is>
      </c>
      <c r="H69" s="7" t="n"/>
      <c r="I69" s="7" t="n"/>
      <c r="J69" s="7" t="n"/>
      <c r="K69" s="2" t="inlineStr">
        <is>
          <t>Death of Sarah</t>
        </is>
      </c>
      <c r="L69" s="2" t="inlineStr">
        <is>
          <t>சாராளின் மரணம்</t>
        </is>
      </c>
      <c r="M69" s="7" t="inlineStr">
        <is>
          <t>Sarah dies at Hebron at the age of 127. Abraham buys the cave of Machpelah from the Hittites as a burial place.</t>
        </is>
      </c>
      <c r="N69" s="7" t="n"/>
      <c r="O69" s="8" t="inlineStr">
        <is>
          <t>Bible</t>
        </is>
      </c>
      <c r="P69" s="7" t="inlineStr">
        <is>
          <t>bible.patriarch</t>
        </is>
      </c>
      <c r="Q69" s="7" t="inlineStr">
        <is>
          <t>death</t>
        </is>
      </c>
      <c r="R69" s="7" t="inlineStr">
        <is>
          <t>Sarah; Abraham</t>
        </is>
      </c>
      <c r="S69" s="7" t="inlineStr">
        <is>
          <t>Hebron; Machpelah</t>
        </is>
      </c>
      <c r="T69" s="7" t="inlineStr">
        <is>
          <t>Gen. 17:17; Gen. 23:1</t>
        </is>
      </c>
      <c r="U69" s="7" t="inlineStr">
        <is>
          <t>ஆதி. 17:17; ஆதி. 23:1</t>
        </is>
      </c>
      <c r="V69" s="7" t="n">
        <v>2</v>
      </c>
      <c r="W69" s="7" t="inlineStr">
        <is>
          <t>Study Number 3—Measuring Events in the Stream of Time</t>
        </is>
      </c>
      <c r="X69" s="9" t="inlineStr">
        <is>
          <t>open</t>
        </is>
      </c>
      <c r="Y69" s="9" t="inlineStr">
        <is>
          <t>open</t>
        </is>
      </c>
      <c r="Z69" s="7" t="inlineStr">
        <is>
          <t>https://wol.jw.org/en/wol/d/r1/lp-e/1101990130
https://wol.jw.org/en/wol/d/r1/lp-e/1200000060</t>
        </is>
      </c>
      <c r="AA69" s="7" t="n">
        <v>0</v>
      </c>
      <c r="AB69" s="7" t="n"/>
      <c r="AC69" s="7" t="n">
        <v>0</v>
      </c>
      <c r="AD69" s="7" t="n"/>
      <c r="AE69" s="7" t="n"/>
      <c r="AF69" s="7" t="n"/>
      <c r="AG69" s="7" t="n"/>
      <c r="AH69" s="7" t="n"/>
      <c r="AI69" s="7" t="n"/>
      <c r="AJ69" s="7" t="n"/>
      <c r="AK69" s="7" t="n"/>
      <c r="AL69" s="7" t="n"/>
      <c r="AM69" s="7" t="n">
        <v>-1881</v>
      </c>
      <c r="AN69" s="10" t="n"/>
      <c r="AO69" s="10" t="n"/>
      <c r="AP69" s="10" t="n"/>
      <c r="AQ69" s="10" t="n"/>
    </row>
    <row r="70">
      <c r="A70" s="7" t="inlineStr">
        <is>
          <t>b1-0050</t>
        </is>
      </c>
      <c r="B70" s="7" t="inlineStr">
        <is>
          <t>Point</t>
        </is>
      </c>
      <c r="C70" s="7" t="n"/>
      <c r="D70" s="7" t="inlineStr">
        <is>
          <t>1878 B.C.E.</t>
        </is>
      </c>
      <c r="E70" s="7" t="inlineStr">
        <is>
          <t>பொ.ச.மு. 1878</t>
        </is>
      </c>
      <c r="F70" s="7" t="inlineStr">
        <is>
          <t>1878 BCE</t>
        </is>
      </c>
      <c r="G70" s="7" t="inlineStr">
        <is>
          <t>Exact</t>
        </is>
      </c>
      <c r="H70" s="7" t="n"/>
      <c r="I70" s="7" t="n"/>
      <c r="J70" s="7" t="n"/>
      <c r="K70" s="2" t="inlineStr">
        <is>
          <t>Marriage of Isaac and Rebekah</t>
        </is>
      </c>
      <c r="L70" s="2" t="inlineStr">
        <is>
          <t>ஈசாக்குக்கும் ரெபெக்காளுக்கும் திருமணம்</t>
        </is>
      </c>
      <c r="M70" s="7" t="inlineStr">
        <is>
          <t>Abraham's servant finds Rebekah at the city of Nahor in Mesopotamia, and Isaac, then 40 years old, marries her.</t>
        </is>
      </c>
      <c r="N70" s="7" t="n"/>
      <c r="O70" s="8" t="inlineStr">
        <is>
          <t>Bible</t>
        </is>
      </c>
      <c r="P70" s="7" t="inlineStr">
        <is>
          <t>bible.patriarch</t>
        </is>
      </c>
      <c r="Q70" s="7" t="inlineStr">
        <is>
          <t>marriage</t>
        </is>
      </c>
      <c r="R70" s="7" t="inlineStr">
        <is>
          <t>Isaac; Rebekah; Abraham; Eliezer</t>
        </is>
      </c>
      <c r="S70" s="7" t="inlineStr">
        <is>
          <t>Haran; Paddan-aram</t>
        </is>
      </c>
      <c r="T70" s="7" t="inlineStr">
        <is>
          <t>Gen. 25:20; Gen. 24:10-67</t>
        </is>
      </c>
      <c r="U70" s="7" t="inlineStr">
        <is>
          <t>ஆதி. 25:20</t>
        </is>
      </c>
      <c r="V70" s="7" t="n">
        <v>3</v>
      </c>
      <c r="W70" s="7" t="inlineStr">
        <is>
          <t>Study Number 3—Measuring Events in the Stream of Time</t>
        </is>
      </c>
      <c r="X70" s="9" t="inlineStr">
        <is>
          <t>open</t>
        </is>
      </c>
      <c r="Y70" s="9" t="inlineStr">
        <is>
          <t>open</t>
        </is>
      </c>
      <c r="Z70" s="7" t="inlineStr">
        <is>
          <t>https://wol.jw.org/en/wol/d/r1/lp-e/1101990130
https://wol.jw.org/en/wol/d/r1/lp-e/1200002203
https://wol.jw.org/en/wol/d/r1/lp-e/1200003658</t>
        </is>
      </c>
      <c r="AA70" s="7" t="n">
        <v>1</v>
      </c>
      <c r="AB70" s="9" t="inlineStr">
        <is>
          <t>open</t>
        </is>
      </c>
      <c r="AC70" s="7" t="n">
        <v>0</v>
      </c>
      <c r="AD70" s="7" t="n"/>
      <c r="AE70" s="7" t="n"/>
      <c r="AF70" s="7" t="n"/>
      <c r="AG70" s="7" t="n"/>
      <c r="AH70" s="7" t="n"/>
      <c r="AI70" s="7" t="n"/>
      <c r="AJ70" s="7" t="n"/>
      <c r="AK70" s="7" t="n"/>
      <c r="AL70" s="7" t="n"/>
      <c r="AM70" s="7" t="n">
        <v>-1878</v>
      </c>
      <c r="AN70" s="10" t="n"/>
      <c r="AO70" s="10" t="n"/>
      <c r="AP70" s="10" t="n"/>
      <c r="AQ70" s="10" t="n"/>
    </row>
    <row r="71">
      <c r="A71" s="7" t="inlineStr">
        <is>
          <t>b1-0051</t>
        </is>
      </c>
      <c r="B71" s="7" t="inlineStr">
        <is>
          <t>Point</t>
        </is>
      </c>
      <c r="C71" s="7" t="n"/>
      <c r="D71" s="7" t="inlineStr">
        <is>
          <t>1868 B.C.E.</t>
        </is>
      </c>
      <c r="E71" s="7" t="inlineStr">
        <is>
          <t>பொ.ச.மு. 1868</t>
        </is>
      </c>
      <c r="F71" s="7" t="inlineStr">
        <is>
          <t>1868 BCE</t>
        </is>
      </c>
      <c r="G71" s="7" t="inlineStr">
        <is>
          <t>Exact</t>
        </is>
      </c>
      <c r="H71" s="7" t="n"/>
      <c r="I71" s="7" t="n"/>
      <c r="J71" s="7" t="n"/>
      <c r="K71" s="2" t="inlineStr">
        <is>
          <t>Death of Shem</t>
        </is>
      </c>
      <c r="L71" s="2" t="inlineStr">
        <is>
          <t>சேமின் மரணம்</t>
        </is>
      </c>
      <c r="M71" s="7" t="inlineStr">
        <is>
          <t>Shem dies about 13 years after Sarah's death and ten years after Isaac's marriage.</t>
        </is>
      </c>
      <c r="N71" s="7" t="n"/>
      <c r="O71" s="8" t="inlineStr">
        <is>
          <t>Bible</t>
        </is>
      </c>
      <c r="P71" s="7" t="inlineStr">
        <is>
          <t>bible.patriarch</t>
        </is>
      </c>
      <c r="Q71" s="7" t="inlineStr">
        <is>
          <t>death</t>
        </is>
      </c>
      <c r="R71" s="7" t="inlineStr">
        <is>
          <t>Shem</t>
        </is>
      </c>
      <c r="S71" s="7" t="n"/>
      <c r="T71" s="7" t="inlineStr">
        <is>
          <t>Gen. 11:11</t>
        </is>
      </c>
      <c r="U71" s="7" t="inlineStr">
        <is>
          <t>ஆதி. 11:11</t>
        </is>
      </c>
      <c r="V71" s="7" t="n">
        <v>2</v>
      </c>
      <c r="W71" s="7" t="inlineStr">
        <is>
          <t>Study Number 3—Measuring Events in the Stream of Time</t>
        </is>
      </c>
      <c r="X71" s="9" t="inlineStr">
        <is>
          <t>open</t>
        </is>
      </c>
      <c r="Y71" s="9" t="inlineStr">
        <is>
          <t>open</t>
        </is>
      </c>
      <c r="Z71" s="7" t="inlineStr">
        <is>
          <t>https://wol.jw.org/en/wol/d/r1/lp-e/1101990130
https://wol.jw.org/en/wol/d/r1/lp-e/1200003997</t>
        </is>
      </c>
      <c r="AA71" s="7" t="n">
        <v>0</v>
      </c>
      <c r="AB71" s="7" t="n"/>
      <c r="AC71" s="7" t="n">
        <v>0</v>
      </c>
      <c r="AD71" s="7" t="n"/>
      <c r="AE71" s="7" t="n"/>
      <c r="AF71" s="7" t="n"/>
      <c r="AG71" s="7" t="n"/>
      <c r="AH71" s="7" t="n"/>
      <c r="AI71" s="7" t="inlineStr">
        <is>
          <t>Covered by span – hide on chart</t>
        </is>
      </c>
      <c r="AJ71" s="7" t="inlineStr">
        <is>
          <t>end of Life of Shem (d1-0007)</t>
        </is>
      </c>
      <c r="AK71" s="7" t="n"/>
      <c r="AL71" s="7" t="n"/>
      <c r="AM71" s="7" t="n">
        <v>-1868</v>
      </c>
      <c r="AN71" s="10" t="n"/>
      <c r="AO71" s="10" t="n"/>
      <c r="AP71" s="10" t="n"/>
      <c r="AQ71" s="10" t="n"/>
    </row>
    <row r="72">
      <c r="A72" s="7" t="inlineStr">
        <is>
          <t>b1-0052</t>
        </is>
      </c>
      <c r="B72" s="7" t="inlineStr">
        <is>
          <t>Point</t>
        </is>
      </c>
      <c r="C72" s="7" t="n"/>
      <c r="D72" s="7" t="inlineStr">
        <is>
          <t>1858 B.C.E.</t>
        </is>
      </c>
      <c r="E72" s="7" t="inlineStr">
        <is>
          <t>பொ.ச.மு. 1858</t>
        </is>
      </c>
      <c r="F72" s="7" t="inlineStr">
        <is>
          <t>1858 BCE</t>
        </is>
      </c>
      <c r="G72" s="7" t="inlineStr">
        <is>
          <t>Exact</t>
        </is>
      </c>
      <c r="H72" s="7" t="n"/>
      <c r="I72" s="7" t="n"/>
      <c r="J72" s="7" t="n"/>
      <c r="K72" s="2" t="inlineStr">
        <is>
          <t>Birth of Esau and Jacob</t>
        </is>
      </c>
      <c r="L72" s="2" t="inlineStr">
        <is>
          <t>ஏசா மற்றும் யாக்கோபின் பிறப்பு</t>
        </is>
      </c>
      <c r="M72" s="7" t="inlineStr">
        <is>
          <t>After 20 years of marriage, Rebekah gives birth to twins, Esau and Jacob, when Isaac is 60 years old.</t>
        </is>
      </c>
      <c r="N72" s="7" t="n"/>
      <c r="O72" s="8" t="inlineStr">
        <is>
          <t>Bible</t>
        </is>
      </c>
      <c r="P72" s="7" t="inlineStr">
        <is>
          <t>bible.patriarch</t>
        </is>
      </c>
      <c r="Q72" s="7" t="inlineStr">
        <is>
          <t>birth</t>
        </is>
      </c>
      <c r="R72" s="7" t="inlineStr">
        <is>
          <t>Esau; Jacob; Isaac; Rebekah</t>
        </is>
      </c>
      <c r="S72" s="7" t="n"/>
      <c r="T72" s="7" t="inlineStr">
        <is>
          <t>Gen. 25:26</t>
        </is>
      </c>
      <c r="U72" s="7" t="inlineStr">
        <is>
          <t>ஆதி. 25:26</t>
        </is>
      </c>
      <c r="V72" s="7" t="n">
        <v>4</v>
      </c>
      <c r="W72" s="7" t="inlineStr">
        <is>
          <t>Study Number 3—Measuring Events in the Stream of Time</t>
        </is>
      </c>
      <c r="X72" s="9" t="inlineStr">
        <is>
          <t>open</t>
        </is>
      </c>
      <c r="Y72" s="9" t="inlineStr">
        <is>
          <t>open</t>
        </is>
      </c>
      <c r="Z72" s="7" t="inlineStr">
        <is>
          <t>https://wol.jw.org/en/wol/d/r1/lp-e/1101990130
https://wol.jw.org/en/wol/d/r1/lp-e/1200002203
https://wol.jw.org/en/wol/d/r1/lp-e/1200001417
https://wol.jw.org/en/wol/d/r1/lp-e/1200002279</t>
        </is>
      </c>
      <c r="AA72" s="7" t="n">
        <v>0</v>
      </c>
      <c r="AB72" s="7" t="n"/>
      <c r="AC72" s="7" t="n">
        <v>0</v>
      </c>
      <c r="AD72" s="7" t="n"/>
      <c r="AE72" s="7" t="n"/>
      <c r="AF72" s="7" t="n"/>
      <c r="AG72" s="7" t="n"/>
      <c r="AH72" s="7" t="n"/>
      <c r="AI72" s="7" t="n"/>
      <c r="AJ72" s="7" t="n"/>
      <c r="AK72" s="7" t="inlineStr">
        <is>
          <t>messianic-line #22 (item)</t>
        </is>
      </c>
      <c r="AL72" s="7" t="n"/>
      <c r="AM72" s="7" t="n">
        <v>-1858</v>
      </c>
      <c r="AN72" s="10" t="n"/>
      <c r="AO72" s="10" t="n"/>
      <c r="AP72" s="10" t="n"/>
      <c r="AQ72" s="10" t="n"/>
    </row>
    <row r="73">
      <c r="A73" s="7" t="inlineStr">
        <is>
          <t>b1-0053</t>
        </is>
      </c>
      <c r="B73" s="7" t="inlineStr">
        <is>
          <t>Point</t>
        </is>
      </c>
      <c r="C73" s="7" t="n"/>
      <c r="D73" s="7" t="inlineStr">
        <is>
          <t>1843 B.C.E.</t>
        </is>
      </c>
      <c r="E73" s="7" t="inlineStr">
        <is>
          <t>பொ.ச.மு. 1843</t>
        </is>
      </c>
      <c r="F73" s="7" t="inlineStr">
        <is>
          <t>1843 BCE</t>
        </is>
      </c>
      <c r="G73" s="7" t="inlineStr">
        <is>
          <t>Exact</t>
        </is>
      </c>
      <c r="H73" s="7" t="n"/>
      <c r="I73" s="7" t="n"/>
      <c r="J73" s="7" t="n"/>
      <c r="K73" s="2" t="inlineStr">
        <is>
          <t>Death of Abraham</t>
        </is>
      </c>
      <c r="L73" s="2" t="inlineStr">
        <is>
          <t>ஆபிரகாமின் மரணம்</t>
        </is>
      </c>
      <c r="M73" s="7" t="inlineStr">
        <is>
          <t>Abraham dies at the age of 175 and is buried by Isaac and Ishmael in the cave of Machpelah. His grandson Jacob is then 15 years old.</t>
        </is>
      </c>
      <c r="N73" s="7" t="n"/>
      <c r="O73" s="8" t="inlineStr">
        <is>
          <t>Bible</t>
        </is>
      </c>
      <c r="P73" s="7" t="inlineStr">
        <is>
          <t>bible.patriarch</t>
        </is>
      </c>
      <c r="Q73" s="7" t="inlineStr">
        <is>
          <t>death</t>
        </is>
      </c>
      <c r="R73" s="7" t="inlineStr">
        <is>
          <t>Abraham; Isaac; Ishmael</t>
        </is>
      </c>
      <c r="S73" s="7" t="inlineStr">
        <is>
          <t>Machpelah</t>
        </is>
      </c>
      <c r="T73" s="7" t="inlineStr">
        <is>
          <t>Gen. 25:7</t>
        </is>
      </c>
      <c r="U73" s="7" t="inlineStr">
        <is>
          <t>ஆதி. 25:7</t>
        </is>
      </c>
      <c r="V73" s="7" t="n">
        <v>3</v>
      </c>
      <c r="W73" s="7" t="inlineStr">
        <is>
          <t>Study Number 3—Measuring Events in the Stream of Time</t>
        </is>
      </c>
      <c r="X73" s="9" t="inlineStr">
        <is>
          <t>open</t>
        </is>
      </c>
      <c r="Y73" s="9" t="inlineStr">
        <is>
          <t>open</t>
        </is>
      </c>
      <c r="Z73" s="7" t="inlineStr">
        <is>
          <t>https://wol.jw.org/en/wol/d/r1/lp-e/1101990130
https://wol.jw.org/en/wol/d/r1/lp-e/1200000060
https://wol.jw.org/en/wol/d/r1/lp-e/1200002279</t>
        </is>
      </c>
      <c r="AA73" s="7" t="n">
        <v>0</v>
      </c>
      <c r="AB73" s="7" t="n"/>
      <c r="AC73" s="7" t="n">
        <v>0</v>
      </c>
      <c r="AD73" s="7" t="n"/>
      <c r="AE73" s="7" t="n"/>
      <c r="AF73" s="7" t="n"/>
      <c r="AG73" s="7" t="n"/>
      <c r="AH73" s="7" t="n"/>
      <c r="AI73" s="7" t="inlineStr">
        <is>
          <t>Covered by span – hide on chart</t>
        </is>
      </c>
      <c r="AJ73" s="7" t="inlineStr">
        <is>
          <t>end of Life of Abraham (d1-0013)</t>
        </is>
      </c>
      <c r="AK73" s="7" t="n"/>
      <c r="AL73" s="7" t="n"/>
      <c r="AM73" s="7" t="n">
        <v>-1843</v>
      </c>
      <c r="AN73" s="10" t="n"/>
      <c r="AO73" s="10" t="n"/>
      <c r="AP73" s="10" t="n"/>
      <c r="AQ73" s="10" t="n"/>
    </row>
    <row r="74">
      <c r="A74" s="7" t="inlineStr">
        <is>
          <t>b1-0054</t>
        </is>
      </c>
      <c r="B74" s="7" t="inlineStr">
        <is>
          <t>Point</t>
        </is>
      </c>
      <c r="C74" s="7" t="n"/>
      <c r="D74" s="7" t="inlineStr">
        <is>
          <t>1818 B.C.E.</t>
        </is>
      </c>
      <c r="E74" s="7" t="inlineStr">
        <is>
          <t>பொ.ச.மு. 1818</t>
        </is>
      </c>
      <c r="F74" s="7" t="inlineStr">
        <is>
          <t>1818 BCE</t>
        </is>
      </c>
      <c r="G74" s="7" t="inlineStr">
        <is>
          <t>Exact</t>
        </is>
      </c>
      <c r="H74" s="7" t="n"/>
      <c r="I74" s="7" t="n"/>
      <c r="J74" s="7" t="n"/>
      <c r="K74" s="2" t="inlineStr">
        <is>
          <t>Esau marries his first two wives</t>
        </is>
      </c>
      <c r="L74" s="2" t="inlineStr">
        <is>
          <t>முதல் இரண்டு மனைவிகளை ஏசா விவாகஞ்செய்தல்</t>
        </is>
      </c>
      <c r="M74" s="7" t="inlineStr">
        <is>
          <t>At 40 years of age, Esau marries two Hittite women, Judith and Basemath, a source of bitterness to Isaac and Rebekah.</t>
        </is>
      </c>
      <c r="N74" s="7" t="n"/>
      <c r="O74" s="8" t="inlineStr">
        <is>
          <t>Bible</t>
        </is>
      </c>
      <c r="P74" s="7" t="inlineStr">
        <is>
          <t>bible.patriarch</t>
        </is>
      </c>
      <c r="Q74" s="7" t="inlineStr">
        <is>
          <t>marriage</t>
        </is>
      </c>
      <c r="R74" s="7" t="inlineStr">
        <is>
          <t>Esau</t>
        </is>
      </c>
      <c r="S74" s="7" t="n"/>
      <c r="T74" s="7" t="inlineStr">
        <is>
          <t>Gen. 26:34</t>
        </is>
      </c>
      <c r="U74" s="7" t="inlineStr">
        <is>
          <t>ஆதி. 26:34</t>
        </is>
      </c>
      <c r="V74" s="7" t="n">
        <v>1</v>
      </c>
      <c r="W74" s="7" t="inlineStr">
        <is>
          <t>Study Number 3—Measuring Events in the Stream of Time</t>
        </is>
      </c>
      <c r="X74" s="9" t="inlineStr">
        <is>
          <t>open</t>
        </is>
      </c>
      <c r="Y74" s="9" t="inlineStr">
        <is>
          <t>open</t>
        </is>
      </c>
      <c r="Z74" s="7" t="inlineStr">
        <is>
          <t>https://wol.jw.org/en/wol/d/r1/lp-e/1101990130</t>
        </is>
      </c>
      <c r="AA74" s="7" t="n">
        <v>0</v>
      </c>
      <c r="AB74" s="7" t="n"/>
      <c r="AC74" s="7" t="n">
        <v>0</v>
      </c>
      <c r="AD74" s="7" t="n"/>
      <c r="AE74" s="7" t="n"/>
      <c r="AF74" s="7" t="n"/>
      <c r="AG74" s="7" t="n"/>
      <c r="AH74" s="7" t="n"/>
      <c r="AI74" s="7" t="n"/>
      <c r="AJ74" s="7" t="n"/>
      <c r="AK74" s="7" t="n"/>
      <c r="AL74" s="7" t="n"/>
      <c r="AM74" s="7" t="n">
        <v>-1818</v>
      </c>
      <c r="AN74" s="10" t="n"/>
      <c r="AO74" s="10" t="n"/>
      <c r="AP74" s="10" t="n"/>
      <c r="AQ74" s="10" t="n"/>
    </row>
    <row r="75">
      <c r="A75" s="7" t="inlineStr">
        <is>
          <t>b1-0055</t>
        </is>
      </c>
      <c r="B75" s="7" t="inlineStr">
        <is>
          <t>Point</t>
        </is>
      </c>
      <c r="C75" s="7" t="n"/>
      <c r="D75" s="7" t="inlineStr">
        <is>
          <t>1795 B.C.E.</t>
        </is>
      </c>
      <c r="E75" s="7" t="inlineStr">
        <is>
          <t>பொ.ச.மு. 1795</t>
        </is>
      </c>
      <c r="F75" s="7" t="inlineStr">
        <is>
          <t>1795 BCE</t>
        </is>
      </c>
      <c r="G75" s="7" t="inlineStr">
        <is>
          <t>Exact</t>
        </is>
      </c>
      <c r="H75" s="7" t="n"/>
      <c r="I75" s="7" t="n"/>
      <c r="J75" s="7" t="n"/>
      <c r="K75" s="2" t="inlineStr">
        <is>
          <t>Death of Ishmael</t>
        </is>
      </c>
      <c r="L75" s="2" t="inlineStr">
        <is>
          <t>இஸ்மவேலின் மரணம்</t>
        </is>
      </c>
      <c r="M75" s="7" t="inlineStr">
        <is>
          <t>Ishmael dies at the age of 137.</t>
        </is>
      </c>
      <c r="N75" s="7" t="n"/>
      <c r="O75" s="8" t="inlineStr">
        <is>
          <t>Bible</t>
        </is>
      </c>
      <c r="P75" s="7" t="inlineStr">
        <is>
          <t>bible.patriarch</t>
        </is>
      </c>
      <c r="Q75" s="7" t="inlineStr">
        <is>
          <t>death</t>
        </is>
      </c>
      <c r="R75" s="7" t="inlineStr">
        <is>
          <t>Ishmael</t>
        </is>
      </c>
      <c r="S75" s="7" t="n"/>
      <c r="T75" s="7" t="inlineStr">
        <is>
          <t>Gen. 25:17</t>
        </is>
      </c>
      <c r="U75" s="7" t="inlineStr">
        <is>
          <t>ஆதி. 25:17</t>
        </is>
      </c>
      <c r="V75" s="7" t="n">
        <v>2</v>
      </c>
      <c r="W75" s="7" t="inlineStr">
        <is>
          <t>Study Number 3—Measuring Events in the Stream of Time</t>
        </is>
      </c>
      <c r="X75" s="9" t="inlineStr">
        <is>
          <t>open</t>
        </is>
      </c>
      <c r="Y75" s="9" t="inlineStr">
        <is>
          <t>open</t>
        </is>
      </c>
      <c r="Z75" s="7" t="inlineStr">
        <is>
          <t>https://wol.jw.org/en/wol/d/r1/lp-e/1101990130
https://wol.jw.org/en/wol/d/r1/lp-e/1200002215</t>
        </is>
      </c>
      <c r="AA75" s="7" t="n">
        <v>0</v>
      </c>
      <c r="AB75" s="7" t="n"/>
      <c r="AC75" s="7" t="n">
        <v>0</v>
      </c>
      <c r="AD75" s="7" t="n"/>
      <c r="AE75" s="7" t="n"/>
      <c r="AF75" s="7" t="n"/>
      <c r="AG75" s="7" t="n"/>
      <c r="AH75" s="7" t="n"/>
      <c r="AI75" s="7" t="inlineStr">
        <is>
          <t>Covered by span – hide on chart</t>
        </is>
      </c>
      <c r="AJ75" s="7" t="inlineStr">
        <is>
          <t>end of Life of Ishmael (d1-0014)</t>
        </is>
      </c>
      <c r="AK75" s="7" t="n"/>
      <c r="AL75" s="7" t="n"/>
      <c r="AM75" s="7" t="n">
        <v>-1795</v>
      </c>
      <c r="AN75" s="10" t="n"/>
      <c r="AO75" s="10" t="n"/>
      <c r="AP75" s="10" t="n"/>
      <c r="AQ75" s="10" t="n"/>
    </row>
    <row r="76">
      <c r="A76" s="7" t="inlineStr">
        <is>
          <t>b1-0056</t>
        </is>
      </c>
      <c r="B76" s="7" t="inlineStr">
        <is>
          <t>Point</t>
        </is>
      </c>
      <c r="C76" s="7" t="n"/>
      <c r="D76" s="7" t="inlineStr">
        <is>
          <t>1781 B.C.E.</t>
        </is>
      </c>
      <c r="E76" s="7" t="inlineStr">
        <is>
          <t>பொ.ச.மு. 1781</t>
        </is>
      </c>
      <c r="F76" s="7" t="inlineStr">
        <is>
          <t>1781 BCE</t>
        </is>
      </c>
      <c r="G76" s="7" t="inlineStr">
        <is>
          <t>Exact</t>
        </is>
      </c>
      <c r="H76" s="7" t="n"/>
      <c r="I76" s="7" t="n"/>
      <c r="J76" s="7" t="n"/>
      <c r="K76" s="2" t="inlineStr">
        <is>
          <t>Jacob flees to Haran</t>
        </is>
      </c>
      <c r="L76" s="2" t="inlineStr">
        <is>
          <t>யாக்கோபு ஆரானுக்கு ஓடிப்போகிறார்</t>
        </is>
      </c>
      <c r="M76" s="7" t="inlineStr">
        <is>
          <t>After receiving Isaac's blessing, Jacob flees from his brother Esau, who wants to kill him, and travels to his relatives in Haran in Paddan-aram.</t>
        </is>
      </c>
      <c r="N76" s="7" t="n"/>
      <c r="O76" s="8" t="inlineStr">
        <is>
          <t>Bible</t>
        </is>
      </c>
      <c r="P76" s="7" t="inlineStr">
        <is>
          <t>bible.patriarch</t>
        </is>
      </c>
      <c r="Q76" s="7" t="inlineStr">
        <is>
          <t>journey</t>
        </is>
      </c>
      <c r="R76" s="7" t="inlineStr">
        <is>
          <t>Jacob; Esau</t>
        </is>
      </c>
      <c r="S76" s="7" t="inlineStr">
        <is>
          <t>Haran; Paddan-aram</t>
        </is>
      </c>
      <c r="T76" s="7" t="inlineStr">
        <is>
          <t>Gen. 28:2</t>
        </is>
      </c>
      <c r="U76" s="7" t="inlineStr">
        <is>
          <t>ஆதி. 28:2</t>
        </is>
      </c>
      <c r="V76" s="7" t="n">
        <v>2</v>
      </c>
      <c r="W76" s="7" t="inlineStr">
        <is>
          <t>Study Number 3—Measuring Events in the Stream of Time</t>
        </is>
      </c>
      <c r="X76" s="9" t="inlineStr">
        <is>
          <t>open</t>
        </is>
      </c>
      <c r="Y76" s="9" t="inlineStr">
        <is>
          <t>open</t>
        </is>
      </c>
      <c r="Z76" s="7" t="inlineStr">
        <is>
          <t>https://wol.jw.org/en/wol/d/r1/lp-e/1101990130
https://wol.jw.org/en/wol/d/r1/lp-e/1200003621</t>
        </is>
      </c>
      <c r="AA76" s="7" t="n">
        <v>0</v>
      </c>
      <c r="AB76" s="7" t="n"/>
      <c r="AC76" s="7" t="n">
        <v>0</v>
      </c>
      <c r="AD76" s="7" t="n"/>
      <c r="AE76" s="7" t="n"/>
      <c r="AF76" s="7" t="n"/>
      <c r="AG76" s="7" t="n"/>
      <c r="AH76" s="7" t="n"/>
      <c r="AI76" s="7" t="n"/>
      <c r="AJ76" s="7" t="n"/>
      <c r="AK76" s="7" t="inlineStr">
        <is>
          <t>patriarchs-travels #7 (context)</t>
        </is>
      </c>
      <c r="AL76" s="7" t="n"/>
      <c r="AM76" s="7" t="n">
        <v>-1781</v>
      </c>
      <c r="AN76" s="10" t="n"/>
      <c r="AO76" s="10" t="n"/>
      <c r="AP76" s="10" t="n"/>
      <c r="AQ76" s="10" t="n"/>
    </row>
    <row r="77">
      <c r="A77" s="7" t="inlineStr">
        <is>
          <t>b1-0057</t>
        </is>
      </c>
      <c r="B77" s="7" t="inlineStr">
        <is>
          <t>Point</t>
        </is>
      </c>
      <c r="C77" s="7" t="n"/>
      <c r="D77" s="7" t="inlineStr">
        <is>
          <t>1781 B.C.E.</t>
        </is>
      </c>
      <c r="E77" s="7" t="inlineStr">
        <is>
          <t>பொ.ச.மு. 1781</t>
        </is>
      </c>
      <c r="F77" s="7" t="inlineStr">
        <is>
          <t>1781 BCE</t>
        </is>
      </c>
      <c r="G77" s="7" t="inlineStr">
        <is>
          <t>Exact</t>
        </is>
      </c>
      <c r="H77" s="7" t="n"/>
      <c r="I77" s="7" t="n"/>
      <c r="J77" s="7" t="n"/>
      <c r="K77" s="2" t="inlineStr">
        <is>
          <t>Jacob's vision at Bethel</t>
        </is>
      </c>
      <c r="L77" s="2" t="inlineStr">
        <is>
          <t>பெத்தேலில் அவர் கண்ட தரிசனம்</t>
        </is>
      </c>
      <c r="M77" s="7" t="inlineStr">
        <is>
          <t>On the way to Haran, Jacob sees a vision of a stairway to heaven and Jehovah confirms to him the promises made to Abraham. Jacob names the place Bethel.</t>
        </is>
      </c>
      <c r="N77" s="7" t="n"/>
      <c r="O77" s="8" t="inlineStr">
        <is>
          <t>Bible</t>
        </is>
      </c>
      <c r="P77" s="7" t="inlineStr">
        <is>
          <t>bible.covenant</t>
        </is>
      </c>
      <c r="Q77" s="7" t="inlineStr">
        <is>
          <t>vision</t>
        </is>
      </c>
      <c r="R77" s="7" t="inlineStr">
        <is>
          <t>Jacob</t>
        </is>
      </c>
      <c r="S77" s="7" t="inlineStr">
        <is>
          <t>Bethel</t>
        </is>
      </c>
      <c r="T77" s="7" t="inlineStr">
        <is>
          <t>Gen. 28:13, 19</t>
        </is>
      </c>
      <c r="U77" s="7" t="inlineStr">
        <is>
          <t>ஆதி. 28:13, 19</t>
        </is>
      </c>
      <c r="V77" s="7" t="n">
        <v>1</v>
      </c>
      <c r="W77" s="7" t="inlineStr">
        <is>
          <t>Study Number 3—Measuring Events in the Stream of Time</t>
        </is>
      </c>
      <c r="X77" s="9" t="inlineStr">
        <is>
          <t>open</t>
        </is>
      </c>
      <c r="Y77" s="9" t="inlineStr">
        <is>
          <t>open</t>
        </is>
      </c>
      <c r="Z77" s="7" t="inlineStr">
        <is>
          <t>https://wol.jw.org/en/wol/d/r1/lp-e/1101990130</t>
        </is>
      </c>
      <c r="AA77" s="7" t="n">
        <v>0</v>
      </c>
      <c r="AB77" s="7" t="n"/>
      <c r="AC77" s="7" t="n">
        <v>0</v>
      </c>
      <c r="AD77" s="7" t="n"/>
      <c r="AE77" s="7" t="n"/>
      <c r="AF77" s="7" t="n"/>
      <c r="AG77" s="7" t="n"/>
      <c r="AH77" s="7" t="n"/>
      <c r="AI77" s="7" t="n"/>
      <c r="AJ77" s="7" t="n"/>
      <c r="AK77" s="7" t="inlineStr">
        <is>
          <t>patriarchs-travels #8 (context)</t>
        </is>
      </c>
      <c r="AL77" s="7" t="n"/>
      <c r="AM77" s="7" t="n">
        <v>-1780.99</v>
      </c>
      <c r="AN77" s="10" t="n"/>
      <c r="AO77" s="10" t="n"/>
      <c r="AP77" s="10" t="n"/>
      <c r="AQ77" s="10" t="n"/>
    </row>
    <row r="78">
      <c r="A78" s="7" t="inlineStr">
        <is>
          <t>b1-0058</t>
        </is>
      </c>
      <c r="B78" s="7" t="inlineStr">
        <is>
          <t>Point</t>
        </is>
      </c>
      <c r="C78" s="7" t="n"/>
      <c r="D78" s="7" t="inlineStr">
        <is>
          <t>1774 B.C.E.</t>
        </is>
      </c>
      <c r="E78" s="7" t="inlineStr">
        <is>
          <t>பொ.ச.மு. 1774</t>
        </is>
      </c>
      <c r="F78" s="7" t="inlineStr">
        <is>
          <t>1774 BCE</t>
        </is>
      </c>
      <c r="G78" s="7" t="inlineStr">
        <is>
          <t>Exact</t>
        </is>
      </c>
      <c r="H78" s="7" t="n"/>
      <c r="I78" s="7" t="n"/>
      <c r="J78" s="7" t="n"/>
      <c r="K78" s="2" t="inlineStr">
        <is>
          <t>Jacob marries Leah and Rachel</t>
        </is>
      </c>
      <c r="L78" s="2" t="inlineStr">
        <is>
          <t>யாக்கோபு லேயாளையும் ராகேலையும் மணம் செய்கிறார்</t>
        </is>
      </c>
      <c r="M78" s="7" t="inlineStr">
        <is>
          <t>After seven years of service to Laban, Jacob is given Leah and then Rachel as wives.</t>
        </is>
      </c>
      <c r="N78" s="7" t="n"/>
      <c r="O78" s="8" t="inlineStr">
        <is>
          <t>Bible</t>
        </is>
      </c>
      <c r="P78" s="7" t="inlineStr">
        <is>
          <t>bible.patriarch</t>
        </is>
      </c>
      <c r="Q78" s="7" t="inlineStr">
        <is>
          <t>marriage</t>
        </is>
      </c>
      <c r="R78" s="7" t="inlineStr">
        <is>
          <t>Jacob; Leah; Rachel; Laban</t>
        </is>
      </c>
      <c r="S78" s="7" t="inlineStr">
        <is>
          <t>Haran</t>
        </is>
      </c>
      <c r="T78" s="7" t="inlineStr">
        <is>
          <t>Gen. 29:23-30</t>
        </is>
      </c>
      <c r="U78" s="7" t="inlineStr">
        <is>
          <t>ஆதி. 29:23-30</t>
        </is>
      </c>
      <c r="V78" s="7" t="n">
        <v>1</v>
      </c>
      <c r="W78" s="7" t="inlineStr">
        <is>
          <t>Study Number 3—Measuring Events in the Stream of Time</t>
        </is>
      </c>
      <c r="X78" s="9" t="inlineStr">
        <is>
          <t>open</t>
        </is>
      </c>
      <c r="Y78" s="9" t="inlineStr">
        <is>
          <t>open</t>
        </is>
      </c>
      <c r="Z78" s="7" t="inlineStr">
        <is>
          <t>https://wol.jw.org/en/wol/d/r1/lp-e/1101990130</t>
        </is>
      </c>
      <c r="AA78" s="7" t="n">
        <v>0</v>
      </c>
      <c r="AB78" s="7" t="n"/>
      <c r="AC78" s="7" t="n">
        <v>0</v>
      </c>
      <c r="AD78" s="7" t="n"/>
      <c r="AE78" s="7" t="n"/>
      <c r="AF78" s="7" t="n"/>
      <c r="AG78" s="7" t="n"/>
      <c r="AH78" s="7" t="n"/>
      <c r="AI78" s="7" t="n"/>
      <c r="AJ78" s="7" t="n"/>
      <c r="AK78" s="7" t="n"/>
      <c r="AL78" s="7" t="n"/>
      <c r="AM78" s="7" t="n">
        <v>-1774</v>
      </c>
      <c r="AN78" s="10" t="n"/>
      <c r="AO78" s="10" t="n"/>
      <c r="AP78" s="10" t="n"/>
      <c r="AQ78" s="10" t="n"/>
    </row>
    <row r="79">
      <c r="A79" s="7" t="inlineStr">
        <is>
          <t>b1-0059</t>
        </is>
      </c>
      <c r="B79" s="7" t="inlineStr">
        <is>
          <t>Point</t>
        </is>
      </c>
      <c r="C79" s="7" t="n"/>
      <c r="D79" s="7" t="inlineStr">
        <is>
          <t>1767 B.C.E.</t>
        </is>
      </c>
      <c r="E79" s="7" t="inlineStr">
        <is>
          <t>பொ.ச.மு. 1767</t>
        </is>
      </c>
      <c r="F79" s="7" t="inlineStr">
        <is>
          <t>1767 BCE</t>
        </is>
      </c>
      <c r="G79" s="7" t="inlineStr">
        <is>
          <t>Exact</t>
        </is>
      </c>
      <c r="H79" s="7" t="n"/>
      <c r="I79" s="7" t="n"/>
      <c r="J79" s="7" t="n"/>
      <c r="K79" s="2" t="inlineStr">
        <is>
          <t>Birth of Joseph</t>
        </is>
      </c>
      <c r="L79" s="2" t="inlineStr">
        <is>
          <t>யோசேப்பின் பிறப்பு</t>
        </is>
      </c>
      <c r="M79" s="7" t="inlineStr">
        <is>
          <t>Rachel, after years of barrenness, gives birth to Joseph, Jacob's 11th son.</t>
        </is>
      </c>
      <c r="N79" s="7" t="n"/>
      <c r="O79" s="8" t="inlineStr">
        <is>
          <t>Bible</t>
        </is>
      </c>
      <c r="P79" s="7" t="inlineStr">
        <is>
          <t>bible.patriarch</t>
        </is>
      </c>
      <c r="Q79" s="7" t="inlineStr">
        <is>
          <t>birth</t>
        </is>
      </c>
      <c r="R79" s="7" t="inlineStr">
        <is>
          <t>Joseph; Jacob; Rachel</t>
        </is>
      </c>
      <c r="S79" s="7" t="inlineStr">
        <is>
          <t>Haran</t>
        </is>
      </c>
      <c r="T79" s="7" t="inlineStr">
        <is>
          <t>Gen. 30:23, 24</t>
        </is>
      </c>
      <c r="U79" s="7" t="inlineStr">
        <is>
          <t>ஆதி. 30:23, 24</t>
        </is>
      </c>
      <c r="V79" s="7" t="n">
        <v>1</v>
      </c>
      <c r="W79" s="7" t="inlineStr">
        <is>
          <t>Study Number 3—Measuring Events in the Stream of Time</t>
        </is>
      </c>
      <c r="X79" s="9" t="inlineStr">
        <is>
          <t>open</t>
        </is>
      </c>
      <c r="Y79" s="9" t="inlineStr">
        <is>
          <t>open</t>
        </is>
      </c>
      <c r="Z79" s="7" t="inlineStr">
        <is>
          <t>https://wol.jw.org/en/wol/d/r1/lp-e/1101990130</t>
        </is>
      </c>
      <c r="AA79" s="7" t="n">
        <v>0</v>
      </c>
      <c r="AB79" s="7" t="n"/>
      <c r="AC79" s="7" t="n">
        <v>0</v>
      </c>
      <c r="AD79" s="7" t="n"/>
      <c r="AE79" s="7" t="n"/>
      <c r="AF79" s="7" t="n"/>
      <c r="AG79" s="7" t="n"/>
      <c r="AH79" s="7" t="n"/>
      <c r="AI79" s="7" t="inlineStr">
        <is>
          <t>Covered by span – hide on chart</t>
        </is>
      </c>
      <c r="AJ79" s="7" t="inlineStr">
        <is>
          <t>start of Life of Joseph (d1-0016)</t>
        </is>
      </c>
      <c r="AK79" s="7" t="n"/>
      <c r="AL79" s="7" t="n"/>
      <c r="AM79" s="7" t="n">
        <v>-1767</v>
      </c>
      <c r="AN79" s="10" t="n"/>
      <c r="AO79" s="10" t="n"/>
      <c r="AP79" s="10" t="n"/>
      <c r="AQ79" s="10" t="n"/>
    </row>
    <row r="80">
      <c r="A80" s="7" t="inlineStr">
        <is>
          <t>d1-0016</t>
        </is>
      </c>
      <c r="B80" s="11" t="inlineStr">
        <is>
          <t>Span</t>
        </is>
      </c>
      <c r="C80" s="7" t="inlineStr">
        <is>
          <t>lifespan</t>
        </is>
      </c>
      <c r="D80" s="7" t="inlineStr">
        <is>
          <t>1767 B.C.E. – 1657 B.C.E.</t>
        </is>
      </c>
      <c r="E80" s="7" t="inlineStr">
        <is>
          <t>பொ.ச.மு. 1767 – பொ.ச.மு. 1657</t>
        </is>
      </c>
      <c r="F80" s="7" t="inlineStr">
        <is>
          <t>1767 BCE</t>
        </is>
      </c>
      <c r="G80" s="7" t="inlineStr">
        <is>
          <t>Exact</t>
        </is>
      </c>
      <c r="H80" s="7" t="inlineStr">
        <is>
          <t>1657 BCE</t>
        </is>
      </c>
      <c r="I80" s="7" t="inlineStr">
        <is>
          <t>Exact</t>
        </is>
      </c>
      <c r="J80" s="7" t="inlineStr">
        <is>
          <t>110 years</t>
        </is>
      </c>
      <c r="K80" s="2" t="inlineStr">
        <is>
          <t>Life of Joseph</t>
        </is>
      </c>
      <c r="L80" s="2" t="n"/>
      <c r="M80" s="7" t="inlineStr">
        <is>
          <t>Joseph: from Birth of Joseph (1767 B.C.E.) to Death of Joseph (1657 B.C.E.). Dates as given in the cited jw.org publications.</t>
        </is>
      </c>
      <c r="N80" s="7" t="n"/>
      <c r="O80" s="8" t="inlineStr">
        <is>
          <t>Bible</t>
        </is>
      </c>
      <c r="P80" s="7" t="inlineStr">
        <is>
          <t>bible.patriarch</t>
        </is>
      </c>
      <c r="Q80" s="7" t="inlineStr">
        <is>
          <t>lifespan</t>
        </is>
      </c>
      <c r="R80" s="7" t="inlineStr">
        <is>
          <t>Joseph</t>
        </is>
      </c>
      <c r="S80" s="7" t="inlineStr">
        <is>
          <t>Haran; Egypt</t>
        </is>
      </c>
      <c r="T80" s="7" t="inlineStr">
        <is>
          <t>Gen. 30:23, 24; Gen. 50:26</t>
        </is>
      </c>
      <c r="U80" s="7" t="inlineStr">
        <is>
          <t>ஆதி. 30:23, 24; ஆதி. 50:26</t>
        </is>
      </c>
      <c r="V80" s="7" t="n">
        <v>4</v>
      </c>
      <c r="W80" s="7" t="inlineStr">
        <is>
          <t>Study Number 3—Measuring Events in the Stream of Time</t>
        </is>
      </c>
      <c r="X80" s="9" t="inlineStr">
        <is>
          <t>open</t>
        </is>
      </c>
      <c r="Y80" s="9" t="inlineStr">
        <is>
          <t>open</t>
        </is>
      </c>
      <c r="Z80" s="7" t="inlineStr">
        <is>
          <t>https://wol.jw.org/en/wol/d/r1/lp-e/1101990130
https://wol.jw.org/en/wol/d/r1/lp-e/1200001650
https://wol.jw.org/en/wol/d/r1/lp-e/1102025962
https://wol.jw.org/en/wol/d/r1/lp-e/1200271562</t>
        </is>
      </c>
      <c r="AA80" s="7" t="n">
        <v>0</v>
      </c>
      <c r="AB80" s="7" t="n"/>
      <c r="AC80" s="7" t="n">
        <v>0</v>
      </c>
      <c r="AD80" s="7" t="n"/>
      <c r="AE80" s="7" t="inlineStr">
        <is>
          <t>Built from b1-0059 (start) and b2-0007 (end).</t>
        </is>
      </c>
      <c r="AF80" s="7" t="inlineStr">
        <is>
          <t>b1-0059</t>
        </is>
      </c>
      <c r="AG80" s="7" t="inlineStr">
        <is>
          <t>b2-0007</t>
        </is>
      </c>
      <c r="AH80" s="7" t="n"/>
      <c r="AI80" s="7" t="n"/>
      <c r="AJ80" s="7" t="n"/>
      <c r="AK80" s="7" t="inlineStr">
        <is>
          <t>post-flood-patriarchs #10 (item)</t>
        </is>
      </c>
      <c r="AL80" s="7" t="n"/>
      <c r="AM80" s="7" t="n">
        <v>-1767</v>
      </c>
      <c r="AN80" s="10" t="n"/>
      <c r="AO80" s="10" t="n"/>
      <c r="AP80" s="10" t="n"/>
      <c r="AQ80" s="10" t="n"/>
    </row>
    <row r="81">
      <c r="A81" s="7" t="inlineStr">
        <is>
          <t>b1-0060</t>
        </is>
      </c>
      <c r="B81" s="7" t="inlineStr">
        <is>
          <t>Point</t>
        </is>
      </c>
      <c r="C81" s="7" t="n"/>
      <c r="D81" s="7" t="inlineStr">
        <is>
          <t>1761 B.C.E.</t>
        </is>
      </c>
      <c r="E81" s="7" t="inlineStr">
        <is>
          <t>பொ.ச.மு. 1761</t>
        </is>
      </c>
      <c r="F81" s="7" t="inlineStr">
        <is>
          <t>1761 BCE</t>
        </is>
      </c>
      <c r="G81" s="7" t="inlineStr">
        <is>
          <t>Exact</t>
        </is>
      </c>
      <c r="H81" s="7" t="n"/>
      <c r="I81" s="7" t="n"/>
      <c r="J81" s="7" t="n"/>
      <c r="K81" s="2" t="inlineStr">
        <is>
          <t>Jacob returns to Canaan from Haran</t>
        </is>
      </c>
      <c r="L81" s="2" t="inlineStr">
        <is>
          <t>யாக்கோபு ஆரானிலிருந்து கானானுக்குத் திரும்புகிறார்</t>
        </is>
      </c>
      <c r="M81" s="7" t="inlineStr">
        <is>
          <t>After 20 years with Laban, Jacob leaves Haran with his family and livestock to return to Canaan.</t>
        </is>
      </c>
      <c r="N81" s="7" t="n"/>
      <c r="O81" s="8" t="inlineStr">
        <is>
          <t>Bible</t>
        </is>
      </c>
      <c r="P81" s="7" t="inlineStr">
        <is>
          <t>bible.patriarch</t>
        </is>
      </c>
      <c r="Q81" s="7" t="inlineStr">
        <is>
          <t>journey</t>
        </is>
      </c>
      <c r="R81" s="7" t="inlineStr">
        <is>
          <t>Jacob; Laban</t>
        </is>
      </c>
      <c r="S81" s="7" t="inlineStr">
        <is>
          <t>Haran; Canaan</t>
        </is>
      </c>
      <c r="T81" s="7" t="inlineStr">
        <is>
          <t>Gen. 31:18, 41</t>
        </is>
      </c>
      <c r="U81" s="7" t="inlineStr">
        <is>
          <t>ஆதி. 31:18, 41</t>
        </is>
      </c>
      <c r="V81" s="7" t="n">
        <v>1</v>
      </c>
      <c r="W81" s="7" t="inlineStr">
        <is>
          <t>Study Number 3—Measuring Events in the Stream of Time</t>
        </is>
      </c>
      <c r="X81" s="9" t="inlineStr">
        <is>
          <t>open</t>
        </is>
      </c>
      <c r="Y81" s="9" t="inlineStr">
        <is>
          <t>open</t>
        </is>
      </c>
      <c r="Z81" s="7" t="inlineStr">
        <is>
          <t>https://wol.jw.org/en/wol/d/r1/lp-e/1101990130</t>
        </is>
      </c>
      <c r="AA81" s="7" t="n">
        <v>0</v>
      </c>
      <c r="AB81" s="7" t="n"/>
      <c r="AC81" s="7" t="n">
        <v>0</v>
      </c>
      <c r="AD81" s="7" t="n"/>
      <c r="AE81" s="7" t="n"/>
      <c r="AF81" s="7" t="n"/>
      <c r="AG81" s="7" t="n"/>
      <c r="AH81" s="7" t="n"/>
      <c r="AI81" s="7" t="n"/>
      <c r="AJ81" s="7" t="n"/>
      <c r="AK81" s="7" t="inlineStr">
        <is>
          <t>patriarchs-travels #9 (context)</t>
        </is>
      </c>
      <c r="AL81" s="7" t="n"/>
      <c r="AM81" s="7" t="n">
        <v>-1761</v>
      </c>
      <c r="AN81" s="10" t="n"/>
      <c r="AO81" s="10" t="n"/>
      <c r="AP81" s="10" t="n"/>
      <c r="AQ81" s="10" t="n"/>
    </row>
    <row r="82">
      <c r="A82" s="7" t="inlineStr">
        <is>
          <t>b1-0061</t>
        </is>
      </c>
      <c r="B82" s="7" t="inlineStr">
        <is>
          <t>Point</t>
        </is>
      </c>
      <c r="C82" s="7" t="n"/>
      <c r="D82" s="7" t="inlineStr">
        <is>
          <t>c. 1761 B.C.E.</t>
        </is>
      </c>
      <c r="E82" s="7" t="inlineStr">
        <is>
          <t>பொ.ச.மு. 1761 ஏ.</t>
        </is>
      </c>
      <c r="F82" s="7" t="inlineStr">
        <is>
          <t>1761 BCE</t>
        </is>
      </c>
      <c r="G82" s="7" t="inlineStr">
        <is>
          <t>Approx. (c.)</t>
        </is>
      </c>
      <c r="H82" s="7" t="n"/>
      <c r="I82" s="7" t="n"/>
      <c r="J82" s="7" t="n"/>
      <c r="K82" s="2" t="inlineStr">
        <is>
          <t>Jacob wrestles an angel and is named Israel</t>
        </is>
      </c>
      <c r="L82" s="2" t="inlineStr">
        <is>
          <t>யாக்கோபு தேவதூதரோடு போராடுகிறார்; இஸ்ரவேல் என்று பெயரிடப்படுகிறார்</t>
        </is>
      </c>
      <c r="M82" s="7" t="inlineStr">
        <is>
          <t>On his way back, Jacob wrestles with an angel and will not let go until he is blessed; his name is changed to Israel.</t>
        </is>
      </c>
      <c r="N82" s="7" t="n"/>
      <c r="O82" s="8" t="inlineStr">
        <is>
          <t>Bible</t>
        </is>
      </c>
      <c r="P82" s="7" t="inlineStr">
        <is>
          <t>bible.patriarch</t>
        </is>
      </c>
      <c r="Q82" s="7" t="inlineStr">
        <is>
          <t>encounter</t>
        </is>
      </c>
      <c r="R82" s="7" t="inlineStr">
        <is>
          <t>Jacob</t>
        </is>
      </c>
      <c r="S82" s="7" t="inlineStr">
        <is>
          <t>Peniel; Jabbok</t>
        </is>
      </c>
      <c r="T82" s="7" t="inlineStr">
        <is>
          <t>Gen. 32:24-28</t>
        </is>
      </c>
      <c r="U82" s="7" t="inlineStr">
        <is>
          <t>ஆதி. 32:24-28</t>
        </is>
      </c>
      <c r="V82" s="7" t="n">
        <v>1</v>
      </c>
      <c r="W82" s="7" t="inlineStr">
        <is>
          <t>Study Number 3—Measuring Events in the Stream of Time</t>
        </is>
      </c>
      <c r="X82" s="9" t="inlineStr">
        <is>
          <t>open</t>
        </is>
      </c>
      <c r="Y82" s="9" t="inlineStr">
        <is>
          <t>open</t>
        </is>
      </c>
      <c r="Z82" s="7" t="inlineStr">
        <is>
          <t>https://wol.jw.org/en/wol/d/r1/lp-e/1101990130</t>
        </is>
      </c>
      <c r="AA82" s="7" t="n">
        <v>0</v>
      </c>
      <c r="AB82" s="7" t="n"/>
      <c r="AC82" s="7" t="n">
        <v>0</v>
      </c>
      <c r="AD82" s="7" t="n"/>
      <c r="AE82" s="7" t="n"/>
      <c r="AF82" s="7" t="n"/>
      <c r="AG82" s="7" t="n"/>
      <c r="AH82" s="7" t="n"/>
      <c r="AI82" s="7" t="n"/>
      <c r="AJ82" s="7" t="n"/>
      <c r="AK82" s="7" t="inlineStr">
        <is>
          <t>patriarchs-travels #10 (context)</t>
        </is>
      </c>
      <c r="AL82" s="7" t="n"/>
      <c r="AM82" s="7" t="n">
        <v>-1760.9</v>
      </c>
      <c r="AN82" s="10" t="n"/>
      <c r="AO82" s="10" t="n"/>
      <c r="AP82" s="10" t="n"/>
      <c r="AQ82" s="10" t="n"/>
    </row>
    <row r="83">
      <c r="A83" s="7" t="inlineStr">
        <is>
          <t>b2-0001</t>
        </is>
      </c>
      <c r="B83" s="7" t="inlineStr">
        <is>
          <t>Point</t>
        </is>
      </c>
      <c r="C83" s="7" t="n"/>
      <c r="D83" s="7" t="inlineStr">
        <is>
          <t>1750 B.C.E.</t>
        </is>
      </c>
      <c r="E83" s="7" t="inlineStr">
        <is>
          <t>பொ.ச.மு. 1750</t>
        </is>
      </c>
      <c r="F83" s="7" t="inlineStr">
        <is>
          <t>1750 BCE</t>
        </is>
      </c>
      <c r="G83" s="7" t="inlineStr">
        <is>
          <t>Exact</t>
        </is>
      </c>
      <c r="H83" s="7" t="n"/>
      <c r="I83" s="7" t="n"/>
      <c r="J83" s="7" t="n"/>
      <c r="K83" s="2" t="inlineStr">
        <is>
          <t>Joseph sold as a slave by his brothers</t>
        </is>
      </c>
      <c r="L83" s="2" t="inlineStr">
        <is>
          <t>யோசேப்பை அவருடைய சகோதரர் அடிமையாக விற்கின்றனர்</t>
        </is>
      </c>
      <c r="M83" s="7" t="inlineStr">
        <is>
          <t>At about 17 years of age, Joseph was sold by his jealous brothers to traders and taken to Egypt, where he became a slave.</t>
        </is>
      </c>
      <c r="N83" s="7" t="n"/>
      <c r="O83" s="8" t="inlineStr">
        <is>
          <t>Bible</t>
        </is>
      </c>
      <c r="P83" s="7" t="inlineStr">
        <is>
          <t>bible.patriarch</t>
        </is>
      </c>
      <c r="Q83" s="7" t="inlineStr">
        <is>
          <t>event</t>
        </is>
      </c>
      <c r="R83" s="7" t="inlineStr">
        <is>
          <t>Joseph; Jacob</t>
        </is>
      </c>
      <c r="S83" s="7" t="inlineStr">
        <is>
          <t>Dothan; Egypt</t>
        </is>
      </c>
      <c r="T83" s="7" t="inlineStr">
        <is>
          <t>Gen. 37:2, 28</t>
        </is>
      </c>
      <c r="U83" s="7" t="inlineStr">
        <is>
          <t>ஆதி. 37:2, 28</t>
        </is>
      </c>
      <c r="V83" s="7" t="n">
        <v>3</v>
      </c>
      <c r="W83" s="7" t="inlineStr">
        <is>
          <t>Study Number 3—Measuring Events in the Stream of Time</t>
        </is>
      </c>
      <c r="X83" s="9" t="inlineStr">
        <is>
          <t>open</t>
        </is>
      </c>
      <c r="Y83" s="9" t="inlineStr">
        <is>
          <t>open</t>
        </is>
      </c>
      <c r="Z83" s="7" t="inlineStr">
        <is>
          <t>https://wol.jw.org/en/wol/d/r1/lp-e/1101990130
https://wol.jw.org/en/wol/d/r1/lp-e/1200002279
https://wol.jw.org/en/wol/d/r1/lp-e/1200271562</t>
        </is>
      </c>
      <c r="AA83" s="7" t="n">
        <v>1</v>
      </c>
      <c r="AB83" s="9" t="inlineStr">
        <is>
          <t>open</t>
        </is>
      </c>
      <c r="AC83" s="7" t="n">
        <v>0</v>
      </c>
      <c r="AD83" s="7" t="n"/>
      <c r="AE83" s="7" t="n"/>
      <c r="AF83" s="7" t="n"/>
      <c r="AG83" s="7" t="n"/>
      <c r="AH83" s="7" t="n"/>
      <c r="AI83" s="7" t="n"/>
      <c r="AJ83" s="7" t="n"/>
      <c r="AK83" s="7" t="inlineStr">
        <is>
          <t>patriarchs-travels #11 (context)</t>
        </is>
      </c>
      <c r="AL83" s="7" t="n"/>
      <c r="AM83" s="7" t="n">
        <v>-1750</v>
      </c>
      <c r="AN83" s="10" t="n"/>
      <c r="AO83" s="10" t="n"/>
      <c r="AP83" s="10" t="n"/>
      <c r="AQ83" s="10" t="n"/>
    </row>
    <row r="84">
      <c r="A84" s="7" t="inlineStr">
        <is>
          <t>b2-0002</t>
        </is>
      </c>
      <c r="B84" s="7" t="inlineStr">
        <is>
          <t>Point</t>
        </is>
      </c>
      <c r="C84" s="7" t="n"/>
      <c r="D84" s="7" t="inlineStr">
        <is>
          <t>1739 B.C.E.</t>
        </is>
      </c>
      <c r="E84" s="7" t="n"/>
      <c r="F84" s="7" t="inlineStr">
        <is>
          <t>1739 BCE</t>
        </is>
      </c>
      <c r="G84" s="7" t="inlineStr">
        <is>
          <t>Exact</t>
        </is>
      </c>
      <c r="H84" s="7" t="n"/>
      <c r="I84" s="7" t="n"/>
      <c r="J84" s="7" t="n"/>
      <c r="K84" s="2" t="inlineStr">
        <is>
          <t>Joseph interprets the dreams of the cupbearer and the baker</t>
        </is>
      </c>
      <c r="L84" s="2" t="n"/>
      <c r="M84" s="7" t="inlineStr">
        <is>
          <t>While in prison, Joseph, then 28 years old, interpreted the dreams of Pharaoh's chief cupbearer and chief baker.</t>
        </is>
      </c>
      <c r="N84" s="7" t="n"/>
      <c r="O84" s="8" t="inlineStr">
        <is>
          <t>Bible</t>
        </is>
      </c>
      <c r="P84" s="7" t="inlineStr">
        <is>
          <t>bible.patriarch</t>
        </is>
      </c>
      <c r="Q84" s="7" t="inlineStr">
        <is>
          <t>event</t>
        </is>
      </c>
      <c r="R84" s="7" t="inlineStr">
        <is>
          <t>Joseph</t>
        </is>
      </c>
      <c r="S84" s="7" t="inlineStr">
        <is>
          <t>Egypt</t>
        </is>
      </c>
      <c r="T84" s="7" t="inlineStr">
        <is>
          <t>Gen. 40:1-22</t>
        </is>
      </c>
      <c r="U84" s="7" t="n"/>
      <c r="V84" s="7" t="n">
        <v>2</v>
      </c>
      <c r="W84" s="7" t="inlineStr">
        <is>
          <t>Dates (Calendar)</t>
        </is>
      </c>
      <c r="X84" s="9" t="inlineStr">
        <is>
          <t>open</t>
        </is>
      </c>
      <c r="Y84" s="7" t="n"/>
      <c r="Z84" s="7" t="inlineStr">
        <is>
          <t>https://wol.jw.org/en/wol/d/r1/lp-e/1200271562
https://wol.jw.org/en/wol/d/r1/lp-e/2015086</t>
        </is>
      </c>
      <c r="AA84" s="7" t="n">
        <v>1</v>
      </c>
      <c r="AB84" s="9" t="inlineStr">
        <is>
          <t>open</t>
        </is>
      </c>
      <c r="AC84" s="7" t="n">
        <v>0</v>
      </c>
      <c r="AD84" s="7" t="n"/>
      <c r="AE84" s="7" t="n"/>
      <c r="AF84" s="7" t="n"/>
      <c r="AG84" s="7" t="n"/>
      <c r="AH84" s="7" t="n"/>
      <c r="AI84" s="7" t="n"/>
      <c r="AJ84" s="7" t="n"/>
      <c r="AK84" s="7" t="n"/>
      <c r="AL84" s="7" t="inlineStr">
        <is>
          <t>Year 1739 is given by the Publications Index; the Watchtower article gives Joseph's age (28).</t>
        </is>
      </c>
      <c r="AM84" s="7" t="n">
        <v>-1739</v>
      </c>
      <c r="AN84" s="10" t="n"/>
      <c r="AO84" s="10" t="n"/>
      <c r="AP84" s="10" t="n"/>
      <c r="AQ84" s="10" t="n"/>
    </row>
    <row r="85">
      <c r="A85" s="7" t="inlineStr">
        <is>
          <t>b2-0003</t>
        </is>
      </c>
      <c r="B85" s="7" t="inlineStr">
        <is>
          <t>Point</t>
        </is>
      </c>
      <c r="C85" s="7" t="n"/>
      <c r="D85" s="7" t="inlineStr">
        <is>
          <t>1738 B.C.E.</t>
        </is>
      </c>
      <c r="E85" s="7" t="inlineStr">
        <is>
          <t>பொ.ச.மு. 1738</t>
        </is>
      </c>
      <c r="F85" s="7" t="inlineStr">
        <is>
          <t>1738 BCE</t>
        </is>
      </c>
      <c r="G85" s="7" t="inlineStr">
        <is>
          <t>Exact</t>
        </is>
      </c>
      <c r="H85" s="7" t="n"/>
      <c r="I85" s="7" t="n"/>
      <c r="J85" s="7" t="n"/>
      <c r="K85" s="2" t="inlineStr">
        <is>
          <t>Death of Isaac</t>
        </is>
      </c>
      <c r="L85" s="2" t="inlineStr">
        <is>
          <t>ஈசாக்கின் மரணம்</t>
        </is>
      </c>
      <c r="M85" s="7" t="inlineStr">
        <is>
          <t>Isaac died at Hebron at the age of 180, the year before his grandson Joseph became prime minister of Egypt.</t>
        </is>
      </c>
      <c r="N85" s="7" t="n"/>
      <c r="O85" s="8" t="inlineStr">
        <is>
          <t>Bible</t>
        </is>
      </c>
      <c r="P85" s="7" t="inlineStr">
        <is>
          <t>bible.patriarch</t>
        </is>
      </c>
      <c r="Q85" s="7" t="inlineStr">
        <is>
          <t>death</t>
        </is>
      </c>
      <c r="R85" s="7" t="inlineStr">
        <is>
          <t>Isaac</t>
        </is>
      </c>
      <c r="S85" s="7" t="inlineStr">
        <is>
          <t>Hebron</t>
        </is>
      </c>
      <c r="T85" s="7" t="inlineStr">
        <is>
          <t>Gen. 35:28, 29</t>
        </is>
      </c>
      <c r="U85" s="7" t="inlineStr">
        <is>
          <t>ஆதி. 35:28, 29</t>
        </is>
      </c>
      <c r="V85" s="7" t="n">
        <v>2</v>
      </c>
      <c r="W85" s="7" t="inlineStr">
        <is>
          <t>Study Number 3—Measuring Events in the Stream of Time</t>
        </is>
      </c>
      <c r="X85" s="9" t="inlineStr">
        <is>
          <t>open</t>
        </is>
      </c>
      <c r="Y85" s="9" t="inlineStr">
        <is>
          <t>open</t>
        </is>
      </c>
      <c r="Z85" s="7" t="inlineStr">
        <is>
          <t>https://wol.jw.org/en/wol/d/r1/lp-e/1101990130
https://wol.jw.org/en/wol/d/r1/lp-e/1200002203</t>
        </is>
      </c>
      <c r="AA85" s="7" t="n">
        <v>0</v>
      </c>
      <c r="AB85" s="7" t="n"/>
      <c r="AC85" s="7" t="n">
        <v>0</v>
      </c>
      <c r="AD85" s="7" t="n"/>
      <c r="AE85" s="7" t="n"/>
      <c r="AF85" s="7" t="n"/>
      <c r="AG85" s="7" t="n"/>
      <c r="AH85" s="7" t="n"/>
      <c r="AI85" s="7" t="inlineStr">
        <is>
          <t>Covered by span – hide on chart</t>
        </is>
      </c>
      <c r="AJ85" s="7" t="inlineStr">
        <is>
          <t>end of Life of Isaac (d1-0015)</t>
        </is>
      </c>
      <c r="AK85" s="7" t="n"/>
      <c r="AL85" s="7" t="n"/>
      <c r="AM85" s="7" t="n">
        <v>-1738</v>
      </c>
      <c r="AN85" s="10" t="n"/>
      <c r="AO85" s="10" t="n"/>
      <c r="AP85" s="10" t="n"/>
      <c r="AQ85" s="10" t="n"/>
    </row>
    <row r="86">
      <c r="A86" s="7" t="inlineStr">
        <is>
          <t>b2-0004</t>
        </is>
      </c>
      <c r="B86" s="7" t="inlineStr">
        <is>
          <t>Point</t>
        </is>
      </c>
      <c r="C86" s="7" t="n"/>
      <c r="D86" s="7" t="inlineStr">
        <is>
          <t>1737 B.C.E.</t>
        </is>
      </c>
      <c r="E86" s="7" t="inlineStr">
        <is>
          <t>பொ.ச.மு. 1737</t>
        </is>
      </c>
      <c r="F86" s="7" t="inlineStr">
        <is>
          <t>1737 BCE</t>
        </is>
      </c>
      <c r="G86" s="7" t="inlineStr">
        <is>
          <t>Exact</t>
        </is>
      </c>
      <c r="H86" s="7" t="n"/>
      <c r="I86" s="7" t="n"/>
      <c r="J86" s="7" t="n"/>
      <c r="K86" s="2" t="inlineStr">
        <is>
          <t>Joseph made prime minister of Egypt</t>
        </is>
      </c>
      <c r="L86" s="2" t="inlineStr">
        <is>
          <t>யோசேப்பு எகிப்தின் பிரதம மந்திரியாக்கப்பட்டார்</t>
        </is>
      </c>
      <c r="M86" s="7" t="inlineStr">
        <is>
          <t>After interpreting Pharaoh's dreams, Joseph, at 30 years of age, was given authority over Egypt second only to Pharaoh.</t>
        </is>
      </c>
      <c r="N86" s="7" t="n"/>
      <c r="O86" s="8" t="inlineStr">
        <is>
          <t>Bible</t>
        </is>
      </c>
      <c r="P86" s="7" t="inlineStr">
        <is>
          <t>bible.patriarch</t>
        </is>
      </c>
      <c r="Q86" s="7" t="inlineStr">
        <is>
          <t>appointment</t>
        </is>
      </c>
      <c r="R86" s="7" t="inlineStr">
        <is>
          <t>Joseph; Pharaoh</t>
        </is>
      </c>
      <c r="S86" s="7" t="inlineStr">
        <is>
          <t>Egypt</t>
        </is>
      </c>
      <c r="T86" s="7" t="inlineStr">
        <is>
          <t>Gen. 41:40, 46</t>
        </is>
      </c>
      <c r="U86" s="7" t="inlineStr">
        <is>
          <t>ஆதி. 41:40, 46</t>
        </is>
      </c>
      <c r="V86" s="7" t="n">
        <v>3</v>
      </c>
      <c r="W86" s="7" t="inlineStr">
        <is>
          <t>Study Number 3—Measuring Events in the Stream of Time</t>
        </is>
      </c>
      <c r="X86" s="9" t="inlineStr">
        <is>
          <t>open</t>
        </is>
      </c>
      <c r="Y86" s="9" t="inlineStr">
        <is>
          <t>open</t>
        </is>
      </c>
      <c r="Z86" s="7" t="inlineStr">
        <is>
          <t>https://wol.jw.org/en/wol/d/r1/lp-e/1101990130
https://wol.jw.org/en/wol/d/r1/lp-e/1200271562
https://wol.jw.org/en/wol/d/r1/lp-e/1200002203</t>
        </is>
      </c>
      <c r="AA86" s="7" t="n">
        <v>1</v>
      </c>
      <c r="AB86" s="9" t="inlineStr">
        <is>
          <t>open</t>
        </is>
      </c>
      <c r="AC86" s="7" t="n">
        <v>0</v>
      </c>
      <c r="AD86" s="7" t="n"/>
      <c r="AE86" s="7" t="n"/>
      <c r="AF86" s="7" t="n"/>
      <c r="AG86" s="7" t="n"/>
      <c r="AH86" s="7" t="n"/>
      <c r="AI86" s="7" t="n"/>
      <c r="AJ86" s="7" t="n"/>
      <c r="AK86" s="7" t="n"/>
      <c r="AL86" s="7" t="n"/>
      <c r="AM86" s="7" t="n">
        <v>-1737</v>
      </c>
      <c r="AN86" s="10" t="n"/>
      <c r="AO86" s="10" t="n"/>
      <c r="AP86" s="10" t="n"/>
      <c r="AQ86" s="10" t="n"/>
    </row>
    <row r="87">
      <c r="A87" s="7" t="inlineStr">
        <is>
          <t>b2-0005</t>
        </is>
      </c>
      <c r="B87" s="7" t="inlineStr">
        <is>
          <t>Point</t>
        </is>
      </c>
      <c r="C87" s="7" t="n"/>
      <c r="D87" s="7" t="inlineStr">
        <is>
          <t>1728 B.C.E.</t>
        </is>
      </c>
      <c r="E87" s="7" t="inlineStr">
        <is>
          <t>பொ.ச.மு. 1728</t>
        </is>
      </c>
      <c r="F87" s="7" t="inlineStr">
        <is>
          <t>1728 BCE</t>
        </is>
      </c>
      <c r="G87" s="7" t="inlineStr">
        <is>
          <t>Exact</t>
        </is>
      </c>
      <c r="H87" s="7" t="n"/>
      <c r="I87" s="7" t="n"/>
      <c r="J87" s="7" t="n"/>
      <c r="K87" s="2" t="inlineStr">
        <is>
          <t>Jacob with his whole family enters Egypt</t>
        </is>
      </c>
      <c r="L87" s="2" t="inlineStr">
        <is>
          <t>யாக்கோபு தன் முழு குடும்பத்துடன் எகிப்துக்குள் பிரவேசிக்கிறார்</t>
        </is>
      </c>
      <c r="M87" s="7" t="inlineStr">
        <is>
          <t>Jacob, aged 130, moved to Egypt with his household during the famine; this began the 215 years Israel spent in Egypt before the Exodus.</t>
        </is>
      </c>
      <c r="N87" s="7" t="n"/>
      <c r="O87" s="8" t="inlineStr">
        <is>
          <t>Bible</t>
        </is>
      </c>
      <c r="P87" s="7" t="inlineStr">
        <is>
          <t>bible.patriarch</t>
        </is>
      </c>
      <c r="Q87" s="7" t="inlineStr">
        <is>
          <t>journey</t>
        </is>
      </c>
      <c r="R87" s="7" t="inlineStr">
        <is>
          <t>Jacob; Joseph</t>
        </is>
      </c>
      <c r="S87" s="7" t="inlineStr">
        <is>
          <t>Egypt; Goshen</t>
        </is>
      </c>
      <c r="T87" s="7" t="inlineStr">
        <is>
          <t>Gen. 45:6; Gen. 46:26; Gen. 47:9</t>
        </is>
      </c>
      <c r="U87" s="7" t="inlineStr">
        <is>
          <t>ஆதி. 45:6; ஆதி. 46:26; ஆதி. 47:9</t>
        </is>
      </c>
      <c r="V87" s="7" t="n">
        <v>4</v>
      </c>
      <c r="W87" s="7" t="inlineStr">
        <is>
          <t>Study Number 3—Measuring Events in the Stream of Time</t>
        </is>
      </c>
      <c r="X87" s="9" t="inlineStr">
        <is>
          <t>open</t>
        </is>
      </c>
      <c r="Y87" s="9" t="inlineStr">
        <is>
          <t>open</t>
        </is>
      </c>
      <c r="Z87" s="7" t="inlineStr">
        <is>
          <t>https://wol.jw.org/en/wol/d/r1/lp-e/1101990130
https://wol.jw.org/en/wol/d/r1/lp-e/1200000970
https://wol.jw.org/en/wol/d/r1/lp-e/1200002279
https://wol.jw.org/en/wol/d/r1/lp-e/1102025962</t>
        </is>
      </c>
      <c r="AA87" s="7" t="n">
        <v>1</v>
      </c>
      <c r="AB87" s="9" t="inlineStr">
        <is>
          <t>open</t>
        </is>
      </c>
      <c r="AC87" s="7" t="n">
        <v>0</v>
      </c>
      <c r="AD87" s="7" t="n"/>
      <c r="AE87" s="7" t="n"/>
      <c r="AF87" s="7" t="n"/>
      <c r="AG87" s="7" t="n"/>
      <c r="AH87" s="7" t="n"/>
      <c r="AI87" s="7" t="inlineStr">
        <is>
          <t>Span endpoint – keep</t>
        </is>
      </c>
      <c r="AJ87" s="7" t="inlineStr">
        <is>
          <t>start of Israel’s residence in Egypt (b12-0005)</t>
        </is>
      </c>
      <c r="AK87" s="7" t="inlineStr">
        <is>
          <t>patriarchs-travels #12 (context)</t>
        </is>
      </c>
      <c r="AL87" s="7" t="n"/>
      <c r="AM87" s="7" t="n">
        <v>-1728</v>
      </c>
      <c r="AN87" s="10" t="n"/>
      <c r="AO87" s="10" t="n"/>
      <c r="AP87" s="10" t="n"/>
      <c r="AQ87" s="10" t="n"/>
    </row>
    <row r="88">
      <c r="A88" s="7" t="inlineStr">
        <is>
          <t>b12-0005</t>
        </is>
      </c>
      <c r="B88" s="11" t="inlineStr">
        <is>
          <t>Span</t>
        </is>
      </c>
      <c r="C88" s="7" t="inlineStr">
        <is>
          <t>residence</t>
        </is>
      </c>
      <c r="D88" s="7" t="inlineStr">
        <is>
          <t>1728 B.C.E.–1513 B.C.E.</t>
        </is>
      </c>
      <c r="E88" s="7" t="n"/>
      <c r="F88" s="7" t="inlineStr">
        <is>
          <t>1728 BCE</t>
        </is>
      </c>
      <c r="G88" s="7" t="inlineStr">
        <is>
          <t>Exact</t>
        </is>
      </c>
      <c r="H88" s="7" t="inlineStr">
        <is>
          <t>1513 BCE</t>
        </is>
      </c>
      <c r="I88" s="7" t="inlineStr">
        <is>
          <t>Exact</t>
        </is>
      </c>
      <c r="J88" s="7" t="inlineStr">
        <is>
          <t>215 years</t>
        </is>
      </c>
      <c r="K88" s="2" t="inlineStr">
        <is>
          <t>Israel’s residence in Egypt</t>
        </is>
      </c>
      <c r="L88" s="2" t="n"/>
      <c r="M88" s="7" t="inlineStr">
        <is>
          <t>Jacob and his household entered Egypt in 1728 B.C.E.; their descendants lived there for 215 years until the Exodus in 1513 B.C.E.</t>
        </is>
      </c>
      <c r="N88" s="7" t="inlineStr">
        <is>
          <t>இவ்வாறு ‘குடியிருந்த காலத்தில்’ முதல் 215 ஆண்டுகள் கானானிலும் மீதி 215 ஆண்டுகள் எகிப்திலும் செலவிடப்பட்டன.</t>
        </is>
      </c>
      <c r="O88" s="8" t="inlineStr">
        <is>
          <t>Bible</t>
        </is>
      </c>
      <c r="P88" s="7" t="inlineStr">
        <is>
          <t>bible.exodus_law</t>
        </is>
      </c>
      <c r="Q88" s="7" t="n"/>
      <c r="R88" s="7" t="inlineStr">
        <is>
          <t>Jacob</t>
        </is>
      </c>
      <c r="S88" s="7" t="inlineStr">
        <is>
          <t>Egypt</t>
        </is>
      </c>
      <c r="T88" s="7" t="inlineStr">
        <is>
          <t>Gen. 46:26; Ex. 12:40, 41</t>
        </is>
      </c>
      <c r="U88" s="7" t="inlineStr">
        <is>
          <t>ஆதி. 46:26; யாத். 12:40, 41</t>
        </is>
      </c>
      <c r="V88" s="7" t="n">
        <v>2</v>
      </c>
      <c r="W88" s="7" t="inlineStr">
        <is>
          <t>Chronology</t>
        </is>
      </c>
      <c r="X88" s="9" t="inlineStr">
        <is>
          <t>open</t>
        </is>
      </c>
      <c r="Y88" s="7" t="n"/>
      <c r="Z88" s="7" t="inlineStr">
        <is>
          <t>https://wol.jw.org/en/wol/d/r1/lp-e/1200000970
https://wol.jw.org/en/wol/d/r1/lp-e/1200000970</t>
        </is>
      </c>
      <c r="AA88" s="7" t="n">
        <v>0</v>
      </c>
      <c r="AB88" s="7" t="n"/>
      <c r="AC88" s="7" t="n">
        <v>0</v>
      </c>
      <c r="AD88" s="7" t="n"/>
      <c r="AE88" s="7" t="n"/>
      <c r="AF88" s="7" t="inlineStr">
        <is>
          <t>b2-0005</t>
        </is>
      </c>
      <c r="AG88" s="7" t="inlineStr">
        <is>
          <t>b2-0017</t>
        </is>
      </c>
      <c r="AH88" s="7" t="inlineStr">
        <is>
          <t>b12-0002</t>
        </is>
      </c>
      <c r="AI88" s="7" t="n"/>
      <c r="AJ88" s="7" t="n"/>
      <c r="AK88" s="7" t="n"/>
      <c r="AL88" s="7" t="n"/>
      <c r="AM88" s="7" t="n">
        <v>-1728</v>
      </c>
      <c r="AN88" s="10" t="n"/>
      <c r="AO88" s="10" t="n"/>
      <c r="AP88" s="10" t="n"/>
      <c r="AQ88" s="10" t="n"/>
    </row>
    <row r="89">
      <c r="A89" s="7" t="inlineStr">
        <is>
          <t>b2-0006</t>
        </is>
      </c>
      <c r="B89" s="7" t="inlineStr">
        <is>
          <t>Point</t>
        </is>
      </c>
      <c r="C89" s="7" t="n"/>
      <c r="D89" s="7" t="inlineStr">
        <is>
          <t>1711 B.C.E.</t>
        </is>
      </c>
      <c r="E89" s="7" t="inlineStr">
        <is>
          <t>பொ.ச.மு. 1711</t>
        </is>
      </c>
      <c r="F89" s="7" t="inlineStr">
        <is>
          <t>1711 BCE</t>
        </is>
      </c>
      <c r="G89" s="7" t="inlineStr">
        <is>
          <t>Exact</t>
        </is>
      </c>
      <c r="H89" s="7" t="n"/>
      <c r="I89" s="7" t="n"/>
      <c r="J89" s="7" t="n"/>
      <c r="K89" s="2" t="inlineStr">
        <is>
          <t>Death of Jacob</t>
        </is>
      </c>
      <c r="L89" s="2" t="inlineStr">
        <is>
          <t>யாக்கோபின் மரணம்</t>
        </is>
      </c>
      <c r="M89" s="7" t="inlineStr">
        <is>
          <t>After 17 years of residence in Egypt, Jacob died at the age of 147.</t>
        </is>
      </c>
      <c r="N89" s="7" t="n"/>
      <c r="O89" s="8" t="inlineStr">
        <is>
          <t>Bible</t>
        </is>
      </c>
      <c r="P89" s="7" t="inlineStr">
        <is>
          <t>bible.patriarch</t>
        </is>
      </c>
      <c r="Q89" s="7" t="inlineStr">
        <is>
          <t>death</t>
        </is>
      </c>
      <c r="R89" s="7" t="inlineStr">
        <is>
          <t>Jacob</t>
        </is>
      </c>
      <c r="S89" s="7" t="inlineStr">
        <is>
          <t>Egypt</t>
        </is>
      </c>
      <c r="T89" s="7" t="inlineStr">
        <is>
          <t>Gen. 47:28</t>
        </is>
      </c>
      <c r="U89" s="7" t="inlineStr">
        <is>
          <t>ஆதி. 47:28</t>
        </is>
      </c>
      <c r="V89" s="7" t="n">
        <v>3</v>
      </c>
      <c r="W89" s="7" t="inlineStr">
        <is>
          <t>Study Number 3—Measuring Events in the Stream of Time</t>
        </is>
      </c>
      <c r="X89" s="9" t="inlineStr">
        <is>
          <t>open</t>
        </is>
      </c>
      <c r="Y89" s="9" t="inlineStr">
        <is>
          <t>open</t>
        </is>
      </c>
      <c r="Z89" s="7" t="inlineStr">
        <is>
          <t>https://wol.jw.org/en/wol/d/r1/lp-e/1101990130
https://wol.jw.org/en/wol/d/r1/lp-e/1200002279
https://wol.jw.org/en/wol/d/r1/lp-e/1102025962</t>
        </is>
      </c>
      <c r="AA89" s="7" t="n">
        <v>0</v>
      </c>
      <c r="AB89" s="7" t="n"/>
      <c r="AC89" s="7" t="n">
        <v>0</v>
      </c>
      <c r="AD89" s="7" t="n"/>
      <c r="AE89" s="7" t="n"/>
      <c r="AF89" s="7" t="n"/>
      <c r="AG89" s="7" t="n"/>
      <c r="AH89" s="7" t="n"/>
      <c r="AI89" s="7" t="n"/>
      <c r="AJ89" s="7" t="n"/>
      <c r="AK89" s="7" t="inlineStr">
        <is>
          <t>messianic-prophecies #21 (prophecy)</t>
        </is>
      </c>
      <c r="AL89" s="7" t="n"/>
      <c r="AM89" s="7" t="n">
        <v>-1711</v>
      </c>
      <c r="AN89" s="10" t="n"/>
      <c r="AO89" s="10" t="n"/>
      <c r="AP89" s="10" t="n"/>
      <c r="AQ89" s="10" t="n"/>
    </row>
    <row r="90">
      <c r="A90" s="7" t="inlineStr">
        <is>
          <t>b2-0007</t>
        </is>
      </c>
      <c r="B90" s="7" t="inlineStr">
        <is>
          <t>Point</t>
        </is>
      </c>
      <c r="C90" s="7" t="n"/>
      <c r="D90" s="7" t="inlineStr">
        <is>
          <t>1657 B.C.E.</t>
        </is>
      </c>
      <c r="E90" s="7" t="inlineStr">
        <is>
          <t>பொ.ச.மு. 1657</t>
        </is>
      </c>
      <c r="F90" s="7" t="inlineStr">
        <is>
          <t>1657 BCE</t>
        </is>
      </c>
      <c r="G90" s="7" t="inlineStr">
        <is>
          <t>Exact</t>
        </is>
      </c>
      <c r="H90" s="7" t="n"/>
      <c r="I90" s="7" t="n"/>
      <c r="J90" s="7" t="n"/>
      <c r="K90" s="2" t="inlineStr">
        <is>
          <t>Death of Joseph</t>
        </is>
      </c>
      <c r="L90" s="2" t="inlineStr">
        <is>
          <t>யோசேப்பின் மரணம்</t>
        </is>
      </c>
      <c r="M90" s="7" t="inlineStr">
        <is>
          <t>Joseph died in Egypt at the age of 110; his death marks the end of the period covered by Genesis.</t>
        </is>
      </c>
      <c r="N90" s="7" t="n"/>
      <c r="O90" s="8" t="inlineStr">
        <is>
          <t>Bible</t>
        </is>
      </c>
      <c r="P90" s="7" t="inlineStr">
        <is>
          <t>bible.patriarch</t>
        </is>
      </c>
      <c r="Q90" s="7" t="inlineStr">
        <is>
          <t>death</t>
        </is>
      </c>
      <c r="R90" s="7" t="inlineStr">
        <is>
          <t>Joseph</t>
        </is>
      </c>
      <c r="S90" s="7" t="inlineStr">
        <is>
          <t>Egypt</t>
        </is>
      </c>
      <c r="T90" s="7" t="inlineStr">
        <is>
          <t>Gen. 50:26</t>
        </is>
      </c>
      <c r="U90" s="7" t="inlineStr">
        <is>
          <t>ஆதி. 50:26</t>
        </is>
      </c>
      <c r="V90" s="7" t="n">
        <v>4</v>
      </c>
      <c r="W90" s="7" t="inlineStr">
        <is>
          <t>Study Number 3—Measuring Events in the Stream of Time</t>
        </is>
      </c>
      <c r="X90" s="9" t="inlineStr">
        <is>
          <t>open</t>
        </is>
      </c>
      <c r="Y90" s="9" t="inlineStr">
        <is>
          <t>open</t>
        </is>
      </c>
      <c r="Z90" s="7" t="inlineStr">
        <is>
          <t>https://wol.jw.org/en/wol/d/r1/lp-e/1101990130
https://wol.jw.org/en/wol/d/r1/lp-e/1200001650
https://wol.jw.org/en/wol/d/r1/lp-e/1102025962
https://wol.jw.org/en/wol/d/r1/lp-e/1200271562</t>
        </is>
      </c>
      <c r="AA90" s="7" t="n">
        <v>0</v>
      </c>
      <c r="AB90" s="7" t="n"/>
      <c r="AC90" s="7" t="n">
        <v>0</v>
      </c>
      <c r="AD90" s="7" t="n"/>
      <c r="AE90" s="7" t="n"/>
      <c r="AF90" s="7" t="n"/>
      <c r="AG90" s="7" t="n"/>
      <c r="AH90" s="7" t="n"/>
      <c r="AI90" s="7" t="inlineStr">
        <is>
          <t>Span endpoint – keep</t>
        </is>
      </c>
      <c r="AJ90" s="7" t="inlineStr">
        <is>
          <t>end of Life of Joseph (d1-0016)</t>
        </is>
      </c>
      <c r="AK90" s="7" t="inlineStr">
        <is>
          <t>patriarchs-travels #13 (item)</t>
        </is>
      </c>
      <c r="AL90" s="7" t="n"/>
      <c r="AM90" s="7" t="n">
        <v>-1657</v>
      </c>
      <c r="AN90" s="10" t="n"/>
      <c r="AO90" s="10" t="n"/>
      <c r="AP90" s="10" t="n"/>
      <c r="AQ90" s="10" t="n"/>
    </row>
    <row r="91">
      <c r="A91" s="7" t="inlineStr">
        <is>
          <t>b2-0008</t>
        </is>
      </c>
      <c r="B91" s="7" t="inlineStr">
        <is>
          <t>Point</t>
        </is>
      </c>
      <c r="C91" s="7" t="n"/>
      <c r="D91" s="7" t="inlineStr">
        <is>
          <t>c. 1613 B.C.E.</t>
        </is>
      </c>
      <c r="E91" s="7" t="inlineStr">
        <is>
          <t>பொ.ச.மு. 1613 மு.</t>
        </is>
      </c>
      <c r="F91" s="7" t="inlineStr">
        <is>
          <t>1613 BCE</t>
        </is>
      </c>
      <c r="G91" s="7" t="inlineStr">
        <is>
          <t>Approx. (c.)</t>
        </is>
      </c>
      <c r="H91" s="7" t="n"/>
      <c r="I91" s="7" t="n"/>
      <c r="J91" s="7" t="n"/>
      <c r="K91" s="2" t="inlineStr">
        <is>
          <t>Job’s trial</t>
        </is>
      </c>
      <c r="L91" s="2" t="inlineStr">
        <is>
          <t>யோபின் சோதனை</t>
        </is>
      </c>
      <c r="M91" s="7" t="inlineStr">
        <is>
          <t>Job, a faithful worshipper of Jehovah in the land of Uz, underwent severe trial of his integrity; he lived 140 more years after it ended.</t>
        </is>
      </c>
      <c r="N91" s="7" t="n"/>
      <c r="O91" s="8" t="inlineStr">
        <is>
          <t>Bible</t>
        </is>
      </c>
      <c r="P91" s="7" t="inlineStr">
        <is>
          <t>bible.patriarch</t>
        </is>
      </c>
      <c r="Q91" s="7" t="inlineStr">
        <is>
          <t>event</t>
        </is>
      </c>
      <c r="R91" s="7" t="inlineStr">
        <is>
          <t>Job</t>
        </is>
      </c>
      <c r="S91" s="7" t="inlineStr">
        <is>
          <t>Uz</t>
        </is>
      </c>
      <c r="T91" s="7" t="inlineStr">
        <is>
          <t>Job 1:8; Job 42:16</t>
        </is>
      </c>
      <c r="U91" s="7" t="inlineStr">
        <is>
          <t>யோபு 1:8; யோபு 42:16</t>
        </is>
      </c>
      <c r="V91" s="7" t="n">
        <v>3</v>
      </c>
      <c r="W91" s="7" t="inlineStr">
        <is>
          <t>Job, Book of</t>
        </is>
      </c>
      <c r="X91" s="9" t="inlineStr">
        <is>
          <t>open</t>
        </is>
      </c>
      <c r="Y91" s="7" t="n"/>
      <c r="Z91" s="7" t="inlineStr">
        <is>
          <t>https://wol.jw.org/en/wol/d/r1/lp-e/1200002475
https://wol.jw.org/en/wol/d/r1/lp-e/1101990130
https://wol.jw.org/en/wol/d/r1/lp-e/1200271562</t>
        </is>
      </c>
      <c r="AA91" s="7" t="n">
        <v>0</v>
      </c>
      <c r="AB91" s="7" t="n"/>
      <c r="AC91" s="7" t="n">
        <v>1</v>
      </c>
      <c r="AD91" s="7" t="inlineStr">
        <is>
          <t>'All Scripture' Study 3 chart marks the date 'b.' (before) 1613; Insight (newer) says 'about 1613'. Tamil si chart likewise reads 'பொ.ச.மு. 1613 மு.' (before).</t>
        </is>
      </c>
      <c r="AE91" s="7" t="n"/>
      <c r="AF91" s="7" t="n"/>
      <c r="AG91" s="7" t="n"/>
      <c r="AH91" s="7" t="n"/>
      <c r="AI91" s="7" t="n"/>
      <c r="AJ91" s="7" t="n"/>
      <c r="AK91" s="7" t="n"/>
      <c r="AL91" s="7" t="inlineStr">
        <is>
          <t>Insight reasoning: Moses completed Job c. 1473, not long after Job's death, and Job lived 140 years after his trial.</t>
        </is>
      </c>
      <c r="AM91" s="7" t="n">
        <v>-1613</v>
      </c>
      <c r="AN91" s="10" t="n"/>
      <c r="AO91" s="10" t="n"/>
      <c r="AP91" s="10" t="n"/>
      <c r="AQ91" s="10" t="n"/>
    </row>
    <row r="92">
      <c r="A92" s="7" t="inlineStr">
        <is>
          <t>b2-0009</t>
        </is>
      </c>
      <c r="B92" s="7" t="inlineStr">
        <is>
          <t>Point</t>
        </is>
      </c>
      <c r="C92" s="7" t="n"/>
      <c r="D92" s="7" t="inlineStr">
        <is>
          <t>a. 1600 B.C.E.</t>
        </is>
      </c>
      <c r="E92" s="7" t="inlineStr">
        <is>
          <t>பொ.ச.மு. 1600 பி.</t>
        </is>
      </c>
      <c r="F92" s="7" t="inlineStr">
        <is>
          <t>1600 BCE</t>
        </is>
      </c>
      <c r="G92" s="7" t="inlineStr">
        <is>
          <t>After (a.)</t>
        </is>
      </c>
      <c r="H92" s="7" t="n"/>
      <c r="I92" s="7" t="n"/>
      <c r="J92" s="7" t="n"/>
      <c r="K92" s="2" t="inlineStr">
        <is>
          <t>Egypt attains prominence as first world power</t>
        </is>
      </c>
      <c r="L92" s="2" t="inlineStr">
        <is>
          <t>எகிப்து முதல் உலக வல்லரசாக மேன்மையடைகிறது</t>
        </is>
      </c>
      <c r="M92" s="7" t="inlineStr">
        <is>
          <t>Egypt rose to become the first world power of Bible history; a new king arose who did not know Joseph.</t>
        </is>
      </c>
      <c r="N92" s="7" t="n"/>
      <c r="O92" s="8" t="inlineStr">
        <is>
          <t>Bible</t>
        </is>
      </c>
      <c r="P92" s="7" t="inlineStr">
        <is>
          <t>bible.patriarch</t>
        </is>
      </c>
      <c r="Q92" s="7" t="inlineStr">
        <is>
          <t>event</t>
        </is>
      </c>
      <c r="R92" s="7" t="n"/>
      <c r="S92" s="7" t="inlineStr">
        <is>
          <t>Egypt</t>
        </is>
      </c>
      <c r="T92" s="7" t="inlineStr">
        <is>
          <t>Ex. 1:8</t>
        </is>
      </c>
      <c r="U92" s="7" t="inlineStr">
        <is>
          <t>யாத். 1:8</t>
        </is>
      </c>
      <c r="V92" s="7" t="n">
        <v>3</v>
      </c>
      <c r="W92" s="7" t="inlineStr">
        <is>
          <t>Study Number 3—Measuring Events in the Stream of Time</t>
        </is>
      </c>
      <c r="X92" s="9" t="inlineStr">
        <is>
          <t>open</t>
        </is>
      </c>
      <c r="Y92" s="9" t="inlineStr">
        <is>
          <t>open</t>
        </is>
      </c>
      <c r="Z92" s="7" t="inlineStr">
        <is>
          <t>https://wol.jw.org/en/wol/d/r1/lp-e/1101990130
https://wol.jw.org/en/wol/d/r1/lp-e/1102025962
https://wol.jw.org/en/wol/d/r1/lp-e/1200271562</t>
        </is>
      </c>
      <c r="AA92" s="7" t="n">
        <v>0</v>
      </c>
      <c r="AB92" s="7" t="n"/>
      <c r="AC92" s="7" t="n">
        <v>1</v>
      </c>
      <c r="AD92" s="7" t="inlineStr">
        <is>
          <t>wcg Section 1 Timeline (2025) gives 'approximate' 1600 rather than si's 'after 1600'.</t>
        </is>
      </c>
      <c r="AE92" s="7" t="n"/>
      <c r="AF92" s="7" t="n"/>
      <c r="AG92" s="7" t="n"/>
      <c r="AH92" s="7" t="n"/>
      <c r="AI92" s="7" t="inlineStr">
        <is>
          <t>Span endpoint – keep</t>
        </is>
      </c>
      <c r="AJ92" s="7" t="inlineStr">
        <is>
          <t>start of Egypt, first world power of Bible history (b12-0006)</t>
        </is>
      </c>
      <c r="AK92" s="7" t="inlineStr">
        <is>
          <t>seven-heads-of-the-beast #3 (rise)</t>
        </is>
      </c>
      <c r="AL92" s="7" t="n"/>
      <c r="AM92" s="7" t="n">
        <v>-1599.99</v>
      </c>
      <c r="AN92" s="10" t="n"/>
      <c r="AO92" s="10" t="n"/>
      <c r="AP92" s="10" t="n"/>
      <c r="AQ92" s="10" t="n"/>
    </row>
    <row r="93">
      <c r="A93" s="7" t="inlineStr">
        <is>
          <t>b12-0006</t>
        </is>
      </c>
      <c r="B93" s="11" t="inlineStr">
        <is>
          <t>Span</t>
        </is>
      </c>
      <c r="C93" s="7" t="inlineStr">
        <is>
          <t>world power</t>
        </is>
      </c>
      <c r="D93" s="7" t="inlineStr">
        <is>
          <t>a. 1600 B.C.E.–(end not dated)</t>
        </is>
      </c>
      <c r="E93" s="7" t="n"/>
      <c r="F93" s="7" t="inlineStr">
        <is>
          <t>1600 BCE</t>
        </is>
      </c>
      <c r="G93" s="7" t="inlineStr">
        <is>
          <t>After (a.)</t>
        </is>
      </c>
      <c r="H93" s="7" t="n"/>
      <c r="I93" s="7" t="inlineStr">
        <is>
          <t>Not stated</t>
        </is>
      </c>
      <c r="J93" s="7" t="n"/>
      <c r="K93" s="2" t="inlineStr">
        <is>
          <t>Egypt, first world power of Bible history</t>
        </is>
      </c>
      <c r="L93" s="2" t="n"/>
      <c r="M93" s="7" t="inlineStr">
        <is>
          <t>Egypt is reckoned the first of the seven world powers of Bible prophecy; it rose to prominence after 1600 B.C.E. and oppressed Israel until the Exodus.</t>
        </is>
      </c>
      <c r="N93" s="7" t="n"/>
      <c r="O93" s="8" t="inlineStr">
        <is>
          <t>Bible</t>
        </is>
      </c>
      <c r="P93" s="7" t="inlineStr">
        <is>
          <t>bible.prophecy_fulfilled</t>
        </is>
      </c>
      <c r="Q93" s="7" t="n"/>
      <c r="R93" s="7" t="n"/>
      <c r="S93" s="7" t="inlineStr">
        <is>
          <t>Egypt</t>
        </is>
      </c>
      <c r="T93" s="7" t="inlineStr">
        <is>
          <t>Rev. 17:10</t>
        </is>
      </c>
      <c r="U93" s="7" t="inlineStr">
        <is>
          <t>வெளி. 17:10</t>
        </is>
      </c>
      <c r="V93" s="7" t="n">
        <v>1</v>
      </c>
      <c r="W93" s="7" t="inlineStr">
        <is>
          <t>Study Number 3—Measuring Events in the Stream of Time</t>
        </is>
      </c>
      <c r="X93" s="9" t="inlineStr">
        <is>
          <t>open</t>
        </is>
      </c>
      <c r="Y93" s="9" t="inlineStr">
        <is>
          <t>open</t>
        </is>
      </c>
      <c r="Z93" s="7" t="inlineStr">
        <is>
          <t>https://wol.jw.org/en/wol/d/r1/lp-e/1101990130</t>
        </is>
      </c>
      <c r="AA93" s="7" t="n">
        <v>0</v>
      </c>
      <c r="AB93" s="7" t="n"/>
      <c r="AC93" s="7" t="n">
        <v>0</v>
      </c>
      <c r="AD93" s="7" t="n"/>
      <c r="AE93" s="7" t="n"/>
      <c r="AF93" s="7" t="inlineStr">
        <is>
          <t>b2-0009</t>
        </is>
      </c>
      <c r="AG93" s="7" t="n"/>
      <c r="AH93" s="7" t="n"/>
      <c r="AI93" s="7" t="n"/>
      <c r="AJ93" s="7" t="n"/>
      <c r="AK93" s="7" t="inlineStr">
        <is>
          <t>seven-heads-of-the-beast #2 (item)</t>
        </is>
      </c>
      <c r="AL93" s="7" t="inlineStr">
        <is>
          <t>No jw.org source found that dates the end of Egypt as a world power. End sort_key -740 is an ordering estimate only: Insight “Egypt” says that in Hoshea’s day (c. 758-740 B.C.E.) “Assyria came to the fore as the dominant world power.”</t>
        </is>
      </c>
      <c r="AM93" s="7" t="n">
        <v>-1599.99</v>
      </c>
      <c r="AN93" s="10" t="n"/>
      <c r="AO93" s="10" t="n"/>
      <c r="AP93" s="10" t="n"/>
      <c r="AQ93" s="10" t="n"/>
    </row>
    <row r="94">
      <c r="A94" s="7" t="inlineStr">
        <is>
          <t>b2-0010</t>
        </is>
      </c>
      <c r="B94" s="7" t="inlineStr">
        <is>
          <t>Point</t>
        </is>
      </c>
      <c r="C94" s="7" t="n"/>
      <c r="D94" s="7" t="inlineStr">
        <is>
          <t>1597 B.C.E.</t>
        </is>
      </c>
      <c r="E94" s="7" t="n"/>
      <c r="F94" s="7" t="inlineStr">
        <is>
          <t>1597 BCE</t>
        </is>
      </c>
      <c r="G94" s="7" t="inlineStr">
        <is>
          <t>Exact</t>
        </is>
      </c>
      <c r="H94" s="7" t="n"/>
      <c r="I94" s="7" t="n"/>
      <c r="J94" s="7" t="n"/>
      <c r="K94" s="2" t="inlineStr">
        <is>
          <t>Birth of Aaron</t>
        </is>
      </c>
      <c r="L94" s="2" t="n"/>
      <c r="M94" s="7" t="inlineStr">
        <is>
          <t>Aaron, Moses' older brother, was born in Egypt three years before Moses.</t>
        </is>
      </c>
      <c r="N94" s="7" t="n"/>
      <c r="O94" s="8" t="inlineStr">
        <is>
          <t>Bible</t>
        </is>
      </c>
      <c r="P94" s="7" t="inlineStr">
        <is>
          <t>bible.exodus_law</t>
        </is>
      </c>
      <c r="Q94" s="7" t="inlineStr">
        <is>
          <t>birth</t>
        </is>
      </c>
      <c r="R94" s="7" t="inlineStr">
        <is>
          <t>Aaron</t>
        </is>
      </c>
      <c r="S94" s="7" t="inlineStr">
        <is>
          <t>Egypt</t>
        </is>
      </c>
      <c r="T94" s="7" t="inlineStr">
        <is>
          <t>Ex. 7:7</t>
        </is>
      </c>
      <c r="U94" s="7" t="n"/>
      <c r="V94" s="7" t="n">
        <v>2</v>
      </c>
      <c r="W94" s="7" t="inlineStr">
        <is>
          <t>Aaron</t>
        </is>
      </c>
      <c r="X94" s="9" t="inlineStr">
        <is>
          <t>open</t>
        </is>
      </c>
      <c r="Y94" s="7" t="n"/>
      <c r="Z94" s="7" t="inlineStr">
        <is>
          <t>https://wol.jw.org/en/wol/d/r1/lp-e/1200000005
https://wol.jw.org/en/wol/d/r1/lp-e/1200001458</t>
        </is>
      </c>
      <c r="AA94" s="7" t="n">
        <v>0</v>
      </c>
      <c r="AB94" s="7" t="n"/>
      <c r="AC94" s="7" t="n">
        <v>0</v>
      </c>
      <c r="AD94" s="7" t="n"/>
      <c r="AE94" s="7" t="n"/>
      <c r="AF94" s="7" t="n"/>
      <c r="AG94" s="7" t="n"/>
      <c r="AH94" s="7" t="n"/>
      <c r="AI94" s="7" t="inlineStr">
        <is>
          <t>Covered by span – hide on chart</t>
        </is>
      </c>
      <c r="AJ94" s="7" t="inlineStr">
        <is>
          <t>start of Life of Aaron (d1-0017)</t>
        </is>
      </c>
      <c r="AK94" s="7" t="n"/>
      <c r="AL94" s="7" t="n"/>
      <c r="AM94" s="7" t="n">
        <v>-1597</v>
      </c>
      <c r="AN94" s="10" t="n"/>
      <c r="AO94" s="10" t="n"/>
      <c r="AP94" s="10" t="n"/>
      <c r="AQ94" s="10" t="n"/>
    </row>
    <row r="95">
      <c r="A95" s="7" t="inlineStr">
        <is>
          <t>d1-0017</t>
        </is>
      </c>
      <c r="B95" s="11" t="inlineStr">
        <is>
          <t>Span</t>
        </is>
      </c>
      <c r="C95" s="7" t="inlineStr">
        <is>
          <t>lifespan</t>
        </is>
      </c>
      <c r="D95" s="7" t="inlineStr">
        <is>
          <t>1597 B.C.E. – 1474 B.C.E., Ab 1</t>
        </is>
      </c>
      <c r="E95" s="7" t="n"/>
      <c r="F95" s="7" t="inlineStr">
        <is>
          <t>1597 BCE</t>
        </is>
      </c>
      <c r="G95" s="7" t="inlineStr">
        <is>
          <t>Exact</t>
        </is>
      </c>
      <c r="H95" s="7" t="inlineStr">
        <is>
          <t>1474 BCE</t>
        </is>
      </c>
      <c r="I95" s="7" t="inlineStr">
        <is>
          <t>Exact</t>
        </is>
      </c>
      <c r="J95" s="7" t="inlineStr">
        <is>
          <t>123 years</t>
        </is>
      </c>
      <c r="K95" s="2" t="inlineStr">
        <is>
          <t>Life of Aaron</t>
        </is>
      </c>
      <c r="L95" s="2" t="n"/>
      <c r="M95" s="7" t="inlineStr">
        <is>
          <t>Aaron: from Birth of Aaron (1597 B.C.E.) to Death of Aaron on Mount Hor (1474 B.C.E., Ab 1). Dates as given in the cited jw.org publications.</t>
        </is>
      </c>
      <c r="N95" s="7" t="n"/>
      <c r="O95" s="8" t="inlineStr">
        <is>
          <t>Bible</t>
        </is>
      </c>
      <c r="P95" s="7" t="inlineStr">
        <is>
          <t>bible.exodus_law</t>
        </is>
      </c>
      <c r="Q95" s="7" t="inlineStr">
        <is>
          <t>lifespan</t>
        </is>
      </c>
      <c r="R95" s="7" t="inlineStr">
        <is>
          <t>Aaron</t>
        </is>
      </c>
      <c r="S95" s="7" t="inlineStr">
        <is>
          <t>Egypt; Mount Hor; Edom</t>
        </is>
      </c>
      <c r="T95" s="7" t="inlineStr">
        <is>
          <t>Ex. 7:7; Num. 20:28; Num. 33:38, 39</t>
        </is>
      </c>
      <c r="U95" s="7" t="n"/>
      <c r="V95" s="7" t="n">
        <v>3</v>
      </c>
      <c r="W95" s="7" t="inlineStr">
        <is>
          <t>Aaron</t>
        </is>
      </c>
      <c r="X95" s="9" t="inlineStr">
        <is>
          <t>open</t>
        </is>
      </c>
      <c r="Y95" s="7" t="n"/>
      <c r="Z95" s="7" t="inlineStr">
        <is>
          <t>https://wol.jw.org/en/wol/d/r1/lp-e/1200000005
https://wol.jw.org/en/wol/d/r1/lp-e/1200001458
https://wol.jw.org/en/wol/d/r1/lp-e/1200271562</t>
        </is>
      </c>
      <c r="AA95" s="7" t="n">
        <v>0</v>
      </c>
      <c r="AB95" s="7" t="n"/>
      <c r="AC95" s="7" t="n">
        <v>1</v>
      </c>
      <c r="AD95" s="7" t="inlineStr">
        <is>
          <t>The batch brief listed Aaron's death under 1473; Insight 'Aaron' and the Publications Index both give 1474 B.C.E. (Ab, 40th year after the Exodus).</t>
        </is>
      </c>
      <c r="AE95" s="7" t="inlineStr">
        <is>
          <t>Built from b2-0010 (start) and b2-0034 (end).</t>
        </is>
      </c>
      <c r="AF95" s="7" t="inlineStr">
        <is>
          <t>b2-0010</t>
        </is>
      </c>
      <c r="AG95" s="7" t="inlineStr">
        <is>
          <t>b2-0034</t>
        </is>
      </c>
      <c r="AH95" s="7" t="n"/>
      <c r="AI95" s="7" t="n"/>
      <c r="AJ95" s="7" t="n"/>
      <c r="AK95" s="7" t="n"/>
      <c r="AL95" s="7" t="n"/>
      <c r="AM95" s="7" t="n">
        <v>-1597</v>
      </c>
      <c r="AN95" s="10" t="n"/>
      <c r="AO95" s="10" t="n"/>
      <c r="AP95" s="10" t="n"/>
      <c r="AQ95" s="10" t="n"/>
    </row>
    <row r="96">
      <c r="A96" s="7" t="inlineStr">
        <is>
          <t>b2-0011</t>
        </is>
      </c>
      <c r="B96" s="7" t="inlineStr">
        <is>
          <t>Point</t>
        </is>
      </c>
      <c r="C96" s="7" t="n"/>
      <c r="D96" s="7" t="inlineStr">
        <is>
          <t>1593 B.C.E.</t>
        </is>
      </c>
      <c r="E96" s="7" t="inlineStr">
        <is>
          <t>பொ.ச.மு. 1593</t>
        </is>
      </c>
      <c r="F96" s="7" t="inlineStr">
        <is>
          <t>1593 BCE</t>
        </is>
      </c>
      <c r="G96" s="7" t="inlineStr">
        <is>
          <t>Exact</t>
        </is>
      </c>
      <c r="H96" s="7" t="n"/>
      <c r="I96" s="7" t="n"/>
      <c r="J96" s="7" t="n"/>
      <c r="K96" s="2" t="inlineStr">
        <is>
          <t>Birth of Moses</t>
        </is>
      </c>
      <c r="L96" s="2" t="inlineStr">
        <is>
          <t>மோசேயின் பிறப்பு</t>
        </is>
      </c>
      <c r="M96" s="7" t="inlineStr">
        <is>
          <t>Moses, son of Amram and Jochebed of the tribe of Levi, was born in Egypt, hidden as a baby, and adopted by Pharaoh's daughter.</t>
        </is>
      </c>
      <c r="N96" s="7" t="n"/>
      <c r="O96" s="8" t="inlineStr">
        <is>
          <t>Bible</t>
        </is>
      </c>
      <c r="P96" s="7" t="inlineStr">
        <is>
          <t>bible.exodus_law</t>
        </is>
      </c>
      <c r="Q96" s="7" t="inlineStr">
        <is>
          <t>birth</t>
        </is>
      </c>
      <c r="R96" s="7" t="inlineStr">
        <is>
          <t>Moses; Amram; Jochebed</t>
        </is>
      </c>
      <c r="S96" s="7" t="inlineStr">
        <is>
          <t>Egypt</t>
        </is>
      </c>
      <c r="T96" s="7" t="inlineStr">
        <is>
          <t>Ex. 2:2, 10</t>
        </is>
      </c>
      <c r="U96" s="7" t="inlineStr">
        <is>
          <t>யாத். 2:2, 10</t>
        </is>
      </c>
      <c r="V96" s="7" t="n">
        <v>3</v>
      </c>
      <c r="W96" s="7" t="inlineStr">
        <is>
          <t>Study Number 3—Measuring Events in the Stream of Time</t>
        </is>
      </c>
      <c r="X96" s="9" t="inlineStr">
        <is>
          <t>open</t>
        </is>
      </c>
      <c r="Y96" s="9" t="inlineStr">
        <is>
          <t>open</t>
        </is>
      </c>
      <c r="Z96" s="7" t="inlineStr">
        <is>
          <t>https://wol.jw.org/en/wol/d/r1/lp-e/1101990130
https://wol.jw.org/en/wol/d/r1/lp-e/1200003118
https://wol.jw.org/en/wol/d/r1/lp-e/1102025962</t>
        </is>
      </c>
      <c r="AA96" s="7" t="n">
        <v>0</v>
      </c>
      <c r="AB96" s="7" t="n"/>
      <c r="AC96" s="7" t="n">
        <v>0</v>
      </c>
      <c r="AD96" s="7" t="n"/>
      <c r="AE96" s="7" t="n"/>
      <c r="AF96" s="7" t="n"/>
      <c r="AG96" s="7" t="n"/>
      <c r="AH96" s="7" t="n"/>
      <c r="AI96" s="7" t="inlineStr">
        <is>
          <t>Covered by span – hide on chart</t>
        </is>
      </c>
      <c r="AJ96" s="7" t="inlineStr">
        <is>
          <t>start of Life of Moses (d1-0018)</t>
        </is>
      </c>
      <c r="AK96" s="7" t="n"/>
      <c r="AL96" s="7" t="n"/>
      <c r="AM96" s="7" t="n">
        <v>-1593</v>
      </c>
      <c r="AN96" s="10" t="n"/>
      <c r="AO96" s="10" t="n"/>
      <c r="AP96" s="10" t="n"/>
      <c r="AQ96" s="10" t="n"/>
    </row>
    <row r="97">
      <c r="A97" s="7" t="inlineStr">
        <is>
          <t>d1-0018</t>
        </is>
      </c>
      <c r="B97" s="11" t="inlineStr">
        <is>
          <t>Span</t>
        </is>
      </c>
      <c r="C97" s="7" t="inlineStr">
        <is>
          <t>lifespan</t>
        </is>
      </c>
      <c r="D97" s="7" t="inlineStr">
        <is>
          <t>1593 B.C.E. – 1473 B.C.E., Adar</t>
        </is>
      </c>
      <c r="E97" s="7" t="inlineStr">
        <is>
          <t>பொ.ச.மு. 1593 – பொ.ச.மு. 1473</t>
        </is>
      </c>
      <c r="F97" s="7" t="inlineStr">
        <is>
          <t>1593 BCE</t>
        </is>
      </c>
      <c r="G97" s="7" t="inlineStr">
        <is>
          <t>Exact</t>
        </is>
      </c>
      <c r="H97" s="7" t="inlineStr">
        <is>
          <t>1473 BCE</t>
        </is>
      </c>
      <c r="I97" s="7" t="inlineStr">
        <is>
          <t>Exact</t>
        </is>
      </c>
      <c r="J97" s="7" t="inlineStr">
        <is>
          <t>120 years</t>
        </is>
      </c>
      <c r="K97" s="2" t="inlineStr">
        <is>
          <t>Life of Moses</t>
        </is>
      </c>
      <c r="L97" s="2" t="n"/>
      <c r="M97" s="7" t="inlineStr">
        <is>
          <t>Moses: from Birth of Moses (1593 B.C.E.) to Moses dies on Mount Nebo in Moab (1473 B.C.E., Adar). Dates as given in the cited jw.org publications.</t>
        </is>
      </c>
      <c r="N97" s="7" t="n"/>
      <c r="O97" s="8" t="inlineStr">
        <is>
          <t>Bible</t>
        </is>
      </c>
      <c r="P97" s="7" t="inlineStr">
        <is>
          <t>bible.exodus_law</t>
        </is>
      </c>
      <c r="Q97" s="7" t="inlineStr">
        <is>
          <t>lifespan</t>
        </is>
      </c>
      <c r="R97" s="7" t="inlineStr">
        <is>
          <t>Moses</t>
        </is>
      </c>
      <c r="S97" s="7" t="inlineStr">
        <is>
          <t>Egypt; Mount Nebo; Moab</t>
        </is>
      </c>
      <c r="T97" s="7" t="inlineStr">
        <is>
          <t>Ex. 2:2, 10; Deut. 34:1, 5, 7</t>
        </is>
      </c>
      <c r="U97" s="7" t="inlineStr">
        <is>
          <t>யாத். 2:2, 10; உபா. 34:1, 5, 7</t>
        </is>
      </c>
      <c r="V97" s="7" t="n">
        <v>4</v>
      </c>
      <c r="W97" s="7" t="inlineStr">
        <is>
          <t>Study Number 3—Measuring Events in the Stream of Time</t>
        </is>
      </c>
      <c r="X97" s="9" t="inlineStr">
        <is>
          <t>open</t>
        </is>
      </c>
      <c r="Y97" s="9" t="inlineStr">
        <is>
          <t>open</t>
        </is>
      </c>
      <c r="Z97" s="7" t="inlineStr">
        <is>
          <t>https://wol.jw.org/en/wol/d/r1/lp-e/1101990130
https://wol.jw.org/en/wol/d/r1/lp-e/1200003118
https://wol.jw.org/en/wol/d/r1/lp-e/1102025962
https://wol.jw.org/en/wol/d/r1/lp-e/1101990066</t>
        </is>
      </c>
      <c r="AA97" s="7" t="n">
        <v>0</v>
      </c>
      <c r="AB97" s="7" t="n"/>
      <c r="AC97" s="7" t="n">
        <v>0</v>
      </c>
      <c r="AD97" s="7" t="n"/>
      <c r="AE97" s="7" t="inlineStr">
        <is>
          <t>Built from b2-0011 (start) and b2-0043 (end).</t>
        </is>
      </c>
      <c r="AF97" s="7" t="inlineStr">
        <is>
          <t>b2-0011</t>
        </is>
      </c>
      <c r="AG97" s="7" t="inlineStr">
        <is>
          <t>b2-0043</t>
        </is>
      </c>
      <c r="AH97" s="7" t="n"/>
      <c r="AI97" s="7" t="n"/>
      <c r="AJ97" s="7" t="n"/>
      <c r="AK97" s="7" t="n"/>
      <c r="AL97" s="7" t="n"/>
      <c r="AM97" s="7" t="n">
        <v>-1593</v>
      </c>
      <c r="AN97" s="10" t="n"/>
      <c r="AO97" s="10" t="n"/>
      <c r="AP97" s="10" t="n"/>
      <c r="AQ97" s="10" t="n"/>
    </row>
    <row r="98">
      <c r="A98" s="7" t="inlineStr">
        <is>
          <t>b2-0012</t>
        </is>
      </c>
      <c r="B98" s="7" t="inlineStr">
        <is>
          <t>Point</t>
        </is>
      </c>
      <c r="C98" s="7" t="n"/>
      <c r="D98" s="7" t="inlineStr">
        <is>
          <t>c. 1560 B.C.E.</t>
        </is>
      </c>
      <c r="E98" s="7" t="inlineStr">
        <is>
          <t>கி.மு. 1560*</t>
        </is>
      </c>
      <c r="F98" s="7" t="inlineStr">
        <is>
          <t>1560 BCE</t>
        </is>
      </c>
      <c r="G98" s="7" t="inlineStr">
        <is>
          <t>Approx. (c.)</t>
        </is>
      </c>
      <c r="H98" s="7" t="n"/>
      <c r="I98" s="7" t="n"/>
      <c r="J98" s="7" t="n"/>
      <c r="K98" s="2" t="inlineStr">
        <is>
          <t>Birth of Joshua (approximate)</t>
        </is>
      </c>
      <c r="L98" s="2" t="n"/>
      <c r="M98" s="7" t="inlineStr">
        <is>
          <t>Joshua son of Nun, of the tribe of Ephraim, was born about this time.</t>
        </is>
      </c>
      <c r="N98" s="7" t="n"/>
      <c r="O98" s="8" t="inlineStr">
        <is>
          <t>Bible</t>
        </is>
      </c>
      <c r="P98" s="7" t="inlineStr">
        <is>
          <t>bible.exodus_law</t>
        </is>
      </c>
      <c r="Q98" s="7" t="inlineStr">
        <is>
          <t>birth</t>
        </is>
      </c>
      <c r="R98" s="7" t="inlineStr">
        <is>
          <t>Joshua</t>
        </is>
      </c>
      <c r="S98" s="7" t="n"/>
      <c r="T98" s="7" t="inlineStr">
        <is>
          <t>Josh. 24:29</t>
        </is>
      </c>
      <c r="U98" s="7" t="n"/>
      <c r="V98" s="7" t="n">
        <v>2</v>
      </c>
      <c r="W98" s="7" t="inlineStr">
        <is>
          <t>Section 1 Timeline</t>
        </is>
      </c>
      <c r="X98" s="9" t="inlineStr">
        <is>
          <t>open</t>
        </is>
      </c>
      <c r="Y98" s="9" t="inlineStr">
        <is>
          <t>open</t>
        </is>
      </c>
      <c r="Z98" s="7" t="inlineStr">
        <is>
          <t>https://wol.jw.org/en/wol/d/r1/lp-e/1102025962
https://wol.jw.org/en/wol/d/r1/lp-e/1200271562</t>
        </is>
      </c>
      <c r="AA98" s="7" t="n">
        <v>0</v>
      </c>
      <c r="AB98" s="7" t="n"/>
      <c r="AC98" s="7" t="n">
        <v>0</v>
      </c>
      <c r="AD98" s="7" t="n"/>
      <c r="AE98" s="7" t="n"/>
      <c r="AF98" s="7" t="n"/>
      <c r="AG98" s="7" t="n"/>
      <c r="AH98" s="7" t="n"/>
      <c r="AI98" s="7" t="inlineStr">
        <is>
          <t>Covered by span – hide on chart</t>
        </is>
      </c>
      <c r="AJ98" s="7" t="inlineStr">
        <is>
          <t>start of Life of Joshua (d1-0019)</t>
        </is>
      </c>
      <c r="AK98" s="7" t="n"/>
      <c r="AL98" s="7" t="n"/>
      <c r="AM98" s="7" t="n">
        <v>-1560</v>
      </c>
      <c r="AN98" s="10" t="n"/>
      <c r="AO98" s="10" t="n"/>
      <c r="AP98" s="10" t="n"/>
      <c r="AQ98" s="10" t="n"/>
    </row>
    <row r="99">
      <c r="A99" s="7" t="inlineStr">
        <is>
          <t>d1-0019</t>
        </is>
      </c>
      <c r="B99" s="11" t="inlineStr">
        <is>
          <t>Span</t>
        </is>
      </c>
      <c r="C99" s="7" t="inlineStr">
        <is>
          <t>lifespan</t>
        </is>
      </c>
      <c r="D99" s="7" t="inlineStr">
        <is>
          <t>c. 1560 B.C.E. – c. 1450 B.C.E.</t>
        </is>
      </c>
      <c r="E99" s="7" t="inlineStr">
        <is>
          <t>கி.மு. 1560* – ஏ. பொ.ச.மு. 1450</t>
        </is>
      </c>
      <c r="F99" s="7" t="inlineStr">
        <is>
          <t>1560 BCE</t>
        </is>
      </c>
      <c r="G99" s="7" t="inlineStr">
        <is>
          <t>Approx. (c.)</t>
        </is>
      </c>
      <c r="H99" s="7" t="inlineStr">
        <is>
          <t>1450 BCE</t>
        </is>
      </c>
      <c r="I99" s="7" t="inlineStr">
        <is>
          <t>Approx. (c.)</t>
        </is>
      </c>
      <c r="J99" s="7" t="inlineStr">
        <is>
          <t>c. 110 years</t>
        </is>
      </c>
      <c r="K99" s="2" t="inlineStr">
        <is>
          <t>Life of Joshua</t>
        </is>
      </c>
      <c r="L99" s="2" t="n"/>
      <c r="M99" s="7" t="inlineStr">
        <is>
          <t>Joshua: from Birth of Joshua (approximate) (c. 1560 B.C.E.) to Death of Joshua (c. 1450 B.C.E.). Dates as given in the cited jw.org publications.</t>
        </is>
      </c>
      <c r="N99" s="7" t="n"/>
      <c r="O99" s="8" t="inlineStr">
        <is>
          <t>Bible</t>
        </is>
      </c>
      <c r="P99" s="7" t="inlineStr">
        <is>
          <t>bible.exodus_law</t>
        </is>
      </c>
      <c r="Q99" s="7" t="inlineStr">
        <is>
          <t>lifespan</t>
        </is>
      </c>
      <c r="R99" s="7" t="inlineStr">
        <is>
          <t>Joshua</t>
        </is>
      </c>
      <c r="S99" s="7" t="inlineStr">
        <is>
          <t>Timnath-serah</t>
        </is>
      </c>
      <c r="T99" s="7" t="inlineStr">
        <is>
          <t>Josh. 24:29; Josh. 24:29</t>
        </is>
      </c>
      <c r="U99" s="7" t="inlineStr">
        <is>
          <t>யோசு. 24:29</t>
        </is>
      </c>
      <c r="V99" s="7" t="n">
        <v>5</v>
      </c>
      <c r="W99" s="7" t="inlineStr">
        <is>
          <t>Section 1 Timeline</t>
        </is>
      </c>
      <c r="X99" s="9" t="inlineStr">
        <is>
          <t>open</t>
        </is>
      </c>
      <c r="Y99" s="9" t="inlineStr">
        <is>
          <t>open</t>
        </is>
      </c>
      <c r="Z99" s="7" t="inlineStr">
        <is>
          <t>https://wol.jw.org/en/wol/d/r1/lp-e/1102025962
https://wol.jw.org/en/wol/d/r1/lp-e/1200271562
https://wol.jw.org/en/wol/d/r1/lp-e/1101990130
https://wol.jw.org/en/wol/d/r1/lp-e/1101990067
https://wol.jw.org/en/wol/d/r1/lp-e/1200002523</t>
        </is>
      </c>
      <c r="AA99" s="7" t="n">
        <v>0</v>
      </c>
      <c r="AB99" s="7" t="n"/>
      <c r="AC99" s="7" t="n">
        <v>0</v>
      </c>
      <c r="AD99" s="7" t="n"/>
      <c r="AE99" s="7" t="inlineStr">
        <is>
          <t>Built from b2-0012 (start) and b2-0054 (end).</t>
        </is>
      </c>
      <c r="AF99" s="7" t="inlineStr">
        <is>
          <t>b2-0012</t>
        </is>
      </c>
      <c r="AG99" s="7" t="inlineStr">
        <is>
          <t>b2-0054</t>
        </is>
      </c>
      <c r="AH99" s="7" t="n"/>
      <c r="AI99" s="7" t="n"/>
      <c r="AJ99" s="7" t="n"/>
      <c r="AK99" s="7" t="n"/>
      <c r="AL99" s="7" t="n"/>
      <c r="AM99" s="7" t="n">
        <v>-1560</v>
      </c>
      <c r="AN99" s="10" t="n"/>
      <c r="AO99" s="10" t="n"/>
      <c r="AP99" s="10" t="n"/>
      <c r="AQ99" s="10" t="n"/>
    </row>
    <row r="100">
      <c r="A100" s="7" t="inlineStr">
        <is>
          <t>b2-0013</t>
        </is>
      </c>
      <c r="B100" s="7" t="inlineStr">
        <is>
          <t>Point</t>
        </is>
      </c>
      <c r="C100" s="7" t="n"/>
      <c r="D100" s="7" t="inlineStr">
        <is>
          <t>1553 B.C.E.</t>
        </is>
      </c>
      <c r="E100" s="7" t="inlineStr">
        <is>
          <t>பொ.ச.மு. 1553</t>
        </is>
      </c>
      <c r="F100" s="7" t="inlineStr">
        <is>
          <t>1553 BCE</t>
        </is>
      </c>
      <c r="G100" s="7" t="inlineStr">
        <is>
          <t>Exact</t>
        </is>
      </c>
      <c r="H100" s="7" t="n"/>
      <c r="I100" s="7" t="n"/>
      <c r="J100" s="7" t="n"/>
      <c r="K100" s="2" t="inlineStr">
        <is>
          <t>Moses offers himself as a deliverer; flees to Midian</t>
        </is>
      </c>
      <c r="L100" s="2" t="inlineStr">
        <is>
          <t>ஜனங்களை விடுவிக்க மோசே முன்வருதல்; மீதியானுக்கு ஓடிப்போகிறார்</t>
        </is>
      </c>
      <c r="M100" s="7" t="inlineStr">
        <is>
          <t>At 40 years of age Moses struck down an Egyptian who was beating a Hebrew; when Pharaoh sought to kill him, he fled to Midian, where he lived 40 years.</t>
        </is>
      </c>
      <c r="N100" s="7" t="n"/>
      <c r="O100" s="8" t="inlineStr">
        <is>
          <t>Bible</t>
        </is>
      </c>
      <c r="P100" s="7" t="inlineStr">
        <is>
          <t>bible.exodus_law</t>
        </is>
      </c>
      <c r="Q100" s="7" t="inlineStr">
        <is>
          <t>journey</t>
        </is>
      </c>
      <c r="R100" s="7" t="inlineStr">
        <is>
          <t>Moses</t>
        </is>
      </c>
      <c r="S100" s="7" t="inlineStr">
        <is>
          <t>Egypt; Midian</t>
        </is>
      </c>
      <c r="T100" s="7" t="inlineStr">
        <is>
          <t>Ex. 2:11, 14, 15; Acts 7:23</t>
        </is>
      </c>
      <c r="U100" s="7" t="inlineStr">
        <is>
          <t>யாத். 2:11, 14, 15; அப். 7:23</t>
        </is>
      </c>
      <c r="V100" s="7" t="n">
        <v>2</v>
      </c>
      <c r="W100" s="7" t="inlineStr">
        <is>
          <t>Study Number 3—Measuring Events in the Stream of Time</t>
        </is>
      </c>
      <c r="X100" s="9" t="inlineStr">
        <is>
          <t>open</t>
        </is>
      </c>
      <c r="Y100" s="9" t="inlineStr">
        <is>
          <t>open</t>
        </is>
      </c>
      <c r="Z100" s="7" t="inlineStr">
        <is>
          <t>https://wol.jw.org/en/wol/d/r1/lp-e/1101990130
https://wol.jw.org/en/wol/d/r1/lp-e/1200271562</t>
        </is>
      </c>
      <c r="AA100" s="7" t="n">
        <v>0</v>
      </c>
      <c r="AB100" s="7" t="n"/>
      <c r="AC100" s="7" t="n">
        <v>0</v>
      </c>
      <c r="AD100" s="7" t="n"/>
      <c r="AE100" s="7" t="n"/>
      <c r="AF100" s="7" t="n"/>
      <c r="AG100" s="7" t="n"/>
      <c r="AH100" s="7" t="n"/>
      <c r="AI100" s="7" t="n"/>
      <c r="AJ100" s="7" t="n"/>
      <c r="AK100" s="7" t="n"/>
      <c r="AL100" s="7" t="n"/>
      <c r="AM100" s="7" t="n">
        <v>-1553</v>
      </c>
      <c r="AN100" s="10" t="n"/>
      <c r="AO100" s="10" t="n"/>
      <c r="AP100" s="10" t="n"/>
      <c r="AQ100" s="10" t="n"/>
    </row>
    <row r="101">
      <c r="A101" s="7" t="inlineStr">
        <is>
          <t>b2-0014</t>
        </is>
      </c>
      <c r="B101" s="7" t="inlineStr">
        <is>
          <t>Point</t>
        </is>
      </c>
      <c r="C101" s="7" t="n"/>
      <c r="D101" s="7" t="inlineStr">
        <is>
          <t>1552 B.C.E.</t>
        </is>
      </c>
      <c r="E101" s="7" t="inlineStr">
        <is>
          <t>கி.மு. 1552</t>
        </is>
      </c>
      <c r="F101" s="7" t="inlineStr">
        <is>
          <t>1552 BCE</t>
        </is>
      </c>
      <c r="G101" s="7" t="inlineStr">
        <is>
          <t>Exact</t>
        </is>
      </c>
      <c r="H101" s="7" t="n"/>
      <c r="I101" s="7" t="n"/>
      <c r="J101" s="7" t="n"/>
      <c r="K101" s="2" t="inlineStr">
        <is>
          <t>Birth of Caleb</t>
        </is>
      </c>
      <c r="L101" s="2" t="n"/>
      <c r="M101" s="7" t="inlineStr">
        <is>
          <t>Caleb son of Jephunneh, of the tribe of Judah, was born; he was 40 when sent as a spy in 1512 B.C.E.</t>
        </is>
      </c>
      <c r="N101" s="7" t="n"/>
      <c r="O101" s="8" t="inlineStr">
        <is>
          <t>Bible</t>
        </is>
      </c>
      <c r="P101" s="7" t="inlineStr">
        <is>
          <t>bible.exodus_law</t>
        </is>
      </c>
      <c r="Q101" s="7" t="inlineStr">
        <is>
          <t>birth</t>
        </is>
      </c>
      <c r="R101" s="7" t="inlineStr">
        <is>
          <t>Caleb</t>
        </is>
      </c>
      <c r="S101" s="7" t="n"/>
      <c r="T101" s="7" t="inlineStr">
        <is>
          <t>Josh. 14:7</t>
        </is>
      </c>
      <c r="U101" s="7" t="n"/>
      <c r="V101" s="7" t="n">
        <v>2</v>
      </c>
      <c r="W101" s="7" t="inlineStr">
        <is>
          <t>Section 1 Timeline</t>
        </is>
      </c>
      <c r="X101" s="9" t="inlineStr">
        <is>
          <t>open</t>
        </is>
      </c>
      <c r="Y101" s="9" t="inlineStr">
        <is>
          <t>open</t>
        </is>
      </c>
      <c r="Z101" s="7" t="inlineStr">
        <is>
          <t>https://wol.jw.org/en/wol/d/r1/lp-e/1102025962
https://wol.jw.org/en/wol/d/r1/lp-e/1200271562</t>
        </is>
      </c>
      <c r="AA101" s="7" t="n">
        <v>0</v>
      </c>
      <c r="AB101" s="7" t="n"/>
      <c r="AC101" s="7" t="n">
        <v>0</v>
      </c>
      <c r="AD101" s="7" t="n"/>
      <c r="AE101" s="7" t="n"/>
      <c r="AF101" s="7" t="n"/>
      <c r="AG101" s="7" t="n"/>
      <c r="AH101" s="7" t="n"/>
      <c r="AI101" s="7" t="inlineStr">
        <is>
          <t>Covered by span – hide on chart</t>
        </is>
      </c>
      <c r="AJ101" s="7" t="inlineStr">
        <is>
          <t>start of Life of Caleb (d1-0020)</t>
        </is>
      </c>
      <c r="AK101" s="7" t="n"/>
      <c r="AL101" s="7" t="n"/>
      <c r="AM101" s="7" t="n">
        <v>-1552</v>
      </c>
      <c r="AN101" s="10" t="n"/>
      <c r="AO101" s="10" t="n"/>
      <c r="AP101" s="10" t="n"/>
      <c r="AQ101" s="10" t="n"/>
    </row>
    <row r="102">
      <c r="A102" s="7" t="inlineStr">
        <is>
          <t>d1-0020</t>
        </is>
      </c>
      <c r="B102" s="11" t="inlineStr">
        <is>
          <t>Span</t>
        </is>
      </c>
      <c r="C102" s="7" t="inlineStr">
        <is>
          <t>lifespan</t>
        </is>
      </c>
      <c r="D102" s="7" t="inlineStr">
        <is>
          <t>1552 B.C.E. – c. 1450 B.C.E.</t>
        </is>
      </c>
      <c r="E102" s="7" t="inlineStr">
        <is>
          <t>கி.மு. 1552 – கி.மு. 1450*</t>
        </is>
      </c>
      <c r="F102" s="7" t="inlineStr">
        <is>
          <t>1552 BCE</t>
        </is>
      </c>
      <c r="G102" s="7" t="inlineStr">
        <is>
          <t>Exact</t>
        </is>
      </c>
      <c r="H102" s="7" t="inlineStr">
        <is>
          <t>1450 BCE</t>
        </is>
      </c>
      <c r="I102" s="7" t="inlineStr">
        <is>
          <t>Approx. (c.)</t>
        </is>
      </c>
      <c r="J102" s="7" t="inlineStr">
        <is>
          <t>c. 102 years</t>
        </is>
      </c>
      <c r="K102" s="2" t="inlineStr">
        <is>
          <t>Life of Caleb</t>
        </is>
      </c>
      <c r="L102" s="2" t="n"/>
      <c r="M102" s="7" t="inlineStr">
        <is>
          <t>Caleb: from Birth of Caleb (1552 B.C.E.) to Death of Caleb (approximate) (c. 1450 B.C.E.). Dates as given in the cited jw.org publications.</t>
        </is>
      </c>
      <c r="N102" s="7" t="n"/>
      <c r="O102" s="8" t="inlineStr">
        <is>
          <t>Bible</t>
        </is>
      </c>
      <c r="P102" s="7" t="inlineStr">
        <is>
          <t>bible.exodus_law</t>
        </is>
      </c>
      <c r="Q102" s="7" t="inlineStr">
        <is>
          <t>lifespan</t>
        </is>
      </c>
      <c r="R102" s="7" t="inlineStr">
        <is>
          <t>Caleb</t>
        </is>
      </c>
      <c r="S102" s="7" t="n"/>
      <c r="T102" s="7" t="inlineStr">
        <is>
          <t>Josh. 14:7; Josh. 14:10, 11</t>
        </is>
      </c>
      <c r="U102" s="7" t="n"/>
      <c r="V102" s="7" t="n">
        <v>2</v>
      </c>
      <c r="W102" s="7" t="inlineStr">
        <is>
          <t>Section 1 Timeline</t>
        </is>
      </c>
      <c r="X102" s="9" t="inlineStr">
        <is>
          <t>open</t>
        </is>
      </c>
      <c r="Y102" s="9" t="inlineStr">
        <is>
          <t>open</t>
        </is>
      </c>
      <c r="Z102" s="7" t="inlineStr">
        <is>
          <t>https://wol.jw.org/en/wol/d/r1/lp-e/1102025962
https://wol.jw.org/en/wol/d/r1/lp-e/1200271562</t>
        </is>
      </c>
      <c r="AA102" s="7" t="n">
        <v>0</v>
      </c>
      <c r="AB102" s="7" t="n"/>
      <c r="AC102" s="7" t="n">
        <v>0</v>
      </c>
      <c r="AD102" s="7" t="n"/>
      <c r="AE102" s="7" t="inlineStr">
        <is>
          <t>Built from b2-0014 (start) and b2-0056 (end).</t>
        </is>
      </c>
      <c r="AF102" s="7" t="inlineStr">
        <is>
          <t>b2-0014</t>
        </is>
      </c>
      <c r="AG102" s="7" t="inlineStr">
        <is>
          <t>b2-0056</t>
        </is>
      </c>
      <c r="AH102" s="7" t="n"/>
      <c r="AI102" s="7" t="n"/>
      <c r="AJ102" s="7" t="n"/>
      <c r="AK102" s="7" t="n"/>
      <c r="AL102" s="7" t="n"/>
      <c r="AM102" s="7" t="n">
        <v>-1552</v>
      </c>
      <c r="AN102" s="10" t="n"/>
      <c r="AO102" s="10" t="n"/>
      <c r="AP102" s="10" t="n"/>
      <c r="AQ102" s="10" t="n"/>
    </row>
    <row r="103">
      <c r="A103" s="7" t="inlineStr">
        <is>
          <t>b2-0015</t>
        </is>
      </c>
      <c r="B103" s="7" t="inlineStr">
        <is>
          <t>Point</t>
        </is>
      </c>
      <c r="C103" s="7" t="n"/>
      <c r="D103" s="7" t="inlineStr">
        <is>
          <t>c. 1514 B.C.E.</t>
        </is>
      </c>
      <c r="E103" s="7" t="inlineStr">
        <is>
          <t>ஏ. பொ.ச.மு. 1514</t>
        </is>
      </c>
      <c r="F103" s="7" t="inlineStr">
        <is>
          <t>1514 BCE</t>
        </is>
      </c>
      <c r="G103" s="7" t="inlineStr">
        <is>
          <t>Approx. (c.)</t>
        </is>
      </c>
      <c r="H103" s="7" t="n"/>
      <c r="I103" s="7" t="n"/>
      <c r="J103" s="7" t="n"/>
      <c r="K103" s="2" t="inlineStr">
        <is>
          <t>Moses at the burning thornbush</t>
        </is>
      </c>
      <c r="L103" s="2" t="inlineStr">
        <is>
          <t>எரியும் முட்புதரின் அருகில் மோசே</t>
        </is>
      </c>
      <c r="M103" s="7" t="inlineStr">
        <is>
          <t>At Mount Horeb, Jehovah spoke to Moses from a burning thornbush and commissioned him to bring Israel out of Egypt.</t>
        </is>
      </c>
      <c r="N103" s="7" t="n"/>
      <c r="O103" s="8" t="inlineStr">
        <is>
          <t>Bible</t>
        </is>
      </c>
      <c r="P103" s="7" t="inlineStr">
        <is>
          <t>bible.exodus_law</t>
        </is>
      </c>
      <c r="Q103" s="7" t="inlineStr">
        <is>
          <t>commission</t>
        </is>
      </c>
      <c r="R103" s="7" t="inlineStr">
        <is>
          <t>Moses</t>
        </is>
      </c>
      <c r="S103" s="7" t="inlineStr">
        <is>
          <t>Horeb; Midian</t>
        </is>
      </c>
      <c r="T103" s="7" t="inlineStr">
        <is>
          <t>Ex. 3:2</t>
        </is>
      </c>
      <c r="U103" s="7" t="inlineStr">
        <is>
          <t>யாத். 3:2</t>
        </is>
      </c>
      <c r="V103" s="7" t="n">
        <v>2</v>
      </c>
      <c r="W103" s="7" t="inlineStr">
        <is>
          <t>Study Number 3—Measuring Events in the Stream of Time</t>
        </is>
      </c>
      <c r="X103" s="9" t="inlineStr">
        <is>
          <t>open</t>
        </is>
      </c>
      <c r="Y103" s="9" t="inlineStr">
        <is>
          <t>open</t>
        </is>
      </c>
      <c r="Z103" s="7" t="inlineStr">
        <is>
          <t>https://wol.jw.org/en/wol/d/r1/lp-e/1101990130
https://wol.jw.org/en/wol/d/r1/lp-e/1200271562</t>
        </is>
      </c>
      <c r="AA103" s="7" t="n">
        <v>0</v>
      </c>
      <c r="AB103" s="7" t="n"/>
      <c r="AC103" s="7" t="n">
        <v>0</v>
      </c>
      <c r="AD103" s="7" t="n"/>
      <c r="AE103" s="7" t="n"/>
      <c r="AF103" s="7" t="n"/>
      <c r="AG103" s="7" t="n"/>
      <c r="AH103" s="7" t="n"/>
      <c r="AI103" s="7" t="n"/>
      <c r="AJ103" s="7" t="n"/>
      <c r="AK103" s="7" t="n"/>
      <c r="AL103" s="7" t="n"/>
      <c r="AM103" s="7" t="n">
        <v>-1514</v>
      </c>
      <c r="AN103" s="10" t="n"/>
      <c r="AO103" s="10" t="n"/>
      <c r="AP103" s="10" t="n"/>
      <c r="AQ103" s="10" t="n"/>
    </row>
    <row r="104">
      <c r="A104" s="7" t="inlineStr">
        <is>
          <t>b11-0002</t>
        </is>
      </c>
      <c r="B104" s="7" t="inlineStr">
        <is>
          <t>Point</t>
        </is>
      </c>
      <c r="C104" s="7" t="n"/>
      <c r="D104" s="7" t="inlineStr">
        <is>
          <t>1513 B.C.E.</t>
        </is>
      </c>
      <c r="E104" s="7" t="inlineStr">
        <is>
          <t>கி.மு. 1513</t>
        </is>
      </c>
      <c r="F104" s="7" t="inlineStr">
        <is>
          <t>1513 BCE</t>
        </is>
      </c>
      <c r="G104" s="7" t="inlineStr">
        <is>
          <t>Exact</t>
        </is>
      </c>
      <c r="H104" s="7" t="n"/>
      <c r="I104" s="7" t="n"/>
      <c r="J104" s="7" t="n"/>
      <c r="K104" s="2" t="inlineStr">
        <is>
          <t>Writing of Genesis completed</t>
        </is>
      </c>
      <c r="L104" s="2" t="inlineStr">
        <is>
          <t>ஆதியாகமம் — எழுதி முடிக்கப்பட்டது</t>
        </is>
      </c>
      <c r="M104" s="7" t="inlineStr">
        <is>
          <t>The writing of Genesis was completed in 1513 B.C.E. Writer: Moses; place written: Wilderness. Time covered: “In the beginning” to 1657 B.C.E.</t>
        </is>
      </c>
      <c r="N104" s="7" t="inlineStr">
        <is>
          <t>ஆதியாகமம்: எழுதியவர்(கள்): மோசே; எழுதப்பட்ட இடம்: வனாந்தரம்; முடிக்கப்பட்ட வருஷம் (கி.மு.): 1513; காலப்பகுதி (கி.மு.): ‘ஆரம்பத்திலிருந்து’ 1657 வரை.</t>
        </is>
      </c>
      <c r="O104" s="8" t="inlineStr">
        <is>
          <t>Bible</t>
        </is>
      </c>
      <c r="P104" s="7" t="inlineStr">
        <is>
          <t>bible.book_writing</t>
        </is>
      </c>
      <c r="Q104" s="7" t="inlineStr">
        <is>
          <t>writing_completed</t>
        </is>
      </c>
      <c r="R104" s="7" t="inlineStr">
        <is>
          <t>Moses</t>
        </is>
      </c>
      <c r="S104" s="7" t="inlineStr">
        <is>
          <t>Wilderness</t>
        </is>
      </c>
      <c r="T104" s="7" t="inlineStr">
        <is>
          <t>Gen.</t>
        </is>
      </c>
      <c r="U104" s="7" t="inlineStr">
        <is>
          <t>ஆதி.</t>
        </is>
      </c>
      <c r="V104" s="7" t="n">
        <v>4</v>
      </c>
      <c r="W104" s="7" t="inlineStr">
        <is>
          <t>Table of the Books of the Bible</t>
        </is>
      </c>
      <c r="X104" s="9" t="inlineStr">
        <is>
          <t>open</t>
        </is>
      </c>
      <c r="Y104" s="9" t="inlineStr">
        <is>
          <t>open</t>
        </is>
      </c>
      <c r="Z104" s="7" t="inlineStr">
        <is>
          <t>https://wol.jw.org/en/wol/d/r1/lp-e/1001070071
https://wol.jw.org/en/wol/d/r1/lp-e/1101990062
https://www.jw.org/en/library/bible/study-bible/books-of-the-bible-list/
https://wol.jw.org/en/wol/d/r1/lp-e/1001060002</t>
        </is>
      </c>
      <c r="AA104" s="7" t="n">
        <v>0</v>
      </c>
      <c r="AB104" s="7" t="n"/>
      <c r="AC104" s="7" t="n">
        <v>0</v>
      </c>
      <c r="AD104" s="7" t="n"/>
      <c r="AE104" s="7" t="n"/>
      <c r="AF104" s="7" t="n"/>
      <c r="AG104" s="7" t="n"/>
      <c r="AH104" s="7" t="n"/>
      <c r="AI104" s="7" t="n"/>
      <c r="AJ104" s="7" t="n"/>
      <c r="AK104" s="7" t="inlineStr">
        <is>
          <t>bible-books-written #1 (item)</t>
        </is>
      </c>
      <c r="AL104" s="7" t="inlineStr">
        <is>
          <t>Writer(s): Moses. Place written: Wilderness. Writing completed: 1513 B.C.E. Time covered: “In the beginning” to 1657 B.C.E.</t>
        </is>
      </c>
      <c r="AM104" s="7" t="n">
        <v>-1512.9999</v>
      </c>
      <c r="AN104" s="10" t="n"/>
      <c r="AO104" s="10" t="n"/>
      <c r="AP104" s="10" t="n"/>
      <c r="AQ104" s="10" t="n"/>
    </row>
    <row r="105">
      <c r="A105" s="7" t="inlineStr">
        <is>
          <t>b2-0016</t>
        </is>
      </c>
      <c r="B105" s="7" t="inlineStr">
        <is>
          <t>Point</t>
        </is>
      </c>
      <c r="C105" s="7" t="n"/>
      <c r="D105" s="7" t="inlineStr">
        <is>
          <t>1513 B.C.E. (before Nisan 15)</t>
        </is>
      </c>
      <c r="E105" s="7" t="n"/>
      <c r="F105" s="7" t="inlineStr">
        <is>
          <t>1513 BCE</t>
        </is>
      </c>
      <c r="G105" s="7" t="inlineStr">
        <is>
          <t>Before (b.)</t>
        </is>
      </c>
      <c r="H105" s="7" t="n"/>
      <c r="I105" s="7" t="n"/>
      <c r="J105" s="7" t="n"/>
      <c r="K105" s="2" t="inlineStr">
        <is>
          <t>Ten Plagues on Egypt</t>
        </is>
      </c>
      <c r="L105" s="2" t="inlineStr">
        <is>
          <t>பஸ்கா; இஸ்ரவேலர் எகிப்தைவிட்டு வெளியேறுகின்றனர்; செங்கடலை பிளந்து கடவுள் விடுவிக்கிறார்; எகிப்தின் வல்லமை கவிழ்க்கப்பட்டது; 400 வருட துன்ப காலம் முடிந்தது</t>
        </is>
      </c>
      <c r="M105" s="7" t="inlineStr">
        <is>
          <t>Through Moses and Aaron, Jehovah brought ten plagues on Egypt, executing judgment on Egypt's gods and leading to Israel's release.</t>
        </is>
      </c>
      <c r="N105" s="7" t="n"/>
      <c r="O105" s="8" t="inlineStr">
        <is>
          <t>Bible</t>
        </is>
      </c>
      <c r="P105" s="7" t="inlineStr">
        <is>
          <t>bible.exodus_law</t>
        </is>
      </c>
      <c r="Q105" s="7" t="inlineStr">
        <is>
          <t>judgment</t>
        </is>
      </c>
      <c r="R105" s="7" t="inlineStr">
        <is>
          <t>Moses; Aaron; Pharaoh</t>
        </is>
      </c>
      <c r="S105" s="7" t="inlineStr">
        <is>
          <t>Egypt</t>
        </is>
      </c>
      <c r="T105" s="7" t="inlineStr">
        <is>
          <t>Ex. 7:14–12:30; Ex. 12:12</t>
        </is>
      </c>
      <c r="U105" s="7" t="n"/>
      <c r="V105" s="7" t="n">
        <v>2</v>
      </c>
      <c r="W105" s="7" t="inlineStr">
        <is>
          <t>Exodus From Egypt (feature)</t>
        </is>
      </c>
      <c r="X105" s="9" t="inlineStr">
        <is>
          <t>open</t>
        </is>
      </c>
      <c r="Y105" s="7" t="n"/>
      <c r="Z105" s="7" t="inlineStr">
        <is>
          <t>https://wol.jw.org/en/wol/d/r1/lp-e/1200001065
https://wol.jw.org/en/wol/d/r1/lp-e/1200003118</t>
        </is>
      </c>
      <c r="AA105" s="7" t="n">
        <v>0</v>
      </c>
      <c r="AB105" s="7" t="n"/>
      <c r="AC105" s="7" t="n">
        <v>0</v>
      </c>
      <c r="AD105" s="7" t="n"/>
      <c r="AE105" s="7" t="n"/>
      <c r="AF105" s="7" t="n"/>
      <c r="AG105" s="7" t="n"/>
      <c r="AH105" s="7" t="n"/>
      <c r="AI105" s="7" t="n"/>
      <c r="AJ105" s="7" t="n"/>
      <c r="AK105" s="7" t="n"/>
      <c r="AL105" s="7" t="inlineStr">
        <is>
          <t>Sources give no separate dates for the individual plagues; the tenth plague came on Passover night, Nisan 14, 1513 B.C.E. [title_ta from owner's Tamil sheet]</t>
        </is>
      </c>
      <c r="AM105" s="7" t="n">
        <v>-1512.76</v>
      </c>
      <c r="AN105" s="10" t="n"/>
      <c r="AO105" s="10" t="n"/>
      <c r="AP105" s="10" t="n"/>
      <c r="AQ105" s="10" t="n"/>
    </row>
    <row r="106">
      <c r="A106" s="7" t="inlineStr">
        <is>
          <t>b2-0017</t>
        </is>
      </c>
      <c r="B106" s="7" t="inlineStr">
        <is>
          <t>Point</t>
        </is>
      </c>
      <c r="C106" s="7" t="n"/>
      <c r="D106" s="7" t="inlineStr">
        <is>
          <t>1513 B.C.E., Nisan 14</t>
        </is>
      </c>
      <c r="E106" s="7" t="inlineStr">
        <is>
          <t>பொ.ச.மு. 1513</t>
        </is>
      </c>
      <c r="F106" s="7" t="inlineStr">
        <is>
          <t>1513 BCE</t>
        </is>
      </c>
      <c r="G106" s="7" t="inlineStr">
        <is>
          <t>Exact</t>
        </is>
      </c>
      <c r="H106" s="7" t="n"/>
      <c r="I106" s="7" t="n"/>
      <c r="J106" s="7" t="n"/>
      <c r="K106" s="2" t="inlineStr">
        <is>
          <t>Passover; Israelites leave Egypt</t>
        </is>
      </c>
      <c r="L106" s="2" t="inlineStr">
        <is>
          <t>பஸ்கா; இஸ்ரவேலர் எகிப்தைவிட்டு வெளியேறுகின்றனர்</t>
        </is>
      </c>
      <c r="M106" s="7" t="inlineStr">
        <is>
          <t>On Nisan 14 the first Passover was observed and Jehovah's angel killed Egypt's firstborn; Israel's deliverance from Egypt that day ended the 400-year affliction and the 430-year period from the validating of the Abrahamic covenant.</t>
        </is>
      </c>
      <c r="N106" s="7" t="n"/>
      <c r="O106" s="8" t="inlineStr">
        <is>
          <t>Bible</t>
        </is>
      </c>
      <c r="P106" s="7" t="inlineStr">
        <is>
          <t>bible.exodus_law</t>
        </is>
      </c>
      <c r="Q106" s="7" t="inlineStr">
        <is>
          <t>deliverance</t>
        </is>
      </c>
      <c r="R106" s="7" t="inlineStr">
        <is>
          <t>Moses; Aaron</t>
        </is>
      </c>
      <c r="S106" s="7" t="inlineStr">
        <is>
          <t>Egypt; Rameses</t>
        </is>
      </c>
      <c r="T106" s="7" t="inlineStr">
        <is>
          <t>Ex. 12:12; Ex. 12:40, 41; Gen. 15:13, 14; Gal. 3:17</t>
        </is>
      </c>
      <c r="U106" s="7" t="inlineStr">
        <is>
          <t>யாத். 12:12; ஆதி. 15:13, 14; கலா. 3:17</t>
        </is>
      </c>
      <c r="V106" s="7" t="n">
        <v>6</v>
      </c>
      <c r="W106" s="7" t="inlineStr">
        <is>
          <t>Study Number 3—Measuring Events in the Stream of Time</t>
        </is>
      </c>
      <c r="X106" s="9" t="inlineStr">
        <is>
          <t>open</t>
        </is>
      </c>
      <c r="Y106" s="9" t="inlineStr">
        <is>
          <t>open</t>
        </is>
      </c>
      <c r="Z106" s="7" t="inlineStr">
        <is>
          <t>https://wol.jw.org/en/wol/d/r1/lp-e/1101990130
https://wol.jw.org/en/wol/d/r1/lp-e/1200003397
https://wol.jw.org/en/wol/d/r1/lp-e/1200001054
https://wol.jw.org/en/wol/d/r1/lp-e/1200000970
https://wol.jw.org/en/wol/d/r1/lp-e/1001061223
https://wol.jw.org/en/wol/d/r1/lp-e/1102025962</t>
        </is>
      </c>
      <c r="AA106" s="7" t="n">
        <v>2</v>
      </c>
      <c r="AB106" s="9" t="inlineStr">
        <is>
          <t>open</t>
        </is>
      </c>
      <c r="AC106" s="7" t="n">
        <v>0</v>
      </c>
      <c r="AD106" s="7" t="n"/>
      <c r="AE106" s="7" t="n"/>
      <c r="AF106" s="7" t="n"/>
      <c r="AG106" s="7" t="n"/>
      <c r="AH106" s="7" t="n"/>
      <c r="AI106" s="7" t="inlineStr">
        <is>
          <t>Span endpoint – keep</t>
        </is>
      </c>
      <c r="AJ106" s="7" t="inlineStr">
        <is>
          <t>end of The 400 years of affliction of Abraham’s seed (b12-0004); end of Israel’s residence in Egypt (b12-0005); start of Israel’s 40 years in the wilderness (b12-0007)</t>
        </is>
      </c>
      <c r="AK106" s="7" t="inlineStr">
        <is>
          <t>exodus-route #1 (item)</t>
        </is>
      </c>
      <c r="AL106" s="7" t="n"/>
      <c r="AM106" s="7" t="n">
        <v>-1512.75</v>
      </c>
      <c r="AN106" s="10" t="n"/>
      <c r="AO106" s="10" t="n"/>
      <c r="AP106" s="10" t="n"/>
      <c r="AQ106" s="10" t="n"/>
    </row>
    <row r="107">
      <c r="A107" s="7" t="inlineStr">
        <is>
          <t>b12-0007</t>
        </is>
      </c>
      <c r="B107" s="11" t="inlineStr">
        <is>
          <t>Span</t>
        </is>
      </c>
      <c r="C107" s="7" t="inlineStr">
        <is>
          <t>journey</t>
        </is>
      </c>
      <c r="D107" s="7" t="inlineStr">
        <is>
          <t>1513 B.C.E.–1473 B.C.E.</t>
        </is>
      </c>
      <c r="E107" s="7" t="n"/>
      <c r="F107" s="7" t="inlineStr">
        <is>
          <t>1513 BCE</t>
        </is>
      </c>
      <c r="G107" s="7" t="inlineStr">
        <is>
          <t>Exact</t>
        </is>
      </c>
      <c r="H107" s="7" t="inlineStr">
        <is>
          <t>1473 BCE</t>
        </is>
      </c>
      <c r="I107" s="7" t="inlineStr">
        <is>
          <t>Exact</t>
        </is>
      </c>
      <c r="J107" s="7" t="inlineStr">
        <is>
          <t>40 years</t>
        </is>
      </c>
      <c r="K107" s="2" t="inlineStr">
        <is>
          <t>Israel’s 40 years in the wilderness</t>
        </is>
      </c>
      <c r="L107" s="2" t="n"/>
      <c r="M107" s="7" t="inlineStr">
        <is>
          <t>From the Exodus until they crossed the Jordan into Canaan, the Israelites wandered in the wilderness for about 40 years, as Jehovah had decreed at Numbers 14:33, 34.</t>
        </is>
      </c>
      <c r="N107" s="7" t="n"/>
      <c r="O107" s="8" t="inlineStr">
        <is>
          <t>Bible</t>
        </is>
      </c>
      <c r="P107" s="7" t="inlineStr">
        <is>
          <t>bible.exodus_law</t>
        </is>
      </c>
      <c r="Q107" s="7" t="n"/>
      <c r="R107" s="7" t="n"/>
      <c r="S107" s="7" t="inlineStr">
        <is>
          <t>Wilderness of Sinai</t>
        </is>
      </c>
      <c r="T107" s="7" t="inlineStr">
        <is>
          <t>Num. 14:33, 34; Deut. 2:7; Josh. 4:19</t>
        </is>
      </c>
      <c r="U107" s="7" t="inlineStr">
        <is>
          <t>எண். 14:33, 34; உபா. 2:7; யோசு. 4:19</t>
        </is>
      </c>
      <c r="V107" s="7" t="n">
        <v>2</v>
      </c>
      <c r="W107" s="7" t="inlineStr">
        <is>
          <t>Chronology</t>
        </is>
      </c>
      <c r="X107" s="9" t="inlineStr">
        <is>
          <t>open</t>
        </is>
      </c>
      <c r="Y107" s="7" t="n"/>
      <c r="Z107" s="7" t="inlineStr">
        <is>
          <t>https://wol.jw.org/en/wol/d/r1/lp-e/1200000970
https://wol.jw.org/en/wol/d/r1/lp-e/1200000970</t>
        </is>
      </c>
      <c r="AA107" s="7" t="n">
        <v>0</v>
      </c>
      <c r="AB107" s="7" t="n"/>
      <c r="AC107" s="7" t="n">
        <v>0</v>
      </c>
      <c r="AD107" s="7" t="n"/>
      <c r="AE107" s="7" t="n"/>
      <c r="AF107" s="7" t="inlineStr">
        <is>
          <t>b2-0017</t>
        </is>
      </c>
      <c r="AG107" s="7" t="inlineStr">
        <is>
          <t>b2-0045</t>
        </is>
      </c>
      <c r="AH107" s="7" t="n"/>
      <c r="AI107" s="7" t="n"/>
      <c r="AJ107" s="7" t="n"/>
      <c r="AK107" s="7" t="inlineStr">
        <is>
          <t>exodus-route #7 (context)</t>
        </is>
      </c>
      <c r="AL107" s="7" t="n"/>
      <c r="AM107" s="7" t="n">
        <v>-1512.75</v>
      </c>
      <c r="AN107" s="10" t="n"/>
      <c r="AO107" s="10" t="n"/>
      <c r="AP107" s="10" t="n"/>
      <c r="AQ107" s="10" t="n"/>
    </row>
    <row r="108">
      <c r="A108" s="7" t="inlineStr">
        <is>
          <t>b2-0018</t>
        </is>
      </c>
      <c r="B108" s="7" t="inlineStr">
        <is>
          <t>Point</t>
        </is>
      </c>
      <c r="C108" s="7" t="n"/>
      <c r="D108" s="7" t="inlineStr">
        <is>
          <t>1513 B.C.E., Nisan 15</t>
        </is>
      </c>
      <c r="E108" s="7" t="n"/>
      <c r="F108" s="7" t="inlineStr">
        <is>
          <t>1513 BCE</t>
        </is>
      </c>
      <c r="G108" s="7" t="inlineStr">
        <is>
          <t>Exact</t>
        </is>
      </c>
      <c r="H108" s="7" t="n"/>
      <c r="I108" s="7" t="n"/>
      <c r="J108" s="7" t="n"/>
      <c r="K108" s="2" t="inlineStr">
        <is>
          <t>Israel departs from Rameses</t>
        </is>
      </c>
      <c r="L108" s="2" t="n"/>
      <c r="M108" s="7" t="inlineStr">
        <is>
          <t>As a group Israel marched out from Rameses in Egypt, heading east toward Succoth.</t>
        </is>
      </c>
      <c r="N108" s="7" t="n"/>
      <c r="O108" s="8" t="inlineStr">
        <is>
          <t>Bible</t>
        </is>
      </c>
      <c r="P108" s="7" t="inlineStr">
        <is>
          <t>bible.exodus_law</t>
        </is>
      </c>
      <c r="Q108" s="7" t="inlineStr">
        <is>
          <t>journey</t>
        </is>
      </c>
      <c r="R108" s="7" t="n"/>
      <c r="S108" s="7" t="inlineStr">
        <is>
          <t>Rameses; Succoth</t>
        </is>
      </c>
      <c r="T108" s="7" t="inlineStr">
        <is>
          <t>Num. 33:3; Ex. 12:37</t>
        </is>
      </c>
      <c r="U108" s="7" t="n"/>
      <c r="V108" s="7" t="n">
        <v>2</v>
      </c>
      <c r="W108" s="7" t="inlineStr">
        <is>
          <t>Exodus From Egypt (feature)</t>
        </is>
      </c>
      <c r="X108" s="9" t="inlineStr">
        <is>
          <t>open</t>
        </is>
      </c>
      <c r="Y108" s="7" t="n"/>
      <c r="Z108" s="7" t="inlineStr">
        <is>
          <t>https://wol.jw.org/en/wol/d/r1/lp-e/1200001065
https://wol.jw.org/en/wol/d/r1/lp-e/1200271562</t>
        </is>
      </c>
      <c r="AA108" s="7" t="n">
        <v>0</v>
      </c>
      <c r="AB108" s="7" t="n"/>
      <c r="AC108" s="7" t="n">
        <v>1</v>
      </c>
      <c r="AD108" s="7" t="inlineStr">
        <is>
          <t>Insight 'Covenant' treats Nisan 14, 1513 B.C.E. as the day Israel was delivered from Egypt, while the 'Exodus From Egypt' feature dates the departure from Rameses to Nisan 15 (Num. 33:3).</t>
        </is>
      </c>
      <c r="AE108" s="7" t="n"/>
      <c r="AF108" s="7" t="n"/>
      <c r="AG108" s="7" t="n"/>
      <c r="AH108" s="7" t="n"/>
      <c r="AI108" s="7" t="n"/>
      <c r="AJ108" s="7" t="n"/>
      <c r="AK108" s="7" t="inlineStr">
        <is>
          <t>exodus-route #2 (context)</t>
        </is>
      </c>
      <c r="AL108" s="7" t="n"/>
      <c r="AM108" s="7" t="n">
        <v>-1512.74</v>
      </c>
      <c r="AN108" s="10" t="n"/>
      <c r="AO108" s="10" t="n"/>
      <c r="AP108" s="10" t="n"/>
      <c r="AQ108" s="10" t="n"/>
    </row>
    <row r="109">
      <c r="A109" s="7" t="inlineStr">
        <is>
          <t>b2-0019</t>
        </is>
      </c>
      <c r="B109" s="7" t="inlineStr">
        <is>
          <t>Point</t>
        </is>
      </c>
      <c r="C109" s="7" t="n"/>
      <c r="D109" s="7" t="inlineStr">
        <is>
          <t>1513 B.C.E., Nisan</t>
        </is>
      </c>
      <c r="E109" s="7" t="inlineStr">
        <is>
          <t>பொ.ச.மு. 1513</t>
        </is>
      </c>
      <c r="F109" s="7" t="inlineStr">
        <is>
          <t>1513 BCE</t>
        </is>
      </c>
      <c r="G109" s="7" t="inlineStr">
        <is>
          <t>Exact</t>
        </is>
      </c>
      <c r="H109" s="7" t="n"/>
      <c r="I109" s="7" t="n"/>
      <c r="J109" s="7" t="n"/>
      <c r="K109" s="2" t="inlineStr">
        <is>
          <t>Red Sea deliverance</t>
        </is>
      </c>
      <c r="L109" s="2" t="inlineStr">
        <is>
          <t>செங்கடலை பிளந்து கடவுள் விடுவிக்கிறார்; எகிப்தின் வல்லமை கவிழ்க்கப்பட்டது</t>
        </is>
      </c>
      <c r="M109" s="7" t="inlineStr">
        <is>
          <t>Jehovah split the Red Sea so Israel crossed on dry land, then destroyed Pharaoh and his army; Moses and Miriam led Israel in a victory song.</t>
        </is>
      </c>
      <c r="N109" s="7" t="n"/>
      <c r="O109" s="8" t="inlineStr">
        <is>
          <t>Bible</t>
        </is>
      </c>
      <c r="P109" s="7" t="inlineStr">
        <is>
          <t>bible.exodus_law</t>
        </is>
      </c>
      <c r="Q109" s="7" t="inlineStr">
        <is>
          <t>miracle</t>
        </is>
      </c>
      <c r="R109" s="7" t="inlineStr">
        <is>
          <t>Moses; Miriam; Pharaoh</t>
        </is>
      </c>
      <c r="S109" s="7" t="inlineStr">
        <is>
          <t>Red Sea; Pihahiroth</t>
        </is>
      </c>
      <c r="T109" s="7" t="inlineStr">
        <is>
          <t>Ex. 14:27, 29, 30; Ex. 15:1-21</t>
        </is>
      </c>
      <c r="U109" s="7" t="inlineStr">
        <is>
          <t>யாத். 14:27, 29, 30</t>
        </is>
      </c>
      <c r="V109" s="7" t="n">
        <v>3</v>
      </c>
      <c r="W109" s="7" t="inlineStr">
        <is>
          <t>Study Number 3—Measuring Events in the Stream of Time</t>
        </is>
      </c>
      <c r="X109" s="9" t="inlineStr">
        <is>
          <t>open</t>
        </is>
      </c>
      <c r="Y109" s="9" t="inlineStr">
        <is>
          <t>open</t>
        </is>
      </c>
      <c r="Z109" s="7" t="inlineStr">
        <is>
          <t>https://wol.jw.org/en/wol/d/r1/lp-e/1101990130
https://wol.jw.org/en/wol/d/r1/lp-e/1200271562
https://wol.jw.org/en/wol/d/r1/lp-e/1200001065</t>
        </is>
      </c>
      <c r="AA109" s="7" t="n">
        <v>3</v>
      </c>
      <c r="AB109" s="9" t="inlineStr">
        <is>
          <t>open</t>
        </is>
      </c>
      <c r="AC109" s="7" t="n">
        <v>0</v>
      </c>
      <c r="AD109" s="7" t="n"/>
      <c r="AE109" s="7" t="n"/>
      <c r="AF109" s="7" t="n"/>
      <c r="AG109" s="7" t="n"/>
      <c r="AH109" s="7" t="n"/>
      <c r="AI109" s="7" t="n"/>
      <c r="AJ109" s="7" t="n"/>
      <c r="AK109" s="7" t="inlineStr">
        <is>
          <t>exodus-route #3 (context)</t>
        </is>
      </c>
      <c r="AL109" s="7" t="n"/>
      <c r="AM109" s="7" t="n">
        <v>-1512.73</v>
      </c>
      <c r="AN109" s="10" t="n"/>
      <c r="AO109" s="10" t="n"/>
      <c r="AP109" s="10" t="n"/>
      <c r="AQ109" s="10" t="n"/>
    </row>
    <row r="110">
      <c r="A110" s="7" t="inlineStr">
        <is>
          <t>b2-0020</t>
        </is>
      </c>
      <c r="B110" s="7" t="inlineStr">
        <is>
          <t>Point</t>
        </is>
      </c>
      <c r="C110" s="7" t="n"/>
      <c r="D110" s="7" t="inlineStr">
        <is>
          <t>1513 B.C.E.</t>
        </is>
      </c>
      <c r="E110" s="7" t="n"/>
      <c r="F110" s="7" t="inlineStr">
        <is>
          <t>1513 BCE</t>
        </is>
      </c>
      <c r="G110" s="7" t="inlineStr">
        <is>
          <t>Exact</t>
        </is>
      </c>
      <c r="H110" s="7" t="n"/>
      <c r="I110" s="7" t="n"/>
      <c r="J110" s="7" t="n"/>
      <c r="K110" s="2" t="inlineStr">
        <is>
          <t>Joshua defeats the Amalekites at Rephidim</t>
        </is>
      </c>
      <c r="L110" s="2" t="n"/>
      <c r="M110" s="7" t="inlineStr">
        <is>
          <t>Shortly after the Red Sea deliverance, the Amalekites attacked Israel at Rephidim; Joshua led Israel's army to victory while Moses held up his hands.</t>
        </is>
      </c>
      <c r="N110" s="7" t="n"/>
      <c r="O110" s="8" t="inlineStr">
        <is>
          <t>Bible</t>
        </is>
      </c>
      <c r="P110" s="7" t="inlineStr">
        <is>
          <t>bible.exodus_law</t>
        </is>
      </c>
      <c r="Q110" s="7" t="inlineStr">
        <is>
          <t>battle</t>
        </is>
      </c>
      <c r="R110" s="7" t="inlineStr">
        <is>
          <t>Joshua; Moses</t>
        </is>
      </c>
      <c r="S110" s="7" t="inlineStr">
        <is>
          <t>Rephidim</t>
        </is>
      </c>
      <c r="T110" s="7" t="inlineStr">
        <is>
          <t>Ex. 17:8-14</t>
        </is>
      </c>
      <c r="U110" s="7" t="n"/>
      <c r="V110" s="7" t="n">
        <v>2</v>
      </c>
      <c r="W110" s="7" t="inlineStr">
        <is>
          <t>Joshua</t>
        </is>
      </c>
      <c r="X110" s="9" t="inlineStr">
        <is>
          <t>open</t>
        </is>
      </c>
      <c r="Y110" s="7" t="n"/>
      <c r="Z110" s="7" t="inlineStr">
        <is>
          <t>https://wol.jw.org/en/wol/d/r1/lp-e/1200002523
https://wol.jw.org/en/wol/d/r1/lp-e/1101990067</t>
        </is>
      </c>
      <c r="AA110" s="7" t="n">
        <v>0</v>
      </c>
      <c r="AB110" s="7" t="n"/>
      <c r="AC110" s="7" t="n">
        <v>0</v>
      </c>
      <c r="AD110" s="7" t="n"/>
      <c r="AE110" s="7" t="n"/>
      <c r="AF110" s="7" t="n"/>
      <c r="AG110" s="7" t="n"/>
      <c r="AH110" s="7" t="n"/>
      <c r="AI110" s="7" t="n"/>
      <c r="AJ110" s="7" t="n"/>
      <c r="AK110" s="7" t="inlineStr">
        <is>
          <t>exodus-route #5 (context)</t>
        </is>
      </c>
      <c r="AL110" s="7" t="n"/>
      <c r="AM110" s="7" t="n">
        <v>-1512.72</v>
      </c>
      <c r="AN110" s="10" t="n"/>
      <c r="AO110" s="10" t="n"/>
      <c r="AP110" s="10" t="n"/>
      <c r="AQ110" s="10" t="n"/>
    </row>
    <row r="111">
      <c r="A111" s="7" t="inlineStr">
        <is>
          <t>b2-0021</t>
        </is>
      </c>
      <c r="B111" s="7" t="inlineStr">
        <is>
          <t>Point</t>
        </is>
      </c>
      <c r="C111" s="7" t="n"/>
      <c r="D111" s="7" t="inlineStr">
        <is>
          <t>1513 B.C.E., Iyyar (2nd month)</t>
        </is>
      </c>
      <c r="E111" s="7" t="n"/>
      <c r="F111" s="7" t="inlineStr">
        <is>
          <t>1513 BCE</t>
        </is>
      </c>
      <c r="G111" s="7" t="inlineStr">
        <is>
          <t>Exact</t>
        </is>
      </c>
      <c r="H111" s="7" t="n"/>
      <c r="I111" s="7" t="n"/>
      <c r="J111" s="7" t="n"/>
      <c r="K111" s="2" t="inlineStr">
        <is>
          <t>Manna first provided in the wilderness of Sin</t>
        </is>
      </c>
      <c r="L111" s="2" t="n"/>
      <c r="M111" s="7" t="inlineStr">
        <is>
          <t>In the second month after leaving Egypt, Jehovah began providing manna, which fed Israel until they entered Canaan.</t>
        </is>
      </c>
      <c r="N111" s="7" t="n"/>
      <c r="O111" s="8" t="inlineStr">
        <is>
          <t>Bible</t>
        </is>
      </c>
      <c r="P111" s="7" t="inlineStr">
        <is>
          <t>bible.exodus_law</t>
        </is>
      </c>
      <c r="Q111" s="7" t="inlineStr">
        <is>
          <t>miracle</t>
        </is>
      </c>
      <c r="R111" s="7" t="n"/>
      <c r="S111" s="7" t="inlineStr">
        <is>
          <t>Wilderness of Sin</t>
        </is>
      </c>
      <c r="T111" s="7" t="inlineStr">
        <is>
          <t>Ex. 16:1-4; Ex. 16:35</t>
        </is>
      </c>
      <c r="U111" s="7" t="n"/>
      <c r="V111" s="7" t="n">
        <v>2</v>
      </c>
      <c r="W111" s="7" t="inlineStr">
        <is>
          <t>Manna</t>
        </is>
      </c>
      <c r="X111" s="9" t="inlineStr">
        <is>
          <t>open</t>
        </is>
      </c>
      <c r="Y111" s="7" t="n"/>
      <c r="Z111" s="7" t="inlineStr">
        <is>
          <t>https://wol.jw.org/en/wol/d/r1/lp-e/1200002888
https://wol.jw.org/en/wol/d/r1/lp-e/1200271562</t>
        </is>
      </c>
      <c r="AA111" s="7" t="n">
        <v>0</v>
      </c>
      <c r="AB111" s="7" t="n"/>
      <c r="AC111" s="7" t="n">
        <v>0</v>
      </c>
      <c r="AD111" s="7" t="n"/>
      <c r="AE111" s="7" t="n"/>
      <c r="AF111" s="7" t="n"/>
      <c r="AG111" s="7" t="n"/>
      <c r="AH111" s="7" t="n"/>
      <c r="AI111" s="7" t="n"/>
      <c r="AJ111" s="7" t="n"/>
      <c r="AK111" s="7" t="inlineStr">
        <is>
          <t>exodus-route #4 (context)</t>
        </is>
      </c>
      <c r="AL111" s="7" t="n"/>
      <c r="AM111" s="7" t="n">
        <v>-1512.67</v>
      </c>
      <c r="AN111" s="10" t="n"/>
      <c r="AO111" s="10" t="n"/>
      <c r="AP111" s="10" t="n"/>
      <c r="AQ111" s="10" t="n"/>
    </row>
    <row r="112">
      <c r="A112" s="7" t="inlineStr">
        <is>
          <t>b2-0022</t>
        </is>
      </c>
      <c r="B112" s="7" t="inlineStr">
        <is>
          <t>Point</t>
        </is>
      </c>
      <c r="C112" s="7" t="n"/>
      <c r="D112" s="7" t="inlineStr">
        <is>
          <t>1513 B.C.E., Sivan (3rd month)</t>
        </is>
      </c>
      <c r="E112" s="7" t="inlineStr">
        <is>
          <t>பொ.ச.மு. 1513</t>
        </is>
      </c>
      <c r="F112" s="7" t="inlineStr">
        <is>
          <t>1513 BCE</t>
        </is>
      </c>
      <c r="G112" s="7" t="inlineStr">
        <is>
          <t>Exact</t>
        </is>
      </c>
      <c r="H112" s="7" t="n"/>
      <c r="I112" s="7" t="n"/>
      <c r="J112" s="7" t="n"/>
      <c r="K112" s="2" t="inlineStr">
        <is>
          <t>Law covenant made at Mount Sinai (Horeb)</t>
        </is>
      </c>
      <c r="L112" s="2" t="inlineStr">
        <is>
          <t>சீனாய் (ஓரேப்) மலையில் நியாயப்பிரமாண உடன்படிக்கை செய்யப்பட்டது</t>
        </is>
      </c>
      <c r="M112" s="7" t="inlineStr">
        <is>
          <t>In the third month after leaving Egypt, Israel gathered at Mount Sinai, where Jehovah gave the Law through Moses as mediator and the Law covenant was inaugurated.</t>
        </is>
      </c>
      <c r="N112" s="7" t="n"/>
      <c r="O112" s="8" t="inlineStr">
        <is>
          <t>Bible</t>
        </is>
      </c>
      <c r="P112" s="7" t="inlineStr">
        <is>
          <t>bible.covenant</t>
        </is>
      </c>
      <c r="Q112" s="7" t="inlineStr">
        <is>
          <t>covenant</t>
        </is>
      </c>
      <c r="R112" s="7" t="inlineStr">
        <is>
          <t>Moses</t>
        </is>
      </c>
      <c r="S112" s="7" t="inlineStr">
        <is>
          <t>Mount Sinai</t>
        </is>
      </c>
      <c r="T112" s="7" t="inlineStr">
        <is>
          <t>Ex. 19:1; Ex. 24:6-8</t>
        </is>
      </c>
      <c r="U112" s="7" t="inlineStr">
        <is>
          <t>யாத். 24:6-8</t>
        </is>
      </c>
      <c r="V112" s="7" t="n">
        <v>4</v>
      </c>
      <c r="W112" s="7" t="inlineStr">
        <is>
          <t>Study Number 3—Measuring Events in the Stream of Time</t>
        </is>
      </c>
      <c r="X112" s="9" t="inlineStr">
        <is>
          <t>open</t>
        </is>
      </c>
      <c r="Y112" s="9" t="inlineStr">
        <is>
          <t>open</t>
        </is>
      </c>
      <c r="Z112" s="7" t="inlineStr">
        <is>
          <t>https://wol.jw.org/en/wol/d/r1/lp-e/1101990130
https://wol.jw.org/en/wol/d/r1/lp-e/1200001054
https://wol.jw.org/en/wol/d/r1/lp-e/1200002694
https://wol.jw.org/en/wol/d/r1/lp-e/1001061223</t>
        </is>
      </c>
      <c r="AA112" s="7" t="n">
        <v>0</v>
      </c>
      <c r="AB112" s="7" t="n"/>
      <c r="AC112" s="7" t="n">
        <v>0</v>
      </c>
      <c r="AD112" s="7" t="n"/>
      <c r="AE112" s="7" t="n"/>
      <c r="AF112" s="7" t="n"/>
      <c r="AG112" s="7" t="n"/>
      <c r="AH112" s="7" t="n"/>
      <c r="AI112" s="7" t="inlineStr">
        <is>
          <t>Span endpoint – keep</t>
        </is>
      </c>
      <c r="AJ112" s="7" t="inlineStr">
        <is>
          <t>end of The 430 years from the Abrahamic covenant to the Law covenant (b12-0002)</t>
        </is>
      </c>
      <c r="AK112" s="7" t="inlineStr">
        <is>
          <t>covenants #6 (start); exodus-route #6 (item)</t>
        </is>
      </c>
      <c r="AL112" s="7" t="n"/>
      <c r="AM112" s="7" t="n">
        <v>-1512.58</v>
      </c>
      <c r="AN112" s="10" t="n"/>
      <c r="AO112" s="10" t="n"/>
      <c r="AP112" s="10" t="n"/>
      <c r="AQ112" s="10" t="n"/>
    </row>
    <row r="113">
      <c r="A113" s="7" t="inlineStr">
        <is>
          <t>b2-0023</t>
        </is>
      </c>
      <c r="B113" s="7" t="inlineStr">
        <is>
          <t>Point</t>
        </is>
      </c>
      <c r="C113" s="7" t="n"/>
      <c r="D113" s="7" t="inlineStr">
        <is>
          <t>1513 B.C.E.</t>
        </is>
      </c>
      <c r="E113" s="7" t="n"/>
      <c r="F113" s="7" t="inlineStr">
        <is>
          <t>1513 BCE</t>
        </is>
      </c>
      <c r="G113" s="7" t="inlineStr">
        <is>
          <t>Exact</t>
        </is>
      </c>
      <c r="H113" s="7" t="n"/>
      <c r="I113" s="7" t="n"/>
      <c r="J113" s="7" t="n"/>
      <c r="K113" s="2" t="inlineStr">
        <is>
          <t>Ark of the covenant made</t>
        </is>
      </c>
      <c r="L113" s="2" t="n"/>
      <c r="M113" s="7" t="inlineStr">
        <is>
          <t>Bezalel and his assistants made the ark of the covenant using materials contributed by the Israelites.</t>
        </is>
      </c>
      <c r="N113" s="7" t="n"/>
      <c r="O113" s="8" t="inlineStr">
        <is>
          <t>Bible</t>
        </is>
      </c>
      <c r="P113" s="7" t="inlineStr">
        <is>
          <t>bible.exodus_law</t>
        </is>
      </c>
      <c r="Q113" s="7" t="inlineStr">
        <is>
          <t>construction</t>
        </is>
      </c>
      <c r="R113" s="7" t="inlineStr">
        <is>
          <t>Bezalel</t>
        </is>
      </c>
      <c r="S113" s="7" t="n"/>
      <c r="T113" s="7" t="inlineStr">
        <is>
          <t>Ex. 25:1, 2; Ex. 37:1</t>
        </is>
      </c>
      <c r="U113" s="7" t="n"/>
      <c r="V113" s="7" t="n">
        <v>2</v>
      </c>
      <c r="W113" s="7" t="inlineStr">
        <is>
          <t>What Is the Ark of the Covenant?</t>
        </is>
      </c>
      <c r="X113" s="9" t="inlineStr">
        <is>
          <t>open</t>
        </is>
      </c>
      <c r="Y113" s="7" t="n"/>
      <c r="Z113" s="7" t="inlineStr">
        <is>
          <t>https://wol.jw.org/en/wol/d/r1/lp-e/502016227
https://wol.jw.org/en/wol/d/r1/lp-e/1200271562</t>
        </is>
      </c>
      <c r="AA113" s="7" t="n">
        <v>0</v>
      </c>
      <c r="AB113" s="7" t="n"/>
      <c r="AC113" s="7" t="n">
        <v>0</v>
      </c>
      <c r="AD113" s="7" t="n"/>
      <c r="AE113" s="7" t="n"/>
      <c r="AF113" s="7" t="n"/>
      <c r="AG113" s="7" t="n"/>
      <c r="AH113" s="7" t="n"/>
      <c r="AI113" s="7" t="n"/>
      <c r="AJ113" s="7" t="n"/>
      <c r="AK113" s="7" t="inlineStr">
        <is>
          <t>tabernacle-and-high-priest #1 (context)</t>
        </is>
      </c>
      <c r="AL113" s="7" t="n"/>
      <c r="AM113" s="7" t="n">
        <v>-1512.55</v>
      </c>
      <c r="AN113" s="10" t="n"/>
      <c r="AO113" s="10" t="n"/>
      <c r="AP113" s="10" t="n"/>
      <c r="AQ113" s="10" t="n"/>
    </row>
    <row r="114">
      <c r="A114" s="7" t="inlineStr">
        <is>
          <t>b2-0024</t>
        </is>
      </c>
      <c r="B114" s="7" t="inlineStr">
        <is>
          <t>Point</t>
        </is>
      </c>
      <c r="C114" s="7" t="n"/>
      <c r="D114" s="7" t="inlineStr">
        <is>
          <t>1513 B.C.E.</t>
        </is>
      </c>
      <c r="E114" s="7" t="inlineStr">
        <is>
          <t>பொ.ச.மு. 1513</t>
        </is>
      </c>
      <c r="F114" s="7" t="inlineStr">
        <is>
          <t>1513 BCE</t>
        </is>
      </c>
      <c r="G114" s="7" t="inlineStr">
        <is>
          <t>Exact</t>
        </is>
      </c>
      <c r="H114" s="7" t="n"/>
      <c r="I114" s="7" t="n"/>
      <c r="J114" s="7" t="n"/>
      <c r="K114" s="2" t="inlineStr">
        <is>
          <t>Book of Genesis completed</t>
        </is>
      </c>
      <c r="L114" s="2" t="inlineStr">
        <is>
          <t>வனாந்தரத்தில் மோசே ஆதியாகமத்தைத் தொகுக்கிறார்; பைபிள் எழுதுவது தொடங்குகிறது</t>
        </is>
      </c>
      <c r="M114" s="7" t="inlineStr">
        <is>
          <t>Moses completed Genesis, possibly in the wilderness of Sinai; with it Bible writing began. It covers from 'the beginning' to Joseph's death in 1657 B.C.E.</t>
        </is>
      </c>
      <c r="N114" s="7" t="n"/>
      <c r="O114" s="8" t="inlineStr">
        <is>
          <t>Bible</t>
        </is>
      </c>
      <c r="P114" s="7" t="inlineStr">
        <is>
          <t>bible.book_writing</t>
        </is>
      </c>
      <c r="Q114" s="7" t="inlineStr">
        <is>
          <t>writing_completed</t>
        </is>
      </c>
      <c r="R114" s="7" t="inlineStr">
        <is>
          <t>Moses</t>
        </is>
      </c>
      <c r="S114" s="7" t="n"/>
      <c r="T114" s="7" t="inlineStr">
        <is>
          <t>John 5:46</t>
        </is>
      </c>
      <c r="U114" s="7" t="inlineStr">
        <is>
          <t>யோவா. 5:46</t>
        </is>
      </c>
      <c r="V114" s="7" t="n">
        <v>5</v>
      </c>
      <c r="W114" s="7" t="inlineStr">
        <is>
          <t>Bible Book Number 1—Genesis</t>
        </is>
      </c>
      <c r="X114" s="9" t="inlineStr">
        <is>
          <t>open</t>
        </is>
      </c>
      <c r="Y114" s="9" t="inlineStr">
        <is>
          <t>open</t>
        </is>
      </c>
      <c r="Z114" s="7" t="inlineStr">
        <is>
          <t>https://wol.jw.org/en/wol/d/r1/lp-e/1101990062
https://wol.jw.org/en/wol/d/r1/lp-e/1001060002
https://wol.jw.org/en/wol/d/r1/lp-e/1001061171
https://wol.jw.org/en/wol/d/r1/lp-e/1101990130
https://wol.jw.org/en/wol/d/r1/lp-e/1200001650</t>
        </is>
      </c>
      <c r="AA114" s="7" t="n">
        <v>0</v>
      </c>
      <c r="AB114" s="7" t="n"/>
      <c r="AC114" s="7" t="n">
        <v>0</v>
      </c>
      <c r="AD114" s="7" t="n"/>
      <c r="AE114" s="7" t="n"/>
      <c r="AF114" s="7" t="n"/>
      <c r="AG114" s="7" t="n"/>
      <c r="AH114" s="7" t="n"/>
      <c r="AI114" s="7" t="n"/>
      <c r="AJ114" s="7" t="n"/>
      <c r="AK114" s="7" t="n"/>
      <c r="AL114" s="7" t="n"/>
      <c r="AM114" s="7" t="n">
        <v>-1512.3</v>
      </c>
      <c r="AN114" s="10" t="n"/>
      <c r="AO114" s="10" t="n"/>
      <c r="AP114" s="10" t="n"/>
      <c r="AQ114" s="10" t="n"/>
    </row>
    <row r="115">
      <c r="A115" s="7" t="inlineStr">
        <is>
          <t>b11-0003</t>
        </is>
      </c>
      <c r="B115" s="7" t="inlineStr">
        <is>
          <t>Point</t>
        </is>
      </c>
      <c r="C115" s="7" t="n"/>
      <c r="D115" s="7" t="inlineStr">
        <is>
          <t>1512 B.C.E.</t>
        </is>
      </c>
      <c r="E115" s="7" t="inlineStr">
        <is>
          <t>கி.மு. 1512</t>
        </is>
      </c>
      <c r="F115" s="7" t="inlineStr">
        <is>
          <t>1512 BCE</t>
        </is>
      </c>
      <c r="G115" s="7" t="inlineStr">
        <is>
          <t>Exact</t>
        </is>
      </c>
      <c r="H115" s="7" t="n"/>
      <c r="I115" s="7" t="n"/>
      <c r="J115" s="7" t="n"/>
      <c r="K115" s="2" t="inlineStr">
        <is>
          <t>Writing of Exodus completed</t>
        </is>
      </c>
      <c r="L115" s="2" t="inlineStr">
        <is>
          <t>யாத்திராகமம் — எழுதி முடிக்கப்பட்டது</t>
        </is>
      </c>
      <c r="M115" s="7" t="inlineStr">
        <is>
          <t>The writing of Exodus was completed in 1512 B.C.E. Writer: Moses; place written: Wilderness. Time covered: 1657-1512 B.C.E.</t>
        </is>
      </c>
      <c r="N115" s="7" t="inlineStr">
        <is>
          <t>யாத்திராகமம்: எழுதியவர்(கள்): மோசே; எழுதப்பட்ட இடம்: வனாந்தரம்; முடிக்கப்பட்ட வருஷம் (கி.மு.): 1512; காலப்பகுதி (கி.மு.): 1657-1512.</t>
        </is>
      </c>
      <c r="O115" s="8" t="inlineStr">
        <is>
          <t>Bible</t>
        </is>
      </c>
      <c r="P115" s="7" t="inlineStr">
        <is>
          <t>bible.book_writing</t>
        </is>
      </c>
      <c r="Q115" s="7" t="inlineStr">
        <is>
          <t>writing_completed</t>
        </is>
      </c>
      <c r="R115" s="7" t="inlineStr">
        <is>
          <t>Moses</t>
        </is>
      </c>
      <c r="S115" s="7" t="inlineStr">
        <is>
          <t>Wilderness</t>
        </is>
      </c>
      <c r="T115" s="7" t="inlineStr">
        <is>
          <t>Ex.</t>
        </is>
      </c>
      <c r="U115" s="7" t="inlineStr">
        <is>
          <t>யாத்.</t>
        </is>
      </c>
      <c r="V115" s="7" t="n">
        <v>6</v>
      </c>
      <c r="W115" s="7" t="inlineStr">
        <is>
          <t>Table of the Books of the Bible</t>
        </is>
      </c>
      <c r="X115" s="9" t="inlineStr">
        <is>
          <t>open</t>
        </is>
      </c>
      <c r="Y115" s="9" t="inlineStr">
        <is>
          <t>open</t>
        </is>
      </c>
      <c r="Z115" s="7" t="inlineStr">
        <is>
          <t>https://wol.jw.org/en/wol/d/r1/lp-e/1001070071
https://wol.jw.org/en/wol/d/r1/lp-e/1101990063
https://www.jw.org/en/library/bible/study-bible/books-of-the-bible-list/
https://wol.jw.org/en/wol/d/r1/lp-e/1001060002
https://wol.jw.org/en/wol/d/r1/lp-e/1001061171
https://wol.jw.org/en/wol/d/r1/lp-e/1101990130</t>
        </is>
      </c>
      <c r="AA115" s="7" t="n">
        <v>0</v>
      </c>
      <c r="AB115" s="7" t="n"/>
      <c r="AC115" s="7" t="n">
        <v>0</v>
      </c>
      <c r="AD115" s="7" t="n"/>
      <c r="AE115" s="7" t="n"/>
      <c r="AF115" s="7" t="n"/>
      <c r="AG115" s="7" t="n"/>
      <c r="AH115" s="7" t="n"/>
      <c r="AI115" s="7" t="n"/>
      <c r="AJ115" s="7" t="n"/>
      <c r="AK115" s="7" t="inlineStr">
        <is>
          <t>bible-books-written #2 (item)</t>
        </is>
      </c>
      <c r="AL115" s="7" t="inlineStr">
        <is>
          <t>Writer(s): Moses. Place written: Wilderness. Writing completed: 1512 B.C.E. Time covered: 1657-1512 B.C.E.</t>
        </is>
      </c>
      <c r="AM115" s="7" t="n">
        <v>-1511.9998</v>
      </c>
      <c r="AN115" s="10" t="n"/>
      <c r="AO115" s="10" t="n"/>
      <c r="AP115" s="10" t="n"/>
      <c r="AQ115" s="10" t="n"/>
    </row>
    <row r="116">
      <c r="A116" s="7" t="inlineStr">
        <is>
          <t>b11-0004</t>
        </is>
      </c>
      <c r="B116" s="7" t="inlineStr">
        <is>
          <t>Point</t>
        </is>
      </c>
      <c r="C116" s="7" t="n"/>
      <c r="D116" s="7" t="inlineStr">
        <is>
          <t>1512 B.C.E.</t>
        </is>
      </c>
      <c r="E116" s="7" t="inlineStr">
        <is>
          <t>கி.மு. 1512</t>
        </is>
      </c>
      <c r="F116" s="7" t="inlineStr">
        <is>
          <t>1512 BCE</t>
        </is>
      </c>
      <c r="G116" s="7" t="inlineStr">
        <is>
          <t>Exact</t>
        </is>
      </c>
      <c r="H116" s="7" t="n"/>
      <c r="I116" s="7" t="n"/>
      <c r="J116" s="7" t="n"/>
      <c r="K116" s="2" t="inlineStr">
        <is>
          <t>Writing of Leviticus completed</t>
        </is>
      </c>
      <c r="L116" s="2" t="inlineStr">
        <is>
          <t>லேவியராகமம் — எழுதி முடிக்கப்பட்டது</t>
        </is>
      </c>
      <c r="M116" s="7" t="inlineStr">
        <is>
          <t>The writing of Leviticus was completed in 1512 B.C.E. Writer: Moses; place written: Wilderness. Time covered: 1 month (1512 B.C.E.).</t>
        </is>
      </c>
      <c r="N116" s="7" t="inlineStr">
        <is>
          <t>லேவியராகமம்: எழுதியவர்(கள்): மோசே; எழுதப்பட்ட இடம்: வனாந்தரம்; முடிக்கப்பட்ட வருஷம் (கி.மு.): 1512; காலப்பகுதி (கி.மு.): 1 மாதம் (1512).</t>
        </is>
      </c>
      <c r="O116" s="8" t="inlineStr">
        <is>
          <t>Bible</t>
        </is>
      </c>
      <c r="P116" s="7" t="inlineStr">
        <is>
          <t>bible.book_writing</t>
        </is>
      </c>
      <c r="Q116" s="7" t="inlineStr">
        <is>
          <t>writing_completed</t>
        </is>
      </c>
      <c r="R116" s="7" t="inlineStr">
        <is>
          <t>Moses</t>
        </is>
      </c>
      <c r="S116" s="7" t="inlineStr">
        <is>
          <t>Wilderness</t>
        </is>
      </c>
      <c r="T116" s="7" t="inlineStr">
        <is>
          <t>Lev.</t>
        </is>
      </c>
      <c r="U116" s="7" t="inlineStr">
        <is>
          <t>லேவி.</t>
        </is>
      </c>
      <c r="V116" s="7" t="n">
        <v>6</v>
      </c>
      <c r="W116" s="7" t="inlineStr">
        <is>
          <t>Table of the Books of the Bible</t>
        </is>
      </c>
      <c r="X116" s="9" t="inlineStr">
        <is>
          <t>open</t>
        </is>
      </c>
      <c r="Y116" s="9" t="inlineStr">
        <is>
          <t>open</t>
        </is>
      </c>
      <c r="Z116" s="7" t="inlineStr">
        <is>
          <t>https://wol.jw.org/en/wol/d/r1/lp-e/1001070071
https://wol.jw.org/en/wol/d/r1/lp-e/1101990064
https://www.jw.org/en/library/bible/study-bible/books-of-the-bible-list/
https://wol.jw.org/en/wol/d/r1/lp-e/1001060002
https://wol.jw.org/en/wol/d/r1/lp-e/1001061171
https://wol.jw.org/en/wol/d/r1/lp-e/1101990130</t>
        </is>
      </c>
      <c r="AA116" s="7" t="n">
        <v>0</v>
      </c>
      <c r="AB116" s="7" t="n"/>
      <c r="AC116" s="7" t="n">
        <v>0</v>
      </c>
      <c r="AD116" s="7" t="n"/>
      <c r="AE116" s="7" t="n"/>
      <c r="AF116" s="7" t="n"/>
      <c r="AG116" s="7" t="n"/>
      <c r="AH116" s="7" t="n"/>
      <c r="AI116" s="7" t="n"/>
      <c r="AJ116" s="7" t="n"/>
      <c r="AK116" s="7" t="inlineStr">
        <is>
          <t>bible-books-written #3 (item)</t>
        </is>
      </c>
      <c r="AL116" s="7" t="inlineStr">
        <is>
          <t>Writer(s): Moses. Place written: Wilderness. Writing completed: 1512 B.C.E. Time covered: 1 month (1512 B.C.E.).</t>
        </is>
      </c>
      <c r="AM116" s="7" t="n">
        <v>-1511.9997</v>
      </c>
      <c r="AN116" s="10" t="n"/>
      <c r="AO116" s="10" t="n"/>
      <c r="AP116" s="10" t="n"/>
      <c r="AQ116" s="10" t="n"/>
    </row>
    <row r="117">
      <c r="A117" s="7" t="inlineStr">
        <is>
          <t>b2-0025</t>
        </is>
      </c>
      <c r="B117" s="7" t="inlineStr">
        <is>
          <t>Point</t>
        </is>
      </c>
      <c r="C117" s="7" t="n"/>
      <c r="D117" s="7" t="inlineStr">
        <is>
          <t>1512 B.C.E., Nisan 1</t>
        </is>
      </c>
      <c r="E117" s="7" t="inlineStr">
        <is>
          <t>பொ.ச.மு. 1512</t>
        </is>
      </c>
      <c r="F117" s="7" t="inlineStr">
        <is>
          <t>1512 BCE</t>
        </is>
      </c>
      <c r="G117" s="7" t="inlineStr">
        <is>
          <t>Exact</t>
        </is>
      </c>
      <c r="H117" s="7" t="n"/>
      <c r="I117" s="7" t="n"/>
      <c r="J117" s="7" t="n"/>
      <c r="K117" s="2" t="inlineStr">
        <is>
          <t>Tabernacle construction completed and set up</t>
        </is>
      </c>
      <c r="L117" s="2" t="inlineStr">
        <is>
          <t>ஆசரிப்புக்கூடார பணி முடிவடைகிறது</t>
        </is>
      </c>
      <c r="M117" s="7" t="inlineStr">
        <is>
          <t>The tabernacle built at Mount Sinai was completely set up with its furnishings on the first day of the first month, and Jehovah's glory filled it.</t>
        </is>
      </c>
      <c r="N117" s="7" t="n"/>
      <c r="O117" s="8" t="inlineStr">
        <is>
          <t>Bible</t>
        </is>
      </c>
      <c r="P117" s="7" t="inlineStr">
        <is>
          <t>bible.exodus_law</t>
        </is>
      </c>
      <c r="Q117" s="7" t="inlineStr">
        <is>
          <t>dedication</t>
        </is>
      </c>
      <c r="R117" s="7" t="n"/>
      <c r="S117" s="7" t="inlineStr">
        <is>
          <t>Mount Sinai</t>
        </is>
      </c>
      <c r="T117" s="7" t="inlineStr">
        <is>
          <t>Ex. 40:17; Ex. 40:34</t>
        </is>
      </c>
      <c r="U117" s="7" t="inlineStr">
        <is>
          <t>யாத். 40:17</t>
        </is>
      </c>
      <c r="V117" s="7" t="n">
        <v>3</v>
      </c>
      <c r="W117" s="7" t="inlineStr">
        <is>
          <t>Study Number 3—Measuring Events in the Stream of Time</t>
        </is>
      </c>
      <c r="X117" s="9" t="inlineStr">
        <is>
          <t>open</t>
        </is>
      </c>
      <c r="Y117" s="9" t="inlineStr">
        <is>
          <t>open</t>
        </is>
      </c>
      <c r="Z117" s="7" t="inlineStr">
        <is>
          <t>https://wol.jw.org/en/wol/d/r1/lp-e/1101990130
https://wol.jw.org/en/wol/d/r1/lp-e/1200004295
https://wol.jw.org/en/wol/d/r1/lp-e/1001061225</t>
        </is>
      </c>
      <c r="AA117" s="7" t="n">
        <v>2</v>
      </c>
      <c r="AB117" s="9" t="inlineStr">
        <is>
          <t>open</t>
        </is>
      </c>
      <c r="AC117" s="7" t="n">
        <v>0</v>
      </c>
      <c r="AD117" s="7" t="n"/>
      <c r="AE117" s="7" t="n"/>
      <c r="AF117" s="7" t="n"/>
      <c r="AG117" s="7" t="n"/>
      <c r="AH117" s="7" t="n"/>
      <c r="AI117" s="7" t="n"/>
      <c r="AJ117" s="7" t="n"/>
      <c r="AK117" s="7" t="inlineStr">
        <is>
          <t>tabernacle-and-high-priest #2 (item)</t>
        </is>
      </c>
      <c r="AL117" s="7" t="n"/>
      <c r="AM117" s="7" t="n">
        <v>-1511.76</v>
      </c>
      <c r="AN117" s="10" t="n"/>
      <c r="AO117" s="10" t="n"/>
      <c r="AP117" s="10" t="n"/>
      <c r="AQ117" s="10" t="n"/>
    </row>
    <row r="118">
      <c r="A118" s="7" t="inlineStr">
        <is>
          <t>b2-0026</t>
        </is>
      </c>
      <c r="B118" s="11" t="inlineStr">
        <is>
          <t>Span</t>
        </is>
      </c>
      <c r="C118" s="7" t="inlineStr">
        <is>
          <t>period</t>
        </is>
      </c>
      <c r="D118" s="7" t="inlineStr">
        <is>
          <t>1512 B.C.E., Nisan 1-7</t>
        </is>
      </c>
      <c r="E118" s="7" t="inlineStr">
        <is>
          <t>பொ.ச.மு. 1512</t>
        </is>
      </c>
      <c r="F118" s="7" t="inlineStr">
        <is>
          <t>1512 BCE</t>
        </is>
      </c>
      <c r="G118" s="7" t="inlineStr">
        <is>
          <t>Exact</t>
        </is>
      </c>
      <c r="H118" s="7" t="inlineStr">
        <is>
          <t>1512 BCE</t>
        </is>
      </c>
      <c r="I118" s="7" t="inlineStr">
        <is>
          <t>Exact</t>
        </is>
      </c>
      <c r="J118" s="7" t="inlineStr">
        <is>
          <t>7 days</t>
        </is>
      </c>
      <c r="K118" s="2" t="inlineStr">
        <is>
          <t>Installation of the Aaronic priesthood</t>
        </is>
      </c>
      <c r="L118" s="2" t="inlineStr">
        <is>
          <t>ஆரோனிய ஆசாரியத்துவம் ஸ்தாபிக்கப்படுகிறது</t>
        </is>
      </c>
      <c r="M118" s="7" t="inlineStr">
        <is>
          <t>Aaron and his sons were installed as priests over seven days, Nisan 1-7, and began serving on Nisan 8.</t>
        </is>
      </c>
      <c r="N118" s="7" t="n"/>
      <c r="O118" s="8" t="inlineStr">
        <is>
          <t>Bible</t>
        </is>
      </c>
      <c r="P118" s="7" t="inlineStr">
        <is>
          <t>bible.exodus_law</t>
        </is>
      </c>
      <c r="Q118" s="7" t="inlineStr">
        <is>
          <t>installation</t>
        </is>
      </c>
      <c r="R118" s="7" t="inlineStr">
        <is>
          <t>Aaron; Moses</t>
        </is>
      </c>
      <c r="S118" s="7" t="inlineStr">
        <is>
          <t>Mount Sinai</t>
        </is>
      </c>
      <c r="T118" s="7" t="inlineStr">
        <is>
          <t>Lev. 8:34-36</t>
        </is>
      </c>
      <c r="U118" s="7" t="inlineStr">
        <is>
          <t>லேவி. 8:34-36</t>
        </is>
      </c>
      <c r="V118" s="7" t="n">
        <v>2</v>
      </c>
      <c r="W118" s="7" t="inlineStr">
        <is>
          <t>Study Number 3—Measuring Events in the Stream of Time</t>
        </is>
      </c>
      <c r="X118" s="9" t="inlineStr">
        <is>
          <t>open</t>
        </is>
      </c>
      <c r="Y118" s="9" t="inlineStr">
        <is>
          <t>open</t>
        </is>
      </c>
      <c r="Z118" s="7" t="inlineStr">
        <is>
          <t>https://wol.jw.org/en/wol/d/r1/lp-e/1101990130
https://wol.jw.org/en/wol/d/r1/lp-e/1200001054</t>
        </is>
      </c>
      <c r="AA118" s="7" t="n">
        <v>0</v>
      </c>
      <c r="AB118" s="7" t="n"/>
      <c r="AC118" s="7" t="n">
        <v>0</v>
      </c>
      <c r="AD118" s="7" t="n"/>
      <c r="AE118" s="7" t="n"/>
      <c r="AF118" s="7" t="n"/>
      <c r="AG118" s="7" t="n"/>
      <c r="AH118" s="7" t="n"/>
      <c r="AI118" s="7" t="n"/>
      <c r="AJ118" s="7" t="n"/>
      <c r="AK118" s="7" t="inlineStr">
        <is>
          <t>covenants #28 (start); tabernacle-and-high-priest #3 (context)</t>
        </is>
      </c>
      <c r="AL118" s="7" t="n"/>
      <c r="AM118" s="7" t="n">
        <v>-1511.755</v>
      </c>
      <c r="AN118" s="10" t="n"/>
      <c r="AO118" s="10" t="n"/>
      <c r="AP118" s="10" t="n"/>
      <c r="AQ118" s="10" t="n"/>
    </row>
    <row r="119">
      <c r="A119" s="7" t="inlineStr">
        <is>
          <t>b2-0027</t>
        </is>
      </c>
      <c r="B119" s="7" t="inlineStr">
        <is>
          <t>Point</t>
        </is>
      </c>
      <c r="C119" s="7" t="n"/>
      <c r="D119" s="7" t="inlineStr">
        <is>
          <t>1512 B.C.E., Nisan 14</t>
        </is>
      </c>
      <c r="E119" s="7" t="n"/>
      <c r="F119" s="7" t="inlineStr">
        <is>
          <t>1512 BCE</t>
        </is>
      </c>
      <c r="G119" s="7" t="inlineStr">
        <is>
          <t>Exact</t>
        </is>
      </c>
      <c r="H119" s="7" t="n"/>
      <c r="I119" s="7" t="n"/>
      <c r="J119" s="7" t="n"/>
      <c r="K119" s="2" t="inlineStr">
        <is>
          <t>Passover observed in the wilderness at Sinai</t>
        </is>
      </c>
      <c r="L119" s="2" t="n"/>
      <c r="M119" s="7" t="inlineStr">
        <is>
          <t>Israel celebrated the Passover in the wilderness of Sinai one year after the Exodus.</t>
        </is>
      </c>
      <c r="N119" s="7" t="n"/>
      <c r="O119" s="8" t="inlineStr">
        <is>
          <t>Bible</t>
        </is>
      </c>
      <c r="P119" s="7" t="inlineStr">
        <is>
          <t>bible.exodus_law</t>
        </is>
      </c>
      <c r="Q119" s="7" t="inlineStr">
        <is>
          <t>festival</t>
        </is>
      </c>
      <c r="R119" s="7" t="n"/>
      <c r="S119" s="7" t="inlineStr">
        <is>
          <t>Wilderness of Sinai</t>
        </is>
      </c>
      <c r="T119" s="7" t="inlineStr">
        <is>
          <t>Num. 9:1-5</t>
        </is>
      </c>
      <c r="U119" s="7" t="n"/>
      <c r="V119" s="7" t="n">
        <v>1</v>
      </c>
      <c r="W119" s="7" t="inlineStr">
        <is>
          <t>Passover</t>
        </is>
      </c>
      <c r="X119" s="9" t="inlineStr">
        <is>
          <t>open</t>
        </is>
      </c>
      <c r="Y119" s="7" t="n"/>
      <c r="Z119" s="7" t="inlineStr">
        <is>
          <t>https://wol.jw.org/en/wol/d/r1/lp-e/1200003397</t>
        </is>
      </c>
      <c r="AA119" s="7" t="n">
        <v>0</v>
      </c>
      <c r="AB119" s="7" t="n"/>
      <c r="AC119" s="7" t="n">
        <v>0</v>
      </c>
      <c r="AD119" s="7" t="n"/>
      <c r="AE119" s="7" t="n"/>
      <c r="AF119" s="7" t="n"/>
      <c r="AG119" s="7" t="n"/>
      <c r="AH119" s="7" t="n"/>
      <c r="AI119" s="7" t="n"/>
      <c r="AJ119" s="7" t="n"/>
      <c r="AK119" s="7" t="n"/>
      <c r="AL119" s="7" t="n"/>
      <c r="AM119" s="7" t="n">
        <v>-1511.75</v>
      </c>
      <c r="AN119" s="10" t="n"/>
      <c r="AO119" s="10" t="n"/>
      <c r="AP119" s="10" t="n"/>
      <c r="AQ119" s="10" t="n"/>
    </row>
    <row r="120">
      <c r="A120" s="7" t="inlineStr">
        <is>
          <t>b2-0028</t>
        </is>
      </c>
      <c r="B120" s="7" t="inlineStr">
        <is>
          <t>Point</t>
        </is>
      </c>
      <c r="C120" s="7" t="n"/>
      <c r="D120" s="7" t="inlineStr">
        <is>
          <t>1512 B.C.E.</t>
        </is>
      </c>
      <c r="E120" s="7" t="n"/>
      <c r="F120" s="7" t="inlineStr">
        <is>
          <t>1512 BCE</t>
        </is>
      </c>
      <c r="G120" s="7" t="inlineStr">
        <is>
          <t>Exact</t>
        </is>
      </c>
      <c r="H120" s="7" t="n"/>
      <c r="I120" s="7" t="n"/>
      <c r="J120" s="7" t="n"/>
      <c r="K120" s="2" t="inlineStr">
        <is>
          <t>Twelve spies sent into Canaan</t>
        </is>
      </c>
      <c r="L120" s="2" t="n"/>
      <c r="M120" s="7" t="inlineStr">
        <is>
          <t>In the second year after the Exodus, Moses sent 12 chieftains, including Joshua and Caleb (then 40 years old), to spy out Canaan; ten brought back a bad report.</t>
        </is>
      </c>
      <c r="N120" s="7" t="n"/>
      <c r="O120" s="8" t="inlineStr">
        <is>
          <t>Bible</t>
        </is>
      </c>
      <c r="P120" s="7" t="inlineStr">
        <is>
          <t>bible.exodus_law</t>
        </is>
      </c>
      <c r="Q120" s="7" t="inlineStr">
        <is>
          <t>event</t>
        </is>
      </c>
      <c r="R120" s="7" t="inlineStr">
        <is>
          <t>Joshua; Caleb; Moses</t>
        </is>
      </c>
      <c r="S120" s="7" t="inlineStr">
        <is>
          <t>Kadesh; Canaan</t>
        </is>
      </c>
      <c r="T120" s="7" t="inlineStr">
        <is>
          <t>Num. 13:1-3, 6; Josh. 14:7</t>
        </is>
      </c>
      <c r="U120" s="7" t="n"/>
      <c r="V120" s="7" t="n">
        <v>2</v>
      </c>
      <c r="W120" s="7" t="inlineStr">
        <is>
          <t>Chronology</t>
        </is>
      </c>
      <c r="X120" s="9" t="inlineStr">
        <is>
          <t>open</t>
        </is>
      </c>
      <c r="Y120" s="7" t="n"/>
      <c r="Z120" s="7" t="inlineStr">
        <is>
          <t>https://wol.jw.org/en/wol/d/r1/lp-e/1200010959
https://wol.jw.org/en/wol/d/r1/lp-e/1200000863</t>
        </is>
      </c>
      <c r="AA120" s="7" t="n">
        <v>0</v>
      </c>
      <c r="AB120" s="7" t="n"/>
      <c r="AC120" s="7" t="n">
        <v>0</v>
      </c>
      <c r="AD120" s="7" t="n"/>
      <c r="AE120" s="7" t="n"/>
      <c r="AF120" s="7" t="n"/>
      <c r="AG120" s="7" t="n"/>
      <c r="AH120" s="7" t="n"/>
      <c r="AI120" s="7" t="n"/>
      <c r="AJ120" s="7" t="n"/>
      <c r="AK120" s="7" t="n"/>
      <c r="AL120" s="7" t="inlineStr">
        <is>
          <t>The 1512 date is stated in the Aid book's Chronology article (1200010959); Insight's Caleb article supports the same reckoning (40 at the spying, 85 six years after entering Canaan).</t>
        </is>
      </c>
      <c r="AM120" s="7" t="n">
        <v>-1511.5</v>
      </c>
      <c r="AN120" s="10" t="n"/>
      <c r="AO120" s="10" t="n"/>
      <c r="AP120" s="10" t="n"/>
      <c r="AQ120" s="10" t="n"/>
    </row>
    <row r="121">
      <c r="A121" s="7" t="inlineStr">
        <is>
          <t>b2-0029</t>
        </is>
      </c>
      <c r="B121" s="7" t="inlineStr">
        <is>
          <t>Point</t>
        </is>
      </c>
      <c r="C121" s="7" t="n"/>
      <c r="D121" s="7" t="inlineStr">
        <is>
          <t>1512 B.C.E.</t>
        </is>
      </c>
      <c r="E121" s="7" t="n"/>
      <c r="F121" s="7" t="inlineStr">
        <is>
          <t>1512 BCE</t>
        </is>
      </c>
      <c r="G121" s="7" t="inlineStr">
        <is>
          <t>Exact</t>
        </is>
      </c>
      <c r="H121" s="7" t="n"/>
      <c r="I121" s="7" t="n"/>
      <c r="J121" s="7" t="n"/>
      <c r="K121" s="2" t="inlineStr">
        <is>
          <t>Israel sentenced to wander 40 years</t>
        </is>
      </c>
      <c r="L121" s="2" t="n"/>
      <c r="M121" s="7" t="inlineStr">
        <is>
          <t>Because the people sided with the bad report of ten spies, Jehovah decreed that Israel would wander 40 years in the wilderness until that generation died, except Joshua and Caleb.</t>
        </is>
      </c>
      <c r="N121" s="7" t="n"/>
      <c r="O121" s="8" t="inlineStr">
        <is>
          <t>Bible</t>
        </is>
      </c>
      <c r="P121" s="7" t="inlineStr">
        <is>
          <t>bible.judgment</t>
        </is>
      </c>
      <c r="Q121" s="7" t="inlineStr">
        <is>
          <t>judgment</t>
        </is>
      </c>
      <c r="R121" s="7" t="inlineStr">
        <is>
          <t>Joshua; Caleb</t>
        </is>
      </c>
      <c r="S121" s="7" t="inlineStr">
        <is>
          <t>Kadesh</t>
        </is>
      </c>
      <c r="T121" s="7" t="inlineStr">
        <is>
          <t>Num. 14:33, 34; Num. 14:26-30</t>
        </is>
      </c>
      <c r="U121" s="7" t="n"/>
      <c r="V121" s="7" t="n">
        <v>2</v>
      </c>
      <c r="W121" s="7" t="inlineStr">
        <is>
          <t>Chronology</t>
        </is>
      </c>
      <c r="X121" s="9" t="inlineStr">
        <is>
          <t>open</t>
        </is>
      </c>
      <c r="Y121" s="7" t="n"/>
      <c r="Z121" s="7" t="inlineStr">
        <is>
          <t>https://wol.jw.org/en/wol/d/r1/lp-e/1200010959
https://wol.jw.org/en/wol/d/r1/lp-e/1200000970</t>
        </is>
      </c>
      <c r="AA121" s="7" t="n">
        <v>0</v>
      </c>
      <c r="AB121" s="7" t="n"/>
      <c r="AC121" s="7" t="n">
        <v>0</v>
      </c>
      <c r="AD121" s="7" t="n"/>
      <c r="AE121" s="7" t="n"/>
      <c r="AF121" s="7" t="n"/>
      <c r="AG121" s="7" t="n"/>
      <c r="AH121" s="7" t="n"/>
      <c r="AI121" s="7" t="n"/>
      <c r="AJ121" s="7" t="n"/>
      <c r="AK121" s="7" t="n"/>
      <c r="AL121" s="7" t="n"/>
      <c r="AM121" s="7" t="n">
        <v>-1511.49</v>
      </c>
      <c r="AN121" s="10" t="n"/>
      <c r="AO121" s="10" t="n"/>
      <c r="AP121" s="10" t="n"/>
      <c r="AQ121" s="10" t="n"/>
    </row>
    <row r="122">
      <c r="A122" s="7" t="inlineStr">
        <is>
          <t>b2-0032</t>
        </is>
      </c>
      <c r="B122" s="7" t="inlineStr">
        <is>
          <t>Point</t>
        </is>
      </c>
      <c r="C122" s="7" t="n"/>
      <c r="D122" s="7" t="inlineStr">
        <is>
          <t>c. 1500 B.C.E.</t>
        </is>
      </c>
      <c r="E122" s="7" t="inlineStr">
        <is>
          <t>கி.மு. 1500*</t>
        </is>
      </c>
      <c r="F122" s="7" t="inlineStr">
        <is>
          <t>1500 BCE</t>
        </is>
      </c>
      <c r="G122" s="7" t="inlineStr">
        <is>
          <t>Approx. (c.)</t>
        </is>
      </c>
      <c r="H122" s="7" t="n"/>
      <c r="I122" s="7" t="n"/>
      <c r="J122" s="7" t="n"/>
      <c r="K122" s="2" t="inlineStr">
        <is>
          <t>Birth of Rahab (approximate)</t>
        </is>
      </c>
      <c r="L122" s="2" t="n"/>
      <c r="M122" s="7" t="inlineStr">
        <is>
          <t>Rahab of Jericho, who later sheltered the Israelite spies, was born about this time.</t>
        </is>
      </c>
      <c r="N122" s="7" t="n"/>
      <c r="O122" s="8" t="inlineStr">
        <is>
          <t>Bible</t>
        </is>
      </c>
      <c r="P122" s="7" t="inlineStr">
        <is>
          <t>bible.exodus_law</t>
        </is>
      </c>
      <c r="Q122" s="7" t="inlineStr">
        <is>
          <t>birth</t>
        </is>
      </c>
      <c r="R122" s="7" t="inlineStr">
        <is>
          <t>Rahab</t>
        </is>
      </c>
      <c r="S122" s="7" t="inlineStr">
        <is>
          <t>Jericho</t>
        </is>
      </c>
      <c r="T122" s="7" t="inlineStr">
        <is>
          <t>Josh. 2:1</t>
        </is>
      </c>
      <c r="U122" s="7" t="n"/>
      <c r="V122" s="7" t="n">
        <v>2</v>
      </c>
      <c r="W122" s="7" t="inlineStr">
        <is>
          <t>Section 1 Timeline</t>
        </is>
      </c>
      <c r="X122" s="9" t="inlineStr">
        <is>
          <t>open</t>
        </is>
      </c>
      <c r="Y122" s="9" t="inlineStr">
        <is>
          <t>open</t>
        </is>
      </c>
      <c r="Z122" s="7" t="inlineStr">
        <is>
          <t>https://wol.jw.org/en/wol/d/r1/lp-e/1102025962
https://wol.jw.org/en/wol/d/r1/lp-e/1200271562</t>
        </is>
      </c>
      <c r="AA122" s="7" t="n">
        <v>0</v>
      </c>
      <c r="AB122" s="7" t="n"/>
      <c r="AC122" s="7" t="n">
        <v>0</v>
      </c>
      <c r="AD122" s="7" t="n"/>
      <c r="AE122" s="7" t="n"/>
      <c r="AF122" s="7" t="n"/>
      <c r="AG122" s="7" t="n"/>
      <c r="AH122" s="7" t="n"/>
      <c r="AI122" s="7" t="inlineStr">
        <is>
          <t>Covered by span – hide on chart</t>
        </is>
      </c>
      <c r="AJ122" s="7" t="inlineStr">
        <is>
          <t>start of Life of Rahab (d1-0021)</t>
        </is>
      </c>
      <c r="AK122" s="7" t="n"/>
      <c r="AL122" s="7" t="n"/>
      <c r="AM122" s="7" t="n">
        <v>-1500</v>
      </c>
      <c r="AN122" s="10" t="n"/>
      <c r="AO122" s="10" t="n"/>
      <c r="AP122" s="10" t="n"/>
      <c r="AQ122" s="10" t="n"/>
    </row>
    <row r="123">
      <c r="A123" s="7" t="inlineStr">
        <is>
          <t>d1-0021</t>
        </is>
      </c>
      <c r="B123" s="11" t="inlineStr">
        <is>
          <t>Span</t>
        </is>
      </c>
      <c r="C123" s="7" t="inlineStr">
        <is>
          <t>lifespan</t>
        </is>
      </c>
      <c r="D123" s="7" t="inlineStr">
        <is>
          <t>c. 1500 B.C.E. – c. 1400 B.C.E.</t>
        </is>
      </c>
      <c r="E123" s="7" t="inlineStr">
        <is>
          <t>கி.மு. 1500* – கி.மு. 1400*</t>
        </is>
      </c>
      <c r="F123" s="7" t="inlineStr">
        <is>
          <t>1500 BCE</t>
        </is>
      </c>
      <c r="G123" s="7" t="inlineStr">
        <is>
          <t>Approx. (c.)</t>
        </is>
      </c>
      <c r="H123" s="7" t="inlineStr">
        <is>
          <t>1400 BCE</t>
        </is>
      </c>
      <c r="I123" s="7" t="inlineStr">
        <is>
          <t>Approx. (c.)</t>
        </is>
      </c>
      <c r="J123" s="7" t="inlineStr">
        <is>
          <t>c. 100 years</t>
        </is>
      </c>
      <c r="K123" s="2" t="inlineStr">
        <is>
          <t>Life of Rahab</t>
        </is>
      </c>
      <c r="L123" s="2" t="n"/>
      <c r="M123" s="7" t="inlineStr">
        <is>
          <t>Rahab: from Birth of Rahab (approximate) (c. 1500 B.C.E.) to Death of Rahab (approximate) (c. 1400 B.C.E.). Dates as given in the cited jw.org publications.</t>
        </is>
      </c>
      <c r="N123" s="7" t="n"/>
      <c r="O123" s="8" t="inlineStr">
        <is>
          <t>Bible</t>
        </is>
      </c>
      <c r="P123" s="7" t="inlineStr">
        <is>
          <t>bible.exodus_law</t>
        </is>
      </c>
      <c r="Q123" s="7" t="inlineStr">
        <is>
          <t>lifespan</t>
        </is>
      </c>
      <c r="R123" s="7" t="inlineStr">
        <is>
          <t>Rahab</t>
        </is>
      </c>
      <c r="S123" s="7" t="inlineStr">
        <is>
          <t>Jericho</t>
        </is>
      </c>
      <c r="T123" s="7" t="inlineStr">
        <is>
          <t>Josh. 2:1; Josh. 6:25</t>
        </is>
      </c>
      <c r="U123" s="7" t="n"/>
      <c r="V123" s="7" t="n">
        <v>2</v>
      </c>
      <c r="W123" s="7" t="inlineStr">
        <is>
          <t>Section 1 Timeline</t>
        </is>
      </c>
      <c r="X123" s="9" t="inlineStr">
        <is>
          <t>open</t>
        </is>
      </c>
      <c r="Y123" s="9" t="inlineStr">
        <is>
          <t>open</t>
        </is>
      </c>
      <c r="Z123" s="7" t="inlineStr">
        <is>
          <t>https://wol.jw.org/en/wol/d/r1/lp-e/1102025962
https://wol.jw.org/en/wol/d/r1/lp-e/1200271562</t>
        </is>
      </c>
      <c r="AA123" s="7" t="n">
        <v>0</v>
      </c>
      <c r="AB123" s="7" t="n"/>
      <c r="AC123" s="7" t="n">
        <v>0</v>
      </c>
      <c r="AD123" s="7" t="n"/>
      <c r="AE123" s="7" t="inlineStr">
        <is>
          <t>Built from b2-0032 (start) and b2-0061 (end).</t>
        </is>
      </c>
      <c r="AF123" s="7" t="inlineStr">
        <is>
          <t>b2-0032</t>
        </is>
      </c>
      <c r="AG123" s="7" t="inlineStr">
        <is>
          <t>b2-0061</t>
        </is>
      </c>
      <c r="AH123" s="7" t="n"/>
      <c r="AI123" s="7" t="n"/>
      <c r="AJ123" s="7" t="n"/>
      <c r="AK123" s="7" t="inlineStr">
        <is>
          <t>messianic-line #29 (context)</t>
        </is>
      </c>
      <c r="AL123" s="7" t="n"/>
      <c r="AM123" s="7" t="n">
        <v>-1500</v>
      </c>
      <c r="AN123" s="10" t="n"/>
      <c r="AO123" s="10" t="n"/>
      <c r="AP123" s="10" t="n"/>
      <c r="AQ123" s="10" t="n"/>
    </row>
    <row r="124">
      <c r="A124" s="7" t="inlineStr">
        <is>
          <t>b2-0033</t>
        </is>
      </c>
      <c r="B124" s="7" t="inlineStr">
        <is>
          <t>Point</t>
        </is>
      </c>
      <c r="C124" s="7" t="n"/>
      <c r="D124" s="7" t="inlineStr">
        <is>
          <t>1474 B.C.E., Nisan</t>
        </is>
      </c>
      <c r="E124" s="7" t="inlineStr">
        <is>
          <t>கி.மு. 1474*</t>
        </is>
      </c>
      <c r="F124" s="7" t="inlineStr">
        <is>
          <t>1474 BCE</t>
        </is>
      </c>
      <c r="G124" s="7" t="inlineStr">
        <is>
          <t>Exact</t>
        </is>
      </c>
      <c r="H124" s="7" t="n"/>
      <c r="I124" s="7" t="n"/>
      <c r="J124" s="7" t="n"/>
      <c r="K124" s="2" t="inlineStr">
        <is>
          <t>Death of Miriam at Kadesh</t>
        </is>
      </c>
      <c r="L124" s="2" t="n"/>
      <c r="M124" s="7" t="inlineStr">
        <is>
          <t>Miriam, sister of Moses and Aaron, died and was buried at Kadesh in the wilderness of Zin, shortly before Aaron's death.</t>
        </is>
      </c>
      <c r="N124" s="7" t="n"/>
      <c r="O124" s="8" t="inlineStr">
        <is>
          <t>Bible</t>
        </is>
      </c>
      <c r="P124" s="7" t="inlineStr">
        <is>
          <t>bible.exodus_law</t>
        </is>
      </c>
      <c r="Q124" s="7" t="inlineStr">
        <is>
          <t>death</t>
        </is>
      </c>
      <c r="R124" s="7" t="inlineStr">
        <is>
          <t>Miriam</t>
        </is>
      </c>
      <c r="S124" s="7" t="inlineStr">
        <is>
          <t>Kadesh</t>
        </is>
      </c>
      <c r="T124" s="7" t="inlineStr">
        <is>
          <t>Num. 20:1</t>
        </is>
      </c>
      <c r="U124" s="7" t="n"/>
      <c r="V124" s="7" t="n">
        <v>3</v>
      </c>
      <c r="W124" s="7" t="inlineStr">
        <is>
          <t>Miriam</t>
        </is>
      </c>
      <c r="X124" s="9" t="inlineStr">
        <is>
          <t>open</t>
        </is>
      </c>
      <c r="Y124" s="7" t="n"/>
      <c r="Z124" s="7" t="inlineStr">
        <is>
          <t>https://wol.jw.org/en/wol/d/r1/lp-e/1200003074
https://wol.jw.org/en/wol/d/r1/lp-e/1200271562
https://wol.jw.org/en/wol/d/r1/lp-e/1102025962</t>
        </is>
      </c>
      <c r="AA124" s="7" t="n">
        <v>0</v>
      </c>
      <c r="AB124" s="7" t="n"/>
      <c r="AC124" s="7" t="n">
        <v>1</v>
      </c>
      <c r="AD124" s="7" t="inlineStr">
        <is>
          <t>wcg timeline marks 1474 as approximate (consolidated lifespan line).</t>
        </is>
      </c>
      <c r="AE124" s="7" t="n"/>
      <c r="AF124" s="7" t="n"/>
      <c r="AG124" s="7" t="n"/>
      <c r="AH124" s="7" t="n"/>
      <c r="AI124" s="7" t="n"/>
      <c r="AJ124" s="7" t="n"/>
      <c r="AK124" s="7" t="inlineStr">
        <is>
          <t>exodus-route #8 (context)</t>
        </is>
      </c>
      <c r="AL124" s="7" t="n"/>
      <c r="AM124" s="7" t="n">
        <v>-1473.75</v>
      </c>
      <c r="AN124" s="10" t="n"/>
      <c r="AO124" s="10" t="n"/>
      <c r="AP124" s="10" t="n"/>
      <c r="AQ124" s="10" t="n"/>
    </row>
    <row r="125">
      <c r="A125" s="7" t="inlineStr">
        <is>
          <t>b2-0034</t>
        </is>
      </c>
      <c r="B125" s="7" t="inlineStr">
        <is>
          <t>Point</t>
        </is>
      </c>
      <c r="C125" s="7" t="n"/>
      <c r="D125" s="7" t="inlineStr">
        <is>
          <t>1474 B.C.E., Ab 1</t>
        </is>
      </c>
      <c r="E125" s="7" t="n"/>
      <c r="F125" s="7" t="inlineStr">
        <is>
          <t>1474 BCE</t>
        </is>
      </c>
      <c r="G125" s="7" t="inlineStr">
        <is>
          <t>Exact</t>
        </is>
      </c>
      <c r="H125" s="7" t="n"/>
      <c r="I125" s="7" t="n"/>
      <c r="J125" s="7" t="n"/>
      <c r="K125" s="2" t="inlineStr">
        <is>
          <t>Death of Aaron on Mount Hor</t>
        </is>
      </c>
      <c r="L125" s="2" t="n"/>
      <c r="M125" s="7" t="inlineStr">
        <is>
          <t>On the first day of the month Ab in the 40th year after the Exodus, Aaron died on Mount Hor at the age of 123, and his son Eleazar succeeded him as high priest.</t>
        </is>
      </c>
      <c r="N125" s="7" t="n"/>
      <c r="O125" s="8" t="inlineStr">
        <is>
          <t>Bible</t>
        </is>
      </c>
      <c r="P125" s="7" t="inlineStr">
        <is>
          <t>bible.exodus_law</t>
        </is>
      </c>
      <c r="Q125" s="7" t="inlineStr">
        <is>
          <t>death</t>
        </is>
      </c>
      <c r="R125" s="7" t="inlineStr">
        <is>
          <t>Aaron; Eleazar; Moses</t>
        </is>
      </c>
      <c r="S125" s="7" t="inlineStr">
        <is>
          <t>Mount Hor; Edom</t>
        </is>
      </c>
      <c r="T125" s="7" t="inlineStr">
        <is>
          <t>Num. 20:28; Num. 33:38, 39</t>
        </is>
      </c>
      <c r="U125" s="7" t="n"/>
      <c r="V125" s="7" t="n">
        <v>2</v>
      </c>
      <c r="W125" s="7" t="inlineStr">
        <is>
          <t>Aaron</t>
        </is>
      </c>
      <c r="X125" s="9" t="inlineStr">
        <is>
          <t>open</t>
        </is>
      </c>
      <c r="Y125" s="7" t="n"/>
      <c r="Z125" s="7" t="inlineStr">
        <is>
          <t>https://wol.jw.org/en/wol/d/r1/lp-e/1200000005
https://wol.jw.org/en/wol/d/r1/lp-e/1200271562</t>
        </is>
      </c>
      <c r="AA125" s="7" t="n">
        <v>0</v>
      </c>
      <c r="AB125" s="7" t="n"/>
      <c r="AC125" s="7" t="n">
        <v>1</v>
      </c>
      <c r="AD125" s="7" t="inlineStr">
        <is>
          <t>The batch brief listed Aaron's death under 1473; Insight 'Aaron' and the Publications Index both give 1474 B.C.E. (Ab, 40th year after the Exodus).</t>
        </is>
      </c>
      <c r="AE125" s="7" t="n"/>
      <c r="AF125" s="7" t="n"/>
      <c r="AG125" s="7" t="n"/>
      <c r="AH125" s="7" t="n"/>
      <c r="AI125" s="7" t="inlineStr">
        <is>
          <t>Span endpoint – keep</t>
        </is>
      </c>
      <c r="AJ125" s="7" t="inlineStr">
        <is>
          <t>end of Life of Aaron (d1-0017)</t>
        </is>
      </c>
      <c r="AK125" s="7" t="inlineStr">
        <is>
          <t>exodus-route #9 (context)</t>
        </is>
      </c>
      <c r="AL125" s="7" t="n"/>
      <c r="AM125" s="7" t="n">
        <v>-1473.55</v>
      </c>
      <c r="AN125" s="10" t="n"/>
      <c r="AO125" s="10" t="n"/>
      <c r="AP125" s="10" t="n"/>
      <c r="AQ125" s="10" t="n"/>
    </row>
    <row r="126">
      <c r="A126" s="7" t="inlineStr">
        <is>
          <t>b2-0035</t>
        </is>
      </c>
      <c r="B126" s="7" t="inlineStr">
        <is>
          <t>Point</t>
        </is>
      </c>
      <c r="C126" s="7" t="n"/>
      <c r="D126" s="7" t="inlineStr">
        <is>
          <t>c. 1474 B.C.E.</t>
        </is>
      </c>
      <c r="E126" s="7" t="n"/>
      <c r="F126" s="7" t="inlineStr">
        <is>
          <t>1474 BCE</t>
        </is>
      </c>
      <c r="G126" s="7" t="inlineStr">
        <is>
          <t>Approx. (c.)</t>
        </is>
      </c>
      <c r="H126" s="7" t="n"/>
      <c r="I126" s="7" t="n"/>
      <c r="J126" s="7" t="n"/>
      <c r="K126" s="2" t="inlineStr">
        <is>
          <t>Amorite kingdoms east of the Jordan conquered</t>
        </is>
      </c>
      <c r="L126" s="2" t="n"/>
      <c r="M126" s="7" t="inlineStr">
        <is>
          <t>Israel defeated the Amorite kingdoms of Sihon and Og east of the Jordan; Aroer on the Arnon had been the southernmost Amorite city.</t>
        </is>
      </c>
      <c r="N126" s="7" t="n"/>
      <c r="O126" s="8" t="inlineStr">
        <is>
          <t>Bible</t>
        </is>
      </c>
      <c r="P126" s="7" t="inlineStr">
        <is>
          <t>bible.conquest_judges</t>
        </is>
      </c>
      <c r="Q126" s="7" t="inlineStr">
        <is>
          <t>battle</t>
        </is>
      </c>
      <c r="R126" s="7" t="inlineStr">
        <is>
          <t>Sihon; Og</t>
        </is>
      </c>
      <c r="S126" s="7" t="inlineStr">
        <is>
          <t>Aroer; Arnon; Heshbon; Bashan</t>
        </is>
      </c>
      <c r="T126" s="7" t="inlineStr">
        <is>
          <t>Deut. 2:36; Deut. 4:47, 48; Josh. 12:1-6</t>
        </is>
      </c>
      <c r="U126" s="7" t="n"/>
      <c r="V126" s="7" t="n">
        <v>2</v>
      </c>
      <c r="W126" s="7" t="inlineStr">
        <is>
          <t>Aroer</t>
        </is>
      </c>
      <c r="X126" s="9" t="inlineStr">
        <is>
          <t>open</t>
        </is>
      </c>
      <c r="Y126" s="7" t="n"/>
      <c r="Z126" s="7" t="inlineStr">
        <is>
          <t>https://wol.jw.org/en/wol/d/r1/lp-e/1200000382
https://wol.jw.org/en/wol/d/r1/lp-e/1200271562</t>
        </is>
      </c>
      <c r="AA126" s="7" t="n">
        <v>0</v>
      </c>
      <c r="AB126" s="7" t="n"/>
      <c r="AC126" s="7" t="n">
        <v>0</v>
      </c>
      <c r="AD126" s="7" t="n"/>
      <c r="AE126" s="7" t="n"/>
      <c r="AF126" s="7" t="n"/>
      <c r="AG126" s="7" t="n"/>
      <c r="AH126" s="7" t="n"/>
      <c r="AI126" s="7" t="n"/>
      <c r="AJ126" s="7" t="n"/>
      <c r="AK126" s="7" t="inlineStr">
        <is>
          <t>conquest-of-canaan #1 (context); exodus-route #10 (context)</t>
        </is>
      </c>
      <c r="AL126" s="7" t="n"/>
      <c r="AM126" s="7" t="n">
        <v>-1473.5</v>
      </c>
      <c r="AN126" s="10" t="n"/>
      <c r="AO126" s="10" t="n"/>
      <c r="AP126" s="10" t="n"/>
      <c r="AQ126" s="10" t="n"/>
    </row>
    <row r="127">
      <c r="A127" s="7" t="inlineStr">
        <is>
          <t>b2-0036</t>
        </is>
      </c>
      <c r="B127" s="7" t="inlineStr">
        <is>
          <t>Point</t>
        </is>
      </c>
      <c r="C127" s="7" t="n"/>
      <c r="D127" s="7" t="inlineStr">
        <is>
          <t>c. 1473 B.C.E.</t>
        </is>
      </c>
      <c r="E127" s="7" t="n"/>
      <c r="F127" s="7" t="inlineStr">
        <is>
          <t>1473 BCE</t>
        </is>
      </c>
      <c r="G127" s="7" t="inlineStr">
        <is>
          <t>Approx. (c.)</t>
        </is>
      </c>
      <c r="H127" s="7" t="n"/>
      <c r="I127" s="7" t="n"/>
      <c r="J127" s="7" t="n"/>
      <c r="K127" s="2" t="inlineStr">
        <is>
          <t>Balaam attempts to curse Israel</t>
        </is>
      </c>
      <c r="L127" s="2" t="n"/>
      <c r="M127" s="7" t="inlineStr">
        <is>
          <t>Hired by King Balak of Moab, the prophet Balaam tried to curse Israel but instead uttered blessings, including a prophecy about a king of Israel higher than Agag.</t>
        </is>
      </c>
      <c r="N127" s="7" t="n"/>
      <c r="O127" s="8" t="inlineStr">
        <is>
          <t>Bible</t>
        </is>
      </c>
      <c r="P127" s="7" t="inlineStr">
        <is>
          <t>bible.exodus_law</t>
        </is>
      </c>
      <c r="Q127" s="7" t="inlineStr">
        <is>
          <t>prophecy</t>
        </is>
      </c>
      <c r="R127" s="7" t="inlineStr">
        <is>
          <t>Balaam; Balak</t>
        </is>
      </c>
      <c r="S127" s="7" t="inlineStr">
        <is>
          <t>Moab</t>
        </is>
      </c>
      <c r="T127" s="7" t="inlineStr">
        <is>
          <t>Num. 24:7</t>
        </is>
      </c>
      <c r="U127" s="7" t="n"/>
      <c r="V127" s="7" t="n">
        <v>2</v>
      </c>
      <c r="W127" s="7" t="inlineStr">
        <is>
          <t>Agag</t>
        </is>
      </c>
      <c r="X127" s="9" t="inlineStr">
        <is>
          <t>open</t>
        </is>
      </c>
      <c r="Y127" s="7" t="n"/>
      <c r="Z127" s="7" t="inlineStr">
        <is>
          <t>https://wol.jw.org/en/wol/d/r1/lp-e/1200000130
https://wol.jw.org/en/wol/d/r1/lp-e/1200271562</t>
        </is>
      </c>
      <c r="AA127" s="7" t="n">
        <v>0</v>
      </c>
      <c r="AB127" s="7" t="n"/>
      <c r="AC127" s="7" t="n">
        <v>0</v>
      </c>
      <c r="AD127" s="7" t="n"/>
      <c r="AE127" s="7" t="n"/>
      <c r="AF127" s="7" t="n"/>
      <c r="AG127" s="7" t="n"/>
      <c r="AH127" s="7" t="n"/>
      <c r="AI127" s="7" t="n"/>
      <c r="AJ127" s="7" t="n"/>
      <c r="AK127" s="7" t="n"/>
      <c r="AL127" s="7" t="n"/>
      <c r="AM127" s="7" t="n">
        <v>-1473.02</v>
      </c>
      <c r="AN127" s="10" t="n"/>
      <c r="AO127" s="10" t="n"/>
      <c r="AP127" s="10" t="n"/>
      <c r="AQ127" s="10" t="n"/>
    </row>
    <row r="128">
      <c r="A128" s="7" t="inlineStr">
        <is>
          <t>b2-0037</t>
        </is>
      </c>
      <c r="B128" s="7" t="inlineStr">
        <is>
          <t>Point</t>
        </is>
      </c>
      <c r="C128" s="7" t="n"/>
      <c r="D128" s="7" t="inlineStr">
        <is>
          <t>1473 B.C.E.</t>
        </is>
      </c>
      <c r="E128" s="7" t="n"/>
      <c r="F128" s="7" t="inlineStr">
        <is>
          <t>1473 BCE</t>
        </is>
      </c>
      <c r="G128" s="7" t="inlineStr">
        <is>
          <t>Exact</t>
        </is>
      </c>
      <c r="H128" s="7" t="n"/>
      <c r="I128" s="7" t="n"/>
      <c r="J128" s="7" t="n"/>
      <c r="K128" s="2" t="inlineStr">
        <is>
          <t>Census of Israel on the Plains of Moab</t>
        </is>
      </c>
      <c r="L128" s="2" t="n"/>
      <c r="M128" s="7" t="inlineStr">
        <is>
          <t>A second census of Israel's men was taken on the Plains of Moab near the end of the wilderness journey.</t>
        </is>
      </c>
      <c r="N128" s="7" t="n"/>
      <c r="O128" s="8" t="inlineStr">
        <is>
          <t>Bible</t>
        </is>
      </c>
      <c r="P128" s="7" t="inlineStr">
        <is>
          <t>bible.exodus_law</t>
        </is>
      </c>
      <c r="Q128" s="7" t="inlineStr">
        <is>
          <t>census</t>
        </is>
      </c>
      <c r="R128" s="7" t="n"/>
      <c r="S128" s="7" t="inlineStr">
        <is>
          <t>Plains of Moab</t>
        </is>
      </c>
      <c r="T128" s="7" t="inlineStr">
        <is>
          <t>Num. 26:1-4; Num. 26:17</t>
        </is>
      </c>
      <c r="U128" s="7" t="n"/>
      <c r="V128" s="7" t="n">
        <v>2</v>
      </c>
      <c r="W128" s="7" t="inlineStr">
        <is>
          <t>Arod</t>
        </is>
      </c>
      <c r="X128" s="9" t="inlineStr">
        <is>
          <t>open</t>
        </is>
      </c>
      <c r="Y128" s="7" t="n"/>
      <c r="Z128" s="7" t="inlineStr">
        <is>
          <t>https://wol.jw.org/en/wol/d/r1/lp-e/1200000381
https://wol.jw.org/en/wol/d/r1/lp-e/1200271562</t>
        </is>
      </c>
      <c r="AA128" s="7" t="n">
        <v>0</v>
      </c>
      <c r="AB128" s="7" t="n"/>
      <c r="AC128" s="7" t="n">
        <v>0</v>
      </c>
      <c r="AD128" s="7" t="n"/>
      <c r="AE128" s="7" t="n"/>
      <c r="AF128" s="7" t="n"/>
      <c r="AG128" s="7" t="n"/>
      <c r="AH128" s="7" t="n"/>
      <c r="AI128" s="7" t="n"/>
      <c r="AJ128" s="7" t="n"/>
      <c r="AK128" s="7" t="inlineStr">
        <is>
          <t>exodus-route #11 (context)</t>
        </is>
      </c>
      <c r="AL128" s="7" t="n"/>
      <c r="AM128" s="7" t="n">
        <v>-1472.99</v>
      </c>
      <c r="AN128" s="10" t="n"/>
      <c r="AO128" s="10" t="n"/>
      <c r="AP128" s="10" t="n"/>
      <c r="AQ128" s="10" t="n"/>
    </row>
    <row r="129">
      <c r="A129" s="7" t="inlineStr">
        <is>
          <t>b2-0040</t>
        </is>
      </c>
      <c r="B129" s="7" t="inlineStr">
        <is>
          <t>Point</t>
        </is>
      </c>
      <c r="C129" s="7" t="n"/>
      <c r="D129" s="7" t="inlineStr">
        <is>
          <t>1473 B.C.E., Shebat</t>
        </is>
      </c>
      <c r="E129" s="7" t="inlineStr">
        <is>
          <t>பொ.ச.மு. 1473</t>
        </is>
      </c>
      <c r="F129" s="7" t="inlineStr">
        <is>
          <t>1473 BCE</t>
        </is>
      </c>
      <c r="G129" s="7" t="inlineStr">
        <is>
          <t>Exact</t>
        </is>
      </c>
      <c r="H129" s="7" t="n"/>
      <c r="I129" s="7" t="n"/>
      <c r="J129" s="7" t="n"/>
      <c r="K129" s="2" t="inlineStr">
        <is>
          <t>Covenant with Israel at Moab</t>
        </is>
      </c>
      <c r="L129" s="2" t="inlineStr">
        <is>
          <t>மோவாபில் இஸ்ரவேலுடன் உடன்படிக்கை</t>
        </is>
      </c>
      <c r="M129" s="7" t="inlineStr">
        <is>
          <t>Just before entering the Promised Land, Jehovah made a covenant with Israel on the Plains of Moab.</t>
        </is>
      </c>
      <c r="N129" s="7" t="n"/>
      <c r="O129" s="8" t="inlineStr">
        <is>
          <t>Bible</t>
        </is>
      </c>
      <c r="P129" s="7" t="inlineStr">
        <is>
          <t>bible.covenant</t>
        </is>
      </c>
      <c r="Q129" s="7" t="inlineStr">
        <is>
          <t>covenant</t>
        </is>
      </c>
      <c r="R129" s="7" t="inlineStr">
        <is>
          <t>Moses</t>
        </is>
      </c>
      <c r="S129" s="7" t="inlineStr">
        <is>
          <t>Plains of Moab</t>
        </is>
      </c>
      <c r="T129" s="7" t="inlineStr">
        <is>
          <t>Deut. 29:1</t>
        </is>
      </c>
      <c r="U129" s="7" t="inlineStr">
        <is>
          <t>உபா. 29:1</t>
        </is>
      </c>
      <c r="V129" s="7" t="n">
        <v>3</v>
      </c>
      <c r="W129" s="7" t="inlineStr">
        <is>
          <t>Study Number 3—Measuring Events in the Stream of Time</t>
        </is>
      </c>
      <c r="X129" s="9" t="inlineStr">
        <is>
          <t>open</t>
        </is>
      </c>
      <c r="Y129" s="9" t="inlineStr">
        <is>
          <t>open</t>
        </is>
      </c>
      <c r="Z129" s="7" t="inlineStr">
        <is>
          <t>https://wol.jw.org/en/wol/d/r1/lp-e/1101990130
https://wol.jw.org/en/wol/d/r1/lp-e/1200001054
https://wol.jw.org/en/wol/d/r1/lp-e/1200271562</t>
        </is>
      </c>
      <c r="AA129" s="7" t="n">
        <v>0</v>
      </c>
      <c r="AB129" s="7" t="n"/>
      <c r="AC129" s="7" t="n">
        <v>0</v>
      </c>
      <c r="AD129" s="7" t="n"/>
      <c r="AE129" s="7" t="n"/>
      <c r="AF129" s="7" t="n"/>
      <c r="AG129" s="7" t="n"/>
      <c r="AH129" s="7" t="n"/>
      <c r="AI129" s="7" t="n"/>
      <c r="AJ129" s="7" t="n"/>
      <c r="AK129" s="7" t="inlineStr">
        <is>
          <t>covenants #29 (start)</t>
        </is>
      </c>
      <c r="AL129" s="7" t="n"/>
      <c r="AM129" s="7" t="n">
        <v>-1472.95</v>
      </c>
      <c r="AN129" s="10" t="n"/>
      <c r="AO129" s="10" t="n"/>
      <c r="AP129" s="10" t="n"/>
      <c r="AQ129" s="10" t="n"/>
    </row>
    <row r="130">
      <c r="A130" s="7" t="inlineStr">
        <is>
          <t>b11-0005</t>
        </is>
      </c>
      <c r="B130" s="7" t="inlineStr">
        <is>
          <t>Point</t>
        </is>
      </c>
      <c r="C130" s="7" t="n"/>
      <c r="D130" s="7" t="inlineStr">
        <is>
          <t>1473 B.C.E.</t>
        </is>
      </c>
      <c r="E130" s="7" t="inlineStr">
        <is>
          <t>கி.மு. 1473</t>
        </is>
      </c>
      <c r="F130" s="7" t="inlineStr">
        <is>
          <t>1473 BCE</t>
        </is>
      </c>
      <c r="G130" s="7" t="inlineStr">
        <is>
          <t>Exact</t>
        </is>
      </c>
      <c r="H130" s="7" t="n"/>
      <c r="I130" s="7" t="n"/>
      <c r="J130" s="7" t="n"/>
      <c r="K130" s="2" t="inlineStr">
        <is>
          <t>Writing of Numbers completed</t>
        </is>
      </c>
      <c r="L130" s="2" t="inlineStr">
        <is>
          <t>எண்ணாகமம் — எழுதி முடிக்கப்பட்டது</t>
        </is>
      </c>
      <c r="M130" s="7" t="inlineStr">
        <is>
          <t>The writing of Numbers was completed in 1473 B.C.E. Writer: Moses; place written: Wilderness and Plains of Moab. Time covered: 1512-1473 B.C.E.</t>
        </is>
      </c>
      <c r="N130" s="7" t="inlineStr">
        <is>
          <t>எண்ணாகமம்: எழுதியவர்(கள்): மோசே; எழுதப்பட்ட இடம்: வனாந்தரம், மோவாப் பாலைநிலம்; முடிக்கப்பட்ட வருஷம் (கி.மு.): 1473; காலப்பகுதி (கி.மு.): 1512-1473.</t>
        </is>
      </c>
      <c r="O130" s="8" t="inlineStr">
        <is>
          <t>Bible</t>
        </is>
      </c>
      <c r="P130" s="7" t="inlineStr">
        <is>
          <t>bible.book_writing</t>
        </is>
      </c>
      <c r="Q130" s="7" t="inlineStr">
        <is>
          <t>writing_completed</t>
        </is>
      </c>
      <c r="R130" s="7" t="inlineStr">
        <is>
          <t>Moses</t>
        </is>
      </c>
      <c r="S130" s="7" t="inlineStr">
        <is>
          <t>Wilderness; Plains of Moab</t>
        </is>
      </c>
      <c r="T130" s="7" t="inlineStr">
        <is>
          <t>Num.</t>
        </is>
      </c>
      <c r="U130" s="7" t="inlineStr">
        <is>
          <t>எண்.</t>
        </is>
      </c>
      <c r="V130" s="7" t="n">
        <v>6</v>
      </c>
      <c r="W130" s="7" t="inlineStr">
        <is>
          <t>Table of the Books of the Bible</t>
        </is>
      </c>
      <c r="X130" s="9" t="inlineStr">
        <is>
          <t>open</t>
        </is>
      </c>
      <c r="Y130" s="9" t="inlineStr">
        <is>
          <t>open</t>
        </is>
      </c>
      <c r="Z130" s="7" t="inlineStr">
        <is>
          <t>https://wol.jw.org/en/wol/d/r1/lp-e/1001070071
https://wol.jw.org/en/wol/d/r1/lp-e/1101990065
https://www.jw.org/en/library/bible/study-bible/books-of-the-bible-list/
https://wol.jw.org/en/wol/d/r1/lp-e/1001060002
https://wol.jw.org/en/wol/d/r1/lp-e/1001061171
https://wol.jw.org/en/wol/d/r1/lp-e/1101990130</t>
        </is>
      </c>
      <c r="AA130" s="7" t="n">
        <v>0</v>
      </c>
      <c r="AB130" s="7" t="n"/>
      <c r="AC130" s="7" t="n">
        <v>0</v>
      </c>
      <c r="AD130" s="7" t="n"/>
      <c r="AE130" s="7" t="n"/>
      <c r="AF130" s="7" t="n"/>
      <c r="AG130" s="7" t="n"/>
      <c r="AH130" s="7" t="n"/>
      <c r="AI130" s="7" t="n"/>
      <c r="AJ130" s="7" t="n"/>
      <c r="AK130" s="7" t="inlineStr">
        <is>
          <t>bible-books-written #4 (item)</t>
        </is>
      </c>
      <c r="AL130" s="7" t="inlineStr">
        <is>
          <t>Writer(s): Moses. Place written: Wilderness and Plains of Moab. Writing completed: 1473 B.C.E. Time covered: 1512-1473 B.C.E.</t>
        </is>
      </c>
      <c r="AM130" s="7" t="n">
        <v>-1472.9496</v>
      </c>
      <c r="AN130" s="10" t="n"/>
      <c r="AO130" s="10" t="n"/>
      <c r="AP130" s="10" t="n"/>
      <c r="AQ130" s="10" t="n"/>
    </row>
    <row r="131">
      <c r="A131" s="7" t="inlineStr">
        <is>
          <t>b11-0006</t>
        </is>
      </c>
      <c r="B131" s="7" t="inlineStr">
        <is>
          <t>Point</t>
        </is>
      </c>
      <c r="C131" s="7" t="n"/>
      <c r="D131" s="7" t="inlineStr">
        <is>
          <t>1473 B.C.E.</t>
        </is>
      </c>
      <c r="E131" s="7" t="inlineStr">
        <is>
          <t>கி.மு. 1473</t>
        </is>
      </c>
      <c r="F131" s="7" t="inlineStr">
        <is>
          <t>1473 BCE</t>
        </is>
      </c>
      <c r="G131" s="7" t="inlineStr">
        <is>
          <t>Exact</t>
        </is>
      </c>
      <c r="H131" s="7" t="n"/>
      <c r="I131" s="7" t="n"/>
      <c r="J131" s="7" t="n"/>
      <c r="K131" s="2" t="inlineStr">
        <is>
          <t>Writing of Deuteronomy completed</t>
        </is>
      </c>
      <c r="L131" s="2" t="inlineStr">
        <is>
          <t>உபாகமம் — எழுதி முடிக்கப்பட்டது</t>
        </is>
      </c>
      <c r="M131" s="7" t="inlineStr">
        <is>
          <t>The writing of Deuteronomy was completed in 1473 B.C.E. Writer: Moses; place written: Plains of Moab. Time covered: 2 months (1473 B.C.E.).</t>
        </is>
      </c>
      <c r="N131" s="7" t="inlineStr">
        <is>
          <t>உபாகமம்: எழுதியவர்(கள்): மோசே; எழுதப்பட்ட இடம்: மோவாப் பாலைநிலம்; முடிக்கப்பட்ட வருஷம் (கி.மு.): 1473; காலப்பகுதி (கி.மு.): 2 மாதங்கள் (1473).</t>
        </is>
      </c>
      <c r="O131" s="8" t="inlineStr">
        <is>
          <t>Bible</t>
        </is>
      </c>
      <c r="P131" s="7" t="inlineStr">
        <is>
          <t>bible.book_writing</t>
        </is>
      </c>
      <c r="Q131" s="7" t="inlineStr">
        <is>
          <t>writing_completed</t>
        </is>
      </c>
      <c r="R131" s="7" t="inlineStr">
        <is>
          <t>Moses</t>
        </is>
      </c>
      <c r="S131" s="7" t="inlineStr">
        <is>
          <t>Plains of Moab</t>
        </is>
      </c>
      <c r="T131" s="7" t="inlineStr">
        <is>
          <t>Deut.</t>
        </is>
      </c>
      <c r="U131" s="7" t="inlineStr">
        <is>
          <t>உபா.</t>
        </is>
      </c>
      <c r="V131" s="7" t="n">
        <v>6</v>
      </c>
      <c r="W131" s="7" t="inlineStr">
        <is>
          <t>Table of the Books of the Bible</t>
        </is>
      </c>
      <c r="X131" s="9" t="inlineStr">
        <is>
          <t>open</t>
        </is>
      </c>
      <c r="Y131" s="9" t="inlineStr">
        <is>
          <t>open</t>
        </is>
      </c>
      <c r="Z131" s="7" t="inlineStr">
        <is>
          <t>https://wol.jw.org/en/wol/d/r1/lp-e/1001070071
https://wol.jw.org/en/wol/d/r1/lp-e/1101990066
https://www.jw.org/en/library/bible/study-bible/books-of-the-bible-list/
https://wol.jw.org/en/wol/d/r1/lp-e/1001060002
https://wol.jw.org/en/wol/d/r1/lp-e/1001061171
https://wol.jw.org/en/wol/d/r1/lp-e/1101990130</t>
        </is>
      </c>
      <c r="AA131" s="7" t="n">
        <v>0</v>
      </c>
      <c r="AB131" s="7" t="n"/>
      <c r="AC131" s="7" t="n">
        <v>0</v>
      </c>
      <c r="AD131" s="7" t="n"/>
      <c r="AE131" s="7" t="n"/>
      <c r="AF131" s="7" t="n"/>
      <c r="AG131" s="7" t="n"/>
      <c r="AH131" s="7" t="n"/>
      <c r="AI131" s="7" t="n"/>
      <c r="AJ131" s="7" t="n"/>
      <c r="AK131" s="7" t="inlineStr">
        <is>
          <t>bible-books-written #5 (item)</t>
        </is>
      </c>
      <c r="AL131" s="7" t="inlineStr">
        <is>
          <t>Writer(s): Moses. Place written: Plains of Moab. Writing completed: 1473 B.C.E. Time covered: 2 months (1473 B.C.E.). si par. 6: writing practically complete by the close of the 11th month of the 40th year, Moses dying early in the 12th month, early in 1473 B.C.E.</t>
        </is>
      </c>
      <c r="AM131" s="7" t="n">
        <v>-1472.8995</v>
      </c>
      <c r="AN131" s="10" t="n"/>
      <c r="AO131" s="10" t="n"/>
      <c r="AP131" s="10" t="n"/>
      <c r="AQ131" s="10" t="n"/>
    </row>
    <row r="132">
      <c r="A132" s="7" t="inlineStr">
        <is>
          <t>b11-0007</t>
        </is>
      </c>
      <c r="B132" s="7" t="inlineStr">
        <is>
          <t>Point</t>
        </is>
      </c>
      <c r="C132" s="7" t="n"/>
      <c r="D132" s="7" t="inlineStr">
        <is>
          <t>c. 1473 B.C.E.</t>
        </is>
      </c>
      <c r="E132" s="7" t="inlineStr">
        <is>
          <t>ஏ. கி.மு. 1473</t>
        </is>
      </c>
      <c r="F132" s="7" t="inlineStr">
        <is>
          <t>1473 BCE</t>
        </is>
      </c>
      <c r="G132" s="7" t="inlineStr">
        <is>
          <t>Approx. (c.)</t>
        </is>
      </c>
      <c r="H132" s="7" t="n"/>
      <c r="I132" s="7" t="n"/>
      <c r="J132" s="7" t="n"/>
      <c r="K132" s="2" t="inlineStr">
        <is>
          <t>Writing of Job completed</t>
        </is>
      </c>
      <c r="L132" s="2" t="inlineStr">
        <is>
          <t>யோபு — எழுதி முடிக்கப்பட்டது</t>
        </is>
      </c>
      <c r="M132" s="7" t="inlineStr">
        <is>
          <t>The writing of Job was completed c. 1473 B.C.E. Writer: Moses; place written: Wilderness. Time covered: Over 140 years between 1657 and 1473 B.C.E.</t>
        </is>
      </c>
      <c r="N132" s="7" t="inlineStr">
        <is>
          <t>யோபு: எழுதியவர்(கள்): மோசே; எழுதப்பட்ட இடம்: வனாந்தரம்; முடிக்கப்பட்ட வருஷம் (கி.மு.): ஏ. 1473; காலப்பகுதி (கி.மு.): 1657-க்கும் 1473-க்கும் இடைப்பட்ட 140-க்கும் அதிகமான வருஷங்கள்.</t>
        </is>
      </c>
      <c r="O132" s="8" t="inlineStr">
        <is>
          <t>Bible</t>
        </is>
      </c>
      <c r="P132" s="7" t="inlineStr">
        <is>
          <t>bible.book_writing</t>
        </is>
      </c>
      <c r="Q132" s="7" t="inlineStr">
        <is>
          <t>writing_completed</t>
        </is>
      </c>
      <c r="R132" s="7" t="inlineStr">
        <is>
          <t>Moses</t>
        </is>
      </c>
      <c r="S132" s="7" t="inlineStr">
        <is>
          <t>Wilderness</t>
        </is>
      </c>
      <c r="T132" s="7" t="inlineStr">
        <is>
          <t>Job</t>
        </is>
      </c>
      <c r="U132" s="7" t="inlineStr">
        <is>
          <t>யோபு</t>
        </is>
      </c>
      <c r="V132" s="7" t="n">
        <v>7</v>
      </c>
      <c r="W132" s="7" t="inlineStr">
        <is>
          <t>Table of the Books of the Bible</t>
        </is>
      </c>
      <c r="X132" s="9" t="inlineStr">
        <is>
          <t>open</t>
        </is>
      </c>
      <c r="Y132" s="9" t="inlineStr">
        <is>
          <t>open</t>
        </is>
      </c>
      <c r="Z132" s="7" t="inlineStr">
        <is>
          <t>https://wol.jw.org/en/wol/d/r1/lp-e/1001070071
https://wol.jw.org/en/wol/d/r1/lp-e/1101990079
https://www.jw.org/en/library/bible/study-bible/books-of-the-bible-list/
https://wol.jw.org/en/wol/d/r1/lp-e/1001060002
https://wol.jw.org/en/wol/d/r1/lp-e/1001061171
https://wol.jw.org/en/wol/d/r1/lp-e/1101990130
https://wol.jw.org/en/wol/d/r1/lp-e/1200002475</t>
        </is>
      </c>
      <c r="AA132" s="7" t="n">
        <v>0</v>
      </c>
      <c r="AB132" s="7" t="n"/>
      <c r="AC132" s="7" t="n">
        <v>0</v>
      </c>
      <c r="AD132" s="7" t="n"/>
      <c r="AE132" s="7" t="n"/>
      <c r="AF132" s="7" t="n"/>
      <c r="AG132" s="7" t="n"/>
      <c r="AH132" s="7" t="n"/>
      <c r="AI132" s="7" t="n"/>
      <c r="AJ132" s="7" t="n"/>
      <c r="AK132" s="7" t="inlineStr">
        <is>
          <t>bible-books-written #18 (item)</t>
        </is>
      </c>
      <c r="AL132" s="7" t="inlineStr">
        <is>
          <t>Writer(s): Moses. Place written: Wilderness. Writing completed: c. 1473 B.C.E. Time covered: Over 140 years between 1657 and 1473 B.C.E.</t>
        </is>
      </c>
      <c r="AM132" s="7" t="n">
        <v>-1472.8882</v>
      </c>
      <c r="AN132" s="10" t="n"/>
      <c r="AO132" s="10" t="n"/>
      <c r="AP132" s="10" t="n"/>
      <c r="AQ132" s="10" t="n"/>
    </row>
    <row r="133">
      <c r="A133" s="7" t="inlineStr">
        <is>
          <t>b2-0042</t>
        </is>
      </c>
      <c r="B133" s="7" t="inlineStr">
        <is>
          <t>Point</t>
        </is>
      </c>
      <c r="C133" s="7" t="n"/>
      <c r="D133" s="7" t="inlineStr">
        <is>
          <t>1473 B.C.E., Adar (12th month)</t>
        </is>
      </c>
      <c r="E133" s="7" t="inlineStr">
        <is>
          <t>கி.மு. 1473</t>
        </is>
      </c>
      <c r="F133" s="7" t="inlineStr">
        <is>
          <t>1473 BCE</t>
        </is>
      </c>
      <c r="G133" s="7" t="inlineStr">
        <is>
          <t>Exact</t>
        </is>
      </c>
      <c r="H133" s="7" t="n"/>
      <c r="I133" s="7" t="n"/>
      <c r="J133" s="7" t="n"/>
      <c r="K133" s="2" t="inlineStr">
        <is>
          <t>Joshua commissioned to succeed Moses</t>
        </is>
      </c>
      <c r="L133" s="2" t="inlineStr">
        <is>
          <t>மோசேக்குப் பின்பு யோசுவா தலைவராகிறார்</t>
        </is>
      </c>
      <c r="M133" s="7" t="inlineStr">
        <is>
          <t>In the 12th month of the 40th year, Moses announced that Jehovah had appointed Joshua as his successor, and Joshua was commissioned and urged to be courageous.</t>
        </is>
      </c>
      <c r="N133" s="7" t="n"/>
      <c r="O133" s="8" t="inlineStr">
        <is>
          <t>Bible</t>
        </is>
      </c>
      <c r="P133" s="7" t="inlineStr">
        <is>
          <t>bible.exodus_law</t>
        </is>
      </c>
      <c r="Q133" s="7" t="inlineStr">
        <is>
          <t>appointment</t>
        </is>
      </c>
      <c r="R133" s="7" t="inlineStr">
        <is>
          <t>Joshua; Moses</t>
        </is>
      </c>
      <c r="S133" s="7" t="inlineStr">
        <is>
          <t>Plains of Moab</t>
        </is>
      </c>
      <c r="T133" s="7" t="inlineStr">
        <is>
          <t>Deut. 31:1-3, 23</t>
        </is>
      </c>
      <c r="U133" s="7" t="n"/>
      <c r="V133" s="7" t="n">
        <v>2</v>
      </c>
      <c r="W133" s="7" t="inlineStr">
        <is>
          <t>Moses</t>
        </is>
      </c>
      <c r="X133" s="9" t="inlineStr">
        <is>
          <t>open</t>
        </is>
      </c>
      <c r="Y133" s="7" t="n"/>
      <c r="Z133" s="7" t="inlineStr">
        <is>
          <t>https://wol.jw.org/en/wol/d/r1/lp-e/1200003118
https://wol.jw.org/en/wol/d/r1/lp-e/1001061223</t>
        </is>
      </c>
      <c r="AA133" s="7" t="n">
        <v>0</v>
      </c>
      <c r="AB133" s="7" t="n"/>
      <c r="AC133" s="7" t="n">
        <v>0</v>
      </c>
      <c r="AD133" s="7" t="n"/>
      <c r="AE133" s="7" t="n"/>
      <c r="AF133" s="7" t="n"/>
      <c r="AG133" s="7" t="n"/>
      <c r="AH133" s="7" t="n"/>
      <c r="AI133" s="7" t="n"/>
      <c r="AJ133" s="7" t="n"/>
      <c r="AK133" s="7" t="inlineStr">
        <is>
          <t>exodus-route #12 (item)</t>
        </is>
      </c>
      <c r="AL133" s="7" t="n"/>
      <c r="AM133" s="7" t="n">
        <v>-1472.86</v>
      </c>
      <c r="AN133" s="10" t="n"/>
      <c r="AO133" s="10" t="n"/>
      <c r="AP133" s="10" t="n"/>
      <c r="AQ133" s="10" t="n"/>
    </row>
    <row r="134">
      <c r="A134" s="7" t="inlineStr">
        <is>
          <t>b2-0043</t>
        </is>
      </c>
      <c r="B134" s="7" t="inlineStr">
        <is>
          <t>Point</t>
        </is>
      </c>
      <c r="C134" s="7" t="n"/>
      <c r="D134" s="7" t="inlineStr">
        <is>
          <t>1473 B.C.E., Adar</t>
        </is>
      </c>
      <c r="E134" s="7" t="inlineStr">
        <is>
          <t>பொ.ச.மு. 1473</t>
        </is>
      </c>
      <c r="F134" s="7" t="inlineStr">
        <is>
          <t>1473 BCE</t>
        </is>
      </c>
      <c r="G134" s="7" t="inlineStr">
        <is>
          <t>Exact</t>
        </is>
      </c>
      <c r="H134" s="7" t="n"/>
      <c r="I134" s="7" t="n"/>
      <c r="J134" s="7" t="n"/>
      <c r="K134" s="2" t="inlineStr">
        <is>
          <t>Moses dies on Mount Nebo in Moab</t>
        </is>
      </c>
      <c r="L134" s="2" t="inlineStr">
        <is>
          <t>மோவாபிலுள்ள நேபோ மலையில் மோசே மரிக்கிறார்</t>
        </is>
      </c>
      <c r="M134" s="7" t="inlineStr">
        <is>
          <t>After viewing the Promised Land from Mount Nebo, Moses died at the age of 120, early in the 12th month of the 40th year after the Exodus.</t>
        </is>
      </c>
      <c r="N134" s="7" t="inlineStr">
        <is>
          <t>மோசே 40-வது ஆண்டின் 12-வது மாதத் தொடக்கத்தில் மரித்திருக்கலாம். (அந்த மாதத்தின் முடிவுக்குள், அல்லது பொ.ச.மு. 1473-ன் தொடக்கத்தில் இந்தப் புத்தகம் பெரும்பாலும் எழுதி முடிக்கப்பட்டிருக்க வேண்டும்.)</t>
        </is>
      </c>
      <c r="O134" s="8" t="inlineStr">
        <is>
          <t>Bible</t>
        </is>
      </c>
      <c r="P134" s="7" t="inlineStr">
        <is>
          <t>bible.exodus_law</t>
        </is>
      </c>
      <c r="Q134" s="7" t="inlineStr">
        <is>
          <t>death</t>
        </is>
      </c>
      <c r="R134" s="7" t="inlineStr">
        <is>
          <t>Moses</t>
        </is>
      </c>
      <c r="S134" s="7" t="inlineStr">
        <is>
          <t>Mount Nebo; Moab</t>
        </is>
      </c>
      <c r="T134" s="7" t="inlineStr">
        <is>
          <t>Deut. 34:1, 5, 7</t>
        </is>
      </c>
      <c r="U134" s="7" t="inlineStr">
        <is>
          <t>உபா. 34:1, 5, 7</t>
        </is>
      </c>
      <c r="V134" s="7" t="n">
        <v>4</v>
      </c>
      <c r="W134" s="7" t="inlineStr">
        <is>
          <t>Study Number 3—Measuring Events in the Stream of Time</t>
        </is>
      </c>
      <c r="X134" s="9" t="inlineStr">
        <is>
          <t>open</t>
        </is>
      </c>
      <c r="Y134" s="9" t="inlineStr">
        <is>
          <t>open</t>
        </is>
      </c>
      <c r="Z134" s="7" t="inlineStr">
        <is>
          <t>https://wol.jw.org/en/wol/d/r1/lp-e/1101990130
https://wol.jw.org/en/wol/d/r1/lp-e/1101990066
https://wol.jw.org/en/wol/d/r1/lp-e/1200003118
https://wol.jw.org/en/wol/d/r1/lp-e/1102025962</t>
        </is>
      </c>
      <c r="AA134" s="7" t="n">
        <v>0</v>
      </c>
      <c r="AB134" s="7" t="n"/>
      <c r="AC134" s="7" t="n">
        <v>1</v>
      </c>
      <c r="AD134" s="7" t="inlineStr">
        <is>
          <t>date as given by merged duplicate b11-0008 (b11): Moses dies on Mount Nebo at age 120</t>
        </is>
      </c>
      <c r="AE134" s="7" t="n"/>
      <c r="AF134" s="7" t="n"/>
      <c r="AG134" s="7" t="n"/>
      <c r="AH134" s="7" t="n"/>
      <c r="AI134" s="7" t="inlineStr">
        <is>
          <t>Span endpoint – keep</t>
        </is>
      </c>
      <c r="AJ134" s="7" t="inlineStr">
        <is>
          <t>end of Life of Moses (d1-0018)</t>
        </is>
      </c>
      <c r="AK134" s="7" t="inlineStr">
        <is>
          <t>exodus-route #13 (context)</t>
        </is>
      </c>
      <c r="AL134" s="7" t="n"/>
      <c r="AM134" s="7" t="n">
        <v>-1472.85</v>
      </c>
      <c r="AN134" s="10" t="n"/>
      <c r="AO134" s="10" t="n"/>
      <c r="AP134" s="10" t="n"/>
      <c r="AQ134" s="10" t="n"/>
    </row>
    <row r="135">
      <c r="A135" s="7" t="inlineStr">
        <is>
          <t>b2-0044</t>
        </is>
      </c>
      <c r="B135" s="7" t="inlineStr">
        <is>
          <t>Point</t>
        </is>
      </c>
      <c r="C135" s="7" t="n"/>
      <c r="D135" s="7" t="inlineStr">
        <is>
          <t>1473 B.C.E., spring</t>
        </is>
      </c>
      <c r="E135" s="7" t="n"/>
      <c r="F135" s="7" t="inlineStr">
        <is>
          <t>1473 BCE</t>
        </is>
      </c>
      <c r="G135" s="7" t="inlineStr">
        <is>
          <t>Exact</t>
        </is>
      </c>
      <c r="H135" s="7" t="n"/>
      <c r="I135" s="7" t="n"/>
      <c r="J135" s="7" t="n"/>
      <c r="K135" s="2" t="inlineStr">
        <is>
          <t>Two spies lodge with Rahab in Jericho</t>
        </is>
      </c>
      <c r="L135" s="2" t="n"/>
      <c r="M135" s="7" t="inlineStr">
        <is>
          <t>Joshua sent two spies to Jericho; Rahab hid them and helped them escape, and they promised to spare her household.</t>
        </is>
      </c>
      <c r="N135" s="7" t="n"/>
      <c r="O135" s="8" t="inlineStr">
        <is>
          <t>Bible</t>
        </is>
      </c>
      <c r="P135" s="7" t="inlineStr">
        <is>
          <t>bible.conquest_judges</t>
        </is>
      </c>
      <c r="Q135" s="7" t="inlineStr">
        <is>
          <t>event</t>
        </is>
      </c>
      <c r="R135" s="7" t="inlineStr">
        <is>
          <t>Rahab; Joshua</t>
        </is>
      </c>
      <c r="S135" s="7" t="inlineStr">
        <is>
          <t>Jericho; Shittim</t>
        </is>
      </c>
      <c r="T135" s="7" t="inlineStr">
        <is>
          <t>Josh. 2:1-21</t>
        </is>
      </c>
      <c r="U135" s="7" t="n"/>
      <c r="V135" s="7" t="n">
        <v>2</v>
      </c>
      <c r="W135" s="7" t="inlineStr">
        <is>
          <t>Rahab</t>
        </is>
      </c>
      <c r="X135" s="9" t="inlineStr">
        <is>
          <t>open</t>
        </is>
      </c>
      <c r="Y135" s="7" t="n"/>
      <c r="Z135" s="7" t="inlineStr">
        <is>
          <t>https://wol.jw.org/en/wol/d/r1/lp-e/1200003623
https://wol.jw.org/en/wol/d/r1/lp-e/1200271562</t>
        </is>
      </c>
      <c r="AA135" s="7" t="n">
        <v>0</v>
      </c>
      <c r="AB135" s="7" t="n"/>
      <c r="AC135" s="7" t="n">
        <v>0</v>
      </c>
      <c r="AD135" s="7" t="n"/>
      <c r="AE135" s="7" t="n"/>
      <c r="AF135" s="7" t="n"/>
      <c r="AG135" s="7" t="n"/>
      <c r="AH135" s="7" t="n"/>
      <c r="AI135" s="7" t="n"/>
      <c r="AJ135" s="7" t="n"/>
      <c r="AK135" s="7" t="n"/>
      <c r="AL135" s="7" t="n"/>
      <c r="AM135" s="7" t="n">
        <v>-1472.8</v>
      </c>
      <c r="AN135" s="10" t="n"/>
      <c r="AO135" s="10" t="n"/>
      <c r="AP135" s="10" t="n"/>
      <c r="AQ135" s="10" t="n"/>
    </row>
    <row r="136">
      <c r="A136" s="7" t="inlineStr">
        <is>
          <t>b2-0045</t>
        </is>
      </c>
      <c r="B136" s="7" t="inlineStr">
        <is>
          <t>Point</t>
        </is>
      </c>
      <c r="C136" s="7" t="n"/>
      <c r="D136" s="7" t="inlineStr">
        <is>
          <t>1473 B.C.E., Nisan 10</t>
        </is>
      </c>
      <c r="E136" s="7" t="inlineStr">
        <is>
          <t>பொ.ச.மு. 1473</t>
        </is>
      </c>
      <c r="F136" s="7" t="inlineStr">
        <is>
          <t>1473 BCE</t>
        </is>
      </c>
      <c r="G136" s="7" t="inlineStr">
        <is>
          <t>Exact</t>
        </is>
      </c>
      <c r="H136" s="7" t="n"/>
      <c r="I136" s="7" t="n"/>
      <c r="J136" s="7" t="n"/>
      <c r="K136" s="2" t="inlineStr">
        <is>
          <t>Israel crosses the Jordan and enters Canaan under Joshua</t>
        </is>
      </c>
      <c r="L136" s="2" t="inlineStr">
        <is>
          <t>யோசுவாவின் தலைமையில் இஸ்ரவேலர் கானானுக்குள் பிரவேசிக்கின்றனர்</t>
        </is>
      </c>
      <c r="M136" s="7" t="inlineStr">
        <is>
          <t>Jehovah dammed up the Jordan so Israel crossed on dry ground; Joshua set up memorial stones and the nation encamped at Gilgal.</t>
        </is>
      </c>
      <c r="N136" s="7" t="n"/>
      <c r="O136" s="8" t="inlineStr">
        <is>
          <t>Bible</t>
        </is>
      </c>
      <c r="P136" s="7" t="inlineStr">
        <is>
          <t>bible.conquest_judges</t>
        </is>
      </c>
      <c r="Q136" s="7" t="inlineStr">
        <is>
          <t>miracle</t>
        </is>
      </c>
      <c r="R136" s="7" t="inlineStr">
        <is>
          <t>Joshua</t>
        </is>
      </c>
      <c r="S136" s="7" t="inlineStr">
        <is>
          <t>Jordan River; Gilgal</t>
        </is>
      </c>
      <c r="T136" s="7" t="inlineStr">
        <is>
          <t>Josh. 3:14-17; Josh. 4:19</t>
        </is>
      </c>
      <c r="U136" s="7" t="inlineStr">
        <is>
          <t>யோசு. 4:19</t>
        </is>
      </c>
      <c r="V136" s="7" t="n">
        <v>6</v>
      </c>
      <c r="W136" s="7" t="inlineStr">
        <is>
          <t>Study Number 3—Measuring Events in the Stream of Time</t>
        </is>
      </c>
      <c r="X136" s="9" t="inlineStr">
        <is>
          <t>open</t>
        </is>
      </c>
      <c r="Y136" s="9" t="inlineStr">
        <is>
          <t>open</t>
        </is>
      </c>
      <c r="Z136" s="7" t="inlineStr">
        <is>
          <t>https://wol.jw.org/en/wol/d/r1/lp-e/1101990130
https://wol.jw.org/en/wol/d/r1/lp-e/1200001695
https://wol.jw.org/en/wol/d/r1/lp-e/1200000970
https://wol.jw.org/en/wol/d/r1/lp-e/1001061224
https://wol.jw.org/en/wol/d/r1/lp-e/1102025962
https://wol.jw.org/en/wol/d/r1/lp-e/1200271562</t>
        </is>
      </c>
      <c r="AA136" s="7" t="n">
        <v>2</v>
      </c>
      <c r="AB136" s="9" t="inlineStr">
        <is>
          <t>open</t>
        </is>
      </c>
      <c r="AC136" s="7" t="n">
        <v>0</v>
      </c>
      <c r="AD136" s="7" t="n"/>
      <c r="AE136" s="7" t="n"/>
      <c r="AF136" s="7" t="n"/>
      <c r="AG136" s="7" t="n"/>
      <c r="AH136" s="7" t="n"/>
      <c r="AI136" s="7" t="inlineStr">
        <is>
          <t>Span endpoint – keep</t>
        </is>
      </c>
      <c r="AJ136" s="7" t="inlineStr">
        <is>
          <t>end of Israel’s 40 years in the wilderness (b12-0007); start of Israel’s conquest of Canaan under Joshua (b12-0008)</t>
        </is>
      </c>
      <c r="AK136" s="7" t="inlineStr">
        <is>
          <t>conquest-of-canaan #2 (item)</t>
        </is>
      </c>
      <c r="AL136" s="7" t="n"/>
      <c r="AM136" s="7" t="n">
        <v>-1472.76</v>
      </c>
      <c r="AN136" s="10" t="n"/>
      <c r="AO136" s="10" t="n"/>
      <c r="AP136" s="10" t="n"/>
      <c r="AQ136" s="10" t="n"/>
    </row>
    <row r="137">
      <c r="A137" s="7" t="inlineStr">
        <is>
          <t>b12-0008</t>
        </is>
      </c>
      <c r="B137" s="11" t="inlineStr">
        <is>
          <t>Span</t>
        </is>
      </c>
      <c r="C137" s="7" t="inlineStr">
        <is>
          <t>war</t>
        </is>
      </c>
      <c r="D137" s="7" t="inlineStr">
        <is>
          <t>1473 B.C.E.–1467 B.C.E.</t>
        </is>
      </c>
      <c r="E137" s="7" t="n"/>
      <c r="F137" s="7" t="inlineStr">
        <is>
          <t>1473 BCE</t>
        </is>
      </c>
      <c r="G137" s="7" t="inlineStr">
        <is>
          <t>Exact</t>
        </is>
      </c>
      <c r="H137" s="7" t="inlineStr">
        <is>
          <t>1467 BCE</t>
        </is>
      </c>
      <c r="I137" s="7" t="inlineStr">
        <is>
          <t>Exact</t>
        </is>
      </c>
      <c r="J137" s="7" t="inlineStr">
        <is>
          <t>some six years</t>
        </is>
      </c>
      <c r="K137" s="2" t="inlineStr">
        <is>
          <t>Israel’s conquest of Canaan under Joshua</t>
        </is>
      </c>
      <c r="L137" s="2" t="n"/>
      <c r="M137" s="7" t="inlineStr">
        <is>
          <t>After crossing the Jordan in 1473 B.C.E., Israel fought for about six years until the major conquest of the land was completed and the land could be distributed among the tribes.</t>
        </is>
      </c>
      <c r="N137" s="7" t="n"/>
      <c r="O137" s="8" t="inlineStr">
        <is>
          <t>Bible</t>
        </is>
      </c>
      <c r="P137" s="7" t="inlineStr">
        <is>
          <t>bible.conquest_judges</t>
        </is>
      </c>
      <c r="Q137" s="7" t="n"/>
      <c r="R137" s="7" t="inlineStr">
        <is>
          <t>Joshua</t>
        </is>
      </c>
      <c r="S137" s="7" t="inlineStr">
        <is>
          <t>Canaan</t>
        </is>
      </c>
      <c r="T137" s="7" t="inlineStr">
        <is>
          <t>Josh. 11:23; Josh. 14:7-10</t>
        </is>
      </c>
      <c r="U137" s="7" t="inlineStr">
        <is>
          <t>யோசு. 11:23; யோசு. 14:7-10</t>
        </is>
      </c>
      <c r="V137" s="7" t="n">
        <v>3</v>
      </c>
      <c r="W137" s="7" t="inlineStr">
        <is>
          <t>Study Number 3—Measuring Events in the Stream of Time</t>
        </is>
      </c>
      <c r="X137" s="9" t="inlineStr">
        <is>
          <t>open</t>
        </is>
      </c>
      <c r="Y137" s="9" t="inlineStr">
        <is>
          <t>open</t>
        </is>
      </c>
      <c r="Z137" s="7" t="inlineStr">
        <is>
          <t>https://wol.jw.org/en/wol/d/r1/lp-e/1101990130
https://wol.jw.org/en/wol/d/r1/lp-e/1101990130
https://wol.jw.org/en/wol/d/r1/lp-e/1200000874</t>
        </is>
      </c>
      <c r="AA137" s="7" t="n">
        <v>0</v>
      </c>
      <c r="AB137" s="7" t="n"/>
      <c r="AC137" s="7" t="n">
        <v>0</v>
      </c>
      <c r="AD137" s="7" t="n"/>
      <c r="AE137" s="7" t="n"/>
      <c r="AF137" s="7" t="inlineStr">
        <is>
          <t>b2-0045</t>
        </is>
      </c>
      <c r="AG137" s="7" t="inlineStr">
        <is>
          <t>b2-0051</t>
        </is>
      </c>
      <c r="AH137" s="7" t="n"/>
      <c r="AI137" s="7" t="n"/>
      <c r="AJ137" s="7" t="n"/>
      <c r="AK137" s="7" t="inlineStr">
        <is>
          <t>conquest-of-canaan #3 (context)</t>
        </is>
      </c>
      <c r="AL137" s="7" t="n"/>
      <c r="AM137" s="7" t="n">
        <v>-1472.76</v>
      </c>
      <c r="AN137" s="10" t="n"/>
      <c r="AO137" s="10" t="n"/>
      <c r="AP137" s="10" t="n"/>
      <c r="AQ137" s="10" t="n"/>
    </row>
    <row r="138">
      <c r="A138" s="7" t="inlineStr">
        <is>
          <t>b2-0046</t>
        </is>
      </c>
      <c r="B138" s="11" t="inlineStr">
        <is>
          <t>Span</t>
        </is>
      </c>
      <c r="C138" s="7" t="inlineStr">
        <is>
          <t>period</t>
        </is>
      </c>
      <c r="D138" s="7" t="inlineStr">
        <is>
          <t>1473 B.C.E., Nisan 11-13</t>
        </is>
      </c>
      <c r="E138" s="7" t="n"/>
      <c r="F138" s="7" t="inlineStr">
        <is>
          <t>1473 BCE</t>
        </is>
      </c>
      <c r="G138" s="7" t="inlineStr">
        <is>
          <t>Exact</t>
        </is>
      </c>
      <c r="H138" s="7" t="inlineStr">
        <is>
          <t>1473 BCE</t>
        </is>
      </c>
      <c r="I138" s="7" t="inlineStr">
        <is>
          <t>Exact</t>
        </is>
      </c>
      <c r="J138" s="7" t="inlineStr">
        <is>
          <t>3 days</t>
        </is>
      </c>
      <c r="K138" s="2" t="inlineStr">
        <is>
          <t>Israelite males circumcised at Gilgal</t>
        </is>
      </c>
      <c r="L138" s="2" t="n"/>
      <c r="M138" s="7" t="inlineStr">
        <is>
          <t>Joshua made flint knives and circumcised the males born in the wilderness, so that the nation was fit to observe the Passover.</t>
        </is>
      </c>
      <c r="N138" s="7" t="n"/>
      <c r="O138" s="8" t="inlineStr">
        <is>
          <t>Bible</t>
        </is>
      </c>
      <c r="P138" s="7" t="inlineStr">
        <is>
          <t>bible.conquest_judges</t>
        </is>
      </c>
      <c r="Q138" s="7" t="inlineStr">
        <is>
          <t>event</t>
        </is>
      </c>
      <c r="R138" s="7" t="inlineStr">
        <is>
          <t>Joshua</t>
        </is>
      </c>
      <c r="S138" s="7" t="inlineStr">
        <is>
          <t>Gilgal</t>
        </is>
      </c>
      <c r="T138" s="7" t="inlineStr">
        <is>
          <t>Josh. 5:2-8</t>
        </is>
      </c>
      <c r="U138" s="7" t="n"/>
      <c r="V138" s="7" t="n">
        <v>2</v>
      </c>
      <c r="W138" s="7" t="inlineStr">
        <is>
          <t>Dates (Calendar)</t>
        </is>
      </c>
      <c r="X138" s="9" t="inlineStr">
        <is>
          <t>open</t>
        </is>
      </c>
      <c r="Y138" s="7" t="n"/>
      <c r="Z138" s="7" t="inlineStr">
        <is>
          <t>https://wol.jw.org/en/wol/d/r1/lp-e/1200271562
https://wol.jw.org/en/wol/d/r1/lp-e/1200002523</t>
        </is>
      </c>
      <c r="AA138" s="7" t="n">
        <v>0</v>
      </c>
      <c r="AB138" s="7" t="n"/>
      <c r="AC138" s="7" t="n">
        <v>0</v>
      </c>
      <c r="AD138" s="7" t="n"/>
      <c r="AE138" s="7" t="n"/>
      <c r="AF138" s="7" t="n"/>
      <c r="AG138" s="7" t="n"/>
      <c r="AH138" s="7" t="n"/>
      <c r="AI138" s="7" t="n"/>
      <c r="AJ138" s="7" t="n"/>
      <c r="AK138" s="7" t="inlineStr">
        <is>
          <t>conquest-of-canaan #4 (context)</t>
        </is>
      </c>
      <c r="AL138" s="7" t="n"/>
      <c r="AM138" s="7" t="n">
        <v>-1472.755</v>
      </c>
      <c r="AN138" s="10" t="n"/>
      <c r="AO138" s="10" t="n"/>
      <c r="AP138" s="10" t="n"/>
      <c r="AQ138" s="10" t="n"/>
    </row>
    <row r="139">
      <c r="A139" s="7" t="inlineStr">
        <is>
          <t>b2-0047</t>
        </is>
      </c>
      <c r="B139" s="7" t="inlineStr">
        <is>
          <t>Point</t>
        </is>
      </c>
      <c r="C139" s="7" t="n"/>
      <c r="D139" s="7" t="inlineStr">
        <is>
          <t>1473 B.C.E., Nisan 14</t>
        </is>
      </c>
      <c r="E139" s="7" t="n"/>
      <c r="F139" s="7" t="inlineStr">
        <is>
          <t>1473 BCE</t>
        </is>
      </c>
      <c r="G139" s="7" t="inlineStr">
        <is>
          <t>Exact</t>
        </is>
      </c>
      <c r="H139" s="7" t="n"/>
      <c r="I139" s="7" t="n"/>
      <c r="J139" s="7" t="n"/>
      <c r="K139" s="2" t="inlineStr">
        <is>
          <t>Passover celebrated at Gilgal</t>
        </is>
      </c>
      <c r="L139" s="2" t="n"/>
      <c r="M139" s="7" t="inlineStr">
        <is>
          <t>Having reached the Promised Land, Israel observed the Passover at Gilgal after the circumcision of the males.</t>
        </is>
      </c>
      <c r="N139" s="7" t="n"/>
      <c r="O139" s="8" t="inlineStr">
        <is>
          <t>Bible</t>
        </is>
      </c>
      <c r="P139" s="7" t="inlineStr">
        <is>
          <t>bible.conquest_judges</t>
        </is>
      </c>
      <c r="Q139" s="7" t="inlineStr">
        <is>
          <t>festival</t>
        </is>
      </c>
      <c r="R139" s="7" t="n"/>
      <c r="S139" s="7" t="inlineStr">
        <is>
          <t>Gilgal</t>
        </is>
      </c>
      <c r="T139" s="7" t="inlineStr">
        <is>
          <t>Josh. 5:10</t>
        </is>
      </c>
      <c r="U139" s="7" t="n"/>
      <c r="V139" s="7" t="n">
        <v>2</v>
      </c>
      <c r="W139" s="7" t="inlineStr">
        <is>
          <t>Passover</t>
        </is>
      </c>
      <c r="X139" s="9" t="inlineStr">
        <is>
          <t>open</t>
        </is>
      </c>
      <c r="Y139" s="7" t="n"/>
      <c r="Z139" s="7" t="inlineStr">
        <is>
          <t>https://wol.jw.org/en/wol/d/r1/lp-e/1200003397
https://wol.jw.org/en/wol/d/r1/lp-e/1200271562</t>
        </is>
      </c>
      <c r="AA139" s="7" t="n">
        <v>0</v>
      </c>
      <c r="AB139" s="7" t="n"/>
      <c r="AC139" s="7" t="n">
        <v>0</v>
      </c>
      <c r="AD139" s="7" t="n"/>
      <c r="AE139" s="7" t="n"/>
      <c r="AF139" s="7" t="n"/>
      <c r="AG139" s="7" t="n"/>
      <c r="AH139" s="7" t="n"/>
      <c r="AI139" s="7" t="n"/>
      <c r="AJ139" s="7" t="n"/>
      <c r="AK139" s="7" t="n"/>
      <c r="AL139" s="7" t="n"/>
      <c r="AM139" s="7" t="n">
        <v>-1472.75</v>
      </c>
      <c r="AN139" s="10" t="n"/>
      <c r="AO139" s="10" t="n"/>
      <c r="AP139" s="10" t="n"/>
      <c r="AQ139" s="10" t="n"/>
    </row>
    <row r="140">
      <c r="A140" s="7" t="inlineStr">
        <is>
          <t>b2-0048</t>
        </is>
      </c>
      <c r="B140" s="7" t="inlineStr">
        <is>
          <t>Point</t>
        </is>
      </c>
      <c r="C140" s="7" t="n"/>
      <c r="D140" s="7" t="inlineStr">
        <is>
          <t>1473 B.C.E., Nisan</t>
        </is>
      </c>
      <c r="E140" s="7" t="n"/>
      <c r="F140" s="7" t="inlineStr">
        <is>
          <t>1473 BCE</t>
        </is>
      </c>
      <c r="G140" s="7" t="inlineStr">
        <is>
          <t>Exact</t>
        </is>
      </c>
      <c r="H140" s="7" t="n"/>
      <c r="I140" s="7" t="n"/>
      <c r="J140" s="7" t="n"/>
      <c r="K140" s="2" t="inlineStr">
        <is>
          <t>Israel eats the produce of the land; manna stops</t>
        </is>
      </c>
      <c r="L140" s="2" t="n"/>
      <c r="M140" s="7" t="inlineStr">
        <is>
          <t>After the Passover, Israel began eating the produce of Canaan, and the manna that had fed them for 40 years ceased.</t>
        </is>
      </c>
      <c r="N140" s="7" t="n"/>
      <c r="O140" s="8" t="inlineStr">
        <is>
          <t>Bible</t>
        </is>
      </c>
      <c r="P140" s="7" t="inlineStr">
        <is>
          <t>bible.conquest_judges</t>
        </is>
      </c>
      <c r="Q140" s="7" t="inlineStr">
        <is>
          <t>event</t>
        </is>
      </c>
      <c r="R140" s="7" t="n"/>
      <c r="S140" s="7" t="inlineStr">
        <is>
          <t>Gilgal</t>
        </is>
      </c>
      <c r="T140" s="7" t="inlineStr">
        <is>
          <t>Josh. 5:11, 12</t>
        </is>
      </c>
      <c r="U140" s="7" t="n"/>
      <c r="V140" s="7" t="n">
        <v>2</v>
      </c>
      <c r="W140" s="7" t="inlineStr">
        <is>
          <t>Manna</t>
        </is>
      </c>
      <c r="X140" s="9" t="inlineStr">
        <is>
          <t>open</t>
        </is>
      </c>
      <c r="Y140" s="7" t="n"/>
      <c r="Z140" s="7" t="inlineStr">
        <is>
          <t>https://wol.jw.org/en/wol/d/r1/lp-e/1200002888
https://wol.jw.org/en/wol/d/r1/lp-e/1200271562</t>
        </is>
      </c>
      <c r="AA140" s="7" t="n">
        <v>0</v>
      </c>
      <c r="AB140" s="7" t="n"/>
      <c r="AC140" s="7" t="n">
        <v>0</v>
      </c>
      <c r="AD140" s="7" t="n"/>
      <c r="AE140" s="7" t="n"/>
      <c r="AF140" s="7" t="n"/>
      <c r="AG140" s="7" t="n"/>
      <c r="AH140" s="7" t="n"/>
      <c r="AI140" s="7" t="n"/>
      <c r="AJ140" s="7" t="n"/>
      <c r="AK140" s="7" t="n"/>
      <c r="AL140" s="7" t="n"/>
      <c r="AM140" s="7" t="n">
        <v>-1472.74</v>
      </c>
      <c r="AN140" s="10" t="n"/>
      <c r="AO140" s="10" t="n"/>
      <c r="AP140" s="10" t="n"/>
      <c r="AQ140" s="10" t="n"/>
    </row>
    <row r="141">
      <c r="A141" s="7" t="inlineStr">
        <is>
          <t>b2-0049</t>
        </is>
      </c>
      <c r="B141" s="7" t="inlineStr">
        <is>
          <t>Point</t>
        </is>
      </c>
      <c r="C141" s="7" t="n"/>
      <c r="D141" s="7" t="inlineStr">
        <is>
          <t>1473 B.C.E.</t>
        </is>
      </c>
      <c r="E141" s="7" t="n"/>
      <c r="F141" s="7" t="inlineStr">
        <is>
          <t>1473 BCE</t>
        </is>
      </c>
      <c r="G141" s="7" t="inlineStr">
        <is>
          <t>Exact</t>
        </is>
      </c>
      <c r="H141" s="7" t="n"/>
      <c r="I141" s="7" t="n"/>
      <c r="J141" s="7" t="n"/>
      <c r="K141" s="2" t="inlineStr">
        <is>
          <t>Fall of Jericho</t>
        </is>
      </c>
      <c r="L141" s="2" t="n"/>
      <c r="M141" s="7" t="inlineStr">
        <is>
          <t>After Israel marched around Jericho for seven days, its walls fell and the city was destroyed; Rahab and her household were spared.</t>
        </is>
      </c>
      <c r="N141" s="7" t="n"/>
      <c r="O141" s="8" t="inlineStr">
        <is>
          <t>Bible</t>
        </is>
      </c>
      <c r="P141" s="7" t="inlineStr">
        <is>
          <t>bible.conquest_judges</t>
        </is>
      </c>
      <c r="Q141" s="7" t="inlineStr">
        <is>
          <t>battle</t>
        </is>
      </c>
      <c r="R141" s="7" t="inlineStr">
        <is>
          <t>Joshua; Rahab</t>
        </is>
      </c>
      <c r="S141" s="7" t="inlineStr">
        <is>
          <t>Jericho</t>
        </is>
      </c>
      <c r="T141" s="7" t="inlineStr">
        <is>
          <t>Josh. 6:1-25; Heb. 11:30, 31</t>
        </is>
      </c>
      <c r="U141" s="7" t="n"/>
      <c r="V141" s="7" t="n">
        <v>3</v>
      </c>
      <c r="W141" s="7" t="inlineStr">
        <is>
          <t>Jericho</t>
        </is>
      </c>
      <c r="X141" s="9" t="inlineStr">
        <is>
          <t>open</t>
        </is>
      </c>
      <c r="Y141" s="7" t="n"/>
      <c r="Z141" s="7" t="inlineStr">
        <is>
          <t>https://wol.jw.org/en/wol/d/r1/lp-e/1200002426
https://wol.jw.org/en/wol/d/r1/lp-e/1200001458
https://wol.jw.org/en/wol/d/r1/lp-e/1200271562</t>
        </is>
      </c>
      <c r="AA141" s="7" t="n">
        <v>1</v>
      </c>
      <c r="AB141" s="9" t="inlineStr">
        <is>
          <t>open</t>
        </is>
      </c>
      <c r="AC141" s="7" t="n">
        <v>0</v>
      </c>
      <c r="AD141" s="7" t="n"/>
      <c r="AE141" s="7" t="n"/>
      <c r="AF141" s="7" t="n"/>
      <c r="AG141" s="7" t="n"/>
      <c r="AH141" s="7" t="n"/>
      <c r="AI141" s="7" t="n"/>
      <c r="AJ141" s="7" t="n"/>
      <c r="AK141" s="7" t="inlineStr">
        <is>
          <t>conquest-of-canaan #5 (context)</t>
        </is>
      </c>
      <c r="AL141" s="7" t="n"/>
      <c r="AM141" s="7" t="n">
        <v>-1472.7</v>
      </c>
      <c r="AN141" s="10" t="n"/>
      <c r="AO141" s="10" t="n"/>
      <c r="AP141" s="10" t="n"/>
      <c r="AQ141" s="10" t="n"/>
    </row>
    <row r="142">
      <c r="A142" s="7" t="inlineStr">
        <is>
          <t>b2-0050</t>
        </is>
      </c>
      <c r="B142" s="7" t="inlineStr">
        <is>
          <t>Point</t>
        </is>
      </c>
      <c r="C142" s="7" t="n"/>
      <c r="D142" s="7" t="inlineStr">
        <is>
          <t>1473 B.C.E.</t>
        </is>
      </c>
      <c r="E142" s="7" t="n"/>
      <c r="F142" s="7" t="inlineStr">
        <is>
          <t>1473 BCE</t>
        </is>
      </c>
      <c r="G142" s="7" t="inlineStr">
        <is>
          <t>Exact</t>
        </is>
      </c>
      <c r="H142" s="7" t="n"/>
      <c r="I142" s="7" t="n"/>
      <c r="J142" s="7" t="n"/>
      <c r="K142" s="2" t="inlineStr">
        <is>
          <t>Defeat at Ai, then Ai captured</t>
        </is>
      </c>
      <c r="L142" s="2" t="n"/>
      <c r="M142" s="7" t="inlineStr">
        <is>
          <t>Following Jericho, a small Israelite force was defeated at Ai because of Achan's sin; after the sin was dealt with, Israel captured Ai.</t>
        </is>
      </c>
      <c r="N142" s="7" t="n"/>
      <c r="O142" s="8" t="inlineStr">
        <is>
          <t>Bible</t>
        </is>
      </c>
      <c r="P142" s="7" t="inlineStr">
        <is>
          <t>bible.conquest_judges</t>
        </is>
      </c>
      <c r="Q142" s="7" t="inlineStr">
        <is>
          <t>battle</t>
        </is>
      </c>
      <c r="R142" s="7" t="inlineStr">
        <is>
          <t>Joshua; Achan</t>
        </is>
      </c>
      <c r="S142" s="7" t="inlineStr">
        <is>
          <t>Ai</t>
        </is>
      </c>
      <c r="T142" s="7" t="inlineStr">
        <is>
          <t>Josh. 7:2-5; Josh. 8:1-29</t>
        </is>
      </c>
      <c r="U142" s="7" t="n"/>
      <c r="V142" s="7" t="n">
        <v>2</v>
      </c>
      <c r="W142" s="7" t="inlineStr">
        <is>
          <t>Ai</t>
        </is>
      </c>
      <c r="X142" s="9" t="inlineStr">
        <is>
          <t>open</t>
        </is>
      </c>
      <c r="Y142" s="7" t="n"/>
      <c r="Z142" s="7" t="inlineStr">
        <is>
          <t>https://wol.jw.org/en/wol/d/r1/lp-e/1200000178
https://wol.jw.org/en/wol/d/r1/lp-e/1200271562</t>
        </is>
      </c>
      <c r="AA142" s="7" t="n">
        <v>0</v>
      </c>
      <c r="AB142" s="7" t="n"/>
      <c r="AC142" s="7" t="n">
        <v>0</v>
      </c>
      <c r="AD142" s="7" t="n"/>
      <c r="AE142" s="7" t="n"/>
      <c r="AF142" s="7" t="n"/>
      <c r="AG142" s="7" t="n"/>
      <c r="AH142" s="7" t="n"/>
      <c r="AI142" s="7" t="n"/>
      <c r="AJ142" s="7" t="n"/>
      <c r="AK142" s="7" t="inlineStr">
        <is>
          <t>conquest-of-canaan #6 (context)</t>
        </is>
      </c>
      <c r="AL142" s="7" t="n"/>
      <c r="AM142" s="7" t="n">
        <v>-1472.69</v>
      </c>
      <c r="AN142" s="10" t="n"/>
      <c r="AO142" s="10" t="n"/>
      <c r="AP142" s="10" t="n"/>
      <c r="AQ142" s="10" t="n"/>
    </row>
    <row r="143">
      <c r="A143" s="7" t="inlineStr">
        <is>
          <t>b2-0051</t>
        </is>
      </c>
      <c r="B143" s="7" t="inlineStr">
        <is>
          <t>Point</t>
        </is>
      </c>
      <c r="C143" s="7" t="n"/>
      <c r="D143" s="7" t="inlineStr">
        <is>
          <t>1467 B.C.E.</t>
        </is>
      </c>
      <c r="E143" s="7" t="inlineStr">
        <is>
          <t>பொ.ச.மு. 1467</t>
        </is>
      </c>
      <c r="F143" s="7" t="inlineStr">
        <is>
          <t>1467 BCE</t>
        </is>
      </c>
      <c r="G143" s="7" t="inlineStr">
        <is>
          <t>Exact</t>
        </is>
      </c>
      <c r="H143" s="7" t="n"/>
      <c r="I143" s="7" t="n"/>
      <c r="J143" s="7" t="n"/>
      <c r="K143" s="2" t="inlineStr">
        <is>
          <t>Major conquest of the land completed</t>
        </is>
      </c>
      <c r="L143" s="2" t="inlineStr">
        <is>
          <t>தேசத்தின் பெரும்பாகம் கைப்பற்றப்பட்டது; அப்போஸ்தலர் 13:17-20-ன் ‘ஏறக்குறைய 450 வருஷங்களின்’ முடிவு</t>
        </is>
      </c>
      <c r="M143" s="7" t="inlineStr">
        <is>
          <t>About six years after entering Canaan, the main warring campaigns ended; this also concluded the 'about 450 years' of Acts 13:17-20 counted from Isaac's birth.</t>
        </is>
      </c>
      <c r="N143" s="7" t="n"/>
      <c r="O143" s="8" t="inlineStr">
        <is>
          <t>Bible</t>
        </is>
      </c>
      <c r="P143" s="7" t="inlineStr">
        <is>
          <t>bible.conquest_judges</t>
        </is>
      </c>
      <c r="Q143" s="7" t="inlineStr">
        <is>
          <t>event</t>
        </is>
      </c>
      <c r="R143" s="7" t="inlineStr">
        <is>
          <t>Joshua; Caleb</t>
        </is>
      </c>
      <c r="S143" s="7" t="inlineStr">
        <is>
          <t>Canaan</t>
        </is>
      </c>
      <c r="T143" s="7" t="inlineStr">
        <is>
          <t>Josh. 11:23; Josh. 14:7, 10-15; Acts 13:17-20</t>
        </is>
      </c>
      <c r="U143" s="7" t="inlineStr">
        <is>
          <t>யோசு. 11:23; அப். 13:17-20</t>
        </is>
      </c>
      <c r="V143" s="7" t="n">
        <v>4</v>
      </c>
      <c r="W143" s="7" t="inlineStr">
        <is>
          <t>Study Number 3—Measuring Events in the Stream of Time</t>
        </is>
      </c>
      <c r="X143" s="9" t="inlineStr">
        <is>
          <t>open</t>
        </is>
      </c>
      <c r="Y143" s="9" t="inlineStr">
        <is>
          <t>open</t>
        </is>
      </c>
      <c r="Z143" s="7" t="inlineStr">
        <is>
          <t>https://wol.jw.org/en/wol/d/r1/lp-e/1101990130
https://wol.jw.org/en/wol/d/r1/lp-e/1001061224
https://wol.jw.org/en/wol/d/r1/lp-e/1200001458
https://wol.jw.org/en/wol/d/r1/lp-e/1200000970</t>
        </is>
      </c>
      <c r="AA143" s="7" t="n">
        <v>0</v>
      </c>
      <c r="AB143" s="7" t="n"/>
      <c r="AC143" s="7" t="n">
        <v>1</v>
      </c>
      <c r="AD143" s="7" t="inlineStr">
        <is>
          <t>Insight 'Chronology' and 'Isaac' say the 450-year period ended 'about' 1467; si chart and NWT App. B4 give 1467 without qualifier. (Insight's Ark article also writes 'c. 1467'.)</t>
        </is>
      </c>
      <c r="AE143" s="7" t="n"/>
      <c r="AF143" s="7" t="n"/>
      <c r="AG143" s="7" t="n"/>
      <c r="AH143" s="7" t="n"/>
      <c r="AI143" s="7" t="inlineStr">
        <is>
          <t>Span endpoint – keep</t>
        </is>
      </c>
      <c r="AJ143" s="7" t="inlineStr">
        <is>
          <t>end of The “about 450 years” of Acts 13:17-20 (b12-0003); end of Israel’s conquest of Canaan under Joshua (b12-0008)</t>
        </is>
      </c>
      <c r="AK143" s="7" t="inlineStr">
        <is>
          <t>conquest-of-canaan #7 (item)</t>
        </is>
      </c>
      <c r="AL143" s="7" t="n"/>
      <c r="AM143" s="7" t="n">
        <v>-1467</v>
      </c>
      <c r="AN143" s="10" t="n"/>
      <c r="AO143" s="10" t="n"/>
      <c r="AP143" s="10" t="n"/>
      <c r="AQ143" s="10" t="n"/>
    </row>
    <row r="144">
      <c r="A144" s="7" t="inlineStr">
        <is>
          <t>b2-0052</t>
        </is>
      </c>
      <c r="B144" s="7" t="inlineStr">
        <is>
          <t>Point</t>
        </is>
      </c>
      <c r="C144" s="7" t="n"/>
      <c r="D144" s="7" t="inlineStr">
        <is>
          <t>1467 B.C.E.</t>
        </is>
      </c>
      <c r="E144" s="7" t="inlineStr">
        <is>
          <t>கி.மு. 1467</t>
        </is>
      </c>
      <c r="F144" s="7" t="inlineStr">
        <is>
          <t>1467 BCE</t>
        </is>
      </c>
      <c r="G144" s="7" t="inlineStr">
        <is>
          <t>Exact</t>
        </is>
      </c>
      <c r="H144" s="7" t="n"/>
      <c r="I144" s="7" t="n"/>
      <c r="J144" s="7" t="n"/>
      <c r="K144" s="2" t="inlineStr">
        <is>
          <t>Tribes receive land after the conquest</t>
        </is>
      </c>
      <c r="L144" s="2" t="inlineStr">
        <is>
          <t>கைப்பற்றப்பட்ட தேசம் கோத்திரங்களுக்குப் பிரித்துக் கொடுக்கப்படுகிறது</t>
        </is>
      </c>
      <c r="M144" s="7" t="inlineStr">
        <is>
          <t>After the principal campaigns, the land was distributed among the tribes; Caleb, then 85, received Hebron.</t>
        </is>
      </c>
      <c r="N144" s="7" t="n"/>
      <c r="O144" s="8" t="inlineStr">
        <is>
          <t>Bible</t>
        </is>
      </c>
      <c r="P144" s="7" t="inlineStr">
        <is>
          <t>bible.conquest_judges</t>
        </is>
      </c>
      <c r="Q144" s="7" t="inlineStr">
        <is>
          <t>event</t>
        </is>
      </c>
      <c r="R144" s="7" t="inlineStr">
        <is>
          <t>Joshua; Caleb; Eleazar</t>
        </is>
      </c>
      <c r="S144" s="7" t="inlineStr">
        <is>
          <t>Canaan; Hebron; Shiloh</t>
        </is>
      </c>
      <c r="T144" s="7" t="inlineStr">
        <is>
          <t>Josh. 14:1-15; Josh. 18:1-10</t>
        </is>
      </c>
      <c r="U144" s="7" t="n"/>
      <c r="V144" s="7" t="n">
        <v>3</v>
      </c>
      <c r="W144" s="7" t="inlineStr">
        <is>
          <t>B6 Settlement of the Promised Land</t>
        </is>
      </c>
      <c r="X144" s="9" t="inlineStr">
        <is>
          <t>open</t>
        </is>
      </c>
      <c r="Y144" s="9" t="inlineStr">
        <is>
          <t>open</t>
        </is>
      </c>
      <c r="Z144" s="7" t="inlineStr">
        <is>
          <t>https://wol.jw.org/en/wol/d/r1/lp-e/1001061226
https://wol.jw.org/en/wol/d/r1/lp-e/1200000863
https://wol.jw.org/en/wol/d/r1/lp-e/1200010959</t>
        </is>
      </c>
      <c r="AA144" s="7" t="n">
        <v>1</v>
      </c>
      <c r="AB144" s="9" t="inlineStr">
        <is>
          <t>open</t>
        </is>
      </c>
      <c r="AC144" s="7" t="n">
        <v>0</v>
      </c>
      <c r="AD144" s="7" t="n"/>
      <c r="AE144" s="7" t="n"/>
      <c r="AF144" s="7" t="n"/>
      <c r="AG144" s="7" t="n"/>
      <c r="AH144" s="7" t="n"/>
      <c r="AI144" s="7" t="n"/>
      <c r="AJ144" s="7" t="n"/>
      <c r="AK144" s="7" t="inlineStr">
        <is>
          <t>settlement-of-the-land #1 (item)</t>
        </is>
      </c>
      <c r="AL144" s="7" t="n"/>
      <c r="AM144" s="7" t="n">
        <v>-1466.99</v>
      </c>
      <c r="AN144" s="10" t="n"/>
      <c r="AO144" s="10" t="n"/>
      <c r="AP144" s="10" t="n"/>
      <c r="AQ144" s="10" t="n"/>
    </row>
    <row r="145">
      <c r="A145" s="7" t="inlineStr">
        <is>
          <t>b2-0053</t>
        </is>
      </c>
      <c r="B145" s="7" t="inlineStr">
        <is>
          <t>Point</t>
        </is>
      </c>
      <c r="C145" s="7" t="n"/>
      <c r="D145" s="7" t="inlineStr">
        <is>
          <t>c. 1467 B.C.E.</t>
        </is>
      </c>
      <c r="E145" s="7" t="n"/>
      <c r="F145" s="7" t="inlineStr">
        <is>
          <t>1467 BCE</t>
        </is>
      </c>
      <c r="G145" s="7" t="inlineStr">
        <is>
          <t>Approx. (c.)</t>
        </is>
      </c>
      <c r="H145" s="7" t="n"/>
      <c r="I145" s="7" t="n"/>
      <c r="J145" s="7" t="n"/>
      <c r="K145" s="2" t="inlineStr">
        <is>
          <t>Ark of the covenant moved to Shiloh</t>
        </is>
      </c>
      <c r="L145" s="2" t="n"/>
      <c r="M145" s="7" t="inlineStr">
        <is>
          <t>With the major conquest completed, the Ark was moved to Shiloh, where it remained (except for a time at Bethel) until captured by the Philistines.</t>
        </is>
      </c>
      <c r="N145" s="7" t="n"/>
      <c r="O145" s="8" t="inlineStr">
        <is>
          <t>Bible</t>
        </is>
      </c>
      <c r="P145" s="7" t="inlineStr">
        <is>
          <t>bible.conquest_judges</t>
        </is>
      </c>
      <c r="Q145" s="7" t="inlineStr">
        <is>
          <t>event</t>
        </is>
      </c>
      <c r="R145" s="7" t="n"/>
      <c r="S145" s="7" t="inlineStr">
        <is>
          <t>Shiloh</t>
        </is>
      </c>
      <c r="T145" s="7" t="inlineStr">
        <is>
          <t>Josh. 18:1</t>
        </is>
      </c>
      <c r="U145" s="7" t="n"/>
      <c r="V145" s="7" t="n">
        <v>1</v>
      </c>
      <c r="W145" s="7" t="inlineStr">
        <is>
          <t>Ark of the Covenant</t>
        </is>
      </c>
      <c r="X145" s="9" t="inlineStr">
        <is>
          <t>open</t>
        </is>
      </c>
      <c r="Y145" s="7" t="n"/>
      <c r="Z145" s="7" t="inlineStr">
        <is>
          <t>https://wol.jw.org/en/wol/d/r1/lp-e/1200000369</t>
        </is>
      </c>
      <c r="AA145" s="7" t="n">
        <v>0</v>
      </c>
      <c r="AB145" s="7" t="n"/>
      <c r="AC145" s="7" t="n">
        <v>0</v>
      </c>
      <c r="AD145" s="7" t="n"/>
      <c r="AE145" s="7" t="n"/>
      <c r="AF145" s="7" t="n"/>
      <c r="AG145" s="7" t="n"/>
      <c r="AH145" s="7" t="n"/>
      <c r="AI145" s="7" t="n"/>
      <c r="AJ145" s="7" t="n"/>
      <c r="AK145" s="7" t="inlineStr">
        <is>
          <t>settlement-of-the-land #2 (context)</t>
        </is>
      </c>
      <c r="AL145" s="7" t="n"/>
      <c r="AM145" s="7" t="n">
        <v>-1466.98</v>
      </c>
      <c r="AN145" s="10" t="n"/>
      <c r="AO145" s="10" t="n"/>
      <c r="AP145" s="10" t="n"/>
      <c r="AQ145" s="10" t="n"/>
    </row>
    <row r="146">
      <c r="A146" s="7" t="inlineStr">
        <is>
          <t>b2-0054</t>
        </is>
      </c>
      <c r="B146" s="7" t="inlineStr">
        <is>
          <t>Point</t>
        </is>
      </c>
      <c r="C146" s="7" t="n"/>
      <c r="D146" s="7" t="inlineStr">
        <is>
          <t>c. 1450 B.C.E.</t>
        </is>
      </c>
      <c r="E146" s="7" t="inlineStr">
        <is>
          <t>ஏ. பொ.ச.மு. 1450</t>
        </is>
      </c>
      <c r="F146" s="7" t="inlineStr">
        <is>
          <t>1450 BCE</t>
        </is>
      </c>
      <c r="G146" s="7" t="inlineStr">
        <is>
          <t>Approx. (c.)</t>
        </is>
      </c>
      <c r="H146" s="7" t="n"/>
      <c r="I146" s="7" t="n"/>
      <c r="J146" s="7" t="n"/>
      <c r="K146" s="2" t="inlineStr">
        <is>
          <t>Death of Joshua</t>
        </is>
      </c>
      <c r="L146" s="2" t="inlineStr">
        <is>
          <t>யோசுவாவின் மரணம்</t>
        </is>
      </c>
      <c r="M146" s="7" t="inlineStr">
        <is>
          <t>After giving final counsel to Israel's heads and renewing the covenant at Shechem, Joshua died at the age of 110 and was buried at Timnath-serah.</t>
        </is>
      </c>
      <c r="N146" s="7" t="inlineStr">
        <is>
          <t>ஏறக்குறைய பொ.ச.மு. 1450-ல் யோசுவா ஒருவேளை இறந்திருக்கலாம்.</t>
        </is>
      </c>
      <c r="O146" s="8" t="inlineStr">
        <is>
          <t>Bible</t>
        </is>
      </c>
      <c r="P146" s="7" t="inlineStr">
        <is>
          <t>bible.conquest_judges</t>
        </is>
      </c>
      <c r="Q146" s="7" t="inlineStr">
        <is>
          <t>death</t>
        </is>
      </c>
      <c r="R146" s="7" t="inlineStr">
        <is>
          <t>Joshua</t>
        </is>
      </c>
      <c r="S146" s="7" t="inlineStr">
        <is>
          <t>Timnath-serah</t>
        </is>
      </c>
      <c r="T146" s="7" t="inlineStr">
        <is>
          <t>Josh. 24:29</t>
        </is>
      </c>
      <c r="U146" s="7" t="inlineStr">
        <is>
          <t>யோசு. 24:29</t>
        </is>
      </c>
      <c r="V146" s="7" t="n">
        <v>4</v>
      </c>
      <c r="W146" s="7" t="inlineStr">
        <is>
          <t>Study Number 3—Measuring Events in the Stream of Time</t>
        </is>
      </c>
      <c r="X146" s="9" t="inlineStr">
        <is>
          <t>open</t>
        </is>
      </c>
      <c r="Y146" s="9" t="inlineStr">
        <is>
          <t>open</t>
        </is>
      </c>
      <c r="Z146" s="7" t="inlineStr">
        <is>
          <t>https://wol.jw.org/en/wol/d/r1/lp-e/1101990130
https://wol.jw.org/en/wol/d/r1/lp-e/1101990067
https://wol.jw.org/en/wol/d/r1/lp-e/1200002523
https://wol.jw.org/en/wol/d/r1/lp-e/1102025962</t>
        </is>
      </c>
      <c r="AA146" s="7" t="n">
        <v>0</v>
      </c>
      <c r="AB146" s="7" t="n"/>
      <c r="AC146" s="7" t="n">
        <v>0</v>
      </c>
      <c r="AD146" s="7" t="n"/>
      <c r="AE146" s="7" t="n"/>
      <c r="AF146" s="7" t="n"/>
      <c r="AG146" s="7" t="n"/>
      <c r="AH146" s="7" t="n"/>
      <c r="AI146" s="7" t="inlineStr">
        <is>
          <t>Covered by span – hide on chart</t>
        </is>
      </c>
      <c r="AJ146" s="7" t="inlineStr">
        <is>
          <t>end of Life of Joshua (d1-0019)</t>
        </is>
      </c>
      <c r="AK146" s="7" t="n"/>
      <c r="AL146" s="7" t="inlineStr">
        <is>
          <t>The 1971 Aid book suggested Joshua's death 'may have occurred within twenty or thirty years after the conquest'; current publications give c. 1450.</t>
        </is>
      </c>
      <c r="AM146" s="7" t="n">
        <v>-1450</v>
      </c>
      <c r="AN146" s="10" t="n"/>
      <c r="AO146" s="10" t="n"/>
      <c r="AP146" s="10" t="n"/>
      <c r="AQ146" s="10" t="n"/>
    </row>
    <row r="147">
      <c r="A147" s="7" t="inlineStr">
        <is>
          <t>b11-0009</t>
        </is>
      </c>
      <c r="B147" s="7" t="inlineStr">
        <is>
          <t>Point</t>
        </is>
      </c>
      <c r="C147" s="7" t="n"/>
      <c r="D147" s="7" t="inlineStr">
        <is>
          <t>c. 1450 B.C.E.</t>
        </is>
      </c>
      <c r="E147" s="7" t="inlineStr">
        <is>
          <t>ஏ. கி.மு. 1450</t>
        </is>
      </c>
      <c r="F147" s="7" t="inlineStr">
        <is>
          <t>1450 BCE</t>
        </is>
      </c>
      <c r="G147" s="7" t="inlineStr">
        <is>
          <t>Approx. (c.)</t>
        </is>
      </c>
      <c r="H147" s="7" t="n"/>
      <c r="I147" s="7" t="n"/>
      <c r="J147" s="7" t="n"/>
      <c r="K147" s="2" t="inlineStr">
        <is>
          <t>Writing of Joshua completed</t>
        </is>
      </c>
      <c r="L147" s="2" t="inlineStr">
        <is>
          <t>யோசுவா — எழுதி முடிக்கப்பட்டது</t>
        </is>
      </c>
      <c r="M147" s="7" t="inlineStr">
        <is>
          <t>The writing of Joshua was completed c. 1450 B.C.E. Writer: Joshua; place written: Canaan. Time covered: 1473–c. 1450 B.C.E.</t>
        </is>
      </c>
      <c r="N147" s="7" t="inlineStr">
        <is>
          <t>யோசுவா: எழுதியவர்(கள்): யோசுவா; எழுதப்பட்ட இடம்: கானான்; முடிக்கப்பட்ட வருஷம் (கி.மு.): ஏ. 1450; காலப்பகுதி (கி.மு.): 1473–ஏ. 1450.</t>
        </is>
      </c>
      <c r="O147" s="8" t="inlineStr">
        <is>
          <t>Bible</t>
        </is>
      </c>
      <c r="P147" s="7" t="inlineStr">
        <is>
          <t>bible.book_writing</t>
        </is>
      </c>
      <c r="Q147" s="7" t="inlineStr">
        <is>
          <t>writing_completed</t>
        </is>
      </c>
      <c r="R147" s="7" t="inlineStr">
        <is>
          <t>Joshua</t>
        </is>
      </c>
      <c r="S147" s="7" t="inlineStr">
        <is>
          <t>Canaan</t>
        </is>
      </c>
      <c r="T147" s="7" t="inlineStr">
        <is>
          <t>Josh.</t>
        </is>
      </c>
      <c r="U147" s="7" t="inlineStr">
        <is>
          <t>யோசு.</t>
        </is>
      </c>
      <c r="V147" s="7" t="n">
        <v>7</v>
      </c>
      <c r="W147" s="7" t="inlineStr">
        <is>
          <t>Table of the Books of the Bible</t>
        </is>
      </c>
      <c r="X147" s="9" t="inlineStr">
        <is>
          <t>open</t>
        </is>
      </c>
      <c r="Y147" s="9" t="inlineStr">
        <is>
          <t>open</t>
        </is>
      </c>
      <c r="Z147" s="7" t="inlineStr">
        <is>
          <t>https://wol.jw.org/en/wol/d/r1/lp-e/1001070071
https://wol.jw.org/en/wol/d/r1/lp-e/1101990067
https://www.jw.org/en/library/bible/study-bible/books-of-the-bible-list/
https://wol.jw.org/en/wol/d/r1/lp-e/1001060002
https://wol.jw.org/en/wol/d/r1/lp-e/1001061171
https://wol.jw.org/en/wol/d/r1/lp-e/1101990130
https://wol.jw.org/en/wol/d/r1/lp-e/1200002524</t>
        </is>
      </c>
      <c r="AA147" s="7" t="n">
        <v>0</v>
      </c>
      <c r="AB147" s="7" t="n"/>
      <c r="AC147" s="7" t="n">
        <v>0</v>
      </c>
      <c r="AD147" s="7" t="n"/>
      <c r="AE147" s="7" t="n"/>
      <c r="AF147" s="7" t="n"/>
      <c r="AG147" s="7" t="n"/>
      <c r="AH147" s="7" t="n"/>
      <c r="AI147" s="7" t="n"/>
      <c r="AJ147" s="7" t="n"/>
      <c r="AK147" s="7" t="inlineStr">
        <is>
          <t>bible-books-written #6 (item)</t>
        </is>
      </c>
      <c r="AL147" s="7" t="inlineStr">
        <is>
          <t>Writer(s): Joshua. Place written: Canaan. Writing completed: c. 1450 B.C.E. Time covered: 1473–c. 1450 B.C.E.</t>
        </is>
      </c>
      <c r="AM147" s="7" t="n">
        <v>-1449.9994</v>
      </c>
      <c r="AN147" s="10" t="n"/>
      <c r="AO147" s="10" t="n"/>
      <c r="AP147" s="10" t="n"/>
      <c r="AQ147" s="10" t="n"/>
    </row>
    <row r="148">
      <c r="A148" s="7" t="inlineStr">
        <is>
          <t>b2-0056</t>
        </is>
      </c>
      <c r="B148" s="7" t="inlineStr">
        <is>
          <t>Point</t>
        </is>
      </c>
      <c r="C148" s="7" t="n"/>
      <c r="D148" s="7" t="inlineStr">
        <is>
          <t>c. 1450 B.C.E.</t>
        </is>
      </c>
      <c r="E148" s="7" t="inlineStr">
        <is>
          <t>கி.மு. 1450*</t>
        </is>
      </c>
      <c r="F148" s="7" t="inlineStr">
        <is>
          <t>1450 BCE</t>
        </is>
      </c>
      <c r="G148" s="7" t="inlineStr">
        <is>
          <t>Approx. (c.)</t>
        </is>
      </c>
      <c r="H148" s="7" t="n"/>
      <c r="I148" s="7" t="n"/>
      <c r="J148" s="7" t="n"/>
      <c r="K148" s="2" t="inlineStr">
        <is>
          <t>Death of Caleb (approximate)</t>
        </is>
      </c>
      <c r="L148" s="2" t="n"/>
      <c r="M148" s="7" t="inlineStr">
        <is>
          <t>Caleb, who with Joshua had given a faithful report as a spy, died about this time.</t>
        </is>
      </c>
      <c r="N148" s="7" t="n"/>
      <c r="O148" s="8" t="inlineStr">
        <is>
          <t>Bible</t>
        </is>
      </c>
      <c r="P148" s="7" t="inlineStr">
        <is>
          <t>bible.conquest_judges</t>
        </is>
      </c>
      <c r="Q148" s="7" t="inlineStr">
        <is>
          <t>death</t>
        </is>
      </c>
      <c r="R148" s="7" t="inlineStr">
        <is>
          <t>Caleb</t>
        </is>
      </c>
      <c r="S148" s="7" t="n"/>
      <c r="T148" s="7" t="inlineStr">
        <is>
          <t>Josh. 14:10, 11</t>
        </is>
      </c>
      <c r="U148" s="7" t="n"/>
      <c r="V148" s="7" t="n">
        <v>2</v>
      </c>
      <c r="W148" s="7" t="inlineStr">
        <is>
          <t>Section 1 Timeline</t>
        </is>
      </c>
      <c r="X148" s="9" t="inlineStr">
        <is>
          <t>open</t>
        </is>
      </c>
      <c r="Y148" s="9" t="inlineStr">
        <is>
          <t>open</t>
        </is>
      </c>
      <c r="Z148" s="7" t="inlineStr">
        <is>
          <t>https://wol.jw.org/en/wol/d/r1/lp-e/1102025962
https://wol.jw.org/en/wol/d/r1/lp-e/1200271562</t>
        </is>
      </c>
      <c r="AA148" s="7" t="n">
        <v>0</v>
      </c>
      <c r="AB148" s="7" t="n"/>
      <c r="AC148" s="7" t="n">
        <v>0</v>
      </c>
      <c r="AD148" s="7" t="n"/>
      <c r="AE148" s="7" t="n"/>
      <c r="AF148" s="7" t="n"/>
      <c r="AG148" s="7" t="n"/>
      <c r="AH148" s="7" t="n"/>
      <c r="AI148" s="7" t="inlineStr">
        <is>
          <t>Covered by span – hide on chart</t>
        </is>
      </c>
      <c r="AJ148" s="7" t="inlineStr">
        <is>
          <t>end of Life of Caleb (d1-0020)</t>
        </is>
      </c>
      <c r="AK148" s="7" t="n"/>
      <c r="AL148" s="7" t="n"/>
      <c r="AM148" s="7" t="n">
        <v>-1449.99</v>
      </c>
      <c r="AN148" s="10" t="n"/>
      <c r="AO148" s="10" t="n"/>
      <c r="AP148" s="10" t="n"/>
      <c r="AQ148" s="10" t="n"/>
    </row>
    <row r="149">
      <c r="A149" s="7" t="inlineStr">
        <is>
          <t>b2-0057</t>
        </is>
      </c>
      <c r="B149" s="11" t="inlineStr">
        <is>
          <t>Span</t>
        </is>
      </c>
      <c r="C149" s="7" t="inlineStr">
        <is>
          <t>period</t>
        </is>
      </c>
      <c r="D149" s="7" t="inlineStr">
        <is>
          <t>c. 1450–c. 1120 B.C.E.</t>
        </is>
      </c>
      <c r="E149" s="7" t="inlineStr">
        <is>
          <t>கி.மு. 1450*-1120*</t>
        </is>
      </c>
      <c r="F149" s="7" t="inlineStr">
        <is>
          <t>1450 BCE</t>
        </is>
      </c>
      <c r="G149" s="7" t="inlineStr">
        <is>
          <t>Approx. (c.)</t>
        </is>
      </c>
      <c r="H149" s="7" t="inlineStr">
        <is>
          <t>1120 BCE</t>
        </is>
      </c>
      <c r="I149" s="7" t="inlineStr">
        <is>
          <t>Approx. (c.)</t>
        </is>
      </c>
      <c r="J149" s="7" t="inlineStr">
        <is>
          <t>c. 330 years</t>
        </is>
      </c>
      <c r="K149" s="2" t="inlineStr">
        <is>
          <t>Period of the Judges</t>
        </is>
      </c>
      <c r="L149" s="2" t="n"/>
      <c r="M149" s="7" t="inlineStr">
        <is>
          <t>After Joshua's death, Jehovah raised up judges to deliver Israel from oppressors; the book of Judges covers roughly 330 years down to the time of Samuel. Some judgeships evidently overlapped.</t>
        </is>
      </c>
      <c r="N149" s="7" t="n"/>
      <c r="O149" s="8" t="inlineStr">
        <is>
          <t>Bible</t>
        </is>
      </c>
      <c r="P149" s="7" t="inlineStr">
        <is>
          <t>bible.conquest_judges</t>
        </is>
      </c>
      <c r="Q149" s="7" t="inlineStr">
        <is>
          <t>period</t>
        </is>
      </c>
      <c r="R149" s="7" t="inlineStr">
        <is>
          <t>Othniel; Ehud; Shamgar; Barak; Gideon; Tola; Jair; Jephthah; Ibzan; Elon; Abdon; Samson</t>
        </is>
      </c>
      <c r="S149" s="7" t="inlineStr">
        <is>
          <t>Israel</t>
        </is>
      </c>
      <c r="T149" s="7" t="inlineStr">
        <is>
          <t>Judg. 2:16-19; Acts 13:20</t>
        </is>
      </c>
      <c r="U149" s="7" t="n"/>
      <c r="V149" s="7" t="n">
        <v>6</v>
      </c>
      <c r="W149" s="7" t="inlineStr">
        <is>
          <t>Section 1 Timeline</t>
        </is>
      </c>
      <c r="X149" s="9" t="inlineStr">
        <is>
          <t>open</t>
        </is>
      </c>
      <c r="Y149" s="9" t="inlineStr">
        <is>
          <t>open</t>
        </is>
      </c>
      <c r="Z149" s="7" t="inlineStr">
        <is>
          <t>https://wol.jw.org/en/wol/d/r1/lp-e/1102025962
https://wol.jw.org/en/wol/d/r1/lp-e/1101990068
https://wol.jw.org/en/wol/d/r1/lp-e/1200002546
https://wol.jw.org/en/wol/d/r1/lp-e/1200002545
https://wol.jw.org/en/wol/d/r1/lp-e/1200000970
https://wol.jw.org/en/wol/d/r1/lp-e/1200271562</t>
        </is>
      </c>
      <c r="AA149" s="7" t="n">
        <v>0</v>
      </c>
      <c r="AB149" s="7" t="n"/>
      <c r="AC149" s="7" t="n">
        <v>1</v>
      </c>
      <c r="AD149" s="7" t="inlineStr">
        <is>
          <t>Insight 'Judge' says the period of the Judges (Othniel to Samuel) extended about 300 years; Insight 'Judges, Book of' says the book covers some 330 years.</t>
        </is>
      </c>
      <c r="AE149" s="7" t="n"/>
      <c r="AF149" s="7" t="n"/>
      <c r="AG149" s="7" t="n"/>
      <c r="AH149" s="7" t="n"/>
      <c r="AI149" s="7" t="n"/>
      <c r="AJ149" s="7" t="n"/>
      <c r="AK149" s="7" t="inlineStr">
        <is>
          <t>settlement-of-the-land #3 (context)</t>
        </is>
      </c>
      <c r="AL149" s="7" t="n"/>
      <c r="AM149" s="7" t="n">
        <v>-1449.98</v>
      </c>
      <c r="AN149" s="10" t="n"/>
      <c r="AO149" s="10" t="n"/>
      <c r="AP149" s="10" t="n"/>
      <c r="AQ149" s="10" t="n"/>
    </row>
    <row r="150">
      <c r="A150" s="7" t="inlineStr">
        <is>
          <t>b2-0058</t>
        </is>
      </c>
      <c r="B150" s="11" t="inlineStr">
        <is>
          <t>Span</t>
        </is>
      </c>
      <c r="C150" s="7" t="inlineStr">
        <is>
          <t>judgeship</t>
        </is>
      </c>
      <c r="D150" s="7" t="inlineStr">
        <is>
          <t>Period of the Judges (c. 1450–c. 1120 B.C.E.; date not stated)</t>
        </is>
      </c>
      <c r="E150" s="7" t="n"/>
      <c r="F150" s="7" t="n"/>
      <c r="G150" s="7" t="inlineStr">
        <is>
          <t>Not stated</t>
        </is>
      </c>
      <c r="H150" s="7" t="n"/>
      <c r="I150" s="7" t="inlineStr">
        <is>
          <t>Not stated</t>
        </is>
      </c>
      <c r="J150" s="7" t="n"/>
      <c r="K150" s="2" t="inlineStr">
        <is>
          <t>Othniel delivers Israel from Cushan-rishathaim</t>
        </is>
      </c>
      <c r="L150" s="2" t="n"/>
      <c r="M150" s="7" t="inlineStr">
        <is>
          <t>After eight years of oppression by Cushan-rishathaim of Syria, Othniel of Judah, Caleb's nephew, delivered Israel; the land then had rest 40 years.</t>
        </is>
      </c>
      <c r="N150" s="7" t="n"/>
      <c r="O150" s="8" t="inlineStr">
        <is>
          <t>Bible</t>
        </is>
      </c>
      <c r="P150" s="7" t="inlineStr">
        <is>
          <t>bible.conquest_judges</t>
        </is>
      </c>
      <c r="Q150" s="7" t="inlineStr">
        <is>
          <t>judgeship</t>
        </is>
      </c>
      <c r="R150" s="7" t="inlineStr">
        <is>
          <t>Othniel; Cushan-rishathaim</t>
        </is>
      </c>
      <c r="S150" s="7" t="n"/>
      <c r="T150" s="7" t="inlineStr">
        <is>
          <t>Judg. 3:8-11</t>
        </is>
      </c>
      <c r="U150" s="7" t="n"/>
      <c r="V150" s="7" t="n">
        <v>4</v>
      </c>
      <c r="W150" s="7" t="inlineStr">
        <is>
          <t>Othniel</t>
        </is>
      </c>
      <c r="X150" s="9" t="inlineStr">
        <is>
          <t>open</t>
        </is>
      </c>
      <c r="Y150" s="7" t="n"/>
      <c r="Z150" s="7" t="inlineStr">
        <is>
          <t>https://wol.jw.org/en/wol/d/r1/lp-e/1200003349
https://wol.jw.org/en/wol/d/r1/lp-e/1200002545
https://wol.jw.org/en/wol/d/r1/lp-e/1200010959
https://wol.jw.org/en/wol/d/r1/lp-e/1001061226</t>
        </is>
      </c>
      <c r="AA150" s="7" t="n">
        <v>0</v>
      </c>
      <c r="AB150" s="7" t="n"/>
      <c r="AC150" s="7" t="n">
        <v>0</v>
      </c>
      <c r="AD150" s="7" t="n"/>
      <c r="AE150" s="7" t="inlineStr">
        <is>
          <t>jw.org gives no year for this period; sort keys only keep the source order.</t>
        </is>
      </c>
      <c r="AF150" s="7" t="n"/>
      <c r="AG150" s="7" t="n"/>
      <c r="AH150" s="7" t="inlineStr">
        <is>
          <t>b2-0057</t>
        </is>
      </c>
      <c r="AI150" s="7" t="n"/>
      <c r="AJ150" s="7" t="n"/>
      <c r="AK150" s="7" t="inlineStr">
        <is>
          <t>judges-of-israel #1 (ruler); settlement-of-the-land #4 (item)</t>
        </is>
      </c>
      <c r="AL150" s="7" t="inlineStr">
        <is>
          <t>Exact date not determined. sort_key places this event only by its order in the book of Judges and in the illustrative chart 'Period From the Start of the Conquest of Canaan to the Reign of Saul' (Aid to Bible Understanding, Chronology); it is NOT a date. Insight 'Judge': 'the dates of their judgeships cannot in every case be determined.'</t>
        </is>
      </c>
      <c r="AM150" s="7" t="n">
        <v>-1430</v>
      </c>
      <c r="AN150" s="10" t="n"/>
      <c r="AO150" s="10" t="n"/>
      <c r="AP150" s="10" t="n"/>
      <c r="AQ150" s="10" t="n"/>
    </row>
    <row r="151">
      <c r="A151" s="7" t="inlineStr">
        <is>
          <t>b2-0059</t>
        </is>
      </c>
      <c r="B151" s="7" t="inlineStr">
        <is>
          <t>Point</t>
        </is>
      </c>
      <c r="C151" s="7" t="n"/>
      <c r="D151" s="7" t="inlineStr">
        <is>
          <t>1424 B.C.E., Tishri</t>
        </is>
      </c>
      <c r="E151" s="7" t="n"/>
      <c r="F151" s="7" t="inlineStr">
        <is>
          <t>1424 BCE</t>
        </is>
      </c>
      <c r="G151" s="7" t="inlineStr">
        <is>
          <t>Exact</t>
        </is>
      </c>
      <c r="H151" s="7" t="n"/>
      <c r="I151" s="7" t="n"/>
      <c r="J151" s="7" t="n"/>
      <c r="K151" s="2" t="inlineStr">
        <is>
          <t>First Jubilee year begins</t>
        </is>
      </c>
      <c r="L151" s="2" t="n"/>
      <c r="M151" s="7" t="inlineStr">
        <is>
          <t>Counting from Israel's entry into the Promised Land, the first Jubilee year began in Tishri, when Hebrew slaves were freed and land inheritances restored.</t>
        </is>
      </c>
      <c r="N151" s="7" t="n"/>
      <c r="O151" s="8" t="inlineStr">
        <is>
          <t>Bible</t>
        </is>
      </c>
      <c r="P151" s="7" t="inlineStr">
        <is>
          <t>bible.conquest_judges</t>
        </is>
      </c>
      <c r="Q151" s="7" t="inlineStr">
        <is>
          <t>festival</t>
        </is>
      </c>
      <c r="R151" s="7" t="n"/>
      <c r="S151" s="7" t="inlineStr">
        <is>
          <t>Israel</t>
        </is>
      </c>
      <c r="T151" s="7" t="inlineStr">
        <is>
          <t>Lev. 25:2-4, 8-10</t>
        </is>
      </c>
      <c r="U151" s="7" t="n"/>
      <c r="V151" s="7" t="n">
        <v>2</v>
      </c>
      <c r="W151" s="7" t="inlineStr">
        <is>
          <t>Jubilee</t>
        </is>
      </c>
      <c r="X151" s="9" t="inlineStr">
        <is>
          <t>open</t>
        </is>
      </c>
      <c r="Y151" s="7" t="n"/>
      <c r="Z151" s="7" t="inlineStr">
        <is>
          <t>https://wol.jw.org/en/wol/d/r1/lp-e/1200002536
https://wol.jw.org/en/wol/d/r1/lp-e/1200271562</t>
        </is>
      </c>
      <c r="AA151" s="7" t="n">
        <v>0</v>
      </c>
      <c r="AB151" s="7" t="n"/>
      <c r="AC151" s="7" t="n">
        <v>0</v>
      </c>
      <c r="AD151" s="7" t="n"/>
      <c r="AE151" s="7" t="n"/>
      <c r="AF151" s="7" t="n"/>
      <c r="AG151" s="7" t="n"/>
      <c r="AH151" s="7" t="n"/>
      <c r="AI151" s="7" t="n"/>
      <c r="AJ151" s="7" t="n"/>
      <c r="AK151" s="7" t="n"/>
      <c r="AL151" s="7" t="n"/>
      <c r="AM151" s="7" t="n">
        <v>-1423.25</v>
      </c>
      <c r="AN151" s="10" t="n"/>
      <c r="AO151" s="10" t="n"/>
      <c r="AP151" s="10" t="n"/>
      <c r="AQ151" s="10" t="n"/>
    </row>
    <row r="152">
      <c r="A152" s="7" t="inlineStr">
        <is>
          <t>b2-0060</t>
        </is>
      </c>
      <c r="B152" s="11" t="inlineStr">
        <is>
          <t>Span</t>
        </is>
      </c>
      <c r="C152" s="7" t="inlineStr">
        <is>
          <t>judgeship</t>
        </is>
      </c>
      <c r="D152" s="7" t="inlineStr">
        <is>
          <t>Period of the Judges (c. 1450–c. 1120 B.C.E.; date not stated)</t>
        </is>
      </c>
      <c r="E152" s="7" t="n"/>
      <c r="F152" s="7" t="n"/>
      <c r="G152" s="7" t="inlineStr">
        <is>
          <t>Not stated</t>
        </is>
      </c>
      <c r="H152" s="7" t="n"/>
      <c r="I152" s="7" t="inlineStr">
        <is>
          <t>Not stated</t>
        </is>
      </c>
      <c r="J152" s="7" t="n"/>
      <c r="K152" s="2" t="inlineStr">
        <is>
          <t>Ehud delivers Israel from Moab</t>
        </is>
      </c>
      <c r="L152" s="2" t="n"/>
      <c r="M152" s="7" t="inlineStr">
        <is>
          <t>After 18 years of oppression by King Eglon of Moab, Ehud the Benjamite killed Eglon and led Israel to victory; the land had no disturbance for 80 years.</t>
        </is>
      </c>
      <c r="N152" s="7" t="n"/>
      <c r="O152" s="8" t="inlineStr">
        <is>
          <t>Bible</t>
        </is>
      </c>
      <c r="P152" s="7" t="inlineStr">
        <is>
          <t>bible.conquest_judges</t>
        </is>
      </c>
      <c r="Q152" s="7" t="inlineStr">
        <is>
          <t>judgeship</t>
        </is>
      </c>
      <c r="R152" s="7" t="inlineStr">
        <is>
          <t>Ehud; Eglon</t>
        </is>
      </c>
      <c r="S152" s="7" t="inlineStr">
        <is>
          <t>Moab</t>
        </is>
      </c>
      <c r="T152" s="7" t="inlineStr">
        <is>
          <t>Judg. 3:12-30</t>
        </is>
      </c>
      <c r="U152" s="7" t="n"/>
      <c r="V152" s="7" t="n">
        <v>4</v>
      </c>
      <c r="W152" s="7" t="inlineStr">
        <is>
          <t>Ehud</t>
        </is>
      </c>
      <c r="X152" s="9" t="inlineStr">
        <is>
          <t>open</t>
        </is>
      </c>
      <c r="Y152" s="7" t="n"/>
      <c r="Z152" s="7" t="inlineStr">
        <is>
          <t>https://wol.jw.org/en/wol/d/r1/lp-e/1200001268
https://wol.jw.org/en/wol/d/r1/lp-e/1200002545
https://wol.jw.org/en/wol/d/r1/lp-e/1200010959
https://wol.jw.org/en/wol/d/r1/lp-e/1001061226</t>
        </is>
      </c>
      <c r="AA152" s="7" t="n">
        <v>0</v>
      </c>
      <c r="AB152" s="7" t="n"/>
      <c r="AC152" s="7" t="n">
        <v>0</v>
      </c>
      <c r="AD152" s="7" t="n"/>
      <c r="AE152" s="7" t="inlineStr">
        <is>
          <t>jw.org gives no year for this period; sort keys only keep the source order.</t>
        </is>
      </c>
      <c r="AF152" s="7" t="n"/>
      <c r="AG152" s="7" t="n"/>
      <c r="AH152" s="7" t="inlineStr">
        <is>
          <t>b2-0057</t>
        </is>
      </c>
      <c r="AI152" s="7" t="n"/>
      <c r="AJ152" s="7" t="n"/>
      <c r="AK152" s="7" t="inlineStr">
        <is>
          <t>judges-of-israel #2 (ruler); settlement-of-the-land #5 (item)</t>
        </is>
      </c>
      <c r="AL152" s="7" t="inlineStr">
        <is>
          <t>Exact date not determined. sort_key places this event only by its order in the book of Judges and in the illustrative chart 'Period From the Start of the Conquest of Canaan to the Reign of Saul' (Aid to Bible Understanding, Chronology); it is NOT a date. Insight 'Judge': 'the dates of their judgeships cannot in every case be determined.' The Aid chart notes the Bible does not say Ehud judged for 80 years.</t>
        </is>
      </c>
      <c r="AM152" s="7" t="n">
        <v>-1400</v>
      </c>
      <c r="AN152" s="10" t="n"/>
      <c r="AO152" s="10" t="n"/>
      <c r="AP152" s="10" t="n"/>
      <c r="AQ152" s="10" t="n"/>
    </row>
    <row r="153">
      <c r="A153" s="7" t="inlineStr">
        <is>
          <t>b2-0061</t>
        </is>
      </c>
      <c r="B153" s="7" t="inlineStr">
        <is>
          <t>Point</t>
        </is>
      </c>
      <c r="C153" s="7" t="n"/>
      <c r="D153" s="7" t="inlineStr">
        <is>
          <t>c. 1400 B.C.E.</t>
        </is>
      </c>
      <c r="E153" s="7" t="inlineStr">
        <is>
          <t>கி.மு. 1400*</t>
        </is>
      </c>
      <c r="F153" s="7" t="inlineStr">
        <is>
          <t>1400 BCE</t>
        </is>
      </c>
      <c r="G153" s="7" t="inlineStr">
        <is>
          <t>Approx. (c.)</t>
        </is>
      </c>
      <c r="H153" s="7" t="n"/>
      <c r="I153" s="7" t="n"/>
      <c r="J153" s="7" t="n"/>
      <c r="K153" s="2" t="inlineStr">
        <is>
          <t>Death of Rahab (approximate)</t>
        </is>
      </c>
      <c r="L153" s="2" t="n"/>
      <c r="M153" s="7" t="inlineStr">
        <is>
          <t>Rahab, an ancestress of David and Jesus, died about this time.</t>
        </is>
      </c>
      <c r="N153" s="7" t="n"/>
      <c r="O153" s="8" t="inlineStr">
        <is>
          <t>Bible</t>
        </is>
      </c>
      <c r="P153" s="7" t="inlineStr">
        <is>
          <t>bible.conquest_judges</t>
        </is>
      </c>
      <c r="Q153" s="7" t="inlineStr">
        <is>
          <t>death</t>
        </is>
      </c>
      <c r="R153" s="7" t="inlineStr">
        <is>
          <t>Rahab</t>
        </is>
      </c>
      <c r="S153" s="7" t="n"/>
      <c r="T153" s="7" t="inlineStr">
        <is>
          <t>Josh. 6:25</t>
        </is>
      </c>
      <c r="U153" s="7" t="n"/>
      <c r="V153" s="7" t="n">
        <v>2</v>
      </c>
      <c r="W153" s="7" t="inlineStr">
        <is>
          <t>Section 1 Timeline</t>
        </is>
      </c>
      <c r="X153" s="9" t="inlineStr">
        <is>
          <t>open</t>
        </is>
      </c>
      <c r="Y153" s="9" t="inlineStr">
        <is>
          <t>open</t>
        </is>
      </c>
      <c r="Z153" s="7" t="inlineStr">
        <is>
          <t>https://wol.jw.org/en/wol/d/r1/lp-e/1102025962
https://wol.jw.org/en/wol/d/r1/lp-e/1200271562</t>
        </is>
      </c>
      <c r="AA153" s="7" t="n">
        <v>0</v>
      </c>
      <c r="AB153" s="7" t="n"/>
      <c r="AC153" s="7" t="n">
        <v>0</v>
      </c>
      <c r="AD153" s="7" t="n"/>
      <c r="AE153" s="7" t="n"/>
      <c r="AF153" s="7" t="n"/>
      <c r="AG153" s="7" t="n"/>
      <c r="AH153" s="7" t="n"/>
      <c r="AI153" s="7" t="inlineStr">
        <is>
          <t>Covered by span – hide on chart</t>
        </is>
      </c>
      <c r="AJ153" s="7" t="inlineStr">
        <is>
          <t>end of Life of Rahab (d1-0021)</t>
        </is>
      </c>
      <c r="AK153" s="7" t="n"/>
      <c r="AL153" s="7" t="n"/>
      <c r="AM153" s="7" t="n">
        <v>-1400</v>
      </c>
      <c r="AN153" s="10" t="n"/>
      <c r="AO153" s="10" t="n"/>
      <c r="AP153" s="10" t="n"/>
      <c r="AQ153" s="10" t="n"/>
    </row>
    <row r="154">
      <c r="A154" s="7" t="inlineStr">
        <is>
          <t>b2-0062</t>
        </is>
      </c>
      <c r="B154" s="11" t="inlineStr">
        <is>
          <t>Span</t>
        </is>
      </c>
      <c r="C154" s="7" t="inlineStr">
        <is>
          <t>judgeship</t>
        </is>
      </c>
      <c r="D154" s="7" t="inlineStr">
        <is>
          <t>Period of the Judges (c. 1450–c. 1120 B.C.E.; date not stated)</t>
        </is>
      </c>
      <c r="E154" s="7" t="n"/>
      <c r="F154" s="7" t="n"/>
      <c r="G154" s="7" t="inlineStr">
        <is>
          <t>Not stated</t>
        </is>
      </c>
      <c r="H154" s="7" t="n"/>
      <c r="I154" s="7" t="inlineStr">
        <is>
          <t>Not stated</t>
        </is>
      </c>
      <c r="J154" s="7" t="n"/>
      <c r="K154" s="2" t="inlineStr">
        <is>
          <t>Shamgar saves Israel from the Philistines</t>
        </is>
      </c>
      <c r="L154" s="2" t="n"/>
      <c r="M154" s="7" t="inlineStr">
        <is>
          <t>Shamgar struck down 600 Philistines with a cattle goad and saved Israel; the length of his activity is not stated.</t>
        </is>
      </c>
      <c r="N154" s="7" t="n"/>
      <c r="O154" s="8" t="inlineStr">
        <is>
          <t>Bible</t>
        </is>
      </c>
      <c r="P154" s="7" t="inlineStr">
        <is>
          <t>bible.conquest_judges</t>
        </is>
      </c>
      <c r="Q154" s="7" t="inlineStr">
        <is>
          <t>judgeship</t>
        </is>
      </c>
      <c r="R154" s="7" t="inlineStr">
        <is>
          <t>Shamgar</t>
        </is>
      </c>
      <c r="S154" s="7" t="n"/>
      <c r="T154" s="7" t="inlineStr">
        <is>
          <t>Judg. 3:31</t>
        </is>
      </c>
      <c r="U154" s="7" t="n"/>
      <c r="V154" s="7" t="n">
        <v>3</v>
      </c>
      <c r="W154" s="7" t="inlineStr">
        <is>
          <t>Judge</t>
        </is>
      </c>
      <c r="X154" s="9" t="inlineStr">
        <is>
          <t>open</t>
        </is>
      </c>
      <c r="Y154" s="7" t="n"/>
      <c r="Z154" s="7" t="inlineStr">
        <is>
          <t>https://wol.jw.org/en/wol/d/r1/lp-e/1200002545
https://wol.jw.org/en/wol/d/r1/lp-e/1200010959
https://wol.jw.org/en/wol/d/r1/lp-e/1001061226</t>
        </is>
      </c>
      <c r="AA154" s="7" t="n">
        <v>0</v>
      </c>
      <c r="AB154" s="7" t="n"/>
      <c r="AC154" s="7" t="n">
        <v>0</v>
      </c>
      <c r="AD154" s="7" t="n"/>
      <c r="AE154" s="7" t="inlineStr">
        <is>
          <t>jw.org gives no year for this period; sort keys only keep the source order.</t>
        </is>
      </c>
      <c r="AF154" s="7" t="n"/>
      <c r="AG154" s="7" t="n"/>
      <c r="AH154" s="7" t="inlineStr">
        <is>
          <t>b2-0057</t>
        </is>
      </c>
      <c r="AI154" s="7" t="n"/>
      <c r="AJ154" s="7" t="n"/>
      <c r="AK154" s="7" t="inlineStr">
        <is>
          <t>judges-of-israel #3 (ruler); settlement-of-the-land #6 (item)</t>
        </is>
      </c>
      <c r="AL154" s="7" t="inlineStr">
        <is>
          <t>Exact date not determined. sort_key places this event only by its order in the book of Judges and in the illustrative chart 'Period From the Start of the Conquest of Canaan to the Reign of Saul' (Aid to Bible Understanding, Chronology); it is NOT a date. Insight 'Judge': 'the dates of their judgeships cannot in every case be determined.'</t>
        </is>
      </c>
      <c r="AM154" s="7" t="n">
        <v>-1350</v>
      </c>
      <c r="AN154" s="10" t="n"/>
      <c r="AO154" s="10" t="n"/>
      <c r="AP154" s="10" t="n"/>
      <c r="AQ154" s="10" t="n"/>
    </row>
    <row r="155">
      <c r="A155" s="7" t="inlineStr">
        <is>
          <t>b2-0063</t>
        </is>
      </c>
      <c r="B155" s="11" t="inlineStr">
        <is>
          <t>Span</t>
        </is>
      </c>
      <c r="C155" s="7" t="inlineStr">
        <is>
          <t>judgeship</t>
        </is>
      </c>
      <c r="D155" s="7" t="inlineStr">
        <is>
          <t>Period of the Judges (c. 1450–c. 1120 B.C.E.; date not stated)</t>
        </is>
      </c>
      <c r="E155" s="7" t="n"/>
      <c r="F155" s="7" t="n"/>
      <c r="G155" s="7" t="inlineStr">
        <is>
          <t>Not stated</t>
        </is>
      </c>
      <c r="H155" s="7" t="n"/>
      <c r="I155" s="7" t="inlineStr">
        <is>
          <t>Not stated</t>
        </is>
      </c>
      <c r="J155" s="7" t="n"/>
      <c r="K155" s="2" t="inlineStr">
        <is>
          <t>Deborah and Barak defeat Jabin and Sisera</t>
        </is>
      </c>
      <c r="L155" s="2" t="n"/>
      <c r="M155" s="7" t="inlineStr">
        <is>
          <t>After 20 years of oppression by King Jabin of Hazor, the prophetess Deborah and Barak led Israel to victory over Sisera's army at the Kishon; the land then had rest 40 years.</t>
        </is>
      </c>
      <c r="N155" s="7" t="n"/>
      <c r="O155" s="8" t="inlineStr">
        <is>
          <t>Bible</t>
        </is>
      </c>
      <c r="P155" s="7" t="inlineStr">
        <is>
          <t>bible.conquest_judges</t>
        </is>
      </c>
      <c r="Q155" s="7" t="inlineStr">
        <is>
          <t>judgeship</t>
        </is>
      </c>
      <c r="R155" s="7" t="inlineStr">
        <is>
          <t>Deborah; Barak; Jael; Jabin; Sisera</t>
        </is>
      </c>
      <c r="S155" s="7" t="inlineStr">
        <is>
          <t>Mount Tabor; Kishon</t>
        </is>
      </c>
      <c r="T155" s="7" t="inlineStr">
        <is>
          <t>Judg. 4:1-24; Judg. 5:31</t>
        </is>
      </c>
      <c r="U155" s="7" t="n"/>
      <c r="V155" s="7" t="n">
        <v>4</v>
      </c>
      <c r="W155" s="7" t="inlineStr">
        <is>
          <t>Deborah</t>
        </is>
      </c>
      <c r="X155" s="9" t="inlineStr">
        <is>
          <t>open</t>
        </is>
      </c>
      <c r="Y155" s="7" t="n"/>
      <c r="Z155" s="7" t="inlineStr">
        <is>
          <t>https://wol.jw.org/en/wol/d/r1/lp-e/1200001138
https://wol.jw.org/en/wol/d/r1/lp-e/1200002545
https://wol.jw.org/en/wol/d/r1/lp-e/1200010959
https://wol.jw.org/en/wol/d/r1/lp-e/1001061226</t>
        </is>
      </c>
      <c r="AA155" s="7" t="n">
        <v>0</v>
      </c>
      <c r="AB155" s="7" t="n"/>
      <c r="AC155" s="7" t="n">
        <v>0</v>
      </c>
      <c r="AD155" s="7" t="n"/>
      <c r="AE155" s="7" t="inlineStr">
        <is>
          <t>jw.org gives no year for this period; sort keys only keep the source order.</t>
        </is>
      </c>
      <c r="AF155" s="7" t="n"/>
      <c r="AG155" s="7" t="n"/>
      <c r="AH155" s="7" t="inlineStr">
        <is>
          <t>b2-0057</t>
        </is>
      </c>
      <c r="AI155" s="7" t="n"/>
      <c r="AJ155" s="7" t="n"/>
      <c r="AK155" s="7" t="inlineStr">
        <is>
          <t>judges-of-israel #4 (ruler); settlement-of-the-land #7 (item)</t>
        </is>
      </c>
      <c r="AL155" s="7" t="inlineStr">
        <is>
          <t>Exact date not determined. sort_key places this event only by its order in the book of Judges and in the illustrative chart 'Period From the Start of the Conquest of Canaan to the Reign of Saul' (Aid to Bible Understanding, Chronology); it is NOT a date. Insight 'Judge': 'the dates of their judgeships cannot in every case be determined.'</t>
        </is>
      </c>
      <c r="AM155" s="7" t="n">
        <v>-1340</v>
      </c>
      <c r="AN155" s="10" t="n"/>
      <c r="AO155" s="10" t="n"/>
      <c r="AP155" s="10" t="n"/>
      <c r="AQ155" s="10" t="n"/>
    </row>
    <row r="156">
      <c r="A156" s="7" t="inlineStr">
        <is>
          <t>b2-0064</t>
        </is>
      </c>
      <c r="B156" s="11" t="inlineStr">
        <is>
          <t>Span</t>
        </is>
      </c>
      <c r="C156" s="7" t="inlineStr">
        <is>
          <t>period</t>
        </is>
      </c>
      <c r="D156" s="7" t="inlineStr">
        <is>
          <t>During the Judges (about 11 years; exact time not stated)</t>
        </is>
      </c>
      <c r="E156" s="7" t="n"/>
      <c r="F156" s="7" t="n"/>
      <c r="G156" s="7" t="inlineStr">
        <is>
          <t>Not stated</t>
        </is>
      </c>
      <c r="H156" s="7" t="n"/>
      <c r="I156" s="7" t="inlineStr">
        <is>
          <t>Not stated</t>
        </is>
      </c>
      <c r="J156" s="7" t="inlineStr">
        <is>
          <t>11 years</t>
        </is>
      </c>
      <c r="K156" s="2" t="inlineStr">
        <is>
          <t>Events of the book of Ruth</t>
        </is>
      </c>
      <c r="L156" s="2" t="n"/>
      <c r="M156" s="7" t="inlineStr">
        <is>
          <t>During a famine Naomi went to Moab; after returning with her Moabite daughter-in-law Ruth, Ruth married Boaz and became an ancestress of David. The account spans about 11 years in the time of the Judges.</t>
        </is>
      </c>
      <c r="N156" s="7" t="n"/>
      <c r="O156" s="8" t="inlineStr">
        <is>
          <t>Bible</t>
        </is>
      </c>
      <c r="P156" s="7" t="inlineStr">
        <is>
          <t>bible.conquest_judges</t>
        </is>
      </c>
      <c r="Q156" s="7" t="inlineStr">
        <is>
          <t>event</t>
        </is>
      </c>
      <c r="R156" s="7" t="inlineStr">
        <is>
          <t>Ruth; Naomi; Boaz</t>
        </is>
      </c>
      <c r="S156" s="7" t="inlineStr">
        <is>
          <t>Bethlehem; Moab</t>
        </is>
      </c>
      <c r="T156" s="7" t="inlineStr">
        <is>
          <t>Ruth 1:1; Ruth 4:13-22</t>
        </is>
      </c>
      <c r="U156" s="7" t="n"/>
      <c r="V156" s="7" t="n">
        <v>3</v>
      </c>
      <c r="W156" s="7" t="inlineStr">
        <is>
          <t>Ruth, Book of</t>
        </is>
      </c>
      <c r="X156" s="9" t="inlineStr">
        <is>
          <t>open</t>
        </is>
      </c>
      <c r="Y156" s="7" t="n"/>
      <c r="Z156" s="7" t="inlineStr">
        <is>
          <t>https://wol.jw.org/en/wol/d/r1/lp-e/1200003777
https://wol.jw.org/en/wol/d/r1/lp-e/1101990069
https://wol.jw.org/en/wol/d/r1/lp-e/1102025962</t>
        </is>
      </c>
      <c r="AA156" s="7" t="n">
        <v>0</v>
      </c>
      <c r="AB156" s="7" t="n"/>
      <c r="AC156" s="7" t="n">
        <v>0</v>
      </c>
      <c r="AD156" s="7" t="n"/>
      <c r="AE156" s="7" t="inlineStr">
        <is>
          <t>jw.org gives no year for this period; sort keys only keep the source order.</t>
        </is>
      </c>
      <c r="AF156" s="7" t="n"/>
      <c r="AG156" s="7" t="n"/>
      <c r="AH156" s="7" t="inlineStr">
        <is>
          <t>b2-0057</t>
        </is>
      </c>
      <c r="AI156" s="7" t="n"/>
      <c r="AJ156" s="7" t="n"/>
      <c r="AK156" s="7" t="inlineStr">
        <is>
          <t>messianic-line #30 (context)</t>
        </is>
      </c>
      <c r="AL156" s="7" t="inlineStr">
        <is>
          <t>sort_key is arbitrary within the period of the Judges; sources do not say when in that period these events occurred.</t>
        </is>
      </c>
      <c r="AM156" s="7" t="n">
        <v>-1300</v>
      </c>
      <c r="AN156" s="10" t="n"/>
      <c r="AO156" s="10" t="n"/>
      <c r="AP156" s="10" t="n"/>
      <c r="AQ156" s="10" t="n"/>
    </row>
    <row r="157">
      <c r="A157" s="7" t="inlineStr">
        <is>
          <t>b2-0065</t>
        </is>
      </c>
      <c r="B157" s="11" t="inlineStr">
        <is>
          <t>Span</t>
        </is>
      </c>
      <c r="C157" s="7" t="inlineStr">
        <is>
          <t>judgeship</t>
        </is>
      </c>
      <c r="D157" s="7" t="inlineStr">
        <is>
          <t>Period of the Judges (c. 1450–c. 1120 B.C.E.; date not stated)</t>
        </is>
      </c>
      <c r="E157" s="7" t="n"/>
      <c r="F157" s="7" t="n"/>
      <c r="G157" s="7" t="inlineStr">
        <is>
          <t>Not stated</t>
        </is>
      </c>
      <c r="H157" s="7" t="n"/>
      <c r="I157" s="7" t="inlineStr">
        <is>
          <t>Not stated</t>
        </is>
      </c>
      <c r="J157" s="7" t="n"/>
      <c r="K157" s="2" t="inlineStr">
        <is>
          <t>Gideon delivers Israel from Midian</t>
        </is>
      </c>
      <c r="L157" s="2" t="n"/>
      <c r="M157" s="7" t="inlineStr">
        <is>
          <t>After seven years of Midianite oppression, Gideon with 300 men routed Midian; the land had no disturbance 40 years in his days.</t>
        </is>
      </c>
      <c r="N157" s="7" t="n"/>
      <c r="O157" s="8" t="inlineStr">
        <is>
          <t>Bible</t>
        </is>
      </c>
      <c r="P157" s="7" t="inlineStr">
        <is>
          <t>bible.conquest_judges</t>
        </is>
      </c>
      <c r="Q157" s="7" t="inlineStr">
        <is>
          <t>judgeship</t>
        </is>
      </c>
      <c r="R157" s="7" t="inlineStr">
        <is>
          <t>Gideon</t>
        </is>
      </c>
      <c r="S157" s="7" t="inlineStr">
        <is>
          <t>Spring of Harod; Hill of Moreh</t>
        </is>
      </c>
      <c r="T157" s="7" t="inlineStr">
        <is>
          <t>Judg. 6:1–8:28</t>
        </is>
      </c>
      <c r="U157" s="7" t="n"/>
      <c r="V157" s="7" t="n">
        <v>4</v>
      </c>
      <c r="W157" s="7" t="inlineStr">
        <is>
          <t>Gideon</t>
        </is>
      </c>
      <c r="X157" s="9" t="inlineStr">
        <is>
          <t>open</t>
        </is>
      </c>
      <c r="Y157" s="7" t="n"/>
      <c r="Z157" s="7" t="inlineStr">
        <is>
          <t>https://wol.jw.org/en/wol/d/r1/lp-e/1200001685
https://wol.jw.org/en/wol/d/r1/lp-e/1200002545
https://wol.jw.org/en/wol/d/r1/lp-e/1200010959
https://wol.jw.org/en/wol/d/r1/lp-e/1001061226</t>
        </is>
      </c>
      <c r="AA157" s="7" t="n">
        <v>0</v>
      </c>
      <c r="AB157" s="7" t="n"/>
      <c r="AC157" s="7" t="n">
        <v>0</v>
      </c>
      <c r="AD157" s="7" t="n"/>
      <c r="AE157" s="7" t="inlineStr">
        <is>
          <t>jw.org gives no year for this period; sort keys only keep the source order.</t>
        </is>
      </c>
      <c r="AF157" s="7" t="n"/>
      <c r="AG157" s="7" t="n"/>
      <c r="AH157" s="7" t="inlineStr">
        <is>
          <t>b2-0057</t>
        </is>
      </c>
      <c r="AI157" s="7" t="n"/>
      <c r="AJ157" s="7" t="n"/>
      <c r="AK157" s="7" t="inlineStr">
        <is>
          <t>judges-of-israel #5 (ruler); settlement-of-the-land #8 (item)</t>
        </is>
      </c>
      <c r="AL157" s="7" t="inlineStr">
        <is>
          <t>Exact date not determined. sort_key places this event only by its order in the book of Judges and in the illustrative chart 'Period From the Start of the Conquest of Canaan to the Reign of Saul' (Aid to Bible Understanding, Chronology); it is NOT a date. Insight 'Judge': 'the dates of their judgeships cannot in every case be determined.'</t>
        </is>
      </c>
      <c r="AM157" s="7" t="n">
        <v>-1290</v>
      </c>
      <c r="AN157" s="10" t="n"/>
      <c r="AO157" s="10" t="n"/>
      <c r="AP157" s="10" t="n"/>
      <c r="AQ157" s="10" t="n"/>
    </row>
    <row r="158">
      <c r="A158" s="7" t="inlineStr">
        <is>
          <t>b2-0066</t>
        </is>
      </c>
      <c r="B158" s="11" t="inlineStr">
        <is>
          <t>Span</t>
        </is>
      </c>
      <c r="C158" s="7" t="inlineStr">
        <is>
          <t>reign</t>
        </is>
      </c>
      <c r="D158" s="7" t="inlineStr">
        <is>
          <t>Period of the Judges (c. 1450–c. 1120 B.C.E.; date not stated)</t>
        </is>
      </c>
      <c r="E158" s="7" t="n"/>
      <c r="F158" s="7" t="n"/>
      <c r="G158" s="7" t="inlineStr">
        <is>
          <t>Not stated</t>
        </is>
      </c>
      <c r="H158" s="7" t="n"/>
      <c r="I158" s="7" t="inlineStr">
        <is>
          <t>Not stated</t>
        </is>
      </c>
      <c r="J158" s="7" t="inlineStr">
        <is>
          <t>three years</t>
        </is>
      </c>
      <c r="K158" s="2" t="inlineStr">
        <is>
          <t>Abimelech rules for three years</t>
        </is>
      </c>
      <c r="L158" s="2" t="n"/>
      <c r="M158" s="7" t="inlineStr">
        <is>
          <t>Gideon's son Abimelech made himself ruler at Shechem and ruled three years before dying at Thebez.</t>
        </is>
      </c>
      <c r="N158" s="7" t="n"/>
      <c r="O158" s="8" t="inlineStr">
        <is>
          <t>Bible</t>
        </is>
      </c>
      <c r="P158" s="7" t="inlineStr">
        <is>
          <t>bible.conquest_judges</t>
        </is>
      </c>
      <c r="Q158" s="7" t="inlineStr">
        <is>
          <t>reign</t>
        </is>
      </c>
      <c r="R158" s="7" t="inlineStr">
        <is>
          <t>Abimelech</t>
        </is>
      </c>
      <c r="S158" s="7" t="inlineStr">
        <is>
          <t>Shechem; Thebez</t>
        </is>
      </c>
      <c r="T158" s="7" t="inlineStr">
        <is>
          <t>Judg. 9:22, 50-56</t>
        </is>
      </c>
      <c r="U158" s="7" t="n"/>
      <c r="V158" s="7" t="n">
        <v>1</v>
      </c>
      <c r="W158" s="7" t="inlineStr">
        <is>
          <t>Chronology</t>
        </is>
      </c>
      <c r="X158" s="9" t="inlineStr">
        <is>
          <t>open</t>
        </is>
      </c>
      <c r="Y158" s="7" t="n"/>
      <c r="Z158" s="7" t="inlineStr">
        <is>
          <t>https://wol.jw.org/en/wol/d/r1/lp-e/1200010959</t>
        </is>
      </c>
      <c r="AA158" s="7" t="n">
        <v>0</v>
      </c>
      <c r="AB158" s="7" t="n"/>
      <c r="AC158" s="7" t="n">
        <v>0</v>
      </c>
      <c r="AD158" s="7" t="n"/>
      <c r="AE158" s="7" t="inlineStr">
        <is>
          <t>jw.org gives no year for this period; sort keys only keep the source order.</t>
        </is>
      </c>
      <c r="AF158" s="7" t="n"/>
      <c r="AG158" s="7" t="n"/>
      <c r="AH158" s="7" t="inlineStr">
        <is>
          <t>b2-0057</t>
        </is>
      </c>
      <c r="AI158" s="7" t="n"/>
      <c r="AJ158" s="7" t="n"/>
      <c r="AK158" s="7" t="n"/>
      <c r="AL158" s="7" t="inlineStr">
        <is>
          <t>Exact date not determined. sort_key places this event only by its order in the book of Judges and in the illustrative chart 'Period From the Start of the Conquest of Canaan to the Reign of Saul' (Aid to Bible Understanding, Chronology); it is NOT a date. Insight 'Judge': 'the dates of their judgeships cannot in every case be determined.'</t>
        </is>
      </c>
      <c r="AM158" s="7" t="n">
        <v>-1250</v>
      </c>
      <c r="AN158" s="10" t="n"/>
      <c r="AO158" s="10" t="n"/>
      <c r="AP158" s="10" t="n"/>
      <c r="AQ158" s="10" t="n"/>
    </row>
    <row r="159">
      <c r="A159" s="7" t="inlineStr">
        <is>
          <t>b2-0067</t>
        </is>
      </c>
      <c r="B159" s="11" t="inlineStr">
        <is>
          <t>Span</t>
        </is>
      </c>
      <c r="C159" s="7" t="inlineStr">
        <is>
          <t>judgeship</t>
        </is>
      </c>
      <c r="D159" s="7" t="inlineStr">
        <is>
          <t>Period of the Judges (c. 1450–c. 1120 B.C.E.; date not stated)</t>
        </is>
      </c>
      <c r="E159" s="7" t="n"/>
      <c r="F159" s="7" t="n"/>
      <c r="G159" s="7" t="inlineStr">
        <is>
          <t>Not stated</t>
        </is>
      </c>
      <c r="H159" s="7" t="n"/>
      <c r="I159" s="7" t="inlineStr">
        <is>
          <t>Not stated</t>
        </is>
      </c>
      <c r="J159" s="7" t="inlineStr">
        <is>
          <t>23 years</t>
        </is>
      </c>
      <c r="K159" s="2" t="inlineStr">
        <is>
          <t>Tola judges Israel 23 years</t>
        </is>
      </c>
      <c r="L159" s="2" t="n"/>
      <c r="M159" s="7" t="inlineStr">
        <is>
          <t>Tola of Issachar judged Israel for 23 years.</t>
        </is>
      </c>
      <c r="N159" s="7" t="n"/>
      <c r="O159" s="8" t="inlineStr">
        <is>
          <t>Bible</t>
        </is>
      </c>
      <c r="P159" s="7" t="inlineStr">
        <is>
          <t>bible.conquest_judges</t>
        </is>
      </c>
      <c r="Q159" s="7" t="inlineStr">
        <is>
          <t>judgeship</t>
        </is>
      </c>
      <c r="R159" s="7" t="inlineStr">
        <is>
          <t>Tola</t>
        </is>
      </c>
      <c r="S159" s="7" t="n"/>
      <c r="T159" s="7" t="inlineStr">
        <is>
          <t>Judg. 10:1, 2</t>
        </is>
      </c>
      <c r="U159" s="7" t="n"/>
      <c r="V159" s="7" t="n">
        <v>3</v>
      </c>
      <c r="W159" s="7" t="inlineStr">
        <is>
          <t>Judge</t>
        </is>
      </c>
      <c r="X159" s="9" t="inlineStr">
        <is>
          <t>open</t>
        </is>
      </c>
      <c r="Y159" s="7" t="n"/>
      <c r="Z159" s="7" t="inlineStr">
        <is>
          <t>https://wol.jw.org/en/wol/d/r1/lp-e/1200002545
https://wol.jw.org/en/wol/d/r1/lp-e/1200010959
https://wol.jw.org/en/wol/d/r1/lp-e/1001061226</t>
        </is>
      </c>
      <c r="AA159" s="7" t="n">
        <v>0</v>
      </c>
      <c r="AB159" s="7" t="n"/>
      <c r="AC159" s="7" t="n">
        <v>0</v>
      </c>
      <c r="AD159" s="7" t="n"/>
      <c r="AE159" s="7" t="inlineStr">
        <is>
          <t>jw.org gives no year for this period; sort keys only keep the source order.</t>
        </is>
      </c>
      <c r="AF159" s="7" t="n"/>
      <c r="AG159" s="7" t="n"/>
      <c r="AH159" s="7" t="inlineStr">
        <is>
          <t>b2-0057</t>
        </is>
      </c>
      <c r="AI159" s="7" t="n"/>
      <c r="AJ159" s="7" t="n"/>
      <c r="AK159" s="7" t="inlineStr">
        <is>
          <t>judges-of-israel #6 (ruler); settlement-of-the-land #9 (item)</t>
        </is>
      </c>
      <c r="AL159" s="7" t="inlineStr">
        <is>
          <t>Exact date not determined. sort_key places this event only by its order in the book of Judges and in the illustrative chart 'Period From the Start of the Conquest of Canaan to the Reign of Saul' (Aid to Bible Understanding, Chronology); it is NOT a date. Insight 'Judge': 'the dates of their judgeships cannot in every case be determined.'</t>
        </is>
      </c>
      <c r="AM159" s="7" t="n">
        <v>-1245</v>
      </c>
      <c r="AN159" s="10" t="n"/>
      <c r="AO159" s="10" t="n"/>
      <c r="AP159" s="10" t="n"/>
      <c r="AQ159" s="10" t="n"/>
    </row>
    <row r="160">
      <c r="A160" s="7" t="inlineStr">
        <is>
          <t>b2-0068</t>
        </is>
      </c>
      <c r="B160" s="11" t="inlineStr">
        <is>
          <t>Span</t>
        </is>
      </c>
      <c r="C160" s="7" t="inlineStr">
        <is>
          <t>judgeship</t>
        </is>
      </c>
      <c r="D160" s="7" t="inlineStr">
        <is>
          <t>Period of the Judges (c. 1450–c. 1120 B.C.E.; date not stated)</t>
        </is>
      </c>
      <c r="E160" s="7" t="n"/>
      <c r="F160" s="7" t="n"/>
      <c r="G160" s="7" t="inlineStr">
        <is>
          <t>Not stated</t>
        </is>
      </c>
      <c r="H160" s="7" t="n"/>
      <c r="I160" s="7" t="inlineStr">
        <is>
          <t>Not stated</t>
        </is>
      </c>
      <c r="J160" s="7" t="inlineStr">
        <is>
          <t>22 years</t>
        </is>
      </c>
      <c r="K160" s="2" t="inlineStr">
        <is>
          <t>Jair judges Israel 22 years</t>
        </is>
      </c>
      <c r="L160" s="2" t="n"/>
      <c r="M160" s="7" t="inlineStr">
        <is>
          <t>Jair of Gilead judged Israel for 22 years.</t>
        </is>
      </c>
      <c r="N160" s="7" t="n"/>
      <c r="O160" s="8" t="inlineStr">
        <is>
          <t>Bible</t>
        </is>
      </c>
      <c r="P160" s="7" t="inlineStr">
        <is>
          <t>bible.conquest_judges</t>
        </is>
      </c>
      <c r="Q160" s="7" t="inlineStr">
        <is>
          <t>judgeship</t>
        </is>
      </c>
      <c r="R160" s="7" t="inlineStr">
        <is>
          <t>Jair</t>
        </is>
      </c>
      <c r="S160" s="7" t="inlineStr">
        <is>
          <t>Gilead</t>
        </is>
      </c>
      <c r="T160" s="7" t="inlineStr">
        <is>
          <t>Judg. 10:3-5</t>
        </is>
      </c>
      <c r="U160" s="7" t="n"/>
      <c r="V160" s="7" t="n">
        <v>3</v>
      </c>
      <c r="W160" s="7" t="inlineStr">
        <is>
          <t>Judge</t>
        </is>
      </c>
      <c r="X160" s="9" t="inlineStr">
        <is>
          <t>open</t>
        </is>
      </c>
      <c r="Y160" s="7" t="n"/>
      <c r="Z160" s="7" t="inlineStr">
        <is>
          <t>https://wol.jw.org/en/wol/d/r1/lp-e/1200002545
https://wol.jw.org/en/wol/d/r1/lp-e/1200010959
https://wol.jw.org/en/wol/d/r1/lp-e/1001061226</t>
        </is>
      </c>
      <c r="AA160" s="7" t="n">
        <v>0</v>
      </c>
      <c r="AB160" s="7" t="n"/>
      <c r="AC160" s="7" t="n">
        <v>0</v>
      </c>
      <c r="AD160" s="7" t="n"/>
      <c r="AE160" s="7" t="inlineStr">
        <is>
          <t>jw.org gives no year for this period; sort keys only keep the source order.</t>
        </is>
      </c>
      <c r="AF160" s="7" t="n"/>
      <c r="AG160" s="7" t="n"/>
      <c r="AH160" s="7" t="inlineStr">
        <is>
          <t>b2-0057</t>
        </is>
      </c>
      <c r="AI160" s="7" t="n"/>
      <c r="AJ160" s="7" t="n"/>
      <c r="AK160" s="7" t="inlineStr">
        <is>
          <t>judges-of-israel #7 (ruler); settlement-of-the-land #10 (item)</t>
        </is>
      </c>
      <c r="AL160" s="7" t="inlineStr">
        <is>
          <t>Exact date not determined. sort_key places this event only by its order in the book of Judges and in the illustrative chart 'Period From the Start of the Conquest of Canaan to the Reign of Saul' (Aid to Bible Understanding, Chronology); it is NOT a date. Insight 'Judge': 'the dates of their judgeships cannot in every case be determined.'</t>
        </is>
      </c>
      <c r="AM160" s="7" t="n">
        <v>-1220</v>
      </c>
      <c r="AN160" s="10" t="n"/>
      <c r="AO160" s="10" t="n"/>
      <c r="AP160" s="10" t="n"/>
      <c r="AQ160" s="10" t="n"/>
    </row>
    <row r="161">
      <c r="A161" s="7" t="inlineStr">
        <is>
          <t>b2-0069</t>
        </is>
      </c>
      <c r="B161" s="7" t="inlineStr">
        <is>
          <t>Point</t>
        </is>
      </c>
      <c r="C161" s="7" t="n"/>
      <c r="D161" s="7" t="inlineStr">
        <is>
          <t>c. 1180 B.C.E.</t>
        </is>
      </c>
      <c r="E161" s="7" t="inlineStr">
        <is>
          <t>கி.மு. 1180*</t>
        </is>
      </c>
      <c r="F161" s="7" t="inlineStr">
        <is>
          <t>1180 BCE</t>
        </is>
      </c>
      <c r="G161" s="7" t="inlineStr">
        <is>
          <t>Approx. (c.)</t>
        </is>
      </c>
      <c r="H161" s="7" t="n"/>
      <c r="I161" s="7" t="n"/>
      <c r="J161" s="7" t="n"/>
      <c r="K161" s="2" t="inlineStr">
        <is>
          <t>Birth of Samuel (approximate)</t>
        </is>
      </c>
      <c r="L161" s="2" t="n"/>
      <c r="M161" s="7" t="inlineStr">
        <is>
          <t>Samuel was born to Elkanah and Hannah in answer to Hannah's prayer; after he was weaned, she brought him to serve at the tabernacle in Shiloh under High Priest Eli.</t>
        </is>
      </c>
      <c r="N161" s="7" t="n"/>
      <c r="O161" s="8" t="inlineStr">
        <is>
          <t>Bible</t>
        </is>
      </c>
      <c r="P161" s="7" t="inlineStr">
        <is>
          <t>bible.conquest_judges</t>
        </is>
      </c>
      <c r="Q161" s="7" t="inlineStr">
        <is>
          <t>birth</t>
        </is>
      </c>
      <c r="R161" s="7" t="inlineStr">
        <is>
          <t>Samuel; Hannah; Elkanah; Eli</t>
        </is>
      </c>
      <c r="S161" s="7" t="inlineStr">
        <is>
          <t>Ramah; Shiloh</t>
        </is>
      </c>
      <c r="T161" s="7" t="inlineStr">
        <is>
          <t>1 Sam. 1:20, 24-28</t>
        </is>
      </c>
      <c r="U161" s="7" t="n"/>
      <c r="V161" s="7" t="n">
        <v>3</v>
      </c>
      <c r="W161" s="7" t="inlineStr">
        <is>
          <t>Section 1 Timeline</t>
        </is>
      </c>
      <c r="X161" s="9" t="inlineStr">
        <is>
          <t>open</t>
        </is>
      </c>
      <c r="Y161" s="9" t="inlineStr">
        <is>
          <t>open</t>
        </is>
      </c>
      <c r="Z161" s="7" t="inlineStr">
        <is>
          <t>https://wol.jw.org/en/wol/d/r1/lp-e/1102025962
https://wol.jw.org/en/wol/d/r1/lp-e/1200271562
https://wol.jw.org/en/wol/d/r1/lp-e/1200003824</t>
        </is>
      </c>
      <c r="AA161" s="7" t="n">
        <v>0</v>
      </c>
      <c r="AB161" s="7" t="n"/>
      <c r="AC161" s="7" t="n">
        <v>0</v>
      </c>
      <c r="AD161" s="7" t="n"/>
      <c r="AE161" s="7" t="n"/>
      <c r="AF161" s="7" t="n"/>
      <c r="AG161" s="7" t="n"/>
      <c r="AH161" s="7" t="n"/>
      <c r="AI161" s="7" t="n"/>
      <c r="AJ161" s="7" t="n"/>
      <c r="AK161" s="7" t="n"/>
      <c r="AL161" s="7" t="n"/>
      <c r="AM161" s="7" t="n">
        <v>-1180</v>
      </c>
      <c r="AN161" s="10" t="n"/>
      <c r="AO161" s="10" t="n"/>
      <c r="AP161" s="10" t="n"/>
      <c r="AQ161" s="10" t="n"/>
    </row>
    <row r="162">
      <c r="A162" s="7" t="inlineStr">
        <is>
          <t>b2-0070</t>
        </is>
      </c>
      <c r="B162" s="7" t="inlineStr">
        <is>
          <t>Point</t>
        </is>
      </c>
      <c r="C162" s="7" t="n"/>
      <c r="D162" s="7" t="inlineStr">
        <is>
          <t>More than 60 years before Saul’s reign (1117 B.C.E.)</t>
        </is>
      </c>
      <c r="E162" s="7" t="n"/>
      <c r="F162" s="7" t="inlineStr">
        <is>
          <t>1177 BCE</t>
        </is>
      </c>
      <c r="G162" s="7" t="inlineStr">
        <is>
          <t>Before (b.)</t>
        </is>
      </c>
      <c r="H162" s="7" t="n"/>
      <c r="I162" s="7" t="n"/>
      <c r="J162" s="7" t="n"/>
      <c r="K162" s="2" t="inlineStr">
        <is>
          <t>Eli serves as high priest and judges Israel 40 years</t>
        </is>
      </c>
      <c r="L162" s="2" t="n"/>
      <c r="M162" s="7" t="inlineStr">
        <is>
          <t>Eli, a descendant of Aaron through Ithamar, served as high priest and judged Israel for 40 years; Samuel began to be a prophet during his lifetime.</t>
        </is>
      </c>
      <c r="N162" s="7" t="n"/>
      <c r="O162" s="8" t="inlineStr">
        <is>
          <t>Bible</t>
        </is>
      </c>
      <c r="P162" s="7" t="inlineStr">
        <is>
          <t>bible.conquest_judges</t>
        </is>
      </c>
      <c r="Q162" s="7" t="inlineStr">
        <is>
          <t>judgeship</t>
        </is>
      </c>
      <c r="R162" s="7" t="inlineStr">
        <is>
          <t>Eli; Samuel</t>
        </is>
      </c>
      <c r="S162" s="7" t="inlineStr">
        <is>
          <t>Shiloh</t>
        </is>
      </c>
      <c r="T162" s="7" t="inlineStr">
        <is>
          <t>1 Sam. 4:18; 1 Sam. 3:19-21</t>
        </is>
      </c>
      <c r="U162" s="7" t="n"/>
      <c r="V162" s="7" t="n">
        <v>2</v>
      </c>
      <c r="W162" s="7" t="inlineStr">
        <is>
          <t>Eli, I</t>
        </is>
      </c>
      <c r="X162" s="9" t="inlineStr">
        <is>
          <t>open</t>
        </is>
      </c>
      <c r="Y162" s="7" t="n"/>
      <c r="Z162" s="7" t="inlineStr">
        <is>
          <t>https://wol.jw.org/en/wol/d/r1/lp-e/1200001290
https://wol.jw.org/en/wol/d/r1/lp-e/1200010959</t>
        </is>
      </c>
      <c r="AA162" s="7" t="n">
        <v>0</v>
      </c>
      <c r="AB162" s="7" t="n"/>
      <c r="AC162" s="7" t="n">
        <v>0</v>
      </c>
      <c r="AD162" s="7" t="n"/>
      <c r="AE162" s="7" t="n"/>
      <c r="AF162" s="7" t="n"/>
      <c r="AG162" s="7" t="n"/>
      <c r="AH162" s="7" t="n"/>
      <c r="AI162" s="7" t="n"/>
      <c r="AJ162" s="7" t="n"/>
      <c r="AK162" s="7" t="n"/>
      <c r="AL162" s="7" t="inlineStr">
        <is>
          <t>Year field 1177 is derived from the Aid book's statement 'more than 60 years prior to Saul's reign' (1117 B.C.E.); no publication prints 1177.</t>
        </is>
      </c>
      <c r="AM162" s="7" t="n">
        <v>-1177.01</v>
      </c>
      <c r="AN162" s="10" t="n"/>
      <c r="AO162" s="10" t="n"/>
      <c r="AP162" s="10" t="n"/>
      <c r="AQ162" s="10" t="n"/>
    </row>
    <row r="163">
      <c r="A163" s="7" t="inlineStr">
        <is>
          <t>b2-0071</t>
        </is>
      </c>
      <c r="B163" s="7" t="inlineStr">
        <is>
          <t>Point</t>
        </is>
      </c>
      <c r="C163" s="7" t="n"/>
      <c r="D163" s="7" t="inlineStr">
        <is>
          <t>c. 1173 B.C.E.</t>
        </is>
      </c>
      <c r="E163" s="7" t="n"/>
      <c r="F163" s="7" t="inlineStr">
        <is>
          <t>1173 BCE</t>
        </is>
      </c>
      <c r="G163" s="7" t="inlineStr">
        <is>
          <t>Approx. (c.)</t>
        </is>
      </c>
      <c r="H163" s="7" t="n"/>
      <c r="I163" s="7" t="n"/>
      <c r="J163" s="7" t="n"/>
      <c r="K163" s="2" t="inlineStr">
        <is>
          <t>Jephthah defeats Ammon and begins six-year judgeship</t>
        </is>
      </c>
      <c r="L163" s="2" t="n"/>
      <c r="M163" s="7" t="inlineStr">
        <is>
          <t>Jephthah of Gilead defeated the Ammonites, fulfilled his vow regarding his daughter, and judged Israel six years. His reference to '300 years' of Israelite control east of the Jordan helps place his judgeship.</t>
        </is>
      </c>
      <c r="N163" s="7" t="n"/>
      <c r="O163" s="8" t="inlineStr">
        <is>
          <t>Bible</t>
        </is>
      </c>
      <c r="P163" s="7" t="inlineStr">
        <is>
          <t>bible.conquest_judges</t>
        </is>
      </c>
      <c r="Q163" s="7" t="inlineStr">
        <is>
          <t>judgeship</t>
        </is>
      </c>
      <c r="R163" s="7" t="inlineStr">
        <is>
          <t>Jephthah</t>
        </is>
      </c>
      <c r="S163" s="7" t="inlineStr">
        <is>
          <t>Gilead; Mizpah</t>
        </is>
      </c>
      <c r="T163" s="7" t="inlineStr">
        <is>
          <t>Judg. 11:26-33; Judg. 12:7</t>
        </is>
      </c>
      <c r="U163" s="7" t="n"/>
      <c r="V163" s="7" t="n">
        <v>3</v>
      </c>
      <c r="W163" s="7" t="inlineStr">
        <is>
          <t>Jephthah</t>
        </is>
      </c>
      <c r="X163" s="9" t="inlineStr">
        <is>
          <t>open</t>
        </is>
      </c>
      <c r="Y163" s="7" t="n"/>
      <c r="Z163" s="7" t="inlineStr">
        <is>
          <t>https://wol.jw.org/en/wol/d/r1/lp-e/1200002413
https://wol.jw.org/en/wol/d/r1/lp-e/1200271562
https://wol.jw.org/en/wol/d/r1/lp-e/1001061226</t>
        </is>
      </c>
      <c r="AA163" s="7" t="n">
        <v>0</v>
      </c>
      <c r="AB163" s="7" t="n"/>
      <c r="AC163" s="7" t="n">
        <v>1</v>
      </c>
      <c r="AD163" s="7" t="inlineStr">
        <is>
          <t>The Publications Index lists the year without 'c.'; Insight says 'around 1173 B.C.E.'</t>
        </is>
      </c>
      <c r="AE163" s="7" t="n"/>
      <c r="AF163" s="7" t="n"/>
      <c r="AG163" s="7" t="n"/>
      <c r="AH163" s="7" t="n"/>
      <c r="AI163" s="7" t="n"/>
      <c r="AJ163" s="7" t="n"/>
      <c r="AK163" s="7" t="inlineStr">
        <is>
          <t>judges-of-israel #8 (ruler); settlement-of-the-land #11 (item)</t>
        </is>
      </c>
      <c r="AL163" s="7" t="n"/>
      <c r="AM163" s="7" t="n">
        <v>-1173</v>
      </c>
      <c r="AN163" s="10" t="n"/>
      <c r="AO163" s="10" t="n"/>
      <c r="AP163" s="10" t="n"/>
      <c r="AQ163" s="10" t="n"/>
    </row>
    <row r="164">
      <c r="A164" s="7" t="inlineStr">
        <is>
          <t>b2-0072</t>
        </is>
      </c>
      <c r="B164" s="11" t="inlineStr">
        <is>
          <t>Span</t>
        </is>
      </c>
      <c r="C164" s="7" t="inlineStr">
        <is>
          <t>judgeship</t>
        </is>
      </c>
      <c r="D164" s="7" t="inlineStr">
        <is>
          <t>Period of the Judges (c. 1450–c. 1120 B.C.E.; date not stated)</t>
        </is>
      </c>
      <c r="E164" s="7" t="n"/>
      <c r="F164" s="7" t="n"/>
      <c r="G164" s="7" t="inlineStr">
        <is>
          <t>Not stated</t>
        </is>
      </c>
      <c r="H164" s="7" t="n"/>
      <c r="I164" s="7" t="inlineStr">
        <is>
          <t>Not stated</t>
        </is>
      </c>
      <c r="J164" s="7" t="inlineStr">
        <is>
          <t>7 years</t>
        </is>
      </c>
      <c r="K164" s="2" t="inlineStr">
        <is>
          <t>Ibzan judges Israel 7 years</t>
        </is>
      </c>
      <c r="L164" s="2" t="n"/>
      <c r="M164" s="7" t="inlineStr">
        <is>
          <t>Ibzan of Bethlehem judged Israel for seven years.</t>
        </is>
      </c>
      <c r="N164" s="7" t="n"/>
      <c r="O164" s="8" t="inlineStr">
        <is>
          <t>Bible</t>
        </is>
      </c>
      <c r="P164" s="7" t="inlineStr">
        <is>
          <t>bible.conquest_judges</t>
        </is>
      </c>
      <c r="Q164" s="7" t="inlineStr">
        <is>
          <t>judgeship</t>
        </is>
      </c>
      <c r="R164" s="7" t="inlineStr">
        <is>
          <t>Ibzan</t>
        </is>
      </c>
      <c r="S164" s="7" t="inlineStr">
        <is>
          <t>Bethlehem</t>
        </is>
      </c>
      <c r="T164" s="7" t="inlineStr">
        <is>
          <t>Judg. 12:8-10</t>
        </is>
      </c>
      <c r="U164" s="7" t="n"/>
      <c r="V164" s="7" t="n">
        <v>3</v>
      </c>
      <c r="W164" s="7" t="inlineStr">
        <is>
          <t>Judge</t>
        </is>
      </c>
      <c r="X164" s="9" t="inlineStr">
        <is>
          <t>open</t>
        </is>
      </c>
      <c r="Y164" s="7" t="n"/>
      <c r="Z164" s="7" t="inlineStr">
        <is>
          <t>https://wol.jw.org/en/wol/d/r1/lp-e/1200002545
https://wol.jw.org/en/wol/d/r1/lp-e/1200010959
https://wol.jw.org/en/wol/d/r1/lp-e/1001061226</t>
        </is>
      </c>
      <c r="AA164" s="7" t="n">
        <v>0</v>
      </c>
      <c r="AB164" s="7" t="n"/>
      <c r="AC164" s="7" t="n">
        <v>0</v>
      </c>
      <c r="AD164" s="7" t="n"/>
      <c r="AE164" s="7" t="inlineStr">
        <is>
          <t>jw.org gives no year for this period; sort keys only keep the source order.</t>
        </is>
      </c>
      <c r="AF164" s="7" t="n"/>
      <c r="AG164" s="7" t="n"/>
      <c r="AH164" s="7" t="inlineStr">
        <is>
          <t>b2-0057</t>
        </is>
      </c>
      <c r="AI164" s="7" t="n"/>
      <c r="AJ164" s="7" t="n"/>
      <c r="AK164" s="7" t="inlineStr">
        <is>
          <t>judges-of-israel #9 (ruler); settlement-of-the-land #12 (item)</t>
        </is>
      </c>
      <c r="AL164" s="7" t="inlineStr">
        <is>
          <t>Exact date not determined. sort_key places this event only by its order in the book of Judges and in the illustrative chart 'Period From the Start of the Conquest of Canaan to the Reign of Saul' (Aid to Bible Understanding, Chronology); it is NOT a date. Insight 'Judge': 'the dates of their judgeships cannot in every case be determined.'</t>
        </is>
      </c>
      <c r="AM164" s="7" t="n">
        <v>-1166</v>
      </c>
      <c r="AN164" s="10" t="n"/>
      <c r="AO164" s="10" t="n"/>
      <c r="AP164" s="10" t="n"/>
      <c r="AQ164" s="10" t="n"/>
    </row>
    <row r="165">
      <c r="A165" s="7" t="inlineStr">
        <is>
          <t>b2-0073</t>
        </is>
      </c>
      <c r="B165" s="11" t="inlineStr">
        <is>
          <t>Span</t>
        </is>
      </c>
      <c r="C165" s="7" t="inlineStr">
        <is>
          <t>judgeship</t>
        </is>
      </c>
      <c r="D165" s="7" t="inlineStr">
        <is>
          <t>Period of the Judges (c. 1450–c. 1120 B.C.E.; date not stated)</t>
        </is>
      </c>
      <c r="E165" s="7" t="n"/>
      <c r="F165" s="7" t="n"/>
      <c r="G165" s="7" t="inlineStr">
        <is>
          <t>Not stated</t>
        </is>
      </c>
      <c r="H165" s="7" t="n"/>
      <c r="I165" s="7" t="inlineStr">
        <is>
          <t>Not stated</t>
        </is>
      </c>
      <c r="J165" s="7" t="inlineStr">
        <is>
          <t>10 years</t>
        </is>
      </c>
      <c r="K165" s="2" t="inlineStr">
        <is>
          <t>Elon judges Israel 10 years</t>
        </is>
      </c>
      <c r="L165" s="2" t="n"/>
      <c r="M165" s="7" t="inlineStr">
        <is>
          <t>Elon of Zebulun judged Israel for ten years.</t>
        </is>
      </c>
      <c r="N165" s="7" t="n"/>
      <c r="O165" s="8" t="inlineStr">
        <is>
          <t>Bible</t>
        </is>
      </c>
      <c r="P165" s="7" t="inlineStr">
        <is>
          <t>bible.conquest_judges</t>
        </is>
      </c>
      <c r="Q165" s="7" t="inlineStr">
        <is>
          <t>judgeship</t>
        </is>
      </c>
      <c r="R165" s="7" t="inlineStr">
        <is>
          <t>Elon</t>
        </is>
      </c>
      <c r="S165" s="7" t="n"/>
      <c r="T165" s="7" t="inlineStr">
        <is>
          <t>Judg. 12:11, 12</t>
        </is>
      </c>
      <c r="U165" s="7" t="n"/>
      <c r="V165" s="7" t="n">
        <v>3</v>
      </c>
      <c r="W165" s="7" t="inlineStr">
        <is>
          <t>Judge</t>
        </is>
      </c>
      <c r="X165" s="9" t="inlineStr">
        <is>
          <t>open</t>
        </is>
      </c>
      <c r="Y165" s="7" t="n"/>
      <c r="Z165" s="7" t="inlineStr">
        <is>
          <t>https://wol.jw.org/en/wol/d/r1/lp-e/1200002545
https://wol.jw.org/en/wol/d/r1/lp-e/1200010959
https://wol.jw.org/en/wol/d/r1/lp-e/1001061226</t>
        </is>
      </c>
      <c r="AA165" s="7" t="n">
        <v>0</v>
      </c>
      <c r="AB165" s="7" t="n"/>
      <c r="AC165" s="7" t="n">
        <v>0</v>
      </c>
      <c r="AD165" s="7" t="n"/>
      <c r="AE165" s="7" t="inlineStr">
        <is>
          <t>jw.org gives no year for this period; sort keys only keep the source order.</t>
        </is>
      </c>
      <c r="AF165" s="7" t="n"/>
      <c r="AG165" s="7" t="n"/>
      <c r="AH165" s="7" t="inlineStr">
        <is>
          <t>b2-0057</t>
        </is>
      </c>
      <c r="AI165" s="7" t="n"/>
      <c r="AJ165" s="7" t="n"/>
      <c r="AK165" s="7" t="inlineStr">
        <is>
          <t>judges-of-israel #10 (ruler); settlement-of-the-land #13 (item)</t>
        </is>
      </c>
      <c r="AL165" s="7" t="inlineStr">
        <is>
          <t>Exact date not determined. sort_key places this event only by its order in the book of Judges and in the illustrative chart 'Period From the Start of the Conquest of Canaan to the Reign of Saul' (Aid to Bible Understanding, Chronology); it is NOT a date. Insight 'Judge': 'the dates of their judgeships cannot in every case be determined.'</t>
        </is>
      </c>
      <c r="AM165" s="7" t="n">
        <v>-1160</v>
      </c>
      <c r="AN165" s="10" t="n"/>
      <c r="AO165" s="10" t="n"/>
      <c r="AP165" s="10" t="n"/>
      <c r="AQ165" s="10" t="n"/>
    </row>
    <row r="166">
      <c r="A166" s="7" t="inlineStr">
        <is>
          <t>b2-0074</t>
        </is>
      </c>
      <c r="B166" s="11" t="inlineStr">
        <is>
          <t>Span</t>
        </is>
      </c>
      <c r="C166" s="7" t="inlineStr">
        <is>
          <t>judgeship</t>
        </is>
      </c>
      <c r="D166" s="7" t="inlineStr">
        <is>
          <t>Period of the Judges (c. 1450–c. 1120 B.C.E.; date not stated)</t>
        </is>
      </c>
      <c r="E166" s="7" t="n"/>
      <c r="F166" s="7" t="n"/>
      <c r="G166" s="7" t="inlineStr">
        <is>
          <t>Not stated</t>
        </is>
      </c>
      <c r="H166" s="7" t="n"/>
      <c r="I166" s="7" t="inlineStr">
        <is>
          <t>Not stated</t>
        </is>
      </c>
      <c r="J166" s="7" t="inlineStr">
        <is>
          <t>8 years</t>
        </is>
      </c>
      <c r="K166" s="2" t="inlineStr">
        <is>
          <t>Abdon judges Israel 8 years</t>
        </is>
      </c>
      <c r="L166" s="2" t="n"/>
      <c r="M166" s="7" t="inlineStr">
        <is>
          <t>Abdon of Ephraim judged Israel for eight years.</t>
        </is>
      </c>
      <c r="N166" s="7" t="n"/>
      <c r="O166" s="8" t="inlineStr">
        <is>
          <t>Bible</t>
        </is>
      </c>
      <c r="P166" s="7" t="inlineStr">
        <is>
          <t>bible.conquest_judges</t>
        </is>
      </c>
      <c r="Q166" s="7" t="inlineStr">
        <is>
          <t>judgeship</t>
        </is>
      </c>
      <c r="R166" s="7" t="inlineStr">
        <is>
          <t>Abdon</t>
        </is>
      </c>
      <c r="S166" s="7" t="inlineStr">
        <is>
          <t>Pirathon</t>
        </is>
      </c>
      <c r="T166" s="7" t="inlineStr">
        <is>
          <t>Judg. 12:13-15</t>
        </is>
      </c>
      <c r="U166" s="7" t="n"/>
      <c r="V166" s="7" t="n">
        <v>3</v>
      </c>
      <c r="W166" s="7" t="inlineStr">
        <is>
          <t>Judge</t>
        </is>
      </c>
      <c r="X166" s="9" t="inlineStr">
        <is>
          <t>open</t>
        </is>
      </c>
      <c r="Y166" s="7" t="n"/>
      <c r="Z166" s="7" t="inlineStr">
        <is>
          <t>https://wol.jw.org/en/wol/d/r1/lp-e/1200002545
https://wol.jw.org/en/wol/d/r1/lp-e/1200010959
https://wol.jw.org/en/wol/d/r1/lp-e/1001061226</t>
        </is>
      </c>
      <c r="AA166" s="7" t="n">
        <v>0</v>
      </c>
      <c r="AB166" s="7" t="n"/>
      <c r="AC166" s="7" t="n">
        <v>0</v>
      </c>
      <c r="AD166" s="7" t="n"/>
      <c r="AE166" s="7" t="inlineStr">
        <is>
          <t>jw.org gives no year for this period; sort keys only keep the source order.</t>
        </is>
      </c>
      <c r="AF166" s="7" t="n"/>
      <c r="AG166" s="7" t="n"/>
      <c r="AH166" s="7" t="inlineStr">
        <is>
          <t>b2-0057</t>
        </is>
      </c>
      <c r="AI166" s="7" t="n"/>
      <c r="AJ166" s="7" t="n"/>
      <c r="AK166" s="7" t="inlineStr">
        <is>
          <t>judges-of-israel #11 (ruler); settlement-of-the-land #14 (item)</t>
        </is>
      </c>
      <c r="AL166" s="7" t="inlineStr">
        <is>
          <t>Exact date not determined. sort_key places this event only by its order in the book of Judges and in the illustrative chart 'Period From the Start of the Conquest of Canaan to the Reign of Saul' (Aid to Bible Understanding, Chronology); it is NOT a date. Insight 'Judge': 'the dates of their judgeships cannot in every case be determined.'</t>
        </is>
      </c>
      <c r="AM166" s="7" t="n">
        <v>-1155</v>
      </c>
      <c r="AN166" s="10" t="n"/>
      <c r="AO166" s="10" t="n"/>
      <c r="AP166" s="10" t="n"/>
      <c r="AQ166" s="10" t="n"/>
    </row>
    <row r="167">
      <c r="A167" s="7" t="inlineStr">
        <is>
          <t>b2-0075</t>
        </is>
      </c>
      <c r="B167" s="11" t="inlineStr">
        <is>
          <t>Span</t>
        </is>
      </c>
      <c r="C167" s="7" t="inlineStr">
        <is>
          <t>judgeship</t>
        </is>
      </c>
      <c r="D167" s="7" t="inlineStr">
        <is>
          <t>Period of the Judges (c. 1450–c. 1120 B.C.E.; date not stated)</t>
        </is>
      </c>
      <c r="E167" s="7" t="n"/>
      <c r="F167" s="7" t="n"/>
      <c r="G167" s="7" t="inlineStr">
        <is>
          <t>Not stated</t>
        </is>
      </c>
      <c r="H167" s="7" t="n"/>
      <c r="I167" s="7" t="inlineStr">
        <is>
          <t>Not stated</t>
        </is>
      </c>
      <c r="J167" s="7" t="inlineStr">
        <is>
          <t>20 years</t>
        </is>
      </c>
      <c r="K167" s="2" t="inlineStr">
        <is>
          <t>Samson judges Israel 20 years</t>
        </is>
      </c>
      <c r="L167" s="2" t="n"/>
      <c r="M167" s="7" t="inlineStr">
        <is>
          <t>During 40 years of Philistine oppression, Samson the Nazirite of Dan judged Israel 20 years, fighting the Philistines single-handedly; he died at the temple of Dagon.</t>
        </is>
      </c>
      <c r="N167" s="7" t="n"/>
      <c r="O167" s="8" t="inlineStr">
        <is>
          <t>Bible</t>
        </is>
      </c>
      <c r="P167" s="7" t="inlineStr">
        <is>
          <t>bible.conquest_judges</t>
        </is>
      </c>
      <c r="Q167" s="7" t="inlineStr">
        <is>
          <t>judgeship</t>
        </is>
      </c>
      <c r="R167" s="7" t="inlineStr">
        <is>
          <t>Samson; Delilah</t>
        </is>
      </c>
      <c r="S167" s="7" t="inlineStr">
        <is>
          <t>Zorah; Gaza</t>
        </is>
      </c>
      <c r="T167" s="7" t="inlineStr">
        <is>
          <t>Judg. 13:1, 5; Judg. 15:20; Judg. 16:30, 31</t>
        </is>
      </c>
      <c r="U167" s="7" t="n"/>
      <c r="V167" s="7" t="n">
        <v>4</v>
      </c>
      <c r="W167" s="7" t="inlineStr">
        <is>
          <t>Samson</t>
        </is>
      </c>
      <c r="X167" s="9" t="inlineStr">
        <is>
          <t>open</t>
        </is>
      </c>
      <c r="Y167" s="7" t="n"/>
      <c r="Z167" s="7" t="inlineStr">
        <is>
          <t>https://wol.jw.org/en/wol/d/r1/lp-e/1200003823
https://wol.jw.org/en/wol/d/r1/lp-e/1200002545
https://wol.jw.org/en/wol/d/r1/lp-e/1200010959
https://wol.jw.org/en/wol/d/r1/lp-e/1001061226</t>
        </is>
      </c>
      <c r="AA167" s="7" t="n">
        <v>0</v>
      </c>
      <c r="AB167" s="7" t="n"/>
      <c r="AC167" s="7" t="n">
        <v>0</v>
      </c>
      <c r="AD167" s="7" t="n"/>
      <c r="AE167" s="7" t="inlineStr">
        <is>
          <t>jw.org gives no year for this period; sort keys only keep the source order.</t>
        </is>
      </c>
      <c r="AF167" s="7" t="n"/>
      <c r="AG167" s="7" t="n"/>
      <c r="AH167" s="7" t="inlineStr">
        <is>
          <t>b2-0057</t>
        </is>
      </c>
      <c r="AI167" s="7" t="n"/>
      <c r="AJ167" s="7" t="n"/>
      <c r="AK167" s="7" t="inlineStr">
        <is>
          <t>judges-of-israel #12 (ruler); settlement-of-the-land #15 (item)</t>
        </is>
      </c>
      <c r="AL167" s="7" t="inlineStr">
        <is>
          <t>Exact date not determined. sort_key places this event only by its order in the book of Judges and in the illustrative chart 'Period From the Start of the Conquest of Canaan to the Reign of Saul' (Aid to Bible Understanding, Chronology); it is NOT a date. Insight 'Judge': 'the dates of their judgeships cannot in every case be determined.' Aid notes Samson likely died not long before Samuel's victory over the Philistines.</t>
        </is>
      </c>
      <c r="AM167" s="7" t="n">
        <v>-1150</v>
      </c>
      <c r="AN167" s="10" t="n"/>
      <c r="AO167" s="10" t="n"/>
      <c r="AP167" s="10" t="n"/>
      <c r="AQ167" s="10" t="n"/>
    </row>
    <row r="168">
      <c r="A168" s="7" t="inlineStr">
        <is>
          <t>b2-0076</t>
        </is>
      </c>
      <c r="B168" s="7" t="inlineStr">
        <is>
          <t>Point</t>
        </is>
      </c>
      <c r="C168" s="7" t="n"/>
      <c r="D168" s="7" t="inlineStr">
        <is>
          <t>Before 1117 B.C.E. (ark then 20 years at Kiriath-jearim before Samuel’s victory)</t>
        </is>
      </c>
      <c r="E168" s="7" t="n"/>
      <c r="F168" s="7" t="inlineStr">
        <is>
          <t>1117 BCE</t>
        </is>
      </c>
      <c r="G168" s="7" t="inlineStr">
        <is>
          <t>Before (b.)</t>
        </is>
      </c>
      <c r="H168" s="7" t="n"/>
      <c r="I168" s="7" t="n"/>
      <c r="J168" s="7" t="n"/>
      <c r="K168" s="2" t="inlineStr">
        <is>
          <t>Ark captured by the Philistines; Eli dies</t>
        </is>
      </c>
      <c r="L168" s="2" t="n"/>
      <c r="M168" s="7" t="inlineStr">
        <is>
          <t>Israel was defeated by the Philistines, Eli's sons Hophni and Phinehas died, and the Ark was captured; on hearing the news, 98-year-old Eli fell and died.</t>
        </is>
      </c>
      <c r="N168" s="7" t="n"/>
      <c r="O168" s="8" t="inlineStr">
        <is>
          <t>Bible</t>
        </is>
      </c>
      <c r="P168" s="7" t="inlineStr">
        <is>
          <t>bible.conquest_judges</t>
        </is>
      </c>
      <c r="Q168" s="7" t="inlineStr">
        <is>
          <t>battle</t>
        </is>
      </c>
      <c r="R168" s="7" t="inlineStr">
        <is>
          <t>Eli; Hophni; Phinehas</t>
        </is>
      </c>
      <c r="S168" s="7" t="inlineStr">
        <is>
          <t>Aphek; Ebenezer; Shiloh</t>
        </is>
      </c>
      <c r="T168" s="7" t="inlineStr">
        <is>
          <t>1 Sam. 4:2-18</t>
        </is>
      </c>
      <c r="U168" s="7" t="n"/>
      <c r="V168" s="7" t="n">
        <v>2</v>
      </c>
      <c r="W168" s="7" t="inlineStr">
        <is>
          <t>Eli, I</t>
        </is>
      </c>
      <c r="X168" s="9" t="inlineStr">
        <is>
          <t>open</t>
        </is>
      </c>
      <c r="Y168" s="7" t="n"/>
      <c r="Z168" s="7" t="inlineStr">
        <is>
          <t>https://wol.jw.org/en/wol/d/r1/lp-e/1200001290
https://wol.jw.org/en/wol/d/r1/lp-e/1200010959</t>
        </is>
      </c>
      <c r="AA168" s="7" t="n">
        <v>0</v>
      </c>
      <c r="AB168" s="7" t="n"/>
      <c r="AC168" s="7" t="n">
        <v>0</v>
      </c>
      <c r="AD168" s="7" t="n"/>
      <c r="AE168" s="7" t="n"/>
      <c r="AF168" s="7" t="n"/>
      <c r="AG168" s="7" t="n"/>
      <c r="AH168" s="7" t="n"/>
      <c r="AI168" s="7" t="n"/>
      <c r="AJ168" s="7" t="n"/>
      <c r="AK168" s="7" t="n"/>
      <c r="AL168" s="7" t="inlineStr">
        <is>
          <t>No year is printed. Aid places Eli's death more than 20 years before Saul's reign (1117 B.C.E.); sort_key is an ordering placeholder only.</t>
        </is>
      </c>
      <c r="AM168" s="7" t="n">
        <v>-1140</v>
      </c>
      <c r="AN168" s="10" t="n"/>
      <c r="AO168" s="10" t="n"/>
      <c r="AP168" s="10" t="n"/>
      <c r="AQ168" s="10" t="n"/>
    </row>
    <row r="169">
      <c r="A169" s="7" t="inlineStr">
        <is>
          <t>b2-0077</t>
        </is>
      </c>
      <c r="B169" s="7" t="inlineStr">
        <is>
          <t>Point</t>
        </is>
      </c>
      <c r="C169" s="7" t="n"/>
      <c r="D169" s="7" t="inlineStr">
        <is>
          <t>Before 1117 B.C.E. (20 years)</t>
        </is>
      </c>
      <c r="E169" s="7" t="n"/>
      <c r="F169" s="7" t="inlineStr">
        <is>
          <t>1117 BCE</t>
        </is>
      </c>
      <c r="G169" s="7" t="inlineStr">
        <is>
          <t>Before (b.)</t>
        </is>
      </c>
      <c r="H169" s="7" t="n"/>
      <c r="I169" s="7" t="n"/>
      <c r="J169" s="7" t="n"/>
      <c r="K169" s="2" t="inlineStr">
        <is>
          <t>Ark returned; kept at Kiriath-jearim 20 years</t>
        </is>
      </c>
      <c r="L169" s="2" t="n"/>
      <c r="M169" s="7" t="inlineStr">
        <is>
          <t>After God struck the Philistines with plagues, they returned the Ark; it was brought to Kiriath-jearim, where it remained 20 years until after Israel turned back to Jehovah.</t>
        </is>
      </c>
      <c r="N169" s="7" t="n"/>
      <c r="O169" s="8" t="inlineStr">
        <is>
          <t>Bible</t>
        </is>
      </c>
      <c r="P169" s="7" t="inlineStr">
        <is>
          <t>bible.conquest_judges</t>
        </is>
      </c>
      <c r="Q169" s="7" t="inlineStr">
        <is>
          <t>event</t>
        </is>
      </c>
      <c r="R169" s="7" t="n"/>
      <c r="S169" s="7" t="inlineStr">
        <is>
          <t>Beth-shemesh; Kiriath-jearim</t>
        </is>
      </c>
      <c r="T169" s="7" t="inlineStr">
        <is>
          <t>1 Sam. 6:1–7:2</t>
        </is>
      </c>
      <c r="U169" s="7" t="n"/>
      <c r="V169" s="7" t="n">
        <v>2</v>
      </c>
      <c r="W169" s="7" t="inlineStr">
        <is>
          <t>What Is the Ark of the Covenant?</t>
        </is>
      </c>
      <c r="X169" s="9" t="inlineStr">
        <is>
          <t>open</t>
        </is>
      </c>
      <c r="Y169" s="7" t="n"/>
      <c r="Z169" s="7" t="inlineStr">
        <is>
          <t>https://wol.jw.org/en/wol/d/r1/lp-e/502016227
https://wol.jw.org/en/wol/d/r1/lp-e/1200010959</t>
        </is>
      </c>
      <c r="AA169" s="7" t="n">
        <v>0</v>
      </c>
      <c r="AB169" s="7" t="n"/>
      <c r="AC169" s="7" t="n">
        <v>0</v>
      </c>
      <c r="AD169" s="7" t="n"/>
      <c r="AE169" s="7" t="n"/>
      <c r="AF169" s="7" t="n"/>
      <c r="AG169" s="7" t="n"/>
      <c r="AH169" s="7" t="n"/>
      <c r="AI169" s="7" t="n"/>
      <c r="AJ169" s="7" t="n"/>
      <c r="AK169" s="7" t="n"/>
      <c r="AL169" s="7" t="inlineStr">
        <is>
          <t>No year printed; ordering placeholder.</t>
        </is>
      </c>
      <c r="AM169" s="7" t="n">
        <v>-1139.9</v>
      </c>
      <c r="AN169" s="10" t="n"/>
      <c r="AO169" s="10" t="n"/>
      <c r="AP169" s="10" t="n"/>
      <c r="AQ169" s="10" t="n"/>
    </row>
    <row r="170">
      <c r="A170" s="7" t="inlineStr">
        <is>
          <t>b2-0078</t>
        </is>
      </c>
      <c r="B170" s="7" t="inlineStr">
        <is>
          <t>Point</t>
        </is>
      </c>
      <c r="C170" s="7" t="n"/>
      <c r="D170" s="7" t="inlineStr">
        <is>
          <t>Before 1117 B.C.E.</t>
        </is>
      </c>
      <c r="E170" s="7" t="n"/>
      <c r="F170" s="7" t="inlineStr">
        <is>
          <t>1117 BCE</t>
        </is>
      </c>
      <c r="G170" s="7" t="inlineStr">
        <is>
          <t>Before (b.)</t>
        </is>
      </c>
      <c r="H170" s="7" t="n"/>
      <c r="I170" s="7" t="n"/>
      <c r="J170" s="7" t="n"/>
      <c r="K170" s="2" t="inlineStr">
        <is>
          <t>Samuel judges Israel; victory over the Philistines at Mizpah (Ebenezer)</t>
        </is>
      </c>
      <c r="L170" s="2" t="n"/>
      <c r="M170" s="7" t="inlineStr">
        <is>
          <t>Over 20 years after the Ark's capture, Israel abandoned idols at Samuel's urging; when the Philistines attacked at Mizpah, Jehovah threw them into confusion, and Samuel set up the stone Ebenezer. Samuel went on judging Israel.</t>
        </is>
      </c>
      <c r="N170" s="7" t="n"/>
      <c r="O170" s="8" t="inlineStr">
        <is>
          <t>Bible</t>
        </is>
      </c>
      <c r="P170" s="7" t="inlineStr">
        <is>
          <t>bible.conquest_judges</t>
        </is>
      </c>
      <c r="Q170" s="7" t="inlineStr">
        <is>
          <t>battle</t>
        </is>
      </c>
      <c r="R170" s="7" t="inlineStr">
        <is>
          <t>Samuel</t>
        </is>
      </c>
      <c r="S170" s="7" t="inlineStr">
        <is>
          <t>Mizpah; Ebenezer; Jeshanah</t>
        </is>
      </c>
      <c r="T170" s="7" t="inlineStr">
        <is>
          <t>1 Sam. 7:2-17</t>
        </is>
      </c>
      <c r="U170" s="7" t="n"/>
      <c r="V170" s="7" t="n">
        <v>2</v>
      </c>
      <c r="W170" s="7" t="inlineStr">
        <is>
          <t>Samuel</t>
        </is>
      </c>
      <c r="X170" s="9" t="inlineStr">
        <is>
          <t>open</t>
        </is>
      </c>
      <c r="Y170" s="7" t="n"/>
      <c r="Z170" s="7" t="inlineStr">
        <is>
          <t>https://wol.jw.org/en/wol/d/r1/lp-e/1200003824
https://wol.jw.org/en/wol/d/r1/lp-e/1200010959</t>
        </is>
      </c>
      <c r="AA170" s="7" t="n">
        <v>0</v>
      </c>
      <c r="AB170" s="7" t="n"/>
      <c r="AC170" s="7" t="n">
        <v>0</v>
      </c>
      <c r="AD170" s="7" t="n"/>
      <c r="AE170" s="7" t="n"/>
      <c r="AF170" s="7" t="n"/>
      <c r="AG170" s="7" t="n"/>
      <c r="AH170" s="7" t="n"/>
      <c r="AI170" s="7" t="n"/>
      <c r="AJ170" s="7" t="n"/>
      <c r="AK170" s="7" t="n"/>
      <c r="AL170" s="7" t="inlineStr">
        <is>
          <t>Aid chart places this victory shortly before Saul's reign began in 1117 B.C.E., with an indeterminate intervening period.</t>
        </is>
      </c>
      <c r="AM170" s="7" t="n">
        <v>-1117.01</v>
      </c>
      <c r="AN170" s="10" t="n"/>
      <c r="AO170" s="10" t="n"/>
      <c r="AP170" s="10" t="n"/>
      <c r="AQ170" s="10" t="n"/>
    </row>
    <row r="171">
      <c r="A171" s="7" t="inlineStr">
        <is>
          <t>b3-0001</t>
        </is>
      </c>
      <c r="B171" s="7" t="inlineStr">
        <is>
          <t>Point</t>
        </is>
      </c>
      <c r="C171" s="7" t="n"/>
      <c r="D171" s="7" t="inlineStr">
        <is>
          <t>1117 B.C.E.</t>
        </is>
      </c>
      <c r="E171" s="7" t="inlineStr">
        <is>
          <t>பொ.ச.மு. 1117</t>
        </is>
      </c>
      <c r="F171" s="7" t="inlineStr">
        <is>
          <t>1117 BCE</t>
        </is>
      </c>
      <c r="G171" s="7" t="inlineStr">
        <is>
          <t>Exact</t>
        </is>
      </c>
      <c r="H171" s="7" t="n"/>
      <c r="I171" s="7" t="n"/>
      <c r="J171" s="7" t="n"/>
      <c r="K171" s="2" t="inlineStr">
        <is>
          <t>Samuel anoints Saul as king of Israel</t>
        </is>
      </c>
      <c r="L171" s="2" t="inlineStr">
        <is>
          <t>சாமுவேல் சவுலை இஸ்ரவேலின் அரசனாக அபிஷேகம் செய்கிறார்</t>
        </is>
      </c>
      <c r="M171" s="7" t="inlineStr">
        <is>
          <t>Samuel anoints Saul, of the tribe of Benjamin, as the first king of Israel. Insight shows Saul ruling over all 12 tribes for 40 years from 1117 B.C.E.</t>
        </is>
      </c>
      <c r="N171" s="7" t="inlineStr">
        <is>
          <t>சாமுவேல் சவுலை இஸ்ரவேலின் அரசனாக அபிஷேகம் செய்கிறார்</t>
        </is>
      </c>
      <c r="O171" s="8" t="inlineStr">
        <is>
          <t>Bible</t>
        </is>
      </c>
      <c r="P171" s="7" t="inlineStr">
        <is>
          <t>bible.monarchy</t>
        </is>
      </c>
      <c r="Q171" s="7" t="inlineStr">
        <is>
          <t>accession</t>
        </is>
      </c>
      <c r="R171" s="7" t="inlineStr">
        <is>
          <t>Saul; Samuel</t>
        </is>
      </c>
      <c r="S171" s="7" t="inlineStr">
        <is>
          <t>Israel</t>
        </is>
      </c>
      <c r="T171" s="7" t="inlineStr">
        <is>
          <t>1 Sam. 10:24; Acts 13:21</t>
        </is>
      </c>
      <c r="U171" s="7" t="inlineStr">
        <is>
          <t>1 சா. 10:24; அப். 13:21</t>
        </is>
      </c>
      <c r="V171" s="7" t="n">
        <v>3</v>
      </c>
      <c r="W171" s="7" t="inlineStr">
        <is>
          <t>Study Number 3—Measuring Events in the Stream of Time</t>
        </is>
      </c>
      <c r="X171" s="9" t="inlineStr">
        <is>
          <t>open</t>
        </is>
      </c>
      <c r="Y171" s="9" t="inlineStr">
        <is>
          <t>open</t>
        </is>
      </c>
      <c r="Z171" s="7" t="inlineStr">
        <is>
          <t>https://wol.jw.org/en/wol/d/r1/lp-e/1101990130
https://wol.jw.org/en/wol/d/r1/lp-e/1200000970
https://wol.jw.org/en/wol/d/r1/lp-e/1101990070</t>
        </is>
      </c>
      <c r="AA171" s="7" t="n">
        <v>0</v>
      </c>
      <c r="AB171" s="7" t="n"/>
      <c r="AC171" s="7" t="n">
        <v>1</v>
      </c>
      <c r="AD171" s="7" t="inlineStr">
        <is>
          <t>The 1971 Aid chart agrees (1117, 40 years).</t>
        </is>
      </c>
      <c r="AE171" s="7" t="n"/>
      <c r="AF171" s="7" t="n"/>
      <c r="AG171" s="7" t="n"/>
      <c r="AH171" s="7" t="n"/>
      <c r="AI171" s="7" t="inlineStr">
        <is>
          <t>Span endpoint – keep</t>
        </is>
      </c>
      <c r="AJ171" s="7" t="inlineStr">
        <is>
          <t>start of Reign of Saul over Israel (b12-0009); start of United kingdom of Israel under Saul, David, and Solomon (b12-0010)</t>
        </is>
      </c>
      <c r="AK171" s="7" t="inlineStr">
        <is>
          <t>settlement-of-the-land #16 (item)</t>
        </is>
      </c>
      <c r="AL171" s="7" t="n"/>
      <c r="AM171" s="7" t="n">
        <v>-1117</v>
      </c>
      <c r="AN171" s="10" t="n"/>
      <c r="AO171" s="10" t="n"/>
      <c r="AP171" s="10" t="n"/>
      <c r="AQ171" s="10" t="n"/>
    </row>
    <row r="172">
      <c r="A172" s="7" t="inlineStr">
        <is>
          <t>b12-0009</t>
        </is>
      </c>
      <c r="B172" s="11" t="inlineStr">
        <is>
          <t>Span</t>
        </is>
      </c>
      <c r="C172" s="7" t="inlineStr">
        <is>
          <t>reign</t>
        </is>
      </c>
      <c r="D172" s="7" t="inlineStr">
        <is>
          <t>1117 B.C.E.–1077 B.C.E.</t>
        </is>
      </c>
      <c r="E172" s="7" t="n"/>
      <c r="F172" s="7" t="inlineStr">
        <is>
          <t>1117 BCE</t>
        </is>
      </c>
      <c r="G172" s="7" t="inlineStr">
        <is>
          <t>Exact</t>
        </is>
      </c>
      <c r="H172" s="7" t="inlineStr">
        <is>
          <t>1077 BCE</t>
        </is>
      </c>
      <c r="I172" s="7" t="inlineStr">
        <is>
          <t>Exact</t>
        </is>
      </c>
      <c r="J172" s="7" t="inlineStr">
        <is>
          <t>40 years</t>
        </is>
      </c>
      <c r="K172" s="2" t="inlineStr">
        <is>
          <t>Reign of Saul over Israel</t>
        </is>
      </c>
      <c r="L172" s="2" t="n"/>
      <c r="M172" s="7" t="inlineStr">
        <is>
          <t>Saul, Israel’s first king, ruled over all 12 tribes for 40 years, from his anointing by Samuel until David began to reign.</t>
        </is>
      </c>
      <c r="N172" s="7" t="n"/>
      <c r="O172" s="8" t="inlineStr">
        <is>
          <t>Bible</t>
        </is>
      </c>
      <c r="P172" s="7" t="inlineStr">
        <is>
          <t>bible.monarchy</t>
        </is>
      </c>
      <c r="Q172" s="7" t="n"/>
      <c r="R172" s="7" t="inlineStr">
        <is>
          <t>Saul</t>
        </is>
      </c>
      <c r="S172" s="7" t="n"/>
      <c r="T172" s="7" t="inlineStr">
        <is>
          <t>1 Sam. 10:24; Acts 13:21</t>
        </is>
      </c>
      <c r="U172" s="7" t="inlineStr">
        <is>
          <t>1 சா. 10:24; அப். 13:21</t>
        </is>
      </c>
      <c r="V172" s="7" t="n">
        <v>2</v>
      </c>
      <c r="W172" s="7" t="inlineStr">
        <is>
          <t>Chronology</t>
        </is>
      </c>
      <c r="X172" s="9" t="inlineStr">
        <is>
          <t>open</t>
        </is>
      </c>
      <c r="Y172" s="7" t="n"/>
      <c r="Z172" s="7" t="inlineStr">
        <is>
          <t>https://wol.jw.org/en/wol/d/r1/lp-e/1200000970
https://wol.jw.org/en/wol/d/r1/lp-e/1200000970</t>
        </is>
      </c>
      <c r="AA172" s="7" t="n">
        <v>0</v>
      </c>
      <c r="AB172" s="7" t="n"/>
      <c r="AC172" s="7" t="n">
        <v>0</v>
      </c>
      <c r="AD172" s="7" t="n"/>
      <c r="AE172" s="7" t="n"/>
      <c r="AF172" s="7" t="inlineStr">
        <is>
          <t>b3-0001</t>
        </is>
      </c>
      <c r="AG172" s="7" t="inlineStr">
        <is>
          <t>b3-0006</t>
        </is>
      </c>
      <c r="AH172" s="7" t="inlineStr">
        <is>
          <t>b12-0010</t>
        </is>
      </c>
      <c r="AI172" s="7" t="n"/>
      <c r="AJ172" s="7" t="n"/>
      <c r="AK172" s="7" t="inlineStr">
        <is>
          <t>united-kingdom #1 (ruler)</t>
        </is>
      </c>
      <c r="AL172" s="7" t="n"/>
      <c r="AM172" s="7" t="n">
        <v>-1117</v>
      </c>
      <c r="AN172" s="10" t="n"/>
      <c r="AO172" s="10" t="n"/>
      <c r="AP172" s="10" t="n"/>
      <c r="AQ172" s="10" t="n"/>
    </row>
    <row r="173">
      <c r="A173" s="7" t="inlineStr">
        <is>
          <t>b12-0010</t>
        </is>
      </c>
      <c r="B173" s="11" t="inlineStr">
        <is>
          <t>Span</t>
        </is>
      </c>
      <c r="C173" s="7" t="inlineStr">
        <is>
          <t>period</t>
        </is>
      </c>
      <c r="D173" s="7" t="inlineStr">
        <is>
          <t>1117 B.C.E.–997 B.C.E.</t>
        </is>
      </c>
      <c r="E173" s="7" t="n"/>
      <c r="F173" s="7" t="inlineStr">
        <is>
          <t>1117 BCE</t>
        </is>
      </c>
      <c r="G173" s="7" t="inlineStr">
        <is>
          <t>Exact</t>
        </is>
      </c>
      <c r="H173" s="7" t="inlineStr">
        <is>
          <t>997 BCE</t>
        </is>
      </c>
      <c r="I173" s="7" t="inlineStr">
        <is>
          <t>Exact</t>
        </is>
      </c>
      <c r="J173" s="7" t="inlineStr">
        <is>
          <t>120 years</t>
        </is>
      </c>
      <c r="K173" s="2" t="inlineStr">
        <is>
          <t>United kingdom of Israel under Saul, David, and Solomon</t>
        </is>
      </c>
      <c r="L173" s="2" t="n"/>
      <c r="M173" s="7" t="inlineStr">
        <is>
          <t>All 12 tribes of Israel were ruled by one king—Saul, David, and then Solomon—from Saul’s anointing until the kingdom split after Solomon’s death in 997 B.C.E.</t>
        </is>
      </c>
      <c r="N173" s="7" t="n"/>
      <c r="O173" s="8" t="inlineStr">
        <is>
          <t>Bible</t>
        </is>
      </c>
      <c r="P173" s="7" t="inlineStr">
        <is>
          <t>bible.monarchy</t>
        </is>
      </c>
      <c r="Q173" s="7" t="n"/>
      <c r="R173" s="7" t="inlineStr">
        <is>
          <t>Saul; David; Solomon</t>
        </is>
      </c>
      <c r="S173" s="7" t="n"/>
      <c r="T173" s="7" t="inlineStr">
        <is>
          <t>1 Ki. 12:19, 20</t>
        </is>
      </c>
      <c r="U173" s="7" t="inlineStr">
        <is>
          <t>1 ரா. 12:19, 20</t>
        </is>
      </c>
      <c r="V173" s="7" t="n">
        <v>3</v>
      </c>
      <c r="W173" s="7" t="inlineStr">
        <is>
          <t>Chronology</t>
        </is>
      </c>
      <c r="X173" s="9" t="inlineStr">
        <is>
          <t>open</t>
        </is>
      </c>
      <c r="Y173" s="7" t="n"/>
      <c r="Z173" s="7" t="inlineStr">
        <is>
          <t>https://wol.jw.org/en/wol/d/r1/lp-e/1200000970
https://wol.jw.org/en/wol/d/r1/lp-e/1200000970
https://wol.jw.org/en/wol/d/r1/lp-e/1101990130</t>
        </is>
      </c>
      <c r="AA173" s="7" t="n">
        <v>0</v>
      </c>
      <c r="AB173" s="7" t="n"/>
      <c r="AC173" s="7" t="n">
        <v>0</v>
      </c>
      <c r="AD173" s="7" t="n"/>
      <c r="AE173" s="7" t="n"/>
      <c r="AF173" s="7" t="inlineStr">
        <is>
          <t>b3-0001</t>
        </is>
      </c>
      <c r="AG173" s="7" t="inlineStr">
        <is>
          <t>b3-0019</t>
        </is>
      </c>
      <c r="AH173" s="7" t="n"/>
      <c r="AI173" s="7" t="n"/>
      <c r="AJ173" s="7" t="n"/>
      <c r="AK173" s="7" t="n"/>
      <c r="AL173" s="7" t="inlineStr">
        <is>
          <t>Duration is the sum of the three 40-year reigns in the Insight “Chronology” table (not printed as one figure).</t>
        </is>
      </c>
      <c r="AM173" s="7" t="n">
        <v>-1117</v>
      </c>
      <c r="AN173" s="10" t="n"/>
      <c r="AO173" s="10" t="n"/>
      <c r="AP173" s="10" t="n"/>
      <c r="AQ173" s="10" t="n"/>
    </row>
    <row r="174">
      <c r="A174" s="7" t="inlineStr">
        <is>
          <t>b3-0002</t>
        </is>
      </c>
      <c r="B174" s="7" t="inlineStr">
        <is>
          <t>Point</t>
        </is>
      </c>
      <c r="C174" s="7" t="n"/>
      <c r="D174" s="7" t="inlineStr">
        <is>
          <t>1107 B.C.E.</t>
        </is>
      </c>
      <c r="E174" s="7" t="inlineStr">
        <is>
          <t>பொ.ச.மு. 1107</t>
        </is>
      </c>
      <c r="F174" s="7" t="inlineStr">
        <is>
          <t>1107 BCE</t>
        </is>
      </c>
      <c r="G174" s="7" t="inlineStr">
        <is>
          <t>Exact</t>
        </is>
      </c>
      <c r="H174" s="7" t="n"/>
      <c r="I174" s="7" t="n"/>
      <c r="J174" s="7" t="n"/>
      <c r="K174" s="2" t="inlineStr">
        <is>
          <t>Birth of David at Bethlehem</t>
        </is>
      </c>
      <c r="L174" s="2" t="inlineStr">
        <is>
          <t>பெத்லெகேமில் தாவீதின் பிறப்பு</t>
        </is>
      </c>
      <c r="M174" s="7" t="inlineStr">
        <is>
          <t>David, son of Jesse of the tribe of Judah, is born in Bethlehem.</t>
        </is>
      </c>
      <c r="N174" s="7" t="inlineStr">
        <is>
          <t>பெத்லெகேமில் தாவீதின் பிறப்பு</t>
        </is>
      </c>
      <c r="O174" s="8" t="inlineStr">
        <is>
          <t>Bible</t>
        </is>
      </c>
      <c r="P174" s="7" t="inlineStr">
        <is>
          <t>bible.monarchy</t>
        </is>
      </c>
      <c r="Q174" s="7" t="inlineStr">
        <is>
          <t>birth</t>
        </is>
      </c>
      <c r="R174" s="7" t="inlineStr">
        <is>
          <t>David; Jesse</t>
        </is>
      </c>
      <c r="S174" s="7" t="inlineStr">
        <is>
          <t>Bethlehem</t>
        </is>
      </c>
      <c r="T174" s="7" t="inlineStr">
        <is>
          <t>1 Sam. 16:1</t>
        </is>
      </c>
      <c r="U174" s="7" t="inlineStr">
        <is>
          <t>1 சா. 16:1</t>
        </is>
      </c>
      <c r="V174" s="7" t="n">
        <v>2</v>
      </c>
      <c r="W174" s="7" t="inlineStr">
        <is>
          <t>Study Number 3—Measuring Events in the Stream of Time</t>
        </is>
      </c>
      <c r="X174" s="9" t="inlineStr">
        <is>
          <t>open</t>
        </is>
      </c>
      <c r="Y174" s="9" t="inlineStr">
        <is>
          <t>open</t>
        </is>
      </c>
      <c r="Z174" s="7" t="inlineStr">
        <is>
          <t>https://wol.jw.org/en/wol/d/r1/lp-e/1101990130
https://wol.jw.org/en/wol/d/r1/lp-e/1200000970</t>
        </is>
      </c>
      <c r="AA174" s="7" t="n">
        <v>0</v>
      </c>
      <c r="AB174" s="7" t="n"/>
      <c r="AC174" s="7" t="n">
        <v>0</v>
      </c>
      <c r="AD174" s="7" t="n"/>
      <c r="AE174" s="7" t="n"/>
      <c r="AF174" s="7" t="n"/>
      <c r="AG174" s="7" t="n"/>
      <c r="AH174" s="7" t="n"/>
      <c r="AI174" s="7" t="inlineStr">
        <is>
          <t>Covered by span – hide on chart</t>
        </is>
      </c>
      <c r="AJ174" s="7" t="inlineStr">
        <is>
          <t>start of Life of David (b12-0011)</t>
        </is>
      </c>
      <c r="AK174" s="7" t="n"/>
      <c r="AL174" s="7" t="n"/>
      <c r="AM174" s="7" t="n">
        <v>-1107</v>
      </c>
      <c r="AN174" s="10" t="n"/>
      <c r="AO174" s="10" t="n"/>
      <c r="AP174" s="10" t="n"/>
      <c r="AQ174" s="10" t="n"/>
    </row>
    <row r="175">
      <c r="A175" s="7" t="inlineStr">
        <is>
          <t>b12-0011</t>
        </is>
      </c>
      <c r="B175" s="11" t="inlineStr">
        <is>
          <t>Span</t>
        </is>
      </c>
      <c r="C175" s="7" t="inlineStr">
        <is>
          <t>lifespan</t>
        </is>
      </c>
      <c r="D175" s="7" t="inlineStr">
        <is>
          <t>1107 B.C.E.–1037 B.C.E.</t>
        </is>
      </c>
      <c r="E175" s="7" t="n"/>
      <c r="F175" s="7" t="inlineStr">
        <is>
          <t>1107 BCE</t>
        </is>
      </c>
      <c r="G175" s="7" t="inlineStr">
        <is>
          <t>Exact</t>
        </is>
      </c>
      <c r="H175" s="7" t="inlineStr">
        <is>
          <t>1037 BCE</t>
        </is>
      </c>
      <c r="I175" s="7" t="inlineStr">
        <is>
          <t>Exact</t>
        </is>
      </c>
      <c r="J175" s="7" t="n"/>
      <c r="K175" s="2" t="inlineStr">
        <is>
          <t>Life of David</t>
        </is>
      </c>
      <c r="L175" s="2" t="n"/>
      <c r="M175" s="7" t="inlineStr">
        <is>
          <t>David, son of Jesse, was born at Bethlehem and died after Solomon had begun to reign.</t>
        </is>
      </c>
      <c r="N175" s="7" t="n"/>
      <c r="O175" s="8" t="inlineStr">
        <is>
          <t>Bible</t>
        </is>
      </c>
      <c r="P175" s="7" t="inlineStr">
        <is>
          <t>bible.monarchy</t>
        </is>
      </c>
      <c r="Q175" s="7" t="n"/>
      <c r="R175" s="7" t="inlineStr">
        <is>
          <t>David</t>
        </is>
      </c>
      <c r="S175" s="7" t="inlineStr">
        <is>
          <t>Bethlehem; Jerusalem</t>
        </is>
      </c>
      <c r="T175" s="7" t="inlineStr">
        <is>
          <t>1 Sam. 16:1; 1 Ki. 2:10</t>
        </is>
      </c>
      <c r="U175" s="7" t="inlineStr">
        <is>
          <t>1 சா. 16:1; 1 ரா. 2:10</t>
        </is>
      </c>
      <c r="V175" s="7" t="n">
        <v>3</v>
      </c>
      <c r="W175" s="7" t="inlineStr">
        <is>
          <t>Study Number 3—Measuring Events in the Stream of Time</t>
        </is>
      </c>
      <c r="X175" s="9" t="inlineStr">
        <is>
          <t>open</t>
        </is>
      </c>
      <c r="Y175" s="9" t="inlineStr">
        <is>
          <t>open</t>
        </is>
      </c>
      <c r="Z175" s="7" t="inlineStr">
        <is>
          <t>https://wol.jw.org/en/wol/d/r1/lp-e/1101990130
https://wol.jw.org/en/wol/d/r1/lp-e/1966004
https://wol.jw.org/en/wol/d/r1/lp-e/1101990130</t>
        </is>
      </c>
      <c r="AA175" s="7" t="n">
        <v>0</v>
      </c>
      <c r="AB175" s="7" t="n"/>
      <c r="AC175" s="7" t="n">
        <v>0</v>
      </c>
      <c r="AD175" s="7" t="n"/>
      <c r="AE175" s="7" t="n"/>
      <c r="AF175" s="7" t="inlineStr">
        <is>
          <t>b3-0002</t>
        </is>
      </c>
      <c r="AG175" s="7" t="n"/>
      <c r="AH175" s="7" t="n"/>
      <c r="AI175" s="7" t="n"/>
      <c r="AJ175" s="7" t="n"/>
      <c r="AK175" s="7" t="inlineStr">
        <is>
          <t>messianic-line #33 (item)</t>
        </is>
      </c>
      <c r="AL175" s="7" t="inlineStr">
        <is>
          <t>No point event for David’s death exists in the raw data; end date from The Watchtower 1966 (w66) and si Study 3 par. 4.</t>
        </is>
      </c>
      <c r="AM175" s="7" t="n">
        <v>-1107</v>
      </c>
      <c r="AN175" s="10" t="n"/>
      <c r="AO175" s="10" t="n"/>
      <c r="AP175" s="10" t="n"/>
      <c r="AQ175" s="10" t="n"/>
    </row>
    <row r="176">
      <c r="A176" s="7" t="inlineStr">
        <is>
          <t>b11-0011</t>
        </is>
      </c>
      <c r="B176" s="7" t="inlineStr">
        <is>
          <t>Point</t>
        </is>
      </c>
      <c r="C176" s="7" t="n"/>
      <c r="D176" s="7" t="inlineStr">
        <is>
          <t>c. 1100 B.C.E.</t>
        </is>
      </c>
      <c r="E176" s="7" t="inlineStr">
        <is>
          <t>ஏ. கி.மு. 1100</t>
        </is>
      </c>
      <c r="F176" s="7" t="inlineStr">
        <is>
          <t>1100 BCE</t>
        </is>
      </c>
      <c r="G176" s="7" t="inlineStr">
        <is>
          <t>Approx. (c.)</t>
        </is>
      </c>
      <c r="H176" s="7" t="n"/>
      <c r="I176" s="7" t="n"/>
      <c r="J176" s="7" t="n"/>
      <c r="K176" s="2" t="inlineStr">
        <is>
          <t>Writing of Judges completed</t>
        </is>
      </c>
      <c r="L176" s="2" t="inlineStr">
        <is>
          <t>நியாயாதிபதிகள் — எழுதி முடிக்கப்பட்டது</t>
        </is>
      </c>
      <c r="M176" s="7" t="inlineStr">
        <is>
          <t>The writing of Judges was completed c. 1100 B.C.E. Writer: Samuel; place written: Israel. Time covered: c. 1450–c. 1120 B.C.E.</t>
        </is>
      </c>
      <c r="N176" s="7" t="inlineStr">
        <is>
          <t>நியாயாதிபதிகள்: எழுதியவர்(கள்): சாமுவேல்; எழுதப்பட்ட இடம்: இஸ்ரவேல்; முடிக்கப்பட்ட வருஷம் (கி.மு.): ஏ. 1100; காலப்பகுதி (கி.மு.): ஏ. 1450–ஏ. 1120.</t>
        </is>
      </c>
      <c r="O176" s="8" t="inlineStr">
        <is>
          <t>Bible</t>
        </is>
      </c>
      <c r="P176" s="7" t="inlineStr">
        <is>
          <t>bible.book_writing</t>
        </is>
      </c>
      <c r="Q176" s="7" t="inlineStr">
        <is>
          <t>writing_completed</t>
        </is>
      </c>
      <c r="R176" s="7" t="inlineStr">
        <is>
          <t>Samuel</t>
        </is>
      </c>
      <c r="S176" s="7" t="inlineStr">
        <is>
          <t>Israel</t>
        </is>
      </c>
      <c r="T176" s="7" t="inlineStr">
        <is>
          <t>Judg.</t>
        </is>
      </c>
      <c r="U176" s="7" t="inlineStr">
        <is>
          <t>நியா.</t>
        </is>
      </c>
      <c r="V176" s="7" t="n">
        <v>7</v>
      </c>
      <c r="W176" s="7" t="inlineStr">
        <is>
          <t>Table of the Books of the Bible</t>
        </is>
      </c>
      <c r="X176" s="9" t="inlineStr">
        <is>
          <t>open</t>
        </is>
      </c>
      <c r="Y176" s="9" t="inlineStr">
        <is>
          <t>open</t>
        </is>
      </c>
      <c r="Z176" s="7" t="inlineStr">
        <is>
          <t>https://wol.jw.org/en/wol/d/r1/lp-e/1001070071
https://wol.jw.org/en/wol/d/r1/lp-e/1101990068
https://www.jw.org/en/library/bible/study-bible/books-of-the-bible-list/
https://wol.jw.org/en/wol/d/r1/lp-e/1001060002
https://wol.jw.org/en/wol/d/r1/lp-e/1001061171
https://wol.jw.org/en/wol/d/r1/lp-e/1101990130
https://wol.jw.org/en/wol/d/r1/lp-e/1200000970</t>
        </is>
      </c>
      <c r="AA176" s="7" t="n">
        <v>0</v>
      </c>
      <c r="AB176" s="7" t="n"/>
      <c r="AC176" s="7" t="n">
        <v>0</v>
      </c>
      <c r="AD176" s="7" t="n"/>
      <c r="AE176" s="7" t="n"/>
      <c r="AF176" s="7" t="n"/>
      <c r="AG176" s="7" t="n"/>
      <c r="AH176" s="7" t="n"/>
      <c r="AI176" s="7" t="n"/>
      <c r="AJ176" s="7" t="n"/>
      <c r="AK176" s="7" t="inlineStr">
        <is>
          <t>bible-books-written #7 (item)</t>
        </is>
      </c>
      <c r="AL176" s="7" t="inlineStr">
        <is>
          <t>Writer(s): Samuel. Place written: Israel. Writing completed: c. 1100 B.C.E. Time covered: c. 1450–c. 1120 B.C.E.</t>
        </is>
      </c>
      <c r="AM176" s="7" t="n">
        <v>-1099.9993</v>
      </c>
      <c r="AN176" s="10" t="n"/>
      <c r="AO176" s="10" t="n"/>
      <c r="AP176" s="10" t="n"/>
      <c r="AQ176" s="10" t="n"/>
    </row>
    <row r="177">
      <c r="A177" s="7" t="inlineStr">
        <is>
          <t>b11-0012</t>
        </is>
      </c>
      <c r="B177" s="7" t="inlineStr">
        <is>
          <t>Point</t>
        </is>
      </c>
      <c r="C177" s="7" t="n"/>
      <c r="D177" s="7" t="inlineStr">
        <is>
          <t>c. 1090 B.C.E.</t>
        </is>
      </c>
      <c r="E177" s="7" t="inlineStr">
        <is>
          <t>ஏ. கி.மு. 1090</t>
        </is>
      </c>
      <c r="F177" s="7" t="inlineStr">
        <is>
          <t>1090 BCE</t>
        </is>
      </c>
      <c r="G177" s="7" t="inlineStr">
        <is>
          <t>Approx. (c.)</t>
        </is>
      </c>
      <c r="H177" s="7" t="n"/>
      <c r="I177" s="7" t="n"/>
      <c r="J177" s="7" t="n"/>
      <c r="K177" s="2" t="inlineStr">
        <is>
          <t>Writing of Ruth completed</t>
        </is>
      </c>
      <c r="L177" s="2" t="inlineStr">
        <is>
          <t>ரூத் — எழுதி முடிக்கப்பட்டது</t>
        </is>
      </c>
      <c r="M177" s="7" t="inlineStr">
        <is>
          <t>The writing of Ruth was completed c. 1090 B.C.E. Writer: Samuel; place written: Israel. Time covered: 11 years of Judges’ rule.</t>
        </is>
      </c>
      <c r="N177" s="7" t="inlineStr">
        <is>
          <t>ரூத்: எழுதியவர்(கள்): சாமுவேல்; எழுதப்பட்ட இடம்: இஸ்ரவேல்; முடிக்கப்பட்ட வருஷம் (கி.மு.): ஏ. 1090; காலப்பகுதி (கி.மு.): நியாயாதிபதிகளுடைய ஆட்சியில் 11 வருஷங்கள்.</t>
        </is>
      </c>
      <c r="O177" s="8" t="inlineStr">
        <is>
          <t>Bible</t>
        </is>
      </c>
      <c r="P177" s="7" t="inlineStr">
        <is>
          <t>bible.book_writing</t>
        </is>
      </c>
      <c r="Q177" s="7" t="inlineStr">
        <is>
          <t>writing_completed</t>
        </is>
      </c>
      <c r="R177" s="7" t="inlineStr">
        <is>
          <t>Samuel</t>
        </is>
      </c>
      <c r="S177" s="7" t="inlineStr">
        <is>
          <t>Israel</t>
        </is>
      </c>
      <c r="T177" s="7" t="inlineStr">
        <is>
          <t>Ruth</t>
        </is>
      </c>
      <c r="U177" s="7" t="inlineStr">
        <is>
          <t>ரூ.</t>
        </is>
      </c>
      <c r="V177" s="7" t="n">
        <v>7</v>
      </c>
      <c r="W177" s="7" t="inlineStr">
        <is>
          <t>Table of the Books of the Bible</t>
        </is>
      </c>
      <c r="X177" s="9" t="inlineStr">
        <is>
          <t>open</t>
        </is>
      </c>
      <c r="Y177" s="9" t="inlineStr">
        <is>
          <t>open</t>
        </is>
      </c>
      <c r="Z177" s="7" t="inlineStr">
        <is>
          <t>https://wol.jw.org/en/wol/d/r1/lp-e/1001070071
https://wol.jw.org/en/wol/d/r1/lp-e/1101990069
https://www.jw.org/en/library/bible/study-bible/books-of-the-bible-list/
https://wol.jw.org/en/wol/d/r1/lp-e/1001060002
https://wol.jw.org/en/wol/d/r1/lp-e/1001061171
https://wol.jw.org/en/wol/d/r1/lp-e/1101990130
https://wol.jw.org/en/wol/d/r1/lp-e/1200000970</t>
        </is>
      </c>
      <c r="AA177" s="7" t="n">
        <v>0</v>
      </c>
      <c r="AB177" s="7" t="n"/>
      <c r="AC177" s="7" t="n">
        <v>0</v>
      </c>
      <c r="AD177" s="7" t="n"/>
      <c r="AE177" s="7" t="n"/>
      <c r="AF177" s="7" t="n"/>
      <c r="AG177" s="7" t="n"/>
      <c r="AH177" s="7" t="n"/>
      <c r="AI177" s="7" t="n"/>
      <c r="AJ177" s="7" t="n"/>
      <c r="AK177" s="7" t="inlineStr">
        <is>
          <t>bible-books-written #8 (item)</t>
        </is>
      </c>
      <c r="AL177" s="7" t="inlineStr">
        <is>
          <t>Writer(s): Samuel. Place written: Israel. Writing completed: c. 1090 B.C.E. Time covered: 11 years of Judges’ rule.</t>
        </is>
      </c>
      <c r="AM177" s="7" t="n">
        <v>-1089.9992</v>
      </c>
      <c r="AN177" s="10" t="n"/>
      <c r="AO177" s="10" t="n"/>
      <c r="AP177" s="10" t="n"/>
      <c r="AQ177" s="10" t="n"/>
    </row>
    <row r="178">
      <c r="A178" s="7" t="inlineStr">
        <is>
          <t>b11-0013</t>
        </is>
      </c>
      <c r="B178" s="7" t="inlineStr">
        <is>
          <t>Point</t>
        </is>
      </c>
      <c r="C178" s="7" t="n"/>
      <c r="D178" s="7" t="inlineStr">
        <is>
          <t>c. 1078 B.C.E.</t>
        </is>
      </c>
      <c r="E178" s="7" t="inlineStr">
        <is>
          <t>ஏ. கி.மு. 1078</t>
        </is>
      </c>
      <c r="F178" s="7" t="inlineStr">
        <is>
          <t>1078 BCE</t>
        </is>
      </c>
      <c r="G178" s="7" t="inlineStr">
        <is>
          <t>Approx. (c.)</t>
        </is>
      </c>
      <c r="H178" s="7" t="n"/>
      <c r="I178" s="7" t="n"/>
      <c r="J178" s="7" t="n"/>
      <c r="K178" s="2" t="inlineStr">
        <is>
          <t>Writing of 1 Samuel completed</t>
        </is>
      </c>
      <c r="L178" s="2" t="inlineStr">
        <is>
          <t>1 சாமுவேல் — எழுதி முடிக்கப்பட்டது</t>
        </is>
      </c>
      <c r="M178" s="7" t="inlineStr">
        <is>
          <t>The writing of 1 Samuel was completed c. 1078 B.C.E. Writers: Samuel, Gad, and Nathan; place written: Israel. Time covered: c. 1180-1078 B.C.E.</t>
        </is>
      </c>
      <c r="N178" s="7" t="inlineStr">
        <is>
          <t>1 சாமுவேல்: எழுதியவர்(கள்): சாமுவேல்; காத்; நாத்தான்; எழுதப்பட்ட இடம்: இஸ்ரவேல்; முடிக்கப்பட்ட வருஷம் (கி.மு.): ஏ. 1078; காலப்பகுதி (கி.மு.): ஏ. 1180-1078.</t>
        </is>
      </c>
      <c r="O178" s="8" t="inlineStr">
        <is>
          <t>Bible</t>
        </is>
      </c>
      <c r="P178" s="7" t="inlineStr">
        <is>
          <t>bible.book_writing</t>
        </is>
      </c>
      <c r="Q178" s="7" t="inlineStr">
        <is>
          <t>writing_completed</t>
        </is>
      </c>
      <c r="R178" s="7" t="inlineStr">
        <is>
          <t>Samuel; Gad; Nathan</t>
        </is>
      </c>
      <c r="S178" s="7" t="inlineStr">
        <is>
          <t>Israel</t>
        </is>
      </c>
      <c r="T178" s="7" t="inlineStr">
        <is>
          <t>1 Sam.</t>
        </is>
      </c>
      <c r="U178" s="7" t="inlineStr">
        <is>
          <t>1 சா.</t>
        </is>
      </c>
      <c r="V178" s="7" t="n">
        <v>6</v>
      </c>
      <c r="W178" s="7" t="inlineStr">
        <is>
          <t>Table of the Books of the Bible</t>
        </is>
      </c>
      <c r="X178" s="9" t="inlineStr">
        <is>
          <t>open</t>
        </is>
      </c>
      <c r="Y178" s="9" t="inlineStr">
        <is>
          <t>open</t>
        </is>
      </c>
      <c r="Z178" s="7" t="inlineStr">
        <is>
          <t>https://wol.jw.org/en/wol/d/r1/lp-e/1001070071
https://wol.jw.org/en/wol/d/r1/lp-e/1101990070
https://www.jw.org/en/library/bible/study-bible/books-of-the-bible-list/
https://wol.jw.org/en/wol/d/r1/lp-e/1001060002
https://wol.jw.org/en/wol/d/r1/lp-e/1101990130
https://wol.jw.org/en/wol/d/r1/lp-e/1200000970</t>
        </is>
      </c>
      <c r="AA178" s="7" t="n">
        <v>0</v>
      </c>
      <c r="AB178" s="7" t="n"/>
      <c r="AC178" s="7" t="n">
        <v>0</v>
      </c>
      <c r="AD178" s="7" t="n"/>
      <c r="AE178" s="7" t="n"/>
      <c r="AF178" s="7" t="n"/>
      <c r="AG178" s="7" t="n"/>
      <c r="AH178" s="7" t="n"/>
      <c r="AI178" s="7" t="n"/>
      <c r="AJ178" s="7" t="n"/>
      <c r="AK178" s="7" t="inlineStr">
        <is>
          <t>bible-books-written #9 (item)</t>
        </is>
      </c>
      <c r="AL178" s="7" t="inlineStr">
        <is>
          <t>Writer(s): Samuel; Gad; Nathan. Place written: Israel. Writing completed: c. 1078 B.C.E. Time covered: c. 1180-1078 B.C.E.</t>
        </is>
      </c>
      <c r="AM178" s="7" t="n">
        <v>-1077.9991</v>
      </c>
      <c r="AN178" s="10" t="n"/>
      <c r="AO178" s="10" t="n"/>
      <c r="AP178" s="10" t="n"/>
      <c r="AQ178" s="10" t="n"/>
    </row>
    <row r="179">
      <c r="A179" s="7" t="inlineStr">
        <is>
          <t>b3-0006</t>
        </is>
      </c>
      <c r="B179" s="7" t="inlineStr">
        <is>
          <t>Point</t>
        </is>
      </c>
      <c r="C179" s="7" t="n"/>
      <c r="D179" s="7" t="inlineStr">
        <is>
          <t>1077 B.C.E.</t>
        </is>
      </c>
      <c r="E179" s="7" t="inlineStr">
        <is>
          <t>பொ.ச.மு. 1077</t>
        </is>
      </c>
      <c r="F179" s="7" t="inlineStr">
        <is>
          <t>1077 BCE</t>
        </is>
      </c>
      <c r="G179" s="7" t="inlineStr">
        <is>
          <t>Exact</t>
        </is>
      </c>
      <c r="H179" s="7" t="n"/>
      <c r="I179" s="7" t="n"/>
      <c r="J179" s="7" t="n"/>
      <c r="K179" s="2" t="inlineStr">
        <is>
          <t>David becomes king of Judah at Hebron</t>
        </is>
      </c>
      <c r="L179" s="2" t="inlineStr">
        <is>
          <t>எப்ரோனில் தாவீது யூதாவின் அரசராகிறார்</t>
        </is>
      </c>
      <c r="M179" s="7" t="inlineStr">
        <is>
          <t>After Saul’s death, the older men of Judah anoint David, then 30 years old, as king over Judah at Hebron.</t>
        </is>
      </c>
      <c r="N179" s="7" t="inlineStr">
        <is>
          <t>எப்ரோனில் தாவீது யூதாவின் அரசராகிறார்</t>
        </is>
      </c>
      <c r="O179" s="8" t="inlineStr">
        <is>
          <t>Bible</t>
        </is>
      </c>
      <c r="P179" s="7" t="inlineStr">
        <is>
          <t>bible.monarchy</t>
        </is>
      </c>
      <c r="Q179" s="7" t="inlineStr">
        <is>
          <t>accession</t>
        </is>
      </c>
      <c r="R179" s="7" t="inlineStr">
        <is>
          <t>David</t>
        </is>
      </c>
      <c r="S179" s="7" t="inlineStr">
        <is>
          <t>Hebron; Judah</t>
        </is>
      </c>
      <c r="T179" s="7" t="inlineStr">
        <is>
          <t>2 Sam. 2:4</t>
        </is>
      </c>
      <c r="U179" s="7" t="inlineStr">
        <is>
          <t>2 சா. 2:4</t>
        </is>
      </c>
      <c r="V179" s="7" t="n">
        <v>4</v>
      </c>
      <c r="W179" s="7" t="inlineStr">
        <is>
          <t>Study Number 3—Measuring Events in the Stream of Time</t>
        </is>
      </c>
      <c r="X179" s="9" t="inlineStr">
        <is>
          <t>open</t>
        </is>
      </c>
      <c r="Y179" s="9" t="inlineStr">
        <is>
          <t>open</t>
        </is>
      </c>
      <c r="Z179" s="7" t="inlineStr">
        <is>
          <t>https://wol.jw.org/en/wol/d/r1/lp-e/1101990130
https://wol.jw.org/en/wol/d/r1/lp-e/1200000970
https://wol.jw.org/en/wol/d/r1/lp-e/1200001130
https://wol.jw.org/en/wol/d/r1/lp-e/1101990071</t>
        </is>
      </c>
      <c r="AA179" s="7" t="n">
        <v>1</v>
      </c>
      <c r="AB179" s="9" t="inlineStr">
        <is>
          <t>open</t>
        </is>
      </c>
      <c r="AC179" s="7" t="n">
        <v>0</v>
      </c>
      <c r="AD179" s="7" t="n"/>
      <c r="AE179" s="7" t="n"/>
      <c r="AF179" s="7" t="n"/>
      <c r="AG179" s="7" t="n"/>
      <c r="AH179" s="7" t="n"/>
      <c r="AI179" s="7" t="inlineStr">
        <is>
          <t>Span endpoint – keep</t>
        </is>
      </c>
      <c r="AJ179" s="7" t="inlineStr">
        <is>
          <t>end of Reign of Saul over Israel (b12-0009); start of David reigns in Hebron over Judah (d1-0071); start of Reign of David (b12-0012)</t>
        </is>
      </c>
      <c r="AK179" s="7" t="inlineStr">
        <is>
          <t>kingdom-of-david-and-solomon #2 (context)</t>
        </is>
      </c>
      <c r="AL179" s="7" t="n"/>
      <c r="AM179" s="7" t="n">
        <v>-1077</v>
      </c>
      <c r="AN179" s="10" t="n"/>
      <c r="AO179" s="10" t="n"/>
      <c r="AP179" s="10" t="n"/>
      <c r="AQ179" s="10" t="n"/>
    </row>
    <row r="180">
      <c r="A180" s="7" t="inlineStr">
        <is>
          <t>d1-0071</t>
        </is>
      </c>
      <c r="B180" s="11" t="inlineStr">
        <is>
          <t>Span</t>
        </is>
      </c>
      <c r="C180" s="7" t="inlineStr">
        <is>
          <t>reign</t>
        </is>
      </c>
      <c r="D180" s="7" t="inlineStr">
        <is>
          <t>1077 B.C.E. – 1070 B.C.E.</t>
        </is>
      </c>
      <c r="E180" s="7" t="inlineStr">
        <is>
          <t>பொ.ச.மு. 1077 – பொ.ச.மு. 1070</t>
        </is>
      </c>
      <c r="F180" s="7" t="inlineStr">
        <is>
          <t>1077 BCE</t>
        </is>
      </c>
      <c r="G180" s="7" t="inlineStr">
        <is>
          <t>Exact</t>
        </is>
      </c>
      <c r="H180" s="7" t="inlineStr">
        <is>
          <t>1070 BCE</t>
        </is>
      </c>
      <c r="I180" s="7" t="inlineStr">
        <is>
          <t>Exact</t>
        </is>
      </c>
      <c r="J180" s="7" t="inlineStr">
        <is>
          <t>7 years</t>
        </is>
      </c>
      <c r="K180" s="2" t="inlineStr">
        <is>
          <t>David reigns in Hebron over Judah</t>
        </is>
      </c>
      <c r="L180" s="2" t="n"/>
      <c r="M180" s="7" t="inlineStr">
        <is>
          <t>David reigns in Hebron over Judah: 1077 B.C.E. to 1070 B.C.E..</t>
        </is>
      </c>
      <c r="N180" s="7" t="n"/>
      <c r="O180" s="8" t="inlineStr">
        <is>
          <t>Bible</t>
        </is>
      </c>
      <c r="P180" s="7" t="inlineStr">
        <is>
          <t>bible.monarchy</t>
        </is>
      </c>
      <c r="Q180" s="7" t="inlineStr">
        <is>
          <t>reign</t>
        </is>
      </c>
      <c r="R180" s="7" t="inlineStr">
        <is>
          <t>David</t>
        </is>
      </c>
      <c r="S180" s="7" t="inlineStr">
        <is>
          <t>Hebron; Judah; Jerusalem; Israel</t>
        </is>
      </c>
      <c r="T180" s="7" t="inlineStr">
        <is>
          <t>2 Sam. 2:4; 2 Sam. 5:3-7</t>
        </is>
      </c>
      <c r="U180" s="7" t="inlineStr">
        <is>
          <t>2 சா. 2:4; 2 சா. 5:3-7</t>
        </is>
      </c>
      <c r="V180" s="7" t="n">
        <v>4</v>
      </c>
      <c r="W180" s="7" t="inlineStr">
        <is>
          <t>Study Number 3—Measuring Events in the Stream of Time</t>
        </is>
      </c>
      <c r="X180" s="9" t="inlineStr">
        <is>
          <t>open</t>
        </is>
      </c>
      <c r="Y180" s="9" t="inlineStr">
        <is>
          <t>open</t>
        </is>
      </c>
      <c r="Z180" s="7" t="inlineStr">
        <is>
          <t>https://wol.jw.org/en/wol/d/r1/lp-e/1101990130
https://wol.jw.org/en/wol/d/r1/lp-e/1200000970
https://wol.jw.org/en/wol/d/r1/lp-e/1200001130
https://wol.jw.org/en/wol/d/r1/lp-e/1101990071</t>
        </is>
      </c>
      <c r="AA180" s="7" t="n">
        <v>0</v>
      </c>
      <c r="AB180" s="7" t="n"/>
      <c r="AC180" s="7" t="n">
        <v>0</v>
      </c>
      <c r="AD180" s="7" t="n"/>
      <c r="AE180" s="7" t="inlineStr">
        <is>
          <t>Built from b3-0006 and b3-0007.</t>
        </is>
      </c>
      <c r="AF180" s="7" t="inlineStr">
        <is>
          <t>b3-0006</t>
        </is>
      </c>
      <c r="AG180" s="7" t="inlineStr">
        <is>
          <t>b3-0007</t>
        </is>
      </c>
      <c r="AH180" s="7" t="inlineStr">
        <is>
          <t>b12-0012</t>
        </is>
      </c>
      <c r="AI180" s="7" t="n"/>
      <c r="AJ180" s="7" t="n"/>
      <c r="AK180" s="7" t="n"/>
      <c r="AL180" s="7" t="n"/>
      <c r="AM180" s="7" t="n">
        <v>-1077</v>
      </c>
      <c r="AN180" s="10" t="n"/>
      <c r="AO180" s="10" t="n"/>
      <c r="AP180" s="10" t="n"/>
      <c r="AQ180" s="10" t="n"/>
    </row>
    <row r="181">
      <c r="A181" s="7" t="inlineStr">
        <is>
          <t>b12-0012</t>
        </is>
      </c>
      <c r="B181" s="11" t="inlineStr">
        <is>
          <t>Span</t>
        </is>
      </c>
      <c r="C181" s="7" t="inlineStr">
        <is>
          <t>reign</t>
        </is>
      </c>
      <c r="D181" s="7" t="inlineStr">
        <is>
          <t>1077-1038 B.C.E.</t>
        </is>
      </c>
      <c r="E181" s="7" t="inlineStr">
        <is>
          <t>கி.மு. 1077-1038</t>
        </is>
      </c>
      <c r="F181" s="7" t="inlineStr">
        <is>
          <t>1077 BCE</t>
        </is>
      </c>
      <c r="G181" s="7" t="inlineStr">
        <is>
          <t>Exact</t>
        </is>
      </c>
      <c r="H181" s="7" t="inlineStr">
        <is>
          <t>1038 BCE</t>
        </is>
      </c>
      <c r="I181" s="7" t="inlineStr">
        <is>
          <t>Exact</t>
        </is>
      </c>
      <c r="J181" s="7" t="inlineStr">
        <is>
          <t>40 years</t>
        </is>
      </c>
      <c r="K181" s="2" t="inlineStr">
        <is>
          <t>Reign of David</t>
        </is>
      </c>
      <c r="L181" s="2" t="inlineStr">
        <is>
          <t>தாவீதின் ஆட்சி</t>
        </is>
      </c>
      <c r="M181" s="7" t="inlineStr">
        <is>
          <t>David reigned 40 years: first over Judah at Hebron and, from 1070 B.C.E., over all Israel from Jerusalem, until Solomon succeeded him.</t>
        </is>
      </c>
      <c r="N181" s="7" t="inlineStr">
        <is>
          <t>கி.மு. 1077-1038 தாவீதின் ஆட்சி</t>
        </is>
      </c>
      <c r="O181" s="8" t="inlineStr">
        <is>
          <t>Bible</t>
        </is>
      </c>
      <c r="P181" s="7" t="inlineStr">
        <is>
          <t>bible.monarchy</t>
        </is>
      </c>
      <c r="Q181" s="7" t="n"/>
      <c r="R181" s="7" t="inlineStr">
        <is>
          <t>David</t>
        </is>
      </c>
      <c r="S181" s="7" t="inlineStr">
        <is>
          <t>Hebron; Jerusalem</t>
        </is>
      </c>
      <c r="T181" s="7" t="inlineStr">
        <is>
          <t>2 Sam. 5:4, 5</t>
        </is>
      </c>
      <c r="U181" s="7" t="inlineStr">
        <is>
          <t>2 சா. 5:4, 5</t>
        </is>
      </c>
      <c r="V181" s="7" t="n">
        <v>3</v>
      </c>
      <c r="W181" s="7" t="inlineStr">
        <is>
          <t>B7 Kingdom of David and Solomon</t>
        </is>
      </c>
      <c r="X181" s="9" t="inlineStr">
        <is>
          <t>open</t>
        </is>
      </c>
      <c r="Y181" s="9" t="inlineStr">
        <is>
          <t>open</t>
        </is>
      </c>
      <c r="Z181" s="7" t="inlineStr">
        <is>
          <t>https://wol.jw.org/en/wol/d/r1/lp-e/1001061227
https://wol.jw.org/en/wol/d/r1/lp-e/1200000970
https://wol.jw.org/en/wol/d/r1/lp-e/1200000970</t>
        </is>
      </c>
      <c r="AA181" s="7" t="n">
        <v>0</v>
      </c>
      <c r="AB181" s="7" t="n"/>
      <c r="AC181" s="7" t="n">
        <v>1</v>
      </c>
      <c r="AD181" s="7" t="inlineStr">
        <is>
          <t>Insight “Chronology” and the si chart count David’s 40 regnal years to 1037 B.C.E., when Solomon succeeded him; NWT App. B7 prints 1077-1038 B.C.E. (his last regnal year began in 1038). NWT value kept.</t>
        </is>
      </c>
      <c r="AE181" s="7" t="n"/>
      <c r="AF181" s="7" t="inlineStr">
        <is>
          <t>b3-0006</t>
        </is>
      </c>
      <c r="AG181" s="7" t="inlineStr">
        <is>
          <t>b3-0011</t>
        </is>
      </c>
      <c r="AH181" s="7" t="inlineStr">
        <is>
          <t>b12-0010</t>
        </is>
      </c>
      <c r="AI181" s="7" t="n"/>
      <c r="AJ181" s="7" t="n"/>
      <c r="AK181" s="7" t="inlineStr">
        <is>
          <t>united-kingdom #2 (ruler); kingdom-of-david-and-solomon #1 (item)</t>
        </is>
      </c>
      <c r="AL181" s="7" t="n"/>
      <c r="AM181" s="7" t="n">
        <v>-1077</v>
      </c>
      <c r="AN181" s="10" t="n"/>
      <c r="AO181" s="10" t="n"/>
      <c r="AP181" s="10" t="n"/>
      <c r="AQ181" s="10" t="n"/>
    </row>
    <row r="182">
      <c r="A182" s="7" t="inlineStr">
        <is>
          <t>b3-0007</t>
        </is>
      </c>
      <c r="B182" s="7" t="inlineStr">
        <is>
          <t>Point</t>
        </is>
      </c>
      <c r="C182" s="7" t="n"/>
      <c r="D182" s="7" t="inlineStr">
        <is>
          <t>1070 B.C.E.</t>
        </is>
      </c>
      <c r="E182" s="7" t="inlineStr">
        <is>
          <t>பொ.ச.மு. 1070</t>
        </is>
      </c>
      <c r="F182" s="7" t="inlineStr">
        <is>
          <t>1070 BCE</t>
        </is>
      </c>
      <c r="G182" s="7" t="inlineStr">
        <is>
          <t>Exact</t>
        </is>
      </c>
      <c r="H182" s="7" t="n"/>
      <c r="I182" s="7" t="n"/>
      <c r="J182" s="7" t="n"/>
      <c r="K182" s="2" t="inlineStr">
        <is>
          <t>David becomes king over all Israel; Jerusalem made capital</t>
        </is>
      </c>
      <c r="L182" s="2" t="inlineStr">
        <is>
          <t>இஸ்ரவேல் முழுவதன்மீதும் தாவீது அரசராகிறார்; எருசலேமைத் தன் தலைநகராக்குகிறார்</t>
        </is>
      </c>
      <c r="M182" s="7" t="inlineStr">
        <is>
          <t>David is anointed king over all Israel (his third anointing) and makes Jerusalem his capital.</t>
        </is>
      </c>
      <c r="N182" s="7" t="inlineStr">
        <is>
          <t>இஸ்ரவேல் முழுவதன்மீதும் தாவீது அரசராகிறார்; எருசலேமைத் தன் தலைநகராக்குகிறார்</t>
        </is>
      </c>
      <c r="O182" s="8" t="inlineStr">
        <is>
          <t>Bible</t>
        </is>
      </c>
      <c r="P182" s="7" t="inlineStr">
        <is>
          <t>bible.monarchy</t>
        </is>
      </c>
      <c r="Q182" s="7" t="inlineStr">
        <is>
          <t>accession</t>
        </is>
      </c>
      <c r="R182" s="7" t="inlineStr">
        <is>
          <t>David</t>
        </is>
      </c>
      <c r="S182" s="7" t="inlineStr">
        <is>
          <t>Jerusalem; Israel</t>
        </is>
      </c>
      <c r="T182" s="7" t="inlineStr">
        <is>
          <t>2 Sam. 5:3-7</t>
        </is>
      </c>
      <c r="U182" s="7" t="inlineStr">
        <is>
          <t>2 சா. 5:3-7</t>
        </is>
      </c>
      <c r="V182" s="7" t="n">
        <v>3</v>
      </c>
      <c r="W182" s="7" t="inlineStr">
        <is>
          <t>Study Number 3—Measuring Events in the Stream of Time</t>
        </is>
      </c>
      <c r="X182" s="9" t="inlineStr">
        <is>
          <t>open</t>
        </is>
      </c>
      <c r="Y182" s="9" t="inlineStr">
        <is>
          <t>open</t>
        </is>
      </c>
      <c r="Z182" s="7" t="inlineStr">
        <is>
          <t>https://wol.jw.org/en/wol/d/r1/lp-e/1101990130
https://wol.jw.org/en/wol/d/r1/lp-e/1200000970
https://wol.jw.org/en/wol/d/r1/lp-e/1101990071</t>
        </is>
      </c>
      <c r="AA182" s="7" t="n">
        <v>0</v>
      </c>
      <c r="AB182" s="7" t="n"/>
      <c r="AC182" s="7" t="n">
        <v>0</v>
      </c>
      <c r="AD182" s="7" t="n"/>
      <c r="AE182" s="7" t="n"/>
      <c r="AF182" s="7" t="n"/>
      <c r="AG182" s="7" t="n"/>
      <c r="AH182" s="7" t="n"/>
      <c r="AI182" s="7" t="inlineStr">
        <is>
          <t>Span endpoint – keep</t>
        </is>
      </c>
      <c r="AJ182" s="7" t="inlineStr">
        <is>
          <t>end of David reigns in Hebron over Judah (d1-0071)</t>
        </is>
      </c>
      <c r="AK182" s="7" t="inlineStr">
        <is>
          <t>kingdom-of-david-and-solomon #3 (context)</t>
        </is>
      </c>
      <c r="AL182" s="7" t="n"/>
      <c r="AM182" s="7" t="n">
        <v>-1070</v>
      </c>
      <c r="AN182" s="10" t="n"/>
      <c r="AO182" s="10" t="n"/>
      <c r="AP182" s="10" t="n"/>
      <c r="AQ182" s="10" t="n"/>
    </row>
    <row r="183">
      <c r="A183" s="7" t="inlineStr">
        <is>
          <t>b3-0008</t>
        </is>
      </c>
      <c r="B183" s="7" t="inlineStr">
        <is>
          <t>Point</t>
        </is>
      </c>
      <c r="C183" s="7" t="n"/>
      <c r="D183" s="7" t="inlineStr">
        <is>
          <t>a. 1070 B.C.E.</t>
        </is>
      </c>
      <c r="E183" s="7" t="inlineStr">
        <is>
          <t>பொ.ச.மு. 1070 பி.</t>
        </is>
      </c>
      <c r="F183" s="7" t="inlineStr">
        <is>
          <t>1070 BCE</t>
        </is>
      </c>
      <c r="G183" s="7" t="inlineStr">
        <is>
          <t>After (a.)</t>
        </is>
      </c>
      <c r="H183" s="7" t="n"/>
      <c r="I183" s="7" t="n"/>
      <c r="J183" s="7" t="n"/>
      <c r="K183" s="2" t="inlineStr">
        <is>
          <t>The Ark is brought into Jerusalem</t>
        </is>
      </c>
      <c r="L183" s="2" t="inlineStr">
        <is>
          <t>உடன்படிக்கைப் பெட்டி எருசலேமுக்குள் கொண்டு வரப்படுகிறது</t>
        </is>
      </c>
      <c r="M183" s="7" t="inlineStr">
        <is>
          <t>After a first failed attempt, the ark of the covenant is carried properly by the Levites and brought into Jerusalem with rejoicing.</t>
        </is>
      </c>
      <c r="N183" s="7" t="inlineStr">
        <is>
          <t>உடன்படிக்கைப் பெட்டி எருசலேமுக்குள் கொண்டு வரப்படுகிறது</t>
        </is>
      </c>
      <c r="O183" s="8" t="inlineStr">
        <is>
          <t>Bible</t>
        </is>
      </c>
      <c r="P183" s="7" t="inlineStr">
        <is>
          <t>bible.temple</t>
        </is>
      </c>
      <c r="Q183" s="7" t="inlineStr">
        <is>
          <t>relocation</t>
        </is>
      </c>
      <c r="R183" s="7" t="inlineStr">
        <is>
          <t>David</t>
        </is>
      </c>
      <c r="S183" s="7" t="inlineStr">
        <is>
          <t>Jerusalem</t>
        </is>
      </c>
      <c r="T183" s="7" t="inlineStr">
        <is>
          <t>2 Sam. 6:15</t>
        </is>
      </c>
      <c r="U183" s="7" t="inlineStr">
        <is>
          <t>2 சா. 6:15</t>
        </is>
      </c>
      <c r="V183" s="7" t="n">
        <v>2</v>
      </c>
      <c r="W183" s="7" t="inlineStr">
        <is>
          <t>Study Number 3—Measuring Events in the Stream of Time</t>
        </is>
      </c>
      <c r="X183" s="9" t="inlineStr">
        <is>
          <t>open</t>
        </is>
      </c>
      <c r="Y183" s="9" t="inlineStr">
        <is>
          <t>open</t>
        </is>
      </c>
      <c r="Z183" s="7" t="inlineStr">
        <is>
          <t>https://wol.jw.org/en/wol/d/r1/lp-e/1101990130
https://wol.jw.org/en/wol/d/r1/lp-e/1200001130</t>
        </is>
      </c>
      <c r="AA183" s="7" t="n">
        <v>0</v>
      </c>
      <c r="AB183" s="7" t="n"/>
      <c r="AC183" s="7" t="n">
        <v>0</v>
      </c>
      <c r="AD183" s="7" t="n"/>
      <c r="AE183" s="7" t="n"/>
      <c r="AF183" s="7" t="n"/>
      <c r="AG183" s="7" t="n"/>
      <c r="AH183" s="7" t="n"/>
      <c r="AI183" s="7" t="n"/>
      <c r="AJ183" s="7" t="n"/>
      <c r="AK183" s="7" t="n"/>
      <c r="AL183" s="7" t="n"/>
      <c r="AM183" s="7" t="n">
        <v>-1069.89</v>
      </c>
      <c r="AN183" s="10" t="n"/>
      <c r="AO183" s="10" t="n"/>
      <c r="AP183" s="10" t="n"/>
      <c r="AQ183" s="10" t="n"/>
    </row>
    <row r="184">
      <c r="A184" s="7" t="inlineStr">
        <is>
          <t>b3-0009</t>
        </is>
      </c>
      <c r="B184" s="7" t="inlineStr">
        <is>
          <t>Point</t>
        </is>
      </c>
      <c r="C184" s="7" t="n"/>
      <c r="D184" s="7" t="inlineStr">
        <is>
          <t>a. 1070 B.C.E.</t>
        </is>
      </c>
      <c r="E184" s="7" t="inlineStr">
        <is>
          <t>பொ.ச.மு. 1070 பி.</t>
        </is>
      </c>
      <c r="F184" s="7" t="inlineStr">
        <is>
          <t>1070 BCE</t>
        </is>
      </c>
      <c r="G184" s="7" t="inlineStr">
        <is>
          <t>After (a.)</t>
        </is>
      </c>
      <c r="H184" s="7" t="n"/>
      <c r="I184" s="7" t="n"/>
      <c r="J184" s="7" t="n"/>
      <c r="K184" s="2" t="inlineStr">
        <is>
          <t>Jehovah makes a covenant with David for a kingdom</t>
        </is>
      </c>
      <c r="L184" s="2" t="inlineStr">
        <is>
          <t>ராஜ்யத்துக்கான ஓர் உடன்படிக்கை தாவீதுடன் செய்யப்படுகிறது</t>
        </is>
      </c>
      <c r="M184" s="7" t="inlineStr">
        <is>
          <t>Jehovah promises David that his royal line and throne will be established forever — the covenant for a kingdom.</t>
        </is>
      </c>
      <c r="N184" s="7" t="inlineStr">
        <is>
          <t>ராஜ்யத்துக்கான ஓர் உடன்படிக்கை தாவீதுடன் செய்யப்படுகிறது</t>
        </is>
      </c>
      <c r="O184" s="8" t="inlineStr">
        <is>
          <t>Bible</t>
        </is>
      </c>
      <c r="P184" s="7" t="inlineStr">
        <is>
          <t>bible.covenant</t>
        </is>
      </c>
      <c r="Q184" s="7" t="inlineStr">
        <is>
          <t>covenant</t>
        </is>
      </c>
      <c r="R184" s="7" t="inlineStr">
        <is>
          <t>David; Nathan</t>
        </is>
      </c>
      <c r="S184" s="7" t="inlineStr">
        <is>
          <t>Jerusalem</t>
        </is>
      </c>
      <c r="T184" s="7" t="inlineStr">
        <is>
          <t>2 Sam. 7:12-16</t>
        </is>
      </c>
      <c r="U184" s="7" t="inlineStr">
        <is>
          <t>2 சா. 7:12-16</t>
        </is>
      </c>
      <c r="V184" s="7" t="n">
        <v>1</v>
      </c>
      <c r="W184" s="7" t="inlineStr">
        <is>
          <t>Study Number 3—Measuring Events in the Stream of Time</t>
        </is>
      </c>
      <c r="X184" s="9" t="inlineStr">
        <is>
          <t>open</t>
        </is>
      </c>
      <c r="Y184" s="9" t="inlineStr">
        <is>
          <t>open</t>
        </is>
      </c>
      <c r="Z184" s="7" t="inlineStr">
        <is>
          <t>https://wol.jw.org/en/wol/d/r1/lp-e/1101990130</t>
        </is>
      </c>
      <c r="AA184" s="7" t="n">
        <v>0</v>
      </c>
      <c r="AB184" s="7" t="n"/>
      <c r="AC184" s="7" t="n">
        <v>1</v>
      </c>
      <c r="AD184" s="7" t="inlineStr">
        <is>
          <t>NWT Study Edition App. B7 prints the Davidic covenant as 'c. 1070 B.C.E.'; si Study 3 gives 'a. 1070 B.C.E.' (kept).</t>
        </is>
      </c>
      <c r="AE184" s="7" t="n"/>
      <c r="AF184" s="7" t="n"/>
      <c r="AG184" s="7" t="n"/>
      <c r="AH184" s="7" t="n"/>
      <c r="AI184" s="7" t="n"/>
      <c r="AJ184" s="7" t="n"/>
      <c r="AK184" s="7" t="inlineStr">
        <is>
          <t>covenants #10 (start); kingdom-of-david-and-solomon #4 (item); promised-offspring #3 (step)</t>
        </is>
      </c>
      <c r="AL184" s="7" t="n"/>
      <c r="AM184" s="7" t="n">
        <v>-1069.79</v>
      </c>
      <c r="AN184" s="10" t="n"/>
      <c r="AO184" s="10" t="n"/>
      <c r="AP184" s="10" t="n"/>
      <c r="AQ184" s="10" t="n"/>
    </row>
    <row r="185">
      <c r="A185" s="7" t="inlineStr">
        <is>
          <t>b11-0014</t>
        </is>
      </c>
      <c r="B185" s="7" t="inlineStr">
        <is>
          <t>Point</t>
        </is>
      </c>
      <c r="C185" s="7" t="n"/>
      <c r="D185" s="7" t="inlineStr">
        <is>
          <t>c. 1040 B.C.E.</t>
        </is>
      </c>
      <c r="E185" s="7" t="inlineStr">
        <is>
          <t>ஏ. கி.மு. 1040</t>
        </is>
      </c>
      <c r="F185" s="7" t="inlineStr">
        <is>
          <t>1040 BCE</t>
        </is>
      </c>
      <c r="G185" s="7" t="inlineStr">
        <is>
          <t>Approx. (c.)</t>
        </is>
      </c>
      <c r="H185" s="7" t="n"/>
      <c r="I185" s="7" t="n"/>
      <c r="J185" s="7" t="n"/>
      <c r="K185" s="2" t="inlineStr">
        <is>
          <t>Writing of 2 Samuel completed</t>
        </is>
      </c>
      <c r="L185" s="2" t="inlineStr">
        <is>
          <t>2 சாமுவேல் — எழுதி முடிக்கப்பட்டது</t>
        </is>
      </c>
      <c r="M185" s="7" t="inlineStr">
        <is>
          <t>The writing of 2 Samuel was completed c. 1040 B.C.E. Writers: Gad and Nathan; place written: Israel. Time covered: 1077–c. 1040 B.C.E.</t>
        </is>
      </c>
      <c r="N185" s="7" t="inlineStr">
        <is>
          <t>2 சாமுவேல்: எழுதியவர்(கள்): காத்; நாத்தான்; எழுதப்பட்ட இடம்: இஸ்ரவேல்; முடிக்கப்பட்ட வருஷம் (கி.மு.): ஏ. 1040; காலப்பகுதி (கி.மு.): 1077–ஏ. 1040.</t>
        </is>
      </c>
      <c r="O185" s="8" t="inlineStr">
        <is>
          <t>Bible</t>
        </is>
      </c>
      <c r="P185" s="7" t="inlineStr">
        <is>
          <t>bible.book_writing</t>
        </is>
      </c>
      <c r="Q185" s="7" t="inlineStr">
        <is>
          <t>writing_completed</t>
        </is>
      </c>
      <c r="R185" s="7" t="inlineStr">
        <is>
          <t>Gad; Nathan</t>
        </is>
      </c>
      <c r="S185" s="7" t="inlineStr">
        <is>
          <t>Israel</t>
        </is>
      </c>
      <c r="T185" s="7" t="inlineStr">
        <is>
          <t>2 Sam.</t>
        </is>
      </c>
      <c r="U185" s="7" t="inlineStr">
        <is>
          <t>2 சா.</t>
        </is>
      </c>
      <c r="V185" s="7" t="n">
        <v>6</v>
      </c>
      <c r="W185" s="7" t="inlineStr">
        <is>
          <t>Table of the Books of the Bible</t>
        </is>
      </c>
      <c r="X185" s="9" t="inlineStr">
        <is>
          <t>open</t>
        </is>
      </c>
      <c r="Y185" s="9" t="inlineStr">
        <is>
          <t>open</t>
        </is>
      </c>
      <c r="Z185" s="7" t="inlineStr">
        <is>
          <t>https://wol.jw.org/en/wol/d/r1/lp-e/1001070071
https://wol.jw.org/en/wol/d/r1/lp-e/1101990071
https://www.jw.org/en/library/bible/study-bible/books-of-the-bible-list/
https://wol.jw.org/en/wol/d/r1/lp-e/1001060002
https://wol.jw.org/en/wol/d/r1/lp-e/1101990130
https://wol.jw.org/en/wol/d/r1/lp-e/1200000970</t>
        </is>
      </c>
      <c r="AA185" s="7" t="n">
        <v>0</v>
      </c>
      <c r="AB185" s="7" t="n"/>
      <c r="AC185" s="7" t="n">
        <v>0</v>
      </c>
      <c r="AD185" s="7" t="n"/>
      <c r="AE185" s="7" t="n"/>
      <c r="AF185" s="7" t="n"/>
      <c r="AG185" s="7" t="n"/>
      <c r="AH185" s="7" t="n"/>
      <c r="AI185" s="7" t="n"/>
      <c r="AJ185" s="7" t="n"/>
      <c r="AK185" s="7" t="inlineStr">
        <is>
          <t>bible-books-written #10 (item)</t>
        </is>
      </c>
      <c r="AL185" s="7" t="inlineStr">
        <is>
          <t>Writer(s): Gad; Nathan. Place written: Israel. Writing completed: c. 1040 B.C.E. Time covered: 1077–c. 1040 B.C.E.</t>
        </is>
      </c>
      <c r="AM185" s="7" t="n">
        <v>-1039.999</v>
      </c>
      <c r="AN185" s="10" t="n"/>
      <c r="AO185" s="10" t="n"/>
      <c r="AP185" s="10" t="n"/>
      <c r="AQ185" s="10" t="n"/>
    </row>
    <row r="186">
      <c r="A186" s="7" t="inlineStr">
        <is>
          <t>b3-0011</t>
        </is>
      </c>
      <c r="B186" s="7" t="inlineStr">
        <is>
          <t>Point</t>
        </is>
      </c>
      <c r="C186" s="7" t="n"/>
      <c r="D186" s="7" t="inlineStr">
        <is>
          <t>1037 B.C.E.</t>
        </is>
      </c>
      <c r="E186" s="7" t="inlineStr">
        <is>
          <t>பொ.ச.மு. 1037</t>
        </is>
      </c>
      <c r="F186" s="7" t="inlineStr">
        <is>
          <t>1037 BCE</t>
        </is>
      </c>
      <c r="G186" s="7" t="inlineStr">
        <is>
          <t>Exact</t>
        </is>
      </c>
      <c r="H186" s="7" t="n"/>
      <c r="I186" s="7" t="n"/>
      <c r="J186" s="7" t="n"/>
      <c r="K186" s="2" t="inlineStr">
        <is>
          <t>Solomon succeeds David as king of Israel</t>
        </is>
      </c>
      <c r="L186" s="2" t="inlineStr">
        <is>
          <t>சாலொமோன் தாவீதுக்குப்பின் இஸ்ரவேலின் அரசராகிறார்</t>
        </is>
      </c>
      <c r="M186" s="7" t="inlineStr">
        <is>
          <t>Solomon, son of David, becomes king over all Israel and rules for 40 years.</t>
        </is>
      </c>
      <c r="N186" s="7" t="inlineStr">
        <is>
          <t>சாலொமோன் தாவீதுக்குப்பின் இஸ்ரவேலின் அரசராகிறார்</t>
        </is>
      </c>
      <c r="O186" s="8" t="inlineStr">
        <is>
          <t>Bible</t>
        </is>
      </c>
      <c r="P186" s="7" t="inlineStr">
        <is>
          <t>bible.monarchy</t>
        </is>
      </c>
      <c r="Q186" s="7" t="inlineStr">
        <is>
          <t>accession</t>
        </is>
      </c>
      <c r="R186" s="7" t="inlineStr">
        <is>
          <t>Solomon; David</t>
        </is>
      </c>
      <c r="S186" s="7" t="inlineStr">
        <is>
          <t>Jerusalem</t>
        </is>
      </c>
      <c r="T186" s="7" t="inlineStr">
        <is>
          <t>1 Ki. 1:39; 1 Ki. 2:12</t>
        </is>
      </c>
      <c r="U186" s="7" t="inlineStr">
        <is>
          <t>1 இரா. 1:39; 1 இரா. 2:12</t>
        </is>
      </c>
      <c r="V186" s="7" t="n">
        <v>4</v>
      </c>
      <c r="W186" s="7" t="inlineStr">
        <is>
          <t>Study Number 3—Measuring Events in the Stream of Time</t>
        </is>
      </c>
      <c r="X186" s="9" t="inlineStr">
        <is>
          <t>open</t>
        </is>
      </c>
      <c r="Y186" s="9" t="inlineStr">
        <is>
          <t>open</t>
        </is>
      </c>
      <c r="Z186" s="7" t="inlineStr">
        <is>
          <t>https://wol.jw.org/en/wol/d/r1/lp-e/1101990130
https://wol.jw.org/en/wol/d/r1/lp-e/1200000970
https://wol.jw.org/en/wol/d/r1/lp-e/1200004178
https://wol.jw.org/en/wol/d/r1/lp-e/1101990075</t>
        </is>
      </c>
      <c r="AA186" s="7" t="n">
        <v>0</v>
      </c>
      <c r="AB186" s="7" t="n"/>
      <c r="AC186" s="7" t="n">
        <v>1</v>
      </c>
      <c r="AD186" s="7" t="inlineStr">
        <is>
          <t>Insight "Solomon" gives his reign as 1037 to 998 B.C.E.; si Study 3 says his 40th regnal year ended in spring 997 B.C.E., when the kingdom split. Both are consistent with a Nisan-to-Nisan count.</t>
        </is>
      </c>
      <c r="AE186" s="7" t="n"/>
      <c r="AF186" s="7" t="n"/>
      <c r="AG186" s="7" t="n"/>
      <c r="AH186" s="7" t="n"/>
      <c r="AI186" s="7" t="inlineStr">
        <is>
          <t>Covered by span – hide on chart</t>
        </is>
      </c>
      <c r="AJ186" s="7" t="inlineStr">
        <is>
          <t>end of Reign of David (b12-0012); start of Reign of Solomon (b12-0013)</t>
        </is>
      </c>
      <c r="AK186" s="7" t="n"/>
      <c r="AL186" s="7" t="inlineStr">
        <is>
          <t>David’s death after a 40-year reign is not given a separate date in the sources consulted.</t>
        </is>
      </c>
      <c r="AM186" s="7" t="n">
        <v>-1036.7</v>
      </c>
      <c r="AN186" s="10" t="n"/>
      <c r="AO186" s="10" t="n"/>
      <c r="AP186" s="10" t="n"/>
      <c r="AQ186" s="10" t="n"/>
    </row>
    <row r="187">
      <c r="A187" s="7" t="inlineStr">
        <is>
          <t>b12-0013</t>
        </is>
      </c>
      <c r="B187" s="11" t="inlineStr">
        <is>
          <t>Span</t>
        </is>
      </c>
      <c r="C187" s="7" t="inlineStr">
        <is>
          <t>reign</t>
        </is>
      </c>
      <c r="D187" s="7" t="inlineStr">
        <is>
          <t>1037-998 B.C.E.</t>
        </is>
      </c>
      <c r="E187" s="7" t="inlineStr">
        <is>
          <t>கி.மு. 1037-998</t>
        </is>
      </c>
      <c r="F187" s="7" t="inlineStr">
        <is>
          <t>1037 BCE</t>
        </is>
      </c>
      <c r="G187" s="7" t="inlineStr">
        <is>
          <t>Exact</t>
        </is>
      </c>
      <c r="H187" s="7" t="inlineStr">
        <is>
          <t>998 BCE</t>
        </is>
      </c>
      <c r="I187" s="7" t="inlineStr">
        <is>
          <t>Exact</t>
        </is>
      </c>
      <c r="J187" s="7" t="inlineStr">
        <is>
          <t>40 years</t>
        </is>
      </c>
      <c r="K187" s="2" t="inlineStr">
        <is>
          <t>Reign of Solomon</t>
        </is>
      </c>
      <c r="L187" s="2" t="inlineStr">
        <is>
          <t>சாலொமோனின் ஆட்சி</t>
        </is>
      </c>
      <c r="M187" s="7" t="inlineStr">
        <is>
          <t>Solomon, David’s son, ruled as king of Israel for 40 years; during his reign the temple in Jerusalem was built. After his death the kingdom divided.</t>
        </is>
      </c>
      <c r="N187" s="7" t="inlineStr">
        <is>
          <t>சாலொமோனின் ஆட்சி கி.மு. 1037-998</t>
        </is>
      </c>
      <c r="O187" s="8" t="inlineStr">
        <is>
          <t>Bible</t>
        </is>
      </c>
      <c r="P187" s="7" t="inlineStr">
        <is>
          <t>bible.monarchy</t>
        </is>
      </c>
      <c r="Q187" s="7" t="n"/>
      <c r="R187" s="7" t="inlineStr">
        <is>
          <t>Solomon</t>
        </is>
      </c>
      <c r="S187" s="7" t="inlineStr">
        <is>
          <t>Jerusalem</t>
        </is>
      </c>
      <c r="T187" s="7" t="inlineStr">
        <is>
          <t>1 Ki. 11:42</t>
        </is>
      </c>
      <c r="U187" s="7" t="inlineStr">
        <is>
          <t>1 ரா. 11:42</t>
        </is>
      </c>
      <c r="V187" s="7" t="n">
        <v>3</v>
      </c>
      <c r="W187" s="7" t="inlineStr">
        <is>
          <t>B7 Kingdom of David and Solomon</t>
        </is>
      </c>
      <c r="X187" s="9" t="inlineStr">
        <is>
          <t>open</t>
        </is>
      </c>
      <c r="Y187" s="9" t="inlineStr">
        <is>
          <t>open</t>
        </is>
      </c>
      <c r="Z187" s="7" t="inlineStr">
        <is>
          <t>https://wol.jw.org/en/wol/d/r1/lp-e/1001061227
https://wol.jw.org/en/wol/d/r1/lp-e/1200004178
https://wol.jw.org/en/wol/d/r1/lp-e/1101990130</t>
        </is>
      </c>
      <c r="AA187" s="7" t="n">
        <v>0</v>
      </c>
      <c r="AB187" s="7" t="n"/>
      <c r="AC187" s="7" t="n">
        <v>1</v>
      </c>
      <c r="AD187" s="7" t="inlineStr">
        <is>
          <t>si counts the end of Solomon’s 40 regnal years as spring 997 B.C.E., when Rehoboam succeeded; NWT App. B7 and Insight “Solomon” print 1037-998 B.C.E. NWT value kept.</t>
        </is>
      </c>
      <c r="AE187" s="7" t="n"/>
      <c r="AF187" s="7" t="inlineStr">
        <is>
          <t>b3-0011</t>
        </is>
      </c>
      <c r="AG187" s="7" t="inlineStr">
        <is>
          <t>b3-0017</t>
        </is>
      </c>
      <c r="AH187" s="7" t="inlineStr">
        <is>
          <t>b12-0010</t>
        </is>
      </c>
      <c r="AI187" s="7" t="n"/>
      <c r="AJ187" s="7" t="n"/>
      <c r="AK187" s="7" t="inlineStr">
        <is>
          <t>united-kingdom #3 (ruler); kingdom-of-david-and-solomon #5 (item); messianic-line #34 (item)</t>
        </is>
      </c>
      <c r="AL187" s="7" t="n"/>
      <c r="AM187" s="7" t="n">
        <v>-1036.7</v>
      </c>
      <c r="AN187" s="10" t="n"/>
      <c r="AO187" s="10" t="n"/>
      <c r="AP187" s="10" t="n"/>
      <c r="AQ187" s="10" t="n"/>
    </row>
    <row r="188">
      <c r="A188" s="7" t="inlineStr">
        <is>
          <t>b3-0012</t>
        </is>
      </c>
      <c r="B188" s="7" t="inlineStr">
        <is>
          <t>Point</t>
        </is>
      </c>
      <c r="C188" s="7" t="n"/>
      <c r="D188" s="7" t="inlineStr">
        <is>
          <t>1034 B.C.E., Ziv</t>
        </is>
      </c>
      <c r="E188" s="7" t="inlineStr">
        <is>
          <t>பொ.ச.மு. 1034</t>
        </is>
      </c>
      <c r="F188" s="7" t="inlineStr">
        <is>
          <t>1034 BCE</t>
        </is>
      </c>
      <c r="G188" s="7" t="inlineStr">
        <is>
          <t>Exact</t>
        </is>
      </c>
      <c r="H188" s="7" t="n"/>
      <c r="I188" s="7" t="n"/>
      <c r="J188" s="7" t="n"/>
      <c r="K188" s="2" t="inlineStr">
        <is>
          <t>Solomon begins building the temple</t>
        </is>
      </c>
      <c r="L188" s="2" t="inlineStr">
        <is>
          <t>சாலொமோன் ஆலயம் கட்ட தொடங்கினார்</t>
        </is>
      </c>
      <c r="M188" s="7" t="inlineStr">
        <is>
          <t>In the second month (Ziv) of his fourth year, Solomon begins building Jehovah’s temple on Mount Moriah — the 480th year after the Exodus.</t>
        </is>
      </c>
      <c r="N188" s="7" t="inlineStr">
        <is>
          <t>சாலொமோன் ஆலயம் கட்ட தொடங்கினார்</t>
        </is>
      </c>
      <c r="O188" s="8" t="inlineStr">
        <is>
          <t>Bible</t>
        </is>
      </c>
      <c r="P188" s="7" t="inlineStr">
        <is>
          <t>bible.temple</t>
        </is>
      </c>
      <c r="Q188" s="7" t="inlineStr">
        <is>
          <t>construction</t>
        </is>
      </c>
      <c r="R188" s="7" t="inlineStr">
        <is>
          <t>Solomon; Hiram</t>
        </is>
      </c>
      <c r="S188" s="7" t="inlineStr">
        <is>
          <t>Jerusalem; Mount Moriah</t>
        </is>
      </c>
      <c r="T188" s="7" t="inlineStr">
        <is>
          <t>1 Ki. 6:1</t>
        </is>
      </c>
      <c r="U188" s="7" t="inlineStr">
        <is>
          <t>1 இரா. 6:1</t>
        </is>
      </c>
      <c r="V188" s="7" t="n">
        <v>4</v>
      </c>
      <c r="W188" s="7" t="inlineStr">
        <is>
          <t>Study Number 3—Measuring Events in the Stream of Time</t>
        </is>
      </c>
      <c r="X188" s="9" t="inlineStr">
        <is>
          <t>open</t>
        </is>
      </c>
      <c r="Y188" s="9" t="inlineStr">
        <is>
          <t>open</t>
        </is>
      </c>
      <c r="Z188" s="7" t="inlineStr">
        <is>
          <t>https://wol.jw.org/en/wol/d/r1/lp-e/1101990130
https://wol.jw.org/en/wol/d/r1/lp-e/1200000970
https://wol.jw.org/en/wol/d/r1/lp-e/1200004178
https://wol.jw.org/en/wol/d/r1/lp-e/1200004359</t>
        </is>
      </c>
      <c r="AA188" s="7" t="n">
        <v>0</v>
      </c>
      <c r="AB188" s="7" t="n"/>
      <c r="AC188" s="7" t="n">
        <v>0</v>
      </c>
      <c r="AD188" s="7" t="n"/>
      <c r="AE188" s="7" t="n"/>
      <c r="AF188" s="7" t="n"/>
      <c r="AG188" s="7" t="n"/>
      <c r="AH188" s="7" t="n"/>
      <c r="AI188" s="7" t="inlineStr">
        <is>
          <t>Span endpoint – keep</t>
        </is>
      </c>
      <c r="AJ188" s="7" t="inlineStr">
        <is>
          <t>start of Construction of Solomon’s temple (b12-0014)</t>
        </is>
      </c>
      <c r="AK188" s="7" t="inlineStr">
        <is>
          <t>temple-built-by-solomon #2 (context)</t>
        </is>
      </c>
      <c r="AL188" s="7" t="n"/>
      <c r="AM188" s="7" t="n">
        <v>-1033.7</v>
      </c>
      <c r="AN188" s="10" t="n"/>
      <c r="AO188" s="10" t="n"/>
      <c r="AP188" s="10" t="n"/>
      <c r="AQ188" s="10" t="n"/>
    </row>
    <row r="189">
      <c r="A189" s="7" t="inlineStr">
        <is>
          <t>b12-0014</t>
        </is>
      </c>
      <c r="B189" s="11" t="inlineStr">
        <is>
          <t>Span</t>
        </is>
      </c>
      <c r="C189" s="7" t="inlineStr">
        <is>
          <t>construction</t>
        </is>
      </c>
      <c r="D189" s="7" t="inlineStr">
        <is>
          <t>spring 1034 B.C.E.–fall 1027 B.C.E.</t>
        </is>
      </c>
      <c r="E189" s="7" t="n"/>
      <c r="F189" s="7" t="inlineStr">
        <is>
          <t>1034 BCE</t>
        </is>
      </c>
      <c r="G189" s="7" t="inlineStr">
        <is>
          <t>Exact</t>
        </is>
      </c>
      <c r="H189" s="7" t="inlineStr">
        <is>
          <t>1027 BCE</t>
        </is>
      </c>
      <c r="I189" s="7" t="inlineStr">
        <is>
          <t>Exact</t>
        </is>
      </c>
      <c r="J189" s="7" t="inlineStr">
        <is>
          <t>seven and a half years</t>
        </is>
      </c>
      <c r="K189" s="2" t="inlineStr">
        <is>
          <t>Construction of Solomon’s temple</t>
        </is>
      </c>
      <c r="L189" s="2" t="n"/>
      <c r="M189" s="7" t="inlineStr">
        <is>
          <t>Solomon began building the temple on Mount Moriah in the month Ziv of his fourth year and completed it in the month Bul seven and a half years later.</t>
        </is>
      </c>
      <c r="N189" s="7" t="inlineStr">
        <is>
          <t>இது, அவருடைய ஆட்சியின் மூன்று முழு ஆண்டுகளும் ஒரு முழு மாதமும் கடந்துவிட்ட பின்பு, பொ.ச.மு. 1034-ன் ஏப்ரல்-மே மாதத்தில் ஆலயம் கட்டத் தொடங்கினதை குறிக்கிறது.</t>
        </is>
      </c>
      <c r="O189" s="8" t="inlineStr">
        <is>
          <t>Bible</t>
        </is>
      </c>
      <c r="P189" s="7" t="inlineStr">
        <is>
          <t>bible.temple</t>
        </is>
      </c>
      <c r="Q189" s="7" t="n"/>
      <c r="R189" s="7" t="inlineStr">
        <is>
          <t>Solomon</t>
        </is>
      </c>
      <c r="S189" s="7" t="inlineStr">
        <is>
          <t>Jerusalem; Mount Moriah</t>
        </is>
      </c>
      <c r="T189" s="7" t="inlineStr">
        <is>
          <t>1 Ki. 6:1; 1 Ki. 6:37, 38</t>
        </is>
      </c>
      <c r="U189" s="7" t="inlineStr">
        <is>
          <t>1 ரா. 6:1; 1 ரா. 6:37, 38</t>
        </is>
      </c>
      <c r="V189" s="7" t="n">
        <v>3</v>
      </c>
      <c r="W189" s="7" t="inlineStr">
        <is>
          <t>Temple</t>
        </is>
      </c>
      <c r="X189" s="9" t="inlineStr">
        <is>
          <t>open</t>
        </is>
      </c>
      <c r="Y189" s="7" t="n"/>
      <c r="Z189" s="7" t="inlineStr">
        <is>
          <t>https://wol.jw.org/en/wol/d/r1/lp-e/1200004359
https://wol.jw.org/en/wol/d/r1/lp-e/1200004178
https://wol.jw.org/en/wol/d/r1/lp-e/1101990130</t>
        </is>
      </c>
      <c r="AA189" s="7" t="n">
        <v>0</v>
      </c>
      <c r="AB189" s="7" t="n"/>
      <c r="AC189" s="7" t="n">
        <v>0</v>
      </c>
      <c r="AD189" s="7" t="n"/>
      <c r="AE189" s="7" t="n"/>
      <c r="AF189" s="7" t="inlineStr">
        <is>
          <t>b3-0012</t>
        </is>
      </c>
      <c r="AG189" s="7" t="inlineStr">
        <is>
          <t>b3-0013</t>
        </is>
      </c>
      <c r="AH189" s="7" t="inlineStr">
        <is>
          <t>b12-0013</t>
        </is>
      </c>
      <c r="AI189" s="7" t="n"/>
      <c r="AJ189" s="7" t="n"/>
      <c r="AK189" s="7" t="inlineStr">
        <is>
          <t>temple-built-by-solomon #1 (context)</t>
        </is>
      </c>
      <c r="AL189" s="7" t="n"/>
      <c r="AM189" s="7" t="n">
        <v>-1033.7</v>
      </c>
      <c r="AN189" s="10" t="n"/>
      <c r="AO189" s="10" t="n"/>
      <c r="AP189" s="10" t="n"/>
      <c r="AQ189" s="10" t="n"/>
    </row>
    <row r="190">
      <c r="A190" s="7" t="inlineStr">
        <is>
          <t>b3-0013</t>
        </is>
      </c>
      <c r="B190" s="7" t="inlineStr">
        <is>
          <t>Point</t>
        </is>
      </c>
      <c r="C190" s="7" t="n"/>
      <c r="D190" s="7" t="inlineStr">
        <is>
          <t>1027 B.C.E., Bul</t>
        </is>
      </c>
      <c r="E190" s="7" t="inlineStr">
        <is>
          <t>பொ.ச.மு. 1027</t>
        </is>
      </c>
      <c r="F190" s="7" t="inlineStr">
        <is>
          <t>1027 BCE</t>
        </is>
      </c>
      <c r="G190" s="7" t="inlineStr">
        <is>
          <t>Exact</t>
        </is>
      </c>
      <c r="H190" s="7" t="n"/>
      <c r="I190" s="7" t="n"/>
      <c r="J190" s="7" t="n"/>
      <c r="K190" s="2" t="inlineStr">
        <is>
          <t>Solomon’s temple completed</t>
        </is>
      </c>
      <c r="L190" s="2" t="inlineStr">
        <is>
          <t>எருசலேமில் ஆலயம் கட்டி முடிக்கப்படுகிறது</t>
        </is>
      </c>
      <c r="M190" s="7" t="inlineStr">
        <is>
          <t>After seven and a half years of building, the temple in Jerusalem is completed in the eighth month, Bul.</t>
        </is>
      </c>
      <c r="N190" s="7" t="inlineStr">
        <is>
          <t>எருசலேமில் ஆலயம் கட்டி முடிக்கப்படுகிறது</t>
        </is>
      </c>
      <c r="O190" s="8" t="inlineStr">
        <is>
          <t>Bible</t>
        </is>
      </c>
      <c r="P190" s="7" t="inlineStr">
        <is>
          <t>bible.temple</t>
        </is>
      </c>
      <c r="Q190" s="7" t="inlineStr">
        <is>
          <t>construction</t>
        </is>
      </c>
      <c r="R190" s="7" t="inlineStr">
        <is>
          <t>Solomon</t>
        </is>
      </c>
      <c r="S190" s="7" t="inlineStr">
        <is>
          <t>Jerusalem</t>
        </is>
      </c>
      <c r="T190" s="7" t="inlineStr">
        <is>
          <t>1 Ki. 6:38</t>
        </is>
      </c>
      <c r="U190" s="7" t="inlineStr">
        <is>
          <t>1 இரா. 6:38</t>
        </is>
      </c>
      <c r="V190" s="7" t="n">
        <v>4</v>
      </c>
      <c r="W190" s="7" t="inlineStr">
        <is>
          <t>Study Number 3—Measuring Events in the Stream of Time</t>
        </is>
      </c>
      <c r="X190" s="9" t="inlineStr">
        <is>
          <t>open</t>
        </is>
      </c>
      <c r="Y190" s="9" t="inlineStr">
        <is>
          <t>open</t>
        </is>
      </c>
      <c r="Z190" s="7" t="inlineStr">
        <is>
          <t>https://wol.jw.org/en/wol/d/r1/lp-e/1101990130
https://wol.jw.org/en/wol/d/r1/lp-e/1200000970
https://wol.jw.org/en/wol/d/r1/lp-e/1200004359
https://wol.jw.org/en/wol/d/r1/lp-e/1101990075</t>
        </is>
      </c>
      <c r="AA190" s="7" t="n">
        <v>0</v>
      </c>
      <c r="AB190" s="7" t="n"/>
      <c r="AC190" s="7" t="n">
        <v>0</v>
      </c>
      <c r="AD190" s="7" t="n"/>
      <c r="AE190" s="7" t="n"/>
      <c r="AF190" s="7" t="n"/>
      <c r="AG190" s="7" t="n"/>
      <c r="AH190" s="7" t="n"/>
      <c r="AI190" s="7" t="inlineStr">
        <is>
          <t>Span endpoint – keep</t>
        </is>
      </c>
      <c r="AJ190" s="7" t="inlineStr">
        <is>
          <t>end of Construction of Solomon’s temple (b12-0014); start of Solomon’s temple in service (b12-0015)</t>
        </is>
      </c>
      <c r="AK190" s="7" t="inlineStr">
        <is>
          <t>temple-built-by-solomon #3 (context)</t>
        </is>
      </c>
      <c r="AL190" s="7" t="n"/>
      <c r="AM190" s="7" t="n">
        <v>-1026.15</v>
      </c>
      <c r="AN190" s="10" t="n"/>
      <c r="AO190" s="10" t="n"/>
      <c r="AP190" s="10" t="n"/>
      <c r="AQ190" s="10" t="n"/>
    </row>
    <row r="191">
      <c r="A191" s="7" t="inlineStr">
        <is>
          <t>b12-0015</t>
        </is>
      </c>
      <c r="B191" s="11" t="inlineStr">
        <is>
          <t>Span</t>
        </is>
      </c>
      <c r="C191" s="7" t="inlineStr">
        <is>
          <t>period</t>
        </is>
      </c>
      <c r="D191" s="7" t="inlineStr">
        <is>
          <t>1027 B.C.E.–607 B.C.E.</t>
        </is>
      </c>
      <c r="E191" s="7" t="n"/>
      <c r="F191" s="7" t="inlineStr">
        <is>
          <t>1027 BCE</t>
        </is>
      </c>
      <c r="G191" s="7" t="inlineStr">
        <is>
          <t>Exact</t>
        </is>
      </c>
      <c r="H191" s="7" t="inlineStr">
        <is>
          <t>607 BCE</t>
        </is>
      </c>
      <c r="I191" s="7" t="inlineStr">
        <is>
          <t>Exact</t>
        </is>
      </c>
      <c r="J191" s="7" t="inlineStr">
        <is>
          <t>about 420 years</t>
        </is>
      </c>
      <c r="K191" s="2" t="inlineStr">
        <is>
          <t>Solomon’s temple in service</t>
        </is>
      </c>
      <c r="L191" s="2" t="n"/>
      <c r="M191" s="7" t="inlineStr">
        <is>
          <t>The temple built by Solomon served as the center of Jehovah’s worship for about 420 years until the Babylonians destroyed it.</t>
        </is>
      </c>
      <c r="N191" s="7" t="n"/>
      <c r="O191" s="8" t="inlineStr">
        <is>
          <t>Bible</t>
        </is>
      </c>
      <c r="P191" s="7" t="inlineStr">
        <is>
          <t>bible.temple</t>
        </is>
      </c>
      <c r="Q191" s="7" t="n"/>
      <c r="R191" s="7" t="n"/>
      <c r="S191" s="7" t="inlineStr">
        <is>
          <t>Jerusalem</t>
        </is>
      </c>
      <c r="T191" s="7" t="inlineStr">
        <is>
          <t>1 Ki. 8:10, 11; 2 Ki. 25:8, 9</t>
        </is>
      </c>
      <c r="U191" s="7" t="inlineStr">
        <is>
          <t>1 ரா. 8:10, 11; 2 ரா. 25:8, 9</t>
        </is>
      </c>
      <c r="V191" s="7" t="n">
        <v>1</v>
      </c>
      <c r="W191" s="7" t="inlineStr">
        <is>
          <t>Temple</t>
        </is>
      </c>
      <c r="X191" s="9" t="inlineStr">
        <is>
          <t>open</t>
        </is>
      </c>
      <c r="Y191" s="7" t="n"/>
      <c r="Z191" s="7" t="inlineStr">
        <is>
          <t>https://wol.jw.org/en/wol/d/r1/lp-e/1200004359</t>
        </is>
      </c>
      <c r="AA191" s="7" t="n">
        <v>0</v>
      </c>
      <c r="AB191" s="7" t="n"/>
      <c r="AC191" s="7" t="n">
        <v>0</v>
      </c>
      <c r="AD191" s="7" t="n"/>
      <c r="AE191" s="7" t="n"/>
      <c r="AF191" s="7" t="inlineStr">
        <is>
          <t>b3-0013</t>
        </is>
      </c>
      <c r="AG191" s="7" t="inlineStr">
        <is>
          <t>b3-0113</t>
        </is>
      </c>
      <c r="AH191" s="7" t="n"/>
      <c r="AI191" s="7" t="n"/>
      <c r="AJ191" s="7" t="n"/>
      <c r="AK191" s="7" t="inlineStr">
        <is>
          <t>temple-built-by-solomon #5 (context)</t>
        </is>
      </c>
      <c r="AL191" s="7" t="n"/>
      <c r="AM191" s="7" t="n">
        <v>-1026.15</v>
      </c>
      <c r="AN191" s="10" t="n"/>
      <c r="AO191" s="10" t="n"/>
      <c r="AP191" s="10" t="n"/>
      <c r="AQ191" s="10" t="n"/>
    </row>
    <row r="192">
      <c r="A192" s="7" t="inlineStr">
        <is>
          <t>b3-0014</t>
        </is>
      </c>
      <c r="B192" s="7" t="inlineStr">
        <is>
          <t>Point</t>
        </is>
      </c>
      <c r="C192" s="7" t="n"/>
      <c r="D192" s="7" t="inlineStr">
        <is>
          <t>1026 B.C.E., Ethanim</t>
        </is>
      </c>
      <c r="E192" s="7" t="n"/>
      <c r="F192" s="7" t="inlineStr">
        <is>
          <t>1026 BCE</t>
        </is>
      </c>
      <c r="G192" s="7" t="inlineStr">
        <is>
          <t>Approx. (c.)</t>
        </is>
      </c>
      <c r="H192" s="7" t="n"/>
      <c r="I192" s="7" t="n"/>
      <c r="J192" s="7" t="n"/>
      <c r="K192" s="2" t="inlineStr">
        <is>
          <t>Inauguration of Solomon’s temple</t>
        </is>
      </c>
      <c r="L192" s="2" t="n"/>
      <c r="M192" s="7" t="inlineStr">
        <is>
          <t>Solomon gathers Israel to Jerusalem in the seventh month, Ethanim, for the temple inauguration together with the Festival of Booths.</t>
        </is>
      </c>
      <c r="N192" s="7" t="n"/>
      <c r="O192" s="8" t="inlineStr">
        <is>
          <t>Bible</t>
        </is>
      </c>
      <c r="P192" s="7" t="inlineStr">
        <is>
          <t>bible.temple</t>
        </is>
      </c>
      <c r="Q192" s="7" t="inlineStr">
        <is>
          <t>dedication</t>
        </is>
      </c>
      <c r="R192" s="7" t="inlineStr">
        <is>
          <t>Solomon</t>
        </is>
      </c>
      <c r="S192" s="7" t="inlineStr">
        <is>
          <t>Jerusalem</t>
        </is>
      </c>
      <c r="T192" s="7" t="inlineStr">
        <is>
          <t>1 Ki. 8:2; 2 Chron. 5:3</t>
        </is>
      </c>
      <c r="U192" s="7" t="inlineStr">
        <is>
          <t>1 இரா. 8:2; 2 நா. 5:3</t>
        </is>
      </c>
      <c r="V192" s="7" t="n">
        <v>2</v>
      </c>
      <c r="W192" s="7" t="inlineStr">
        <is>
          <t>Temple</t>
        </is>
      </c>
      <c r="X192" s="9" t="inlineStr">
        <is>
          <t>open</t>
        </is>
      </c>
      <c r="Y192" s="7" t="n"/>
      <c r="Z192" s="7" t="inlineStr">
        <is>
          <t>https://wol.jw.org/en/wol/d/r1/lp-e/1200004359
https://wol.jw.org/en/wol/d/r1/lp-e/1200004178</t>
        </is>
      </c>
      <c r="AA192" s="7" t="n">
        <v>0</v>
      </c>
      <c r="AB192" s="7" t="n"/>
      <c r="AC192" s="7" t="n">
        <v>1</v>
      </c>
      <c r="AD192" s="7" t="inlineStr">
        <is>
          <t>Insight "Solomon" mentions another view that the inauguration was in Solomon’s 24th year (1014 B.C.E.), after his own house was built. Insight "Temple" gives 1026 ("apparently").</t>
        </is>
      </c>
      <c r="AE192" s="7" t="n"/>
      <c r="AF192" s="7" t="n"/>
      <c r="AG192" s="7" t="n"/>
      <c r="AH192" s="7" t="n"/>
      <c r="AI192" s="7" t="n"/>
      <c r="AJ192" s="7" t="n"/>
      <c r="AK192" s="7" t="inlineStr">
        <is>
          <t>tabernacle-and-high-priest #4 (item); temple-built-by-solomon #4 (item)</t>
        </is>
      </c>
      <c r="AL192" s="7" t="inlineStr">
        <is>
          <t>Scripture verses for the inauguration added from the account the articles discuss (1 Ki. 8; 2 Chron. 5); the articles themselves cite 1Ki 6:37, 38.</t>
        </is>
      </c>
      <c r="AM192" s="7" t="n">
        <v>-1025.25</v>
      </c>
      <c r="AN192" s="10" t="n"/>
      <c r="AO192" s="10" t="n"/>
      <c r="AP192" s="10" t="n"/>
      <c r="AQ192" s="10" t="n"/>
    </row>
    <row r="193">
      <c r="A193" s="7" t="inlineStr">
        <is>
          <t>b11-0015</t>
        </is>
      </c>
      <c r="B193" s="7" t="inlineStr">
        <is>
          <t>Point</t>
        </is>
      </c>
      <c r="C193" s="7" t="n"/>
      <c r="D193" s="7" t="inlineStr">
        <is>
          <t>c. 1020 B.C.E.</t>
        </is>
      </c>
      <c r="E193" s="7" t="inlineStr">
        <is>
          <t>ஏ. கி.மு. 1020</t>
        </is>
      </c>
      <c r="F193" s="7" t="inlineStr">
        <is>
          <t>1020 BCE</t>
        </is>
      </c>
      <c r="G193" s="7" t="inlineStr">
        <is>
          <t>Approx. (c.)</t>
        </is>
      </c>
      <c r="H193" s="7" t="n"/>
      <c r="I193" s="7" t="n"/>
      <c r="J193" s="7" t="n"/>
      <c r="K193" s="2" t="inlineStr">
        <is>
          <t>Writing of Song of Solomon completed</t>
        </is>
      </c>
      <c r="L193" s="2" t="inlineStr">
        <is>
          <t>உன்னதப்பாட்டு — எழுதி முடிக்கப்பட்டது</t>
        </is>
      </c>
      <c r="M193" s="7" t="inlineStr">
        <is>
          <t>The writing of Song of Solomon was completed c. 1020 B.C.E. Writer: Solomon; place written: Jerusalem.</t>
        </is>
      </c>
      <c r="N193" s="7" t="inlineStr">
        <is>
          <t>உன்னதப்பாட்டு: எழுதியவர்(கள்): சாலொமோன்; எழுதப்பட்ட இடம்: எருசலேம்; முடிக்கப்பட்ட வருஷம் (கி.மு.): ஏ. 1020.</t>
        </is>
      </c>
      <c r="O193" s="8" t="inlineStr">
        <is>
          <t>Bible</t>
        </is>
      </c>
      <c r="P193" s="7" t="inlineStr">
        <is>
          <t>bible.book_writing</t>
        </is>
      </c>
      <c r="Q193" s="7" t="inlineStr">
        <is>
          <t>writing_completed</t>
        </is>
      </c>
      <c r="R193" s="7" t="inlineStr">
        <is>
          <t>Solomon</t>
        </is>
      </c>
      <c r="S193" s="7" t="inlineStr">
        <is>
          <t>Jerusalem</t>
        </is>
      </c>
      <c r="T193" s="7" t="inlineStr">
        <is>
          <t>Song of Sol.</t>
        </is>
      </c>
      <c r="U193" s="7" t="inlineStr">
        <is>
          <t>உன்.</t>
        </is>
      </c>
      <c r="V193" s="7" t="n">
        <v>6</v>
      </c>
      <c r="W193" s="7" t="inlineStr">
        <is>
          <t>Table of the Books of the Bible</t>
        </is>
      </c>
      <c r="X193" s="9" t="inlineStr">
        <is>
          <t>open</t>
        </is>
      </c>
      <c r="Y193" s="9" t="inlineStr">
        <is>
          <t>open</t>
        </is>
      </c>
      <c r="Z193" s="7" t="inlineStr">
        <is>
          <t>https://wol.jw.org/en/wol/d/r1/lp-e/1001070071
https://wol.jw.org/en/wol/d/r1/lp-e/1101990083
https://www.jw.org/en/library/bible/study-bible/books-of-the-bible-list/
https://wol.jw.org/en/wol/d/r1/lp-e/1001060002
https://wol.jw.org/en/wol/d/r1/lp-e/1101990130
https://wol.jw.org/en/wol/d/r1/lp-e/1200000970</t>
        </is>
      </c>
      <c r="AA193" s="7" t="n">
        <v>0</v>
      </c>
      <c r="AB193" s="7" t="n"/>
      <c r="AC193" s="7" t="n">
        <v>0</v>
      </c>
      <c r="AD193" s="7" t="n"/>
      <c r="AE193" s="7" t="n"/>
      <c r="AF193" s="7" t="n"/>
      <c r="AG193" s="7" t="n"/>
      <c r="AH193" s="7" t="n"/>
      <c r="AI193" s="7" t="n"/>
      <c r="AJ193" s="7" t="n"/>
      <c r="AK193" s="7" t="inlineStr">
        <is>
          <t>bible-books-written #22 (item)</t>
        </is>
      </c>
      <c r="AL193" s="7" t="inlineStr">
        <is>
          <t>Writer(s): Solomon. Place written: Jerusalem. Writing completed: c. 1020 B.C.E. Time covered: —.</t>
        </is>
      </c>
      <c r="AM193" s="7" t="n">
        <v>-1019.9978</v>
      </c>
      <c r="AN193" s="10" t="n"/>
      <c r="AO193" s="10" t="n"/>
      <c r="AP193" s="10" t="n"/>
      <c r="AQ193" s="10" t="n"/>
    </row>
    <row r="194">
      <c r="A194" s="7" t="inlineStr">
        <is>
          <t>b11-0016</t>
        </is>
      </c>
      <c r="B194" s="7" t="inlineStr">
        <is>
          <t>Point</t>
        </is>
      </c>
      <c r="C194" s="7" t="n"/>
      <c r="D194" s="7" t="inlineStr">
        <is>
          <t>b. 1000 B.C.E.</t>
        </is>
      </c>
      <c r="E194" s="7" t="inlineStr">
        <is>
          <t>கி.மு. 1000-க்கு முன்</t>
        </is>
      </c>
      <c r="F194" s="7" t="inlineStr">
        <is>
          <t>1000 BCE</t>
        </is>
      </c>
      <c r="G194" s="7" t="inlineStr">
        <is>
          <t>Before (b.)</t>
        </is>
      </c>
      <c r="H194" s="7" t="n"/>
      <c r="I194" s="7" t="n"/>
      <c r="J194" s="7" t="n"/>
      <c r="K194" s="2" t="inlineStr">
        <is>
          <t>Writing of Ecclesiastes completed</t>
        </is>
      </c>
      <c r="L194" s="2" t="inlineStr">
        <is>
          <t>பிரசங்கி — எழுதி முடிக்கப்பட்டது</t>
        </is>
      </c>
      <c r="M194" s="7" t="inlineStr">
        <is>
          <t>The writing of Ecclesiastes was completed before 1000 B.C.E. Writer: Solomon; place written: Jerusalem.</t>
        </is>
      </c>
      <c r="N194" s="7" t="inlineStr">
        <is>
          <t>பிரசங்கி: எழுதியவர்(கள்): சாலொமோன்; எழுதப்பட்ட இடம்: எருசலேம்; முடிக்கப்பட்ட வருஷம் (கி.மு.): 1000-க்கு முன்.</t>
        </is>
      </c>
      <c r="O194" s="8" t="inlineStr">
        <is>
          <t>Bible</t>
        </is>
      </c>
      <c r="P194" s="7" t="inlineStr">
        <is>
          <t>bible.book_writing</t>
        </is>
      </c>
      <c r="Q194" s="7" t="inlineStr">
        <is>
          <t>writing_completed</t>
        </is>
      </c>
      <c r="R194" s="7" t="inlineStr">
        <is>
          <t>Solomon</t>
        </is>
      </c>
      <c r="S194" s="7" t="inlineStr">
        <is>
          <t>Jerusalem</t>
        </is>
      </c>
      <c r="T194" s="7" t="inlineStr">
        <is>
          <t>Eccl.</t>
        </is>
      </c>
      <c r="U194" s="7" t="inlineStr">
        <is>
          <t>பிர.</t>
        </is>
      </c>
      <c r="V194" s="7" t="n">
        <v>6</v>
      </c>
      <c r="W194" s="7" t="inlineStr">
        <is>
          <t>Table of the Books of the Bible</t>
        </is>
      </c>
      <c r="X194" s="9" t="inlineStr">
        <is>
          <t>open</t>
        </is>
      </c>
      <c r="Y194" s="9" t="inlineStr">
        <is>
          <t>open</t>
        </is>
      </c>
      <c r="Z194" s="7" t="inlineStr">
        <is>
          <t>https://wol.jw.org/en/wol/d/r1/lp-e/1001070071
https://wol.jw.org/en/wol/d/r1/lp-e/1101990082
https://www.jw.org/en/library/bible/study-bible/books-of-the-bible-list/
https://wol.jw.org/en/wol/d/r1/lp-e/1001060002
https://wol.jw.org/en/wol/d/r1/lp-e/1101990130
https://wol.jw.org/en/wol/d/r1/lp-e/1200000970</t>
        </is>
      </c>
      <c r="AA194" s="7" t="n">
        <v>0</v>
      </c>
      <c r="AB194" s="7" t="n"/>
      <c r="AC194" s="7" t="n">
        <v>0</v>
      </c>
      <c r="AD194" s="7" t="n"/>
      <c r="AE194" s="7" t="n"/>
      <c r="AF194" s="7" t="n"/>
      <c r="AG194" s="7" t="n"/>
      <c r="AH194" s="7" t="n"/>
      <c r="AI194" s="7" t="n"/>
      <c r="AJ194" s="7" t="n"/>
      <c r="AK194" s="7" t="inlineStr">
        <is>
          <t>bible-books-written #21 (item)</t>
        </is>
      </c>
      <c r="AL194" s="7" t="inlineStr">
        <is>
          <t>Writer(s): Solomon. Place written: Jerusalem. Writing completed: b. 1000 B.C.E. Time covered: —.</t>
        </is>
      </c>
      <c r="AM194" s="7" t="n">
        <v>-1000.0079</v>
      </c>
      <c r="AN194" s="10" t="n"/>
      <c r="AO194" s="10" t="n"/>
      <c r="AP194" s="10" t="n"/>
      <c r="AQ194" s="10" t="n"/>
    </row>
    <row r="195">
      <c r="A195" s="7" t="inlineStr">
        <is>
          <t>b3-0017</t>
        </is>
      </c>
      <c r="B195" s="7" t="inlineStr">
        <is>
          <t>Point</t>
        </is>
      </c>
      <c r="C195" s="7" t="n"/>
      <c r="D195" s="7" t="inlineStr">
        <is>
          <t>997 B.C.E.</t>
        </is>
      </c>
      <c r="E195" s="7" t="inlineStr">
        <is>
          <t>கி.மு. 997</t>
        </is>
      </c>
      <c r="F195" s="7" t="inlineStr">
        <is>
          <t>997 BCE</t>
        </is>
      </c>
      <c r="G195" s="7" t="inlineStr">
        <is>
          <t>Exact</t>
        </is>
      </c>
      <c r="H195" s="7" t="n"/>
      <c r="I195" s="7" t="n"/>
      <c r="J195" s="7" t="n"/>
      <c r="K195" s="2" t="inlineStr">
        <is>
          <t>Rehoboam becomes king of Judah (17 years)</t>
        </is>
      </c>
      <c r="L195" s="2" t="inlineStr">
        <is>
          <t>ரெகொபெயாம்: 17 வருஷங்கள்</t>
        </is>
      </c>
      <c r="M195" s="7" t="inlineStr">
        <is>
          <t>Rehoboam begins to reign over the southern two-tribe kingdom of Judah; the NWT chart gives a reign of 17 years.</t>
        </is>
      </c>
      <c r="N195" s="7" t="inlineStr">
        <is>
          <t>சாலொமோனுக்குப் பின் ரெகொபெயாம் அரசராகிறார்; ராஜ்யம் பிரிகிறது; யெரொபெயாம் இஸ்ரவேலின் அரசனாக ஆளத் தொடங்குகிறார்</t>
        </is>
      </c>
      <c r="O195" s="8" t="inlineStr">
        <is>
          <t>Bible</t>
        </is>
      </c>
      <c r="P195" s="7" t="inlineStr">
        <is>
          <t>bible.monarchy</t>
        </is>
      </c>
      <c r="Q195" s="7" t="inlineStr">
        <is>
          <t>accession</t>
        </is>
      </c>
      <c r="R195" s="7" t="inlineStr">
        <is>
          <t>Rehoboam</t>
        </is>
      </c>
      <c r="S195" s="7" t="inlineStr">
        <is>
          <t>Judah</t>
        </is>
      </c>
      <c r="T195" s="7" t="inlineStr">
        <is>
          <t>1 Ki. 11:43; 1 Ki. 12:19, 20</t>
        </is>
      </c>
      <c r="U195" s="7" t="inlineStr">
        <is>
          <t>1 இரா. 11:43; 1 இரா. 12:19, 20</t>
        </is>
      </c>
      <c r="V195" s="7" t="n">
        <v>3</v>
      </c>
      <c r="W195" s="7" t="inlineStr">
        <is>
          <t>A6-A Chart: Prophets and Kings of Judah and of Israel (Part 1)</t>
        </is>
      </c>
      <c r="X195" s="9" t="inlineStr">
        <is>
          <t>open</t>
        </is>
      </c>
      <c r="Y195" s="9" t="inlineStr">
        <is>
          <t>open</t>
        </is>
      </c>
      <c r="Z195" s="7" t="inlineStr">
        <is>
          <t>https://wol.jw.org/en/wol/d/r1/lp-e/1001070206
https://wol.jw.org/en/wol/d/r1/lp-e/1101990130
https://wol.jw.org/en/wol/d/r1/lp-e/1200000970</t>
        </is>
      </c>
      <c r="AA195" s="7" t="n">
        <v>2</v>
      </c>
      <c r="AB195" s="9" t="inlineStr">
        <is>
          <t>open</t>
        </is>
      </c>
      <c r="AC195" s="7" t="n">
        <v>0</v>
      </c>
      <c r="AD195" s="7" t="n"/>
      <c r="AE195" s="7" t="n"/>
      <c r="AF195" s="7" t="n"/>
      <c r="AG195" s="7" t="n"/>
      <c r="AH195" s="7" t="n"/>
      <c r="AI195" s="7" t="inlineStr">
        <is>
          <t>Covered by span – hide on chart</t>
        </is>
      </c>
      <c r="AJ195" s="7" t="inlineStr">
        <is>
          <t>end of Reign of Solomon (b12-0013); start of Reign of Rehoboam (Judah) (d1-0032)</t>
        </is>
      </c>
      <c r="AK195" s="7" t="n"/>
      <c r="AL195" s="7" t="n"/>
      <c r="AM195" s="7" t="n">
        <v>-996.7</v>
      </c>
      <c r="AN195" s="10" t="n"/>
      <c r="AO195" s="10" t="n"/>
      <c r="AP195" s="10" t="n"/>
      <c r="AQ195" s="10" t="n"/>
    </row>
    <row r="196">
      <c r="A196" s="7" t="inlineStr">
        <is>
          <t>d1-0032</t>
        </is>
      </c>
      <c r="B196" s="11" t="inlineStr">
        <is>
          <t>Span</t>
        </is>
      </c>
      <c r="C196" s="7" t="inlineStr">
        <is>
          <t>reign</t>
        </is>
      </c>
      <c r="D196" s="7" t="inlineStr">
        <is>
          <t>997 B.C.E. – 980 B.C.E.</t>
        </is>
      </c>
      <c r="E196" s="7" t="inlineStr">
        <is>
          <t>கி.மு. 997 – கி.மு. 980</t>
        </is>
      </c>
      <c r="F196" s="7" t="inlineStr">
        <is>
          <t>997 BCE</t>
        </is>
      </c>
      <c r="G196" s="7" t="inlineStr">
        <is>
          <t>Exact</t>
        </is>
      </c>
      <c r="H196" s="7" t="inlineStr">
        <is>
          <t>980 BCE</t>
        </is>
      </c>
      <c r="I196" s="7" t="inlineStr">
        <is>
          <t>Exact</t>
        </is>
      </c>
      <c r="J196" s="7" t="inlineStr">
        <is>
          <t>17 years</t>
        </is>
      </c>
      <c r="K196" s="2" t="inlineStr">
        <is>
          <t>Reign of Rehoboam (Judah)</t>
        </is>
      </c>
      <c r="L196" s="2" t="n"/>
      <c r="M196" s="7" t="inlineStr">
        <is>
          <t>Rehoboam rules Judah. Starts with Rehoboam becomes king of Judah (17 years) (997 B.C.E.); ends when Abijah becomes king (b3-0021), as laid out in NWT Appendix A6.</t>
        </is>
      </c>
      <c r="N196" s="7" t="n"/>
      <c r="O196" s="8" t="inlineStr">
        <is>
          <t>Bible</t>
        </is>
      </c>
      <c r="P196" s="7" t="inlineStr">
        <is>
          <t>bible.monarchy</t>
        </is>
      </c>
      <c r="Q196" s="7" t="inlineStr">
        <is>
          <t>reign</t>
        </is>
      </c>
      <c r="R196" s="7" t="inlineStr">
        <is>
          <t>Rehoboam</t>
        </is>
      </c>
      <c r="S196" s="7" t="inlineStr">
        <is>
          <t>Judah</t>
        </is>
      </c>
      <c r="T196" s="7" t="inlineStr">
        <is>
          <t>1 Ki. 11:43; 1 Ki. 12:19, 20; 1 Ki. 15:1, 2</t>
        </is>
      </c>
      <c r="U196" s="7" t="inlineStr">
        <is>
          <t>1 இரா. 11:43; 1 இரா. 12:19, 20; 1 இரா. 15:1, 2</t>
        </is>
      </c>
      <c r="V196" s="7" t="n">
        <v>3</v>
      </c>
      <c r="W196" s="7" t="inlineStr">
        <is>
          <t>A6-A Chart: Prophets and Kings of Judah and of Israel (Part 1)</t>
        </is>
      </c>
      <c r="X196" s="9" t="inlineStr">
        <is>
          <t>open</t>
        </is>
      </c>
      <c r="Y196" s="9" t="inlineStr">
        <is>
          <t>open</t>
        </is>
      </c>
      <c r="Z196" s="7" t="inlineStr">
        <is>
          <t>https://wol.jw.org/en/wol/d/r1/lp-e/1001070206
https://wol.jw.org/en/wol/d/r1/lp-e/1101990130
https://wol.jw.org/en/wol/d/r1/lp-e/1200000970</t>
        </is>
      </c>
      <c r="AA196" s="7" t="n">
        <v>0</v>
      </c>
      <c r="AB196" s="7" t="n"/>
      <c r="AC196" s="7" t="n">
        <v>1</v>
      </c>
      <c r="AD196" s="7" t="inlineStr">
        <is>
          <t>Name order differs: NWT A6-A and Insight chart list "Abijah (Abijam)"; si Study 3 table (and the 1971 Aid chart) list "Abijam (Abijah)". Same king and same year (980).</t>
        </is>
      </c>
      <c r="AE196" s="7" t="inlineStr">
        <is>
          <t>Start b3-0017; ends when Abijah becomes king (b3-0021), as laid out in NWT Appendix A6.</t>
        </is>
      </c>
      <c r="AF196" s="7" t="inlineStr">
        <is>
          <t>b3-0017</t>
        </is>
      </c>
      <c r="AG196" s="7" t="inlineStr">
        <is>
          <t>b3-0021</t>
        </is>
      </c>
      <c r="AH196" s="7" t="n"/>
      <c r="AI196" s="7" t="n"/>
      <c r="AJ196" s="7" t="n"/>
      <c r="AK196" s="7" t="inlineStr">
        <is>
          <t>kings-of-judah #1 (ruler); messianic-line #35 (item); prophets-and-kings-a6 #1 (ruler)</t>
        </is>
      </c>
      <c r="AL196" s="7" t="n"/>
      <c r="AM196" s="7" t="n">
        <v>-996.7</v>
      </c>
      <c r="AN196" s="10" t="n"/>
      <c r="AO196" s="10" t="n"/>
      <c r="AP196" s="10" t="n"/>
      <c r="AQ196" s="10" t="n"/>
    </row>
    <row r="197">
      <c r="A197" s="7" t="inlineStr">
        <is>
          <t>b3-0018</t>
        </is>
      </c>
      <c r="B197" s="7" t="inlineStr">
        <is>
          <t>Point</t>
        </is>
      </c>
      <c r="C197" s="7" t="n"/>
      <c r="D197" s="7" t="inlineStr">
        <is>
          <t>997 B.C.E.</t>
        </is>
      </c>
      <c r="E197" s="7" t="inlineStr">
        <is>
          <t>கி.மு. 997</t>
        </is>
      </c>
      <c r="F197" s="7" t="inlineStr">
        <is>
          <t>997 BCE</t>
        </is>
      </c>
      <c r="G197" s="7" t="inlineStr">
        <is>
          <t>Exact</t>
        </is>
      </c>
      <c r="H197" s="7" t="n"/>
      <c r="I197" s="7" t="n"/>
      <c r="J197" s="7" t="n"/>
      <c r="K197" s="2" t="inlineStr">
        <is>
          <t>Jeroboam becomes king of Israel (22 years)</t>
        </is>
      </c>
      <c r="L197" s="2" t="inlineStr">
        <is>
          <t>யெரொபெயாம்: 22 வருஷங்கள்</t>
        </is>
      </c>
      <c r="M197" s="7" t="inlineStr">
        <is>
          <t>Jeroboam begins to reign over the northern ten-tribe kingdom of Israel; the NWT chart gives a reign of 22 years.</t>
        </is>
      </c>
      <c r="N197" s="7" t="inlineStr">
        <is>
          <t>சாலொமோனுக்குப் பின் ரெகொபெயாம் அரசராகிறார்; ராஜ்யம் பிரிகிறது; யெரொபெயாம் இஸ்ரவேலின் அரசனாக ஆளத் தொடங்குகிறார்</t>
        </is>
      </c>
      <c r="O197" s="8" t="inlineStr">
        <is>
          <t>Bible</t>
        </is>
      </c>
      <c r="P197" s="7" t="inlineStr">
        <is>
          <t>bible.monarchy</t>
        </is>
      </c>
      <c r="Q197" s="7" t="inlineStr">
        <is>
          <t>accession</t>
        </is>
      </c>
      <c r="R197" s="7" t="inlineStr">
        <is>
          <t>Jeroboam</t>
        </is>
      </c>
      <c r="S197" s="7" t="inlineStr">
        <is>
          <t>Israel</t>
        </is>
      </c>
      <c r="T197" s="7" t="inlineStr">
        <is>
          <t>1 Ki. 12:19, 20</t>
        </is>
      </c>
      <c r="U197" s="7" t="inlineStr">
        <is>
          <t>1 இரா. 12:19, 20</t>
        </is>
      </c>
      <c r="V197" s="7" t="n">
        <v>3</v>
      </c>
      <c r="W197" s="7" t="inlineStr">
        <is>
          <t>A6-A Chart: Prophets and Kings of Judah and of Israel (Part 1)</t>
        </is>
      </c>
      <c r="X197" s="9" t="inlineStr">
        <is>
          <t>open</t>
        </is>
      </c>
      <c r="Y197" s="9" t="inlineStr">
        <is>
          <t>open</t>
        </is>
      </c>
      <c r="Z197" s="7" t="inlineStr">
        <is>
          <t>https://wol.jw.org/en/wol/d/r1/lp-e/1001070206
https://wol.jw.org/en/wol/d/r1/lp-e/1101990130
https://wol.jw.org/en/wol/d/r1/lp-e/1200000970</t>
        </is>
      </c>
      <c r="AA197" s="7" t="n">
        <v>2</v>
      </c>
      <c r="AB197" s="9" t="inlineStr">
        <is>
          <t>open</t>
        </is>
      </c>
      <c r="AC197" s="7" t="n">
        <v>0</v>
      </c>
      <c r="AD197" s="7" t="n"/>
      <c r="AE197" s="7" t="n"/>
      <c r="AF197" s="7" t="n"/>
      <c r="AG197" s="7" t="n"/>
      <c r="AH197" s="7" t="n"/>
      <c r="AI197" s="7" t="inlineStr">
        <is>
          <t>Covered by span – hide on chart</t>
        </is>
      </c>
      <c r="AJ197" s="7" t="inlineStr">
        <is>
          <t>start of Reign of Jeroboam (Israel) (d1-0052)</t>
        </is>
      </c>
      <c r="AK197" s="7" t="n"/>
      <c r="AL197" s="7" t="n"/>
      <c r="AM197" s="7" t="n">
        <v>-996.6900000000001</v>
      </c>
      <c r="AN197" s="10" t="n"/>
      <c r="AO197" s="10" t="n"/>
      <c r="AP197" s="10" t="n"/>
      <c r="AQ197" s="10" t="n"/>
    </row>
    <row r="198">
      <c r="A198" s="7" t="inlineStr">
        <is>
          <t>d1-0052</t>
        </is>
      </c>
      <c r="B198" s="11" t="inlineStr">
        <is>
          <t>Span</t>
        </is>
      </c>
      <c r="C198" s="7" t="inlineStr">
        <is>
          <t>reign</t>
        </is>
      </c>
      <c r="D198" s="7" t="inlineStr">
        <is>
          <t>997 B.C.E. – c. 976 B.C.E.</t>
        </is>
      </c>
      <c r="E198" s="7" t="inlineStr">
        <is>
          <t>கி.மு. 997 – சுமார் கி.மு. 976</t>
        </is>
      </c>
      <c r="F198" s="7" t="inlineStr">
        <is>
          <t>997 BCE</t>
        </is>
      </c>
      <c r="G198" s="7" t="inlineStr">
        <is>
          <t>Exact</t>
        </is>
      </c>
      <c r="H198" s="7" t="inlineStr">
        <is>
          <t>976 BCE</t>
        </is>
      </c>
      <c r="I198" s="7" t="inlineStr">
        <is>
          <t>Approx. (c.)</t>
        </is>
      </c>
      <c r="J198" s="7" t="inlineStr">
        <is>
          <t>22 years</t>
        </is>
      </c>
      <c r="K198" s="2" t="inlineStr">
        <is>
          <t>Reign of Jeroboam (Israel)</t>
        </is>
      </c>
      <c r="L198" s="2" t="n"/>
      <c r="M198" s="7" t="inlineStr">
        <is>
          <t>Jeroboam rules Israel. Starts with Jeroboam becomes king of Israel (22 years) (997 B.C.E.); ends when Nadab becomes king (b3-0023), as laid out in NWT Appendix A6.</t>
        </is>
      </c>
      <c r="N198" s="7" t="n"/>
      <c r="O198" s="8" t="inlineStr">
        <is>
          <t>Bible</t>
        </is>
      </c>
      <c r="P198" s="7" t="inlineStr">
        <is>
          <t>bible.monarchy</t>
        </is>
      </c>
      <c r="Q198" s="7" t="inlineStr">
        <is>
          <t>reign</t>
        </is>
      </c>
      <c r="R198" s="7" t="inlineStr">
        <is>
          <t>Jeroboam</t>
        </is>
      </c>
      <c r="S198" s="7" t="inlineStr">
        <is>
          <t>Israel</t>
        </is>
      </c>
      <c r="T198" s="7" t="inlineStr">
        <is>
          <t>1 Ki. 12:19, 20; 1 Ki. 14:20</t>
        </is>
      </c>
      <c r="U198" s="7" t="inlineStr">
        <is>
          <t>1 இரா. 12:19, 20; 1 இரா. 14:20</t>
        </is>
      </c>
      <c r="V198" s="7" t="n">
        <v>3</v>
      </c>
      <c r="W198" s="7" t="inlineStr">
        <is>
          <t>A6-A Chart: Prophets and Kings of Judah and of Israel (Part 1)</t>
        </is>
      </c>
      <c r="X198" s="9" t="inlineStr">
        <is>
          <t>open</t>
        </is>
      </c>
      <c r="Y198" s="9" t="inlineStr">
        <is>
          <t>open</t>
        </is>
      </c>
      <c r="Z198" s="7" t="inlineStr">
        <is>
          <t>https://wol.jw.org/en/wol/d/r1/lp-e/1001070206
https://wol.jw.org/en/wol/d/r1/lp-e/1101990130
https://wol.jw.org/en/wol/d/r1/lp-e/1200000970</t>
        </is>
      </c>
      <c r="AA198" s="7" t="n">
        <v>0</v>
      </c>
      <c r="AB198" s="7" t="n"/>
      <c r="AC198" s="7" t="n">
        <v>0</v>
      </c>
      <c r="AD198" s="7" t="n"/>
      <c r="AE198" s="7" t="inlineStr">
        <is>
          <t>Start b3-0018; ends when Nadab becomes king (b3-0023), as laid out in NWT Appendix A6.</t>
        </is>
      </c>
      <c r="AF198" s="7" t="inlineStr">
        <is>
          <t>b3-0018</t>
        </is>
      </c>
      <c r="AG198" s="7" t="inlineStr">
        <is>
          <t>b3-0023</t>
        </is>
      </c>
      <c r="AH198" s="7" t="n"/>
      <c r="AI198" s="7" t="n"/>
      <c r="AJ198" s="7" t="n"/>
      <c r="AK198" s="7" t="inlineStr">
        <is>
          <t>kings-of-israel #1 (ruler); fulfilled-prophecies-nations #11 (prophecy); prophets-and-kings-a6 #22 (ruler)</t>
        </is>
      </c>
      <c r="AL198" s="7" t="n"/>
      <c r="AM198" s="7" t="n">
        <v>-996.6900000000001</v>
      </c>
      <c r="AN198" s="10" t="n"/>
      <c r="AO198" s="10" t="n"/>
      <c r="AP198" s="10" t="n"/>
      <c r="AQ198" s="10" t="n"/>
    </row>
    <row r="199">
      <c r="A199" s="7" t="inlineStr">
        <is>
          <t>b3-0019</t>
        </is>
      </c>
      <c r="B199" s="7" t="inlineStr">
        <is>
          <t>Point</t>
        </is>
      </c>
      <c r="C199" s="7" t="n"/>
      <c r="D199" s="7" t="inlineStr">
        <is>
          <t>997 B.C.E.</t>
        </is>
      </c>
      <c r="E199" s="7" t="inlineStr">
        <is>
          <t>பொ.ச.மு. 997</t>
        </is>
      </c>
      <c r="F199" s="7" t="inlineStr">
        <is>
          <t>997 BCE</t>
        </is>
      </c>
      <c r="G199" s="7" t="inlineStr">
        <is>
          <t>Exact</t>
        </is>
      </c>
      <c r="H199" s="7" t="n"/>
      <c r="I199" s="7" t="n"/>
      <c r="J199" s="7" t="n"/>
      <c r="K199" s="2" t="inlineStr">
        <is>
          <t>Kingdom divided: Judah and Israel</t>
        </is>
      </c>
      <c r="L199" s="2" t="inlineStr">
        <is>
          <t>ராஜ்யம் பிரிகிறது</t>
        </is>
      </c>
      <c r="M199" s="7" t="inlineStr">
        <is>
          <t>After Solomon’s death the ten northern tribes revolt against Rehoboam and make Jeroboam king, splitting the nation into the kingdom of Judah and the kingdom of Israel. This starts the 390-year period of Ezek. 4 ending in 607 B.C.E.</t>
        </is>
      </c>
      <c r="N199" s="7" t="inlineStr">
        <is>
          <t>சாலொமோனுக்குப் பின் ரெகொபெயாம் அரசராகிறார்; ராஜ்யம் பிரிகிறது; யெரொபெயாம் இஸ்ரவேலின் அரசனாக ஆளத் தொடங்குகிறார்</t>
        </is>
      </c>
      <c r="O199" s="8" t="inlineStr">
        <is>
          <t>Bible</t>
        </is>
      </c>
      <c r="P199" s="7" t="inlineStr">
        <is>
          <t>bible.monarchy</t>
        </is>
      </c>
      <c r="Q199" s="7" t="inlineStr">
        <is>
          <t>division</t>
        </is>
      </c>
      <c r="R199" s="7" t="inlineStr">
        <is>
          <t>Rehoboam; Jeroboam; Solomon</t>
        </is>
      </c>
      <c r="S199" s="7" t="inlineStr">
        <is>
          <t>Judah; Israel</t>
        </is>
      </c>
      <c r="T199" s="7" t="inlineStr">
        <is>
          <t>1 Ki. 11:43; 1 Ki. 12:19, 20; Ezek. 4:5</t>
        </is>
      </c>
      <c r="U199" s="7" t="inlineStr">
        <is>
          <t>1 இரா. 11:43; 1 இரா. 12:19, 20; எசே. 4:5</t>
        </is>
      </c>
      <c r="V199" s="7" t="n">
        <v>5</v>
      </c>
      <c r="W199" s="7" t="inlineStr">
        <is>
          <t>Study Number 3—Measuring Events in the Stream of Time</t>
        </is>
      </c>
      <c r="X199" s="9" t="inlineStr">
        <is>
          <t>open</t>
        </is>
      </c>
      <c r="Y199" s="9" t="inlineStr">
        <is>
          <t>open</t>
        </is>
      </c>
      <c r="Z199" s="7" t="inlineStr">
        <is>
          <t>https://wol.jw.org/en/wol/d/r1/lp-e/1101990130
https://wol.jw.org/en/wol/d/r1/lp-e/1200000970
https://wol.jw.org/en/wol/d/r1/lp-e/1001070206
https://wol.jw.org/en/wol/d/r1/lp-e/1101990072
https://wol.jw.org/en/wol/d/r1/lp-e/1101990075</t>
        </is>
      </c>
      <c r="AA199" s="7" t="n">
        <v>2</v>
      </c>
      <c r="AB199" s="9" t="inlineStr">
        <is>
          <t>open</t>
        </is>
      </c>
      <c r="AC199" s="7" t="n">
        <v>0</v>
      </c>
      <c r="AD199" s="7" t="n"/>
      <c r="AE199" s="7" t="n"/>
      <c r="AF199" s="7" t="n"/>
      <c r="AG199" s="7" t="n"/>
      <c r="AH199" s="7" t="n"/>
      <c r="AI199" s="7" t="inlineStr">
        <is>
          <t>Span endpoint – keep</t>
        </is>
      </c>
      <c r="AJ199" s="7" t="inlineStr">
        <is>
          <t>end of United kingdom of Israel under Saul, David, and Solomon (b12-0010); start of Northern ten-tribe kingdom of Israel (b12-0016); start of Southern kingdom of Judah (b12-0017); start of The 390 years of “the error of the house of Israel” (Ezekiel 4) (b12-0018)</t>
        </is>
      </c>
      <c r="AK199" s="7" t="n"/>
      <c r="AL199" s="7" t="inlineStr">
        <is>
          <t>title_ta is an excerpt of the si Study 3 Tamil table row.</t>
        </is>
      </c>
      <c r="AM199" s="7" t="n">
        <v>-996.6799999999999</v>
      </c>
      <c r="AN199" s="10" t="n"/>
      <c r="AO199" s="10" t="n"/>
      <c r="AP199" s="10" t="n"/>
      <c r="AQ199" s="10" t="n"/>
    </row>
    <row r="200">
      <c r="A200" s="7" t="inlineStr">
        <is>
          <t>b12-0016</t>
        </is>
      </c>
      <c r="B200" s="11" t="inlineStr">
        <is>
          <t>Span</t>
        </is>
      </c>
      <c r="C200" s="7" t="inlineStr">
        <is>
          <t>period</t>
        </is>
      </c>
      <c r="D200" s="7" t="inlineStr">
        <is>
          <t>997 to 740 B.C.E.</t>
        </is>
      </c>
      <c r="E200" s="7" t="n"/>
      <c r="F200" s="7" t="inlineStr">
        <is>
          <t>997 BCE</t>
        </is>
      </c>
      <c r="G200" s="7" t="inlineStr">
        <is>
          <t>Exact</t>
        </is>
      </c>
      <c r="H200" s="7" t="inlineStr">
        <is>
          <t>740 BCE</t>
        </is>
      </c>
      <c r="I200" s="7" t="inlineStr">
        <is>
          <t>Exact</t>
        </is>
      </c>
      <c r="J200" s="7" t="n"/>
      <c r="K200" s="2" t="inlineStr">
        <is>
          <t>Northern ten-tribe kingdom of Israel</t>
        </is>
      </c>
      <c r="L200" s="2" t="n"/>
      <c r="M200" s="7" t="inlineStr">
        <is>
          <t>Twenty kings, from Jeroboam to Hoshea, ruled the northern kingdom of Israel from the division of the kingdom until Assyria conquered Samaria.</t>
        </is>
      </c>
      <c r="N200" s="7" t="n"/>
      <c r="O200" s="8" t="inlineStr">
        <is>
          <t>Bible</t>
        </is>
      </c>
      <c r="P200" s="7" t="inlineStr">
        <is>
          <t>bible.monarchy</t>
        </is>
      </c>
      <c r="Q200" s="7" t="n"/>
      <c r="R200" s="7" t="inlineStr">
        <is>
          <t>Jeroboam; Hoshea</t>
        </is>
      </c>
      <c r="S200" s="7" t="inlineStr">
        <is>
          <t>Samaria</t>
        </is>
      </c>
      <c r="T200" s="7" t="inlineStr">
        <is>
          <t>1 Ki. 12:20; 2 Ki. 17:6</t>
        </is>
      </c>
      <c r="U200" s="7" t="inlineStr">
        <is>
          <t>1 ரா. 12:20; 2 ரா. 17:6</t>
        </is>
      </c>
      <c r="V200" s="7" t="n">
        <v>1</v>
      </c>
      <c r="W200" s="7" t="inlineStr">
        <is>
          <t>King</t>
        </is>
      </c>
      <c r="X200" s="9" t="inlineStr">
        <is>
          <t>open</t>
        </is>
      </c>
      <c r="Y200" s="7" t="n"/>
      <c r="Z200" s="7" t="inlineStr">
        <is>
          <t>https://wol.jw.org/en/wol/d/r1/lp-e/1200002613</t>
        </is>
      </c>
      <c r="AA200" s="7" t="n">
        <v>0</v>
      </c>
      <c r="AB200" s="7" t="n"/>
      <c r="AC200" s="7" t="n">
        <v>0</v>
      </c>
      <c r="AD200" s="7" t="n"/>
      <c r="AE200" s="7" t="n"/>
      <c r="AF200" s="7" t="inlineStr">
        <is>
          <t>b3-0019</t>
        </is>
      </c>
      <c r="AG200" s="7" t="inlineStr">
        <is>
          <t>b3-0076</t>
        </is>
      </c>
      <c r="AH200" s="7" t="n"/>
      <c r="AI200" s="7" t="n"/>
      <c r="AJ200" s="7" t="n"/>
      <c r="AK200" s="7" t="n"/>
      <c r="AL200" s="7" t="n"/>
      <c r="AM200" s="7" t="n">
        <v>-996.6799999999999</v>
      </c>
      <c r="AN200" s="10" t="n"/>
      <c r="AO200" s="10" t="n"/>
      <c r="AP200" s="10" t="n"/>
      <c r="AQ200" s="10" t="n"/>
    </row>
    <row r="201">
      <c r="A201" s="7" t="inlineStr">
        <is>
          <t>b12-0017</t>
        </is>
      </c>
      <c r="B201" s="11" t="inlineStr">
        <is>
          <t>Span</t>
        </is>
      </c>
      <c r="C201" s="7" t="inlineStr">
        <is>
          <t>period</t>
        </is>
      </c>
      <c r="D201" s="7" t="inlineStr">
        <is>
          <t>997 to 607 B.C.E.</t>
        </is>
      </c>
      <c r="E201" s="7" t="n"/>
      <c r="F201" s="7" t="inlineStr">
        <is>
          <t>997 BCE</t>
        </is>
      </c>
      <c r="G201" s="7" t="inlineStr">
        <is>
          <t>Exact</t>
        </is>
      </c>
      <c r="H201" s="7" t="inlineStr">
        <is>
          <t>607 BCE</t>
        </is>
      </c>
      <c r="I201" s="7" t="inlineStr">
        <is>
          <t>Exact</t>
        </is>
      </c>
      <c r="J201" s="7" t="n"/>
      <c r="K201" s="2" t="inlineStr">
        <is>
          <t>Southern kingdom of Judah</t>
        </is>
      </c>
      <c r="L201" s="2" t="n"/>
      <c r="M201" s="7" t="inlineStr">
        <is>
          <t>Nineteen kings of David’s line, from Rehoboam to Zedekiah, reigned in Jerusalem over the kingdom of Judah until Babylon dethroned Zedekiah.</t>
        </is>
      </c>
      <c r="N201" s="7" t="n"/>
      <c r="O201" s="8" t="inlineStr">
        <is>
          <t>Bible</t>
        </is>
      </c>
      <c r="P201" s="7" t="inlineStr">
        <is>
          <t>bible.monarchy</t>
        </is>
      </c>
      <c r="Q201" s="7" t="n"/>
      <c r="R201" s="7" t="inlineStr">
        <is>
          <t>Rehoboam; Zedekiah</t>
        </is>
      </c>
      <c r="S201" s="7" t="inlineStr">
        <is>
          <t>Jerusalem</t>
        </is>
      </c>
      <c r="T201" s="7" t="inlineStr">
        <is>
          <t>1 Ki. 12:19; 2 Ki. 25:7</t>
        </is>
      </c>
      <c r="U201" s="7" t="inlineStr">
        <is>
          <t>1 ரா. 12:19; 2 ரா. 25:7</t>
        </is>
      </c>
      <c r="V201" s="7" t="n">
        <v>1</v>
      </c>
      <c r="W201" s="7" t="inlineStr">
        <is>
          <t>King</t>
        </is>
      </c>
      <c r="X201" s="9" t="inlineStr">
        <is>
          <t>open</t>
        </is>
      </c>
      <c r="Y201" s="7" t="n"/>
      <c r="Z201" s="7" t="inlineStr">
        <is>
          <t>https://wol.jw.org/en/wol/d/r1/lp-e/1200002613</t>
        </is>
      </c>
      <c r="AA201" s="7" t="n">
        <v>0</v>
      </c>
      <c r="AB201" s="7" t="n"/>
      <c r="AC201" s="7" t="n">
        <v>0</v>
      </c>
      <c r="AD201" s="7" t="n"/>
      <c r="AE201" s="7" t="n"/>
      <c r="AF201" s="7" t="inlineStr">
        <is>
          <t>b3-0019</t>
        </is>
      </c>
      <c r="AG201" s="7" t="inlineStr">
        <is>
          <t>b3-0112</t>
        </is>
      </c>
      <c r="AH201" s="7" t="n"/>
      <c r="AI201" s="7" t="n"/>
      <c r="AJ201" s="7" t="n"/>
      <c r="AK201" s="7" t="n"/>
      <c r="AL201" s="7" t="inlineStr">
        <is>
          <t>Athaliah, a usurper, is not counted among the 19 kings (Insight “King”).</t>
        </is>
      </c>
      <c r="AM201" s="7" t="n">
        <v>-996.6799999999999</v>
      </c>
      <c r="AN201" s="10" t="n"/>
      <c r="AO201" s="10" t="n"/>
      <c r="AP201" s="10" t="n"/>
      <c r="AQ201" s="10" t="n"/>
    </row>
    <row r="202">
      <c r="A202" s="7" t="inlineStr">
        <is>
          <t>b12-0018</t>
        </is>
      </c>
      <c r="B202" s="11" t="inlineStr">
        <is>
          <t>Span</t>
        </is>
      </c>
      <c r="C202" s="7" t="inlineStr">
        <is>
          <t>prophetic period</t>
        </is>
      </c>
      <c r="D202" s="7" t="inlineStr">
        <is>
          <t>997 B.C.E.–607 B.C.E.</t>
        </is>
      </c>
      <c r="E202" s="7" t="n"/>
      <c r="F202" s="7" t="inlineStr">
        <is>
          <t>997 BCE</t>
        </is>
      </c>
      <c r="G202" s="7" t="inlineStr">
        <is>
          <t>Exact</t>
        </is>
      </c>
      <c r="H202" s="7" t="inlineStr">
        <is>
          <t>607 BCE</t>
        </is>
      </c>
      <c r="I202" s="7" t="inlineStr">
        <is>
          <t>Exact</t>
        </is>
      </c>
      <c r="J202" s="7" t="inlineStr">
        <is>
          <t>390 years</t>
        </is>
      </c>
      <c r="K202" s="2" t="inlineStr">
        <is>
          <t>The 390 years of “the error of the house of Israel” (Ezekiel 4)</t>
        </is>
      </c>
      <c r="L202" s="2" t="n"/>
      <c r="M202" s="7" t="inlineStr">
        <is>
          <t>Ezekiel’s 390 days on his left side pictured 390 years of Israel’s error, counted from Jeroboam’s break with the house of David in 997 B.C.E. to Jerusalem’s destruction in 607 B.C.E.</t>
        </is>
      </c>
      <c r="N202" s="7" t="inlineStr">
        <is>
          <t>இந்தத் தேதியிலிருந்து பின்னோக்கி கணக்கிட்டால், இந்த 390 ஆண்டுகளடங்கிய காலப்பகுதி பொ.ச.மு. 997-ல் தொடங்கினதென்று நாம் காண்கிறோம்.</t>
        </is>
      </c>
      <c r="O202" s="8" t="inlineStr">
        <is>
          <t>Bible</t>
        </is>
      </c>
      <c r="P202" s="7" t="inlineStr">
        <is>
          <t>bible.prophecy_fulfilled</t>
        </is>
      </c>
      <c r="Q202" s="7" t="n"/>
      <c r="R202" s="7" t="inlineStr">
        <is>
          <t>Ezekiel; Jeroboam</t>
        </is>
      </c>
      <c r="S202" s="7" t="n"/>
      <c r="T202" s="7" t="inlineStr">
        <is>
          <t>Ezek. 4:4-6; 2 Ki. 17:21</t>
        </is>
      </c>
      <c r="U202" s="7" t="inlineStr">
        <is>
          <t>எசே. 4:4-6; 2 ரா. 17:21</t>
        </is>
      </c>
      <c r="V202" s="7" t="n">
        <v>2</v>
      </c>
      <c r="W202" s="7" t="inlineStr">
        <is>
          <t>Study Number 3—Measuring Events in the Stream of Time</t>
        </is>
      </c>
      <c r="X202" s="9" t="inlineStr">
        <is>
          <t>open</t>
        </is>
      </c>
      <c r="Y202" s="9" t="inlineStr">
        <is>
          <t>open</t>
        </is>
      </c>
      <c r="Z202" s="7" t="inlineStr">
        <is>
          <t>https://wol.jw.org/en/wol/d/r1/lp-e/1101990130
https://wol.jw.org/en/wol/d/r1/lp-e/1200000970</t>
        </is>
      </c>
      <c r="AA202" s="7" t="n">
        <v>0</v>
      </c>
      <c r="AB202" s="7" t="n"/>
      <c r="AC202" s="7" t="n">
        <v>0</v>
      </c>
      <c r="AD202" s="7" t="n"/>
      <c r="AE202" s="7" t="n"/>
      <c r="AF202" s="7" t="inlineStr">
        <is>
          <t>b3-0019</t>
        </is>
      </c>
      <c r="AG202" s="7" t="inlineStr">
        <is>
          <t>b3-0113</t>
        </is>
      </c>
      <c r="AH202" s="7" t="n"/>
      <c r="AI202" s="7" t="n"/>
      <c r="AJ202" s="7" t="n"/>
      <c r="AK202" s="7" t="n"/>
      <c r="AL202" s="7" t="n"/>
      <c r="AM202" s="7" t="n">
        <v>-996.6799999999999</v>
      </c>
      <c r="AN202" s="10" t="n"/>
      <c r="AO202" s="10" t="n"/>
      <c r="AP202" s="10" t="n"/>
      <c r="AQ202" s="10" t="n"/>
    </row>
    <row r="203">
      <c r="A203" s="7" t="inlineStr">
        <is>
          <t>b3-0020</t>
        </is>
      </c>
      <c r="B203" s="7" t="inlineStr">
        <is>
          <t>Point</t>
        </is>
      </c>
      <c r="C203" s="7" t="n"/>
      <c r="D203" s="7" t="inlineStr">
        <is>
          <t>993 B.C.E.</t>
        </is>
      </c>
      <c r="E203" s="7" t="inlineStr">
        <is>
          <t>பொ.ச.மு. 993</t>
        </is>
      </c>
      <c r="F203" s="7" t="inlineStr">
        <is>
          <t>993 BCE</t>
        </is>
      </c>
      <c r="G203" s="7" t="inlineStr">
        <is>
          <t>Exact</t>
        </is>
      </c>
      <c r="H203" s="7" t="n"/>
      <c r="I203" s="7" t="n"/>
      <c r="J203" s="7" t="n"/>
      <c r="K203" s="2" t="inlineStr">
        <is>
          <t>Shishak of Egypt invades Judah and plunders the temple</t>
        </is>
      </c>
      <c r="L203" s="2" t="inlineStr">
        <is>
          <t>சீஷாக் யூதாவுக்குள் படையெடுத்து ஆலயத்திலிருந்து பொக்கிஷங்களை எடுத்துச் செல்கிறான்</t>
        </is>
      </c>
      <c r="M203" s="7" t="inlineStr">
        <is>
          <t>In Rehoboam’s fifth year Pharaoh Shishak comes against Jerusalem and takes the treasures of the temple and the king’s house.</t>
        </is>
      </c>
      <c r="N203" s="7" t="inlineStr">
        <is>
          <t>சீஷாக் யூதாவுக்குள் படையெடுத்து ஆலயத்திலிருந்து பொக்கிஷங்களை எடுத்துச் செல்கிறான்</t>
        </is>
      </c>
      <c r="O203" s="8" t="inlineStr">
        <is>
          <t>Bible</t>
        </is>
      </c>
      <c r="P203" s="7" t="inlineStr">
        <is>
          <t>bible.monarchy</t>
        </is>
      </c>
      <c r="Q203" s="7" t="inlineStr">
        <is>
          <t>invasion</t>
        </is>
      </c>
      <c r="R203" s="7" t="inlineStr">
        <is>
          <t>Shishak; Rehoboam</t>
        </is>
      </c>
      <c r="S203" s="7" t="inlineStr">
        <is>
          <t>Jerusalem; Egypt</t>
        </is>
      </c>
      <c r="T203" s="7" t="inlineStr">
        <is>
          <t>1 Ki. 14:25, 26; 2 Chron. 12:9</t>
        </is>
      </c>
      <c r="U203" s="7" t="inlineStr">
        <is>
          <t>1 இரா. 14:25, 26; 2 நா. 12:9</t>
        </is>
      </c>
      <c r="V203" s="7" t="n">
        <v>3</v>
      </c>
      <c r="W203" s="7" t="inlineStr">
        <is>
          <t>Study Number 3—Measuring Events in the Stream of Time</t>
        </is>
      </c>
      <c r="X203" s="9" t="inlineStr">
        <is>
          <t>open</t>
        </is>
      </c>
      <c r="Y203" s="9" t="inlineStr">
        <is>
          <t>open</t>
        </is>
      </c>
      <c r="Z203" s="7" t="inlineStr">
        <is>
          <t>https://wol.jw.org/en/wol/d/r1/lp-e/1101990130
https://wol.jw.org/en/wol/d/r1/lp-e/1200000970
https://wol.jw.org/en/wol/d/r1/lp-e/1200004359</t>
        </is>
      </c>
      <c r="AA203" s="7" t="n">
        <v>0</v>
      </c>
      <c r="AB203" s="7" t="n"/>
      <c r="AC203" s="7" t="n">
        <v>0</v>
      </c>
      <c r="AD203" s="7" t="n"/>
      <c r="AE203" s="7" t="n"/>
      <c r="AF203" s="7" t="n"/>
      <c r="AG203" s="7" t="n"/>
      <c r="AH203" s="7" t="n"/>
      <c r="AI203" s="7" t="n"/>
      <c r="AJ203" s="7" t="n"/>
      <c r="AK203" s="7" t="n"/>
      <c r="AL203" s="7" t="n"/>
      <c r="AM203" s="7" t="n">
        <v>-993</v>
      </c>
      <c r="AN203" s="10" t="n"/>
      <c r="AO203" s="10" t="n"/>
      <c r="AP203" s="10" t="n"/>
      <c r="AQ203" s="10" t="n"/>
    </row>
    <row r="204">
      <c r="A204" s="7" t="inlineStr">
        <is>
          <t>b3-0021</t>
        </is>
      </c>
      <c r="B204" s="7" t="inlineStr">
        <is>
          <t>Point</t>
        </is>
      </c>
      <c r="C204" s="7" t="n"/>
      <c r="D204" s="7" t="inlineStr">
        <is>
          <t>980 B.C.E.</t>
        </is>
      </c>
      <c r="E204" s="7" t="inlineStr">
        <is>
          <t>கி.மு. 980</t>
        </is>
      </c>
      <c r="F204" s="7" t="inlineStr">
        <is>
          <t>980 BCE</t>
        </is>
      </c>
      <c r="G204" s="7" t="inlineStr">
        <is>
          <t>Exact</t>
        </is>
      </c>
      <c r="H204" s="7" t="n"/>
      <c r="I204" s="7" t="n"/>
      <c r="J204" s="7" t="n"/>
      <c r="K204" s="2" t="inlineStr">
        <is>
          <t>Abijah (Abijam) becomes king of Judah (3 years)</t>
        </is>
      </c>
      <c r="L204" s="2" t="inlineStr">
        <is>
          <t>அபியா (அபியாம்): 3 வருஷங்கள்</t>
        </is>
      </c>
      <c r="M204" s="7" t="inlineStr">
        <is>
          <t>Abijah (Abijam) begins to reign over the southern two-tribe kingdom of Judah; the NWT chart gives a reign of 3 years.</t>
        </is>
      </c>
      <c r="N204" s="7" t="inlineStr">
        <is>
          <t>ரெகொபெயாமுக்குப் பின் அபியாம் (அபியா) யூதாவின் அரசனாகிறான்</t>
        </is>
      </c>
      <c r="O204" s="8" t="inlineStr">
        <is>
          <t>Bible</t>
        </is>
      </c>
      <c r="P204" s="7" t="inlineStr">
        <is>
          <t>bible.monarchy</t>
        </is>
      </c>
      <c r="Q204" s="7" t="inlineStr">
        <is>
          <t>accession</t>
        </is>
      </c>
      <c r="R204" s="7" t="inlineStr">
        <is>
          <t>Abijah</t>
        </is>
      </c>
      <c r="S204" s="7" t="inlineStr">
        <is>
          <t>Judah</t>
        </is>
      </c>
      <c r="T204" s="7" t="inlineStr">
        <is>
          <t>1 Ki. 15:1, 2</t>
        </is>
      </c>
      <c r="U204" s="7" t="inlineStr">
        <is>
          <t>1 இரா. 15:1, 2</t>
        </is>
      </c>
      <c r="V204" s="7" t="n">
        <v>3</v>
      </c>
      <c r="W204" s="7" t="inlineStr">
        <is>
          <t>A6-A Chart: Prophets and Kings of Judah and of Israel (Part 1)</t>
        </is>
      </c>
      <c r="X204" s="9" t="inlineStr">
        <is>
          <t>open</t>
        </is>
      </c>
      <c r="Y204" s="9" t="inlineStr">
        <is>
          <t>open</t>
        </is>
      </c>
      <c r="Z204" s="7" t="inlineStr">
        <is>
          <t>https://wol.jw.org/en/wol/d/r1/lp-e/1001070206
https://wol.jw.org/en/wol/d/r1/lp-e/1101990130
https://wol.jw.org/en/wol/d/r1/lp-e/1200000970</t>
        </is>
      </c>
      <c r="AA204" s="7" t="n">
        <v>2</v>
      </c>
      <c r="AB204" s="9" t="inlineStr">
        <is>
          <t>open</t>
        </is>
      </c>
      <c r="AC204" s="7" t="n">
        <v>1</v>
      </c>
      <c r="AD204" s="7" t="inlineStr">
        <is>
          <t>Name order differs: NWT A6-A and Insight chart list "Abijah (Abijam)"; si Study 3 table (and the 1971 Aid chart) list "Abijam (Abijah)". Same king and same year (980).</t>
        </is>
      </c>
      <c r="AE204" s="7" t="n"/>
      <c r="AF204" s="7" t="n"/>
      <c r="AG204" s="7" t="n"/>
      <c r="AH204" s="7" t="n"/>
      <c r="AI204" s="7" t="inlineStr">
        <is>
          <t>Covered by span – hide on chart</t>
        </is>
      </c>
      <c r="AJ204" s="7" t="inlineStr">
        <is>
          <t>end of Reign of Rehoboam (Judah) (d1-0032); start of Reign of Abijah (Judah) (d1-0033)</t>
        </is>
      </c>
      <c r="AK204" s="7" t="n"/>
      <c r="AL204" s="7" t="n"/>
      <c r="AM204" s="7" t="n">
        <v>-979.5</v>
      </c>
      <c r="AN204" s="10" t="n"/>
      <c r="AO204" s="10" t="n"/>
      <c r="AP204" s="10" t="n"/>
      <c r="AQ204" s="10" t="n"/>
    </row>
    <row r="205">
      <c r="A205" s="7" t="inlineStr">
        <is>
          <t>d1-0033</t>
        </is>
      </c>
      <c r="B205" s="11" t="inlineStr">
        <is>
          <t>Span</t>
        </is>
      </c>
      <c r="C205" s="7" t="inlineStr">
        <is>
          <t>reign</t>
        </is>
      </c>
      <c r="D205" s="7" t="inlineStr">
        <is>
          <t>980 B.C.E. – 978 B.C.E.</t>
        </is>
      </c>
      <c r="E205" s="7" t="inlineStr">
        <is>
          <t>கி.மு. 980 – கி.மு. 978</t>
        </is>
      </c>
      <c r="F205" s="7" t="inlineStr">
        <is>
          <t>980 BCE</t>
        </is>
      </c>
      <c r="G205" s="7" t="inlineStr">
        <is>
          <t>Exact</t>
        </is>
      </c>
      <c r="H205" s="7" t="inlineStr">
        <is>
          <t>978 BCE</t>
        </is>
      </c>
      <c r="I205" s="7" t="inlineStr">
        <is>
          <t>Exact</t>
        </is>
      </c>
      <c r="J205" s="7" t="inlineStr">
        <is>
          <t>3 years</t>
        </is>
      </c>
      <c r="K205" s="2" t="inlineStr">
        <is>
          <t>Reign of Abijah (Judah)</t>
        </is>
      </c>
      <c r="L205" s="2" t="n"/>
      <c r="M205" s="7" t="inlineStr">
        <is>
          <t>Abijah rules Judah. Starts with Abijah (Abijam) becomes king of Judah (3 years) (980 B.C.E.); ends when Asa becomes king (b3-0022), as laid out in NWT Appendix A6.</t>
        </is>
      </c>
      <c r="N205" s="7" t="n"/>
      <c r="O205" s="8" t="inlineStr">
        <is>
          <t>Bible</t>
        </is>
      </c>
      <c r="P205" s="7" t="inlineStr">
        <is>
          <t>bible.monarchy</t>
        </is>
      </c>
      <c r="Q205" s="7" t="inlineStr">
        <is>
          <t>reign</t>
        </is>
      </c>
      <c r="R205" s="7" t="inlineStr">
        <is>
          <t>Abijah</t>
        </is>
      </c>
      <c r="S205" s="7" t="inlineStr">
        <is>
          <t>Judah</t>
        </is>
      </c>
      <c r="T205" s="7" t="inlineStr">
        <is>
          <t>1 Ki. 15:1, 2; 1 Ki. 15:9, 10</t>
        </is>
      </c>
      <c r="U205" s="7" t="inlineStr">
        <is>
          <t>1 இரா. 15:1, 2; 1 இரா. 15:9, 10</t>
        </is>
      </c>
      <c r="V205" s="7" t="n">
        <v>4</v>
      </c>
      <c r="W205" s="7" t="inlineStr">
        <is>
          <t>A6-A Chart: Prophets and Kings of Judah and of Israel (Part 1)</t>
        </is>
      </c>
      <c r="X205" s="9" t="inlineStr">
        <is>
          <t>open</t>
        </is>
      </c>
      <c r="Y205" s="9" t="inlineStr">
        <is>
          <t>open</t>
        </is>
      </c>
      <c r="Z205" s="7" t="inlineStr">
        <is>
          <t>https://wol.jw.org/en/wol/d/r1/lp-e/1001070206
https://wol.jw.org/en/wol/d/r1/lp-e/1101990130
https://wol.jw.org/en/wol/d/r1/lp-e/1200000970
https://wol.jw.org/en/wol/d/r1/lp-e/1200004359</t>
        </is>
      </c>
      <c r="AA205" s="7" t="n">
        <v>0</v>
      </c>
      <c r="AB205" s="7" t="n"/>
      <c r="AC205" s="7" t="n">
        <v>3</v>
      </c>
      <c r="AD205" s="7" t="inlineStr">
        <is>
          <t>Name order differs: NWT A6-A and Insight chart list "Abijah (Abijam)"; si Study 3 table (and the 1971 Aid chart) list "Abijam (Abijah)". Same king and same year (980). | si Study 3 table (1990) dates Asa’s accession 977 B.C.E.; NWT A6-A and Insight chart give 978; the Insight chart explains that Asa evidently began to rule in 978 but his first regnal year counted from 977. | Insight "Temple" gives Asa’s reign as 977-937 B.C.E. (regnal-year reckoning).</t>
        </is>
      </c>
      <c r="AE205" s="7" t="inlineStr">
        <is>
          <t>Start b3-0021; ends when Asa becomes king (b3-0022), as laid out in NWT Appendix A6.</t>
        </is>
      </c>
      <c r="AF205" s="7" t="inlineStr">
        <is>
          <t>b3-0021</t>
        </is>
      </c>
      <c r="AG205" s="7" t="inlineStr">
        <is>
          <t>b3-0022</t>
        </is>
      </c>
      <c r="AH205" s="7" t="n"/>
      <c r="AI205" s="7" t="n"/>
      <c r="AJ205" s="7" t="n"/>
      <c r="AK205" s="7" t="inlineStr">
        <is>
          <t>kings-of-judah #2 (ruler); messianic-line #36 (item); prophets-and-kings-a6 #2 (ruler)</t>
        </is>
      </c>
      <c r="AL205" s="7" t="n"/>
      <c r="AM205" s="7" t="n">
        <v>-979.5</v>
      </c>
      <c r="AN205" s="10" t="n"/>
      <c r="AO205" s="10" t="n"/>
      <c r="AP205" s="10" t="n"/>
      <c r="AQ205" s="10" t="n"/>
    </row>
    <row r="206">
      <c r="A206" s="7" t="inlineStr">
        <is>
          <t>b3-0022</t>
        </is>
      </c>
      <c r="B206" s="7" t="inlineStr">
        <is>
          <t>Point</t>
        </is>
      </c>
      <c r="C206" s="7" t="n"/>
      <c r="D206" s="7" t="inlineStr">
        <is>
          <t>978 B.C.E.</t>
        </is>
      </c>
      <c r="E206" s="7" t="inlineStr">
        <is>
          <t>கி.மு. 978</t>
        </is>
      </c>
      <c r="F206" s="7" t="inlineStr">
        <is>
          <t>978 BCE</t>
        </is>
      </c>
      <c r="G206" s="7" t="inlineStr">
        <is>
          <t>Exact</t>
        </is>
      </c>
      <c r="H206" s="7" t="n"/>
      <c r="I206" s="7" t="n"/>
      <c r="J206" s="7" t="n"/>
      <c r="K206" s="2" t="inlineStr">
        <is>
          <t>Asa becomes king of Judah (41 years)</t>
        </is>
      </c>
      <c r="L206" s="2" t="inlineStr">
        <is>
          <t>ஆசா: 41 வருஷங்கள்</t>
        </is>
      </c>
      <c r="M206" s="7" t="inlineStr">
        <is>
          <t>Asa begins to reign over the southern two-tribe kingdom of Judah; the NWT chart gives a reign of 41 years.</t>
        </is>
      </c>
      <c r="N206" s="7" t="inlineStr">
        <is>
          <t>அபியாமுக்குப் பின் ஆசா யூதாவின் அரசனாகிறார்</t>
        </is>
      </c>
      <c r="O206" s="8" t="inlineStr">
        <is>
          <t>Bible</t>
        </is>
      </c>
      <c r="P206" s="7" t="inlineStr">
        <is>
          <t>bible.monarchy</t>
        </is>
      </c>
      <c r="Q206" s="7" t="inlineStr">
        <is>
          <t>accession</t>
        </is>
      </c>
      <c r="R206" s="7" t="inlineStr">
        <is>
          <t>Asa</t>
        </is>
      </c>
      <c r="S206" s="7" t="inlineStr">
        <is>
          <t>Judah</t>
        </is>
      </c>
      <c r="T206" s="7" t="inlineStr">
        <is>
          <t>1 Ki. 15:9, 10</t>
        </is>
      </c>
      <c r="U206" s="7" t="inlineStr">
        <is>
          <t>1 இரா. 15:9, 10</t>
        </is>
      </c>
      <c r="V206" s="7" t="n">
        <v>4</v>
      </c>
      <c r="W206" s="7" t="inlineStr">
        <is>
          <t>A6-A Chart: Prophets and Kings of Judah and of Israel (Part 1)</t>
        </is>
      </c>
      <c r="X206" s="9" t="inlineStr">
        <is>
          <t>open</t>
        </is>
      </c>
      <c r="Y206" s="9" t="inlineStr">
        <is>
          <t>open</t>
        </is>
      </c>
      <c r="Z206" s="7" t="inlineStr">
        <is>
          <t>https://wol.jw.org/en/wol/d/r1/lp-e/1001070206
https://wol.jw.org/en/wol/d/r1/lp-e/1101990130
https://wol.jw.org/en/wol/d/r1/lp-e/1200000970
https://wol.jw.org/en/wol/d/r1/lp-e/1200004359</t>
        </is>
      </c>
      <c r="AA206" s="7" t="n">
        <v>2</v>
      </c>
      <c r="AB206" s="9" t="inlineStr">
        <is>
          <t>open</t>
        </is>
      </c>
      <c r="AC206" s="7" t="n">
        <v>2</v>
      </c>
      <c r="AD206" s="7" t="inlineStr">
        <is>
          <t>si Study 3 table (1990) dates Asa’s accession 977 B.C.E.; NWT A6-A and Insight chart give 978; the Insight chart explains that Asa evidently began to rule in 978 but his first regnal year counted from 977. | Insight "Temple" gives Asa’s reign as 977-937 B.C.E. (regnal-year reckoning).</t>
        </is>
      </c>
      <c r="AE206" s="7" t="n"/>
      <c r="AF206" s="7" t="n"/>
      <c r="AG206" s="7" t="n"/>
      <c r="AH206" s="7" t="n"/>
      <c r="AI206" s="7" t="inlineStr">
        <is>
          <t>Covered by span – hide on chart</t>
        </is>
      </c>
      <c r="AJ206" s="7" t="inlineStr">
        <is>
          <t>end of Reign of Abijah (Judah) (d1-0033); start of Reign of Asa (Judah) (d1-0034)</t>
        </is>
      </c>
      <c r="AK206" s="7" t="n"/>
      <c r="AL206" s="7" t="n"/>
      <c r="AM206" s="7" t="n">
        <v>-977.5</v>
      </c>
      <c r="AN206" s="10" t="n"/>
      <c r="AO206" s="10" t="n"/>
      <c r="AP206" s="10" t="n"/>
      <c r="AQ206" s="10" t="n"/>
    </row>
    <row r="207">
      <c r="A207" s="7" t="inlineStr">
        <is>
          <t>d1-0034</t>
        </is>
      </c>
      <c r="B207" s="11" t="inlineStr">
        <is>
          <t>Span</t>
        </is>
      </c>
      <c r="C207" s="7" t="inlineStr">
        <is>
          <t>reign</t>
        </is>
      </c>
      <c r="D207" s="7" t="inlineStr">
        <is>
          <t>978 B.C.E. – 937 B.C.E.</t>
        </is>
      </c>
      <c r="E207" s="7" t="inlineStr">
        <is>
          <t>கி.மு. 978 – கி.மு. 937</t>
        </is>
      </c>
      <c r="F207" s="7" t="inlineStr">
        <is>
          <t>978 BCE</t>
        </is>
      </c>
      <c r="G207" s="7" t="inlineStr">
        <is>
          <t>Exact</t>
        </is>
      </c>
      <c r="H207" s="7" t="inlineStr">
        <is>
          <t>937 BCE</t>
        </is>
      </c>
      <c r="I207" s="7" t="inlineStr">
        <is>
          <t>Exact</t>
        </is>
      </c>
      <c r="J207" s="7" t="inlineStr">
        <is>
          <t>41 years</t>
        </is>
      </c>
      <c r="K207" s="2" t="inlineStr">
        <is>
          <t>Reign of Asa (Judah)</t>
        </is>
      </c>
      <c r="L207" s="2" t="n"/>
      <c r="M207" s="7" t="inlineStr">
        <is>
          <t>Asa rules Judah. Starts with Asa becomes king of Judah (41 years) (978 B.C.E.); ends when Jehoshaphat becomes king (b3-0034), as laid out in NWT Appendix A6.</t>
        </is>
      </c>
      <c r="N207" s="7" t="n"/>
      <c r="O207" s="8" t="inlineStr">
        <is>
          <t>Bible</t>
        </is>
      </c>
      <c r="P207" s="7" t="inlineStr">
        <is>
          <t>bible.monarchy</t>
        </is>
      </c>
      <c r="Q207" s="7" t="inlineStr">
        <is>
          <t>reign</t>
        </is>
      </c>
      <c r="R207" s="7" t="inlineStr">
        <is>
          <t>Asa</t>
        </is>
      </c>
      <c r="S207" s="7" t="inlineStr">
        <is>
          <t>Judah</t>
        </is>
      </c>
      <c r="T207" s="7" t="inlineStr">
        <is>
          <t>1 Ki. 15:9, 10; 1 Ki. 22:41, 42</t>
        </is>
      </c>
      <c r="U207" s="7" t="inlineStr">
        <is>
          <t>1 இரா. 15:9, 10; 1 இரா. 22:41, 42</t>
        </is>
      </c>
      <c r="V207" s="7" t="n">
        <v>4</v>
      </c>
      <c r="W207" s="7" t="inlineStr">
        <is>
          <t>A6-A Chart: Prophets and Kings of Judah and of Israel (Part 1)</t>
        </is>
      </c>
      <c r="X207" s="9" t="inlineStr">
        <is>
          <t>open</t>
        </is>
      </c>
      <c r="Y207" s="9" t="inlineStr">
        <is>
          <t>open</t>
        </is>
      </c>
      <c r="Z207" s="7" t="inlineStr">
        <is>
          <t>https://wol.jw.org/en/wol/d/r1/lp-e/1001070206
https://wol.jw.org/en/wol/d/r1/lp-e/1101990130
https://wol.jw.org/en/wol/d/r1/lp-e/1200000970
https://wol.jw.org/en/wol/d/r1/lp-e/1200004359</t>
        </is>
      </c>
      <c r="AA207" s="7" t="n">
        <v>0</v>
      </c>
      <c r="AB207" s="7" t="n"/>
      <c r="AC207" s="7" t="n">
        <v>3</v>
      </c>
      <c r="AD207" s="7" t="inlineStr">
        <is>
          <t>si Study 3 table (1990) dates Asa’s accession 977 B.C.E.; NWT A6-A and Insight chart give 978; the Insight chart explains that Asa evidently began to rule in 978 but his first regnal year counted from 977. | Insight "Temple" gives Asa’s reign as 977-937 B.C.E. (regnal-year reckoning). | si Study 3 table dates Jehoshaphat’s accession 936 B.C.E.; NWT A6-A and Insight chart give 937 (Asa dies in his 41st year; regnal-year vs accession-year reckoning).</t>
        </is>
      </c>
      <c r="AE207" s="7" t="inlineStr">
        <is>
          <t>Start b3-0022; ends when Jehoshaphat becomes king (b3-0034), as laid out in NWT Appendix A6.</t>
        </is>
      </c>
      <c r="AF207" s="7" t="inlineStr">
        <is>
          <t>b3-0022</t>
        </is>
      </c>
      <c r="AG207" s="7" t="inlineStr">
        <is>
          <t>b3-0034</t>
        </is>
      </c>
      <c r="AH207" s="7" t="n"/>
      <c r="AI207" s="7" t="n"/>
      <c r="AJ207" s="7" t="n"/>
      <c r="AK207" s="7" t="inlineStr">
        <is>
          <t>kings-of-judah #3 (ruler); messianic-line #37 (item); prophets-and-kings-a6 #3 (ruler)</t>
        </is>
      </c>
      <c r="AL207" s="7" t="n"/>
      <c r="AM207" s="7" t="n">
        <v>-977.5</v>
      </c>
      <c r="AN207" s="10" t="n"/>
      <c r="AO207" s="10" t="n"/>
      <c r="AP207" s="10" t="n"/>
      <c r="AQ207" s="10" t="n"/>
    </row>
    <row r="208">
      <c r="A208" s="7" t="inlineStr">
        <is>
          <t>b3-0023</t>
        </is>
      </c>
      <c r="B208" s="7" t="inlineStr">
        <is>
          <t>Point</t>
        </is>
      </c>
      <c r="C208" s="7" t="n"/>
      <c r="D208" s="7" t="inlineStr">
        <is>
          <t>c. 976 B.C.E.</t>
        </is>
      </c>
      <c r="E208" s="7" t="inlineStr">
        <is>
          <t>சுமார் கி.மு. 976</t>
        </is>
      </c>
      <c r="F208" s="7" t="inlineStr">
        <is>
          <t>976 BCE</t>
        </is>
      </c>
      <c r="G208" s="7" t="inlineStr">
        <is>
          <t>Approx. (c.)</t>
        </is>
      </c>
      <c r="H208" s="7" t="n"/>
      <c r="I208" s="7" t="n"/>
      <c r="J208" s="7" t="n"/>
      <c r="K208" s="2" t="inlineStr">
        <is>
          <t>Nadab becomes king of Israel (2 years)</t>
        </is>
      </c>
      <c r="L208" s="2" t="inlineStr">
        <is>
          <t>நாதாப்: 2 வருஷங்கள்</t>
        </is>
      </c>
      <c r="M208" s="7" t="inlineStr">
        <is>
          <t>Nadab begins to reign over the northern ten-tribe kingdom of Israel; the NWT chart gives a reign of 2 years.</t>
        </is>
      </c>
      <c r="N208" s="7" t="inlineStr">
        <is>
          <t>யெரொபெயாமுக்குப் பின் நாதாப் இஸ்ரவேலின் அரசனாகிறான்</t>
        </is>
      </c>
      <c r="O208" s="8" t="inlineStr">
        <is>
          <t>Bible</t>
        </is>
      </c>
      <c r="P208" s="7" t="inlineStr">
        <is>
          <t>bible.monarchy</t>
        </is>
      </c>
      <c r="Q208" s="7" t="inlineStr">
        <is>
          <t>accession</t>
        </is>
      </c>
      <c r="R208" s="7" t="inlineStr">
        <is>
          <t>Nadab</t>
        </is>
      </c>
      <c r="S208" s="7" t="inlineStr">
        <is>
          <t>Israel</t>
        </is>
      </c>
      <c r="T208" s="7" t="inlineStr">
        <is>
          <t>1 Ki. 14:20</t>
        </is>
      </c>
      <c r="U208" s="7" t="inlineStr">
        <is>
          <t>1 இரா. 14:20</t>
        </is>
      </c>
      <c r="V208" s="7" t="n">
        <v>3</v>
      </c>
      <c r="W208" s="7" t="inlineStr">
        <is>
          <t>A6-A Chart: Prophets and Kings of Judah and of Israel (Part 1)</t>
        </is>
      </c>
      <c r="X208" s="9" t="inlineStr">
        <is>
          <t>open</t>
        </is>
      </c>
      <c r="Y208" s="9" t="inlineStr">
        <is>
          <t>open</t>
        </is>
      </c>
      <c r="Z208" s="7" t="inlineStr">
        <is>
          <t>https://wol.jw.org/en/wol/d/r1/lp-e/1001070206
https://wol.jw.org/en/wol/d/r1/lp-e/1101990130
https://wol.jw.org/en/wol/d/r1/lp-e/1200000970</t>
        </is>
      </c>
      <c r="AA208" s="7" t="n">
        <v>2</v>
      </c>
      <c r="AB208" s="9" t="inlineStr">
        <is>
          <t>open</t>
        </is>
      </c>
      <c r="AC208" s="7" t="n">
        <v>0</v>
      </c>
      <c r="AD208" s="7" t="n"/>
      <c r="AE208" s="7" t="n"/>
      <c r="AF208" s="7" t="n"/>
      <c r="AG208" s="7" t="n"/>
      <c r="AH208" s="7" t="n"/>
      <c r="AI208" s="7" t="inlineStr">
        <is>
          <t>Covered by span – hide on chart</t>
        </is>
      </c>
      <c r="AJ208" s="7" t="inlineStr">
        <is>
          <t>end of Reign of Jeroboam (Israel) (d1-0052); start of Reign of Nadab (Israel) (d1-0053)</t>
        </is>
      </c>
      <c r="AK208" s="7" t="n"/>
      <c r="AL208" s="7" t="n"/>
      <c r="AM208" s="7" t="n">
        <v>-975.5</v>
      </c>
      <c r="AN208" s="10" t="n"/>
      <c r="AO208" s="10" t="n"/>
      <c r="AP208" s="10" t="n"/>
      <c r="AQ208" s="10" t="n"/>
    </row>
    <row r="209">
      <c r="A209" s="7" t="inlineStr">
        <is>
          <t>d1-0053</t>
        </is>
      </c>
      <c r="B209" s="11" t="inlineStr">
        <is>
          <t>Span</t>
        </is>
      </c>
      <c r="C209" s="7" t="inlineStr">
        <is>
          <t>reign</t>
        </is>
      </c>
      <c r="D209" s="7" t="inlineStr">
        <is>
          <t>c. 976 B.C.E. – c. 975 B.C.E.</t>
        </is>
      </c>
      <c r="E209" s="7" t="inlineStr">
        <is>
          <t>சுமார் கி.மு. 976 – சுமார் கி.மு. 975</t>
        </is>
      </c>
      <c r="F209" s="7" t="inlineStr">
        <is>
          <t>976 BCE</t>
        </is>
      </c>
      <c r="G209" s="7" t="inlineStr">
        <is>
          <t>Approx. (c.)</t>
        </is>
      </c>
      <c r="H209" s="7" t="inlineStr">
        <is>
          <t>975 BCE</t>
        </is>
      </c>
      <c r="I209" s="7" t="inlineStr">
        <is>
          <t>Approx. (c.)</t>
        </is>
      </c>
      <c r="J209" s="7" t="inlineStr">
        <is>
          <t>2 years</t>
        </is>
      </c>
      <c r="K209" s="2" t="inlineStr">
        <is>
          <t>Reign of Nadab (Israel)</t>
        </is>
      </c>
      <c r="L209" s="2" t="n"/>
      <c r="M209" s="7" t="inlineStr">
        <is>
          <t>Nadab rules Israel. Starts with Nadab becomes king of Israel (2 years) (c. 976 B.C.E.); ends when Baasha becomes king (b3-0024), as laid out in NWT Appendix A6.</t>
        </is>
      </c>
      <c r="N209" s="7" t="n"/>
      <c r="O209" s="8" t="inlineStr">
        <is>
          <t>Bible</t>
        </is>
      </c>
      <c r="P209" s="7" t="inlineStr">
        <is>
          <t>bible.monarchy</t>
        </is>
      </c>
      <c r="Q209" s="7" t="inlineStr">
        <is>
          <t>reign</t>
        </is>
      </c>
      <c r="R209" s="7" t="inlineStr">
        <is>
          <t>Nadab</t>
        </is>
      </c>
      <c r="S209" s="7" t="inlineStr">
        <is>
          <t>Israel</t>
        </is>
      </c>
      <c r="T209" s="7" t="inlineStr">
        <is>
          <t>1 Ki. 14:20; 1 Ki. 15:33</t>
        </is>
      </c>
      <c r="U209" s="7" t="inlineStr">
        <is>
          <t>1 இரா. 14:20; 1 இரா. 15:33</t>
        </is>
      </c>
      <c r="V209" s="7" t="n">
        <v>3</v>
      </c>
      <c r="W209" s="7" t="inlineStr">
        <is>
          <t>A6-A Chart: Prophets and Kings of Judah and of Israel (Part 1)</t>
        </is>
      </c>
      <c r="X209" s="9" t="inlineStr">
        <is>
          <t>open</t>
        </is>
      </c>
      <c r="Y209" s="9" t="inlineStr">
        <is>
          <t>open</t>
        </is>
      </c>
      <c r="Z209" s="7" t="inlineStr">
        <is>
          <t>https://wol.jw.org/en/wol/d/r1/lp-e/1001070206
https://wol.jw.org/en/wol/d/r1/lp-e/1101990130
https://wol.jw.org/en/wol/d/r1/lp-e/1200000970</t>
        </is>
      </c>
      <c r="AA209" s="7" t="n">
        <v>0</v>
      </c>
      <c r="AB209" s="7" t="n"/>
      <c r="AC209" s="7" t="n">
        <v>0</v>
      </c>
      <c r="AD209" s="7" t="n"/>
      <c r="AE209" s="7" t="inlineStr">
        <is>
          <t>Start b3-0023; ends when Baasha becomes king (b3-0024), as laid out in NWT Appendix A6.</t>
        </is>
      </c>
      <c r="AF209" s="7" t="inlineStr">
        <is>
          <t>b3-0023</t>
        </is>
      </c>
      <c r="AG209" s="7" t="inlineStr">
        <is>
          <t>b3-0024</t>
        </is>
      </c>
      <c r="AH209" s="7" t="n"/>
      <c r="AI209" s="7" t="n"/>
      <c r="AJ209" s="7" t="n"/>
      <c r="AK209" s="7" t="inlineStr">
        <is>
          <t>kings-of-israel #2 (ruler); prophets-and-kings-a6 #23 (ruler)</t>
        </is>
      </c>
      <c r="AL209" s="7" t="n"/>
      <c r="AM209" s="7" t="n">
        <v>-975.5</v>
      </c>
      <c r="AN209" s="10" t="n"/>
      <c r="AO209" s="10" t="n"/>
      <c r="AP209" s="10" t="n"/>
      <c r="AQ209" s="10" t="n"/>
    </row>
    <row r="210">
      <c r="A210" s="7" t="inlineStr">
        <is>
          <t>b3-0024</t>
        </is>
      </c>
      <c r="B210" s="7" t="inlineStr">
        <is>
          <t>Point</t>
        </is>
      </c>
      <c r="C210" s="7" t="n"/>
      <c r="D210" s="7" t="inlineStr">
        <is>
          <t>c. 975 B.C.E.</t>
        </is>
      </c>
      <c r="E210" s="7" t="inlineStr">
        <is>
          <t>சுமார் கி.மு. 975</t>
        </is>
      </c>
      <c r="F210" s="7" t="inlineStr">
        <is>
          <t>975 BCE</t>
        </is>
      </c>
      <c r="G210" s="7" t="inlineStr">
        <is>
          <t>Approx. (c.)</t>
        </is>
      </c>
      <c r="H210" s="7" t="n"/>
      <c r="I210" s="7" t="n"/>
      <c r="J210" s="7" t="n"/>
      <c r="K210" s="2" t="inlineStr">
        <is>
          <t>Baasha becomes king of Israel (24 years)</t>
        </is>
      </c>
      <c r="L210" s="2" t="inlineStr">
        <is>
          <t>பாஷா: 24 வருஷங்கள்</t>
        </is>
      </c>
      <c r="M210" s="7" t="inlineStr">
        <is>
          <t>Baasha begins to reign over the northern ten-tribe kingdom of Israel; the NWT chart gives a reign of 24 years.</t>
        </is>
      </c>
      <c r="N210" s="7" t="inlineStr">
        <is>
          <t>நாதாபுக்குப் பின் பாஷா இஸ்ரவேலின் அரசனாகிறான்</t>
        </is>
      </c>
      <c r="O210" s="8" t="inlineStr">
        <is>
          <t>Bible</t>
        </is>
      </c>
      <c r="P210" s="7" t="inlineStr">
        <is>
          <t>bible.monarchy</t>
        </is>
      </c>
      <c r="Q210" s="7" t="inlineStr">
        <is>
          <t>accession</t>
        </is>
      </c>
      <c r="R210" s="7" t="inlineStr">
        <is>
          <t>Baasha</t>
        </is>
      </c>
      <c r="S210" s="7" t="inlineStr">
        <is>
          <t>Israel</t>
        </is>
      </c>
      <c r="T210" s="7" t="inlineStr">
        <is>
          <t>1 Ki. 15:33</t>
        </is>
      </c>
      <c r="U210" s="7" t="inlineStr">
        <is>
          <t>1 இரா. 15:33</t>
        </is>
      </c>
      <c r="V210" s="7" t="n">
        <v>3</v>
      </c>
      <c r="W210" s="7" t="inlineStr">
        <is>
          <t>A6-A Chart: Prophets and Kings of Judah and of Israel (Part 1)</t>
        </is>
      </c>
      <c r="X210" s="9" t="inlineStr">
        <is>
          <t>open</t>
        </is>
      </c>
      <c r="Y210" s="9" t="inlineStr">
        <is>
          <t>open</t>
        </is>
      </c>
      <c r="Z210" s="7" t="inlineStr">
        <is>
          <t>https://wol.jw.org/en/wol/d/r1/lp-e/1001070206
https://wol.jw.org/en/wol/d/r1/lp-e/1101990130
https://wol.jw.org/en/wol/d/r1/lp-e/1200000970</t>
        </is>
      </c>
      <c r="AA210" s="7" t="n">
        <v>2</v>
      </c>
      <c r="AB210" s="9" t="inlineStr">
        <is>
          <t>open</t>
        </is>
      </c>
      <c r="AC210" s="7" t="n">
        <v>0</v>
      </c>
      <c r="AD210" s="7" t="n"/>
      <c r="AE210" s="7" t="n"/>
      <c r="AF210" s="7" t="n"/>
      <c r="AG210" s="7" t="n"/>
      <c r="AH210" s="7" t="n"/>
      <c r="AI210" s="7" t="inlineStr">
        <is>
          <t>Covered by span – hide on chart</t>
        </is>
      </c>
      <c r="AJ210" s="7" t="inlineStr">
        <is>
          <t>end of Reign of Nadab (Israel) (d1-0053); start of Reign of Baasha (Israel) (d1-0054)</t>
        </is>
      </c>
      <c r="AK210" s="7" t="n"/>
      <c r="AL210" s="7" t="n"/>
      <c r="AM210" s="7" t="n">
        <v>-974.5</v>
      </c>
      <c r="AN210" s="10" t="n"/>
      <c r="AO210" s="10" t="n"/>
      <c r="AP210" s="10" t="n"/>
      <c r="AQ210" s="10" t="n"/>
    </row>
    <row r="211">
      <c r="A211" s="7" t="inlineStr">
        <is>
          <t>d1-0054</t>
        </is>
      </c>
      <c r="B211" s="11" t="inlineStr">
        <is>
          <t>Span</t>
        </is>
      </c>
      <c r="C211" s="7" t="inlineStr">
        <is>
          <t>reign</t>
        </is>
      </c>
      <c r="D211" s="7" t="inlineStr">
        <is>
          <t>c. 975 B.C.E. – c. 952 B.C.E.</t>
        </is>
      </c>
      <c r="E211" s="7" t="inlineStr">
        <is>
          <t>சுமார் கி.மு. 975 – சுமார் கி.மு. 952</t>
        </is>
      </c>
      <c r="F211" s="7" t="inlineStr">
        <is>
          <t>975 BCE</t>
        </is>
      </c>
      <c r="G211" s="7" t="inlineStr">
        <is>
          <t>Approx. (c.)</t>
        </is>
      </c>
      <c r="H211" s="7" t="inlineStr">
        <is>
          <t>952 BCE</t>
        </is>
      </c>
      <c r="I211" s="7" t="inlineStr">
        <is>
          <t>Approx. (c.)</t>
        </is>
      </c>
      <c r="J211" s="7" t="inlineStr">
        <is>
          <t>24 years</t>
        </is>
      </c>
      <c r="K211" s="2" t="inlineStr">
        <is>
          <t>Reign of Baasha (Israel)</t>
        </is>
      </c>
      <c r="L211" s="2" t="n"/>
      <c r="M211" s="7" t="inlineStr">
        <is>
          <t>Baasha rules Israel. Starts with Baasha becomes king of Israel (24 years) (c. 975 B.C.E.); ends when Elah becomes king (b3-0027), as laid out in NWT Appendix A6.</t>
        </is>
      </c>
      <c r="N211" s="7" t="n"/>
      <c r="O211" s="8" t="inlineStr">
        <is>
          <t>Bible</t>
        </is>
      </c>
      <c r="P211" s="7" t="inlineStr">
        <is>
          <t>bible.monarchy</t>
        </is>
      </c>
      <c r="Q211" s="7" t="inlineStr">
        <is>
          <t>reign</t>
        </is>
      </c>
      <c r="R211" s="7" t="inlineStr">
        <is>
          <t>Baasha</t>
        </is>
      </c>
      <c r="S211" s="7" t="inlineStr">
        <is>
          <t>Israel</t>
        </is>
      </c>
      <c r="T211" s="7" t="inlineStr">
        <is>
          <t>1 Ki. 15:33; 1 Ki. 16:8</t>
        </is>
      </c>
      <c r="U211" s="7" t="inlineStr">
        <is>
          <t>1 இரா. 15:33; 1 இரா. 16:8</t>
        </is>
      </c>
      <c r="V211" s="7" t="n">
        <v>3</v>
      </c>
      <c r="W211" s="7" t="inlineStr">
        <is>
          <t>A6-A Chart: Prophets and Kings of Judah and of Israel (Part 1)</t>
        </is>
      </c>
      <c r="X211" s="9" t="inlineStr">
        <is>
          <t>open</t>
        </is>
      </c>
      <c r="Y211" s="9" t="inlineStr">
        <is>
          <t>open</t>
        </is>
      </c>
      <c r="Z211" s="7" t="inlineStr">
        <is>
          <t>https://wol.jw.org/en/wol/d/r1/lp-e/1001070206
https://wol.jw.org/en/wol/d/r1/lp-e/1101990130
https://wol.jw.org/en/wol/d/r1/lp-e/1200000970</t>
        </is>
      </c>
      <c r="AA211" s="7" t="n">
        <v>0</v>
      </c>
      <c r="AB211" s="7" t="n"/>
      <c r="AC211" s="7" t="n">
        <v>0</v>
      </c>
      <c r="AD211" s="7" t="n"/>
      <c r="AE211" s="7" t="inlineStr">
        <is>
          <t>Start b3-0024; ends when Elah becomes king (b3-0027), as laid out in NWT Appendix A6.</t>
        </is>
      </c>
      <c r="AF211" s="7" t="inlineStr">
        <is>
          <t>b3-0024</t>
        </is>
      </c>
      <c r="AG211" s="7" t="inlineStr">
        <is>
          <t>b3-0027</t>
        </is>
      </c>
      <c r="AH211" s="7" t="n"/>
      <c r="AI211" s="7" t="n"/>
      <c r="AJ211" s="7" t="n"/>
      <c r="AK211" s="7" t="inlineStr">
        <is>
          <t>kings-of-israel #3 (ruler); prophets-and-kings-a6 #24 (ruler)</t>
        </is>
      </c>
      <c r="AL211" s="7" t="n"/>
      <c r="AM211" s="7" t="n">
        <v>-974.5</v>
      </c>
      <c r="AN211" s="10" t="n"/>
      <c r="AO211" s="10" t="n"/>
      <c r="AP211" s="10" t="n"/>
      <c r="AQ211" s="10" t="n"/>
    </row>
    <row r="212">
      <c r="A212" s="7" t="inlineStr">
        <is>
          <t>b3-0025</t>
        </is>
      </c>
      <c r="B212" s="7" t="inlineStr">
        <is>
          <t>Point</t>
        </is>
      </c>
      <c r="C212" s="7" t="n"/>
      <c r="D212" s="7" t="inlineStr">
        <is>
          <t>967 B.C.E.</t>
        </is>
      </c>
      <c r="E212" s="7" t="n"/>
      <c r="F212" s="7" t="inlineStr">
        <is>
          <t>967 BCE</t>
        </is>
      </c>
      <c r="G212" s="7" t="inlineStr">
        <is>
          <t>Exact</t>
        </is>
      </c>
      <c r="H212" s="7" t="n"/>
      <c r="I212" s="7" t="n"/>
      <c r="J212" s="7" t="n"/>
      <c r="K212" s="2" t="inlineStr">
        <is>
          <t>Zerah the Ethiopian comes against Judah</t>
        </is>
      </c>
      <c r="L212" s="2" t="n"/>
      <c r="M212" s="7" t="inlineStr">
        <is>
          <t>After ten years of peace in Asa’s reign, Zerah the Ethiopian comes against Judah in war.</t>
        </is>
      </c>
      <c r="N212" s="7" t="n"/>
      <c r="O212" s="8" t="inlineStr">
        <is>
          <t>Bible</t>
        </is>
      </c>
      <c r="P212" s="7" t="inlineStr">
        <is>
          <t>bible.monarchy</t>
        </is>
      </c>
      <c r="Q212" s="7" t="inlineStr">
        <is>
          <t>battle</t>
        </is>
      </c>
      <c r="R212" s="7" t="inlineStr">
        <is>
          <t>Zerah; Asa</t>
        </is>
      </c>
      <c r="S212" s="7" t="inlineStr">
        <is>
          <t>Judah</t>
        </is>
      </c>
      <c r="T212" s="7" t="inlineStr">
        <is>
          <t>2 Chron. 14:1; 2 Chron. 14:9</t>
        </is>
      </c>
      <c r="U212" s="7" t="inlineStr">
        <is>
          <t>2 நா. 14:1; 2 நா. 14:9</t>
        </is>
      </c>
      <c r="V212" s="7" t="n">
        <v>2</v>
      </c>
      <c r="W212" s="7" t="inlineStr">
        <is>
          <t>Chronology</t>
        </is>
      </c>
      <c r="X212" s="9" t="inlineStr">
        <is>
          <t>open</t>
        </is>
      </c>
      <c r="Y212" s="7" t="n"/>
      <c r="Z212" s="7" t="inlineStr">
        <is>
          <t>https://wol.jw.org/en/wol/d/r1/lp-e/1200000970
https://wol.jw.org/en/wol/d/r1/lp-e/1200010959</t>
        </is>
      </c>
      <c r="AA212" s="7" t="n">
        <v>0</v>
      </c>
      <c r="AB212" s="7" t="n"/>
      <c r="AC212" s="7" t="n">
        <v>0</v>
      </c>
      <c r="AD212" s="7" t="n"/>
      <c r="AE212" s="7" t="n"/>
      <c r="AF212" s="7" t="n"/>
      <c r="AG212" s="7" t="n"/>
      <c r="AH212" s="7" t="n"/>
      <c r="AI212" s="7" t="n"/>
      <c r="AJ212" s="7" t="n"/>
      <c r="AK212" s="7" t="n"/>
      <c r="AL212" s="7" t="n"/>
      <c r="AM212" s="7" t="n">
        <v>-967</v>
      </c>
      <c r="AN212" s="10" t="n"/>
      <c r="AO212" s="10" t="n"/>
      <c r="AP212" s="10" t="n"/>
      <c r="AQ212" s="10" t="n"/>
    </row>
    <row r="213">
      <c r="A213" s="7" t="inlineStr">
        <is>
          <t>b3-0026</t>
        </is>
      </c>
      <c r="B213" s="7" t="inlineStr">
        <is>
          <t>Point</t>
        </is>
      </c>
      <c r="C213" s="7" t="n"/>
      <c r="D213" s="7" t="inlineStr">
        <is>
          <t>962 B.C.E.</t>
        </is>
      </c>
      <c r="E213" s="7" t="n"/>
      <c r="F213" s="7" t="inlineStr">
        <is>
          <t>962 BCE</t>
        </is>
      </c>
      <c r="G213" s="7" t="inlineStr">
        <is>
          <t>Exact</t>
        </is>
      </c>
      <c r="H213" s="7" t="n"/>
      <c r="I213" s="7" t="n"/>
      <c r="J213" s="7" t="n"/>
      <c r="K213" s="2" t="inlineStr">
        <is>
          <t>Baasha comes up to build Ramah</t>
        </is>
      </c>
      <c r="L213" s="2" t="n"/>
      <c r="M213" s="7" t="inlineStr">
        <is>
          <t>In the 36th year from the division of the kingdom (counted as Asa’s 16th year), Baasha of Israel comes against Judah to build Ramah.</t>
        </is>
      </c>
      <c r="N213" s="7" t="n"/>
      <c r="O213" s="8" t="inlineStr">
        <is>
          <t>Bible</t>
        </is>
      </c>
      <c r="P213" s="7" t="inlineStr">
        <is>
          <t>bible.monarchy</t>
        </is>
      </c>
      <c r="Q213" s="7" t="inlineStr">
        <is>
          <t>war</t>
        </is>
      </c>
      <c r="R213" s="7" t="inlineStr">
        <is>
          <t>Baasha; Asa</t>
        </is>
      </c>
      <c r="S213" s="7" t="inlineStr">
        <is>
          <t>Ramah</t>
        </is>
      </c>
      <c r="T213" s="7" t="inlineStr">
        <is>
          <t>2 Chron. 16:1</t>
        </is>
      </c>
      <c r="U213" s="7" t="inlineStr">
        <is>
          <t>2 நா. 16:1</t>
        </is>
      </c>
      <c r="V213" s="7" t="n">
        <v>1</v>
      </c>
      <c r="W213" s="7" t="inlineStr">
        <is>
          <t>Chronology</t>
        </is>
      </c>
      <c r="X213" s="9" t="inlineStr">
        <is>
          <t>open</t>
        </is>
      </c>
      <c r="Y213" s="7" t="n"/>
      <c r="Z213" s="7" t="inlineStr">
        <is>
          <t>https://wol.jw.org/en/wol/d/r1/lp-e/1200010959</t>
        </is>
      </c>
      <c r="AA213" s="7" t="n">
        <v>0</v>
      </c>
      <c r="AB213" s="7" t="n"/>
      <c r="AC213" s="7" t="n">
        <v>0</v>
      </c>
      <c r="AD213" s="7" t="n"/>
      <c r="AE213" s="7" t="n"/>
      <c r="AF213" s="7" t="n"/>
      <c r="AG213" s="7" t="n"/>
      <c r="AH213" s="7" t="n"/>
      <c r="AI213" s="7" t="n"/>
      <c r="AJ213" s="7" t="n"/>
      <c r="AK213" s="7" t="n"/>
      <c r="AL213" s="7" t="inlineStr">
        <is>
          <t>Dated only in the older Aid to Bible Understanding (1971) chart; not shown in the current Insight chart.</t>
        </is>
      </c>
      <c r="AM213" s="7" t="n">
        <v>-962</v>
      </c>
      <c r="AN213" s="10" t="n"/>
      <c r="AO213" s="10" t="n"/>
      <c r="AP213" s="10" t="n"/>
      <c r="AQ213" s="10" t="n"/>
    </row>
    <row r="214">
      <c r="A214" s="7" t="inlineStr">
        <is>
          <t>b3-0027</t>
        </is>
      </c>
      <c r="B214" s="7" t="inlineStr">
        <is>
          <t>Point</t>
        </is>
      </c>
      <c r="C214" s="7" t="n"/>
      <c r="D214" s="7" t="inlineStr">
        <is>
          <t>c. 952 B.C.E.</t>
        </is>
      </c>
      <c r="E214" s="7" t="inlineStr">
        <is>
          <t>சுமார் கி.மு. 952</t>
        </is>
      </c>
      <c r="F214" s="7" t="inlineStr">
        <is>
          <t>952 BCE</t>
        </is>
      </c>
      <c r="G214" s="7" t="inlineStr">
        <is>
          <t>Approx. (c.)</t>
        </is>
      </c>
      <c r="H214" s="7" t="n"/>
      <c r="I214" s="7" t="n"/>
      <c r="J214" s="7" t="n"/>
      <c r="K214" s="2" t="inlineStr">
        <is>
          <t>Elah becomes king of Israel (2 years)</t>
        </is>
      </c>
      <c r="L214" s="2" t="inlineStr">
        <is>
          <t>ஏலா: 2 வருஷங்கள்</t>
        </is>
      </c>
      <c r="M214" s="7" t="inlineStr">
        <is>
          <t>Elah begins to reign over the northern ten-tribe kingdom of Israel; the NWT chart gives a reign of 2 years.</t>
        </is>
      </c>
      <c r="N214" s="7" t="inlineStr">
        <is>
          <t>பாஷாவுக்குப் பின் ஏலா இஸ்ரவேலின் அரசனாகிறார்</t>
        </is>
      </c>
      <c r="O214" s="8" t="inlineStr">
        <is>
          <t>Bible</t>
        </is>
      </c>
      <c r="P214" s="7" t="inlineStr">
        <is>
          <t>bible.monarchy</t>
        </is>
      </c>
      <c r="Q214" s="7" t="inlineStr">
        <is>
          <t>accession</t>
        </is>
      </c>
      <c r="R214" s="7" t="inlineStr">
        <is>
          <t>Elah</t>
        </is>
      </c>
      <c r="S214" s="7" t="inlineStr">
        <is>
          <t>Israel</t>
        </is>
      </c>
      <c r="T214" s="7" t="inlineStr">
        <is>
          <t>1 Ki. 16:8</t>
        </is>
      </c>
      <c r="U214" s="7" t="inlineStr">
        <is>
          <t>1 இரா. 16:8</t>
        </is>
      </c>
      <c r="V214" s="7" t="n">
        <v>3</v>
      </c>
      <c r="W214" s="7" t="inlineStr">
        <is>
          <t>A6-A Chart: Prophets and Kings of Judah and of Israel (Part 1)</t>
        </is>
      </c>
      <c r="X214" s="9" t="inlineStr">
        <is>
          <t>open</t>
        </is>
      </c>
      <c r="Y214" s="9" t="inlineStr">
        <is>
          <t>open</t>
        </is>
      </c>
      <c r="Z214" s="7" t="inlineStr">
        <is>
          <t>https://wol.jw.org/en/wol/d/r1/lp-e/1001070206
https://wol.jw.org/en/wol/d/r1/lp-e/1101990130
https://wol.jw.org/en/wol/d/r1/lp-e/1200000970</t>
        </is>
      </c>
      <c r="AA214" s="7" t="n">
        <v>2</v>
      </c>
      <c r="AB214" s="9" t="inlineStr">
        <is>
          <t>open</t>
        </is>
      </c>
      <c r="AC214" s="7" t="n">
        <v>0</v>
      </c>
      <c r="AD214" s="7" t="n"/>
      <c r="AE214" s="7" t="n"/>
      <c r="AF214" s="7" t="n"/>
      <c r="AG214" s="7" t="n"/>
      <c r="AH214" s="7" t="n"/>
      <c r="AI214" s="7" t="inlineStr">
        <is>
          <t>Covered by span – hide on chart</t>
        </is>
      </c>
      <c r="AJ214" s="7" t="inlineStr">
        <is>
          <t>end of Reign of Baasha (Israel) (d1-0054); start of Reign of Elah (Israel) (d1-0055)</t>
        </is>
      </c>
      <c r="AK214" s="7" t="n"/>
      <c r="AL214" s="7" t="n"/>
      <c r="AM214" s="7" t="n">
        <v>-951.5</v>
      </c>
      <c r="AN214" s="10" t="n"/>
      <c r="AO214" s="10" t="n"/>
      <c r="AP214" s="10" t="n"/>
      <c r="AQ214" s="10" t="n"/>
    </row>
    <row r="215">
      <c r="A215" s="7" t="inlineStr">
        <is>
          <t>d1-0055</t>
        </is>
      </c>
      <c r="B215" s="11" t="inlineStr">
        <is>
          <t>Span</t>
        </is>
      </c>
      <c r="C215" s="7" t="inlineStr">
        <is>
          <t>reign</t>
        </is>
      </c>
      <c r="D215" s="7" t="inlineStr">
        <is>
          <t>c. 952 B.C.E. – c. 951 B.C.E.</t>
        </is>
      </c>
      <c r="E215" s="7" t="inlineStr">
        <is>
          <t>சுமார் கி.மு. 952 – சுமார் கி.மு. 951</t>
        </is>
      </c>
      <c r="F215" s="7" t="inlineStr">
        <is>
          <t>952 BCE</t>
        </is>
      </c>
      <c r="G215" s="7" t="inlineStr">
        <is>
          <t>Approx. (c.)</t>
        </is>
      </c>
      <c r="H215" s="7" t="inlineStr">
        <is>
          <t>951 BCE</t>
        </is>
      </c>
      <c r="I215" s="7" t="inlineStr">
        <is>
          <t>Approx. (c.)</t>
        </is>
      </c>
      <c r="J215" s="7" t="inlineStr">
        <is>
          <t>2 years</t>
        </is>
      </c>
      <c r="K215" s="2" t="inlineStr">
        <is>
          <t>Reign of Elah (Israel)</t>
        </is>
      </c>
      <c r="L215" s="2" t="n"/>
      <c r="M215" s="7" t="inlineStr">
        <is>
          <t>Elah rules Israel. Starts with Elah becomes king of Israel (2 years) (c. 952 B.C.E.); ends when Zimri becomes king (b3-0028), as laid out in NWT Appendix A6.</t>
        </is>
      </c>
      <c r="N215" s="7" t="n"/>
      <c r="O215" s="8" t="inlineStr">
        <is>
          <t>Bible</t>
        </is>
      </c>
      <c r="P215" s="7" t="inlineStr">
        <is>
          <t>bible.monarchy</t>
        </is>
      </c>
      <c r="Q215" s="7" t="inlineStr">
        <is>
          <t>reign</t>
        </is>
      </c>
      <c r="R215" s="7" t="inlineStr">
        <is>
          <t>Elah</t>
        </is>
      </c>
      <c r="S215" s="7" t="inlineStr">
        <is>
          <t>Israel</t>
        </is>
      </c>
      <c r="T215" s="7" t="inlineStr">
        <is>
          <t>1 Ki. 16:8; 1 Ki. 16:15</t>
        </is>
      </c>
      <c r="U215" s="7" t="inlineStr">
        <is>
          <t>1 இரா. 16:8; 1 இரா. 16:15</t>
        </is>
      </c>
      <c r="V215" s="7" t="n">
        <v>3</v>
      </c>
      <c r="W215" s="7" t="inlineStr">
        <is>
          <t>A6-A Chart: Prophets and Kings of Judah and of Israel (Part 1)</t>
        </is>
      </c>
      <c r="X215" s="9" t="inlineStr">
        <is>
          <t>open</t>
        </is>
      </c>
      <c r="Y215" s="9" t="inlineStr">
        <is>
          <t>open</t>
        </is>
      </c>
      <c r="Z215" s="7" t="inlineStr">
        <is>
          <t>https://wol.jw.org/en/wol/d/r1/lp-e/1001070206
https://wol.jw.org/en/wol/d/r1/lp-e/1101990130
https://wol.jw.org/en/wol/d/r1/lp-e/1200000970</t>
        </is>
      </c>
      <c r="AA215" s="7" t="n">
        <v>0</v>
      </c>
      <c r="AB215" s="7" t="n"/>
      <c r="AC215" s="7" t="n">
        <v>0</v>
      </c>
      <c r="AD215" s="7" t="n"/>
      <c r="AE215" s="7" t="inlineStr">
        <is>
          <t>Start b3-0027; ends when Zimri becomes king (b3-0028), as laid out in NWT Appendix A6.</t>
        </is>
      </c>
      <c r="AF215" s="7" t="inlineStr">
        <is>
          <t>b3-0027</t>
        </is>
      </c>
      <c r="AG215" s="7" t="inlineStr">
        <is>
          <t>b3-0028</t>
        </is>
      </c>
      <c r="AH215" s="7" t="n"/>
      <c r="AI215" s="7" t="n"/>
      <c r="AJ215" s="7" t="n"/>
      <c r="AK215" s="7" t="inlineStr">
        <is>
          <t>kings-of-israel #4 (ruler); prophets-and-kings-a6 #25 (ruler)</t>
        </is>
      </c>
      <c r="AL215" s="7" t="n"/>
      <c r="AM215" s="7" t="n">
        <v>-951.5</v>
      </c>
      <c r="AN215" s="10" t="n"/>
      <c r="AO215" s="10" t="n"/>
      <c r="AP215" s="10" t="n"/>
      <c r="AQ215" s="10" t="n"/>
    </row>
    <row r="216">
      <c r="A216" s="7" t="inlineStr">
        <is>
          <t>b3-0028</t>
        </is>
      </c>
      <c r="B216" s="7" t="inlineStr">
        <is>
          <t>Point</t>
        </is>
      </c>
      <c r="C216" s="7" t="n"/>
      <c r="D216" s="7" t="inlineStr">
        <is>
          <t>c. 951 B.C.E.</t>
        </is>
      </c>
      <c r="E216" s="7" t="inlineStr">
        <is>
          <t>சுமார் கி.மு. 951</t>
        </is>
      </c>
      <c r="F216" s="7" t="inlineStr">
        <is>
          <t>951 BCE</t>
        </is>
      </c>
      <c r="G216" s="7" t="inlineStr">
        <is>
          <t>Approx. (c.)</t>
        </is>
      </c>
      <c r="H216" s="7" t="n"/>
      <c r="I216" s="7" t="n"/>
      <c r="J216" s="7" t="n"/>
      <c r="K216" s="2" t="inlineStr">
        <is>
          <t>Zimri becomes king of Israel (7 days)</t>
        </is>
      </c>
      <c r="L216" s="2" t="inlineStr">
        <is>
          <t>சிம்ரி: 7 நாட்கள் (சுமார் 951)</t>
        </is>
      </c>
      <c r="M216" s="7" t="inlineStr">
        <is>
          <t>Zimri begins to reign over the northern ten-tribe kingdom of Israel; the NWT chart gives a reign of 7 days. Zimri murdered Elah and later took his own life.</t>
        </is>
      </c>
      <c r="N216" s="7" t="inlineStr">
        <is>
          <t>ஏலாவுக்குப் பின் சிம்ரி இஸ்ரவேலின் அரசனாகிறான்</t>
        </is>
      </c>
      <c r="O216" s="8" t="inlineStr">
        <is>
          <t>Bible</t>
        </is>
      </c>
      <c r="P216" s="7" t="inlineStr">
        <is>
          <t>bible.monarchy</t>
        </is>
      </c>
      <c r="Q216" s="7" t="inlineStr">
        <is>
          <t>accession</t>
        </is>
      </c>
      <c r="R216" s="7" t="inlineStr">
        <is>
          <t>Zimri</t>
        </is>
      </c>
      <c r="S216" s="7" t="inlineStr">
        <is>
          <t>Israel</t>
        </is>
      </c>
      <c r="T216" s="7" t="inlineStr">
        <is>
          <t>1 Ki. 16:15</t>
        </is>
      </c>
      <c r="U216" s="7" t="inlineStr">
        <is>
          <t>1 இரா. 16:15</t>
        </is>
      </c>
      <c r="V216" s="7" t="n">
        <v>3</v>
      </c>
      <c r="W216" s="7" t="inlineStr">
        <is>
          <t>A6-A Chart: Prophets and Kings of Judah and of Israel (Part 1)</t>
        </is>
      </c>
      <c r="X216" s="9" t="inlineStr">
        <is>
          <t>open</t>
        </is>
      </c>
      <c r="Y216" s="9" t="inlineStr">
        <is>
          <t>open</t>
        </is>
      </c>
      <c r="Z216" s="7" t="inlineStr">
        <is>
          <t>https://wol.jw.org/en/wol/d/r1/lp-e/1001070206
https://wol.jw.org/en/wol/d/r1/lp-e/1101990130
https://wol.jw.org/en/wol/d/r1/lp-e/1200000970</t>
        </is>
      </c>
      <c r="AA216" s="7" t="n">
        <v>2</v>
      </c>
      <c r="AB216" s="9" t="inlineStr">
        <is>
          <t>open</t>
        </is>
      </c>
      <c r="AC216" s="7" t="n">
        <v>0</v>
      </c>
      <c r="AD216" s="7" t="n"/>
      <c r="AE216" s="7" t="n"/>
      <c r="AF216" s="7" t="n"/>
      <c r="AG216" s="7" t="n"/>
      <c r="AH216" s="7" t="n"/>
      <c r="AI216" s="7" t="inlineStr">
        <is>
          <t>Covered by span – hide on chart</t>
        </is>
      </c>
      <c r="AJ216" s="7" t="inlineStr">
        <is>
          <t>end of Reign of Elah (Israel) (d1-0055); start of Reign of Zimri (Israel) (d1-0056)</t>
        </is>
      </c>
      <c r="AK216" s="7" t="n"/>
      <c r="AL216" s="7" t="n"/>
      <c r="AM216" s="7" t="n">
        <v>-950.7</v>
      </c>
      <c r="AN216" s="10" t="n"/>
      <c r="AO216" s="10" t="n"/>
      <c r="AP216" s="10" t="n"/>
      <c r="AQ216" s="10" t="n"/>
    </row>
    <row r="217">
      <c r="A217" s="7" t="inlineStr">
        <is>
          <t>d1-0056</t>
        </is>
      </c>
      <c r="B217" s="11" t="inlineStr">
        <is>
          <t>Span</t>
        </is>
      </c>
      <c r="C217" s="7" t="inlineStr">
        <is>
          <t>reign</t>
        </is>
      </c>
      <c r="D217" s="7" t="inlineStr">
        <is>
          <t>c. 951 B.C.E.</t>
        </is>
      </c>
      <c r="E217" s="7" t="inlineStr">
        <is>
          <t>சுமார் கி.மு. 951 – சுமார் கி.மு. 951</t>
        </is>
      </c>
      <c r="F217" s="7" t="inlineStr">
        <is>
          <t>951 BCE</t>
        </is>
      </c>
      <c r="G217" s="7" t="inlineStr">
        <is>
          <t>Approx. (c.)</t>
        </is>
      </c>
      <c r="H217" s="7" t="inlineStr">
        <is>
          <t>951 BCE</t>
        </is>
      </c>
      <c r="I217" s="7" t="inlineStr">
        <is>
          <t>Approx. (c.)</t>
        </is>
      </c>
      <c r="J217" s="7" t="inlineStr">
        <is>
          <t>7 days</t>
        </is>
      </c>
      <c r="K217" s="2" t="inlineStr">
        <is>
          <t>Reign of Zimri (Israel)</t>
        </is>
      </c>
      <c r="L217" s="2" t="n"/>
      <c r="M217" s="7" t="inlineStr">
        <is>
          <t>Zimri rules Israel. Starts with Zimri becomes king of Israel (7 days) (c. 951 B.C.E.); ends when Omri becomes king (b3-0029), as laid out in NWT Appendix A6.</t>
        </is>
      </c>
      <c r="N217" s="7" t="n"/>
      <c r="O217" s="8" t="inlineStr">
        <is>
          <t>Bible</t>
        </is>
      </c>
      <c r="P217" s="7" t="inlineStr">
        <is>
          <t>bible.monarchy</t>
        </is>
      </c>
      <c r="Q217" s="7" t="inlineStr">
        <is>
          <t>reign</t>
        </is>
      </c>
      <c r="R217" s="7" t="inlineStr">
        <is>
          <t>Zimri</t>
        </is>
      </c>
      <c r="S217" s="7" t="inlineStr">
        <is>
          <t>Israel</t>
        </is>
      </c>
      <c r="T217" s="7" t="inlineStr">
        <is>
          <t>1 Ki. 16:15; 1 Ki. 16:21</t>
        </is>
      </c>
      <c r="U217" s="7" t="inlineStr">
        <is>
          <t>1 இரா. 16:15; 1 இரா. 16:21</t>
        </is>
      </c>
      <c r="V217" s="7" t="n">
        <v>3</v>
      </c>
      <c r="W217" s="7" t="inlineStr">
        <is>
          <t>A6-A Chart: Prophets and Kings of Judah and of Israel (Part 1)</t>
        </is>
      </c>
      <c r="X217" s="9" t="inlineStr">
        <is>
          <t>open</t>
        </is>
      </c>
      <c r="Y217" s="9" t="inlineStr">
        <is>
          <t>open</t>
        </is>
      </c>
      <c r="Z217" s="7" t="inlineStr">
        <is>
          <t>https://wol.jw.org/en/wol/d/r1/lp-e/1001070206
https://wol.jw.org/en/wol/d/r1/lp-e/1101990130
https://wol.jw.org/en/wol/d/r1/lp-e/1200000970</t>
        </is>
      </c>
      <c r="AA217" s="7" t="n">
        <v>0</v>
      </c>
      <c r="AB217" s="7" t="n"/>
      <c r="AC217" s="7" t="n">
        <v>0</v>
      </c>
      <c r="AD217" s="7" t="n"/>
      <c r="AE217" s="7" t="inlineStr">
        <is>
          <t>Start b3-0028; ends when Omri becomes king (b3-0029), as laid out in NWT Appendix A6. Reign shorter than a year: end placed in the accession year using the printed length.</t>
        </is>
      </c>
      <c r="AF217" s="7" t="inlineStr">
        <is>
          <t>b3-0028</t>
        </is>
      </c>
      <c r="AG217" s="7" t="inlineStr">
        <is>
          <t>b3-0029</t>
        </is>
      </c>
      <c r="AH217" s="7" t="n"/>
      <c r="AI217" s="7" t="n"/>
      <c r="AJ217" s="7" t="n"/>
      <c r="AK217" s="7" t="inlineStr">
        <is>
          <t>kings-of-israel #5 (ruler); prophets-and-kings-a6 #26 (ruler)</t>
        </is>
      </c>
      <c r="AL217" s="7" t="n"/>
      <c r="AM217" s="7" t="n">
        <v>-950.7</v>
      </c>
      <c r="AN217" s="10" t="n"/>
      <c r="AO217" s="10" t="n"/>
      <c r="AP217" s="10" t="n"/>
      <c r="AQ217" s="10" t="n"/>
    </row>
    <row r="218">
      <c r="A218" s="7" t="inlineStr">
        <is>
          <t>b3-0029</t>
        </is>
      </c>
      <c r="B218" s="7" t="inlineStr">
        <is>
          <t>Point</t>
        </is>
      </c>
      <c r="C218" s="7" t="n"/>
      <c r="D218" s="7" t="inlineStr">
        <is>
          <t>c. 951 B.C.E.</t>
        </is>
      </c>
      <c r="E218" s="7" t="inlineStr">
        <is>
          <t>சுமார் கி.மு. 951</t>
        </is>
      </c>
      <c r="F218" s="7" t="inlineStr">
        <is>
          <t>951 BCE</t>
        </is>
      </c>
      <c r="G218" s="7" t="inlineStr">
        <is>
          <t>Approx. (c.)</t>
        </is>
      </c>
      <c r="H218" s="7" t="n"/>
      <c r="I218" s="7" t="n"/>
      <c r="J218" s="7" t="n"/>
      <c r="K218" s="2" t="inlineStr">
        <is>
          <t>Omri and Tibni become rival kings of Israel (4 years)</t>
        </is>
      </c>
      <c r="L218" s="2" t="inlineStr">
        <is>
          <t>உம்ரி, திப்னி: 4 வருஷங்கள்</t>
        </is>
      </c>
      <c r="M218" s="7" t="inlineStr">
        <is>
          <t>Omri and Tibni begins to reign over the northern ten-tribe kingdom of Israel; the NWT chart gives a reign of 4 years.</t>
        </is>
      </c>
      <c r="N218" s="7" t="inlineStr">
        <is>
          <t>சிம்ரிக்குப் பின் உம்ரியும் திப்னியும் இஸ்ரவேலின் அரசராகின்றனர்</t>
        </is>
      </c>
      <c r="O218" s="8" t="inlineStr">
        <is>
          <t>Bible</t>
        </is>
      </c>
      <c r="P218" s="7" t="inlineStr">
        <is>
          <t>bible.monarchy</t>
        </is>
      </c>
      <c r="Q218" s="7" t="inlineStr">
        <is>
          <t>accession</t>
        </is>
      </c>
      <c r="R218" s="7" t="inlineStr">
        <is>
          <t>Omri; Tibni</t>
        </is>
      </c>
      <c r="S218" s="7" t="inlineStr">
        <is>
          <t>Israel</t>
        </is>
      </c>
      <c r="T218" s="7" t="inlineStr">
        <is>
          <t>1 Ki. 16:21</t>
        </is>
      </c>
      <c r="U218" s="7" t="inlineStr">
        <is>
          <t>1 இரா. 16:21</t>
        </is>
      </c>
      <c r="V218" s="7" t="n">
        <v>3</v>
      </c>
      <c r="W218" s="7" t="inlineStr">
        <is>
          <t>A6-A Chart: Prophets and Kings of Judah and of Israel (Part 1)</t>
        </is>
      </c>
      <c r="X218" s="9" t="inlineStr">
        <is>
          <t>open</t>
        </is>
      </c>
      <c r="Y218" s="9" t="inlineStr">
        <is>
          <t>open</t>
        </is>
      </c>
      <c r="Z218" s="7" t="inlineStr">
        <is>
          <t>https://wol.jw.org/en/wol/d/r1/lp-e/1001070206
https://wol.jw.org/en/wol/d/r1/lp-e/1101990130
https://wol.jw.org/en/wol/d/r1/lp-e/1200000970</t>
        </is>
      </c>
      <c r="AA218" s="7" t="n">
        <v>2</v>
      </c>
      <c r="AB218" s="9" t="inlineStr">
        <is>
          <t>open</t>
        </is>
      </c>
      <c r="AC218" s="7" t="n">
        <v>0</v>
      </c>
      <c r="AD218" s="7" t="n"/>
      <c r="AE218" s="7" t="n"/>
      <c r="AF218" s="7" t="n"/>
      <c r="AG218" s="7" t="n"/>
      <c r="AH218" s="7" t="n"/>
      <c r="AI218" s="7" t="inlineStr">
        <is>
          <t>Covered by span – hide on chart</t>
        </is>
      </c>
      <c r="AJ218" s="7" t="inlineStr">
        <is>
          <t>end of Reign of Zimri (Israel) (d1-0056); start of Reign of Omri (Israel) (d1-0057)</t>
        </is>
      </c>
      <c r="AK218" s="7" t="n"/>
      <c r="AL218" s="7" t="inlineStr">
        <is>
          <t>A6-A lists "Omri and Tibni: 4 years" after Zimri (c. 951) without a separate year; Insight chart gives Omri a 12-year total reign from c. 951.</t>
        </is>
      </c>
      <c r="AM218" s="7" t="n">
        <v>-950.65</v>
      </c>
      <c r="AN218" s="10" t="n"/>
      <c r="AO218" s="10" t="n"/>
      <c r="AP218" s="10" t="n"/>
      <c r="AQ218" s="10" t="n"/>
    </row>
    <row r="219">
      <c r="A219" s="7" t="inlineStr">
        <is>
          <t>d1-0057</t>
        </is>
      </c>
      <c r="B219" s="11" t="inlineStr">
        <is>
          <t>Span</t>
        </is>
      </c>
      <c r="C219" s="7" t="inlineStr">
        <is>
          <t>reign</t>
        </is>
      </c>
      <c r="D219" s="7" t="inlineStr">
        <is>
          <t>c. 951 B.C.E. – c. 940 B.C.E.</t>
        </is>
      </c>
      <c r="E219" s="7" t="inlineStr">
        <is>
          <t>சுமார் கி.மு. 951 – சுமார் கி.மு. 940</t>
        </is>
      </c>
      <c r="F219" s="7" t="inlineStr">
        <is>
          <t>951 BCE</t>
        </is>
      </c>
      <c r="G219" s="7" t="inlineStr">
        <is>
          <t>Approx. (c.)</t>
        </is>
      </c>
      <c r="H219" s="7" t="inlineStr">
        <is>
          <t>940 BCE</t>
        </is>
      </c>
      <c r="I219" s="7" t="inlineStr">
        <is>
          <t>Approx. (c.)</t>
        </is>
      </c>
      <c r="J219" s="7" t="inlineStr">
        <is>
          <t>c. 11 years</t>
        </is>
      </c>
      <c r="K219" s="2" t="inlineStr">
        <is>
          <t>Reign of Omri (Israel)</t>
        </is>
      </c>
      <c r="L219" s="2" t="n"/>
      <c r="M219" s="7" t="inlineStr">
        <is>
          <t>Omri rules Israel. Starts with Omri and Tibni become rival kings of Israel (4 years) (c. 951 B.C.E.); ends when Ahab becomes king (b3-0033), as laid out in NWT Appendix A6.</t>
        </is>
      </c>
      <c r="N219" s="7" t="n"/>
      <c r="O219" s="8" t="inlineStr">
        <is>
          <t>Bible</t>
        </is>
      </c>
      <c r="P219" s="7" t="inlineStr">
        <is>
          <t>bible.monarchy</t>
        </is>
      </c>
      <c r="Q219" s="7" t="inlineStr">
        <is>
          <t>reign</t>
        </is>
      </c>
      <c r="R219" s="7" t="inlineStr">
        <is>
          <t>Omri</t>
        </is>
      </c>
      <c r="S219" s="7" t="inlineStr">
        <is>
          <t>Israel</t>
        </is>
      </c>
      <c r="T219" s="7" t="inlineStr">
        <is>
          <t>1 Ki. 16:21; 1 Ki. 16:29</t>
        </is>
      </c>
      <c r="U219" s="7" t="inlineStr">
        <is>
          <t>1 இரா. 16:21; 1 இரா. 16:29</t>
        </is>
      </c>
      <c r="V219" s="7" t="n">
        <v>3</v>
      </c>
      <c r="W219" s="7" t="inlineStr">
        <is>
          <t>A6-A Chart: Prophets and Kings of Judah and of Israel (Part 1)</t>
        </is>
      </c>
      <c r="X219" s="9" t="inlineStr">
        <is>
          <t>open</t>
        </is>
      </c>
      <c r="Y219" s="9" t="inlineStr">
        <is>
          <t>open</t>
        </is>
      </c>
      <c r="Z219" s="7" t="inlineStr">
        <is>
          <t>https://wol.jw.org/en/wol/d/r1/lp-e/1001070206
https://wol.jw.org/en/wol/d/r1/lp-e/1101990130
https://wol.jw.org/en/wol/d/r1/lp-e/1200000970</t>
        </is>
      </c>
      <c r="AA219" s="7" t="n">
        <v>0</v>
      </c>
      <c r="AB219" s="7" t="n"/>
      <c r="AC219" s="7" t="n">
        <v>0</v>
      </c>
      <c r="AD219" s="7" t="n"/>
      <c r="AE219" s="7" t="inlineStr">
        <is>
          <t>Start b3-0029; ends when Ahab becomes king (b3-0033), as laid out in NWT Appendix A6.</t>
        </is>
      </c>
      <c r="AF219" s="7" t="inlineStr">
        <is>
          <t>b3-0029</t>
        </is>
      </c>
      <c r="AG219" s="7" t="inlineStr">
        <is>
          <t>b3-0033</t>
        </is>
      </c>
      <c r="AH219" s="7" t="n"/>
      <c r="AI219" s="7" t="n"/>
      <c r="AJ219" s="7" t="n"/>
      <c r="AK219" s="7" t="inlineStr">
        <is>
          <t>kings-of-israel #6 (ruler); prophets-and-kings-a6 #27 (ruler)</t>
        </is>
      </c>
      <c r="AL219" s="7" t="inlineStr">
        <is>
          <t>Starts with the 4-year rivalry with Tibni (c. 951 B.C.E., b3-0029); Omri ruled alone from c. 947 B.C.E. for 8 years (b3-0030).</t>
        </is>
      </c>
      <c r="AM219" s="7" t="n">
        <v>-950.65</v>
      </c>
      <c r="AN219" s="10" t="n"/>
      <c r="AO219" s="10" t="n"/>
      <c r="AP219" s="10" t="n"/>
      <c r="AQ219" s="10" t="n"/>
    </row>
    <row r="220">
      <c r="A220" s="7" t="inlineStr">
        <is>
          <t>b3-0030</t>
        </is>
      </c>
      <c r="B220" s="7" t="inlineStr">
        <is>
          <t>Point</t>
        </is>
      </c>
      <c r="C220" s="7" t="n"/>
      <c r="D220" s="7" t="inlineStr">
        <is>
          <t>c. 947 B.C.E.</t>
        </is>
      </c>
      <c r="E220" s="7" t="inlineStr">
        <is>
          <t>சுமார் கி.மு. 947</t>
        </is>
      </c>
      <c r="F220" s="7" t="inlineStr">
        <is>
          <t>947 BCE</t>
        </is>
      </c>
      <c r="G220" s="7" t="inlineStr">
        <is>
          <t>Approx. (c.)</t>
        </is>
      </c>
      <c r="H220" s="7" t="n"/>
      <c r="I220" s="7" t="n"/>
      <c r="J220" s="7" t="n"/>
      <c r="K220" s="2" t="inlineStr">
        <is>
          <t>Omri becomes sole king of Israel (8 years)</t>
        </is>
      </c>
      <c r="L220" s="2" t="inlineStr">
        <is>
          <t>உம்ரி (மட்டும்): 8 வருஷங்கள்</t>
        </is>
      </c>
      <c r="M220" s="7" t="inlineStr">
        <is>
          <t>Omri (alone) begins to reign over the northern ten-tribe kingdom of Israel; the NWT chart gives a reign of 8 years. Omri overcame Tibni’s opposition and became sole ruler.</t>
        </is>
      </c>
      <c r="N220" s="7" t="inlineStr">
        <is>
          <t>உம்ரி இஸ்ரவேலின் தனி அரசனாக ஆளுகிறான்</t>
        </is>
      </c>
      <c r="O220" s="8" t="inlineStr">
        <is>
          <t>Bible</t>
        </is>
      </c>
      <c r="P220" s="7" t="inlineStr">
        <is>
          <t>bible.monarchy</t>
        </is>
      </c>
      <c r="Q220" s="7" t="inlineStr">
        <is>
          <t>accession</t>
        </is>
      </c>
      <c r="R220" s="7" t="inlineStr">
        <is>
          <t>Omri</t>
        </is>
      </c>
      <c r="S220" s="7" t="inlineStr">
        <is>
          <t>Israel</t>
        </is>
      </c>
      <c r="T220" s="7" t="inlineStr">
        <is>
          <t>1 Ki. 16:22, 23</t>
        </is>
      </c>
      <c r="U220" s="7" t="inlineStr">
        <is>
          <t>1 இரா. 16:22, 23</t>
        </is>
      </c>
      <c r="V220" s="7" t="n">
        <v>3</v>
      </c>
      <c r="W220" s="7" t="inlineStr">
        <is>
          <t>A6-A Chart: Prophets and Kings of Judah and of Israel (Part 1)</t>
        </is>
      </c>
      <c r="X220" s="9" t="inlineStr">
        <is>
          <t>open</t>
        </is>
      </c>
      <c r="Y220" s="9" t="inlineStr">
        <is>
          <t>open</t>
        </is>
      </c>
      <c r="Z220" s="7" t="inlineStr">
        <is>
          <t>https://wol.jw.org/en/wol/d/r1/lp-e/1001070206
https://wol.jw.org/en/wol/d/r1/lp-e/1101990130
https://wol.jw.org/en/wol/d/r1/lp-e/1200000970</t>
        </is>
      </c>
      <c r="AA220" s="7" t="n">
        <v>2</v>
      </c>
      <c r="AB220" s="9" t="inlineStr">
        <is>
          <t>open</t>
        </is>
      </c>
      <c r="AC220" s="7" t="n">
        <v>0</v>
      </c>
      <c r="AD220" s="7" t="n"/>
      <c r="AE220" s="7" t="n"/>
      <c r="AF220" s="7" t="n"/>
      <c r="AG220" s="7" t="n"/>
      <c r="AH220" s="7" t="n"/>
      <c r="AI220" s="7" t="n"/>
      <c r="AJ220" s="7" t="n"/>
      <c r="AK220" s="7" t="inlineStr">
        <is>
          <t>prophets-and-kings-a6 #28 (item)</t>
        </is>
      </c>
      <c r="AL220" s="7" t="n"/>
      <c r="AM220" s="7" t="n">
        <v>-946.5</v>
      </c>
      <c r="AN220" s="10" t="n"/>
      <c r="AO220" s="10" t="n"/>
      <c r="AP220" s="10" t="n"/>
      <c r="AQ220" s="10" t="n"/>
    </row>
    <row r="221">
      <c r="A221" s="7" t="inlineStr">
        <is>
          <t>b3-0031</t>
        </is>
      </c>
      <c r="B221" s="7" t="inlineStr">
        <is>
          <t>Point</t>
        </is>
      </c>
      <c r="C221" s="7" t="n"/>
      <c r="D221" s="7" t="inlineStr">
        <is>
          <t>c. 945 B.C.E.</t>
        </is>
      </c>
      <c r="E221" s="7" t="n"/>
      <c r="F221" s="7" t="inlineStr">
        <is>
          <t>945 BCE</t>
        </is>
      </c>
      <c r="G221" s="7" t="inlineStr">
        <is>
          <t>Approx. (c.)</t>
        </is>
      </c>
      <c r="H221" s="7" t="n"/>
      <c r="I221" s="7" t="n"/>
      <c r="J221" s="7" t="n"/>
      <c r="K221" s="2" t="inlineStr">
        <is>
          <t>Omri buys the mountain of Samaria and builds his capital</t>
        </is>
      </c>
      <c r="L221" s="2" t="n"/>
      <c r="M221" s="7" t="inlineStr">
        <is>
          <t>Omri purchases the hill of Samaria and builds it as the new capital of the northern kingdom.</t>
        </is>
      </c>
      <c r="N221" s="7" t="n"/>
      <c r="O221" s="8" t="inlineStr">
        <is>
          <t>Bible</t>
        </is>
      </c>
      <c r="P221" s="7" t="inlineStr">
        <is>
          <t>bible.monarchy</t>
        </is>
      </c>
      <c r="Q221" s="7" t="inlineStr">
        <is>
          <t>construction</t>
        </is>
      </c>
      <c r="R221" s="7" t="inlineStr">
        <is>
          <t>Omri</t>
        </is>
      </c>
      <c r="S221" s="7" t="inlineStr">
        <is>
          <t>Samaria</t>
        </is>
      </c>
      <c r="T221" s="7" t="inlineStr">
        <is>
          <t>1 Ki. 16:23, 24</t>
        </is>
      </c>
      <c r="U221" s="7" t="inlineStr">
        <is>
          <t>1 இரா. 16:23, 24</t>
        </is>
      </c>
      <c r="V221" s="7" t="n">
        <v>2</v>
      </c>
      <c r="W221" s="7" t="inlineStr">
        <is>
          <t>Chronology</t>
        </is>
      </c>
      <c r="X221" s="9" t="inlineStr">
        <is>
          <t>open</t>
        </is>
      </c>
      <c r="Y221" s="7" t="n"/>
      <c r="Z221" s="7" t="inlineStr">
        <is>
          <t>https://wol.jw.org/en/wol/d/r1/lp-e/1200000970
https://wol.jw.org/en/wol/d/r1/lp-e/1200010959</t>
        </is>
      </c>
      <c r="AA221" s="7" t="n">
        <v>0</v>
      </c>
      <c r="AB221" s="7" t="n"/>
      <c r="AC221" s="7" t="n">
        <v>0</v>
      </c>
      <c r="AD221" s="7" t="n"/>
      <c r="AE221" s="7" t="n"/>
      <c r="AF221" s="7" t="n"/>
      <c r="AG221" s="7" t="n"/>
      <c r="AH221" s="7" t="n"/>
      <c r="AI221" s="7" t="n"/>
      <c r="AJ221" s="7" t="n"/>
      <c r="AK221" s="7" t="n"/>
      <c r="AL221" s="7" t="n"/>
      <c r="AM221" s="7" t="n">
        <v>-945</v>
      </c>
      <c r="AN221" s="10" t="n"/>
      <c r="AO221" s="10" t="n"/>
      <c r="AP221" s="10" t="n"/>
      <c r="AQ221" s="10" t="n"/>
    </row>
    <row r="222">
      <c r="A222" s="7" t="inlineStr">
        <is>
          <t>b3-0032</t>
        </is>
      </c>
      <c r="B222" s="11" t="inlineStr">
        <is>
          <t>Span</t>
        </is>
      </c>
      <c r="C222" s="7" t="inlineStr">
        <is>
          <t>prophetic activity</t>
        </is>
      </c>
      <c r="D222" s="7" t="inlineStr">
        <is>
          <t>c. 940–c. 906 B.C.E.</t>
        </is>
      </c>
      <c r="E222" s="7" t="n"/>
      <c r="F222" s="7" t="inlineStr">
        <is>
          <t>940 BCE</t>
        </is>
      </c>
      <c r="G222" s="7" t="inlineStr">
        <is>
          <t>Approx. (c.)</t>
        </is>
      </c>
      <c r="H222" s="7" t="inlineStr">
        <is>
          <t>906 BCE</t>
        </is>
      </c>
      <c r="I222" s="7" t="inlineStr">
        <is>
          <t>Approx. (c.)</t>
        </is>
      </c>
      <c r="J222" s="7" t="inlineStr">
        <is>
          <t>c. 34 years</t>
        </is>
      </c>
      <c r="K222" s="2" t="inlineStr">
        <is>
          <t>Prophetic activity of Elijah</t>
        </is>
      </c>
      <c r="L222" s="2" t="inlineStr">
        <is>
          <t>எலியா</t>
        </is>
      </c>
      <c r="M222" s="7" t="inlineStr">
        <is>
          <t>Elijah of Tishbeh prophesies in Israel from the reign of Ahab through Ahaziah’s, and is last mentioned sending a letter to Jehoram of Judah late in Jehoram’s eight-year reign.</t>
        </is>
      </c>
      <c r="N222" s="7" t="n"/>
      <c r="O222" s="8" t="inlineStr">
        <is>
          <t>Bible</t>
        </is>
      </c>
      <c r="P222" s="7" t="inlineStr">
        <is>
          <t>bible.prophet</t>
        </is>
      </c>
      <c r="Q222" s="7" t="inlineStr">
        <is>
          <t>prophet_activity</t>
        </is>
      </c>
      <c r="R222" s="7" t="inlineStr">
        <is>
          <t>Elijah</t>
        </is>
      </c>
      <c r="S222" s="7" t="n"/>
      <c r="T222" s="7" t="inlineStr">
        <is>
          <t>1 Ki. 17:1; 2 Chron. 21:12-15</t>
        </is>
      </c>
      <c r="U222" s="7" t="inlineStr">
        <is>
          <t>1 இரா. 17:1; 2 நா. 21:12-15</t>
        </is>
      </c>
      <c r="V222" s="7" t="n">
        <v>3</v>
      </c>
      <c r="W222" s="7" t="inlineStr">
        <is>
          <t>A6-A Chart: Prophets and Kings of Judah and of Israel (Part 1)</t>
        </is>
      </c>
      <c r="X222" s="9" t="inlineStr">
        <is>
          <t>open</t>
        </is>
      </c>
      <c r="Y222" s="9" t="inlineStr">
        <is>
          <t>open</t>
        </is>
      </c>
      <c r="Z222" s="7" t="inlineStr">
        <is>
          <t>https://wol.jw.org/en/wol/d/r1/lp-e/1001070206
https://wol.jw.org/en/wol/d/r1/lp-e/1200001307
https://wol.jw.org/en/wol/d/r1/lp-e/1200000970</t>
        </is>
      </c>
      <c r="AA222" s="7" t="n">
        <v>2</v>
      </c>
      <c r="AB222" s="9" t="inlineStr">
        <is>
          <t>open</t>
        </is>
      </c>
      <c r="AC222" s="7" t="n">
        <v>0</v>
      </c>
      <c r="AD222" s="7" t="n"/>
      <c r="AE222" s="7" t="n"/>
      <c r="AF222" s="7" t="n"/>
      <c r="AG222" s="7" t="n"/>
      <c r="AH222" s="7" t="n"/>
      <c r="AI222" s="7" t="n"/>
      <c r="AJ222" s="7" t="n"/>
      <c r="AK222" s="7" t="inlineStr">
        <is>
          <t>prophets-and-kings-a6 #47 (item)</t>
        </is>
      </c>
      <c r="AL222" s="7" t="inlineStr">
        <is>
          <t>End year derived: Insight says Elijah was last active toward the end of Jehoram of Judah’s 8-year reign begun 913 B.C.E.; the Insight chart lists Elijah with Jehoram at 913. Elijah’s ascension in the windstorm is placed c. 917 (Insight "Elisha"), but he is mentioned afterward (2 Chron. 21:12). The A6 chart shows this prophet as an undated bar; range years come from the cited text sources. title_ta is the prophet’s name as printed in the Tamil A6 list.</t>
        </is>
      </c>
      <c r="AM222" s="7" t="n">
        <v>-940</v>
      </c>
      <c r="AN222" s="10" t="n"/>
      <c r="AO222" s="10" t="n"/>
      <c r="AP222" s="10" t="n"/>
      <c r="AQ222" s="10" t="n"/>
    </row>
    <row r="223">
      <c r="A223" s="7" t="inlineStr">
        <is>
          <t>b3-0033</t>
        </is>
      </c>
      <c r="B223" s="7" t="inlineStr">
        <is>
          <t>Point</t>
        </is>
      </c>
      <c r="C223" s="7" t="n"/>
      <c r="D223" s="7" t="inlineStr">
        <is>
          <t>c. 940 B.C.E.</t>
        </is>
      </c>
      <c r="E223" s="7" t="inlineStr">
        <is>
          <t>சுமார் கி.மு. 940</t>
        </is>
      </c>
      <c r="F223" s="7" t="inlineStr">
        <is>
          <t>940 BCE</t>
        </is>
      </c>
      <c r="G223" s="7" t="inlineStr">
        <is>
          <t>Approx. (c.)</t>
        </is>
      </c>
      <c r="H223" s="7" t="n"/>
      <c r="I223" s="7" t="n"/>
      <c r="J223" s="7" t="n"/>
      <c r="K223" s="2" t="inlineStr">
        <is>
          <t>Ahab becomes king of Israel (22 years)</t>
        </is>
      </c>
      <c r="L223" s="2" t="inlineStr">
        <is>
          <t>ஆகாப்: 22 வருஷங்கள்</t>
        </is>
      </c>
      <c r="M223" s="7" t="inlineStr">
        <is>
          <t>Ahab begins to reign over the northern ten-tribe kingdom of Israel; the NWT chart gives a reign of 22 years.</t>
        </is>
      </c>
      <c r="N223" s="7" t="inlineStr">
        <is>
          <t>உம்ரிக்குப் பின் ஆகாப் இஸ்ரவேலின் அரசனாகிறான்</t>
        </is>
      </c>
      <c r="O223" s="8" t="inlineStr">
        <is>
          <t>Bible</t>
        </is>
      </c>
      <c r="P223" s="7" t="inlineStr">
        <is>
          <t>bible.monarchy</t>
        </is>
      </c>
      <c r="Q223" s="7" t="inlineStr">
        <is>
          <t>accession</t>
        </is>
      </c>
      <c r="R223" s="7" t="inlineStr">
        <is>
          <t>Ahab</t>
        </is>
      </c>
      <c r="S223" s="7" t="inlineStr">
        <is>
          <t>Israel</t>
        </is>
      </c>
      <c r="T223" s="7" t="inlineStr">
        <is>
          <t>1 Ki. 16:29</t>
        </is>
      </c>
      <c r="U223" s="7" t="inlineStr">
        <is>
          <t>1 இரா. 16:29</t>
        </is>
      </c>
      <c r="V223" s="7" t="n">
        <v>3</v>
      </c>
      <c r="W223" s="7" t="inlineStr">
        <is>
          <t>A6-A Chart: Prophets and Kings of Judah and of Israel (Part 1)</t>
        </is>
      </c>
      <c r="X223" s="9" t="inlineStr">
        <is>
          <t>open</t>
        </is>
      </c>
      <c r="Y223" s="9" t="inlineStr">
        <is>
          <t>open</t>
        </is>
      </c>
      <c r="Z223" s="7" t="inlineStr">
        <is>
          <t>https://wol.jw.org/en/wol/d/r1/lp-e/1001070206
https://wol.jw.org/en/wol/d/r1/lp-e/1101990130
https://wol.jw.org/en/wol/d/r1/lp-e/1200000970</t>
        </is>
      </c>
      <c r="AA223" s="7" t="n">
        <v>2</v>
      </c>
      <c r="AB223" s="9" t="inlineStr">
        <is>
          <t>open</t>
        </is>
      </c>
      <c r="AC223" s="7" t="n">
        <v>0</v>
      </c>
      <c r="AD223" s="7" t="n"/>
      <c r="AE223" s="7" t="n"/>
      <c r="AF223" s="7" t="n"/>
      <c r="AG223" s="7" t="n"/>
      <c r="AH223" s="7" t="n"/>
      <c r="AI223" s="7" t="inlineStr">
        <is>
          <t>Covered by span – hide on chart</t>
        </is>
      </c>
      <c r="AJ223" s="7" t="inlineStr">
        <is>
          <t>end of Reign of Omri (Israel) (d1-0057); start of Reign of Ahab (Israel) (d1-0058)</t>
        </is>
      </c>
      <c r="AK223" s="7" t="n"/>
      <c r="AL223" s="7" t="n"/>
      <c r="AM223" s="7" t="n">
        <v>-939.5</v>
      </c>
      <c r="AN223" s="10" t="n"/>
      <c r="AO223" s="10" t="n"/>
      <c r="AP223" s="10" t="n"/>
      <c r="AQ223" s="10" t="n"/>
    </row>
    <row r="224">
      <c r="A224" s="7" t="inlineStr">
        <is>
          <t>d1-0058</t>
        </is>
      </c>
      <c r="B224" s="11" t="inlineStr">
        <is>
          <t>Span</t>
        </is>
      </c>
      <c r="C224" s="7" t="inlineStr">
        <is>
          <t>reign</t>
        </is>
      </c>
      <c r="D224" s="7" t="inlineStr">
        <is>
          <t>c. 940 B.C.E. – c. 920 B.C.E.</t>
        </is>
      </c>
      <c r="E224" s="7" t="inlineStr">
        <is>
          <t>சுமார் கி.மு. 940 – சுமார் கி.மு. 920</t>
        </is>
      </c>
      <c r="F224" s="7" t="inlineStr">
        <is>
          <t>940 BCE</t>
        </is>
      </c>
      <c r="G224" s="7" t="inlineStr">
        <is>
          <t>Approx. (c.)</t>
        </is>
      </c>
      <c r="H224" s="7" t="inlineStr">
        <is>
          <t>920 BCE</t>
        </is>
      </c>
      <c r="I224" s="7" t="inlineStr">
        <is>
          <t>Approx. (c.)</t>
        </is>
      </c>
      <c r="J224" s="7" t="inlineStr">
        <is>
          <t>22 years</t>
        </is>
      </c>
      <c r="K224" s="2" t="inlineStr">
        <is>
          <t>Reign of Ahab (Israel)</t>
        </is>
      </c>
      <c r="L224" s="2" t="n"/>
      <c r="M224" s="7" t="inlineStr">
        <is>
          <t>Ahab rules Israel. Starts with Ahab becomes king of Israel (22 years) (c. 940 B.C.E.); ends when Ahaziah becomes king (b3-0036), as laid out in NWT Appendix A6.</t>
        </is>
      </c>
      <c r="N224" s="7" t="n"/>
      <c r="O224" s="8" t="inlineStr">
        <is>
          <t>Bible</t>
        </is>
      </c>
      <c r="P224" s="7" t="inlineStr">
        <is>
          <t>bible.monarchy</t>
        </is>
      </c>
      <c r="Q224" s="7" t="inlineStr">
        <is>
          <t>reign</t>
        </is>
      </c>
      <c r="R224" s="7" t="inlineStr">
        <is>
          <t>Ahab</t>
        </is>
      </c>
      <c r="S224" s="7" t="inlineStr">
        <is>
          <t>Israel</t>
        </is>
      </c>
      <c r="T224" s="7" t="inlineStr">
        <is>
          <t>1 Ki. 16:29; 1 Ki. 22:51, 52</t>
        </is>
      </c>
      <c r="U224" s="7" t="inlineStr">
        <is>
          <t>1 இரா. 16:29; 1 இரா. 22:51, 52</t>
        </is>
      </c>
      <c r="V224" s="7" t="n">
        <v>3</v>
      </c>
      <c r="W224" s="7" t="inlineStr">
        <is>
          <t>A6-A Chart: Prophets and Kings of Judah and of Israel (Part 1)</t>
        </is>
      </c>
      <c r="X224" s="9" t="inlineStr">
        <is>
          <t>open</t>
        </is>
      </c>
      <c r="Y224" s="9" t="inlineStr">
        <is>
          <t>open</t>
        </is>
      </c>
      <c r="Z224" s="7" t="inlineStr">
        <is>
          <t>https://wol.jw.org/en/wol/d/r1/lp-e/1001070206
https://wol.jw.org/en/wol/d/r1/lp-e/1101990130
https://wol.jw.org/en/wol/d/r1/lp-e/1200000970</t>
        </is>
      </c>
      <c r="AA224" s="7" t="n">
        <v>0</v>
      </c>
      <c r="AB224" s="7" t="n"/>
      <c r="AC224" s="7" t="n">
        <v>1</v>
      </c>
      <c r="AD224" s="7" t="inlineStr">
        <is>
          <t>si Study 3 table and Insight "Elijah" give c. 919 B.C.E. (Ahaziah as sole king after Ahab’s death); NWT A6-A and Insight chart give c. 920, when Ahaziah evidently ‘became king’ while Ahab was still living.</t>
        </is>
      </c>
      <c r="AE224" s="7" t="inlineStr">
        <is>
          <t>Start b3-0033; ends when Ahaziah becomes king (b3-0036), as laid out in NWT Appendix A6.</t>
        </is>
      </c>
      <c r="AF224" s="7" t="inlineStr">
        <is>
          <t>b3-0033</t>
        </is>
      </c>
      <c r="AG224" s="7" t="inlineStr">
        <is>
          <t>b3-0036</t>
        </is>
      </c>
      <c r="AH224" s="7" t="n"/>
      <c r="AI224" s="7" t="n"/>
      <c r="AJ224" s="7" t="n"/>
      <c r="AK224" s="7" t="inlineStr">
        <is>
          <t>kings-of-israel #7 (ruler); prophets-and-kings-a6 #29 (ruler)</t>
        </is>
      </c>
      <c r="AL224" s="7" t="n"/>
      <c r="AM224" s="7" t="n">
        <v>-939.5</v>
      </c>
      <c r="AN224" s="10" t="n"/>
      <c r="AO224" s="10" t="n"/>
      <c r="AP224" s="10" t="n"/>
      <c r="AQ224" s="10" t="n"/>
    </row>
    <row r="225">
      <c r="A225" s="7" t="inlineStr">
        <is>
          <t>b3-0034</t>
        </is>
      </c>
      <c r="B225" s="7" t="inlineStr">
        <is>
          <t>Point</t>
        </is>
      </c>
      <c r="C225" s="7" t="n"/>
      <c r="D225" s="7" t="inlineStr">
        <is>
          <t>937 B.C.E.</t>
        </is>
      </c>
      <c r="E225" s="7" t="inlineStr">
        <is>
          <t>கி.மு. 937</t>
        </is>
      </c>
      <c r="F225" s="7" t="inlineStr">
        <is>
          <t>937 BCE</t>
        </is>
      </c>
      <c r="G225" s="7" t="inlineStr">
        <is>
          <t>Exact</t>
        </is>
      </c>
      <c r="H225" s="7" t="n"/>
      <c r="I225" s="7" t="n"/>
      <c r="J225" s="7" t="n"/>
      <c r="K225" s="2" t="inlineStr">
        <is>
          <t>Jehoshaphat becomes king of Judah (25 years)</t>
        </is>
      </c>
      <c r="L225" s="2" t="inlineStr">
        <is>
          <t>யோசபாத்: 25 வருஷங்கள்</t>
        </is>
      </c>
      <c r="M225" s="7" t="inlineStr">
        <is>
          <t>Jehoshaphat begins to reign over the southern two-tribe kingdom of Judah; the NWT chart gives a reign of 25 years.</t>
        </is>
      </c>
      <c r="N225" s="7" t="inlineStr">
        <is>
          <t>ஆசாவுக்குப் பின் யோசபாத் யூதாவின் அரசனாகிறார்</t>
        </is>
      </c>
      <c r="O225" s="8" t="inlineStr">
        <is>
          <t>Bible</t>
        </is>
      </c>
      <c r="P225" s="7" t="inlineStr">
        <is>
          <t>bible.monarchy</t>
        </is>
      </c>
      <c r="Q225" s="7" t="inlineStr">
        <is>
          <t>accession</t>
        </is>
      </c>
      <c r="R225" s="7" t="inlineStr">
        <is>
          <t>Jehoshaphat</t>
        </is>
      </c>
      <c r="S225" s="7" t="inlineStr">
        <is>
          <t>Judah</t>
        </is>
      </c>
      <c r="T225" s="7" t="inlineStr">
        <is>
          <t>1 Ki. 22:41, 42</t>
        </is>
      </c>
      <c r="U225" s="7" t="inlineStr">
        <is>
          <t>1 இரா. 22:41, 42</t>
        </is>
      </c>
      <c r="V225" s="7" t="n">
        <v>3</v>
      </c>
      <c r="W225" s="7" t="inlineStr">
        <is>
          <t>A6-A Chart: Prophets and Kings of Judah and of Israel (Part 1)</t>
        </is>
      </c>
      <c r="X225" s="9" t="inlineStr">
        <is>
          <t>open</t>
        </is>
      </c>
      <c r="Y225" s="9" t="inlineStr">
        <is>
          <t>open</t>
        </is>
      </c>
      <c r="Z225" s="7" t="inlineStr">
        <is>
          <t>https://wol.jw.org/en/wol/d/r1/lp-e/1001070206
https://wol.jw.org/en/wol/d/r1/lp-e/1101990130
https://wol.jw.org/en/wol/d/r1/lp-e/1200000970</t>
        </is>
      </c>
      <c r="AA225" s="7" t="n">
        <v>2</v>
      </c>
      <c r="AB225" s="9" t="inlineStr">
        <is>
          <t>open</t>
        </is>
      </c>
      <c r="AC225" s="7" t="n">
        <v>1</v>
      </c>
      <c r="AD225" s="7" t="inlineStr">
        <is>
          <t>si Study 3 table dates Jehoshaphat’s accession 936 B.C.E.; NWT A6-A and Insight chart give 937 (Asa dies in his 41st year; regnal-year vs accession-year reckoning).</t>
        </is>
      </c>
      <c r="AE225" s="7" t="n"/>
      <c r="AF225" s="7" t="n"/>
      <c r="AG225" s="7" t="n"/>
      <c r="AH225" s="7" t="n"/>
      <c r="AI225" s="7" t="inlineStr">
        <is>
          <t>Covered by span – hide on chart</t>
        </is>
      </c>
      <c r="AJ225" s="7" t="inlineStr">
        <is>
          <t>end of Reign of Asa (Judah) (d1-0034); start of Reign of Jehoshaphat (Judah) (d1-0035)</t>
        </is>
      </c>
      <c r="AK225" s="7" t="n"/>
      <c r="AL225" s="7" t="n"/>
      <c r="AM225" s="7" t="n">
        <v>-936.5</v>
      </c>
      <c r="AN225" s="10" t="n"/>
      <c r="AO225" s="10" t="n"/>
      <c r="AP225" s="10" t="n"/>
      <c r="AQ225" s="10" t="n"/>
    </row>
    <row r="226">
      <c r="A226" s="7" t="inlineStr">
        <is>
          <t>d1-0035</t>
        </is>
      </c>
      <c r="B226" s="11" t="inlineStr">
        <is>
          <t>Span</t>
        </is>
      </c>
      <c r="C226" s="7" t="inlineStr">
        <is>
          <t>reign</t>
        </is>
      </c>
      <c r="D226" s="7" t="inlineStr">
        <is>
          <t>937 B.C.E. – 913 B.C.E.</t>
        </is>
      </c>
      <c r="E226" s="7" t="inlineStr">
        <is>
          <t>கி.மு. 937 – கி.மு. 913</t>
        </is>
      </c>
      <c r="F226" s="7" t="inlineStr">
        <is>
          <t>937 BCE</t>
        </is>
      </c>
      <c r="G226" s="7" t="inlineStr">
        <is>
          <t>Exact</t>
        </is>
      </c>
      <c r="H226" s="7" t="inlineStr">
        <is>
          <t>913 BCE</t>
        </is>
      </c>
      <c r="I226" s="7" t="inlineStr">
        <is>
          <t>Exact</t>
        </is>
      </c>
      <c r="J226" s="7" t="inlineStr">
        <is>
          <t>25 years</t>
        </is>
      </c>
      <c r="K226" s="2" t="inlineStr">
        <is>
          <t>Reign of Jehoshaphat (Judah)</t>
        </is>
      </c>
      <c r="L226" s="2" t="n"/>
      <c r="M226" s="7" t="inlineStr">
        <is>
          <t>Jehoshaphat rules Judah. Starts with Jehoshaphat becomes king of Judah (25 years) (937 B.C.E.); ends when Jehoram becomes king (b3-0040), as laid out in NWT Appendix A6.</t>
        </is>
      </c>
      <c r="N226" s="7" t="n"/>
      <c r="O226" s="8" t="inlineStr">
        <is>
          <t>Bible</t>
        </is>
      </c>
      <c r="P226" s="7" t="inlineStr">
        <is>
          <t>bible.monarchy</t>
        </is>
      </c>
      <c r="Q226" s="7" t="inlineStr">
        <is>
          <t>reign</t>
        </is>
      </c>
      <c r="R226" s="7" t="inlineStr">
        <is>
          <t>Jehoshaphat</t>
        </is>
      </c>
      <c r="S226" s="7" t="inlineStr">
        <is>
          <t>Judah</t>
        </is>
      </c>
      <c r="T226" s="7" t="inlineStr">
        <is>
          <t>1 Ki. 22:41, 42; 2 Ki. 8:16, 17</t>
        </is>
      </c>
      <c r="U226" s="7" t="inlineStr">
        <is>
          <t>1 இரா. 22:41, 42; 2 இரா. 8:16, 17</t>
        </is>
      </c>
      <c r="V226" s="7" t="n">
        <v>3</v>
      </c>
      <c r="W226" s="7" t="inlineStr">
        <is>
          <t>A6-A Chart: Prophets and Kings of Judah and of Israel (Part 1)</t>
        </is>
      </c>
      <c r="X226" s="9" t="inlineStr">
        <is>
          <t>open</t>
        </is>
      </c>
      <c r="Y226" s="9" t="inlineStr">
        <is>
          <t>open</t>
        </is>
      </c>
      <c r="Z226" s="7" t="inlineStr">
        <is>
          <t>https://wol.jw.org/en/wol/d/r1/lp-e/1001070206
https://wol.jw.org/en/wol/d/r1/lp-e/1101990130
https://wol.jw.org/en/wol/d/r1/lp-e/1200000970</t>
        </is>
      </c>
      <c r="AA226" s="7" t="n">
        <v>0</v>
      </c>
      <c r="AB226" s="7" t="n"/>
      <c r="AC226" s="7" t="n">
        <v>2</v>
      </c>
      <c r="AD226" s="7" t="inlineStr">
        <is>
          <t>si Study 3 table dates Jehoshaphat’s accession 936 B.C.E.; NWT A6-A and Insight chart give 937 (Asa dies in his 41st year; regnal-year vs accession-year reckoning). | The older Aid to Bible Understanding chart (1971) places Jehoram of Judah’s heading at 919. Insight chart: c. 919 he became associated with his father; 913 official coregent (kingship counted from then); c. 911 sole ruler. NWT A6-A and si use 913.</t>
        </is>
      </c>
      <c r="AE226" s="7" t="inlineStr">
        <is>
          <t>Start b3-0034; ends when Jehoram becomes king (b3-0040), as laid out in NWT Appendix A6.</t>
        </is>
      </c>
      <c r="AF226" s="7" t="inlineStr">
        <is>
          <t>b3-0034</t>
        </is>
      </c>
      <c r="AG226" s="7" t="inlineStr">
        <is>
          <t>b3-0040</t>
        </is>
      </c>
      <c r="AH226" s="7" t="n"/>
      <c r="AI226" s="7" t="n"/>
      <c r="AJ226" s="7" t="n"/>
      <c r="AK226" s="7" t="inlineStr">
        <is>
          <t>kings-of-judah #4 (ruler); messianic-line #38 (item); prophets-and-kings-a6 #4 (ruler)</t>
        </is>
      </c>
      <c r="AL226" s="7" t="inlineStr">
        <is>
          <t>Bar ends where NWT App. A6 starts Jehoram (913 B.C.E.); Jehoshaphat died c. 911 B.C.E. (b3-0041) while Jehoram shared the rule.</t>
        </is>
      </c>
      <c r="AM226" s="7" t="n">
        <v>-936.5</v>
      </c>
      <c r="AN226" s="10" t="n"/>
      <c r="AO226" s="10" t="n"/>
      <c r="AP226" s="10" t="n"/>
      <c r="AQ226" s="10" t="n"/>
    </row>
    <row r="227">
      <c r="A227" s="7" t="inlineStr">
        <is>
          <t>b3-0035</t>
        </is>
      </c>
      <c r="B227" s="7" t="inlineStr">
        <is>
          <t>Point</t>
        </is>
      </c>
      <c r="C227" s="7" t="n"/>
      <c r="D227" s="7" t="inlineStr">
        <is>
          <t>934 B.C.E.</t>
        </is>
      </c>
      <c r="E227" s="7" t="n"/>
      <c r="F227" s="7" t="inlineStr">
        <is>
          <t>934 BCE</t>
        </is>
      </c>
      <c r="G227" s="7" t="inlineStr">
        <is>
          <t>Exact</t>
        </is>
      </c>
      <c r="H227" s="7" t="n"/>
      <c r="I227" s="7" t="n"/>
      <c r="J227" s="7" t="n"/>
      <c r="K227" s="2" t="inlineStr">
        <is>
          <t>Priests begin teaching the Law in Judah</t>
        </is>
      </c>
      <c r="L227" s="2" t="n"/>
      <c r="M227" s="7" t="inlineStr">
        <is>
          <t>In Jehoshaphat’s third year, princes, Levites and priests go through Judah teaching the book of Jehovah’s law.</t>
        </is>
      </c>
      <c r="N227" s="7" t="n"/>
      <c r="O227" s="8" t="inlineStr">
        <is>
          <t>Bible</t>
        </is>
      </c>
      <c r="P227" s="7" t="inlineStr">
        <is>
          <t>bible.monarchy</t>
        </is>
      </c>
      <c r="Q227" s="7" t="inlineStr">
        <is>
          <t>teaching</t>
        </is>
      </c>
      <c r="R227" s="7" t="inlineStr">
        <is>
          <t>Jehoshaphat</t>
        </is>
      </c>
      <c r="S227" s="7" t="inlineStr">
        <is>
          <t>Judah</t>
        </is>
      </c>
      <c r="T227" s="7" t="inlineStr">
        <is>
          <t>2 Chron. 17:7-9</t>
        </is>
      </c>
      <c r="U227" s="7" t="inlineStr">
        <is>
          <t>2 நா. 17:7-9</t>
        </is>
      </c>
      <c r="V227" s="7" t="n">
        <v>1</v>
      </c>
      <c r="W227" s="7" t="inlineStr">
        <is>
          <t>Chronology</t>
        </is>
      </c>
      <c r="X227" s="9" t="inlineStr">
        <is>
          <t>open</t>
        </is>
      </c>
      <c r="Y227" s="7" t="n"/>
      <c r="Z227" s="7" t="inlineStr">
        <is>
          <t>https://wol.jw.org/en/wol/d/r1/lp-e/1200010959</t>
        </is>
      </c>
      <c r="AA227" s="7" t="n">
        <v>0</v>
      </c>
      <c r="AB227" s="7" t="n"/>
      <c r="AC227" s="7" t="n">
        <v>0</v>
      </c>
      <c r="AD227" s="7" t="n"/>
      <c r="AE227" s="7" t="n"/>
      <c r="AF227" s="7" t="n"/>
      <c r="AG227" s="7" t="n"/>
      <c r="AH227" s="7" t="n"/>
      <c r="AI227" s="7" t="n"/>
      <c r="AJ227" s="7" t="n"/>
      <c r="AK227" s="7" t="n"/>
      <c r="AL227" s="7" t="inlineStr">
        <is>
          <t>Dated only in the older Aid (1971) chart.</t>
        </is>
      </c>
      <c r="AM227" s="7" t="n">
        <v>-934</v>
      </c>
      <c r="AN227" s="10" t="n"/>
      <c r="AO227" s="10" t="n"/>
      <c r="AP227" s="10" t="n"/>
      <c r="AQ227" s="10" t="n"/>
    </row>
    <row r="228">
      <c r="A228" s="7" t="inlineStr">
        <is>
          <t>b3-0036</t>
        </is>
      </c>
      <c r="B228" s="7" t="inlineStr">
        <is>
          <t>Point</t>
        </is>
      </c>
      <c r="C228" s="7" t="n"/>
      <c r="D228" s="7" t="inlineStr">
        <is>
          <t>c. 920 B.C.E.</t>
        </is>
      </c>
      <c r="E228" s="7" t="inlineStr">
        <is>
          <t>சுமார் கி.மு. 920</t>
        </is>
      </c>
      <c r="F228" s="7" t="inlineStr">
        <is>
          <t>920 BCE</t>
        </is>
      </c>
      <c r="G228" s="7" t="inlineStr">
        <is>
          <t>Approx. (c.)</t>
        </is>
      </c>
      <c r="H228" s="7" t="n"/>
      <c r="I228" s="7" t="n"/>
      <c r="J228" s="7" t="n"/>
      <c r="K228" s="2" t="inlineStr">
        <is>
          <t>Ahaziah (of Israel) becomes king of Israel (2 years)</t>
        </is>
      </c>
      <c r="L228" s="2" t="inlineStr">
        <is>
          <t>அகசியா: 2 வருஷங்கள்</t>
        </is>
      </c>
      <c r="M228" s="7" t="inlineStr">
        <is>
          <t>Ahaziah (of Israel) begins to reign over the northern ten-tribe kingdom of Israel; the NWT chart gives a reign of 2 years.</t>
        </is>
      </c>
      <c r="N228" s="7" t="inlineStr">
        <is>
          <t>ஆகாபுக்குப் பின் அகசியா இஸ்ரவேலின் தனி அரசனாகிறான்</t>
        </is>
      </c>
      <c r="O228" s="8" t="inlineStr">
        <is>
          <t>Bible</t>
        </is>
      </c>
      <c r="P228" s="7" t="inlineStr">
        <is>
          <t>bible.monarchy</t>
        </is>
      </c>
      <c r="Q228" s="7" t="inlineStr">
        <is>
          <t>accession</t>
        </is>
      </c>
      <c r="R228" s="7" t="inlineStr">
        <is>
          <t>Ahaziah</t>
        </is>
      </c>
      <c r="S228" s="7" t="inlineStr">
        <is>
          <t>Israel</t>
        </is>
      </c>
      <c r="T228" s="7" t="inlineStr">
        <is>
          <t>1 Ki. 22:51, 52</t>
        </is>
      </c>
      <c r="U228" s="7" t="inlineStr">
        <is>
          <t>1 இரா. 22:51, 52</t>
        </is>
      </c>
      <c r="V228" s="7" t="n">
        <v>3</v>
      </c>
      <c r="W228" s="7" t="inlineStr">
        <is>
          <t>A6-A Chart: Prophets and Kings of Judah and of Israel (Part 1)</t>
        </is>
      </c>
      <c r="X228" s="9" t="inlineStr">
        <is>
          <t>open</t>
        </is>
      </c>
      <c r="Y228" s="9" t="inlineStr">
        <is>
          <t>open</t>
        </is>
      </c>
      <c r="Z228" s="7" t="inlineStr">
        <is>
          <t>https://wol.jw.org/en/wol/d/r1/lp-e/1001070206
https://wol.jw.org/en/wol/d/r1/lp-e/1101990130
https://wol.jw.org/en/wol/d/r1/lp-e/1200000970</t>
        </is>
      </c>
      <c r="AA228" s="7" t="n">
        <v>2</v>
      </c>
      <c r="AB228" s="9" t="inlineStr">
        <is>
          <t>open</t>
        </is>
      </c>
      <c r="AC228" s="7" t="n">
        <v>1</v>
      </c>
      <c r="AD228" s="7" t="inlineStr">
        <is>
          <t>si Study 3 table and Insight "Elijah" give c. 919 B.C.E. (Ahaziah as sole king after Ahab’s death); NWT A6-A and Insight chart give c. 920, when Ahaziah evidently ‘became king’ while Ahab was still living.</t>
        </is>
      </c>
      <c r="AE228" s="7" t="n"/>
      <c r="AF228" s="7" t="n"/>
      <c r="AG228" s="7" t="n"/>
      <c r="AH228" s="7" t="n"/>
      <c r="AI228" s="7" t="inlineStr">
        <is>
          <t>Covered by span – hide on chart</t>
        </is>
      </c>
      <c r="AJ228" s="7" t="inlineStr">
        <is>
          <t>end of Reign of Ahab (Israel) (d1-0058); start of Reign of Ahaziah (Israel) (d1-0059)</t>
        </is>
      </c>
      <c r="AK228" s="7" t="n"/>
      <c r="AL228" s="7" t="n"/>
      <c r="AM228" s="7" t="n">
        <v>-919.5</v>
      </c>
      <c r="AN228" s="10" t="n"/>
      <c r="AO228" s="10" t="n"/>
      <c r="AP228" s="10" t="n"/>
      <c r="AQ228" s="10" t="n"/>
    </row>
    <row r="229">
      <c r="A229" s="7" t="inlineStr">
        <is>
          <t>d1-0059</t>
        </is>
      </c>
      <c r="B229" s="11" t="inlineStr">
        <is>
          <t>Span</t>
        </is>
      </c>
      <c r="C229" s="7" t="inlineStr">
        <is>
          <t>reign</t>
        </is>
      </c>
      <c r="D229" s="7" t="inlineStr">
        <is>
          <t>c. 920 B.C.E. – c. 917 B.C.E.</t>
        </is>
      </c>
      <c r="E229" s="7" t="inlineStr">
        <is>
          <t>சுமார் கி.மு. 920 – சுமார் கி.மு. 917</t>
        </is>
      </c>
      <c r="F229" s="7" t="inlineStr">
        <is>
          <t>920 BCE</t>
        </is>
      </c>
      <c r="G229" s="7" t="inlineStr">
        <is>
          <t>Approx. (c.)</t>
        </is>
      </c>
      <c r="H229" s="7" t="inlineStr">
        <is>
          <t>917 BCE</t>
        </is>
      </c>
      <c r="I229" s="7" t="inlineStr">
        <is>
          <t>Approx. (c.)</t>
        </is>
      </c>
      <c r="J229" s="7" t="inlineStr">
        <is>
          <t>2 years</t>
        </is>
      </c>
      <c r="K229" s="2" t="inlineStr">
        <is>
          <t>Reign of Ahaziah (Israel)</t>
        </is>
      </c>
      <c r="L229" s="2" t="n"/>
      <c r="M229" s="7" t="inlineStr">
        <is>
          <t>Ahaziah rules Israel. Starts with Ahaziah (of Israel) becomes king of Israel (2 years) (c. 920 B.C.E.); ends when Jehoram becomes king (b3-0039), as laid out in NWT Appendix A6.</t>
        </is>
      </c>
      <c r="N229" s="7" t="n"/>
      <c r="O229" s="8" t="inlineStr">
        <is>
          <t>Bible</t>
        </is>
      </c>
      <c r="P229" s="7" t="inlineStr">
        <is>
          <t>bible.monarchy</t>
        </is>
      </c>
      <c r="Q229" s="7" t="inlineStr">
        <is>
          <t>reign</t>
        </is>
      </c>
      <c r="R229" s="7" t="inlineStr">
        <is>
          <t>Ahaziah</t>
        </is>
      </c>
      <c r="S229" s="7" t="inlineStr">
        <is>
          <t>Israel</t>
        </is>
      </c>
      <c r="T229" s="7" t="inlineStr">
        <is>
          <t>1 Ki. 22:51, 52; 2 Ki. 3:1</t>
        </is>
      </c>
      <c r="U229" s="7" t="inlineStr">
        <is>
          <t>1 இரா. 22:51, 52; 2 இரா. 3:1</t>
        </is>
      </c>
      <c r="V229" s="7" t="n">
        <v>3</v>
      </c>
      <c r="W229" s="7" t="inlineStr">
        <is>
          <t>A6-A Chart: Prophets and Kings of Judah and of Israel (Part 1)</t>
        </is>
      </c>
      <c r="X229" s="9" t="inlineStr">
        <is>
          <t>open</t>
        </is>
      </c>
      <c r="Y229" s="9" t="inlineStr">
        <is>
          <t>open</t>
        </is>
      </c>
      <c r="Z229" s="7" t="inlineStr">
        <is>
          <t>https://wol.jw.org/en/wol/d/r1/lp-e/1001070206
https://wol.jw.org/en/wol/d/r1/lp-e/1101990130
https://wol.jw.org/en/wol/d/r1/lp-e/1200000970</t>
        </is>
      </c>
      <c r="AA229" s="7" t="n">
        <v>0</v>
      </c>
      <c r="AB229" s="7" t="n"/>
      <c r="AC229" s="7" t="n">
        <v>2</v>
      </c>
      <c r="AD229" s="7" t="inlineStr">
        <is>
          <t>si Study 3 table and Insight "Elijah" give c. 919 B.C.E. (Ahaziah as sole king after Ahab’s death); NWT A6-A and Insight chart give c. 920, when Ahaziah evidently ‘became king’ while Ahab was still living. | The older Aid to Bible Understanding chart (1971) places Jehoram of Israel at 919; NWT A6-A, Insight chart and si give c. 917. Insight notes that in at least one text Ahaziah’s brief reign may have been credited to Jehoram.</t>
        </is>
      </c>
      <c r="AE229" s="7" t="inlineStr">
        <is>
          <t>Start b3-0036; ends when Jehoram becomes king (b3-0039), as laid out in NWT Appendix A6.</t>
        </is>
      </c>
      <c r="AF229" s="7" t="inlineStr">
        <is>
          <t>b3-0036</t>
        </is>
      </c>
      <c r="AG229" s="7" t="inlineStr">
        <is>
          <t>b3-0039</t>
        </is>
      </c>
      <c r="AH229" s="7" t="n"/>
      <c r="AI229" s="7" t="n"/>
      <c r="AJ229" s="7" t="n"/>
      <c r="AK229" s="7" t="inlineStr">
        <is>
          <t>kings-of-israel #8 (ruler); prophets-and-kings-a6 #30 (ruler)</t>
        </is>
      </c>
      <c r="AL229" s="7" t="n"/>
      <c r="AM229" s="7" t="n">
        <v>-919.5</v>
      </c>
      <c r="AN229" s="10" t="n"/>
      <c r="AO229" s="10" t="n"/>
      <c r="AP229" s="10" t="n"/>
      <c r="AQ229" s="10" t="n"/>
    </row>
    <row r="230">
      <c r="A230" s="7" t="inlineStr">
        <is>
          <t>b3-0037</t>
        </is>
      </c>
      <c r="B230" s="7" t="inlineStr">
        <is>
          <t>Point</t>
        </is>
      </c>
      <c r="C230" s="7" t="n"/>
      <c r="D230" s="7" t="inlineStr">
        <is>
          <t>c. 919 B.C.E.</t>
        </is>
      </c>
      <c r="E230" s="7" t="n"/>
      <c r="F230" s="7" t="inlineStr">
        <is>
          <t>919 BCE</t>
        </is>
      </c>
      <c r="G230" s="7" t="inlineStr">
        <is>
          <t>Approx. (c.)</t>
        </is>
      </c>
      <c r="H230" s="7" t="n"/>
      <c r="I230" s="7" t="n"/>
      <c r="J230" s="7" t="n"/>
      <c r="K230" s="2" t="inlineStr">
        <is>
          <t>Jehoram becomes associated with Jehoshaphat in the government</t>
        </is>
      </c>
      <c r="L230" s="2" t="n"/>
      <c r="M230" s="7" t="inlineStr">
        <is>
          <t>Jehoram son of Jehoshaphat becomes associated in some way with his father in ruling Judah.</t>
        </is>
      </c>
      <c r="N230" s="7" t="n"/>
      <c r="O230" s="8" t="inlineStr">
        <is>
          <t>Bible</t>
        </is>
      </c>
      <c r="P230" s="7" t="inlineStr">
        <is>
          <t>bible.monarchy</t>
        </is>
      </c>
      <c r="Q230" s="7" t="inlineStr">
        <is>
          <t>coregency</t>
        </is>
      </c>
      <c r="R230" s="7" t="inlineStr">
        <is>
          <t>Jehoram; Jehoshaphat</t>
        </is>
      </c>
      <c r="S230" s="7" t="inlineStr">
        <is>
          <t>Judah</t>
        </is>
      </c>
      <c r="T230" s="7" t="inlineStr">
        <is>
          <t>2 Ki. 8:16</t>
        </is>
      </c>
      <c r="U230" s="7" t="inlineStr">
        <is>
          <t>2 இரா. 8:16</t>
        </is>
      </c>
      <c r="V230" s="7" t="n">
        <v>1</v>
      </c>
      <c r="W230" s="7" t="inlineStr">
        <is>
          <t>Chronology</t>
        </is>
      </c>
      <c r="X230" s="9" t="inlineStr">
        <is>
          <t>open</t>
        </is>
      </c>
      <c r="Y230" s="7" t="n"/>
      <c r="Z230" s="7" t="inlineStr">
        <is>
          <t>https://wol.jw.org/en/wol/d/r1/lp-e/1200000970</t>
        </is>
      </c>
      <c r="AA230" s="7" t="n">
        <v>0</v>
      </c>
      <c r="AB230" s="7" t="n"/>
      <c r="AC230" s="7" t="n">
        <v>0</v>
      </c>
      <c r="AD230" s="7" t="n"/>
      <c r="AE230" s="7" t="n"/>
      <c r="AF230" s="7" t="n"/>
      <c r="AG230" s="7" t="n"/>
      <c r="AH230" s="7" t="n"/>
      <c r="AI230" s="7" t="n"/>
      <c r="AJ230" s="7" t="n"/>
      <c r="AK230" s="7" t="n"/>
      <c r="AL230" s="7" t="n"/>
      <c r="AM230" s="7" t="n">
        <v>-918.4</v>
      </c>
      <c r="AN230" s="10" t="n"/>
      <c r="AO230" s="10" t="n"/>
      <c r="AP230" s="10" t="n"/>
      <c r="AQ230" s="10" t="n"/>
    </row>
    <row r="231">
      <c r="A231" s="7" t="inlineStr">
        <is>
          <t>b3-0038</t>
        </is>
      </c>
      <c r="B231" s="11" t="inlineStr">
        <is>
          <t>Span</t>
        </is>
      </c>
      <c r="C231" s="7" t="inlineStr">
        <is>
          <t>prophetic activity</t>
        </is>
      </c>
      <c r="D231" s="7" t="inlineStr">
        <is>
          <t>c. 917–c. 857 B.C.E.</t>
        </is>
      </c>
      <c r="E231" s="7" t="n"/>
      <c r="F231" s="7" t="inlineStr">
        <is>
          <t>917 BCE</t>
        </is>
      </c>
      <c r="G231" s="7" t="inlineStr">
        <is>
          <t>Approx. (c.)</t>
        </is>
      </c>
      <c r="H231" s="7" t="inlineStr">
        <is>
          <t>857 BCE</t>
        </is>
      </c>
      <c r="I231" s="7" t="inlineStr">
        <is>
          <t>Approx. (c.)</t>
        </is>
      </c>
      <c r="J231" s="7" t="inlineStr">
        <is>
          <t>c. 60 years</t>
        </is>
      </c>
      <c r="K231" s="2" t="inlineStr">
        <is>
          <t>Prophetic activity of Elisha</t>
        </is>
      </c>
      <c r="L231" s="2" t="inlineStr">
        <is>
          <t>எலிசா</t>
        </is>
      </c>
      <c r="M231" s="7" t="inlineStr">
        <is>
          <t>Elisha succeeds Elijah about 917 B.C.E. and serves about 60 years in Israel, through the reigns of Jehoram, Jehu and Jehoahaz, dying during the reign of Jehoash of Israel.</t>
        </is>
      </c>
      <c r="N231" s="7" t="n"/>
      <c r="O231" s="8" t="inlineStr">
        <is>
          <t>Bible</t>
        </is>
      </c>
      <c r="P231" s="7" t="inlineStr">
        <is>
          <t>bible.prophet</t>
        </is>
      </c>
      <c r="Q231" s="7" t="inlineStr">
        <is>
          <t>prophet_activity</t>
        </is>
      </c>
      <c r="R231" s="7" t="inlineStr">
        <is>
          <t>Elisha</t>
        </is>
      </c>
      <c r="S231" s="7" t="n"/>
      <c r="T231" s="7" t="inlineStr">
        <is>
          <t>2 Ki. 2:1, 11-15; 2 Ki. 13:14-20</t>
        </is>
      </c>
      <c r="U231" s="7" t="inlineStr">
        <is>
          <t>2 இரா. 2:1, 11-15; 2 இரா. 13:14-20</t>
        </is>
      </c>
      <c r="V231" s="7" t="n">
        <v>3</v>
      </c>
      <c r="W231" s="7" t="inlineStr">
        <is>
          <t>A6-A Chart: Prophets and Kings of Judah and of Israel (Part 1)</t>
        </is>
      </c>
      <c r="X231" s="9" t="inlineStr">
        <is>
          <t>open</t>
        </is>
      </c>
      <c r="Y231" s="9" t="inlineStr">
        <is>
          <t>open</t>
        </is>
      </c>
      <c r="Z231" s="7" t="inlineStr">
        <is>
          <t>https://wol.jw.org/en/wol/d/r1/lp-e/1001070206
https://wol.jw.org/en/wol/d/r1/lp-e/1200001316
https://wol.jw.org/en/wol/d/r1/lp-e/1200000970</t>
        </is>
      </c>
      <c r="AA231" s="7" t="n">
        <v>2</v>
      </c>
      <c r="AB231" s="9" t="inlineStr">
        <is>
          <t>open</t>
        </is>
      </c>
      <c r="AC231" s="7" t="n">
        <v>0</v>
      </c>
      <c r="AD231" s="7" t="n"/>
      <c r="AE231" s="7" t="n"/>
      <c r="AF231" s="7" t="n"/>
      <c r="AG231" s="7" t="n"/>
      <c r="AH231" s="7" t="n"/>
      <c r="AI231" s="7" t="n"/>
      <c r="AJ231" s="7" t="n"/>
      <c r="AK231" s="7" t="inlineStr">
        <is>
          <t>prophets-and-kings-a6 #48 (item)</t>
        </is>
      </c>
      <c r="AL231" s="7" t="inlineStr">
        <is>
          <t>End year derived: Insight says Elisha "enjoyed about 60 years of ministry by himself after Elijah’s departure" and died during the reign of Jehoash of Israel (sole king c. 859). The A6 chart shows this prophet as an undated bar; range years come from the cited text sources. title_ta is the prophet’s name as printed in the Tamil A6 list.</t>
        </is>
      </c>
      <c r="AM231" s="7" t="n">
        <v>-917</v>
      </c>
      <c r="AN231" s="10" t="n"/>
      <c r="AO231" s="10" t="n"/>
      <c r="AP231" s="10" t="n"/>
      <c r="AQ231" s="10" t="n"/>
    </row>
    <row r="232">
      <c r="A232" s="7" t="inlineStr">
        <is>
          <t>b3-0039</t>
        </is>
      </c>
      <c r="B232" s="7" t="inlineStr">
        <is>
          <t>Point</t>
        </is>
      </c>
      <c r="C232" s="7" t="n"/>
      <c r="D232" s="7" t="inlineStr">
        <is>
          <t>c. 917 B.C.E.</t>
        </is>
      </c>
      <c r="E232" s="7" t="inlineStr">
        <is>
          <t>சுமார் கி.மு. 917</t>
        </is>
      </c>
      <c r="F232" s="7" t="inlineStr">
        <is>
          <t>917 BCE</t>
        </is>
      </c>
      <c r="G232" s="7" t="inlineStr">
        <is>
          <t>Approx. (c.)</t>
        </is>
      </c>
      <c r="H232" s="7" t="n"/>
      <c r="I232" s="7" t="n"/>
      <c r="J232" s="7" t="n"/>
      <c r="K232" s="2" t="inlineStr">
        <is>
          <t>Jehoram (of Israel) becomes king of Israel (12 years)</t>
        </is>
      </c>
      <c r="L232" s="2" t="inlineStr">
        <is>
          <t>யோராம்: 12 வருஷங்கள்</t>
        </is>
      </c>
      <c r="M232" s="7" t="inlineStr">
        <is>
          <t>Jehoram (of Israel) begins to reign over the northern ten-tribe kingdom of Israel; the NWT chart gives a reign of 12 years.</t>
        </is>
      </c>
      <c r="N232" s="7" t="inlineStr">
        <is>
          <t>அகசியாவுக்குப் பின் இஸ்ரவேலின் யோராம் தனி அரசனாகிறான்</t>
        </is>
      </c>
      <c r="O232" s="8" t="inlineStr">
        <is>
          <t>Bible</t>
        </is>
      </c>
      <c r="P232" s="7" t="inlineStr">
        <is>
          <t>bible.monarchy</t>
        </is>
      </c>
      <c r="Q232" s="7" t="inlineStr">
        <is>
          <t>accession</t>
        </is>
      </c>
      <c r="R232" s="7" t="inlineStr">
        <is>
          <t>Jehoram</t>
        </is>
      </c>
      <c r="S232" s="7" t="inlineStr">
        <is>
          <t>Israel</t>
        </is>
      </c>
      <c r="T232" s="7" t="inlineStr">
        <is>
          <t>2 Ki. 3:1</t>
        </is>
      </c>
      <c r="U232" s="7" t="inlineStr">
        <is>
          <t>2 இரா. 3:1</t>
        </is>
      </c>
      <c r="V232" s="7" t="n">
        <v>3</v>
      </c>
      <c r="W232" s="7" t="inlineStr">
        <is>
          <t>A6-A Chart: Prophets and Kings of Judah and of Israel (Part 1)</t>
        </is>
      </c>
      <c r="X232" s="9" t="inlineStr">
        <is>
          <t>open</t>
        </is>
      </c>
      <c r="Y232" s="9" t="inlineStr">
        <is>
          <t>open</t>
        </is>
      </c>
      <c r="Z232" s="7" t="inlineStr">
        <is>
          <t>https://wol.jw.org/en/wol/d/r1/lp-e/1001070206
https://wol.jw.org/en/wol/d/r1/lp-e/1101990130
https://wol.jw.org/en/wol/d/r1/lp-e/1200000970</t>
        </is>
      </c>
      <c r="AA232" s="7" t="n">
        <v>2</v>
      </c>
      <c r="AB232" s="9" t="inlineStr">
        <is>
          <t>open</t>
        </is>
      </c>
      <c r="AC232" s="7" t="n">
        <v>1</v>
      </c>
      <c r="AD232" s="7" t="inlineStr">
        <is>
          <t>The older Aid to Bible Understanding chart (1971) places Jehoram of Israel at 919; NWT A6-A, Insight chart and si give c. 917. Insight notes that in at least one text Ahaziah’s brief reign may have been credited to Jehoram.</t>
        </is>
      </c>
      <c r="AE232" s="7" t="n"/>
      <c r="AF232" s="7" t="n"/>
      <c r="AG232" s="7" t="n"/>
      <c r="AH232" s="7" t="n"/>
      <c r="AI232" s="7" t="inlineStr">
        <is>
          <t>Covered by span – hide on chart</t>
        </is>
      </c>
      <c r="AJ232" s="7" t="inlineStr">
        <is>
          <t>end of Reign of Ahaziah (Israel) (d1-0059); start of Reign of Jehoram (Israel) (d1-0060)</t>
        </is>
      </c>
      <c r="AK232" s="7" t="n"/>
      <c r="AL232" s="7" t="n"/>
      <c r="AM232" s="7" t="n">
        <v>-916.5</v>
      </c>
      <c r="AN232" s="10" t="n"/>
      <c r="AO232" s="10" t="n"/>
      <c r="AP232" s="10" t="n"/>
      <c r="AQ232" s="10" t="n"/>
    </row>
    <row r="233">
      <c r="A233" s="7" t="inlineStr">
        <is>
          <t>d1-0060</t>
        </is>
      </c>
      <c r="B233" s="11" t="inlineStr">
        <is>
          <t>Span</t>
        </is>
      </c>
      <c r="C233" s="7" t="inlineStr">
        <is>
          <t>reign</t>
        </is>
      </c>
      <c r="D233" s="7" t="inlineStr">
        <is>
          <t>c. 917 B.C.E. – c. 905 B.C.E.</t>
        </is>
      </c>
      <c r="E233" s="7" t="inlineStr">
        <is>
          <t>சுமார் கி.மு. 917 – சுமார் கி.மு. 905</t>
        </is>
      </c>
      <c r="F233" s="7" t="inlineStr">
        <is>
          <t>917 BCE</t>
        </is>
      </c>
      <c r="G233" s="7" t="inlineStr">
        <is>
          <t>Approx. (c.)</t>
        </is>
      </c>
      <c r="H233" s="7" t="inlineStr">
        <is>
          <t>905 BCE</t>
        </is>
      </c>
      <c r="I233" s="7" t="inlineStr">
        <is>
          <t>Approx. (c.)</t>
        </is>
      </c>
      <c r="J233" s="7" t="inlineStr">
        <is>
          <t>12 years</t>
        </is>
      </c>
      <c r="K233" s="2" t="inlineStr">
        <is>
          <t>Reign of Jehoram (Israel)</t>
        </is>
      </c>
      <c r="L233" s="2" t="n"/>
      <c r="M233" s="7" t="inlineStr">
        <is>
          <t>Jehoram rules Israel. Starts with Jehoram (of Israel) becomes king of Israel (12 years) (c. 917 B.C.E.); ends when Jehu becomes king (b3-0043), as laid out in NWT Appendix A6.</t>
        </is>
      </c>
      <c r="N233" s="7" t="n"/>
      <c r="O233" s="8" t="inlineStr">
        <is>
          <t>Bible</t>
        </is>
      </c>
      <c r="P233" s="7" t="inlineStr">
        <is>
          <t>bible.monarchy</t>
        </is>
      </c>
      <c r="Q233" s="7" t="inlineStr">
        <is>
          <t>reign</t>
        </is>
      </c>
      <c r="R233" s="7" t="inlineStr">
        <is>
          <t>Jehoram</t>
        </is>
      </c>
      <c r="S233" s="7" t="inlineStr">
        <is>
          <t>Israel</t>
        </is>
      </c>
      <c r="T233" s="7" t="inlineStr">
        <is>
          <t>2 Ki. 3:1; 2 Ki. 9:24, 27; 2 Ki. 10:36</t>
        </is>
      </c>
      <c r="U233" s="7" t="inlineStr">
        <is>
          <t>2 இரா. 3:1; 2 இரா. 9:24, 27; 2 இரா. 10:36</t>
        </is>
      </c>
      <c r="V233" s="7" t="n">
        <v>3</v>
      </c>
      <c r="W233" s="7" t="inlineStr">
        <is>
          <t>A6-A Chart: Prophets and Kings of Judah and of Israel (Part 1)</t>
        </is>
      </c>
      <c r="X233" s="9" t="inlineStr">
        <is>
          <t>open</t>
        </is>
      </c>
      <c r="Y233" s="9" t="inlineStr">
        <is>
          <t>open</t>
        </is>
      </c>
      <c r="Z233" s="7" t="inlineStr">
        <is>
          <t>https://wol.jw.org/en/wol/d/r1/lp-e/1001070206
https://wol.jw.org/en/wol/d/r1/lp-e/1101990130
https://wol.jw.org/en/wol/d/r1/lp-e/1200000970</t>
        </is>
      </c>
      <c r="AA233" s="7" t="n">
        <v>0</v>
      </c>
      <c r="AB233" s="7" t="n"/>
      <c r="AC233" s="7" t="n">
        <v>1</v>
      </c>
      <c r="AD233" s="7" t="inlineStr">
        <is>
          <t>The older Aid to Bible Understanding chart (1971) places Jehoram of Israel at 919; NWT A6-A, Insight chart and si give c. 917. Insight notes that in at least one text Ahaziah’s brief reign may have been credited to Jehoram.</t>
        </is>
      </c>
      <c r="AE233" s="7" t="inlineStr">
        <is>
          <t>Start b3-0039; ends when Jehu becomes king (b3-0043), as laid out in NWT Appendix A6.</t>
        </is>
      </c>
      <c r="AF233" s="7" t="inlineStr">
        <is>
          <t>b3-0039</t>
        </is>
      </c>
      <c r="AG233" s="7" t="inlineStr">
        <is>
          <t>b3-0043</t>
        </is>
      </c>
      <c r="AH233" s="7" t="n"/>
      <c r="AI233" s="7" t="n"/>
      <c r="AJ233" s="7" t="n"/>
      <c r="AK233" s="7" t="inlineStr">
        <is>
          <t>kings-of-israel #9 (ruler); prophets-and-kings-a6 #31 (ruler)</t>
        </is>
      </c>
      <c r="AL233" s="7" t="n"/>
      <c r="AM233" s="7" t="n">
        <v>-916.5</v>
      </c>
      <c r="AN233" s="10" t="n"/>
      <c r="AO233" s="10" t="n"/>
      <c r="AP233" s="10" t="n"/>
      <c r="AQ233" s="10" t="n"/>
    </row>
    <row r="234">
      <c r="A234" s="7" t="inlineStr">
        <is>
          <t>b3-0040</t>
        </is>
      </c>
      <c r="B234" s="7" t="inlineStr">
        <is>
          <t>Point</t>
        </is>
      </c>
      <c r="C234" s="7" t="n"/>
      <c r="D234" s="7" t="inlineStr">
        <is>
          <t>913 B.C.E.</t>
        </is>
      </c>
      <c r="E234" s="7" t="inlineStr">
        <is>
          <t>கி.மு. 913</t>
        </is>
      </c>
      <c r="F234" s="7" t="inlineStr">
        <is>
          <t>913 BCE</t>
        </is>
      </c>
      <c r="G234" s="7" t="inlineStr">
        <is>
          <t>Exact</t>
        </is>
      </c>
      <c r="H234" s="7" t="n"/>
      <c r="I234" s="7" t="n"/>
      <c r="J234" s="7" t="n"/>
      <c r="K234" s="2" t="inlineStr">
        <is>
          <t>Jehoram (of Judah) becomes king of Judah (8 years)</t>
        </is>
      </c>
      <c r="L234" s="2" t="inlineStr">
        <is>
          <t>யோராம்: 8 வருஷங்கள்</t>
        </is>
      </c>
      <c r="M234" s="7" t="inlineStr">
        <is>
          <t>Jehoram (of Judah) begins to reign over the southern two-tribe kingdom of Judah; the NWT chart gives a reign of 8 years.</t>
        </is>
      </c>
      <c r="N234" s="7" t="inlineStr">
        <is>
          <t>யூதாவின் யோராம் யோசபாத்துடன் ‘ராஜ்யபாரம் பண்ணத்’ தொடங்குகிறான்</t>
        </is>
      </c>
      <c r="O234" s="8" t="inlineStr">
        <is>
          <t>Bible</t>
        </is>
      </c>
      <c r="P234" s="7" t="inlineStr">
        <is>
          <t>bible.monarchy</t>
        </is>
      </c>
      <c r="Q234" s="7" t="inlineStr">
        <is>
          <t>accession</t>
        </is>
      </c>
      <c r="R234" s="7" t="inlineStr">
        <is>
          <t>Jehoram</t>
        </is>
      </c>
      <c r="S234" s="7" t="inlineStr">
        <is>
          <t>Judah</t>
        </is>
      </c>
      <c r="T234" s="7" t="inlineStr">
        <is>
          <t>2 Ki. 8:16, 17</t>
        </is>
      </c>
      <c r="U234" s="7" t="inlineStr">
        <is>
          <t>2 இரா. 8:16, 17</t>
        </is>
      </c>
      <c r="V234" s="7" t="n">
        <v>3</v>
      </c>
      <c r="W234" s="7" t="inlineStr">
        <is>
          <t>A6-A Chart: Prophets and Kings of Judah and of Israel (Part 1)</t>
        </is>
      </c>
      <c r="X234" s="9" t="inlineStr">
        <is>
          <t>open</t>
        </is>
      </c>
      <c r="Y234" s="9" t="inlineStr">
        <is>
          <t>open</t>
        </is>
      </c>
      <c r="Z234" s="7" t="inlineStr">
        <is>
          <t>https://wol.jw.org/en/wol/d/r1/lp-e/1001070206
https://wol.jw.org/en/wol/d/r1/lp-e/1101990130
https://wol.jw.org/en/wol/d/r1/lp-e/1200000970</t>
        </is>
      </c>
      <c r="AA234" s="7" t="n">
        <v>2</v>
      </c>
      <c r="AB234" s="9" t="inlineStr">
        <is>
          <t>open</t>
        </is>
      </c>
      <c r="AC234" s="7" t="n">
        <v>1</v>
      </c>
      <c r="AD234" s="7" t="inlineStr">
        <is>
          <t>The older Aid to Bible Understanding chart (1971) places Jehoram of Judah’s heading at 919. Insight chart: c. 919 he became associated with his father; 913 official coregent (kingship counted from then); c. 911 sole ruler. NWT A6-A and si use 913.</t>
        </is>
      </c>
      <c r="AE234" s="7" t="n"/>
      <c r="AF234" s="7" t="n"/>
      <c r="AG234" s="7" t="n"/>
      <c r="AH234" s="7" t="n"/>
      <c r="AI234" s="7" t="inlineStr">
        <is>
          <t>Covered by span – hide on chart</t>
        </is>
      </c>
      <c r="AJ234" s="7" t="inlineStr">
        <is>
          <t>end of Reign of Jehoshaphat (Judah) (d1-0035); start of Reign of Jehoram (Judah) (d1-0036)</t>
        </is>
      </c>
      <c r="AK234" s="7" t="n"/>
      <c r="AL234" s="7" t="n"/>
      <c r="AM234" s="7" t="n">
        <v>-912.5</v>
      </c>
      <c r="AN234" s="10" t="n"/>
      <c r="AO234" s="10" t="n"/>
      <c r="AP234" s="10" t="n"/>
      <c r="AQ234" s="10" t="n"/>
    </row>
    <row r="235">
      <c r="A235" s="7" t="inlineStr">
        <is>
          <t>d1-0036</t>
        </is>
      </c>
      <c r="B235" s="11" t="inlineStr">
        <is>
          <t>Span</t>
        </is>
      </c>
      <c r="C235" s="7" t="inlineStr">
        <is>
          <t>reign</t>
        </is>
      </c>
      <c r="D235" s="7" t="inlineStr">
        <is>
          <t>913 B.C.E. – c. 906 B.C.E.</t>
        </is>
      </c>
      <c r="E235" s="7" t="inlineStr">
        <is>
          <t>கி.மு. 913 – சுமார் கி.மு. 906</t>
        </is>
      </c>
      <c r="F235" s="7" t="inlineStr">
        <is>
          <t>913 BCE</t>
        </is>
      </c>
      <c r="G235" s="7" t="inlineStr">
        <is>
          <t>Exact</t>
        </is>
      </c>
      <c r="H235" s="7" t="inlineStr">
        <is>
          <t>906 BCE</t>
        </is>
      </c>
      <c r="I235" s="7" t="inlineStr">
        <is>
          <t>Approx. (c.)</t>
        </is>
      </c>
      <c r="J235" s="7" t="inlineStr">
        <is>
          <t>8 years</t>
        </is>
      </c>
      <c r="K235" s="2" t="inlineStr">
        <is>
          <t>Reign of Jehoram (Judah)</t>
        </is>
      </c>
      <c r="L235" s="2" t="n"/>
      <c r="M235" s="7" t="inlineStr">
        <is>
          <t>Jehoram rules Judah. Starts with Jehoram (of Judah) becomes king of Judah (8 years) (913 B.C.E.); ends when Ahaziah becomes king (b3-0042), as laid out in NWT Appendix A6.</t>
        </is>
      </c>
      <c r="N235" s="7" t="n"/>
      <c r="O235" s="8" t="inlineStr">
        <is>
          <t>Bible</t>
        </is>
      </c>
      <c r="P235" s="7" t="inlineStr">
        <is>
          <t>bible.monarchy</t>
        </is>
      </c>
      <c r="Q235" s="7" t="inlineStr">
        <is>
          <t>reign</t>
        </is>
      </c>
      <c r="R235" s="7" t="inlineStr">
        <is>
          <t>Jehoram</t>
        </is>
      </c>
      <c r="S235" s="7" t="inlineStr">
        <is>
          <t>Judah</t>
        </is>
      </c>
      <c r="T235" s="7" t="inlineStr">
        <is>
          <t>2 Ki. 8:16, 17; 2 Ki. 8:25, 26</t>
        </is>
      </c>
      <c r="U235" s="7" t="inlineStr">
        <is>
          <t>2 இரா. 8:16, 17; 2 இரா. 8:25, 26</t>
        </is>
      </c>
      <c r="V235" s="7" t="n">
        <v>3</v>
      </c>
      <c r="W235" s="7" t="inlineStr">
        <is>
          <t>A6-A Chart: Prophets and Kings of Judah and of Israel (Part 1)</t>
        </is>
      </c>
      <c r="X235" s="9" t="inlineStr">
        <is>
          <t>open</t>
        </is>
      </c>
      <c r="Y235" s="9" t="inlineStr">
        <is>
          <t>open</t>
        </is>
      </c>
      <c r="Z235" s="7" t="inlineStr">
        <is>
          <t>https://wol.jw.org/en/wol/d/r1/lp-e/1001070206
https://wol.jw.org/en/wol/d/r1/lp-e/1101990130
https://wol.jw.org/en/wol/d/r1/lp-e/1200000970</t>
        </is>
      </c>
      <c r="AA235" s="7" t="n">
        <v>0</v>
      </c>
      <c r="AB235" s="7" t="n"/>
      <c r="AC235" s="7" t="n">
        <v>1</v>
      </c>
      <c r="AD235" s="7" t="inlineStr">
        <is>
          <t>The older Aid to Bible Understanding chart (1971) places Jehoram of Judah’s heading at 919. Insight chart: c. 919 he became associated with his father; 913 official coregent (kingship counted from then); c. 911 sole ruler. NWT A6-A and si use 913.</t>
        </is>
      </c>
      <c r="AE235" s="7" t="inlineStr">
        <is>
          <t>Start b3-0040; ends when Ahaziah becomes king (b3-0042), as laid out in NWT Appendix A6.</t>
        </is>
      </c>
      <c r="AF235" s="7" t="inlineStr">
        <is>
          <t>b3-0040</t>
        </is>
      </c>
      <c r="AG235" s="7" t="inlineStr">
        <is>
          <t>b3-0042</t>
        </is>
      </c>
      <c r="AH235" s="7" t="n"/>
      <c r="AI235" s="7" t="n"/>
      <c r="AJ235" s="7" t="n"/>
      <c r="AK235" s="7" t="inlineStr">
        <is>
          <t>kings-of-judah #5 (ruler); messianic-line #39 (item); prophets-and-kings-a6 #5 (ruler)</t>
        </is>
      </c>
      <c r="AL235" s="7" t="inlineStr">
        <is>
          <t>Associated with Jehoshaphat in the government from c. 919 B.C.E. (b3-0037).</t>
        </is>
      </c>
      <c r="AM235" s="7" t="n">
        <v>-912.5</v>
      </c>
      <c r="AN235" s="10" t="n"/>
      <c r="AO235" s="10" t="n"/>
      <c r="AP235" s="10" t="n"/>
      <c r="AQ235" s="10" t="n"/>
    </row>
    <row r="236">
      <c r="A236" s="7" t="inlineStr">
        <is>
          <t>b3-0041</t>
        </is>
      </c>
      <c r="B236" s="7" t="inlineStr">
        <is>
          <t>Point</t>
        </is>
      </c>
      <c r="C236" s="7" t="n"/>
      <c r="D236" s="7" t="inlineStr">
        <is>
          <t>c. 911 B.C.E.</t>
        </is>
      </c>
      <c r="E236" s="7" t="n"/>
      <c r="F236" s="7" t="inlineStr">
        <is>
          <t>911 BCE</t>
        </is>
      </c>
      <c r="G236" s="7" t="inlineStr">
        <is>
          <t>Approx. (c.)</t>
        </is>
      </c>
      <c r="H236" s="7" t="n"/>
      <c r="I236" s="7" t="n"/>
      <c r="J236" s="7" t="n"/>
      <c r="K236" s="2" t="inlineStr">
        <is>
          <t>Jehoshaphat dies; Jehoram becomes sole ruler of Judah</t>
        </is>
      </c>
      <c r="L236" s="2" t="n"/>
      <c r="M236" s="7" t="inlineStr">
        <is>
          <t>King Jehoshaphat of Judah dies and his son Jehoram rules alone. First Kings ends its record with Jehoshaphat’s death.</t>
        </is>
      </c>
      <c r="N236" s="7" t="n"/>
      <c r="O236" s="8" t="inlineStr">
        <is>
          <t>Bible</t>
        </is>
      </c>
      <c r="P236" s="7" t="inlineStr">
        <is>
          <t>bible.monarchy</t>
        </is>
      </c>
      <c r="Q236" s="7" t="inlineStr">
        <is>
          <t>death</t>
        </is>
      </c>
      <c r="R236" s="7" t="inlineStr">
        <is>
          <t>Jehoshaphat; Jehoram</t>
        </is>
      </c>
      <c r="S236" s="7" t="inlineStr">
        <is>
          <t>Judah</t>
        </is>
      </c>
      <c r="T236" s="7" t="inlineStr">
        <is>
          <t>1 Ki. 22:50</t>
        </is>
      </c>
      <c r="U236" s="7" t="inlineStr">
        <is>
          <t>1 இரா. 22:50</t>
        </is>
      </c>
      <c r="V236" s="7" t="n">
        <v>2</v>
      </c>
      <c r="W236" s="7" t="inlineStr">
        <is>
          <t>Chronology</t>
        </is>
      </c>
      <c r="X236" s="9" t="inlineStr">
        <is>
          <t>open</t>
        </is>
      </c>
      <c r="Y236" s="7" t="n"/>
      <c r="Z236" s="7" t="inlineStr">
        <is>
          <t>https://wol.jw.org/en/wol/d/r1/lp-e/1200000970
https://wol.jw.org/en/wol/d/r1/lp-e/1101990072</t>
        </is>
      </c>
      <c r="AA236" s="7" t="n">
        <v>0</v>
      </c>
      <c r="AB236" s="7" t="n"/>
      <c r="AC236" s="7" t="n">
        <v>1</v>
      </c>
      <c r="AD236" s="7" t="inlineStr">
        <is>
          <t>si Bible Book No. 11 gives 911 B.C.E. without "c."; Insight chart gives c. 911.</t>
        </is>
      </c>
      <c r="AE236" s="7" t="n"/>
      <c r="AF236" s="7" t="n"/>
      <c r="AG236" s="7" t="n"/>
      <c r="AH236" s="7" t="n"/>
      <c r="AI236" s="7" t="n"/>
      <c r="AJ236" s="7" t="n"/>
      <c r="AK236" s="7" t="n"/>
      <c r="AL236" s="7" t="n"/>
      <c r="AM236" s="7" t="n">
        <v>-911</v>
      </c>
      <c r="AN236" s="10" t="n"/>
      <c r="AO236" s="10" t="n"/>
      <c r="AP236" s="10" t="n"/>
      <c r="AQ236" s="10" t="n"/>
    </row>
    <row r="237">
      <c r="A237" s="7" t="inlineStr">
        <is>
          <t>b3-0042</t>
        </is>
      </c>
      <c r="B237" s="7" t="inlineStr">
        <is>
          <t>Point</t>
        </is>
      </c>
      <c r="C237" s="7" t="n"/>
      <c r="D237" s="7" t="inlineStr">
        <is>
          <t>c. 906 B.C.E.</t>
        </is>
      </c>
      <c r="E237" s="7" t="inlineStr">
        <is>
          <t>சுமார் கி.மு. 906</t>
        </is>
      </c>
      <c r="F237" s="7" t="inlineStr">
        <is>
          <t>906 BCE</t>
        </is>
      </c>
      <c r="G237" s="7" t="inlineStr">
        <is>
          <t>Approx. (c.)</t>
        </is>
      </c>
      <c r="H237" s="7" t="n"/>
      <c r="I237" s="7" t="n"/>
      <c r="J237" s="7" t="n"/>
      <c r="K237" s="2" t="inlineStr">
        <is>
          <t>Ahaziah (of Judah) becomes king of Judah (1 year)</t>
        </is>
      </c>
      <c r="L237" s="2" t="inlineStr">
        <is>
          <t>அகசியா: 1 வருஷம்</t>
        </is>
      </c>
      <c r="M237" s="7" t="inlineStr">
        <is>
          <t>Ahaziah (of Judah) begins to reign over the southern two-tribe kingdom of Judah; the NWT chart gives a reign of 1 year.</t>
        </is>
      </c>
      <c r="N237" s="7" t="inlineStr">
        <is>
          <t>யோராமுக்குப் பின் அகசியா யூதாவின் அரசனாகிறான்</t>
        </is>
      </c>
      <c r="O237" s="8" t="inlineStr">
        <is>
          <t>Bible</t>
        </is>
      </c>
      <c r="P237" s="7" t="inlineStr">
        <is>
          <t>bible.monarchy</t>
        </is>
      </c>
      <c r="Q237" s="7" t="inlineStr">
        <is>
          <t>accession</t>
        </is>
      </c>
      <c r="R237" s="7" t="inlineStr">
        <is>
          <t>Ahaziah</t>
        </is>
      </c>
      <c r="S237" s="7" t="inlineStr">
        <is>
          <t>Judah</t>
        </is>
      </c>
      <c r="T237" s="7" t="inlineStr">
        <is>
          <t>2 Ki. 8:25, 26</t>
        </is>
      </c>
      <c r="U237" s="7" t="inlineStr">
        <is>
          <t>2 இரா. 8:25, 26</t>
        </is>
      </c>
      <c r="V237" s="7" t="n">
        <v>3</v>
      </c>
      <c r="W237" s="7" t="inlineStr">
        <is>
          <t>A6-A Chart: Prophets and Kings of Judah and of Israel (Part 1)</t>
        </is>
      </c>
      <c r="X237" s="9" t="inlineStr">
        <is>
          <t>open</t>
        </is>
      </c>
      <c r="Y237" s="9" t="inlineStr">
        <is>
          <t>open</t>
        </is>
      </c>
      <c r="Z237" s="7" t="inlineStr">
        <is>
          <t>https://wol.jw.org/en/wol/d/r1/lp-e/1001070206
https://wol.jw.org/en/wol/d/r1/lp-e/1101990130
https://wol.jw.org/en/wol/d/r1/lp-e/1200000970</t>
        </is>
      </c>
      <c r="AA237" s="7" t="n">
        <v>2</v>
      </c>
      <c r="AB237" s="9" t="inlineStr">
        <is>
          <t>open</t>
        </is>
      </c>
      <c r="AC237" s="7" t="n">
        <v>0</v>
      </c>
      <c r="AD237" s="7" t="n"/>
      <c r="AE237" s="7" t="n"/>
      <c r="AF237" s="7" t="n"/>
      <c r="AG237" s="7" t="n"/>
      <c r="AH237" s="7" t="n"/>
      <c r="AI237" s="7" t="inlineStr">
        <is>
          <t>Covered by span – hide on chart</t>
        </is>
      </c>
      <c r="AJ237" s="7" t="inlineStr">
        <is>
          <t>end of Reign of Jehoram (Judah) (d1-0036); start of Reign of Ahaziah (Judah) (d1-0037)</t>
        </is>
      </c>
      <c r="AK237" s="7" t="n"/>
      <c r="AL237" s="7" t="n"/>
      <c r="AM237" s="7" t="n">
        <v>-905.5</v>
      </c>
      <c r="AN237" s="10" t="n"/>
      <c r="AO237" s="10" t="n"/>
      <c r="AP237" s="10" t="n"/>
      <c r="AQ237" s="10" t="n"/>
    </row>
    <row r="238">
      <c r="A238" s="7" t="inlineStr">
        <is>
          <t>d1-0037</t>
        </is>
      </c>
      <c r="B238" s="11" t="inlineStr">
        <is>
          <t>Span</t>
        </is>
      </c>
      <c r="C238" s="7" t="inlineStr">
        <is>
          <t>reign</t>
        </is>
      </c>
      <c r="D238" s="7" t="inlineStr">
        <is>
          <t>c. 906 B.C.E. – c. 905 B.C.E.</t>
        </is>
      </c>
      <c r="E238" s="7" t="inlineStr">
        <is>
          <t>சுமார் கி.மு. 906 – சுமார் கி.மு. 905</t>
        </is>
      </c>
      <c r="F238" s="7" t="inlineStr">
        <is>
          <t>906 BCE</t>
        </is>
      </c>
      <c r="G238" s="7" t="inlineStr">
        <is>
          <t>Approx. (c.)</t>
        </is>
      </c>
      <c r="H238" s="7" t="inlineStr">
        <is>
          <t>905 BCE</t>
        </is>
      </c>
      <c r="I238" s="7" t="inlineStr">
        <is>
          <t>Approx. (c.)</t>
        </is>
      </c>
      <c r="J238" s="7" t="inlineStr">
        <is>
          <t>1 year</t>
        </is>
      </c>
      <c r="K238" s="2" t="inlineStr">
        <is>
          <t>Reign of Ahaziah (Judah)</t>
        </is>
      </c>
      <c r="L238" s="2" t="n"/>
      <c r="M238" s="7" t="inlineStr">
        <is>
          <t>Ahaziah rules Judah. Starts with Ahaziah (of Judah) becomes king of Judah (1 year) (c. 906 B.C.E.); ends when Athaliah becomes king (b3-0044), as laid out in NWT Appendix A6.</t>
        </is>
      </c>
      <c r="N238" s="7" t="n"/>
      <c r="O238" s="8" t="inlineStr">
        <is>
          <t>Bible</t>
        </is>
      </c>
      <c r="P238" s="7" t="inlineStr">
        <is>
          <t>bible.monarchy</t>
        </is>
      </c>
      <c r="Q238" s="7" t="inlineStr">
        <is>
          <t>reign</t>
        </is>
      </c>
      <c r="R238" s="7" t="inlineStr">
        <is>
          <t>Ahaziah</t>
        </is>
      </c>
      <c r="S238" s="7" t="inlineStr">
        <is>
          <t>Judah</t>
        </is>
      </c>
      <c r="T238" s="7" t="inlineStr">
        <is>
          <t>2 Ki. 8:25, 26; 2 Ki. 11:1-3</t>
        </is>
      </c>
      <c r="U238" s="7" t="inlineStr">
        <is>
          <t>2 இரா. 8:25, 26; 2 இரா. 11:1-3</t>
        </is>
      </c>
      <c r="V238" s="7" t="n">
        <v>3</v>
      </c>
      <c r="W238" s="7" t="inlineStr">
        <is>
          <t>A6-A Chart: Prophets and Kings of Judah and of Israel (Part 1)</t>
        </is>
      </c>
      <c r="X238" s="9" t="inlineStr">
        <is>
          <t>open</t>
        </is>
      </c>
      <c r="Y238" s="9" t="inlineStr">
        <is>
          <t>open</t>
        </is>
      </c>
      <c r="Z238" s="7" t="inlineStr">
        <is>
          <t>https://wol.jw.org/en/wol/d/r1/lp-e/1001070206
https://wol.jw.org/en/wol/d/r1/lp-e/1101990130
https://wol.jw.org/en/wol/d/r1/lp-e/1200000970</t>
        </is>
      </c>
      <c r="AA238" s="7" t="n">
        <v>0</v>
      </c>
      <c r="AB238" s="7" t="n"/>
      <c r="AC238" s="7" t="n">
        <v>0</v>
      </c>
      <c r="AD238" s="7" t="n"/>
      <c r="AE238" s="7" t="inlineStr">
        <is>
          <t>Start b3-0042; ends when Athaliah becomes king (b3-0044), as laid out in NWT Appendix A6.</t>
        </is>
      </c>
      <c r="AF238" s="7" t="inlineStr">
        <is>
          <t>b3-0042</t>
        </is>
      </c>
      <c r="AG238" s="7" t="inlineStr">
        <is>
          <t>b3-0044</t>
        </is>
      </c>
      <c r="AH238" s="7" t="n"/>
      <c r="AI238" s="7" t="n"/>
      <c r="AJ238" s="7" t="n"/>
      <c r="AK238" s="7" t="inlineStr">
        <is>
          <t>kings-of-judah #6 (ruler); messianic-line #40 (item); prophets-and-kings-a6 #6 (ruler)</t>
        </is>
      </c>
      <c r="AL238" s="7" t="n"/>
      <c r="AM238" s="7" t="n">
        <v>-905.5</v>
      </c>
      <c r="AN238" s="10" t="n"/>
      <c r="AO238" s="10" t="n"/>
      <c r="AP238" s="10" t="n"/>
      <c r="AQ238" s="10" t="n"/>
    </row>
    <row r="239">
      <c r="A239" s="7" t="inlineStr">
        <is>
          <t>b3-0043</t>
        </is>
      </c>
      <c r="B239" s="7" t="inlineStr">
        <is>
          <t>Point</t>
        </is>
      </c>
      <c r="C239" s="7" t="n"/>
      <c r="D239" s="7" t="inlineStr">
        <is>
          <t>c. 905 B.C.E.</t>
        </is>
      </c>
      <c r="E239" s="7" t="inlineStr">
        <is>
          <t>சுமார் கி.மு. 905</t>
        </is>
      </c>
      <c r="F239" s="7" t="inlineStr">
        <is>
          <t>905 BCE</t>
        </is>
      </c>
      <c r="G239" s="7" t="inlineStr">
        <is>
          <t>Approx. (c.)</t>
        </is>
      </c>
      <c r="H239" s="7" t="n"/>
      <c r="I239" s="7" t="n"/>
      <c r="J239" s="7" t="n"/>
      <c r="K239" s="2" t="inlineStr">
        <is>
          <t>Jehu becomes king of Israel (28 years)</t>
        </is>
      </c>
      <c r="L239" s="2" t="inlineStr">
        <is>
          <t>யெகூ: 28 வருஷங்கள்</t>
        </is>
      </c>
      <c r="M239" s="7" t="inlineStr">
        <is>
          <t>Jehu begins to reign over the northern ten-tribe kingdom of Israel; the NWT chart gives a reign of 28 years. Jehu killed Jehoram of Israel and Ahaziah of Judah.</t>
        </is>
      </c>
      <c r="N239" s="7" t="inlineStr">
        <is>
          <t>யோராமுக்குப் பின் யெகூ இஸ்ரவேலின் அரசனாகிறார்</t>
        </is>
      </c>
      <c r="O239" s="8" t="inlineStr">
        <is>
          <t>Bible</t>
        </is>
      </c>
      <c r="P239" s="7" t="inlineStr">
        <is>
          <t>bible.monarchy</t>
        </is>
      </c>
      <c r="Q239" s="7" t="inlineStr">
        <is>
          <t>accession</t>
        </is>
      </c>
      <c r="R239" s="7" t="inlineStr">
        <is>
          <t>Jehu</t>
        </is>
      </c>
      <c r="S239" s="7" t="inlineStr">
        <is>
          <t>Israel</t>
        </is>
      </c>
      <c r="T239" s="7" t="inlineStr">
        <is>
          <t>2 Ki. 9:24, 27; 2 Ki. 10:36</t>
        </is>
      </c>
      <c r="U239" s="7" t="inlineStr">
        <is>
          <t>2 இரா. 9:24, 27; 2 இரா. 10:36</t>
        </is>
      </c>
      <c r="V239" s="7" t="n">
        <v>3</v>
      </c>
      <c r="W239" s="7" t="inlineStr">
        <is>
          <t>A6-A Chart: Prophets and Kings of Judah and of Israel (Part 1)</t>
        </is>
      </c>
      <c r="X239" s="9" t="inlineStr">
        <is>
          <t>open</t>
        </is>
      </c>
      <c r="Y239" s="9" t="inlineStr">
        <is>
          <t>open</t>
        </is>
      </c>
      <c r="Z239" s="7" t="inlineStr">
        <is>
          <t>https://wol.jw.org/en/wol/d/r1/lp-e/1001070206
https://wol.jw.org/en/wol/d/r1/lp-e/1101990130
https://wol.jw.org/en/wol/d/r1/lp-e/1200000970</t>
        </is>
      </c>
      <c r="AA239" s="7" t="n">
        <v>2</v>
      </c>
      <c r="AB239" s="9" t="inlineStr">
        <is>
          <t>open</t>
        </is>
      </c>
      <c r="AC239" s="7" t="n">
        <v>0</v>
      </c>
      <c r="AD239" s="7" t="n"/>
      <c r="AE239" s="7" t="n"/>
      <c r="AF239" s="7" t="n"/>
      <c r="AG239" s="7" t="n"/>
      <c r="AH239" s="7" t="n"/>
      <c r="AI239" s="7" t="inlineStr">
        <is>
          <t>Covered by span – hide on chart</t>
        </is>
      </c>
      <c r="AJ239" s="7" t="inlineStr">
        <is>
          <t>end of Reign of Jehoram (Israel) (d1-0060); start of Reign of Jehu (Israel) (d1-0061)</t>
        </is>
      </c>
      <c r="AK239" s="7" t="n"/>
      <c r="AL239" s="7" t="n"/>
      <c r="AM239" s="7" t="n">
        <v>-904.61</v>
      </c>
      <c r="AN239" s="10" t="n"/>
      <c r="AO239" s="10" t="n"/>
      <c r="AP239" s="10" t="n"/>
      <c r="AQ239" s="10" t="n"/>
    </row>
    <row r="240">
      <c r="A240" s="7" t="inlineStr">
        <is>
          <t>d1-0061</t>
        </is>
      </c>
      <c r="B240" s="11" t="inlineStr">
        <is>
          <t>Span</t>
        </is>
      </c>
      <c r="C240" s="7" t="inlineStr">
        <is>
          <t>reign</t>
        </is>
      </c>
      <c r="D240" s="7" t="inlineStr">
        <is>
          <t>c. 905 B.C.E. – 876 B.C.E.</t>
        </is>
      </c>
      <c r="E240" s="7" t="inlineStr">
        <is>
          <t>சுமார் கி.மு. 905 – கி.மு. 876</t>
        </is>
      </c>
      <c r="F240" s="7" t="inlineStr">
        <is>
          <t>905 BCE</t>
        </is>
      </c>
      <c r="G240" s="7" t="inlineStr">
        <is>
          <t>Approx. (c.)</t>
        </is>
      </c>
      <c r="H240" s="7" t="inlineStr">
        <is>
          <t>876 BCE</t>
        </is>
      </c>
      <c r="I240" s="7" t="inlineStr">
        <is>
          <t>Exact</t>
        </is>
      </c>
      <c r="J240" s="7" t="inlineStr">
        <is>
          <t>28 years</t>
        </is>
      </c>
      <c r="K240" s="2" t="inlineStr">
        <is>
          <t>Reign of Jehu (Israel)</t>
        </is>
      </c>
      <c r="L240" s="2" t="n"/>
      <c r="M240" s="7" t="inlineStr">
        <is>
          <t>Jehu rules Israel. Starts with Jehu becomes king of Israel (28 years) (c. 905 B.C.E.); ends when Jehoahaz becomes king (b3-0046), as laid out in NWT Appendix A6.</t>
        </is>
      </c>
      <c r="N240" s="7" t="n"/>
      <c r="O240" s="8" t="inlineStr">
        <is>
          <t>Bible</t>
        </is>
      </c>
      <c r="P240" s="7" t="inlineStr">
        <is>
          <t>bible.monarchy</t>
        </is>
      </c>
      <c r="Q240" s="7" t="inlineStr">
        <is>
          <t>reign</t>
        </is>
      </c>
      <c r="R240" s="7" t="inlineStr">
        <is>
          <t>Jehu</t>
        </is>
      </c>
      <c r="S240" s="7" t="inlineStr">
        <is>
          <t>Israel</t>
        </is>
      </c>
      <c r="T240" s="7" t="inlineStr">
        <is>
          <t>2 Ki. 9:24, 27; 2 Ki. 10:36; 2 Ki. 13:1</t>
        </is>
      </c>
      <c r="U240" s="7" t="inlineStr">
        <is>
          <t>2 இரா. 9:24, 27; 2 இரா. 10:36; 2 இரா. 13:1</t>
        </is>
      </c>
      <c r="V240" s="7" t="n">
        <v>3</v>
      </c>
      <c r="W240" s="7" t="inlineStr">
        <is>
          <t>A6-A Chart: Prophets and Kings of Judah and of Israel (Part 1)</t>
        </is>
      </c>
      <c r="X240" s="9" t="inlineStr">
        <is>
          <t>open</t>
        </is>
      </c>
      <c r="Y240" s="9" t="inlineStr">
        <is>
          <t>open</t>
        </is>
      </c>
      <c r="Z240" s="7" t="inlineStr">
        <is>
          <t>https://wol.jw.org/en/wol/d/r1/lp-e/1001070206
https://wol.jw.org/en/wol/d/r1/lp-e/1101990130
https://wol.jw.org/en/wol/d/r1/lp-e/1200000970</t>
        </is>
      </c>
      <c r="AA240" s="7" t="n">
        <v>0</v>
      </c>
      <c r="AB240" s="7" t="n"/>
      <c r="AC240" s="7" t="n">
        <v>1</v>
      </c>
      <c r="AD240" s="7" t="inlineStr">
        <is>
          <t>Insight chart gives Jehoahaz a 17-year reign from 876; NWT A6-A splits this into 14 years alone plus 3 years jointly with Jehoash (c. 862), totaling 17 — presentation difference, not a date conflict.</t>
        </is>
      </c>
      <c r="AE240" s="7" t="inlineStr">
        <is>
          <t>Start b3-0043; ends when Jehoahaz becomes king (b3-0046), as laid out in NWT Appendix A6.</t>
        </is>
      </c>
      <c r="AF240" s="7" t="inlineStr">
        <is>
          <t>b3-0043</t>
        </is>
      </c>
      <c r="AG240" s="7" t="inlineStr">
        <is>
          <t>b3-0046</t>
        </is>
      </c>
      <c r="AH240" s="7" t="n"/>
      <c r="AI240" s="7" t="n"/>
      <c r="AJ240" s="7" t="n"/>
      <c r="AK240" s="7" t="inlineStr">
        <is>
          <t>kings-of-israel #10 (ruler); prophets-and-kings-a6 #32 (ruler)</t>
        </is>
      </c>
      <c r="AL240" s="7" t="n"/>
      <c r="AM240" s="7" t="n">
        <v>-904.61</v>
      </c>
      <c r="AN240" s="10" t="n"/>
      <c r="AO240" s="10" t="n"/>
      <c r="AP240" s="10" t="n"/>
      <c r="AQ240" s="10" t="n"/>
    </row>
    <row r="241">
      <c r="A241" s="7" t="inlineStr">
        <is>
          <t>b3-0044</t>
        </is>
      </c>
      <c r="B241" s="7" t="inlineStr">
        <is>
          <t>Point</t>
        </is>
      </c>
      <c r="C241" s="7" t="n"/>
      <c r="D241" s="7" t="inlineStr">
        <is>
          <t>c. 905 B.C.E.</t>
        </is>
      </c>
      <c r="E241" s="7" t="inlineStr">
        <is>
          <t>சுமார் கி.மு. 905</t>
        </is>
      </c>
      <c r="F241" s="7" t="inlineStr">
        <is>
          <t>905 BCE</t>
        </is>
      </c>
      <c r="G241" s="7" t="inlineStr">
        <is>
          <t>Approx. (c.)</t>
        </is>
      </c>
      <c r="H241" s="7" t="n"/>
      <c r="I241" s="7" t="n"/>
      <c r="J241" s="7" t="n"/>
      <c r="K241" s="2" t="inlineStr">
        <is>
          <t>Queen Athaliah usurps the throne of Judah (6 years)</t>
        </is>
      </c>
      <c r="L241" s="2" t="inlineStr">
        <is>
          <t>அத்தாலியாள் ராணி: 6 வருஷங்கள்</t>
        </is>
      </c>
      <c r="M241" s="7" t="inlineStr">
        <is>
          <t>Queen Athaliah begins to reign over the southern two-tribe kingdom of Judah; the NWT chart gives a reign of 6 years. She usurped the throne after the death of her son Ahaziah.</t>
        </is>
      </c>
      <c r="N241" s="7" t="inlineStr">
        <is>
          <t>அத்தாலியாள் அரசி யூதாவின் சிங்காசனத்தை கைப்பற்றுகிறாள்</t>
        </is>
      </c>
      <c r="O241" s="8" t="inlineStr">
        <is>
          <t>Bible</t>
        </is>
      </c>
      <c r="P241" s="7" t="inlineStr">
        <is>
          <t>bible.monarchy</t>
        </is>
      </c>
      <c r="Q241" s="7" t="inlineStr">
        <is>
          <t>accession</t>
        </is>
      </c>
      <c r="R241" s="7" t="inlineStr">
        <is>
          <t>Athaliah</t>
        </is>
      </c>
      <c r="S241" s="7" t="inlineStr">
        <is>
          <t>Judah</t>
        </is>
      </c>
      <c r="T241" s="7" t="inlineStr">
        <is>
          <t>2 Ki. 11:1-3</t>
        </is>
      </c>
      <c r="U241" s="7" t="inlineStr">
        <is>
          <t>2 இரா. 11:1-3</t>
        </is>
      </c>
      <c r="V241" s="7" t="n">
        <v>3</v>
      </c>
      <c r="W241" s="7" t="inlineStr">
        <is>
          <t>A6-A Chart: Prophets and Kings of Judah and of Israel (Part 1)</t>
        </is>
      </c>
      <c r="X241" s="9" t="inlineStr">
        <is>
          <t>open</t>
        </is>
      </c>
      <c r="Y241" s="9" t="inlineStr">
        <is>
          <t>open</t>
        </is>
      </c>
      <c r="Z241" s="7" t="inlineStr">
        <is>
          <t>https://wol.jw.org/en/wol/d/r1/lp-e/1001070206
https://wol.jw.org/en/wol/d/r1/lp-e/1101990130
https://wol.jw.org/en/wol/d/r1/lp-e/1200000970</t>
        </is>
      </c>
      <c r="AA241" s="7" t="n">
        <v>2</v>
      </c>
      <c r="AB241" s="9" t="inlineStr">
        <is>
          <t>open</t>
        </is>
      </c>
      <c r="AC241" s="7" t="n">
        <v>0</v>
      </c>
      <c r="AD241" s="7" t="n"/>
      <c r="AE241" s="7" t="n"/>
      <c r="AF241" s="7" t="n"/>
      <c r="AG241" s="7" t="n"/>
      <c r="AH241" s="7" t="n"/>
      <c r="AI241" s="7" t="inlineStr">
        <is>
          <t>Covered by span – hide on chart</t>
        </is>
      </c>
      <c r="AJ241" s="7" t="inlineStr">
        <is>
          <t>end of Reign of Ahaziah (Judah) (d1-0037); start of Reign of Athaliah (Judah) (d1-0038)</t>
        </is>
      </c>
      <c r="AK241" s="7" t="n"/>
      <c r="AL241" s="7" t="n"/>
      <c r="AM241" s="7" t="n">
        <v>-904.6</v>
      </c>
      <c r="AN241" s="10" t="n"/>
      <c r="AO241" s="10" t="n"/>
      <c r="AP241" s="10" t="n"/>
      <c r="AQ241" s="10" t="n"/>
    </row>
    <row r="242">
      <c r="A242" s="7" t="inlineStr">
        <is>
          <t>d1-0038</t>
        </is>
      </c>
      <c r="B242" s="11" t="inlineStr">
        <is>
          <t>Span</t>
        </is>
      </c>
      <c r="C242" s="7" t="inlineStr">
        <is>
          <t>reign</t>
        </is>
      </c>
      <c r="D242" s="7" t="inlineStr">
        <is>
          <t>c. 905 B.C.E. – 898 B.C.E.</t>
        </is>
      </c>
      <c r="E242" s="7" t="inlineStr">
        <is>
          <t>சுமார் கி.மு. 905 – கி.மு. 898</t>
        </is>
      </c>
      <c r="F242" s="7" t="inlineStr">
        <is>
          <t>905 BCE</t>
        </is>
      </c>
      <c r="G242" s="7" t="inlineStr">
        <is>
          <t>Approx. (c.)</t>
        </is>
      </c>
      <c r="H242" s="7" t="inlineStr">
        <is>
          <t>898 BCE</t>
        </is>
      </c>
      <c r="I242" s="7" t="inlineStr">
        <is>
          <t>Exact</t>
        </is>
      </c>
      <c r="J242" s="7" t="inlineStr">
        <is>
          <t>6 years</t>
        </is>
      </c>
      <c r="K242" s="2" t="inlineStr">
        <is>
          <t>Reign of Athaliah (Judah)</t>
        </is>
      </c>
      <c r="L242" s="2" t="n"/>
      <c r="M242" s="7" t="inlineStr">
        <is>
          <t>Athaliah rules Judah. Starts with Queen Athaliah usurps the throne of Judah (6 years) (c. 905 B.C.E.); ends when Jehoash becomes king (b3-0045), as laid out in NWT Appendix A6.</t>
        </is>
      </c>
      <c r="N242" s="7" t="n"/>
      <c r="O242" s="8" t="inlineStr">
        <is>
          <t>Bible</t>
        </is>
      </c>
      <c r="P242" s="7" t="inlineStr">
        <is>
          <t>bible.monarchy</t>
        </is>
      </c>
      <c r="Q242" s="7" t="inlineStr">
        <is>
          <t>reign</t>
        </is>
      </c>
      <c r="R242" s="7" t="inlineStr">
        <is>
          <t>Athaliah</t>
        </is>
      </c>
      <c r="S242" s="7" t="inlineStr">
        <is>
          <t>Judah</t>
        </is>
      </c>
      <c r="T242" s="7" t="inlineStr">
        <is>
          <t>2 Ki. 11:1-3; 2 Ki. 12:1</t>
        </is>
      </c>
      <c r="U242" s="7" t="inlineStr">
        <is>
          <t>2 இரா. 11:1-3; 2 இரா. 12:1</t>
        </is>
      </c>
      <c r="V242" s="7" t="n">
        <v>4</v>
      </c>
      <c r="W242" s="7" t="inlineStr">
        <is>
          <t>A6-A Chart: Prophets and Kings of Judah and of Israel (Part 1)</t>
        </is>
      </c>
      <c r="X242" s="9" t="inlineStr">
        <is>
          <t>open</t>
        </is>
      </c>
      <c r="Y242" s="9" t="inlineStr">
        <is>
          <t>open</t>
        </is>
      </c>
      <c r="Z242" s="7" t="inlineStr">
        <is>
          <t>https://wol.jw.org/en/wol/d/r1/lp-e/1001070206
https://wol.jw.org/en/wol/d/r1/lp-e/1101990130
https://wol.jw.org/en/wol/d/r1/lp-e/1200000970
https://wol.jw.org/en/wol/d/r1/lp-e/1200004359</t>
        </is>
      </c>
      <c r="AA242" s="7" t="n">
        <v>0</v>
      </c>
      <c r="AB242" s="7" t="n"/>
      <c r="AC242" s="7" t="n">
        <v>0</v>
      </c>
      <c r="AD242" s="7" t="n"/>
      <c r="AE242" s="7" t="inlineStr">
        <is>
          <t>Start b3-0044; ends when Jehoash becomes king (b3-0045), as laid out in NWT Appendix A6.</t>
        </is>
      </c>
      <c r="AF242" s="7" t="inlineStr">
        <is>
          <t>b3-0044</t>
        </is>
      </c>
      <c r="AG242" s="7" t="inlineStr">
        <is>
          <t>b3-0045</t>
        </is>
      </c>
      <c r="AH242" s="7" t="n"/>
      <c r="AI242" s="7" t="n"/>
      <c r="AJ242" s="7" t="n"/>
      <c r="AK242" s="7" t="inlineStr">
        <is>
          <t>kings-of-judah #7 (ruler); prophets-and-kings-a6 #7 (ruler)</t>
        </is>
      </c>
      <c r="AL242" s="7" t="n"/>
      <c r="AM242" s="7" t="n">
        <v>-904.6</v>
      </c>
      <c r="AN242" s="10" t="n"/>
      <c r="AO242" s="10" t="n"/>
      <c r="AP242" s="10" t="n"/>
      <c r="AQ242" s="10" t="n"/>
    </row>
    <row r="243">
      <c r="A243" s="7" t="inlineStr">
        <is>
          <t>b3-0045</t>
        </is>
      </c>
      <c r="B243" s="7" t="inlineStr">
        <is>
          <t>Point</t>
        </is>
      </c>
      <c r="C243" s="7" t="n"/>
      <c r="D243" s="7" t="inlineStr">
        <is>
          <t>898 B.C.E.</t>
        </is>
      </c>
      <c r="E243" s="7" t="inlineStr">
        <is>
          <t>கி.மு. 898</t>
        </is>
      </c>
      <c r="F243" s="7" t="inlineStr">
        <is>
          <t>898 BCE</t>
        </is>
      </c>
      <c r="G243" s="7" t="inlineStr">
        <is>
          <t>Exact</t>
        </is>
      </c>
      <c r="H243" s="7" t="n"/>
      <c r="I243" s="7" t="n"/>
      <c r="J243" s="7" t="n"/>
      <c r="K243" s="2" t="inlineStr">
        <is>
          <t>Jehoash (of Judah) becomes king of Judah (40 years)</t>
        </is>
      </c>
      <c r="L243" s="2" t="inlineStr">
        <is>
          <t>யோவாஸ்: 40 வருஷங்கள்</t>
        </is>
      </c>
      <c r="M243" s="7" t="inlineStr">
        <is>
          <t>Jehoash (of Judah) begins to reign over the southern two-tribe kingdom of Judah; the NWT chart gives a reign of 40 years.</t>
        </is>
      </c>
      <c r="N243" s="7" t="inlineStr">
        <is>
          <t>அகசியாவுக்குப் பின் யோவாஸ் யூதாவின் அரசனாகிறார்</t>
        </is>
      </c>
      <c r="O243" s="8" t="inlineStr">
        <is>
          <t>Bible</t>
        </is>
      </c>
      <c r="P243" s="7" t="inlineStr">
        <is>
          <t>bible.monarchy</t>
        </is>
      </c>
      <c r="Q243" s="7" t="inlineStr">
        <is>
          <t>accession</t>
        </is>
      </c>
      <c r="R243" s="7" t="inlineStr">
        <is>
          <t>Jehoash</t>
        </is>
      </c>
      <c r="S243" s="7" t="inlineStr">
        <is>
          <t>Judah</t>
        </is>
      </c>
      <c r="T243" s="7" t="inlineStr">
        <is>
          <t>2 Ki. 12:1</t>
        </is>
      </c>
      <c r="U243" s="7" t="inlineStr">
        <is>
          <t>2 இரா. 12:1</t>
        </is>
      </c>
      <c r="V243" s="7" t="n">
        <v>4</v>
      </c>
      <c r="W243" s="7" t="inlineStr">
        <is>
          <t>A6-A Chart: Prophets and Kings of Judah and of Israel (Part 1)</t>
        </is>
      </c>
      <c r="X243" s="9" t="inlineStr">
        <is>
          <t>open</t>
        </is>
      </c>
      <c r="Y243" s="9" t="inlineStr">
        <is>
          <t>open</t>
        </is>
      </c>
      <c r="Z243" s="7" t="inlineStr">
        <is>
          <t>https://wol.jw.org/en/wol/d/r1/lp-e/1001070206
https://wol.jw.org/en/wol/d/r1/lp-e/1101990130
https://wol.jw.org/en/wol/d/r1/lp-e/1200000970
https://wol.jw.org/en/wol/d/r1/lp-e/1200004359</t>
        </is>
      </c>
      <c r="AA243" s="7" t="n">
        <v>2</v>
      </c>
      <c r="AB243" s="9" t="inlineStr">
        <is>
          <t>open</t>
        </is>
      </c>
      <c r="AC243" s="7" t="n">
        <v>0</v>
      </c>
      <c r="AD243" s="7" t="n"/>
      <c r="AE243" s="7" t="n"/>
      <c r="AF243" s="7" t="n"/>
      <c r="AG243" s="7" t="n"/>
      <c r="AH243" s="7" t="n"/>
      <c r="AI243" s="7" t="inlineStr">
        <is>
          <t>Covered by span – hide on chart</t>
        </is>
      </c>
      <c r="AJ243" s="7" t="inlineStr">
        <is>
          <t>end of Reign of Athaliah (Judah) (d1-0038); start of Reign of Jehoash (Judah) (d1-0039)</t>
        </is>
      </c>
      <c r="AK243" s="7" t="n"/>
      <c r="AL243" s="7" t="n"/>
      <c r="AM243" s="7" t="n">
        <v>-897.5</v>
      </c>
      <c r="AN243" s="10" t="n"/>
      <c r="AO243" s="10" t="n"/>
      <c r="AP243" s="10" t="n"/>
      <c r="AQ243" s="10" t="n"/>
    </row>
    <row r="244">
      <c r="A244" s="7" t="inlineStr">
        <is>
          <t>d1-0039</t>
        </is>
      </c>
      <c r="B244" s="11" t="inlineStr">
        <is>
          <t>Span</t>
        </is>
      </c>
      <c r="C244" s="7" t="inlineStr">
        <is>
          <t>reign</t>
        </is>
      </c>
      <c r="D244" s="7" t="inlineStr">
        <is>
          <t>898 B.C.E. – 858 B.C.E.</t>
        </is>
      </c>
      <c r="E244" s="7" t="inlineStr">
        <is>
          <t>கி.மு. 898 – கி.மு. 858</t>
        </is>
      </c>
      <c r="F244" s="7" t="inlineStr">
        <is>
          <t>898 BCE</t>
        </is>
      </c>
      <c r="G244" s="7" t="inlineStr">
        <is>
          <t>Exact</t>
        </is>
      </c>
      <c r="H244" s="7" t="inlineStr">
        <is>
          <t>858 BCE</t>
        </is>
      </c>
      <c r="I244" s="7" t="inlineStr">
        <is>
          <t>Exact</t>
        </is>
      </c>
      <c r="J244" s="7" t="inlineStr">
        <is>
          <t>40 years</t>
        </is>
      </c>
      <c r="K244" s="2" t="inlineStr">
        <is>
          <t>Reign of Jehoash (Judah)</t>
        </is>
      </c>
      <c r="L244" s="2" t="n"/>
      <c r="M244" s="7" t="inlineStr">
        <is>
          <t>Jehoash rules Judah. Starts with Jehoash (of Judah) becomes king of Judah (40 years) (898 B.C.E.); ends when Amaziah becomes king (b3-0049), as laid out in NWT Appendix A6.</t>
        </is>
      </c>
      <c r="N244" s="7" t="n"/>
      <c r="O244" s="8" t="inlineStr">
        <is>
          <t>Bible</t>
        </is>
      </c>
      <c r="P244" s="7" t="inlineStr">
        <is>
          <t>bible.monarchy</t>
        </is>
      </c>
      <c r="Q244" s="7" t="inlineStr">
        <is>
          <t>reign</t>
        </is>
      </c>
      <c r="R244" s="7" t="inlineStr">
        <is>
          <t>Jehoash</t>
        </is>
      </c>
      <c r="S244" s="7" t="inlineStr">
        <is>
          <t>Judah</t>
        </is>
      </c>
      <c r="T244" s="7" t="inlineStr">
        <is>
          <t>2 Ki. 12:1; 2 Ki. 14:1, 2</t>
        </is>
      </c>
      <c r="U244" s="7" t="inlineStr">
        <is>
          <t>2 இரா. 12:1; 2 இரா. 14:1, 2</t>
        </is>
      </c>
      <c r="V244" s="7" t="n">
        <v>4</v>
      </c>
      <c r="W244" s="7" t="inlineStr">
        <is>
          <t>A6-A Chart: Prophets and Kings of Judah and of Israel (Part 1)</t>
        </is>
      </c>
      <c r="X244" s="9" t="inlineStr">
        <is>
          <t>open</t>
        </is>
      </c>
      <c r="Y244" s="9" t="inlineStr">
        <is>
          <t>open</t>
        </is>
      </c>
      <c r="Z244" s="7" t="inlineStr">
        <is>
          <t>https://wol.jw.org/en/wol/d/r1/lp-e/1001070206
https://wol.jw.org/en/wol/d/r1/lp-e/1101990130
https://wol.jw.org/en/wol/d/r1/lp-e/1200000970
https://wol.jw.org/en/wol/d/r1/lp-e/1200004359</t>
        </is>
      </c>
      <c r="AA244" s="7" t="n">
        <v>0</v>
      </c>
      <c r="AB244" s="7" t="n"/>
      <c r="AC244" s="7" t="n">
        <v>0</v>
      </c>
      <c r="AD244" s="7" t="n"/>
      <c r="AE244" s="7" t="inlineStr">
        <is>
          <t>Start b3-0045; ends when Amaziah becomes king (b3-0049), as laid out in NWT Appendix A6.</t>
        </is>
      </c>
      <c r="AF244" s="7" t="inlineStr">
        <is>
          <t>b3-0045</t>
        </is>
      </c>
      <c r="AG244" s="7" t="inlineStr">
        <is>
          <t>b3-0049</t>
        </is>
      </c>
      <c r="AH244" s="7" t="n"/>
      <c r="AI244" s="7" t="n"/>
      <c r="AJ244" s="7" t="n"/>
      <c r="AK244" s="7" t="inlineStr">
        <is>
          <t>kings-of-judah #8 (ruler); messianic-line #41 (item); prophets-and-kings-a6 #8 (ruler)</t>
        </is>
      </c>
      <c r="AL244" s="7" t="n"/>
      <c r="AM244" s="7" t="n">
        <v>-897.5</v>
      </c>
      <c r="AN244" s="10" t="n"/>
      <c r="AO244" s="10" t="n"/>
      <c r="AP244" s="10" t="n"/>
      <c r="AQ244" s="10" t="n"/>
    </row>
    <row r="245">
      <c r="A245" s="7" t="inlineStr">
        <is>
          <t>b3-0046</t>
        </is>
      </c>
      <c r="B245" s="7" t="inlineStr">
        <is>
          <t>Point</t>
        </is>
      </c>
      <c r="C245" s="7" t="n"/>
      <c r="D245" s="7" t="inlineStr">
        <is>
          <t>876 B.C.E.</t>
        </is>
      </c>
      <c r="E245" s="7" t="inlineStr">
        <is>
          <t>கி.மு. 876</t>
        </is>
      </c>
      <c r="F245" s="7" t="inlineStr">
        <is>
          <t>876 BCE</t>
        </is>
      </c>
      <c r="G245" s="7" t="inlineStr">
        <is>
          <t>Exact</t>
        </is>
      </c>
      <c r="H245" s="7" t="n"/>
      <c r="I245" s="7" t="n"/>
      <c r="J245" s="7" t="n"/>
      <c r="K245" s="2" t="inlineStr">
        <is>
          <t>Jehoahaz (of Israel) becomes king of Israel (14 years)</t>
        </is>
      </c>
      <c r="L245" s="2" t="inlineStr">
        <is>
          <t>யோவாகாஸ்: 14 வருஷங்கள்</t>
        </is>
      </c>
      <c r="M245" s="7" t="inlineStr">
        <is>
          <t>Jehoahaz (of Israel) begins to reign over the northern ten-tribe kingdom of Israel; the NWT chart gives a reign of 14 years.</t>
        </is>
      </c>
      <c r="N245" s="7" t="inlineStr">
        <is>
          <t>யெகூவுக்குப் பின் யோவாகாஸ் இஸ்ரவேலின் அரசனாகிறான்</t>
        </is>
      </c>
      <c r="O245" s="8" t="inlineStr">
        <is>
          <t>Bible</t>
        </is>
      </c>
      <c r="P245" s="7" t="inlineStr">
        <is>
          <t>bible.monarchy</t>
        </is>
      </c>
      <c r="Q245" s="7" t="inlineStr">
        <is>
          <t>accession</t>
        </is>
      </c>
      <c r="R245" s="7" t="inlineStr">
        <is>
          <t>Jehoahaz</t>
        </is>
      </c>
      <c r="S245" s="7" t="inlineStr">
        <is>
          <t>Israel</t>
        </is>
      </c>
      <c r="T245" s="7" t="inlineStr">
        <is>
          <t>2 Ki. 13:1</t>
        </is>
      </c>
      <c r="U245" s="7" t="inlineStr">
        <is>
          <t>2 இரா. 13:1</t>
        </is>
      </c>
      <c r="V245" s="7" t="n">
        <v>3</v>
      </c>
      <c r="W245" s="7" t="inlineStr">
        <is>
          <t>A6-A Chart: Prophets and Kings of Judah and of Israel (Part 1)</t>
        </is>
      </c>
      <c r="X245" s="9" t="inlineStr">
        <is>
          <t>open</t>
        </is>
      </c>
      <c r="Y245" s="9" t="inlineStr">
        <is>
          <t>open</t>
        </is>
      </c>
      <c r="Z245" s="7" t="inlineStr">
        <is>
          <t>https://wol.jw.org/en/wol/d/r1/lp-e/1001070206
https://wol.jw.org/en/wol/d/r1/lp-e/1101990130
https://wol.jw.org/en/wol/d/r1/lp-e/1200000970</t>
        </is>
      </c>
      <c r="AA245" s="7" t="n">
        <v>2</v>
      </c>
      <c r="AB245" s="9" t="inlineStr">
        <is>
          <t>open</t>
        </is>
      </c>
      <c r="AC245" s="7" t="n">
        <v>1</v>
      </c>
      <c r="AD245" s="7" t="inlineStr">
        <is>
          <t>Insight chart gives Jehoahaz a 17-year reign from 876; NWT A6-A splits this into 14 years alone plus 3 years jointly with Jehoash (c. 862), totaling 17 — presentation difference, not a date conflict.</t>
        </is>
      </c>
      <c r="AE245" s="7" t="n"/>
      <c r="AF245" s="7" t="n"/>
      <c r="AG245" s="7" t="n"/>
      <c r="AH245" s="7" t="n"/>
      <c r="AI245" s="7" t="inlineStr">
        <is>
          <t>Covered by span – hide on chart</t>
        </is>
      </c>
      <c r="AJ245" s="7" t="inlineStr">
        <is>
          <t>end of Reign of Jehu (Israel) (d1-0061); start of Reign of Jehoahaz (Israel) (d1-0062)</t>
        </is>
      </c>
      <c r="AK245" s="7" t="n"/>
      <c r="AL245" s="7" t="n"/>
      <c r="AM245" s="7" t="n">
        <v>-875.5</v>
      </c>
      <c r="AN245" s="10" t="n"/>
      <c r="AO245" s="10" t="n"/>
      <c r="AP245" s="10" t="n"/>
      <c r="AQ245" s="10" t="n"/>
    </row>
    <row r="246">
      <c r="A246" s="7" t="inlineStr">
        <is>
          <t>d1-0062</t>
        </is>
      </c>
      <c r="B246" s="11" t="inlineStr">
        <is>
          <t>Span</t>
        </is>
      </c>
      <c r="C246" s="7" t="inlineStr">
        <is>
          <t>reign</t>
        </is>
      </c>
      <c r="D246" s="7" t="inlineStr">
        <is>
          <t>876 B.C.E. – c. 859 B.C.E.</t>
        </is>
      </c>
      <c r="E246" s="7" t="inlineStr">
        <is>
          <t>கி.மு. 876 – சுமார் கி.மு. 859</t>
        </is>
      </c>
      <c r="F246" s="7" t="inlineStr">
        <is>
          <t>876 BCE</t>
        </is>
      </c>
      <c r="G246" s="7" t="inlineStr">
        <is>
          <t>Exact</t>
        </is>
      </c>
      <c r="H246" s="7" t="inlineStr">
        <is>
          <t>859 BCE</t>
        </is>
      </c>
      <c r="I246" s="7" t="inlineStr">
        <is>
          <t>Approx. (c.)</t>
        </is>
      </c>
      <c r="J246" s="7" t="inlineStr">
        <is>
          <t>14 years</t>
        </is>
      </c>
      <c r="K246" s="2" t="inlineStr">
        <is>
          <t>Reign of Jehoahaz (Israel)</t>
        </is>
      </c>
      <c r="L246" s="2" t="n"/>
      <c r="M246" s="7" t="inlineStr">
        <is>
          <t>Jehoahaz rules Israel. Starts with Jehoahaz (of Israel) becomes king of Israel (14 years) (876 B.C.E.); ends when Jehoash becomes king (b3-0048), as laid out in NWT Appendix A6.</t>
        </is>
      </c>
      <c r="N246" s="7" t="n"/>
      <c r="O246" s="8" t="inlineStr">
        <is>
          <t>Bible</t>
        </is>
      </c>
      <c r="P246" s="7" t="inlineStr">
        <is>
          <t>bible.monarchy</t>
        </is>
      </c>
      <c r="Q246" s="7" t="inlineStr">
        <is>
          <t>reign</t>
        </is>
      </c>
      <c r="R246" s="7" t="inlineStr">
        <is>
          <t>Jehoahaz</t>
        </is>
      </c>
      <c r="S246" s="7" t="inlineStr">
        <is>
          <t>Israel</t>
        </is>
      </c>
      <c r="T246" s="7" t="inlineStr">
        <is>
          <t>2 Ki. 13:1; 2 Ki. 13:10</t>
        </is>
      </c>
      <c r="U246" s="7" t="inlineStr">
        <is>
          <t>2 இரா. 13:1; 2 இரா. 13:10</t>
        </is>
      </c>
      <c r="V246" s="7" t="n">
        <v>3</v>
      </c>
      <c r="W246" s="7" t="inlineStr">
        <is>
          <t>A6-A Chart: Prophets and Kings of Judah and of Israel (Part 1)</t>
        </is>
      </c>
      <c r="X246" s="9" t="inlineStr">
        <is>
          <t>open</t>
        </is>
      </c>
      <c r="Y246" s="9" t="inlineStr">
        <is>
          <t>open</t>
        </is>
      </c>
      <c r="Z246" s="7" t="inlineStr">
        <is>
          <t>https://wol.jw.org/en/wol/d/r1/lp-e/1001070206
https://wol.jw.org/en/wol/d/r1/lp-e/1101990130
https://wol.jw.org/en/wol/d/r1/lp-e/1200000970</t>
        </is>
      </c>
      <c r="AA246" s="7" t="n">
        <v>0</v>
      </c>
      <c r="AB246" s="7" t="n"/>
      <c r="AC246" s="7" t="n">
        <v>1</v>
      </c>
      <c r="AD246" s="7" t="inlineStr">
        <is>
          <t>Insight chart gives Jehoahaz a 17-year reign from 876; NWT A6-A splits this into 14 years alone plus 3 years jointly with Jehoash (c. 862), totaling 17 — presentation difference, not a date conflict.</t>
        </is>
      </c>
      <c r="AE246" s="7" t="inlineStr">
        <is>
          <t>Start b3-0046; ends when Jehoash becomes king (b3-0048), as laid out in NWT Appendix A6.</t>
        </is>
      </c>
      <c r="AF246" s="7" t="inlineStr">
        <is>
          <t>b3-0046</t>
        </is>
      </c>
      <c r="AG246" s="7" t="inlineStr">
        <is>
          <t>b3-0048</t>
        </is>
      </c>
      <c r="AH246" s="7" t="n"/>
      <c r="AI246" s="7" t="n"/>
      <c r="AJ246" s="7" t="n"/>
      <c r="AK246" s="7" t="inlineStr">
        <is>
          <t>kings-of-israel #11 (ruler); prophets-and-kings-a6 #33 (ruler)</t>
        </is>
      </c>
      <c r="AL246" s="7" t="inlineStr">
        <is>
          <t>Includes c. 3 years of joint rule with his son Jehoash (c. 862–859 B.C.E., b3-0047).</t>
        </is>
      </c>
      <c r="AM246" s="7" t="n">
        <v>-875.5</v>
      </c>
      <c r="AN246" s="10" t="n"/>
      <c r="AO246" s="10" t="n"/>
      <c r="AP246" s="10" t="n"/>
      <c r="AQ246" s="10" t="n"/>
    </row>
    <row r="247">
      <c r="A247" s="7" t="inlineStr">
        <is>
          <t>b3-0047</t>
        </is>
      </c>
      <c r="B247" s="7" t="inlineStr">
        <is>
          <t>Point</t>
        </is>
      </c>
      <c r="C247" s="7" t="n"/>
      <c r="D247" s="7" t="inlineStr">
        <is>
          <t>c. 862 B.C.E.</t>
        </is>
      </c>
      <c r="E247" s="7" t="inlineStr">
        <is>
          <t>சுமார் கி.மு. 862</t>
        </is>
      </c>
      <c r="F247" s="7" t="inlineStr">
        <is>
          <t>862 BCE</t>
        </is>
      </c>
      <c r="G247" s="7" t="inlineStr">
        <is>
          <t>Approx. (c.)</t>
        </is>
      </c>
      <c r="H247" s="7" t="n"/>
      <c r="I247" s="7" t="n"/>
      <c r="J247" s="7" t="n"/>
      <c r="K247" s="2" t="inlineStr">
        <is>
          <t>Jehoahaz and Jehoash rule Israel jointly (3 years)</t>
        </is>
      </c>
      <c r="L247" s="2" t="inlineStr">
        <is>
          <t>யோவாகாஸ், யோவாஸ்: 3 வருஷங்கள்</t>
        </is>
      </c>
      <c r="M247" s="7" t="inlineStr">
        <is>
          <t>Jehoahaz and Jehoash begins to reign over the northern ten-tribe kingdom of Israel; the NWT chart gives a reign of 3 years.</t>
        </is>
      </c>
      <c r="N247" s="7" t="n"/>
      <c r="O247" s="8" t="inlineStr">
        <is>
          <t>Bible</t>
        </is>
      </c>
      <c r="P247" s="7" t="inlineStr">
        <is>
          <t>bible.monarchy</t>
        </is>
      </c>
      <c r="Q247" s="7" t="inlineStr">
        <is>
          <t>accession</t>
        </is>
      </c>
      <c r="R247" s="7" t="inlineStr">
        <is>
          <t>Jehoahaz; Jehoash</t>
        </is>
      </c>
      <c r="S247" s="7" t="inlineStr">
        <is>
          <t>Israel</t>
        </is>
      </c>
      <c r="T247" s="7" t="inlineStr">
        <is>
          <t>2 Ki. 13:10</t>
        </is>
      </c>
      <c r="U247" s="7" t="inlineStr">
        <is>
          <t>2 இரா. 13:10</t>
        </is>
      </c>
      <c r="V247" s="7" t="n">
        <v>2</v>
      </c>
      <c r="W247" s="7" t="inlineStr">
        <is>
          <t>A6-A Chart: Prophets and Kings of Judah and of Israel (Part 1)</t>
        </is>
      </c>
      <c r="X247" s="9" t="inlineStr">
        <is>
          <t>open</t>
        </is>
      </c>
      <c r="Y247" s="9" t="inlineStr">
        <is>
          <t>open</t>
        </is>
      </c>
      <c r="Z247" s="7" t="inlineStr">
        <is>
          <t>https://wol.jw.org/en/wol/d/r1/lp-e/1001070206
https://wol.jw.org/en/wol/d/r1/lp-e/1200000970</t>
        </is>
      </c>
      <c r="AA247" s="7" t="n">
        <v>2</v>
      </c>
      <c r="AB247" s="9" t="inlineStr">
        <is>
          <t>open</t>
        </is>
      </c>
      <c r="AC247" s="7" t="n">
        <v>0</v>
      </c>
      <c r="AD247" s="7" t="n"/>
      <c r="AE247" s="7" t="n"/>
      <c r="AF247" s="7" t="n"/>
      <c r="AG247" s="7" t="n"/>
      <c r="AH247" s="7" t="n"/>
      <c r="AI247" s="7" t="n"/>
      <c r="AJ247" s="7" t="n"/>
      <c r="AK247" s="7" t="inlineStr">
        <is>
          <t>prophets-and-kings-a6 #34 (item)</t>
        </is>
      </c>
      <c r="AL247" s="7" t="inlineStr">
        <is>
          <t>Joint rule: Jehoash associated with his father Jehoahaz (Insight chart). Not listed separately in si Study 3 table.</t>
        </is>
      </c>
      <c r="AM247" s="7" t="n">
        <v>-861.5</v>
      </c>
      <c r="AN247" s="10" t="n"/>
      <c r="AO247" s="10" t="n"/>
      <c r="AP247" s="10" t="n"/>
      <c r="AQ247" s="10" t="n"/>
    </row>
    <row r="248">
      <c r="A248" s="7" t="inlineStr">
        <is>
          <t>b3-0048</t>
        </is>
      </c>
      <c r="B248" s="7" t="inlineStr">
        <is>
          <t>Point</t>
        </is>
      </c>
      <c r="C248" s="7" t="n"/>
      <c r="D248" s="7" t="inlineStr">
        <is>
          <t>c. 859 B.C.E.</t>
        </is>
      </c>
      <c r="E248" s="7" t="inlineStr">
        <is>
          <t>சுமார் கி.மு. 859</t>
        </is>
      </c>
      <c r="F248" s="7" t="inlineStr">
        <is>
          <t>859 BCE</t>
        </is>
      </c>
      <c r="G248" s="7" t="inlineStr">
        <is>
          <t>Approx. (c.)</t>
        </is>
      </c>
      <c r="H248" s="7" t="n"/>
      <c r="I248" s="7" t="n"/>
      <c r="J248" s="7" t="n"/>
      <c r="K248" s="2" t="inlineStr">
        <is>
          <t>Jehoash becomes sole king of Israel (16 years)</t>
        </is>
      </c>
      <c r="L248" s="2" t="inlineStr">
        <is>
          <t>யோவாஸ் (மட்டும்): 16 வருஷங்கள்</t>
        </is>
      </c>
      <c r="M248" s="7" t="inlineStr">
        <is>
          <t>Jehoash (alone) begins to reign over the northern ten-tribe kingdom of Israel; the NWT chart gives a reign of 16 years.</t>
        </is>
      </c>
      <c r="N248" s="7" t="inlineStr">
        <is>
          <t>யோவாகாஸுக்குப் பின் யோவாஸ் இஸ்ரவேலின் தனி அரசனாகிறான்</t>
        </is>
      </c>
      <c r="O248" s="8" t="inlineStr">
        <is>
          <t>Bible</t>
        </is>
      </c>
      <c r="P248" s="7" t="inlineStr">
        <is>
          <t>bible.monarchy</t>
        </is>
      </c>
      <c r="Q248" s="7" t="inlineStr">
        <is>
          <t>accession</t>
        </is>
      </c>
      <c r="R248" s="7" t="inlineStr">
        <is>
          <t>Jehoash</t>
        </is>
      </c>
      <c r="S248" s="7" t="inlineStr">
        <is>
          <t>Israel</t>
        </is>
      </c>
      <c r="T248" s="7" t="inlineStr">
        <is>
          <t>2 Ki. 13:10</t>
        </is>
      </c>
      <c r="U248" s="7" t="inlineStr">
        <is>
          <t>2 இரா. 13:10</t>
        </is>
      </c>
      <c r="V248" s="7" t="n">
        <v>3</v>
      </c>
      <c r="W248" s="7" t="inlineStr">
        <is>
          <t>A6-A Chart: Prophets and Kings of Judah and of Israel (Part 1)</t>
        </is>
      </c>
      <c r="X248" s="9" t="inlineStr">
        <is>
          <t>open</t>
        </is>
      </c>
      <c r="Y248" s="9" t="inlineStr">
        <is>
          <t>open</t>
        </is>
      </c>
      <c r="Z248" s="7" t="inlineStr">
        <is>
          <t>https://wol.jw.org/en/wol/d/r1/lp-e/1001070206
https://wol.jw.org/en/wol/d/r1/lp-e/1101990130
https://wol.jw.org/en/wol/d/r1/lp-e/1200000970</t>
        </is>
      </c>
      <c r="AA248" s="7" t="n">
        <v>2</v>
      </c>
      <c r="AB248" s="9" t="inlineStr">
        <is>
          <t>open</t>
        </is>
      </c>
      <c r="AC248" s="7" t="n">
        <v>0</v>
      </c>
      <c r="AD248" s="7" t="n"/>
      <c r="AE248" s="7" t="n"/>
      <c r="AF248" s="7" t="n"/>
      <c r="AG248" s="7" t="n"/>
      <c r="AH248" s="7" t="n"/>
      <c r="AI248" s="7" t="inlineStr">
        <is>
          <t>Covered by span – hide on chart</t>
        </is>
      </c>
      <c r="AJ248" s="7" t="inlineStr">
        <is>
          <t>end of Reign of Jehoahaz (Israel) (d1-0062); start of Reign of Jehoash (Israel) (d1-0063)</t>
        </is>
      </c>
      <c r="AK248" s="7" t="n"/>
      <c r="AL248" s="7" t="n"/>
      <c r="AM248" s="7" t="n">
        <v>-858.5</v>
      </c>
      <c r="AN248" s="10" t="n"/>
      <c r="AO248" s="10" t="n"/>
      <c r="AP248" s="10" t="n"/>
      <c r="AQ248" s="10" t="n"/>
    </row>
    <row r="249">
      <c r="A249" s="7" t="inlineStr">
        <is>
          <t>d1-0063</t>
        </is>
      </c>
      <c r="B249" s="11" t="inlineStr">
        <is>
          <t>Span</t>
        </is>
      </c>
      <c r="C249" s="7" t="inlineStr">
        <is>
          <t>reign</t>
        </is>
      </c>
      <c r="D249" s="7" t="inlineStr">
        <is>
          <t>c. 859 B.C.E. – c. 844 B.C.E.</t>
        </is>
      </c>
      <c r="E249" s="7" t="inlineStr">
        <is>
          <t>சுமார் கி.மு. 859 – சுமார் கி.மு. 844</t>
        </is>
      </c>
      <c r="F249" s="7" t="inlineStr">
        <is>
          <t>859 BCE</t>
        </is>
      </c>
      <c r="G249" s="7" t="inlineStr">
        <is>
          <t>Approx. (c.)</t>
        </is>
      </c>
      <c r="H249" s="7" t="inlineStr">
        <is>
          <t>844 BCE</t>
        </is>
      </c>
      <c r="I249" s="7" t="inlineStr">
        <is>
          <t>Approx. (c.)</t>
        </is>
      </c>
      <c r="J249" s="7" t="inlineStr">
        <is>
          <t>16 years</t>
        </is>
      </c>
      <c r="K249" s="2" t="inlineStr">
        <is>
          <t>Reign of Jehoash (Israel)</t>
        </is>
      </c>
      <c r="L249" s="2" t="n"/>
      <c r="M249" s="7" t="inlineStr">
        <is>
          <t>Jehoash rules Israel. Starts with Jehoash becomes sole king of Israel (16 years) (c. 859 B.C.E.); ends when Jeroboam II becomes king (b3-0052), as laid out in NWT Appendix A6.</t>
        </is>
      </c>
      <c r="N249" s="7" t="n"/>
      <c r="O249" s="8" t="inlineStr">
        <is>
          <t>Bible</t>
        </is>
      </c>
      <c r="P249" s="7" t="inlineStr">
        <is>
          <t>bible.monarchy</t>
        </is>
      </c>
      <c r="Q249" s="7" t="inlineStr">
        <is>
          <t>reign</t>
        </is>
      </c>
      <c r="R249" s="7" t="inlineStr">
        <is>
          <t>Jehoash</t>
        </is>
      </c>
      <c r="S249" s="7" t="inlineStr">
        <is>
          <t>Israel</t>
        </is>
      </c>
      <c r="T249" s="7" t="inlineStr">
        <is>
          <t>2 Ki. 13:10; 2 Ki. 14:23</t>
        </is>
      </c>
      <c r="U249" s="7" t="inlineStr">
        <is>
          <t>2 இரா. 13:10; 2 இரா. 14:23</t>
        </is>
      </c>
      <c r="V249" s="7" t="n">
        <v>3</v>
      </c>
      <c r="W249" s="7" t="inlineStr">
        <is>
          <t>A6-A Chart: Prophets and Kings of Judah and of Israel (Part 1)</t>
        </is>
      </c>
      <c r="X249" s="9" t="inlineStr">
        <is>
          <t>open</t>
        </is>
      </c>
      <c r="Y249" s="9" t="inlineStr">
        <is>
          <t>open</t>
        </is>
      </c>
      <c r="Z249" s="7" t="inlineStr">
        <is>
          <t>https://wol.jw.org/en/wol/d/r1/lp-e/1001070206
https://wol.jw.org/en/wol/d/r1/lp-e/1101990130
https://wol.jw.org/en/wol/d/r1/lp-e/1200000970</t>
        </is>
      </c>
      <c r="AA249" s="7" t="n">
        <v>0</v>
      </c>
      <c r="AB249" s="7" t="n"/>
      <c r="AC249" s="7" t="n">
        <v>0</v>
      </c>
      <c r="AD249" s="7" t="n"/>
      <c r="AE249" s="7" t="inlineStr">
        <is>
          <t>Start b3-0048; ends when Jeroboam II becomes king (b3-0052), as laid out in NWT Appendix A6.</t>
        </is>
      </c>
      <c r="AF249" s="7" t="inlineStr">
        <is>
          <t>b3-0048</t>
        </is>
      </c>
      <c r="AG249" s="7" t="inlineStr">
        <is>
          <t>b3-0052</t>
        </is>
      </c>
      <c r="AH249" s="7" t="n"/>
      <c r="AI249" s="7" t="n"/>
      <c r="AJ249" s="7" t="n"/>
      <c r="AK249" s="7" t="inlineStr">
        <is>
          <t>kings-of-israel #12 (ruler); prophets-and-kings-a6 #35 (ruler)</t>
        </is>
      </c>
      <c r="AL249" s="7" t="n"/>
      <c r="AM249" s="7" t="n">
        <v>-858.5</v>
      </c>
      <c r="AN249" s="10" t="n"/>
      <c r="AO249" s="10" t="n"/>
      <c r="AP249" s="10" t="n"/>
      <c r="AQ249" s="10" t="n"/>
    </row>
    <row r="250">
      <c r="A250" s="7" t="inlineStr">
        <is>
          <t>b3-0049</t>
        </is>
      </c>
      <c r="B250" s="7" t="inlineStr">
        <is>
          <t>Point</t>
        </is>
      </c>
      <c r="C250" s="7" t="n"/>
      <c r="D250" s="7" t="inlineStr">
        <is>
          <t>858 B.C.E.</t>
        </is>
      </c>
      <c r="E250" s="7" t="inlineStr">
        <is>
          <t>கி.மு. 858</t>
        </is>
      </c>
      <c r="F250" s="7" t="inlineStr">
        <is>
          <t>858 BCE</t>
        </is>
      </c>
      <c r="G250" s="7" t="inlineStr">
        <is>
          <t>Exact</t>
        </is>
      </c>
      <c r="H250" s="7" t="n"/>
      <c r="I250" s="7" t="n"/>
      <c r="J250" s="7" t="n"/>
      <c r="K250" s="2" t="inlineStr">
        <is>
          <t>Amaziah becomes king of Judah (29 years)</t>
        </is>
      </c>
      <c r="L250" s="2" t="inlineStr">
        <is>
          <t>அமத்சியா: 29 வருஷங்கள்</t>
        </is>
      </c>
      <c r="M250" s="7" t="inlineStr">
        <is>
          <t>Amaziah begins to reign over the southern two-tribe kingdom of Judah; the NWT chart gives a reign of 29 years.</t>
        </is>
      </c>
      <c r="N250" s="7" t="inlineStr">
        <is>
          <t>யோவாசுக்குப் பின் அமத்சியா யூதாவின் அரசனாகிறார்</t>
        </is>
      </c>
      <c r="O250" s="8" t="inlineStr">
        <is>
          <t>Bible</t>
        </is>
      </c>
      <c r="P250" s="7" t="inlineStr">
        <is>
          <t>bible.monarchy</t>
        </is>
      </c>
      <c r="Q250" s="7" t="inlineStr">
        <is>
          <t>accession</t>
        </is>
      </c>
      <c r="R250" s="7" t="inlineStr">
        <is>
          <t>Amaziah</t>
        </is>
      </c>
      <c r="S250" s="7" t="inlineStr">
        <is>
          <t>Judah</t>
        </is>
      </c>
      <c r="T250" s="7" t="inlineStr">
        <is>
          <t>2 Ki. 14:1, 2</t>
        </is>
      </c>
      <c r="U250" s="7" t="inlineStr">
        <is>
          <t>2 இரா. 14:1, 2</t>
        </is>
      </c>
      <c r="V250" s="7" t="n">
        <v>3</v>
      </c>
      <c r="W250" s="7" t="inlineStr">
        <is>
          <t>A6-A Chart: Prophets and Kings of Judah and of Israel (Part 1)</t>
        </is>
      </c>
      <c r="X250" s="9" t="inlineStr">
        <is>
          <t>open</t>
        </is>
      </c>
      <c r="Y250" s="9" t="inlineStr">
        <is>
          <t>open</t>
        </is>
      </c>
      <c r="Z250" s="7" t="inlineStr">
        <is>
          <t>https://wol.jw.org/en/wol/d/r1/lp-e/1001070206
https://wol.jw.org/en/wol/d/r1/lp-e/1101990130
https://wol.jw.org/en/wol/d/r1/lp-e/1200000970</t>
        </is>
      </c>
      <c r="AA250" s="7" t="n">
        <v>2</v>
      </c>
      <c r="AB250" s="9" t="inlineStr">
        <is>
          <t>open</t>
        </is>
      </c>
      <c r="AC250" s="7" t="n">
        <v>0</v>
      </c>
      <c r="AD250" s="7" t="n"/>
      <c r="AE250" s="7" t="n"/>
      <c r="AF250" s="7" t="n"/>
      <c r="AG250" s="7" t="n"/>
      <c r="AH250" s="7" t="n"/>
      <c r="AI250" s="7" t="inlineStr">
        <is>
          <t>Covered by span – hide on chart</t>
        </is>
      </c>
      <c r="AJ250" s="7" t="inlineStr">
        <is>
          <t>end of Reign of Jehoash (Judah) (d1-0039); start of Reign of Amaziah (Judah) (d1-0040)</t>
        </is>
      </c>
      <c r="AK250" s="7" t="n"/>
      <c r="AL250" s="7" t="n"/>
      <c r="AM250" s="7" t="n">
        <v>-857.5</v>
      </c>
      <c r="AN250" s="10" t="n"/>
      <c r="AO250" s="10" t="n"/>
      <c r="AP250" s="10" t="n"/>
      <c r="AQ250" s="10" t="n"/>
    </row>
    <row r="251">
      <c r="A251" s="7" t="inlineStr">
        <is>
          <t>d1-0040</t>
        </is>
      </c>
      <c r="B251" s="11" t="inlineStr">
        <is>
          <t>Span</t>
        </is>
      </c>
      <c r="C251" s="7" t="inlineStr">
        <is>
          <t>reign</t>
        </is>
      </c>
      <c r="D251" s="7" t="inlineStr">
        <is>
          <t>858 B.C.E. – 829 B.C.E.</t>
        </is>
      </c>
      <c r="E251" s="7" t="inlineStr">
        <is>
          <t>கி.மு. 858 – கி.மு. 829</t>
        </is>
      </c>
      <c r="F251" s="7" t="inlineStr">
        <is>
          <t>858 BCE</t>
        </is>
      </c>
      <c r="G251" s="7" t="inlineStr">
        <is>
          <t>Exact</t>
        </is>
      </c>
      <c r="H251" s="7" t="inlineStr">
        <is>
          <t>829 BCE</t>
        </is>
      </c>
      <c r="I251" s="7" t="inlineStr">
        <is>
          <t>Exact</t>
        </is>
      </c>
      <c r="J251" s="7" t="inlineStr">
        <is>
          <t>29 years</t>
        </is>
      </c>
      <c r="K251" s="2" t="inlineStr">
        <is>
          <t>Reign of Amaziah (Judah)</t>
        </is>
      </c>
      <c r="L251" s="2" t="n"/>
      <c r="M251" s="7" t="inlineStr">
        <is>
          <t>Amaziah rules Judah. Starts with Amaziah becomes king of Judah (29 years) (858 B.C.E.); ends when Uzziah (Azariah) becomes king (b3-0055), as laid out in NWT Appendix A6.</t>
        </is>
      </c>
      <c r="N251" s="7" t="n"/>
      <c r="O251" s="8" t="inlineStr">
        <is>
          <t>Bible</t>
        </is>
      </c>
      <c r="P251" s="7" t="inlineStr">
        <is>
          <t>bible.monarchy</t>
        </is>
      </c>
      <c r="Q251" s="7" t="inlineStr">
        <is>
          <t>reign</t>
        </is>
      </c>
      <c r="R251" s="7" t="inlineStr">
        <is>
          <t>Amaziah</t>
        </is>
      </c>
      <c r="S251" s="7" t="inlineStr">
        <is>
          <t>Judah</t>
        </is>
      </c>
      <c r="T251" s="7" t="inlineStr">
        <is>
          <t>2 Ki. 14:1, 2; 2 Ki. 15:1, 2</t>
        </is>
      </c>
      <c r="U251" s="7" t="inlineStr">
        <is>
          <t>2 இரா. 14:1, 2; 2 இரா. 15:1, 2</t>
        </is>
      </c>
      <c r="V251" s="7" t="n">
        <v>3</v>
      </c>
      <c r="W251" s="7" t="inlineStr">
        <is>
          <t>A6-A Chart: Prophets and Kings of Judah and of Israel (Part 1)</t>
        </is>
      </c>
      <c r="X251" s="9" t="inlineStr">
        <is>
          <t>open</t>
        </is>
      </c>
      <c r="Y251" s="9" t="inlineStr">
        <is>
          <t>open</t>
        </is>
      </c>
      <c r="Z251" s="7" t="inlineStr">
        <is>
          <t>https://wol.jw.org/en/wol/d/r1/lp-e/1001070206
https://wol.jw.org/en/wol/d/r1/lp-e/1101990130
https://wol.jw.org/en/wol/d/r1/lp-e/1200000970</t>
        </is>
      </c>
      <c r="AA251" s="7" t="n">
        <v>0</v>
      </c>
      <c r="AB251" s="7" t="n"/>
      <c r="AC251" s="7" t="n">
        <v>0</v>
      </c>
      <c r="AD251" s="7" t="n"/>
      <c r="AE251" s="7" t="inlineStr">
        <is>
          <t>Start b3-0049; ends when Uzziah (Azariah) becomes king (b3-0055), as laid out in NWT Appendix A6.</t>
        </is>
      </c>
      <c r="AF251" s="7" t="inlineStr">
        <is>
          <t>b3-0049</t>
        </is>
      </c>
      <c r="AG251" s="7" t="inlineStr">
        <is>
          <t>b3-0055</t>
        </is>
      </c>
      <c r="AH251" s="7" t="n"/>
      <c r="AI251" s="7" t="n"/>
      <c r="AJ251" s="7" t="n"/>
      <c r="AK251" s="7" t="inlineStr">
        <is>
          <t>kings-of-judah #9 (ruler); messianic-line #42 (item); prophets-and-kings-a6 #9 (ruler)</t>
        </is>
      </c>
      <c r="AL251" s="7" t="n"/>
      <c r="AM251" s="7" t="n">
        <v>-857.5</v>
      </c>
      <c r="AN251" s="10" t="n"/>
      <c r="AO251" s="10" t="n"/>
      <c r="AP251" s="10" t="n"/>
      <c r="AQ251" s="10" t="n"/>
    </row>
    <row r="252">
      <c r="A252" s="7" t="inlineStr">
        <is>
          <t>b3-0050</t>
        </is>
      </c>
      <c r="B252" s="7" t="inlineStr">
        <is>
          <t>Point</t>
        </is>
      </c>
      <c r="C252" s="7" t="n"/>
      <c r="D252" s="7" t="inlineStr">
        <is>
          <t>a. 858 B.C.E.</t>
        </is>
      </c>
      <c r="E252" s="7" t="n"/>
      <c r="F252" s="7" t="inlineStr">
        <is>
          <t>858 BCE</t>
        </is>
      </c>
      <c r="G252" s="7" t="inlineStr">
        <is>
          <t>After (a.)</t>
        </is>
      </c>
      <c r="H252" s="7" t="n"/>
      <c r="I252" s="7" t="n"/>
      <c r="J252" s="7" t="n"/>
      <c r="K252" s="2" t="inlineStr">
        <is>
          <t>Jehoash of Israel captures Amaziah and breaches Jerusalem’s wall</t>
        </is>
      </c>
      <c r="L252" s="2" t="n"/>
      <c r="M252" s="7" t="inlineStr">
        <is>
          <t>King Jehoash of Israel defeats and captures Amaziah of Judah, breaks down part of Jerusalem’s wall and takes treasures from the temple.</t>
        </is>
      </c>
      <c r="N252" s="7" t="n"/>
      <c r="O252" s="8" t="inlineStr">
        <is>
          <t>Bible</t>
        </is>
      </c>
      <c r="P252" s="7" t="inlineStr">
        <is>
          <t>bible.monarchy</t>
        </is>
      </c>
      <c r="Q252" s="7" t="inlineStr">
        <is>
          <t>battle</t>
        </is>
      </c>
      <c r="R252" s="7" t="inlineStr">
        <is>
          <t>Jehoash; Amaziah</t>
        </is>
      </c>
      <c r="S252" s="7" t="inlineStr">
        <is>
          <t>Jerusalem</t>
        </is>
      </c>
      <c r="T252" s="7" t="inlineStr">
        <is>
          <t>2 Ki. 14:13, 14</t>
        </is>
      </c>
      <c r="U252" s="7" t="inlineStr">
        <is>
          <t>2 இரா. 14:13, 14</t>
        </is>
      </c>
      <c r="V252" s="7" t="n">
        <v>1</v>
      </c>
      <c r="W252" s="7" t="inlineStr">
        <is>
          <t>Chronology</t>
        </is>
      </c>
      <c r="X252" s="9" t="inlineStr">
        <is>
          <t>open</t>
        </is>
      </c>
      <c r="Y252" s="7" t="n"/>
      <c r="Z252" s="7" t="inlineStr">
        <is>
          <t>https://wol.jw.org/en/wol/d/r1/lp-e/1200000970</t>
        </is>
      </c>
      <c r="AA252" s="7" t="n">
        <v>0</v>
      </c>
      <c r="AB252" s="7" t="n"/>
      <c r="AC252" s="7" t="n">
        <v>0</v>
      </c>
      <c r="AD252" s="7" t="n"/>
      <c r="AE252" s="7" t="n"/>
      <c r="AF252" s="7" t="n"/>
      <c r="AG252" s="7" t="n"/>
      <c r="AH252" s="7" t="n"/>
      <c r="AI252" s="7" t="n"/>
      <c r="AJ252" s="7" t="n"/>
      <c r="AK252" s="7" t="n"/>
      <c r="AL252" s="7" t="n"/>
      <c r="AM252" s="7" t="n">
        <v>-857.49</v>
      </c>
      <c r="AN252" s="10" t="n"/>
      <c r="AO252" s="10" t="n"/>
      <c r="AP252" s="10" t="n"/>
      <c r="AQ252" s="10" t="n"/>
    </row>
    <row r="253">
      <c r="A253" s="7" t="inlineStr">
        <is>
          <t>b3-0051</t>
        </is>
      </c>
      <c r="B253" s="11" t="inlineStr">
        <is>
          <t>Span</t>
        </is>
      </c>
      <c r="C253" s="7" t="inlineStr">
        <is>
          <t>prophetic activity</t>
        </is>
      </c>
      <c r="D253" s="7" t="inlineStr">
        <is>
          <t>c. 844 B.C.E. (reign of Jeroboam II)</t>
        </is>
      </c>
      <c r="E253" s="7" t="n"/>
      <c r="F253" s="7" t="inlineStr">
        <is>
          <t>844 BCE</t>
        </is>
      </c>
      <c r="G253" s="7" t="inlineStr">
        <is>
          <t>Approx. (c.)</t>
        </is>
      </c>
      <c r="H253" s="7" t="inlineStr">
        <is>
          <t>803 BCE</t>
        </is>
      </c>
      <c r="I253" s="7" t="inlineStr">
        <is>
          <t>Approx. (c.)</t>
        </is>
      </c>
      <c r="J253" s="7" t="inlineStr">
        <is>
          <t>c. 41 years</t>
        </is>
      </c>
      <c r="K253" s="2" t="inlineStr">
        <is>
          <t>Prophetic activity of Jonah</t>
        </is>
      </c>
      <c r="L253" s="2" t="inlineStr">
        <is>
          <t>யோனா</t>
        </is>
      </c>
      <c r="M253" s="7" t="inlineStr">
        <is>
          <t>Jonah prophesies to the ten-tribe kingdom during the reign of Jeroboam II and is sent to warn Nineveh.</t>
        </is>
      </c>
      <c r="N253" s="7" t="n"/>
      <c r="O253" s="8" t="inlineStr">
        <is>
          <t>Bible</t>
        </is>
      </c>
      <c r="P253" s="7" t="inlineStr">
        <is>
          <t>bible.prophet</t>
        </is>
      </c>
      <c r="Q253" s="7" t="inlineStr">
        <is>
          <t>prophet_activity</t>
        </is>
      </c>
      <c r="R253" s="7" t="inlineStr">
        <is>
          <t>Jonah</t>
        </is>
      </c>
      <c r="S253" s="7" t="n"/>
      <c r="T253" s="7" t="inlineStr">
        <is>
          <t>2 Ki. 14:23-25; Jonah 1:1, 2</t>
        </is>
      </c>
      <c r="U253" s="7" t="inlineStr">
        <is>
          <t>2 இரா. 14:23-25; யோனா 1:1, 2</t>
        </is>
      </c>
      <c r="V253" s="7" t="n">
        <v>4</v>
      </c>
      <c r="W253" s="7" t="inlineStr">
        <is>
          <t>A6-A Chart: Prophets and Kings of Judah and of Israel (Part 1)</t>
        </is>
      </c>
      <c r="X253" s="9" t="inlineStr">
        <is>
          <t>open</t>
        </is>
      </c>
      <c r="Y253" s="9" t="inlineStr">
        <is>
          <t>open</t>
        </is>
      </c>
      <c r="Z253" s="7" t="inlineStr">
        <is>
          <t>https://wol.jw.org/en/wol/d/r1/lp-e/1001070206
https://wol.jw.org/en/wol/d/r1/lp-e/1101990093
https://wol.jw.org/en/wol/d/r1/lp-e/1200002503
https://wol.jw.org/en/wol/d/r1/lp-e/1200000970</t>
        </is>
      </c>
      <c r="AA253" s="7" t="n">
        <v>3</v>
      </c>
      <c r="AB253" s="9" t="inlineStr">
        <is>
          <t>open</t>
        </is>
      </c>
      <c r="AC253" s="7" t="n">
        <v>0</v>
      </c>
      <c r="AD253" s="7" t="n"/>
      <c r="AE253" s="7" t="inlineStr">
        <is>
          <t>End year 803 B.C.E. is the end of Jeroboam II's reign, recorded by the research batch; jw.org dates Jonah only as 'c. 844 B.C.E. (reign of Jeroboam II)'.</t>
        </is>
      </c>
      <c r="AF253" s="7" t="n"/>
      <c r="AG253" s="7" t="n"/>
      <c r="AH253" s="7" t="n"/>
      <c r="AI253" s="7" t="n"/>
      <c r="AJ253" s="7" t="n"/>
      <c r="AK253" s="7" t="inlineStr">
        <is>
          <t>prophets-and-kings-a6 #49 (item)</t>
        </is>
      </c>
      <c r="AL253" s="7" t="inlineStr">
        <is>
          <t>Range end (c. 803) is the end of Jeroboam II’s 41-year reign per A6-A; si dates Jonah’s prophesying "about 844". The A6 chart shows this prophet as an undated bar; range years come from the cited text sources. title_ta is the prophet’s name as printed in the Tamil A6 list. End year 803 B.C.E. is the end of Jeroboam II's reign, recorded by the research batch; jw.org dates Jonah only as 'c. 844 B.C.E. (reign of Jeroboam II)'.</t>
        </is>
      </c>
      <c r="AM253" s="7" t="n">
        <v>-844</v>
      </c>
      <c r="AN253" s="10" t="n"/>
      <c r="AO253" s="10" t="n"/>
      <c r="AP253" s="10" t="n"/>
      <c r="AQ253" s="10" t="n"/>
    </row>
    <row r="254">
      <c r="A254" s="7" t="inlineStr">
        <is>
          <t>b11-0017</t>
        </is>
      </c>
      <c r="B254" s="7" t="inlineStr">
        <is>
          <t>Point</t>
        </is>
      </c>
      <c r="C254" s="7" t="n"/>
      <c r="D254" s="7" t="inlineStr">
        <is>
          <t>c. 844 B.C.E.</t>
        </is>
      </c>
      <c r="E254" s="7" t="inlineStr">
        <is>
          <t>ஏ. கி.மு. 844</t>
        </is>
      </c>
      <c r="F254" s="7" t="inlineStr">
        <is>
          <t>844 BCE</t>
        </is>
      </c>
      <c r="G254" s="7" t="inlineStr">
        <is>
          <t>Approx. (c.)</t>
        </is>
      </c>
      <c r="H254" s="7" t="n"/>
      <c r="I254" s="7" t="n"/>
      <c r="J254" s="7" t="n"/>
      <c r="K254" s="2" t="inlineStr">
        <is>
          <t>Writing of Jonah completed</t>
        </is>
      </c>
      <c r="L254" s="2" t="inlineStr">
        <is>
          <t>யோனா — எழுதி முடிக்கப்பட்டது</t>
        </is>
      </c>
      <c r="M254" s="7" t="inlineStr">
        <is>
          <t>The writing of Jonah was completed c. 844 B.C.E. Writer: Jonah.</t>
        </is>
      </c>
      <c r="N254" s="7" t="inlineStr">
        <is>
          <t>யோனா: எழுதியவர்(கள்): யோனா; முடிக்கப்பட்ட வருஷம் (கி.மு.): ஏ. 844.</t>
        </is>
      </c>
      <c r="O254" s="8" t="inlineStr">
        <is>
          <t>Bible</t>
        </is>
      </c>
      <c r="P254" s="7" t="inlineStr">
        <is>
          <t>bible.book_writing</t>
        </is>
      </c>
      <c r="Q254" s="7" t="inlineStr">
        <is>
          <t>writing_completed</t>
        </is>
      </c>
      <c r="R254" s="7" t="inlineStr">
        <is>
          <t>Jonah</t>
        </is>
      </c>
      <c r="S254" s="7" t="n"/>
      <c r="T254" s="7" t="inlineStr">
        <is>
          <t>Jonah</t>
        </is>
      </c>
      <c r="U254" s="7" t="inlineStr">
        <is>
          <t>யோனா</t>
        </is>
      </c>
      <c r="V254" s="7" t="n">
        <v>6</v>
      </c>
      <c r="W254" s="7" t="inlineStr">
        <is>
          <t>Table of the Books of the Bible</t>
        </is>
      </c>
      <c r="X254" s="9" t="inlineStr">
        <is>
          <t>open</t>
        </is>
      </c>
      <c r="Y254" s="9" t="inlineStr">
        <is>
          <t>open</t>
        </is>
      </c>
      <c r="Z254" s="7" t="inlineStr">
        <is>
          <t>https://wol.jw.org/en/wol/d/r1/lp-e/1001070071
https://wol.jw.org/en/wol/d/r1/lp-e/1101990093
https://www.jw.org/en/library/bible/study-bible/books-of-the-bible-list/
https://wol.jw.org/en/wol/d/r1/lp-e/1001060002
https://wol.jw.org/en/wol/d/r1/lp-e/1101990130
https://wol.jw.org/en/wol/d/r1/lp-e/1200000970</t>
        </is>
      </c>
      <c r="AA254" s="7" t="n">
        <v>0</v>
      </c>
      <c r="AB254" s="7" t="n"/>
      <c r="AC254" s="7" t="n">
        <v>0</v>
      </c>
      <c r="AD254" s="7" t="n"/>
      <c r="AE254" s="7" t="n"/>
      <c r="AF254" s="7" t="n"/>
      <c r="AG254" s="7" t="n"/>
      <c r="AH254" s="7" t="n"/>
      <c r="AI254" s="7" t="n"/>
      <c r="AJ254" s="7" t="n"/>
      <c r="AK254" s="7" t="inlineStr">
        <is>
          <t>bible-books-written #32 (item)</t>
        </is>
      </c>
      <c r="AL254" s="7" t="inlineStr">
        <is>
          <t>Writer(s): Jonah. Place written: —. Writing completed: c. 844 B.C.E. Time covered: —.</t>
        </is>
      </c>
      <c r="AM254" s="7" t="n">
        <v>-843.9968</v>
      </c>
      <c r="AN254" s="10" t="n"/>
      <c r="AO254" s="10" t="n"/>
      <c r="AP254" s="10" t="n"/>
      <c r="AQ254" s="10" t="n"/>
    </row>
    <row r="255">
      <c r="A255" s="7" t="inlineStr">
        <is>
          <t>b3-0052</t>
        </is>
      </c>
      <c r="B255" s="7" t="inlineStr">
        <is>
          <t>Point</t>
        </is>
      </c>
      <c r="C255" s="7" t="n"/>
      <c r="D255" s="7" t="inlineStr">
        <is>
          <t>c. 844 B.C.E.</t>
        </is>
      </c>
      <c r="E255" s="7" t="inlineStr">
        <is>
          <t>சுமார் கி.மு. 844</t>
        </is>
      </c>
      <c r="F255" s="7" t="inlineStr">
        <is>
          <t>844 BCE</t>
        </is>
      </c>
      <c r="G255" s="7" t="inlineStr">
        <is>
          <t>Approx. (c.)</t>
        </is>
      </c>
      <c r="H255" s="7" t="n"/>
      <c r="I255" s="7" t="n"/>
      <c r="J255" s="7" t="n"/>
      <c r="K255" s="2" t="inlineStr">
        <is>
          <t>Jeroboam II becomes king of Israel (41 years)</t>
        </is>
      </c>
      <c r="L255" s="2" t="inlineStr">
        <is>
          <t>இரண்டாம் யெரொபெயாம்: 41 வருஷங்கள்</t>
        </is>
      </c>
      <c r="M255" s="7" t="inlineStr">
        <is>
          <t>Jeroboam II begins to reign over the northern ten-tribe kingdom of Israel; the NWT chart gives a reign of 41 years.</t>
        </is>
      </c>
      <c r="N255" s="7" t="inlineStr">
        <is>
          <t>யோவாசுக்குப் பின் இரண்டாம் யெரொபெயாம் இஸ்ரவேலின் அரசனாகிறான்</t>
        </is>
      </c>
      <c r="O255" s="8" t="inlineStr">
        <is>
          <t>Bible</t>
        </is>
      </c>
      <c r="P255" s="7" t="inlineStr">
        <is>
          <t>bible.monarchy</t>
        </is>
      </c>
      <c r="Q255" s="7" t="inlineStr">
        <is>
          <t>accession</t>
        </is>
      </c>
      <c r="R255" s="7" t="inlineStr">
        <is>
          <t>Jeroboam II</t>
        </is>
      </c>
      <c r="S255" s="7" t="inlineStr">
        <is>
          <t>Israel</t>
        </is>
      </c>
      <c r="T255" s="7" t="inlineStr">
        <is>
          <t>2 Ki. 14:23</t>
        </is>
      </c>
      <c r="U255" s="7" t="inlineStr">
        <is>
          <t>2 இரா. 14:23</t>
        </is>
      </c>
      <c r="V255" s="7" t="n">
        <v>3</v>
      </c>
      <c r="W255" s="7" t="inlineStr">
        <is>
          <t>A6-A Chart: Prophets and Kings of Judah and of Israel (Part 1)</t>
        </is>
      </c>
      <c r="X255" s="9" t="inlineStr">
        <is>
          <t>open</t>
        </is>
      </c>
      <c r="Y255" s="9" t="inlineStr">
        <is>
          <t>open</t>
        </is>
      </c>
      <c r="Z255" s="7" t="inlineStr">
        <is>
          <t>https://wol.jw.org/en/wol/d/r1/lp-e/1001070206
https://wol.jw.org/en/wol/d/r1/lp-e/1101990130
https://wol.jw.org/en/wol/d/r1/lp-e/1200000970</t>
        </is>
      </c>
      <c r="AA255" s="7" t="n">
        <v>2</v>
      </c>
      <c r="AB255" s="9" t="inlineStr">
        <is>
          <t>open</t>
        </is>
      </c>
      <c r="AC255" s="7" t="n">
        <v>0</v>
      </c>
      <c r="AD255" s="7" t="n"/>
      <c r="AE255" s="7" t="n"/>
      <c r="AF255" s="7" t="n"/>
      <c r="AG255" s="7" t="n"/>
      <c r="AH255" s="7" t="n"/>
      <c r="AI255" s="7" t="inlineStr">
        <is>
          <t>Covered by span – hide on chart</t>
        </is>
      </c>
      <c r="AJ255" s="7" t="inlineStr">
        <is>
          <t>end of Reign of Jehoash (Israel) (d1-0063); start of Reign of Jeroboam II (Israel) (d1-0064)</t>
        </is>
      </c>
      <c r="AK255" s="7" t="n"/>
      <c r="AL255" s="7" t="n"/>
      <c r="AM255" s="7" t="n">
        <v>-843.6</v>
      </c>
      <c r="AN255" s="10" t="n"/>
      <c r="AO255" s="10" t="n"/>
      <c r="AP255" s="10" t="n"/>
      <c r="AQ255" s="10" t="n"/>
    </row>
    <row r="256">
      <c r="A256" s="7" t="inlineStr">
        <is>
          <t>d1-0064</t>
        </is>
      </c>
      <c r="B256" s="11" t="inlineStr">
        <is>
          <t>Span</t>
        </is>
      </c>
      <c r="C256" s="7" t="inlineStr">
        <is>
          <t>reign</t>
        </is>
      </c>
      <c r="D256" s="7" t="inlineStr">
        <is>
          <t>c. 844 B.C.E. – c. 803 B.C.E.</t>
        </is>
      </c>
      <c r="E256" s="7" t="inlineStr">
        <is>
          <t>சுமார் கி.மு. 844 – சுமார் கி.மு. 803</t>
        </is>
      </c>
      <c r="F256" s="7" t="inlineStr">
        <is>
          <t>844 BCE</t>
        </is>
      </c>
      <c r="G256" s="7" t="inlineStr">
        <is>
          <t>Approx. (c.)</t>
        </is>
      </c>
      <c r="H256" s="7" t="inlineStr">
        <is>
          <t>803 BCE</t>
        </is>
      </c>
      <c r="I256" s="7" t="inlineStr">
        <is>
          <t>Approx. (c.)</t>
        </is>
      </c>
      <c r="J256" s="7" t="inlineStr">
        <is>
          <t>41 years</t>
        </is>
      </c>
      <c r="K256" s="2" t="inlineStr">
        <is>
          <t>Reign of Jeroboam II (Israel)</t>
        </is>
      </c>
      <c r="L256" s="2" t="n"/>
      <c r="M256" s="7" t="inlineStr">
        <is>
          <t>Jeroboam II rules Israel. Starts with Jeroboam II becomes king of Israel (41 years) (c. 844 B.C.E.); ends when Zechariah becomes king (b3-0061), as laid out in NWT Appendix A6.</t>
        </is>
      </c>
      <c r="N256" s="7" t="n"/>
      <c r="O256" s="8" t="inlineStr">
        <is>
          <t>Bible</t>
        </is>
      </c>
      <c r="P256" s="7" t="inlineStr">
        <is>
          <t>bible.monarchy</t>
        </is>
      </c>
      <c r="Q256" s="7" t="inlineStr">
        <is>
          <t>reign</t>
        </is>
      </c>
      <c r="R256" s="7" t="inlineStr">
        <is>
          <t>Jeroboam II</t>
        </is>
      </c>
      <c r="S256" s="7" t="inlineStr">
        <is>
          <t>Israel</t>
        </is>
      </c>
      <c r="T256" s="7" t="inlineStr">
        <is>
          <t>2 Ki. 14:23; 2 Ki. 14:29; 2 Ki. 15:8</t>
        </is>
      </c>
      <c r="U256" s="7" t="inlineStr">
        <is>
          <t>2 இரா. 14:23; 2 இரா. 14:29; 2 இரா. 15:8</t>
        </is>
      </c>
      <c r="V256" s="7" t="n">
        <v>4</v>
      </c>
      <c r="W256" s="7" t="inlineStr">
        <is>
          <t>A6-A Chart: Prophets and Kings of Judah and of Israel (Part 1)</t>
        </is>
      </c>
      <c r="X256" s="9" t="inlineStr">
        <is>
          <t>open</t>
        </is>
      </c>
      <c r="Y256" s="9" t="inlineStr">
        <is>
          <t>open</t>
        </is>
      </c>
      <c r="Z256" s="7" t="inlineStr">
        <is>
          <t>https://wol.jw.org/en/wol/d/r1/lp-e/1001070206
https://wol.jw.org/en/wol/d/r1/lp-e/1101990130
https://wol.jw.org/en/wol/d/r1/lp-e/1200000970
https://wol.jw.org/en/wol/d/r1/lp-e/1001061215</t>
        </is>
      </c>
      <c r="AA256" s="7" t="n">
        <v>0</v>
      </c>
      <c r="AB256" s="7" t="n"/>
      <c r="AC256" s="7" t="n">
        <v>1</v>
      </c>
      <c r="AD256" s="7" t="inlineStr">
        <is>
          <t>si Study 3 table dates Zechariah’s 6-month rule to c. 792 B.C.E.; NWT A6-B begins it c. 803 with full confirmation c. 792 (Insight chart agrees with A6-B).</t>
        </is>
      </c>
      <c r="AE256" s="7" t="inlineStr">
        <is>
          <t>Start b3-0052; ends when Zechariah becomes king (b3-0061), as laid out in NWT Appendix A6.</t>
        </is>
      </c>
      <c r="AF256" s="7" t="inlineStr">
        <is>
          <t>b3-0052</t>
        </is>
      </c>
      <c r="AG256" s="7" t="inlineStr">
        <is>
          <t>b3-0061</t>
        </is>
      </c>
      <c r="AH256" s="7" t="n"/>
      <c r="AI256" s="7" t="n"/>
      <c r="AJ256" s="7" t="n"/>
      <c r="AK256" s="7" t="inlineStr">
        <is>
          <t>kings-of-israel #13 (ruler); prophets-and-kings-a6 #36 (ruler)</t>
        </is>
      </c>
      <c r="AL256" s="7" t="n"/>
      <c r="AM256" s="7" t="n">
        <v>-843.6</v>
      </c>
      <c r="AN256" s="10" t="n"/>
      <c r="AO256" s="10" t="n"/>
      <c r="AP256" s="10" t="n"/>
      <c r="AQ256" s="10" t="n"/>
    </row>
    <row r="257">
      <c r="A257" s="7" t="inlineStr">
        <is>
          <t>b3-0054</t>
        </is>
      </c>
      <c r="B257" s="11" t="inlineStr">
        <is>
          <t>Span</t>
        </is>
      </c>
      <c r="C257" s="7" t="inlineStr">
        <is>
          <t>prophetic activity</t>
        </is>
      </c>
      <c r="D257" s="7" t="inlineStr">
        <is>
          <t>829–c. 804 B.C.E.</t>
        </is>
      </c>
      <c r="E257" s="7" t="n"/>
      <c r="F257" s="7" t="inlineStr">
        <is>
          <t>829 BCE</t>
        </is>
      </c>
      <c r="G257" s="7" t="inlineStr">
        <is>
          <t>Exact</t>
        </is>
      </c>
      <c r="H257" s="7" t="inlineStr">
        <is>
          <t>804 BCE</t>
        </is>
      </c>
      <c r="I257" s="7" t="inlineStr">
        <is>
          <t>Approx. (c.)</t>
        </is>
      </c>
      <c r="J257" s="7" t="inlineStr">
        <is>
          <t>c. 25 years</t>
        </is>
      </c>
      <c r="K257" s="2" t="inlineStr">
        <is>
          <t>Prophetic activity of Amos</t>
        </is>
      </c>
      <c r="L257" s="2" t="inlineStr">
        <is>
          <t>ஆமோஸ்</t>
        </is>
      </c>
      <c r="M257" s="7" t="inlineStr">
        <is>
          <t>Amos, a herdsman from Tekoa in Judah, prophesies against Israel during the overlapping reigns of Uzziah of Judah and Jeroboam II of Israel.</t>
        </is>
      </c>
      <c r="N257" s="7" t="n"/>
      <c r="O257" s="8" t="inlineStr">
        <is>
          <t>Bible</t>
        </is>
      </c>
      <c r="P257" s="7" t="inlineStr">
        <is>
          <t>bible.prophet</t>
        </is>
      </c>
      <c r="Q257" s="7" t="inlineStr">
        <is>
          <t>prophet_activity</t>
        </is>
      </c>
      <c r="R257" s="7" t="inlineStr">
        <is>
          <t>Amos</t>
        </is>
      </c>
      <c r="S257" s="7" t="n"/>
      <c r="T257" s="7" t="inlineStr">
        <is>
          <t>Amos 1:1</t>
        </is>
      </c>
      <c r="U257" s="7" t="inlineStr">
        <is>
          <t>ஆமோ. 1:1</t>
        </is>
      </c>
      <c r="V257" s="7" t="n">
        <v>3</v>
      </c>
      <c r="W257" s="7" t="inlineStr">
        <is>
          <t>A6-A Chart: Prophets and Kings of Judah and of Israel (Part 1)</t>
        </is>
      </c>
      <c r="X257" s="9" t="inlineStr">
        <is>
          <t>open</t>
        </is>
      </c>
      <c r="Y257" s="9" t="inlineStr">
        <is>
          <t>open</t>
        </is>
      </c>
      <c r="Z257" s="7" t="inlineStr">
        <is>
          <t>https://wol.jw.org/en/wol/d/r1/lp-e/1001070206
https://wol.jw.org/en/wol/d/r1/lp-e/1101990091
https://wol.jw.org/en/wol/d/r1/lp-e/1200000246</t>
        </is>
      </c>
      <c r="AA257" s="7" t="n">
        <v>2</v>
      </c>
      <c r="AB257" s="9" t="inlineStr">
        <is>
          <t>open</t>
        </is>
      </c>
      <c r="AC257" s="7" t="n">
        <v>0</v>
      </c>
      <c r="AD257" s="7" t="n"/>
      <c r="AE257" s="7" t="n"/>
      <c r="AF257" s="7" t="n"/>
      <c r="AG257" s="7" t="n"/>
      <c r="AH257" s="7" t="n"/>
      <c r="AI257" s="7" t="n"/>
      <c r="AJ257" s="7" t="n"/>
      <c r="AK257" s="7" t="inlineStr">
        <is>
          <t>fulfilled-prophecies-nations #2 (prophecy); prophets-and-kings-a6 #50 (item)</t>
        </is>
      </c>
      <c r="AL257" s="7" t="inlineStr">
        <is>
          <t>The A6 chart shows this prophet as an undated bar; range years come from the cited text sources. title_ta is the prophet’s name as printed in the Tamil A6 list.</t>
        </is>
      </c>
      <c r="AM257" s="7" t="n">
        <v>-829</v>
      </c>
      <c r="AN257" s="10" t="n"/>
      <c r="AO257" s="10" t="n"/>
      <c r="AP257" s="10" t="n"/>
      <c r="AQ257" s="10" t="n"/>
    </row>
    <row r="258">
      <c r="A258" s="7" t="inlineStr">
        <is>
          <t>b3-0055</t>
        </is>
      </c>
      <c r="B258" s="7" t="inlineStr">
        <is>
          <t>Point</t>
        </is>
      </c>
      <c r="C258" s="7" t="n"/>
      <c r="D258" s="7" t="inlineStr">
        <is>
          <t>829 B.C.E.</t>
        </is>
      </c>
      <c r="E258" s="7" t="inlineStr">
        <is>
          <t>கி.மு. 829</t>
        </is>
      </c>
      <c r="F258" s="7" t="inlineStr">
        <is>
          <t>829 BCE</t>
        </is>
      </c>
      <c r="G258" s="7" t="inlineStr">
        <is>
          <t>Exact</t>
        </is>
      </c>
      <c r="H258" s="7" t="n"/>
      <c r="I258" s="7" t="n"/>
      <c r="J258" s="7" t="n"/>
      <c r="K258" s="2" t="inlineStr">
        <is>
          <t>Uzziah (Azariah) becomes king of Judah (52 years)</t>
        </is>
      </c>
      <c r="L258" s="2" t="inlineStr">
        <is>
          <t>உசியா (அசரியா): 52 வருஷங்கள்</t>
        </is>
      </c>
      <c r="M258" s="7" t="inlineStr">
        <is>
          <t>Uzziah (Azariah) begins to reign over the southern two-tribe kingdom of Judah; the NWT chart gives a reign of 52 years.</t>
        </is>
      </c>
      <c r="N258" s="7" t="inlineStr">
        <is>
          <t>அமத்சியாவுக்குப் பின் உசியா (அசரியா) யூதாவின் அரசனாகிறார்</t>
        </is>
      </c>
      <c r="O258" s="8" t="inlineStr">
        <is>
          <t>Bible</t>
        </is>
      </c>
      <c r="P258" s="7" t="inlineStr">
        <is>
          <t>bible.monarchy</t>
        </is>
      </c>
      <c r="Q258" s="7" t="inlineStr">
        <is>
          <t>accession</t>
        </is>
      </c>
      <c r="R258" s="7" t="inlineStr">
        <is>
          <t>Uzziah</t>
        </is>
      </c>
      <c r="S258" s="7" t="inlineStr">
        <is>
          <t>Judah</t>
        </is>
      </c>
      <c r="T258" s="7" t="inlineStr">
        <is>
          <t>2 Ki. 15:1, 2</t>
        </is>
      </c>
      <c r="U258" s="7" t="inlineStr">
        <is>
          <t>2 இரா. 15:1, 2</t>
        </is>
      </c>
      <c r="V258" s="7" t="n">
        <v>3</v>
      </c>
      <c r="W258" s="7" t="inlineStr">
        <is>
          <t>A6-A Chart: Prophets and Kings of Judah and of Israel (Part 1)</t>
        </is>
      </c>
      <c r="X258" s="9" t="inlineStr">
        <is>
          <t>open</t>
        </is>
      </c>
      <c r="Y258" s="9" t="inlineStr">
        <is>
          <t>open</t>
        </is>
      </c>
      <c r="Z258" s="7" t="inlineStr">
        <is>
          <t>https://wol.jw.org/en/wol/d/r1/lp-e/1001070206
https://wol.jw.org/en/wol/d/r1/lp-e/1101990130
https://wol.jw.org/en/wol/d/r1/lp-e/1200000970</t>
        </is>
      </c>
      <c r="AA258" s="7" t="n">
        <v>2</v>
      </c>
      <c r="AB258" s="9" t="inlineStr">
        <is>
          <t>open</t>
        </is>
      </c>
      <c r="AC258" s="7" t="n">
        <v>0</v>
      </c>
      <c r="AD258" s="7" t="n"/>
      <c r="AE258" s="7" t="n"/>
      <c r="AF258" s="7" t="n"/>
      <c r="AG258" s="7" t="n"/>
      <c r="AH258" s="7" t="n"/>
      <c r="AI258" s="7" t="inlineStr">
        <is>
          <t>Covered by span – hide on chart</t>
        </is>
      </c>
      <c r="AJ258" s="7" t="inlineStr">
        <is>
          <t>end of Reign of Amaziah (Judah) (d1-0040); start of Reign of Uzziah (Azariah) (Judah) (d1-0041)</t>
        </is>
      </c>
      <c r="AK258" s="7" t="n"/>
      <c r="AL258" s="7" t="inlineStr">
        <is>
          <t>Insight chart: c. 818 Uzziah ‘became king’ in some special sense, possibly free from domination of Jeroboam II (see separate event).</t>
        </is>
      </c>
      <c r="AM258" s="7" t="n">
        <v>-828.5</v>
      </c>
      <c r="AN258" s="10" t="n"/>
      <c r="AO258" s="10" t="n"/>
      <c r="AP258" s="10" t="n"/>
      <c r="AQ258" s="10" t="n"/>
    </row>
    <row r="259">
      <c r="A259" s="7" t="inlineStr">
        <is>
          <t>d1-0041</t>
        </is>
      </c>
      <c r="B259" s="11" t="inlineStr">
        <is>
          <t>Span</t>
        </is>
      </c>
      <c r="C259" s="7" t="inlineStr">
        <is>
          <t>reign</t>
        </is>
      </c>
      <c r="D259" s="7" t="inlineStr">
        <is>
          <t>829 B.C.E. – 777 B.C.E.</t>
        </is>
      </c>
      <c r="E259" s="7" t="inlineStr">
        <is>
          <t>கி.மு. 829 – கி.மு. 777</t>
        </is>
      </c>
      <c r="F259" s="7" t="inlineStr">
        <is>
          <t>829 BCE</t>
        </is>
      </c>
      <c r="G259" s="7" t="inlineStr">
        <is>
          <t>Exact</t>
        </is>
      </c>
      <c r="H259" s="7" t="inlineStr">
        <is>
          <t>777 BCE</t>
        </is>
      </c>
      <c r="I259" s="7" t="inlineStr">
        <is>
          <t>Exact</t>
        </is>
      </c>
      <c r="J259" s="7" t="inlineStr">
        <is>
          <t>52 years</t>
        </is>
      </c>
      <c r="K259" s="2" t="inlineStr">
        <is>
          <t>Reign of Uzziah (Azariah) (Judah)</t>
        </is>
      </c>
      <c r="L259" s="2" t="n"/>
      <c r="M259" s="7" t="inlineStr">
        <is>
          <t>Uzziah (Azariah) rules Judah. Starts with Uzziah (Azariah) becomes king of Judah (52 years) (829 B.C.E.); ends when Jotham becomes king (b3-0067), as laid out in NWT Appendix A6.</t>
        </is>
      </c>
      <c r="N259" s="7" t="n"/>
      <c r="O259" s="8" t="inlineStr">
        <is>
          <t>Bible</t>
        </is>
      </c>
      <c r="P259" s="7" t="inlineStr">
        <is>
          <t>bible.monarchy</t>
        </is>
      </c>
      <c r="Q259" s="7" t="inlineStr">
        <is>
          <t>reign</t>
        </is>
      </c>
      <c r="R259" s="7" t="inlineStr">
        <is>
          <t>Uzziah (Azariah)</t>
        </is>
      </c>
      <c r="S259" s="7" t="inlineStr">
        <is>
          <t>Judah</t>
        </is>
      </c>
      <c r="T259" s="7" t="inlineStr">
        <is>
          <t>2 Ki. 15:1, 2; 2 Ki. 15:32, 33</t>
        </is>
      </c>
      <c r="U259" s="7" t="inlineStr">
        <is>
          <t>2 இரா. 15:1, 2; 2 இரா. 15:32, 33</t>
        </is>
      </c>
      <c r="V259" s="7" t="n">
        <v>5</v>
      </c>
      <c r="W259" s="7" t="inlineStr">
        <is>
          <t>A6-A Chart: Prophets and Kings of Judah and of Israel (Part 1)</t>
        </is>
      </c>
      <c r="X259" s="9" t="inlineStr">
        <is>
          <t>open</t>
        </is>
      </c>
      <c r="Y259" s="9" t="inlineStr">
        <is>
          <t>open</t>
        </is>
      </c>
      <c r="Z259" s="7" t="inlineStr">
        <is>
          <t>https://wol.jw.org/en/wol/d/r1/lp-e/1001070206
https://wol.jw.org/en/wol/d/r1/lp-e/1101990130
https://wol.jw.org/en/wol/d/r1/lp-e/1200000970
https://wol.jw.org/en/wol/d/r1/lp-e/1001061215
https://wol.jw.org/en/wol/d/r1/lp-e/1200004359</t>
        </is>
      </c>
      <c r="AA259" s="7" t="n">
        <v>0</v>
      </c>
      <c r="AB259" s="7" t="n"/>
      <c r="AC259" s="7" t="n">
        <v>0</v>
      </c>
      <c r="AD259" s="7" t="n"/>
      <c r="AE259" s="7" t="inlineStr">
        <is>
          <t>Start b3-0055; ends when Jotham becomes king (b3-0067), as laid out in NWT Appendix A6.</t>
        </is>
      </c>
      <c r="AF259" s="7" t="inlineStr">
        <is>
          <t>b3-0055</t>
        </is>
      </c>
      <c r="AG259" s="7" t="inlineStr">
        <is>
          <t>b3-0067</t>
        </is>
      </c>
      <c r="AH259" s="7" t="n"/>
      <c r="AI259" s="7" t="n"/>
      <c r="AJ259" s="7" t="n"/>
      <c r="AK259" s="7" t="inlineStr">
        <is>
          <t>kings-of-judah #10 (ruler); messianic-line #43 (item); prophets-and-kings-a6 #10 (ruler)</t>
        </is>
      </c>
      <c r="AL259" s="7" t="inlineStr">
        <is>
          <t>Becomes king 'in a special sense' c. 818 B.C.E. (b3-0058).</t>
        </is>
      </c>
      <c r="AM259" s="7" t="n">
        <v>-828.5</v>
      </c>
      <c r="AN259" s="10" t="n"/>
      <c r="AO259" s="10" t="n"/>
      <c r="AP259" s="10" t="n"/>
      <c r="AQ259" s="10" t="n"/>
    </row>
    <row r="260">
      <c r="A260" s="7" t="inlineStr">
        <is>
          <t>b3-0056</t>
        </is>
      </c>
      <c r="B260" s="7" t="inlineStr">
        <is>
          <t>Point</t>
        </is>
      </c>
      <c r="C260" s="7" t="n"/>
      <c r="D260" s="7" t="inlineStr">
        <is>
          <t>c. 820 B.C.E. (?)</t>
        </is>
      </c>
      <c r="E260" s="7" t="inlineStr">
        <is>
          <t>ஏ. பொ.ச.மு. 820 (?)</t>
        </is>
      </c>
      <c r="F260" s="7" t="inlineStr">
        <is>
          <t>820 BCE</t>
        </is>
      </c>
      <c r="G260" s="7" t="inlineStr">
        <is>
          <t>Approx. (c.)</t>
        </is>
      </c>
      <c r="H260" s="7" t="n"/>
      <c r="I260" s="7" t="n"/>
      <c r="J260" s="7" t="n"/>
      <c r="K260" s="2" t="inlineStr">
        <is>
          <t>Prophetic activity of Joel</t>
        </is>
      </c>
      <c r="L260" s="2" t="inlineStr">
        <is>
          <t>யோவேல்</t>
        </is>
      </c>
      <c r="M260" s="7" t="inlineStr">
        <is>
          <t>Joel son of Pethuel prophesies in Judah; a date of about 820 B.C.E. is suggested, after Jehoshaphat’s reign and before Amos.</t>
        </is>
      </c>
      <c r="N260" s="7" t="n"/>
      <c r="O260" s="8" t="inlineStr">
        <is>
          <t>Bible</t>
        </is>
      </c>
      <c r="P260" s="7" t="inlineStr">
        <is>
          <t>bible.prophet</t>
        </is>
      </c>
      <c r="Q260" s="7" t="inlineStr">
        <is>
          <t>prophet_activity</t>
        </is>
      </c>
      <c r="R260" s="7" t="inlineStr">
        <is>
          <t>Joel</t>
        </is>
      </c>
      <c r="S260" s="7" t="n"/>
      <c r="T260" s="7" t="inlineStr">
        <is>
          <t>Joel 1:1</t>
        </is>
      </c>
      <c r="U260" s="7" t="inlineStr">
        <is>
          <t>யோவே. 1:1</t>
        </is>
      </c>
      <c r="V260" s="7" t="n">
        <v>3</v>
      </c>
      <c r="W260" s="7" t="inlineStr">
        <is>
          <t>A6-A Chart: Prophets and Kings of Judah and of Israel (Part 1)</t>
        </is>
      </c>
      <c r="X260" s="9" t="inlineStr">
        <is>
          <t>open</t>
        </is>
      </c>
      <c r="Y260" s="9" t="inlineStr">
        <is>
          <t>open</t>
        </is>
      </c>
      <c r="Z260" s="7" t="inlineStr">
        <is>
          <t>https://wol.jw.org/en/wol/d/r1/lp-e/1001070206
https://wol.jw.org/en/wol/d/r1/lp-e/1101990090
https://wol.jw.org/en/wol/d/r1/lp-e/1200000970</t>
        </is>
      </c>
      <c r="AA260" s="7" t="n">
        <v>2</v>
      </c>
      <c r="AB260" s="9" t="inlineStr">
        <is>
          <t>open</t>
        </is>
      </c>
      <c r="AC260" s="7" t="n">
        <v>0</v>
      </c>
      <c r="AD260" s="7" t="n"/>
      <c r="AE260" s="7" t="n"/>
      <c r="AF260" s="7" t="n"/>
      <c r="AG260" s="7" t="n"/>
      <c r="AH260" s="7" t="n"/>
      <c r="AI260" s="7" t="n"/>
      <c r="AJ260" s="7" t="n"/>
      <c r="AK260" s="7" t="inlineStr">
        <is>
          <t>prophets-and-kings-a6 #46 (item)</t>
        </is>
      </c>
      <c r="AL260" s="7" t="inlineStr">
        <is>
          <t>Only a single approximate date is given in the sources, so precision is approx rather than range. The A6 chart shows this prophet as an undated bar; range years come from the cited text sources. title_ta is the prophet’s name as printed in the Tamil A6 list.</t>
        </is>
      </c>
      <c r="AM260" s="7" t="n">
        <v>-820</v>
      </c>
      <c r="AN260" s="10" t="n"/>
      <c r="AO260" s="10" t="n"/>
      <c r="AP260" s="10" t="n"/>
      <c r="AQ260" s="10" t="n"/>
    </row>
    <row r="261">
      <c r="A261" s="7" t="inlineStr">
        <is>
          <t>b11-0018</t>
        </is>
      </c>
      <c r="B261" s="7" t="inlineStr">
        <is>
          <t>Point</t>
        </is>
      </c>
      <c r="C261" s="7" t="n"/>
      <c r="D261" s="7" t="inlineStr">
        <is>
          <t>c. 820 (?) B.C.E.</t>
        </is>
      </c>
      <c r="E261" s="7" t="inlineStr">
        <is>
          <t>ஏ. கி.மு. 820 (?)</t>
        </is>
      </c>
      <c r="F261" s="7" t="inlineStr">
        <is>
          <t>820 BCE</t>
        </is>
      </c>
      <c r="G261" s="7" t="inlineStr">
        <is>
          <t>Approx. (c.)</t>
        </is>
      </c>
      <c r="H261" s="7" t="n"/>
      <c r="I261" s="7" t="n"/>
      <c r="J261" s="7" t="n"/>
      <c r="K261" s="2" t="inlineStr">
        <is>
          <t>Writing of Joel completed</t>
        </is>
      </c>
      <c r="L261" s="2" t="inlineStr">
        <is>
          <t>யோவேல் — எழுதி முடிக்கப்பட்டது</t>
        </is>
      </c>
      <c r="M261" s="7" t="inlineStr">
        <is>
          <t>The writing of Joel was completed c. 820 (?) B.C.E. Writer: Joel; place written: Judah.</t>
        </is>
      </c>
      <c r="N261" s="7" t="inlineStr">
        <is>
          <t>யோவேல்: எழுதியவர்(கள்): யோவேல்; எழுதப்பட்ட இடம்: யூதா; முடிக்கப்பட்ட வருஷம் (கி.மு.): ஏ. 820 (?).</t>
        </is>
      </c>
      <c r="O261" s="8" t="inlineStr">
        <is>
          <t>Bible</t>
        </is>
      </c>
      <c r="P261" s="7" t="inlineStr">
        <is>
          <t>bible.book_writing</t>
        </is>
      </c>
      <c r="Q261" s="7" t="inlineStr">
        <is>
          <t>writing_completed</t>
        </is>
      </c>
      <c r="R261" s="7" t="inlineStr">
        <is>
          <t>Joel</t>
        </is>
      </c>
      <c r="S261" s="7" t="inlineStr">
        <is>
          <t>Judah</t>
        </is>
      </c>
      <c r="T261" s="7" t="inlineStr">
        <is>
          <t>Joel</t>
        </is>
      </c>
      <c r="U261" s="7" t="inlineStr">
        <is>
          <t>யோவே.</t>
        </is>
      </c>
      <c r="V261" s="7" t="n">
        <v>6</v>
      </c>
      <c r="W261" s="7" t="inlineStr">
        <is>
          <t>Table of the Books of the Bible</t>
        </is>
      </c>
      <c r="X261" s="9" t="inlineStr">
        <is>
          <t>open</t>
        </is>
      </c>
      <c r="Y261" s="9" t="inlineStr">
        <is>
          <t>open</t>
        </is>
      </c>
      <c r="Z261" s="7" t="inlineStr">
        <is>
          <t>https://wol.jw.org/en/wol/d/r1/lp-e/1001070071
https://wol.jw.org/en/wol/d/r1/lp-e/1101990090
https://www.jw.org/en/library/bible/study-bible/books-of-the-bible-list/
https://wol.jw.org/en/wol/d/r1/lp-e/1001060002
https://wol.jw.org/en/wol/d/r1/lp-e/1101990130
https://wol.jw.org/en/wol/d/r1/lp-e/1200000970</t>
        </is>
      </c>
      <c r="AA261" s="7" t="n">
        <v>0</v>
      </c>
      <c r="AB261" s="7" t="n"/>
      <c r="AC261" s="7" t="n">
        <v>1</v>
      </c>
      <c r="AD261" s="7" t="inlineStr">
        <is>
          <t>date as given by merged duplicate b3-0057 (b3): Book of Joel perhaps written</t>
        </is>
      </c>
      <c r="AE261" s="7" t="n"/>
      <c r="AF261" s="7" t="n"/>
      <c r="AG261" s="7" t="n"/>
      <c r="AH261" s="7" t="n"/>
      <c r="AI261" s="7" t="n"/>
      <c r="AJ261" s="7" t="n"/>
      <c r="AK261" s="7" t="inlineStr">
        <is>
          <t>bible-books-written #29 (item)</t>
        </is>
      </c>
      <c r="AL261" s="7" t="inlineStr">
        <is>
          <t>Writer(s): Joel. Place written: Judah. Writing completed: c. 820 (?) B.C.E. Time covered: —. Source marks the date with '(?)' (uncertain).</t>
        </is>
      </c>
      <c r="AM261" s="7" t="n">
        <v>-819.9971</v>
      </c>
      <c r="AN261" s="10" t="n"/>
      <c r="AO261" s="10" t="n"/>
      <c r="AP261" s="10" t="n"/>
      <c r="AQ261" s="10" t="n"/>
    </row>
    <row r="262">
      <c r="A262" s="7" t="inlineStr">
        <is>
          <t>b3-0058</t>
        </is>
      </c>
      <c r="B262" s="7" t="inlineStr">
        <is>
          <t>Point</t>
        </is>
      </c>
      <c r="C262" s="7" t="n"/>
      <c r="D262" s="7" t="inlineStr">
        <is>
          <t>c. 818 B.C.E.</t>
        </is>
      </c>
      <c r="E262" s="7" t="n"/>
      <c r="F262" s="7" t="inlineStr">
        <is>
          <t>818 BCE</t>
        </is>
      </c>
      <c r="G262" s="7" t="inlineStr">
        <is>
          <t>Approx. (c.)</t>
        </is>
      </c>
      <c r="H262" s="7" t="n"/>
      <c r="I262" s="7" t="n"/>
      <c r="J262" s="7" t="n"/>
      <c r="K262" s="2" t="inlineStr">
        <is>
          <t>Uzziah ‘becomes king’ in a special sense</t>
        </is>
      </c>
      <c r="L262" s="2" t="n"/>
      <c r="M262" s="7" t="inlineStr">
        <is>
          <t>Uzziah ‘became king’ in some special sense, possibly now free from the domination of Jeroboam II.</t>
        </is>
      </c>
      <c r="N262" s="7" t="n"/>
      <c r="O262" s="8" t="inlineStr">
        <is>
          <t>Bible</t>
        </is>
      </c>
      <c r="P262" s="7" t="inlineStr">
        <is>
          <t>bible.monarchy</t>
        </is>
      </c>
      <c r="Q262" s="7" t="inlineStr">
        <is>
          <t>accession</t>
        </is>
      </c>
      <c r="R262" s="7" t="inlineStr">
        <is>
          <t>Uzziah; Jeroboam II</t>
        </is>
      </c>
      <c r="S262" s="7" t="inlineStr">
        <is>
          <t>Judah</t>
        </is>
      </c>
      <c r="T262" s="7" t="inlineStr">
        <is>
          <t>2 Ki. 15:1</t>
        </is>
      </c>
      <c r="U262" s="7" t="inlineStr">
        <is>
          <t>2 இரா. 15:1</t>
        </is>
      </c>
      <c r="V262" s="7" t="n">
        <v>2</v>
      </c>
      <c r="W262" s="7" t="inlineStr">
        <is>
          <t>Chronology</t>
        </is>
      </c>
      <c r="X262" s="9" t="inlineStr">
        <is>
          <t>open</t>
        </is>
      </c>
      <c r="Y262" s="7" t="n"/>
      <c r="Z262" s="7" t="inlineStr">
        <is>
          <t>https://wol.jw.org/en/wol/d/r1/lp-e/1200000970
https://wol.jw.org/en/wol/d/r1/lp-e/1200010959</t>
        </is>
      </c>
      <c r="AA262" s="7" t="n">
        <v>0</v>
      </c>
      <c r="AB262" s="7" t="n"/>
      <c r="AC262" s="7" t="n">
        <v>0</v>
      </c>
      <c r="AD262" s="7" t="n"/>
      <c r="AE262" s="7" t="n"/>
      <c r="AF262" s="7" t="n"/>
      <c r="AG262" s="7" t="n"/>
      <c r="AH262" s="7" t="n"/>
      <c r="AI262" s="7" t="n"/>
      <c r="AJ262" s="7" t="n"/>
      <c r="AK262" s="7" t="n"/>
      <c r="AL262" s="7" t="n"/>
      <c r="AM262" s="7" t="n">
        <v>-818</v>
      </c>
      <c r="AN262" s="10" t="n"/>
      <c r="AO262" s="10" t="n"/>
      <c r="AP262" s="10" t="n"/>
      <c r="AQ262" s="10" t="n"/>
    </row>
    <row r="263">
      <c r="A263" s="7" t="inlineStr">
        <is>
          <t>b3-0059</t>
        </is>
      </c>
      <c r="B263" s="11" t="inlineStr">
        <is>
          <t>Span</t>
        </is>
      </c>
      <c r="C263" s="7" t="inlineStr">
        <is>
          <t>prophetic activity</t>
        </is>
      </c>
      <c r="D263" s="7" t="inlineStr">
        <is>
          <t>b. 804–a. 745 B.C.E.</t>
        </is>
      </c>
      <c r="E263" s="7" t="inlineStr">
        <is>
          <t>பொ.ச.மு. 804-⁠க்கு முன்பிருந்து 745-⁠க்கு பின் வரை</t>
        </is>
      </c>
      <c r="F263" s="7" t="inlineStr">
        <is>
          <t>804 BCE</t>
        </is>
      </c>
      <c r="G263" s="7" t="inlineStr">
        <is>
          <t>Before (b.)</t>
        </is>
      </c>
      <c r="H263" s="7" t="inlineStr">
        <is>
          <t>745 BCE</t>
        </is>
      </c>
      <c r="I263" s="7" t="inlineStr">
        <is>
          <t>After (a.)</t>
        </is>
      </c>
      <c r="J263" s="7" t="inlineStr">
        <is>
          <t>c. 59 years</t>
        </is>
      </c>
      <c r="K263" s="2" t="inlineStr">
        <is>
          <t>Prophetic activity of Hosea</t>
        </is>
      </c>
      <c r="L263" s="2" t="inlineStr">
        <is>
          <t>ஓசியா</t>
        </is>
      </c>
      <c r="M263" s="7" t="inlineStr">
        <is>
          <t>Hosea prophesies to Israel during the reigns of Uzziah, Jotham, Ahaz and Hezekiah of Judah and Jeroboam II of Israel — no less than 59 years.</t>
        </is>
      </c>
      <c r="N263" s="7" t="n"/>
      <c r="O263" s="8" t="inlineStr">
        <is>
          <t>Bible</t>
        </is>
      </c>
      <c r="P263" s="7" t="inlineStr">
        <is>
          <t>bible.prophet</t>
        </is>
      </c>
      <c r="Q263" s="7" t="inlineStr">
        <is>
          <t>prophet_activity</t>
        </is>
      </c>
      <c r="R263" s="7" t="inlineStr">
        <is>
          <t>Hosea</t>
        </is>
      </c>
      <c r="S263" s="7" t="n"/>
      <c r="T263" s="7" t="inlineStr">
        <is>
          <t>Hos. 1:1</t>
        </is>
      </c>
      <c r="U263" s="7" t="inlineStr">
        <is>
          <t>ஓசி. 1:1</t>
        </is>
      </c>
      <c r="V263" s="7" t="n">
        <v>4</v>
      </c>
      <c r="W263" s="7" t="inlineStr">
        <is>
          <t>A6-B Chart: Prophets and Kings of Judah and of Israel (Part 2)</t>
        </is>
      </c>
      <c r="X263" s="9" t="inlineStr">
        <is>
          <t>open</t>
        </is>
      </c>
      <c r="Y263" s="9" t="inlineStr">
        <is>
          <t>open</t>
        </is>
      </c>
      <c r="Z263" s="7" t="inlineStr">
        <is>
          <t>https://wol.jw.org/en/wol/d/r1/lp-e/1001061215
https://wol.jw.org/en/wol/d/r1/lp-e/1101990089
https://wol.jw.org/en/wol/d/r1/lp-e/1200002086
https://wol.jw.org/en/wol/d/r1/lp-e/1001060002</t>
        </is>
      </c>
      <c r="AA263" s="7" t="n">
        <v>2</v>
      </c>
      <c r="AB263" s="9" t="inlineStr">
        <is>
          <t>open</t>
        </is>
      </c>
      <c r="AC263" s="7" t="n">
        <v>0</v>
      </c>
      <c r="AD263" s="7" t="n"/>
      <c r="AE263" s="7" t="n"/>
      <c r="AF263" s="7" t="n"/>
      <c r="AG263" s="7" t="n"/>
      <c r="AH263" s="7" t="n"/>
      <c r="AI263" s="7" t="n"/>
      <c r="AJ263" s="7" t="n"/>
      <c r="AK263" s="7" t="inlineStr">
        <is>
          <t>fulfilled-prophecies-nations #1 (prophecy); fulfilled-prophecies-nations #6 (prophecy); fulfilled-prophecies-nations #13 (prophecy); prophets-and-kings-a6 #60 (item)</t>
        </is>
      </c>
      <c r="AL263" s="7" t="inlineStr">
        <is>
          <t>The A6 chart shows this prophet as an undated bar; range years come from the cited text sources. title_ta is the prophet’s name as printed in the Tamil A6 list.</t>
        </is>
      </c>
      <c r="AM263" s="7" t="n">
        <v>-804.01</v>
      </c>
      <c r="AN263" s="10" t="n"/>
      <c r="AO263" s="10" t="n"/>
      <c r="AP263" s="10" t="n"/>
      <c r="AQ263" s="10" t="n"/>
    </row>
    <row r="264">
      <c r="A264" s="7" t="inlineStr">
        <is>
          <t>b11-0019</t>
        </is>
      </c>
      <c r="B264" s="7" t="inlineStr">
        <is>
          <t>Point</t>
        </is>
      </c>
      <c r="C264" s="7" t="n"/>
      <c r="D264" s="7" t="inlineStr">
        <is>
          <t>c. 804 B.C.E.</t>
        </is>
      </c>
      <c r="E264" s="7" t="inlineStr">
        <is>
          <t>ஏ. கி.மு. 804</t>
        </is>
      </c>
      <c r="F264" s="7" t="inlineStr">
        <is>
          <t>804 BCE</t>
        </is>
      </c>
      <c r="G264" s="7" t="inlineStr">
        <is>
          <t>Approx. (c.)</t>
        </is>
      </c>
      <c r="H264" s="7" t="n"/>
      <c r="I264" s="7" t="n"/>
      <c r="J264" s="7" t="n"/>
      <c r="K264" s="2" t="inlineStr">
        <is>
          <t>Writing of Amos completed</t>
        </is>
      </c>
      <c r="L264" s="2" t="inlineStr">
        <is>
          <t>ஆமோஸ் — எழுதி முடிக்கப்பட்டது</t>
        </is>
      </c>
      <c r="M264" s="7" t="inlineStr">
        <is>
          <t>The writing of Amos was completed c. 804 B.C.E. Writer: Amos; place written: Judah.</t>
        </is>
      </c>
      <c r="N264" s="7" t="inlineStr">
        <is>
          <t>ஆமோஸ்: எழுதியவர்(கள்): ஆமோஸ்; எழுதப்பட்ட இடம்: யூதா; முடிக்கப்பட்ட வருஷம் (கி.மு.): ஏ. 804.</t>
        </is>
      </c>
      <c r="O264" s="8" t="inlineStr">
        <is>
          <t>Bible</t>
        </is>
      </c>
      <c r="P264" s="7" t="inlineStr">
        <is>
          <t>bible.book_writing</t>
        </is>
      </c>
      <c r="Q264" s="7" t="inlineStr">
        <is>
          <t>writing_completed</t>
        </is>
      </c>
      <c r="R264" s="7" t="inlineStr">
        <is>
          <t>Amos</t>
        </is>
      </c>
      <c r="S264" s="7" t="inlineStr">
        <is>
          <t>Judah</t>
        </is>
      </c>
      <c r="T264" s="7" t="inlineStr">
        <is>
          <t>Amos</t>
        </is>
      </c>
      <c r="U264" s="7" t="inlineStr">
        <is>
          <t>ஆமோ.</t>
        </is>
      </c>
      <c r="V264" s="7" t="n">
        <v>6</v>
      </c>
      <c r="W264" s="7" t="inlineStr">
        <is>
          <t>Table of the Books of the Bible</t>
        </is>
      </c>
      <c r="X264" s="9" t="inlineStr">
        <is>
          <t>open</t>
        </is>
      </c>
      <c r="Y264" s="9" t="inlineStr">
        <is>
          <t>open</t>
        </is>
      </c>
      <c r="Z264" s="7" t="inlineStr">
        <is>
          <t>https://wol.jw.org/en/wol/d/r1/lp-e/1001070071
https://wol.jw.org/en/wol/d/r1/lp-e/1101990091
https://www.jw.org/en/library/bible/study-bible/books-of-the-bible-list/
https://wol.jw.org/en/wol/d/r1/lp-e/1001060002
https://wol.jw.org/en/wol/d/r1/lp-e/1101990130
https://wol.jw.org/en/wol/d/r1/lp-e/1200000970</t>
        </is>
      </c>
      <c r="AA264" s="7" t="n">
        <v>0</v>
      </c>
      <c r="AB264" s="7" t="n"/>
      <c r="AC264" s="7" t="n">
        <v>0</v>
      </c>
      <c r="AD264" s="7" t="n"/>
      <c r="AE264" s="7" t="n"/>
      <c r="AF264" s="7" t="n"/>
      <c r="AG264" s="7" t="n"/>
      <c r="AH264" s="7" t="n"/>
      <c r="AI264" s="7" t="n"/>
      <c r="AJ264" s="7" t="n"/>
      <c r="AK264" s="7" t="inlineStr">
        <is>
          <t>bible-books-written #30 (item)</t>
        </is>
      </c>
      <c r="AL264" s="7" t="inlineStr">
        <is>
          <t>Writer(s): Amos. Place written: Judah. Writing completed: c. 804 B.C.E. Time covered: —.</t>
        </is>
      </c>
      <c r="AM264" s="7" t="n">
        <v>-803.997</v>
      </c>
      <c r="AN264" s="10" t="n"/>
      <c r="AO264" s="10" t="n"/>
      <c r="AP264" s="10" t="n"/>
      <c r="AQ264" s="10" t="n"/>
    </row>
    <row r="265">
      <c r="A265" s="7" t="inlineStr">
        <is>
          <t>b3-0061</t>
        </is>
      </c>
      <c r="B265" s="7" t="inlineStr">
        <is>
          <t>Point</t>
        </is>
      </c>
      <c r="C265" s="7" t="n"/>
      <c r="D265" s="7" t="inlineStr">
        <is>
          <t>c. 803 B.C.E.</t>
        </is>
      </c>
      <c r="E265" s="7" t="inlineStr">
        <is>
          <t>சுமார் கி.மு. 803</t>
        </is>
      </c>
      <c r="F265" s="7" t="inlineStr">
        <is>
          <t>803 BCE</t>
        </is>
      </c>
      <c r="G265" s="7" t="inlineStr">
        <is>
          <t>Approx. (c.)</t>
        </is>
      </c>
      <c r="H265" s="7" t="n"/>
      <c r="I265" s="7" t="n"/>
      <c r="J265" s="7" t="n"/>
      <c r="K265" s="2" t="inlineStr">
        <is>
          <t>Zechariah (of Israel) becomes king of Israel (recorded reign of only 6 months)</t>
        </is>
      </c>
      <c r="L265" s="2" t="inlineStr">
        <is>
          <t>சகரியா: பதிவின்படி ஆட்சிக்காலம் 6 மாதங்கள் மட்டுமே</t>
        </is>
      </c>
      <c r="M265" s="7" t="inlineStr">
        <is>
          <t>Zechariah (of Israel) begins to reign over the northern ten-tribe kingdom of Israel; the NWT chart gives a reign of recorded reign of only 6 months. A6-B notes he began to reign in some sense c. 803, but the kingship evidently was not fully confirmed as his until c. 792.</t>
        </is>
      </c>
      <c r="N265" s="7" t="inlineStr">
        <is>
          <t>சகரியா இஸ்ரவேலின் அரசனாக (6 மாதங்கள்) ஆளுகிறான்</t>
        </is>
      </c>
      <c r="O265" s="8" t="inlineStr">
        <is>
          <t>Bible</t>
        </is>
      </c>
      <c r="P265" s="7" t="inlineStr">
        <is>
          <t>bible.monarchy</t>
        </is>
      </c>
      <c r="Q265" s="7" t="inlineStr">
        <is>
          <t>accession</t>
        </is>
      </c>
      <c r="R265" s="7" t="inlineStr">
        <is>
          <t>Zechariah</t>
        </is>
      </c>
      <c r="S265" s="7" t="inlineStr">
        <is>
          <t>Israel</t>
        </is>
      </c>
      <c r="T265" s="7" t="inlineStr">
        <is>
          <t>2 Ki. 14:29; 2 Ki. 15:8</t>
        </is>
      </c>
      <c r="U265" s="7" t="inlineStr">
        <is>
          <t>2 இரா. 14:29; 2 இரா. 15:8</t>
        </is>
      </c>
      <c r="V265" s="7" t="n">
        <v>3</v>
      </c>
      <c r="W265" s="7" t="inlineStr">
        <is>
          <t>A6-B Chart: Prophets and Kings of Judah and of Israel (Part 2)</t>
        </is>
      </c>
      <c r="X265" s="9" t="inlineStr">
        <is>
          <t>open</t>
        </is>
      </c>
      <c r="Y265" s="9" t="inlineStr">
        <is>
          <t>open</t>
        </is>
      </c>
      <c r="Z265" s="7" t="inlineStr">
        <is>
          <t>https://wol.jw.org/en/wol/d/r1/lp-e/1001061215
https://wol.jw.org/en/wol/d/r1/lp-e/1101990130
https://wol.jw.org/en/wol/d/r1/lp-e/1200000970</t>
        </is>
      </c>
      <c r="AA265" s="7" t="n">
        <v>2</v>
      </c>
      <c r="AB265" s="9" t="inlineStr">
        <is>
          <t>open</t>
        </is>
      </c>
      <c r="AC265" s="7" t="n">
        <v>1</v>
      </c>
      <c r="AD265" s="7" t="inlineStr">
        <is>
          <t>si Study 3 table dates Zechariah’s 6-month rule to c. 792 B.C.E.; NWT A6-B begins it c. 803 with full confirmation c. 792 (Insight chart agrees with A6-B).</t>
        </is>
      </c>
      <c r="AE265" s="7" t="n"/>
      <c r="AF265" s="7" t="n"/>
      <c r="AG265" s="7" t="n"/>
      <c r="AH265" s="7" t="n"/>
      <c r="AI265" s="7" t="inlineStr">
        <is>
          <t>Covered by span – hide on chart</t>
        </is>
      </c>
      <c r="AJ265" s="7" t="inlineStr">
        <is>
          <t>end of Reign of Jeroboam II (Israel) (d1-0064); start of Reign of Zechariah (Israel) (d1-0065)</t>
        </is>
      </c>
      <c r="AK265" s="7" t="n"/>
      <c r="AL265" s="7" t="n"/>
      <c r="AM265" s="7" t="n">
        <v>-802.5</v>
      </c>
      <c r="AN265" s="10" t="n"/>
      <c r="AO265" s="10" t="n"/>
      <c r="AP265" s="10" t="n"/>
      <c r="AQ265" s="10" t="n"/>
    </row>
    <row r="266">
      <c r="A266" s="7" t="inlineStr">
        <is>
          <t>d1-0065</t>
        </is>
      </c>
      <c r="B266" s="11" t="inlineStr">
        <is>
          <t>Span</t>
        </is>
      </c>
      <c r="C266" s="7" t="inlineStr">
        <is>
          <t>reign</t>
        </is>
      </c>
      <c r="D266" s="7" t="inlineStr">
        <is>
          <t>c. 803 B.C.E. – c. 791 B.C.E.</t>
        </is>
      </c>
      <c r="E266" s="7" t="inlineStr">
        <is>
          <t>சுமார் கி.மு. 803 – சுமார் கி.மு. 791</t>
        </is>
      </c>
      <c r="F266" s="7" t="inlineStr">
        <is>
          <t>803 BCE</t>
        </is>
      </c>
      <c r="G266" s="7" t="inlineStr">
        <is>
          <t>Approx. (c.)</t>
        </is>
      </c>
      <c r="H266" s="7" t="inlineStr">
        <is>
          <t>791 BCE</t>
        </is>
      </c>
      <c r="I266" s="7" t="inlineStr">
        <is>
          <t>Approx. (c.)</t>
        </is>
      </c>
      <c r="J266" s="7" t="inlineStr">
        <is>
          <t>c. 12 years</t>
        </is>
      </c>
      <c r="K266" s="2" t="inlineStr">
        <is>
          <t>Reign of Zechariah (Israel)</t>
        </is>
      </c>
      <c r="L266" s="2" t="n"/>
      <c r="M266" s="7" t="inlineStr">
        <is>
          <t>Zechariah rules Israel. Starts with Zechariah (of Israel) becomes king of Israel (recorded reign of only 6 months) (c. 803 B.C.E.); ends when Shallum becomes king (b3-0062), as laid out in NWT Appendix A6.</t>
        </is>
      </c>
      <c r="N266" s="7" t="n"/>
      <c r="O266" s="8" t="inlineStr">
        <is>
          <t>Bible</t>
        </is>
      </c>
      <c r="P266" s="7" t="inlineStr">
        <is>
          <t>bible.monarchy</t>
        </is>
      </c>
      <c r="Q266" s="7" t="inlineStr">
        <is>
          <t>reign</t>
        </is>
      </c>
      <c r="R266" s="7" t="inlineStr">
        <is>
          <t>Zechariah</t>
        </is>
      </c>
      <c r="S266" s="7" t="inlineStr">
        <is>
          <t>Israel</t>
        </is>
      </c>
      <c r="T266" s="7" t="inlineStr">
        <is>
          <t>2 Ki. 14:29; 2 Ki. 15:8; 2 Ki. 15:13</t>
        </is>
      </c>
      <c r="U266" s="7" t="inlineStr">
        <is>
          <t>2 இரா. 14:29; 2 இரா. 15:8; 2 இரா. 15:13</t>
        </is>
      </c>
      <c r="V266" s="7" t="n">
        <v>3</v>
      </c>
      <c r="W266" s="7" t="inlineStr">
        <is>
          <t>A6-B Chart: Prophets and Kings of Judah and of Israel (Part 2)</t>
        </is>
      </c>
      <c r="X266" s="9" t="inlineStr">
        <is>
          <t>open</t>
        </is>
      </c>
      <c r="Y266" s="9" t="inlineStr">
        <is>
          <t>open</t>
        </is>
      </c>
      <c r="Z266" s="7" t="inlineStr">
        <is>
          <t>https://wol.jw.org/en/wol/d/r1/lp-e/1001061215
https://wol.jw.org/en/wol/d/r1/lp-e/1101990130
https://wol.jw.org/en/wol/d/r1/lp-e/1200000970</t>
        </is>
      </c>
      <c r="AA266" s="7" t="n">
        <v>0</v>
      </c>
      <c r="AB266" s="7" t="n"/>
      <c r="AC266" s="7" t="n">
        <v>1</v>
      </c>
      <c r="AD266" s="7" t="inlineStr">
        <is>
          <t>si Study 3 table dates Zechariah’s 6-month rule to c. 792 B.C.E.; NWT A6-B begins it c. 803 with full confirmation c. 792 (Insight chart agrees with A6-B).</t>
        </is>
      </c>
      <c r="AE266" s="7" t="inlineStr">
        <is>
          <t>Start b3-0061; ends when Shallum becomes king (b3-0062), as laid out in NWT Appendix A6.</t>
        </is>
      </c>
      <c r="AF266" s="7" t="inlineStr">
        <is>
          <t>b3-0061</t>
        </is>
      </c>
      <c r="AG266" s="7" t="inlineStr">
        <is>
          <t>b3-0062</t>
        </is>
      </c>
      <c r="AH266" s="7" t="n"/>
      <c r="AI266" s="7" t="n"/>
      <c r="AJ266" s="7" t="n"/>
      <c r="AK266" s="7" t="inlineStr">
        <is>
          <t>kings-of-israel #14 (ruler); prophets-and-kings-a6 #37 (ruler)</t>
        </is>
      </c>
      <c r="AL266" s="7" t="inlineStr">
        <is>
          <t>NWT App. A6 starts Zechariah c. 803 B.C.E. and runs his bar to Shallum (c. 791): his kingship was 'not fully confirmed' until c. 792 B.C.E. (b16-0001), and his recorded reign is only 6 months.</t>
        </is>
      </c>
      <c r="AM266" s="7" t="n">
        <v>-802.5</v>
      </c>
      <c r="AN266" s="10" t="n"/>
      <c r="AO266" s="10" t="n"/>
      <c r="AP266" s="10" t="n"/>
      <c r="AQ266" s="10" t="n"/>
    </row>
    <row r="267">
      <c r="A267" s="7" t="inlineStr">
        <is>
          <t>b16-0001</t>
        </is>
      </c>
      <c r="B267" s="7" t="inlineStr">
        <is>
          <t>Point</t>
        </is>
      </c>
      <c r="C267" s="7" t="n"/>
      <c r="D267" s="7" t="inlineStr">
        <is>
          <t>c. 792 B.C.E.</t>
        </is>
      </c>
      <c r="E267" s="7" t="inlineStr">
        <is>
          <t>சுமார் கி.மு. 792</t>
        </is>
      </c>
      <c r="F267" s="7" t="inlineStr">
        <is>
          <t>792 BCE</t>
        </is>
      </c>
      <c r="G267" s="7" t="inlineStr">
        <is>
          <t>Approx. (c.)</t>
        </is>
      </c>
      <c r="H267" s="7" t="n"/>
      <c r="I267" s="7" t="n"/>
      <c r="J267" s="7" t="n"/>
      <c r="K267" s="2" t="inlineStr">
        <is>
          <t>Zechariah’s kingship over Israel evidently fully confirmed</t>
        </is>
      </c>
      <c r="L267" s="2" t="inlineStr">
        <is>
          <t>ஏதோவொரு விதத்தில், சகரியா ஆட்சி செய்ய ஆரம்பித்தார்; ஆனால் அநேகமாக, சுமார் 792 வரை அவருக்கு ராஜ அதிகாரம் முழுமையாகக் கிடைக்கவில்லை</t>
        </is>
      </c>
      <c r="M267" s="7" t="inlineStr">
        <is>
          <t>NWT Appendix A6-B notes that Zechariah of Israel began to reign in some sense c. 803 B.C.E., but that the kingship evidently was not fully confirmed as his until c. 792 B.C.E. His recorded reign is only six months.</t>
        </is>
      </c>
      <c r="N267" s="7" t="inlineStr">
        <is>
          <t>ஏதோவொரு விதத்தில், சகரியா ஆட்சி செய்ய ஆரம்பித்தார்; ஆனால் அநேகமாக, சுமார் 792 வரை அவருக்கு ராஜ அதிகாரம் முழுமையாகக் கிடைக்கவில்லை.</t>
        </is>
      </c>
      <c r="O267" s="8" t="inlineStr">
        <is>
          <t>Bible</t>
        </is>
      </c>
      <c r="P267" s="7" t="inlineStr">
        <is>
          <t>bible.monarchy</t>
        </is>
      </c>
      <c r="Q267" s="7" t="inlineStr">
        <is>
          <t>accession_confirmed</t>
        </is>
      </c>
      <c r="R267" s="7" t="inlineStr">
        <is>
          <t>Zechariah (king of Israel)</t>
        </is>
      </c>
      <c r="S267" s="7" t="inlineStr">
        <is>
          <t>Samaria; Israel</t>
        </is>
      </c>
      <c r="T267" s="7" t="inlineStr">
        <is>
          <t>2 Ki. 15:8</t>
        </is>
      </c>
      <c r="U267" s="7" t="inlineStr">
        <is>
          <t>2 இரா. 15:8</t>
        </is>
      </c>
      <c r="V267" s="7" t="n">
        <v>2</v>
      </c>
      <c r="W267" s="7" t="inlineStr">
        <is>
          <t>A6-B Chart: Prophets and Kings of Judah and of Israel (Part 2)</t>
        </is>
      </c>
      <c r="X267" s="9" t="inlineStr">
        <is>
          <t>open</t>
        </is>
      </c>
      <c r="Y267" s="9" t="inlineStr">
        <is>
          <t>open</t>
        </is>
      </c>
      <c r="Z267" s="7" t="inlineStr">
        <is>
          <t>https://wol.jw.org/en/wol/d/r1/lp-e/1001070215
https://wol.jw.org/en/wol/d/r1/lp-e/1001061215</t>
        </is>
      </c>
      <c r="AA267" s="7" t="n">
        <v>0</v>
      </c>
      <c r="AB267" s="7" t="n"/>
      <c r="AC267" s="7" t="n">
        <v>0</v>
      </c>
      <c r="AD267" s="7" t="n"/>
      <c r="AE267" s="7" t="n"/>
      <c r="AF267" s="7" t="n"/>
      <c r="AG267" s="7" t="n"/>
      <c r="AH267" s="7" t="n"/>
      <c r="AI267" s="7" t="n"/>
      <c r="AJ267" s="7" t="n"/>
      <c r="AK267" s="7" t="inlineStr">
        <is>
          <t>prophets-and-kings-a6 #38 (context)</t>
        </is>
      </c>
      <c r="AL267" s="7" t="inlineStr">
        <is>
          <t>Printed on the A6-B chart as a footnote to Zechariah’s c. 803 accession. Scripture added from b3-0061 (2 Ki. 15:8, Zechariah’s six-month reign); the chart itself cites no verse.</t>
        </is>
      </c>
      <c r="AM267" s="7" t="n">
        <v>-791.5</v>
      </c>
      <c r="AN267" s="10" t="n"/>
      <c r="AO267" s="10" t="n"/>
      <c r="AP267" s="10" t="n"/>
      <c r="AQ267" s="10" t="n"/>
    </row>
    <row r="268">
      <c r="A268" s="7" t="inlineStr">
        <is>
          <t>b3-0062</t>
        </is>
      </c>
      <c r="B268" s="7" t="inlineStr">
        <is>
          <t>Point</t>
        </is>
      </c>
      <c r="C268" s="7" t="n"/>
      <c r="D268" s="7" t="inlineStr">
        <is>
          <t>c. 791 B.C.E.</t>
        </is>
      </c>
      <c r="E268" s="7" t="inlineStr">
        <is>
          <t>சுமார் கி.மு. 791</t>
        </is>
      </c>
      <c r="F268" s="7" t="inlineStr">
        <is>
          <t>791 BCE</t>
        </is>
      </c>
      <c r="G268" s="7" t="inlineStr">
        <is>
          <t>Approx. (c.)</t>
        </is>
      </c>
      <c r="H268" s="7" t="n"/>
      <c r="I268" s="7" t="n"/>
      <c r="J268" s="7" t="n"/>
      <c r="K268" s="2" t="inlineStr">
        <is>
          <t>Shallum becomes king of Israel (1 month)</t>
        </is>
      </c>
      <c r="L268" s="2" t="inlineStr">
        <is>
          <t>சல்லூம்: 1 மாதம்</t>
        </is>
      </c>
      <c r="M268" s="7" t="inlineStr">
        <is>
          <t>Shallum begins to reign over the northern ten-tribe kingdom of Israel; the NWT chart gives a reign of 1 month. Shallum killed Zechariah and was himself killed by Menahem.</t>
        </is>
      </c>
      <c r="N268" s="7" t="inlineStr">
        <is>
          <t>சகரியாவுக்குப் பின் சல்லூம் இஸ்ரவேலின் அரசனாகிறான்</t>
        </is>
      </c>
      <c r="O268" s="8" t="inlineStr">
        <is>
          <t>Bible</t>
        </is>
      </c>
      <c r="P268" s="7" t="inlineStr">
        <is>
          <t>bible.monarchy</t>
        </is>
      </c>
      <c r="Q268" s="7" t="inlineStr">
        <is>
          <t>accession</t>
        </is>
      </c>
      <c r="R268" s="7" t="inlineStr">
        <is>
          <t>Shallum</t>
        </is>
      </c>
      <c r="S268" s="7" t="inlineStr">
        <is>
          <t>Israel</t>
        </is>
      </c>
      <c r="T268" s="7" t="inlineStr">
        <is>
          <t>2 Ki. 15:13</t>
        </is>
      </c>
      <c r="U268" s="7" t="inlineStr">
        <is>
          <t>2 இரா. 15:13</t>
        </is>
      </c>
      <c r="V268" s="7" t="n">
        <v>3</v>
      </c>
      <c r="W268" s="7" t="inlineStr">
        <is>
          <t>A6-B Chart: Prophets and Kings of Judah and of Israel (Part 2)</t>
        </is>
      </c>
      <c r="X268" s="9" t="inlineStr">
        <is>
          <t>open</t>
        </is>
      </c>
      <c r="Y268" s="9" t="inlineStr">
        <is>
          <t>open</t>
        </is>
      </c>
      <c r="Z268" s="7" t="inlineStr">
        <is>
          <t>https://wol.jw.org/en/wol/d/r1/lp-e/1001061215
https://wol.jw.org/en/wol/d/r1/lp-e/1101990130
https://wol.jw.org/en/wol/d/r1/lp-e/1200000970</t>
        </is>
      </c>
      <c r="AA268" s="7" t="n">
        <v>2</v>
      </c>
      <c r="AB268" s="9" t="inlineStr">
        <is>
          <t>open</t>
        </is>
      </c>
      <c r="AC268" s="7" t="n">
        <v>0</v>
      </c>
      <c r="AD268" s="7" t="n"/>
      <c r="AE268" s="7" t="n"/>
      <c r="AF268" s="7" t="n"/>
      <c r="AG268" s="7" t="n"/>
      <c r="AH268" s="7" t="n"/>
      <c r="AI268" s="7" t="inlineStr">
        <is>
          <t>Covered by span – hide on chart</t>
        </is>
      </c>
      <c r="AJ268" s="7" t="inlineStr">
        <is>
          <t>end of Reign of Zechariah (Israel) (d1-0065); start of Reign of Shallum (Israel) (d1-0066)</t>
        </is>
      </c>
      <c r="AK268" s="7" t="n"/>
      <c r="AL268" s="7" t="n"/>
      <c r="AM268" s="7" t="n">
        <v>-790.7</v>
      </c>
      <c r="AN268" s="10" t="n"/>
      <c r="AO268" s="10" t="n"/>
      <c r="AP268" s="10" t="n"/>
      <c r="AQ268" s="10" t="n"/>
    </row>
    <row r="269">
      <c r="A269" s="7" t="inlineStr">
        <is>
          <t>d1-0066</t>
        </is>
      </c>
      <c r="B269" s="11" t="inlineStr">
        <is>
          <t>Span</t>
        </is>
      </c>
      <c r="C269" s="7" t="inlineStr">
        <is>
          <t>reign</t>
        </is>
      </c>
      <c r="D269" s="7" t="inlineStr">
        <is>
          <t>c. 791 B.C.E.</t>
        </is>
      </c>
      <c r="E269" s="7" t="inlineStr">
        <is>
          <t>சுமார் கி.மு. 791 – சுமார் கி.மு. 791</t>
        </is>
      </c>
      <c r="F269" s="7" t="inlineStr">
        <is>
          <t>791 BCE</t>
        </is>
      </c>
      <c r="G269" s="7" t="inlineStr">
        <is>
          <t>Approx. (c.)</t>
        </is>
      </c>
      <c r="H269" s="7" t="inlineStr">
        <is>
          <t>791 BCE</t>
        </is>
      </c>
      <c r="I269" s="7" t="inlineStr">
        <is>
          <t>Approx. (c.)</t>
        </is>
      </c>
      <c r="J269" s="7" t="inlineStr">
        <is>
          <t>1 month</t>
        </is>
      </c>
      <c r="K269" s="2" t="inlineStr">
        <is>
          <t>Reign of Shallum (Israel)</t>
        </is>
      </c>
      <c r="L269" s="2" t="n"/>
      <c r="M269" s="7" t="inlineStr">
        <is>
          <t>Shallum rules Israel. Starts with Shallum becomes king of Israel (1 month) (c. 791 B.C.E.); ends when Menahem becomes king (b3-0063), as laid out in NWT Appendix A6.</t>
        </is>
      </c>
      <c r="N269" s="7" t="n"/>
      <c r="O269" s="8" t="inlineStr">
        <is>
          <t>Bible</t>
        </is>
      </c>
      <c r="P269" s="7" t="inlineStr">
        <is>
          <t>bible.monarchy</t>
        </is>
      </c>
      <c r="Q269" s="7" t="inlineStr">
        <is>
          <t>reign</t>
        </is>
      </c>
      <c r="R269" s="7" t="inlineStr">
        <is>
          <t>Shallum</t>
        </is>
      </c>
      <c r="S269" s="7" t="inlineStr">
        <is>
          <t>Israel</t>
        </is>
      </c>
      <c r="T269" s="7" t="inlineStr">
        <is>
          <t>2 Ki. 15:13; 2 Ki. 15:17</t>
        </is>
      </c>
      <c r="U269" s="7" t="inlineStr">
        <is>
          <t>2 இரா. 15:13; 2 இரா. 15:17</t>
        </is>
      </c>
      <c r="V269" s="7" t="n">
        <v>3</v>
      </c>
      <c r="W269" s="7" t="inlineStr">
        <is>
          <t>A6-B Chart: Prophets and Kings of Judah and of Israel (Part 2)</t>
        </is>
      </c>
      <c r="X269" s="9" t="inlineStr">
        <is>
          <t>open</t>
        </is>
      </c>
      <c r="Y269" s="9" t="inlineStr">
        <is>
          <t>open</t>
        </is>
      </c>
      <c r="Z269" s="7" t="inlineStr">
        <is>
          <t>https://wol.jw.org/en/wol/d/r1/lp-e/1001061215
https://wol.jw.org/en/wol/d/r1/lp-e/1101990130
https://wol.jw.org/en/wol/d/r1/lp-e/1200000970</t>
        </is>
      </c>
      <c r="AA269" s="7" t="n">
        <v>0</v>
      </c>
      <c r="AB269" s="7" t="n"/>
      <c r="AC269" s="7" t="n">
        <v>0</v>
      </c>
      <c r="AD269" s="7" t="n"/>
      <c r="AE269" s="7" t="inlineStr">
        <is>
          <t>Start b3-0062; ends when Menahem becomes king (b3-0063), as laid out in NWT Appendix A6. Reign shorter than a year: end placed in the accession year using the printed length.</t>
        </is>
      </c>
      <c r="AF269" s="7" t="inlineStr">
        <is>
          <t>b3-0062</t>
        </is>
      </c>
      <c r="AG269" s="7" t="inlineStr">
        <is>
          <t>b3-0063</t>
        </is>
      </c>
      <c r="AH269" s="7" t="n"/>
      <c r="AI269" s="7" t="n"/>
      <c r="AJ269" s="7" t="n"/>
      <c r="AK269" s="7" t="inlineStr">
        <is>
          <t>kings-of-israel #15 (ruler); prophets-and-kings-a6 #39 (ruler)</t>
        </is>
      </c>
      <c r="AL269" s="7" t="n"/>
      <c r="AM269" s="7" t="n">
        <v>-790.7</v>
      </c>
      <c r="AN269" s="10" t="n"/>
      <c r="AO269" s="10" t="n"/>
      <c r="AP269" s="10" t="n"/>
      <c r="AQ269" s="10" t="n"/>
    </row>
    <row r="270">
      <c r="A270" s="7" t="inlineStr">
        <is>
          <t>b3-0063</t>
        </is>
      </c>
      <c r="B270" s="7" t="inlineStr">
        <is>
          <t>Point</t>
        </is>
      </c>
      <c r="C270" s="7" t="n"/>
      <c r="D270" s="7" t="inlineStr">
        <is>
          <t>c. 791 B.C.E.</t>
        </is>
      </c>
      <c r="E270" s="7" t="inlineStr">
        <is>
          <t>சுமார் கி.மு. 791</t>
        </is>
      </c>
      <c r="F270" s="7" t="inlineStr">
        <is>
          <t>791 BCE</t>
        </is>
      </c>
      <c r="G270" s="7" t="inlineStr">
        <is>
          <t>Approx. (c.)</t>
        </is>
      </c>
      <c r="H270" s="7" t="n"/>
      <c r="I270" s="7" t="n"/>
      <c r="J270" s="7" t="n"/>
      <c r="K270" s="2" t="inlineStr">
        <is>
          <t>Menahem becomes king of Israel (10 years)</t>
        </is>
      </c>
      <c r="L270" s="2" t="inlineStr">
        <is>
          <t>மெனாகேம்: 10 வருஷங்கள்</t>
        </is>
      </c>
      <c r="M270" s="7" t="inlineStr">
        <is>
          <t>Menahem begins to reign over the northern ten-tribe kingdom of Israel; the NWT chart gives a reign of 10 years.</t>
        </is>
      </c>
      <c r="N270" s="7" t="inlineStr">
        <is>
          <t>சல்லூமுக்குப் பின் மெனாகேம் இஸ்ரவேலின் அரசனாகிறான்</t>
        </is>
      </c>
      <c r="O270" s="8" t="inlineStr">
        <is>
          <t>Bible</t>
        </is>
      </c>
      <c r="P270" s="7" t="inlineStr">
        <is>
          <t>bible.monarchy</t>
        </is>
      </c>
      <c r="Q270" s="7" t="inlineStr">
        <is>
          <t>accession</t>
        </is>
      </c>
      <c r="R270" s="7" t="inlineStr">
        <is>
          <t>Menahem</t>
        </is>
      </c>
      <c r="S270" s="7" t="inlineStr">
        <is>
          <t>Israel</t>
        </is>
      </c>
      <c r="T270" s="7" t="inlineStr">
        <is>
          <t>2 Ki. 15:17</t>
        </is>
      </c>
      <c r="U270" s="7" t="inlineStr">
        <is>
          <t>2 இரா. 15:17</t>
        </is>
      </c>
      <c r="V270" s="7" t="n">
        <v>3</v>
      </c>
      <c r="W270" s="7" t="inlineStr">
        <is>
          <t>A6-B Chart: Prophets and Kings of Judah and of Israel (Part 2)</t>
        </is>
      </c>
      <c r="X270" s="9" t="inlineStr">
        <is>
          <t>open</t>
        </is>
      </c>
      <c r="Y270" s="9" t="inlineStr">
        <is>
          <t>open</t>
        </is>
      </c>
      <c r="Z270" s="7" t="inlineStr">
        <is>
          <t>https://wol.jw.org/en/wol/d/r1/lp-e/1001061215
https://wol.jw.org/en/wol/d/r1/lp-e/1101990130
https://wol.jw.org/en/wol/d/r1/lp-e/1200000970</t>
        </is>
      </c>
      <c r="AA270" s="7" t="n">
        <v>2</v>
      </c>
      <c r="AB270" s="9" t="inlineStr">
        <is>
          <t>open</t>
        </is>
      </c>
      <c r="AC270" s="7" t="n">
        <v>0</v>
      </c>
      <c r="AD270" s="7" t="n"/>
      <c r="AE270" s="7" t="n"/>
      <c r="AF270" s="7" t="n"/>
      <c r="AG270" s="7" t="n"/>
      <c r="AH270" s="7" t="n"/>
      <c r="AI270" s="7" t="inlineStr">
        <is>
          <t>Covered by span – hide on chart</t>
        </is>
      </c>
      <c r="AJ270" s="7" t="inlineStr">
        <is>
          <t>end of Reign of Shallum (Israel) (d1-0066); start of Reign of Menahem (Israel) (d1-0067)</t>
        </is>
      </c>
      <c r="AK270" s="7" t="n"/>
      <c r="AL270" s="7" t="inlineStr">
        <is>
          <t>A6-B lists Menahem directly after Shallum under c. 791.</t>
        </is>
      </c>
      <c r="AM270" s="7" t="n">
        <v>-790.6</v>
      </c>
      <c r="AN270" s="10" t="n"/>
      <c r="AO270" s="10" t="n"/>
      <c r="AP270" s="10" t="n"/>
      <c r="AQ270" s="10" t="n"/>
    </row>
    <row r="271">
      <c r="A271" s="7" t="inlineStr">
        <is>
          <t>d1-0067</t>
        </is>
      </c>
      <c r="B271" s="11" t="inlineStr">
        <is>
          <t>Span</t>
        </is>
      </c>
      <c r="C271" s="7" t="inlineStr">
        <is>
          <t>reign</t>
        </is>
      </c>
      <c r="D271" s="7" t="inlineStr">
        <is>
          <t>c. 791 B.C.E. – c. 780 B.C.E.</t>
        </is>
      </c>
      <c r="E271" s="7" t="inlineStr">
        <is>
          <t>சுமார் கி.மு. 791 – சுமார் கி.மு. 780</t>
        </is>
      </c>
      <c r="F271" s="7" t="inlineStr">
        <is>
          <t>791 BCE</t>
        </is>
      </c>
      <c r="G271" s="7" t="inlineStr">
        <is>
          <t>Approx. (c.)</t>
        </is>
      </c>
      <c r="H271" s="7" t="inlineStr">
        <is>
          <t>780 BCE</t>
        </is>
      </c>
      <c r="I271" s="7" t="inlineStr">
        <is>
          <t>Approx. (c.)</t>
        </is>
      </c>
      <c r="J271" s="7" t="inlineStr">
        <is>
          <t>10 years</t>
        </is>
      </c>
      <c r="K271" s="2" t="inlineStr">
        <is>
          <t>Reign of Menahem (Israel)</t>
        </is>
      </c>
      <c r="L271" s="2" t="n"/>
      <c r="M271" s="7" t="inlineStr">
        <is>
          <t>Menahem rules Israel. Starts with Menahem becomes king of Israel (10 years) (c. 791 B.C.E.); ends when Pekahiah becomes king (b3-0064), as laid out in NWT Appendix A6.</t>
        </is>
      </c>
      <c r="N271" s="7" t="n"/>
      <c r="O271" s="8" t="inlineStr">
        <is>
          <t>Bible</t>
        </is>
      </c>
      <c r="P271" s="7" t="inlineStr">
        <is>
          <t>bible.monarchy</t>
        </is>
      </c>
      <c r="Q271" s="7" t="inlineStr">
        <is>
          <t>reign</t>
        </is>
      </c>
      <c r="R271" s="7" t="inlineStr">
        <is>
          <t>Menahem</t>
        </is>
      </c>
      <c r="S271" s="7" t="inlineStr">
        <is>
          <t>Israel</t>
        </is>
      </c>
      <c r="T271" s="7" t="inlineStr">
        <is>
          <t>2 Ki. 15:17; 2 Ki. 15:23</t>
        </is>
      </c>
      <c r="U271" s="7" t="inlineStr">
        <is>
          <t>2 இரா. 15:17; 2 இரா. 15:23</t>
        </is>
      </c>
      <c r="V271" s="7" t="n">
        <v>3</v>
      </c>
      <c r="W271" s="7" t="inlineStr">
        <is>
          <t>A6-B Chart: Prophets and Kings of Judah and of Israel (Part 2)</t>
        </is>
      </c>
      <c r="X271" s="9" t="inlineStr">
        <is>
          <t>open</t>
        </is>
      </c>
      <c r="Y271" s="9" t="inlineStr">
        <is>
          <t>open</t>
        </is>
      </c>
      <c r="Z271" s="7" t="inlineStr">
        <is>
          <t>https://wol.jw.org/en/wol/d/r1/lp-e/1001061215
https://wol.jw.org/en/wol/d/r1/lp-e/1101990130
https://wol.jw.org/en/wol/d/r1/lp-e/1200000970</t>
        </is>
      </c>
      <c r="AA271" s="7" t="n">
        <v>0</v>
      </c>
      <c r="AB271" s="7" t="n"/>
      <c r="AC271" s="7" t="n">
        <v>0</v>
      </c>
      <c r="AD271" s="7" t="n"/>
      <c r="AE271" s="7" t="inlineStr">
        <is>
          <t>Start b3-0063; ends when Pekahiah becomes king (b3-0064), as laid out in NWT Appendix A6.</t>
        </is>
      </c>
      <c r="AF271" s="7" t="inlineStr">
        <is>
          <t>b3-0063</t>
        </is>
      </c>
      <c r="AG271" s="7" t="inlineStr">
        <is>
          <t>b3-0064</t>
        </is>
      </c>
      <c r="AH271" s="7" t="n"/>
      <c r="AI271" s="7" t="n"/>
      <c r="AJ271" s="7" t="n"/>
      <c r="AK271" s="7" t="inlineStr">
        <is>
          <t>kings-of-israel #16 (ruler); prophets-and-kings-a6 #40 (ruler)</t>
        </is>
      </c>
      <c r="AL271" s="7" t="n"/>
      <c r="AM271" s="7" t="n">
        <v>-790.6</v>
      </c>
      <c r="AN271" s="10" t="n"/>
      <c r="AO271" s="10" t="n"/>
      <c r="AP271" s="10" t="n"/>
      <c r="AQ271" s="10" t="n"/>
    </row>
    <row r="272">
      <c r="A272" s="7" t="inlineStr">
        <is>
          <t>b3-0064</t>
        </is>
      </c>
      <c r="B272" s="7" t="inlineStr">
        <is>
          <t>Point</t>
        </is>
      </c>
      <c r="C272" s="7" t="n"/>
      <c r="D272" s="7" t="inlineStr">
        <is>
          <t>c. 780 B.C.E.</t>
        </is>
      </c>
      <c r="E272" s="7" t="inlineStr">
        <is>
          <t>சுமார் கி.மு. 780</t>
        </is>
      </c>
      <c r="F272" s="7" t="inlineStr">
        <is>
          <t>780 BCE</t>
        </is>
      </c>
      <c r="G272" s="7" t="inlineStr">
        <is>
          <t>Approx. (c.)</t>
        </is>
      </c>
      <c r="H272" s="7" t="n"/>
      <c r="I272" s="7" t="n"/>
      <c r="J272" s="7" t="n"/>
      <c r="K272" s="2" t="inlineStr">
        <is>
          <t>Pekahiah becomes king of Israel (2 years)</t>
        </is>
      </c>
      <c r="L272" s="2" t="inlineStr">
        <is>
          <t>பெக்காகியா: 2 வருஷங்கள்</t>
        </is>
      </c>
      <c r="M272" s="7" t="inlineStr">
        <is>
          <t>Pekahiah begins to reign over the northern ten-tribe kingdom of Israel; the NWT chart gives a reign of 2 years.</t>
        </is>
      </c>
      <c r="N272" s="7" t="inlineStr">
        <is>
          <t>மெனாகேமுக்குப் பின் பெக்காகியா இஸ்ரவேலின் அரசனாகிறான்</t>
        </is>
      </c>
      <c r="O272" s="8" t="inlineStr">
        <is>
          <t>Bible</t>
        </is>
      </c>
      <c r="P272" s="7" t="inlineStr">
        <is>
          <t>bible.monarchy</t>
        </is>
      </c>
      <c r="Q272" s="7" t="inlineStr">
        <is>
          <t>accession</t>
        </is>
      </c>
      <c r="R272" s="7" t="inlineStr">
        <is>
          <t>Pekahiah</t>
        </is>
      </c>
      <c r="S272" s="7" t="inlineStr">
        <is>
          <t>Israel</t>
        </is>
      </c>
      <c r="T272" s="7" t="inlineStr">
        <is>
          <t>2 Ki. 15:23</t>
        </is>
      </c>
      <c r="U272" s="7" t="inlineStr">
        <is>
          <t>2 இரா. 15:23</t>
        </is>
      </c>
      <c r="V272" s="7" t="n">
        <v>3</v>
      </c>
      <c r="W272" s="7" t="inlineStr">
        <is>
          <t>A6-B Chart: Prophets and Kings of Judah and of Israel (Part 2)</t>
        </is>
      </c>
      <c r="X272" s="9" t="inlineStr">
        <is>
          <t>open</t>
        </is>
      </c>
      <c r="Y272" s="9" t="inlineStr">
        <is>
          <t>open</t>
        </is>
      </c>
      <c r="Z272" s="7" t="inlineStr">
        <is>
          <t>https://wol.jw.org/en/wol/d/r1/lp-e/1001061215
https://wol.jw.org/en/wol/d/r1/lp-e/1101990130
https://wol.jw.org/en/wol/d/r1/lp-e/1200000970</t>
        </is>
      </c>
      <c r="AA272" s="7" t="n">
        <v>2</v>
      </c>
      <c r="AB272" s="9" t="inlineStr">
        <is>
          <t>open</t>
        </is>
      </c>
      <c r="AC272" s="7" t="n">
        <v>0</v>
      </c>
      <c r="AD272" s="7" t="n"/>
      <c r="AE272" s="7" t="n"/>
      <c r="AF272" s="7" t="n"/>
      <c r="AG272" s="7" t="n"/>
      <c r="AH272" s="7" t="n"/>
      <c r="AI272" s="7" t="inlineStr">
        <is>
          <t>Covered by span – hide on chart</t>
        </is>
      </c>
      <c r="AJ272" s="7" t="inlineStr">
        <is>
          <t>end of Reign of Menahem (Israel) (d1-0067); start of Reign of Pekahiah (Israel) (d1-0068)</t>
        </is>
      </c>
      <c r="AK272" s="7" t="n"/>
      <c r="AL272" s="7" t="n"/>
      <c r="AM272" s="7" t="n">
        <v>-779.5</v>
      </c>
      <c r="AN272" s="10" t="n"/>
      <c r="AO272" s="10" t="n"/>
      <c r="AP272" s="10" t="n"/>
      <c r="AQ272" s="10" t="n"/>
    </row>
    <row r="273">
      <c r="A273" s="7" t="inlineStr">
        <is>
          <t>d1-0068</t>
        </is>
      </c>
      <c r="B273" s="11" t="inlineStr">
        <is>
          <t>Span</t>
        </is>
      </c>
      <c r="C273" s="7" t="inlineStr">
        <is>
          <t>reign</t>
        </is>
      </c>
      <c r="D273" s="7" t="inlineStr">
        <is>
          <t>c. 780 B.C.E. – c. 778 B.C.E.</t>
        </is>
      </c>
      <c r="E273" s="7" t="inlineStr">
        <is>
          <t>சுமார் கி.மு. 780 – சுமார் கி.மு. 778</t>
        </is>
      </c>
      <c r="F273" s="7" t="inlineStr">
        <is>
          <t>780 BCE</t>
        </is>
      </c>
      <c r="G273" s="7" t="inlineStr">
        <is>
          <t>Approx. (c.)</t>
        </is>
      </c>
      <c r="H273" s="7" t="inlineStr">
        <is>
          <t>778 BCE</t>
        </is>
      </c>
      <c r="I273" s="7" t="inlineStr">
        <is>
          <t>Approx. (c.)</t>
        </is>
      </c>
      <c r="J273" s="7" t="inlineStr">
        <is>
          <t>2 years</t>
        </is>
      </c>
      <c r="K273" s="2" t="inlineStr">
        <is>
          <t>Reign of Pekahiah (Israel)</t>
        </is>
      </c>
      <c r="L273" s="2" t="n"/>
      <c r="M273" s="7" t="inlineStr">
        <is>
          <t>Pekahiah rules Israel. Starts with Pekahiah becomes king of Israel (2 years) (c. 780 B.C.E.); ends when Pekah becomes king (b3-0065), as laid out in NWT Appendix A6.</t>
        </is>
      </c>
      <c r="N273" s="7" t="n"/>
      <c r="O273" s="8" t="inlineStr">
        <is>
          <t>Bible</t>
        </is>
      </c>
      <c r="P273" s="7" t="inlineStr">
        <is>
          <t>bible.monarchy</t>
        </is>
      </c>
      <c r="Q273" s="7" t="inlineStr">
        <is>
          <t>reign</t>
        </is>
      </c>
      <c r="R273" s="7" t="inlineStr">
        <is>
          <t>Pekahiah</t>
        </is>
      </c>
      <c r="S273" s="7" t="inlineStr">
        <is>
          <t>Israel</t>
        </is>
      </c>
      <c r="T273" s="7" t="inlineStr">
        <is>
          <t>2 Ki. 15:23; 2 Ki. 15:27</t>
        </is>
      </c>
      <c r="U273" s="7" t="inlineStr">
        <is>
          <t>2 இரா. 15:23; 2 இரா. 15:27</t>
        </is>
      </c>
      <c r="V273" s="7" t="n">
        <v>3</v>
      </c>
      <c r="W273" s="7" t="inlineStr">
        <is>
          <t>A6-B Chart: Prophets and Kings of Judah and of Israel (Part 2)</t>
        </is>
      </c>
      <c r="X273" s="9" t="inlineStr">
        <is>
          <t>open</t>
        </is>
      </c>
      <c r="Y273" s="9" t="inlineStr">
        <is>
          <t>open</t>
        </is>
      </c>
      <c r="Z273" s="7" t="inlineStr">
        <is>
          <t>https://wol.jw.org/en/wol/d/r1/lp-e/1001061215
https://wol.jw.org/en/wol/d/r1/lp-e/1101990130
https://wol.jw.org/en/wol/d/r1/lp-e/1200000970</t>
        </is>
      </c>
      <c r="AA273" s="7" t="n">
        <v>0</v>
      </c>
      <c r="AB273" s="7" t="n"/>
      <c r="AC273" s="7" t="n">
        <v>0</v>
      </c>
      <c r="AD273" s="7" t="n"/>
      <c r="AE273" s="7" t="inlineStr">
        <is>
          <t>Start b3-0064; ends when Pekah becomes king (b3-0065), as laid out in NWT Appendix A6.</t>
        </is>
      </c>
      <c r="AF273" s="7" t="inlineStr">
        <is>
          <t>b3-0064</t>
        </is>
      </c>
      <c r="AG273" s="7" t="inlineStr">
        <is>
          <t>b3-0065</t>
        </is>
      </c>
      <c r="AH273" s="7" t="n"/>
      <c r="AI273" s="7" t="n"/>
      <c r="AJ273" s="7" t="n"/>
      <c r="AK273" s="7" t="inlineStr">
        <is>
          <t>kings-of-israel #17 (ruler); prophets-and-kings-a6 #41 (ruler)</t>
        </is>
      </c>
      <c r="AL273" s="7" t="n"/>
      <c r="AM273" s="7" t="n">
        <v>-779.5</v>
      </c>
      <c r="AN273" s="10" t="n"/>
      <c r="AO273" s="10" t="n"/>
      <c r="AP273" s="10" t="n"/>
      <c r="AQ273" s="10" t="n"/>
    </row>
    <row r="274">
      <c r="A274" s="7" t="inlineStr">
        <is>
          <t>b3-0065</t>
        </is>
      </c>
      <c r="B274" s="7" t="inlineStr">
        <is>
          <t>Point</t>
        </is>
      </c>
      <c r="C274" s="7" t="n"/>
      <c r="D274" s="7" t="inlineStr">
        <is>
          <t>c. 778 B.C.E.</t>
        </is>
      </c>
      <c r="E274" s="7" t="inlineStr">
        <is>
          <t>சுமார் கி.மு. 778</t>
        </is>
      </c>
      <c r="F274" s="7" t="inlineStr">
        <is>
          <t>778 BCE</t>
        </is>
      </c>
      <c r="G274" s="7" t="inlineStr">
        <is>
          <t>Approx. (c.)</t>
        </is>
      </c>
      <c r="H274" s="7" t="n"/>
      <c r="I274" s="7" t="n"/>
      <c r="J274" s="7" t="n"/>
      <c r="K274" s="2" t="inlineStr">
        <is>
          <t>Pekah becomes king of Israel (20 years)</t>
        </is>
      </c>
      <c r="L274" s="2" t="inlineStr">
        <is>
          <t>பெக்கா: 20 வருஷங்கள்</t>
        </is>
      </c>
      <c r="M274" s="7" t="inlineStr">
        <is>
          <t>Pekah begins to reign over the northern ten-tribe kingdom of Israel; the NWT chart gives a reign of 20 years.</t>
        </is>
      </c>
      <c r="N274" s="7" t="inlineStr">
        <is>
          <t>பெக்காகியாவுக்குப் பின் பெக்கா இஸ்ரவேலின் அரசனாகிறான்</t>
        </is>
      </c>
      <c r="O274" s="8" t="inlineStr">
        <is>
          <t>Bible</t>
        </is>
      </c>
      <c r="P274" s="7" t="inlineStr">
        <is>
          <t>bible.monarchy</t>
        </is>
      </c>
      <c r="Q274" s="7" t="inlineStr">
        <is>
          <t>accession</t>
        </is>
      </c>
      <c r="R274" s="7" t="inlineStr">
        <is>
          <t>Pekah</t>
        </is>
      </c>
      <c r="S274" s="7" t="inlineStr">
        <is>
          <t>Israel</t>
        </is>
      </c>
      <c r="T274" s="7" t="inlineStr">
        <is>
          <t>2 Ki. 15:27</t>
        </is>
      </c>
      <c r="U274" s="7" t="inlineStr">
        <is>
          <t>2 இரா. 15:27</t>
        </is>
      </c>
      <c r="V274" s="7" t="n">
        <v>3</v>
      </c>
      <c r="W274" s="7" t="inlineStr">
        <is>
          <t>A6-B Chart: Prophets and Kings of Judah and of Israel (Part 2)</t>
        </is>
      </c>
      <c r="X274" s="9" t="inlineStr">
        <is>
          <t>open</t>
        </is>
      </c>
      <c r="Y274" s="9" t="inlineStr">
        <is>
          <t>open</t>
        </is>
      </c>
      <c r="Z274" s="7" t="inlineStr">
        <is>
          <t>https://wol.jw.org/en/wol/d/r1/lp-e/1001061215
https://wol.jw.org/en/wol/d/r1/lp-e/1101990130
https://wol.jw.org/en/wol/d/r1/lp-e/1200000970</t>
        </is>
      </c>
      <c r="AA274" s="7" t="n">
        <v>2</v>
      </c>
      <c r="AB274" s="9" t="inlineStr">
        <is>
          <t>open</t>
        </is>
      </c>
      <c r="AC274" s="7" t="n">
        <v>0</v>
      </c>
      <c r="AD274" s="7" t="n"/>
      <c r="AE274" s="7" t="n"/>
      <c r="AF274" s="7" t="n"/>
      <c r="AG274" s="7" t="n"/>
      <c r="AH274" s="7" t="n"/>
      <c r="AI274" s="7" t="inlineStr">
        <is>
          <t>Covered by span – hide on chart</t>
        </is>
      </c>
      <c r="AJ274" s="7" t="inlineStr">
        <is>
          <t>end of Reign of Pekahiah (Israel) (d1-0068); start of Reign of Pekah (Israel) (d1-0069)</t>
        </is>
      </c>
      <c r="AK274" s="7" t="n"/>
      <c r="AL274" s="7" t="n"/>
      <c r="AM274" s="7" t="n">
        <v>-777.5</v>
      </c>
      <c r="AN274" s="10" t="n"/>
      <c r="AO274" s="10" t="n"/>
      <c r="AP274" s="10" t="n"/>
      <c r="AQ274" s="10" t="n"/>
    </row>
    <row r="275">
      <c r="A275" s="7" t="inlineStr">
        <is>
          <t>d1-0069</t>
        </is>
      </c>
      <c r="B275" s="11" t="inlineStr">
        <is>
          <t>Span</t>
        </is>
      </c>
      <c r="C275" s="7" t="inlineStr">
        <is>
          <t>reign</t>
        </is>
      </c>
      <c r="D275" s="7" t="inlineStr">
        <is>
          <t>c. 778 B.C.E. – c. 758 B.C.E.</t>
        </is>
      </c>
      <c r="E275" s="7" t="inlineStr">
        <is>
          <t>சுமார் கி.மு. 778 – சுமார் கி.மு. 758</t>
        </is>
      </c>
      <c r="F275" s="7" t="inlineStr">
        <is>
          <t>778 BCE</t>
        </is>
      </c>
      <c r="G275" s="7" t="inlineStr">
        <is>
          <t>Approx. (c.)</t>
        </is>
      </c>
      <c r="H275" s="7" t="inlineStr">
        <is>
          <t>758 BCE</t>
        </is>
      </c>
      <c r="I275" s="7" t="inlineStr">
        <is>
          <t>Approx. (c.)</t>
        </is>
      </c>
      <c r="J275" s="7" t="inlineStr">
        <is>
          <t>20 years</t>
        </is>
      </c>
      <c r="K275" s="2" t="inlineStr">
        <is>
          <t>Reign of Pekah (Israel)</t>
        </is>
      </c>
      <c r="L275" s="2" t="n"/>
      <c r="M275" s="7" t="inlineStr">
        <is>
          <t>Pekah rules Israel. Starts with Pekah becomes king of Israel (20 years) (c. 778 B.C.E.); ends when Hoshea becomes king (b3-0071), as laid out in NWT Appendix A6.</t>
        </is>
      </c>
      <c r="N275" s="7" t="n"/>
      <c r="O275" s="8" t="inlineStr">
        <is>
          <t>Bible</t>
        </is>
      </c>
      <c r="P275" s="7" t="inlineStr">
        <is>
          <t>bible.monarchy</t>
        </is>
      </c>
      <c r="Q275" s="7" t="inlineStr">
        <is>
          <t>reign</t>
        </is>
      </c>
      <c r="R275" s="7" t="inlineStr">
        <is>
          <t>Pekah</t>
        </is>
      </c>
      <c r="S275" s="7" t="inlineStr">
        <is>
          <t>Israel</t>
        </is>
      </c>
      <c r="T275" s="7" t="inlineStr">
        <is>
          <t>2 Ki. 15:27; 2 Ki. 15:30; 2 Ki. 17:1</t>
        </is>
      </c>
      <c r="U275" s="7" t="inlineStr">
        <is>
          <t>2 இரா. 15:27; 2 இரா. 15:30; 2 இரா. 17:1</t>
        </is>
      </c>
      <c r="V275" s="7" t="n">
        <v>3</v>
      </c>
      <c r="W275" s="7" t="inlineStr">
        <is>
          <t>A6-B Chart: Prophets and Kings of Judah and of Israel (Part 2)</t>
        </is>
      </c>
      <c r="X275" s="9" t="inlineStr">
        <is>
          <t>open</t>
        </is>
      </c>
      <c r="Y275" s="9" t="inlineStr">
        <is>
          <t>open</t>
        </is>
      </c>
      <c r="Z275" s="7" t="inlineStr">
        <is>
          <t>https://wol.jw.org/en/wol/d/r1/lp-e/1001061215
https://wol.jw.org/en/wol/d/r1/lp-e/1101990130
https://wol.jw.org/en/wol/d/r1/lp-e/1200000970</t>
        </is>
      </c>
      <c r="AA275" s="7" t="n">
        <v>0</v>
      </c>
      <c r="AB275" s="7" t="n"/>
      <c r="AC275" s="7" t="n">
        <v>0</v>
      </c>
      <c r="AD275" s="7" t="n"/>
      <c r="AE275" s="7" t="inlineStr">
        <is>
          <t>Start b3-0065; ends when Hoshea becomes king (b3-0071), as laid out in NWT Appendix A6.</t>
        </is>
      </c>
      <c r="AF275" s="7" t="inlineStr">
        <is>
          <t>b3-0065</t>
        </is>
      </c>
      <c r="AG275" s="7" t="inlineStr">
        <is>
          <t>b3-0071</t>
        </is>
      </c>
      <c r="AH275" s="7" t="n"/>
      <c r="AI275" s="7" t="n"/>
      <c r="AJ275" s="7" t="n"/>
      <c r="AK275" s="7" t="inlineStr">
        <is>
          <t>kings-of-israel #18 (ruler); prophets-and-kings-a6 #42 (ruler)</t>
        </is>
      </c>
      <c r="AL275" s="7" t="n"/>
      <c r="AM275" s="7" t="n">
        <v>-777.5</v>
      </c>
      <c r="AN275" s="10" t="n"/>
      <c r="AO275" s="10" t="n"/>
      <c r="AP275" s="10" t="n"/>
      <c r="AQ275" s="10" t="n"/>
    </row>
    <row r="276">
      <c r="A276" s="7" t="inlineStr">
        <is>
          <t>b3-0066</t>
        </is>
      </c>
      <c r="B276" s="11" t="inlineStr">
        <is>
          <t>Span</t>
        </is>
      </c>
      <c r="C276" s="7" t="inlineStr">
        <is>
          <t>prophetic activity</t>
        </is>
      </c>
      <c r="D276" s="7" t="inlineStr">
        <is>
          <t>c. 778–a. 732 B.C.E.</t>
        </is>
      </c>
      <c r="E276" s="7" t="inlineStr">
        <is>
          <t>பொ.ச.மு. ஏ. 778-732-⁠க்குப் பின்</t>
        </is>
      </c>
      <c r="F276" s="7" t="inlineStr">
        <is>
          <t>778 BCE</t>
        </is>
      </c>
      <c r="G276" s="7" t="inlineStr">
        <is>
          <t>Approx. (c.)</t>
        </is>
      </c>
      <c r="H276" s="7" t="inlineStr">
        <is>
          <t>732 BCE</t>
        </is>
      </c>
      <c r="I276" s="7" t="inlineStr">
        <is>
          <t>After (a.)</t>
        </is>
      </c>
      <c r="J276" s="7" t="inlineStr">
        <is>
          <t>c. 46 years</t>
        </is>
      </c>
      <c r="K276" s="2" t="inlineStr">
        <is>
          <t>Prophetic activity of Isaiah</t>
        </is>
      </c>
      <c r="L276" s="2" t="inlineStr">
        <is>
          <t>ஏசாயா</t>
        </is>
      </c>
      <c r="M276" s="7" t="inlineStr">
        <is>
          <t>Isaiah son of Amoz begins prophesying in the year King Uzziah died and serves in Jerusalem through the reigns of Jotham, Ahaz and Hezekiah.</t>
        </is>
      </c>
      <c r="N276" s="7" t="n"/>
      <c r="O276" s="8" t="inlineStr">
        <is>
          <t>Bible</t>
        </is>
      </c>
      <c r="P276" s="7" t="inlineStr">
        <is>
          <t>bible.prophet</t>
        </is>
      </c>
      <c r="Q276" s="7" t="inlineStr">
        <is>
          <t>prophet_activity</t>
        </is>
      </c>
      <c r="R276" s="7" t="inlineStr">
        <is>
          <t>Isaiah</t>
        </is>
      </c>
      <c r="S276" s="7" t="n"/>
      <c r="T276" s="7" t="inlineStr">
        <is>
          <t>Isa. 1:1; Isa. 6:1</t>
        </is>
      </c>
      <c r="U276" s="7" t="inlineStr">
        <is>
          <t>ஏசா. 1:1; ஏசா. 6:1</t>
        </is>
      </c>
      <c r="V276" s="7" t="n">
        <v>5</v>
      </c>
      <c r="W276" s="7" t="inlineStr">
        <is>
          <t>A6-B Chart: Prophets and Kings of Judah and of Israel (Part 2)</t>
        </is>
      </c>
      <c r="X276" s="9" t="inlineStr">
        <is>
          <t>open</t>
        </is>
      </c>
      <c r="Y276" s="9" t="inlineStr">
        <is>
          <t>open</t>
        </is>
      </c>
      <c r="Z276" s="7" t="inlineStr">
        <is>
          <t>https://wol.jw.org/en/wol/d/r1/lp-e/1001061215
https://wol.jw.org/en/wol/d/r1/lp-e/1101990130
https://wol.jw.org/en/wol/d/r1/lp-e/1101990084
https://wol.jw.org/en/wol/d/r1/lp-e/1001060002
https://wol.jw.org/en/wol/d/r1/lp-e/1200000970</t>
        </is>
      </c>
      <c r="AA276" s="7" t="n">
        <v>2</v>
      </c>
      <c r="AB276" s="9" t="inlineStr">
        <is>
          <t>open</t>
        </is>
      </c>
      <c r="AC276" s="7" t="n">
        <v>0</v>
      </c>
      <c r="AD276" s="7" t="n"/>
      <c r="AE276" s="7" t="n"/>
      <c r="AF276" s="7" t="n"/>
      <c r="AG276" s="7" t="n"/>
      <c r="AH276" s="7" t="n"/>
      <c r="AI276" s="7" t="n"/>
      <c r="AJ276" s="7" t="n"/>
      <c r="AK276" s="7" t="inlineStr">
        <is>
          <t>fulfilled-prophecies-nations #5 (prophecy); fulfilled-prophecies-nations #14 (prophecy); fulfilled-prophecies-nations #36 (prophecy); fulfilled-prophecies-nations #40 (prophecy); prophets-and-kings-a6 #51 (item)</t>
        </is>
      </c>
      <c r="AL276" s="7" t="inlineStr">
        <is>
          <t>The A6 chart shows this prophet as an undated bar; range years come from the cited text sources. title_ta is the prophet’s name as printed in the Tamil A6 list.</t>
        </is>
      </c>
      <c r="AM276" s="7" t="n">
        <v>-777.4</v>
      </c>
      <c r="AN276" s="10" t="n"/>
      <c r="AO276" s="10" t="n"/>
      <c r="AP276" s="10" t="n"/>
      <c r="AQ276" s="10" t="n"/>
    </row>
    <row r="277">
      <c r="A277" s="7" t="inlineStr">
        <is>
          <t>b3-0067</t>
        </is>
      </c>
      <c r="B277" s="7" t="inlineStr">
        <is>
          <t>Point</t>
        </is>
      </c>
      <c r="C277" s="7" t="n"/>
      <c r="D277" s="7" t="inlineStr">
        <is>
          <t>777 B.C.E.</t>
        </is>
      </c>
      <c r="E277" s="7" t="inlineStr">
        <is>
          <t>கி.மு. 777</t>
        </is>
      </c>
      <c r="F277" s="7" t="inlineStr">
        <is>
          <t>777 BCE</t>
        </is>
      </c>
      <c r="G277" s="7" t="inlineStr">
        <is>
          <t>Exact</t>
        </is>
      </c>
      <c r="H277" s="7" t="n"/>
      <c r="I277" s="7" t="n"/>
      <c r="J277" s="7" t="n"/>
      <c r="K277" s="2" t="inlineStr">
        <is>
          <t>Jotham becomes king of Judah (16 years)</t>
        </is>
      </c>
      <c r="L277" s="2" t="inlineStr">
        <is>
          <t>யோதாம்: 16 வருஷங்கள்</t>
        </is>
      </c>
      <c r="M277" s="7" t="inlineStr">
        <is>
          <t>Jotham begins to reign over the southern two-tribe kingdom of Judah; the NWT chart gives a reign of 16 years.</t>
        </is>
      </c>
      <c r="N277" s="7" t="inlineStr">
        <is>
          <t>உசியாவுக்கு (அசரியா) பின் யோதாம் யூதாவின் அரசனாகிறார்</t>
        </is>
      </c>
      <c r="O277" s="8" t="inlineStr">
        <is>
          <t>Bible</t>
        </is>
      </c>
      <c r="P277" s="7" t="inlineStr">
        <is>
          <t>bible.monarchy</t>
        </is>
      </c>
      <c r="Q277" s="7" t="inlineStr">
        <is>
          <t>accession</t>
        </is>
      </c>
      <c r="R277" s="7" t="inlineStr">
        <is>
          <t>Jotham</t>
        </is>
      </c>
      <c r="S277" s="7" t="inlineStr">
        <is>
          <t>Judah</t>
        </is>
      </c>
      <c r="T277" s="7" t="inlineStr">
        <is>
          <t>2 Ki. 15:32, 33</t>
        </is>
      </c>
      <c r="U277" s="7" t="inlineStr">
        <is>
          <t>2 இரா. 15:32, 33</t>
        </is>
      </c>
      <c r="V277" s="7" t="n">
        <v>4</v>
      </c>
      <c r="W277" s="7" t="inlineStr">
        <is>
          <t>A6-B Chart: Prophets and Kings of Judah and of Israel (Part 2)</t>
        </is>
      </c>
      <c r="X277" s="9" t="inlineStr">
        <is>
          <t>open</t>
        </is>
      </c>
      <c r="Y277" s="9" t="inlineStr">
        <is>
          <t>open</t>
        </is>
      </c>
      <c r="Z277" s="7" t="inlineStr">
        <is>
          <t>https://wol.jw.org/en/wol/d/r1/lp-e/1001061215
https://wol.jw.org/en/wol/d/r1/lp-e/1101990130
https://wol.jw.org/en/wol/d/r1/lp-e/1200000970
https://wol.jw.org/en/wol/d/r1/lp-e/1200004359</t>
        </is>
      </c>
      <c r="AA277" s="7" t="n">
        <v>2</v>
      </c>
      <c r="AB277" s="9" t="inlineStr">
        <is>
          <t>open</t>
        </is>
      </c>
      <c r="AC277" s="7" t="n">
        <v>0</v>
      </c>
      <c r="AD277" s="7" t="n"/>
      <c r="AE277" s="7" t="n"/>
      <c r="AF277" s="7" t="n"/>
      <c r="AG277" s="7" t="n"/>
      <c r="AH277" s="7" t="n"/>
      <c r="AI277" s="7" t="inlineStr">
        <is>
          <t>Covered by span – hide on chart</t>
        </is>
      </c>
      <c r="AJ277" s="7" t="inlineStr">
        <is>
          <t>end of Reign of Uzziah (Azariah) (Judah) (d1-0041); start of Reign of Jotham (Judah) (d1-0042)</t>
        </is>
      </c>
      <c r="AK277" s="7" t="n"/>
      <c r="AL277" s="7" t="n"/>
      <c r="AM277" s="7" t="n">
        <v>-776.5</v>
      </c>
      <c r="AN277" s="10" t="n"/>
      <c r="AO277" s="10" t="n"/>
      <c r="AP277" s="10" t="n"/>
      <c r="AQ277" s="10" t="n"/>
    </row>
    <row r="278">
      <c r="A278" s="7" t="inlineStr">
        <is>
          <t>d1-0042</t>
        </is>
      </c>
      <c r="B278" s="11" t="inlineStr">
        <is>
          <t>Span</t>
        </is>
      </c>
      <c r="C278" s="7" t="inlineStr">
        <is>
          <t>reign</t>
        </is>
      </c>
      <c r="D278" s="7" t="inlineStr">
        <is>
          <t>777 B.C.E. – 762 B.C.E.</t>
        </is>
      </c>
      <c r="E278" s="7" t="inlineStr">
        <is>
          <t>கி.மு. 777 – கி.மு. 762</t>
        </is>
      </c>
      <c r="F278" s="7" t="inlineStr">
        <is>
          <t>777 BCE</t>
        </is>
      </c>
      <c r="G278" s="7" t="inlineStr">
        <is>
          <t>Exact</t>
        </is>
      </c>
      <c r="H278" s="7" t="inlineStr">
        <is>
          <t>762 BCE</t>
        </is>
      </c>
      <c r="I278" s="7" t="inlineStr">
        <is>
          <t>Exact</t>
        </is>
      </c>
      <c r="J278" s="7" t="inlineStr">
        <is>
          <t>16 years</t>
        </is>
      </c>
      <c r="K278" s="2" t="inlineStr">
        <is>
          <t>Reign of Jotham (Judah)</t>
        </is>
      </c>
      <c r="L278" s="2" t="n"/>
      <c r="M278" s="7" t="inlineStr">
        <is>
          <t>Jotham rules Judah. Starts with Jotham becomes king of Judah (16 years) (777 B.C.E.); ends when Ahaz becomes king (b3-0069), as laid out in NWT Appendix A6.</t>
        </is>
      </c>
      <c r="N278" s="7" t="n"/>
      <c r="O278" s="8" t="inlineStr">
        <is>
          <t>Bible</t>
        </is>
      </c>
      <c r="P278" s="7" t="inlineStr">
        <is>
          <t>bible.monarchy</t>
        </is>
      </c>
      <c r="Q278" s="7" t="inlineStr">
        <is>
          <t>reign</t>
        </is>
      </c>
      <c r="R278" s="7" t="inlineStr">
        <is>
          <t>Jotham</t>
        </is>
      </c>
      <c r="S278" s="7" t="inlineStr">
        <is>
          <t>Judah</t>
        </is>
      </c>
      <c r="T278" s="7" t="inlineStr">
        <is>
          <t>2 Ki. 15:32, 33; 2 Ki. 16:1, 2</t>
        </is>
      </c>
      <c r="U278" s="7" t="inlineStr">
        <is>
          <t>2 இரா. 15:32, 33; 2 இரா. 16:1, 2</t>
        </is>
      </c>
      <c r="V278" s="7" t="n">
        <v>4</v>
      </c>
      <c r="W278" s="7" t="inlineStr">
        <is>
          <t>A6-B Chart: Prophets and Kings of Judah and of Israel (Part 2)</t>
        </is>
      </c>
      <c r="X278" s="9" t="inlineStr">
        <is>
          <t>open</t>
        </is>
      </c>
      <c r="Y278" s="9" t="inlineStr">
        <is>
          <t>open</t>
        </is>
      </c>
      <c r="Z278" s="7" t="inlineStr">
        <is>
          <t>https://wol.jw.org/en/wol/d/r1/lp-e/1001061215
https://wol.jw.org/en/wol/d/r1/lp-e/1101990130
https://wol.jw.org/en/wol/d/r1/lp-e/1200000970
https://wol.jw.org/en/wol/d/r1/lp-e/1200004359</t>
        </is>
      </c>
      <c r="AA278" s="7" t="n">
        <v>0</v>
      </c>
      <c r="AB278" s="7" t="n"/>
      <c r="AC278" s="7" t="n">
        <v>2</v>
      </c>
      <c r="AD278" s="7" t="inlineStr">
        <is>
          <t>si Study 3 table gives c. 761 B.C.E.; NWT A6-B and Insight chart give 762. Insight chart: Ahaz evidently began to rule in 762, but his first regnal year counted from 761. | Insight "Temple" gives Ahaz’ reign as 761-746 B.C.E.</t>
        </is>
      </c>
      <c r="AE278" s="7" t="inlineStr">
        <is>
          <t>Start b3-0067; ends when Ahaz becomes king (b3-0069), as laid out in NWT Appendix A6.</t>
        </is>
      </c>
      <c r="AF278" s="7" t="inlineStr">
        <is>
          <t>b3-0067</t>
        </is>
      </c>
      <c r="AG278" s="7" t="inlineStr">
        <is>
          <t>b3-0069</t>
        </is>
      </c>
      <c r="AH278" s="7" t="n"/>
      <c r="AI278" s="7" t="n"/>
      <c r="AJ278" s="7" t="n"/>
      <c r="AK278" s="7" t="inlineStr">
        <is>
          <t>kings-of-judah #11 (ruler); messianic-line #44 (item); prophets-and-kings-a6 #11 (ruler)</t>
        </is>
      </c>
      <c r="AL278" s="7" t="n"/>
      <c r="AM278" s="7" t="n">
        <v>-776.5</v>
      </c>
      <c r="AN278" s="10" t="n"/>
      <c r="AO278" s="10" t="n"/>
      <c r="AP278" s="10" t="n"/>
      <c r="AQ278" s="10" t="n"/>
    </row>
    <row r="279">
      <c r="A279" s="7" t="inlineStr">
        <is>
          <t>b3-0068</t>
        </is>
      </c>
      <c r="B279" s="11" t="inlineStr">
        <is>
          <t>Span</t>
        </is>
      </c>
      <c r="C279" s="7" t="inlineStr">
        <is>
          <t>prophetic activity</t>
        </is>
      </c>
      <c r="D279" s="7" t="inlineStr">
        <is>
          <t>c. 777–717 B.C.E.</t>
        </is>
      </c>
      <c r="E279" s="7" t="inlineStr">
        <is>
          <t>ஏ. பொ.ச.மு. 777-717</t>
        </is>
      </c>
      <c r="F279" s="7" t="inlineStr">
        <is>
          <t>777 BCE</t>
        </is>
      </c>
      <c r="G279" s="7" t="inlineStr">
        <is>
          <t>Approx. (c.)</t>
        </is>
      </c>
      <c r="H279" s="7" t="inlineStr">
        <is>
          <t>717 BCE</t>
        </is>
      </c>
      <c r="I279" s="7" t="inlineStr">
        <is>
          <t>Approx. (c.)</t>
        </is>
      </c>
      <c r="J279" s="7" t="inlineStr">
        <is>
          <t>c. 60 years</t>
        </is>
      </c>
      <c r="K279" s="2" t="inlineStr">
        <is>
          <t>Prophetic activity of Micah</t>
        </is>
      </c>
      <c r="L279" s="2" t="inlineStr">
        <is>
          <t>மீகா</t>
        </is>
      </c>
      <c r="M279" s="7" t="inlineStr">
        <is>
          <t>Micah of Moresheth prophesies during the reigns of Jotham, Ahaz and Hezekiah, a contemporary of Isaiah and Hosea.</t>
        </is>
      </c>
      <c r="N279" s="7" t="n"/>
      <c r="O279" s="8" t="inlineStr">
        <is>
          <t>Bible</t>
        </is>
      </c>
      <c r="P279" s="7" t="inlineStr">
        <is>
          <t>bible.prophet</t>
        </is>
      </c>
      <c r="Q279" s="7" t="inlineStr">
        <is>
          <t>prophet_activity</t>
        </is>
      </c>
      <c r="R279" s="7" t="inlineStr">
        <is>
          <t>Micah</t>
        </is>
      </c>
      <c r="S279" s="7" t="n"/>
      <c r="T279" s="7" t="inlineStr">
        <is>
          <t>Mic. 1:1</t>
        </is>
      </c>
      <c r="U279" s="7" t="inlineStr">
        <is>
          <t>மீ. 1:1</t>
        </is>
      </c>
      <c r="V279" s="7" t="n">
        <v>4</v>
      </c>
      <c r="W279" s="7" t="inlineStr">
        <is>
          <t>A6-B Chart: Prophets and Kings of Judah and of Israel (Part 2)</t>
        </is>
      </c>
      <c r="X279" s="9" t="inlineStr">
        <is>
          <t>open</t>
        </is>
      </c>
      <c r="Y279" s="9" t="inlineStr">
        <is>
          <t>open</t>
        </is>
      </c>
      <c r="Z279" s="7" t="inlineStr">
        <is>
          <t>https://wol.jw.org/en/wol/d/r1/lp-e/1001061215
https://wol.jw.org/en/wol/d/r1/lp-e/1101990094
https://wol.jw.org/en/wol/d/r1/lp-e/1001060002
https://wol.jw.org/en/wol/d/r1/lp-e/1200000970</t>
        </is>
      </c>
      <c r="AA279" s="7" t="n">
        <v>2</v>
      </c>
      <c r="AB279" s="9" t="inlineStr">
        <is>
          <t>open</t>
        </is>
      </c>
      <c r="AC279" s="7" t="n">
        <v>0</v>
      </c>
      <c r="AD279" s="7" t="n"/>
      <c r="AE279" s="7" t="n"/>
      <c r="AF279" s="7" t="n"/>
      <c r="AG279" s="7" t="n"/>
      <c r="AH279" s="7" t="n"/>
      <c r="AI279" s="7" t="n"/>
      <c r="AJ279" s="7" t="n"/>
      <c r="AK279" s="7" t="inlineStr">
        <is>
          <t>fulfilled-prophecies-nations #3 (prophecy); fulfilled-prophecies-nations #15 (prophecy); prophets-and-kings-a6 #52 (item)</t>
        </is>
      </c>
      <c r="AL279" s="7" t="inlineStr">
        <is>
          <t>The A6 chart shows this prophet as an undated bar; range years come from the cited text sources. title_ta is the prophet’s name as printed in the Tamil A6 list.</t>
        </is>
      </c>
      <c r="AM279" s="7" t="n">
        <v>-776.4</v>
      </c>
      <c r="AN279" s="10" t="n"/>
      <c r="AO279" s="10" t="n"/>
      <c r="AP279" s="10" t="n"/>
      <c r="AQ279" s="10" t="n"/>
    </row>
    <row r="280">
      <c r="A280" s="7" t="inlineStr">
        <is>
          <t>b3-0069</t>
        </is>
      </c>
      <c r="B280" s="7" t="inlineStr">
        <is>
          <t>Point</t>
        </is>
      </c>
      <c r="C280" s="7" t="n"/>
      <c r="D280" s="7" t="inlineStr">
        <is>
          <t>762 B.C.E.</t>
        </is>
      </c>
      <c r="E280" s="7" t="inlineStr">
        <is>
          <t>கி.மு. 762</t>
        </is>
      </c>
      <c r="F280" s="7" t="inlineStr">
        <is>
          <t>762 BCE</t>
        </is>
      </c>
      <c r="G280" s="7" t="inlineStr">
        <is>
          <t>Exact</t>
        </is>
      </c>
      <c r="H280" s="7" t="n"/>
      <c r="I280" s="7" t="n"/>
      <c r="J280" s="7" t="n"/>
      <c r="K280" s="2" t="inlineStr">
        <is>
          <t>Ahaz becomes king of Judah (16 years)</t>
        </is>
      </c>
      <c r="L280" s="2" t="inlineStr">
        <is>
          <t>ஆகாஸ்: 16 வருஷங்கள்</t>
        </is>
      </c>
      <c r="M280" s="7" t="inlineStr">
        <is>
          <t>Ahaz begins to reign over the southern two-tribe kingdom of Judah; the NWT chart gives a reign of 16 years.</t>
        </is>
      </c>
      <c r="N280" s="7" t="inlineStr">
        <is>
          <t>யோதாமுக்குப் பின் ஆகாஸ் யூதாவின் அரசனாகிறான்</t>
        </is>
      </c>
      <c r="O280" s="8" t="inlineStr">
        <is>
          <t>Bible</t>
        </is>
      </c>
      <c r="P280" s="7" t="inlineStr">
        <is>
          <t>bible.monarchy</t>
        </is>
      </c>
      <c r="Q280" s="7" t="inlineStr">
        <is>
          <t>accession</t>
        </is>
      </c>
      <c r="R280" s="7" t="inlineStr">
        <is>
          <t>Ahaz</t>
        </is>
      </c>
      <c r="S280" s="7" t="inlineStr">
        <is>
          <t>Judah</t>
        </is>
      </c>
      <c r="T280" s="7" t="inlineStr">
        <is>
          <t>2 Ki. 16:1, 2</t>
        </is>
      </c>
      <c r="U280" s="7" t="inlineStr">
        <is>
          <t>2 இரா. 16:1, 2</t>
        </is>
      </c>
      <c r="V280" s="7" t="n">
        <v>4</v>
      </c>
      <c r="W280" s="7" t="inlineStr">
        <is>
          <t>A6-B Chart: Prophets and Kings of Judah and of Israel (Part 2)</t>
        </is>
      </c>
      <c r="X280" s="9" t="inlineStr">
        <is>
          <t>open</t>
        </is>
      </c>
      <c r="Y280" s="9" t="inlineStr">
        <is>
          <t>open</t>
        </is>
      </c>
      <c r="Z280" s="7" t="inlineStr">
        <is>
          <t>https://wol.jw.org/en/wol/d/r1/lp-e/1001061215
https://wol.jw.org/en/wol/d/r1/lp-e/1101990130
https://wol.jw.org/en/wol/d/r1/lp-e/1200000970
https://wol.jw.org/en/wol/d/r1/lp-e/1200004359</t>
        </is>
      </c>
      <c r="AA280" s="7" t="n">
        <v>2</v>
      </c>
      <c r="AB280" s="9" t="inlineStr">
        <is>
          <t>open</t>
        </is>
      </c>
      <c r="AC280" s="7" t="n">
        <v>2</v>
      </c>
      <c r="AD280" s="7" t="inlineStr">
        <is>
          <t>si Study 3 table gives c. 761 B.C.E.; NWT A6-B and Insight chart give 762. Insight chart: Ahaz evidently began to rule in 762, but his first regnal year counted from 761. | Insight "Temple" gives Ahaz’ reign as 761-746 B.C.E.</t>
        </is>
      </c>
      <c r="AE280" s="7" t="n"/>
      <c r="AF280" s="7" t="n"/>
      <c r="AG280" s="7" t="n"/>
      <c r="AH280" s="7" t="n"/>
      <c r="AI280" s="7" t="inlineStr">
        <is>
          <t>Covered by span – hide on chart</t>
        </is>
      </c>
      <c r="AJ280" s="7" t="inlineStr">
        <is>
          <t>end of Reign of Jotham (Judah) (d1-0042); start of Reign of Ahaz (Judah) (d1-0043)</t>
        </is>
      </c>
      <c r="AK280" s="7" t="n"/>
      <c r="AL280" s="7" t="n"/>
      <c r="AM280" s="7" t="n">
        <v>-761.5</v>
      </c>
      <c r="AN280" s="10" t="n"/>
      <c r="AO280" s="10" t="n"/>
      <c r="AP280" s="10" t="n"/>
      <c r="AQ280" s="10" t="n"/>
    </row>
    <row r="281">
      <c r="A281" s="7" t="inlineStr">
        <is>
          <t>d1-0043</t>
        </is>
      </c>
      <c r="B281" s="11" t="inlineStr">
        <is>
          <t>Span</t>
        </is>
      </c>
      <c r="C281" s="7" t="inlineStr">
        <is>
          <t>reign</t>
        </is>
      </c>
      <c r="D281" s="7" t="inlineStr">
        <is>
          <t>762 B.C.E. – 746 B.C.E.</t>
        </is>
      </c>
      <c r="E281" s="7" t="inlineStr">
        <is>
          <t>கி.மு. 762 – கி.மு. 746</t>
        </is>
      </c>
      <c r="F281" s="7" t="inlineStr">
        <is>
          <t>762 BCE</t>
        </is>
      </c>
      <c r="G281" s="7" t="inlineStr">
        <is>
          <t>Exact</t>
        </is>
      </c>
      <c r="H281" s="7" t="inlineStr">
        <is>
          <t>746 BCE</t>
        </is>
      </c>
      <c r="I281" s="7" t="inlineStr">
        <is>
          <t>Exact</t>
        </is>
      </c>
      <c r="J281" s="7" t="inlineStr">
        <is>
          <t>16 years</t>
        </is>
      </c>
      <c r="K281" s="2" t="inlineStr">
        <is>
          <t>Reign of Ahaz (Judah)</t>
        </is>
      </c>
      <c r="L281" s="2" t="n"/>
      <c r="M281" s="7" t="inlineStr">
        <is>
          <t>Ahaz rules Judah. Starts with Ahaz becomes king of Judah (16 years) (762 B.C.E.); ends when Hezekiah becomes king (b3-0073), as laid out in NWT Appendix A6.</t>
        </is>
      </c>
      <c r="N281" s="7" t="n"/>
      <c r="O281" s="8" t="inlineStr">
        <is>
          <t>Bible</t>
        </is>
      </c>
      <c r="P281" s="7" t="inlineStr">
        <is>
          <t>bible.monarchy</t>
        </is>
      </c>
      <c r="Q281" s="7" t="inlineStr">
        <is>
          <t>reign</t>
        </is>
      </c>
      <c r="R281" s="7" t="inlineStr">
        <is>
          <t>Ahaz</t>
        </is>
      </c>
      <c r="S281" s="7" t="inlineStr">
        <is>
          <t>Judah</t>
        </is>
      </c>
      <c r="T281" s="7" t="inlineStr">
        <is>
          <t>2 Ki. 16:1, 2; 2 Ki. 18:1, 2</t>
        </is>
      </c>
      <c r="U281" s="7" t="inlineStr">
        <is>
          <t>2 இரா. 16:1, 2; 2 இரா. 18:1, 2</t>
        </is>
      </c>
      <c r="V281" s="7" t="n">
        <v>5</v>
      </c>
      <c r="W281" s="7" t="inlineStr">
        <is>
          <t>A6-B Chart: Prophets and Kings of Judah and of Israel (Part 2)</t>
        </is>
      </c>
      <c r="X281" s="9" t="inlineStr">
        <is>
          <t>open</t>
        </is>
      </c>
      <c r="Y281" s="9" t="inlineStr">
        <is>
          <t>open</t>
        </is>
      </c>
      <c r="Z281" s="7" t="inlineStr">
        <is>
          <t>https://wol.jw.org/en/wol/d/r1/lp-e/1001061215
https://wol.jw.org/en/wol/d/r1/lp-e/1101990130
https://wol.jw.org/en/wol/d/r1/lp-e/1200000970
https://wol.jw.org/en/wol/d/r1/lp-e/1200004359
https://wol.jw.org/en/wol/d/r1/lp-e/1200002011</t>
        </is>
      </c>
      <c r="AA281" s="7" t="n">
        <v>0</v>
      </c>
      <c r="AB281" s="7" t="n"/>
      <c r="AC281" s="7" t="n">
        <v>3</v>
      </c>
      <c r="AD281" s="7" t="inlineStr">
        <is>
          <t>si Study 3 table gives c. 761 B.C.E.; NWT A6-B and Insight chart give 762. Insight chart: Ahaz evidently began to rule in 762, but his first regnal year counted from 761. | Insight "Temple" gives Ahaz’ reign as 761-746 B.C.E. | si Study 3 table, si Bible Book No. 20 (Proverbs) and Insight "Hezekiah"/"Temple" give 745(-717) B.C.E.; NWT A6-B and Insight chart give 746. Insight chart: Hezekiah evidently began to rule in 746, but his first regnal year counted from 745.</t>
        </is>
      </c>
      <c r="AE281" s="7" t="inlineStr">
        <is>
          <t>Start b3-0069; ends when Hezekiah becomes king (b3-0073), as laid out in NWT Appendix A6.</t>
        </is>
      </c>
      <c r="AF281" s="7" t="inlineStr">
        <is>
          <t>b3-0069</t>
        </is>
      </c>
      <c r="AG281" s="7" t="inlineStr">
        <is>
          <t>b3-0073</t>
        </is>
      </c>
      <c r="AH281" s="7" t="n"/>
      <c r="AI281" s="7" t="n"/>
      <c r="AJ281" s="7" t="n"/>
      <c r="AK281" s="7" t="inlineStr">
        <is>
          <t>kings-of-judah #12 (ruler); messianic-line #45 (item); prophets-and-kings-a6 #12 (ruler)</t>
        </is>
      </c>
      <c r="AL281" s="7" t="n"/>
      <c r="AM281" s="7" t="n">
        <v>-761.5</v>
      </c>
      <c r="AN281" s="10" t="n"/>
      <c r="AO281" s="10" t="n"/>
      <c r="AP281" s="10" t="n"/>
      <c r="AQ281" s="10" t="n"/>
    </row>
    <row r="282">
      <c r="A282" s="7" t="inlineStr">
        <is>
          <t>b3-0070</t>
        </is>
      </c>
      <c r="B282" s="7" t="inlineStr">
        <is>
          <t>Point</t>
        </is>
      </c>
      <c r="C282" s="7" t="n"/>
      <c r="D282" s="7" t="inlineStr">
        <is>
          <t>c. 759 B.C.E.</t>
        </is>
      </c>
      <c r="E282" s="7" t="n"/>
      <c r="F282" s="7" t="inlineStr">
        <is>
          <t>759 BCE</t>
        </is>
      </c>
      <c r="G282" s="7" t="inlineStr">
        <is>
          <t>Approx. (c.)</t>
        </is>
      </c>
      <c r="H282" s="7" t="n"/>
      <c r="I282" s="7" t="n"/>
      <c r="J282" s="7" t="n"/>
      <c r="K282" s="2" t="inlineStr">
        <is>
          <t>Ahaz becomes tributary to Tiglath-pileser III</t>
        </is>
      </c>
      <c r="L282" s="2" t="n"/>
      <c r="M282" s="7" t="inlineStr">
        <is>
          <t>King Ahaz of Judah evidently becomes a tributary king to Tiglath-pileser III of Assyria.</t>
        </is>
      </c>
      <c r="N282" s="7" t="n"/>
      <c r="O282" s="8" t="inlineStr">
        <is>
          <t>Bible</t>
        </is>
      </c>
      <c r="P282" s="7" t="inlineStr">
        <is>
          <t>bible.monarchy</t>
        </is>
      </c>
      <c r="Q282" s="7" t="inlineStr">
        <is>
          <t>vassalage</t>
        </is>
      </c>
      <c r="R282" s="7" t="inlineStr">
        <is>
          <t>Ahaz; Tiglath-pileser III</t>
        </is>
      </c>
      <c r="S282" s="7" t="inlineStr">
        <is>
          <t>Judah; Assyria</t>
        </is>
      </c>
      <c r="T282" s="7" t="inlineStr">
        <is>
          <t>2 Ki. 16:7-18</t>
        </is>
      </c>
      <c r="U282" s="7" t="inlineStr">
        <is>
          <t>2 இரா. 16:7-18</t>
        </is>
      </c>
      <c r="V282" s="7" t="n">
        <v>1</v>
      </c>
      <c r="W282" s="7" t="inlineStr">
        <is>
          <t>Chronology</t>
        </is>
      </c>
      <c r="X282" s="9" t="inlineStr">
        <is>
          <t>open</t>
        </is>
      </c>
      <c r="Y282" s="7" t="n"/>
      <c r="Z282" s="7" t="inlineStr">
        <is>
          <t>https://wol.jw.org/en/wol/d/r1/lp-e/1200000970</t>
        </is>
      </c>
      <c r="AA282" s="7" t="n">
        <v>0</v>
      </c>
      <c r="AB282" s="7" t="n"/>
      <c r="AC282" s="7" t="n">
        <v>0</v>
      </c>
      <c r="AD282" s="7" t="n"/>
      <c r="AE282" s="7" t="n"/>
      <c r="AF282" s="7" t="n"/>
      <c r="AG282" s="7" t="n"/>
      <c r="AH282" s="7" t="n"/>
      <c r="AI282" s="7" t="n"/>
      <c r="AJ282" s="7" t="n"/>
      <c r="AK282" s="7" t="n"/>
      <c r="AL282" s="7" t="n"/>
      <c r="AM282" s="7" t="n">
        <v>-759</v>
      </c>
      <c r="AN282" s="10" t="n"/>
      <c r="AO282" s="10" t="n"/>
      <c r="AP282" s="10" t="n"/>
      <c r="AQ282" s="10" t="n"/>
    </row>
    <row r="283">
      <c r="A283" s="7" t="inlineStr">
        <is>
          <t>b12-0019</t>
        </is>
      </c>
      <c r="B283" s="11" t="inlineStr">
        <is>
          <t>Span</t>
        </is>
      </c>
      <c r="C283" s="7" t="inlineStr">
        <is>
          <t>world power</t>
        </is>
      </c>
      <c r="D283" s="7" t="inlineStr">
        <is>
          <t>(start not dated)–632 B.C.E.</t>
        </is>
      </c>
      <c r="E283" s="7" t="n"/>
      <c r="F283" s="7" t="n"/>
      <c r="G283" s="7" t="inlineStr">
        <is>
          <t>Not stated</t>
        </is>
      </c>
      <c r="H283" s="7" t="inlineStr">
        <is>
          <t>632 BCE</t>
        </is>
      </c>
      <c r="I283" s="7" t="inlineStr">
        <is>
          <t>Exact</t>
        </is>
      </c>
      <c r="J283" s="7" t="n"/>
      <c r="K283" s="2" t="inlineStr">
        <is>
          <t>Assyria, second world power of Bible history</t>
        </is>
      </c>
      <c r="L283" s="2" t="n"/>
      <c r="M283" s="7" t="inlineStr">
        <is>
          <t>Assyria, the second world power, conquered the northern kingdom of Israel in 740 B.C.E.; its empire ended after Nineveh fell to the Babylonians and Medes in 632 B.C.E.</t>
        </is>
      </c>
      <c r="N283" s="7" t="n"/>
      <c r="O283" s="8" t="inlineStr">
        <is>
          <t>Bible</t>
        </is>
      </c>
      <c r="P283" s="7" t="inlineStr">
        <is>
          <t>bible.prophecy_fulfilled</t>
        </is>
      </c>
      <c r="Q283" s="7" t="n"/>
      <c r="R283" s="7" t="n"/>
      <c r="S283" s="7" t="inlineStr">
        <is>
          <t>Assyria; Nineveh</t>
        </is>
      </c>
      <c r="T283" s="7" t="inlineStr">
        <is>
          <t>2 Ki. 17:6; Nah. 3:1-7</t>
        </is>
      </c>
      <c r="U283" s="7" t="inlineStr">
        <is>
          <t>2 ரா. 17:6; நாகூ. 3:1-7</t>
        </is>
      </c>
      <c r="V283" s="7" t="n">
        <v>3</v>
      </c>
      <c r="W283" s="7" t="inlineStr">
        <is>
          <t>Egypt, Egyptian</t>
        </is>
      </c>
      <c r="X283" s="9" t="inlineStr">
        <is>
          <t>open</t>
        </is>
      </c>
      <c r="Y283" s="7" t="n"/>
      <c r="Z283" s="7" t="inlineStr">
        <is>
          <t>https://wol.jw.org/en/wol/d/r1/lp-e/1200001265
https://wol.jw.org/en/wol/d/r1/lp-e/1200000447
https://wol.jw.org/en/wol/d/r1/lp-e/1200000447</t>
        </is>
      </c>
      <c r="AA283" s="7" t="n">
        <v>0</v>
      </c>
      <c r="AB283" s="7" t="n"/>
      <c r="AC283" s="7" t="n">
        <v>0</v>
      </c>
      <c r="AD283" s="7" t="n"/>
      <c r="AE283" s="7" t="n"/>
      <c r="AF283" s="7" t="n"/>
      <c r="AG283" s="7" t="inlineStr">
        <is>
          <t>b3-0091</t>
        </is>
      </c>
      <c r="AH283" s="7" t="n"/>
      <c r="AI283" s="7" t="n"/>
      <c r="AJ283" s="7" t="n"/>
      <c r="AK283" s="7" t="inlineStr">
        <is>
          <t>seven-heads-of-the-beast #4 (item)</t>
        </is>
      </c>
      <c r="AL283" s="7" t="inlineStr">
        <is>
          <t>jw.org gives no year for the start of Assyria as a world power; start sort_key -758 is an ordering estimate from Insight “Egypt”, which places Assyria’s dominance in the reign of Hoshea (c. 758-740 B.C.E.).</t>
        </is>
      </c>
      <c r="AM283" s="7" t="n">
        <v>-758</v>
      </c>
      <c r="AN283" s="10" t="n"/>
      <c r="AO283" s="10" t="n"/>
      <c r="AP283" s="10" t="n"/>
      <c r="AQ283" s="10" t="n"/>
    </row>
    <row r="284">
      <c r="A284" s="7" t="inlineStr">
        <is>
          <t>b3-0071</t>
        </is>
      </c>
      <c r="B284" s="7" t="inlineStr">
        <is>
          <t>Point</t>
        </is>
      </c>
      <c r="C284" s="7" t="n"/>
      <c r="D284" s="7" t="inlineStr">
        <is>
          <t>c. 758 B.C.E.</t>
        </is>
      </c>
      <c r="E284" s="7" t="inlineStr">
        <is>
          <t>சுமார் கி.மு. 758</t>
        </is>
      </c>
      <c r="F284" s="7" t="inlineStr">
        <is>
          <t>758 BCE</t>
        </is>
      </c>
      <c r="G284" s="7" t="inlineStr">
        <is>
          <t>Approx. (c.)</t>
        </is>
      </c>
      <c r="H284" s="7" t="n"/>
      <c r="I284" s="7" t="n"/>
      <c r="J284" s="7" t="n"/>
      <c r="K284" s="2" t="inlineStr">
        <is>
          <t>Hoshea becomes king of Israel (9 years from c. 748)</t>
        </is>
      </c>
      <c r="L284" s="2" t="inlineStr">
        <is>
          <t>ஓசெயா: சுமார் 748-லிருந்து 9 ஆண்டுகள்</t>
        </is>
      </c>
      <c r="M284" s="7" t="inlineStr">
        <is>
          <t>Hoshea begins to reign over the northern ten-tribe kingdom of Israel; the NWT chart gives a reign of 9 years from c. 748. Hoshea killed Pekah and took the throne; Israel’s last king.</t>
        </is>
      </c>
      <c r="N284" s="7" t="inlineStr">
        <is>
          <t>ஓசெயா இஸ்ரவேலின் அரசனாக ‘ஆளத் தொடங்குகிறார்’</t>
        </is>
      </c>
      <c r="O284" s="8" t="inlineStr">
        <is>
          <t>Bible</t>
        </is>
      </c>
      <c r="P284" s="7" t="inlineStr">
        <is>
          <t>bible.monarchy</t>
        </is>
      </c>
      <c r="Q284" s="7" t="inlineStr">
        <is>
          <t>accession</t>
        </is>
      </c>
      <c r="R284" s="7" t="inlineStr">
        <is>
          <t>Hoshea</t>
        </is>
      </c>
      <c r="S284" s="7" t="inlineStr">
        <is>
          <t>Israel</t>
        </is>
      </c>
      <c r="T284" s="7" t="inlineStr">
        <is>
          <t>2 Ki. 15:30; 2 Ki. 17:1</t>
        </is>
      </c>
      <c r="U284" s="7" t="inlineStr">
        <is>
          <t>2 இரா. 15:30; 2 இரா. 17:1</t>
        </is>
      </c>
      <c r="V284" s="7" t="n">
        <v>3</v>
      </c>
      <c r="W284" s="7" t="inlineStr">
        <is>
          <t>A6-B Chart: Prophets and Kings of Judah and of Israel (Part 2)</t>
        </is>
      </c>
      <c r="X284" s="9" t="inlineStr">
        <is>
          <t>open</t>
        </is>
      </c>
      <c r="Y284" s="9" t="inlineStr">
        <is>
          <t>open</t>
        </is>
      </c>
      <c r="Z284" s="7" t="inlineStr">
        <is>
          <t>https://wol.jw.org/en/wol/d/r1/lp-e/1001061215
https://wol.jw.org/en/wol/d/r1/lp-e/1101990130
https://wol.jw.org/en/wol/d/r1/lp-e/1200000970</t>
        </is>
      </c>
      <c r="AA284" s="7" t="n">
        <v>2</v>
      </c>
      <c r="AB284" s="9" t="inlineStr">
        <is>
          <t>open</t>
        </is>
      </c>
      <c r="AC284" s="7" t="n">
        <v>0</v>
      </c>
      <c r="AD284" s="7" t="n"/>
      <c r="AE284" s="7" t="n"/>
      <c r="AF284" s="7" t="n"/>
      <c r="AG284" s="7" t="n"/>
      <c r="AH284" s="7" t="n"/>
      <c r="AI284" s="7" t="inlineStr">
        <is>
          <t>Covered by span – hide on chart</t>
        </is>
      </c>
      <c r="AJ284" s="7" t="inlineStr">
        <is>
          <t>end of Reign of Pekah (Israel) (d1-0069); start of Reign of Hoshea (Israel) (d1-0070)</t>
        </is>
      </c>
      <c r="AK284" s="7" t="n"/>
      <c r="AL284" s="7" t="n"/>
      <c r="AM284" s="7" t="n">
        <v>-757.5</v>
      </c>
      <c r="AN284" s="10" t="n"/>
      <c r="AO284" s="10" t="n"/>
      <c r="AP284" s="10" t="n"/>
      <c r="AQ284" s="10" t="n"/>
    </row>
    <row r="285">
      <c r="A285" s="7" t="inlineStr">
        <is>
          <t>d1-0070</t>
        </is>
      </c>
      <c r="B285" s="11" t="inlineStr">
        <is>
          <t>Span</t>
        </is>
      </c>
      <c r="C285" s="7" t="inlineStr">
        <is>
          <t>reign</t>
        </is>
      </c>
      <c r="D285" s="7" t="inlineStr">
        <is>
          <t>c. 758 B.C.E. – 740 B.C.E.</t>
        </is>
      </c>
      <c r="E285" s="7" t="inlineStr">
        <is>
          <t>சுமார் கி.மு. 758 – கி.மு. 740</t>
        </is>
      </c>
      <c r="F285" s="7" t="inlineStr">
        <is>
          <t>758 BCE</t>
        </is>
      </c>
      <c r="G285" s="7" t="inlineStr">
        <is>
          <t>Approx. (c.)</t>
        </is>
      </c>
      <c r="H285" s="7" t="inlineStr">
        <is>
          <t>740 BCE</t>
        </is>
      </c>
      <c r="I285" s="7" t="inlineStr">
        <is>
          <t>Exact</t>
        </is>
      </c>
      <c r="J285" s="7" t="inlineStr">
        <is>
          <t>c. 18 years</t>
        </is>
      </c>
      <c r="K285" s="2" t="inlineStr">
        <is>
          <t>Reign of Hoshea (Israel)</t>
        </is>
      </c>
      <c r="L285" s="2" t="n"/>
      <c r="M285" s="7" t="inlineStr">
        <is>
          <t>Hoshea rules Israel. Starts with Hoshea becomes king of Israel (9 years from c. 748) (c. 758 B.C.E.); ends with b3-0076.</t>
        </is>
      </c>
      <c r="N285" s="7" t="n"/>
      <c r="O285" s="8" t="inlineStr">
        <is>
          <t>Bible</t>
        </is>
      </c>
      <c r="P285" s="7" t="inlineStr">
        <is>
          <t>bible.monarchy</t>
        </is>
      </c>
      <c r="Q285" s="7" t="inlineStr">
        <is>
          <t>reign</t>
        </is>
      </c>
      <c r="R285" s="7" t="inlineStr">
        <is>
          <t>Hoshea</t>
        </is>
      </c>
      <c r="S285" s="7" t="inlineStr">
        <is>
          <t>Israel; Samaria; Assyria</t>
        </is>
      </c>
      <c r="T285" s="7" t="inlineStr">
        <is>
          <t>2 Ki. 15:30; 2 Ki. 17:1; 2 Ki. 17:6, 13, 18; 2 Ki. 18:10</t>
        </is>
      </c>
      <c r="U285" s="7" t="inlineStr">
        <is>
          <t>2 இரா. 15:30; 2 இரா. 17:1; 2 இரா. 17:6, 13, 18; 2 இரா. 18:10</t>
        </is>
      </c>
      <c r="V285" s="7" t="n">
        <v>5</v>
      </c>
      <c r="W285" s="7" t="inlineStr">
        <is>
          <t>A6-B Chart: Prophets and Kings of Judah and of Israel (Part 2)</t>
        </is>
      </c>
      <c r="X285" s="9" t="inlineStr">
        <is>
          <t>open</t>
        </is>
      </c>
      <c r="Y285" s="9" t="inlineStr">
        <is>
          <t>open</t>
        </is>
      </c>
      <c r="Z285" s="7" t="inlineStr">
        <is>
          <t>https://wol.jw.org/en/wol/d/r1/lp-e/1001061215
https://wol.jw.org/en/wol/d/r1/lp-e/1101990130
https://wol.jw.org/en/wol/d/r1/lp-e/1200000970
https://wol.jw.org/en/wol/d/r1/lp-e/1200002011
https://wol.jw.org/en/wol/d/r1/lp-e/1101990073</t>
        </is>
      </c>
      <c r="AA285" s="7" t="n">
        <v>0</v>
      </c>
      <c r="AB285" s="7" t="n"/>
      <c r="AC285" s="7" t="n">
        <v>0</v>
      </c>
      <c r="AD285" s="7" t="n"/>
      <c r="AE285" s="7" t="inlineStr">
        <is>
          <t>Start b3-0071; ends with b3-0076.</t>
        </is>
      </c>
      <c r="AF285" s="7" t="inlineStr">
        <is>
          <t>b3-0071</t>
        </is>
      </c>
      <c r="AG285" s="7" t="inlineStr">
        <is>
          <t>b3-0076</t>
        </is>
      </c>
      <c r="AH285" s="7" t="n"/>
      <c r="AI285" s="7" t="n"/>
      <c r="AJ285" s="7" t="n"/>
      <c r="AK285" s="7" t="inlineStr">
        <is>
          <t>kings-of-israel #19 (ruler); prophets-and-kings-a6 #43 (ruler)</t>
        </is>
      </c>
      <c r="AL285" s="7" t="inlineStr">
        <is>
          <t>NWT App. A6 gives 9 years counted from c. 748 B.C.E., when his rule became fully established (b3-0072).</t>
        </is>
      </c>
      <c r="AM285" s="7" t="n">
        <v>-757.5</v>
      </c>
      <c r="AN285" s="10" t="n"/>
      <c r="AO285" s="10" t="n"/>
      <c r="AP285" s="10" t="n"/>
      <c r="AQ285" s="10" t="n"/>
    </row>
    <row r="286">
      <c r="A286" s="7" t="inlineStr">
        <is>
          <t>b3-0072</t>
        </is>
      </c>
      <c r="B286" s="7" t="inlineStr">
        <is>
          <t>Point</t>
        </is>
      </c>
      <c r="C286" s="7" t="n"/>
      <c r="D286" s="7" t="inlineStr">
        <is>
          <t>c. 748 B.C.E.</t>
        </is>
      </c>
      <c r="E286" s="7" t="n"/>
      <c r="F286" s="7" t="inlineStr">
        <is>
          <t>748 BCE</t>
        </is>
      </c>
      <c r="G286" s="7" t="inlineStr">
        <is>
          <t>Approx. (c.)</t>
        </is>
      </c>
      <c r="H286" s="7" t="n"/>
      <c r="I286" s="7" t="n"/>
      <c r="J286" s="7" t="n"/>
      <c r="K286" s="2" t="inlineStr">
        <is>
          <t>Hoshea’s rule becomes fully established</t>
        </is>
      </c>
      <c r="L286" s="2" t="inlineStr">
        <is>
          <t>சுமார் 748-ல் ஓசெயாவின் கைக்கு ஆட்சி முழுமையாக வந்திருக்கலாம் அல்லது அவருடைய ஆட்சிக்கு அசீரிய பேரரசன் மூன்றாம் திகிலாத்பிலேசரின் ஆதரவு கிடைத்திருக்கலாம்</t>
        </is>
      </c>
      <c r="M286" s="7" t="inlineStr">
        <is>
          <t>Hoshea’s rule over Israel evidently becomes fully established, or possibly receives the backing of Assyrian King Tiglath-pileser III; his 9 years are counted from this point.</t>
        </is>
      </c>
      <c r="N286" s="7" t="n"/>
      <c r="O286" s="8" t="inlineStr">
        <is>
          <t>Bible</t>
        </is>
      </c>
      <c r="P286" s="7" t="inlineStr">
        <is>
          <t>bible.monarchy</t>
        </is>
      </c>
      <c r="Q286" s="7" t="inlineStr">
        <is>
          <t>accession</t>
        </is>
      </c>
      <c r="R286" s="7" t="inlineStr">
        <is>
          <t>Hoshea; Tiglath-pileser III</t>
        </is>
      </c>
      <c r="S286" s="7" t="inlineStr">
        <is>
          <t>Israel; Assyria</t>
        </is>
      </c>
      <c r="T286" s="7" t="inlineStr">
        <is>
          <t>2 Ki. 17:1</t>
        </is>
      </c>
      <c r="U286" s="7" t="inlineStr">
        <is>
          <t>2 இரா. 17:1</t>
        </is>
      </c>
      <c r="V286" s="7" t="n">
        <v>2</v>
      </c>
      <c r="W286" s="7" t="inlineStr">
        <is>
          <t>A6-B Chart: Prophets and Kings of Judah and of Israel (Part 2)</t>
        </is>
      </c>
      <c r="X286" s="9" t="inlineStr">
        <is>
          <t>open</t>
        </is>
      </c>
      <c r="Y286" s="9" t="inlineStr">
        <is>
          <t>open</t>
        </is>
      </c>
      <c r="Z286" s="7" t="inlineStr">
        <is>
          <t>https://wol.jw.org/en/wol/d/r1/lp-e/1001061215
https://wol.jw.org/en/wol/d/r1/lp-e/1200000970</t>
        </is>
      </c>
      <c r="AA286" s="7" t="n">
        <v>2</v>
      </c>
      <c r="AB286" s="9" t="inlineStr">
        <is>
          <t>open</t>
        </is>
      </c>
      <c r="AC286" s="7" t="n">
        <v>0</v>
      </c>
      <c r="AD286" s="7" t="n"/>
      <c r="AE286" s="7" t="n"/>
      <c r="AF286" s="7" t="n"/>
      <c r="AG286" s="7" t="n"/>
      <c r="AH286" s="7" t="n"/>
      <c r="AI286" s="7" t="n"/>
      <c r="AJ286" s="7" t="n"/>
      <c r="AK286" s="7" t="inlineStr">
        <is>
          <t>prophets-and-kings-a6 #44 (context)</t>
        </is>
      </c>
      <c r="AL286" s="7" t="n"/>
      <c r="AM286" s="7" t="n">
        <v>-748</v>
      </c>
      <c r="AN286" s="10" t="n"/>
      <c r="AO286" s="10" t="n"/>
      <c r="AP286" s="10" t="n"/>
      <c r="AQ286" s="10" t="n"/>
    </row>
    <row r="287">
      <c r="A287" s="7" t="inlineStr">
        <is>
          <t>b3-0073</t>
        </is>
      </c>
      <c r="B287" s="7" t="inlineStr">
        <is>
          <t>Point</t>
        </is>
      </c>
      <c r="C287" s="7" t="n"/>
      <c r="D287" s="7" t="inlineStr">
        <is>
          <t>746 B.C.E.</t>
        </is>
      </c>
      <c r="E287" s="7" t="inlineStr">
        <is>
          <t>கி.மு. 746</t>
        </is>
      </c>
      <c r="F287" s="7" t="inlineStr">
        <is>
          <t>746 BCE</t>
        </is>
      </c>
      <c r="G287" s="7" t="inlineStr">
        <is>
          <t>Exact</t>
        </is>
      </c>
      <c r="H287" s="7" t="n"/>
      <c r="I287" s="7" t="n"/>
      <c r="J287" s="7" t="n"/>
      <c r="K287" s="2" t="inlineStr">
        <is>
          <t>Hezekiah becomes king of Judah (29 years)</t>
        </is>
      </c>
      <c r="L287" s="2" t="inlineStr">
        <is>
          <t>எசேக்கியா: 29 வருஷங்கள்</t>
        </is>
      </c>
      <c r="M287" s="7" t="inlineStr">
        <is>
          <t>Hezekiah begins to reign over the southern two-tribe kingdom of Judah; the NWT chart gives a reign of 29 years.</t>
        </is>
      </c>
      <c r="N287" s="7" t="inlineStr">
        <is>
          <t>ஆகாஸுக்குப் பின் எசேக்கியா யூதாவின் அரசனாகிறார்</t>
        </is>
      </c>
      <c r="O287" s="8" t="inlineStr">
        <is>
          <t>Bible</t>
        </is>
      </c>
      <c r="P287" s="7" t="inlineStr">
        <is>
          <t>bible.monarchy</t>
        </is>
      </c>
      <c r="Q287" s="7" t="inlineStr">
        <is>
          <t>accession</t>
        </is>
      </c>
      <c r="R287" s="7" t="inlineStr">
        <is>
          <t>Hezekiah</t>
        </is>
      </c>
      <c r="S287" s="7" t="inlineStr">
        <is>
          <t>Judah</t>
        </is>
      </c>
      <c r="T287" s="7" t="inlineStr">
        <is>
          <t>2 Ki. 18:1, 2</t>
        </is>
      </c>
      <c r="U287" s="7" t="inlineStr">
        <is>
          <t>2 இரா. 18:1, 2</t>
        </is>
      </c>
      <c r="V287" s="7" t="n">
        <v>4</v>
      </c>
      <c r="W287" s="7" t="inlineStr">
        <is>
          <t>A6-B Chart: Prophets and Kings of Judah and of Israel (Part 2)</t>
        </is>
      </c>
      <c r="X287" s="9" t="inlineStr">
        <is>
          <t>open</t>
        </is>
      </c>
      <c r="Y287" s="9" t="inlineStr">
        <is>
          <t>open</t>
        </is>
      </c>
      <c r="Z287" s="7" t="inlineStr">
        <is>
          <t>https://wol.jw.org/en/wol/d/r1/lp-e/1001061215
https://wol.jw.org/en/wol/d/r1/lp-e/1101990130
https://wol.jw.org/en/wol/d/r1/lp-e/1200000970
https://wol.jw.org/en/wol/d/r1/lp-e/1200002011</t>
        </is>
      </c>
      <c r="AA287" s="7" t="n">
        <v>2</v>
      </c>
      <c r="AB287" s="9" t="inlineStr">
        <is>
          <t>open</t>
        </is>
      </c>
      <c r="AC287" s="7" t="n">
        <v>1</v>
      </c>
      <c r="AD287" s="7" t="inlineStr">
        <is>
          <t>si Study 3 table, si Bible Book No. 20 (Proverbs) and Insight "Hezekiah"/"Temple" give 745(-717) B.C.E.; NWT A6-B and Insight chart give 746. Insight chart: Hezekiah evidently began to rule in 746, but his first regnal year counted from 745.</t>
        </is>
      </c>
      <c r="AE287" s="7" t="n"/>
      <c r="AF287" s="7" t="n"/>
      <c r="AG287" s="7" t="n"/>
      <c r="AH287" s="7" t="n"/>
      <c r="AI287" s="7" t="inlineStr">
        <is>
          <t>Covered by span – hide on chart</t>
        </is>
      </c>
      <c r="AJ287" s="7" t="inlineStr">
        <is>
          <t>end of Reign of Ahaz (Judah) (d1-0043); start of Reign of Hezekiah (Judah) (d1-0044)</t>
        </is>
      </c>
      <c r="AK287" s="7" t="n"/>
      <c r="AL287" s="7" t="n"/>
      <c r="AM287" s="7" t="n">
        <v>-745.5</v>
      </c>
      <c r="AN287" s="10" t="n"/>
      <c r="AO287" s="10" t="n"/>
      <c r="AP287" s="10" t="n"/>
      <c r="AQ287" s="10" t="n"/>
    </row>
    <row r="288">
      <c r="A288" s="7" t="inlineStr">
        <is>
          <t>d1-0044</t>
        </is>
      </c>
      <c r="B288" s="11" t="inlineStr">
        <is>
          <t>Span</t>
        </is>
      </c>
      <c r="C288" s="7" t="inlineStr">
        <is>
          <t>reign</t>
        </is>
      </c>
      <c r="D288" s="7" t="inlineStr">
        <is>
          <t>746 B.C.E. – 716 B.C.E.</t>
        </is>
      </c>
      <c r="E288" s="7" t="inlineStr">
        <is>
          <t>கி.மு. 746 – கி.மு. 716</t>
        </is>
      </c>
      <c r="F288" s="7" t="inlineStr">
        <is>
          <t>746 BCE</t>
        </is>
      </c>
      <c r="G288" s="7" t="inlineStr">
        <is>
          <t>Exact</t>
        </is>
      </c>
      <c r="H288" s="7" t="inlineStr">
        <is>
          <t>716 BCE</t>
        </is>
      </c>
      <c r="I288" s="7" t="inlineStr">
        <is>
          <t>Exact</t>
        </is>
      </c>
      <c r="J288" s="7" t="inlineStr">
        <is>
          <t>29 years</t>
        </is>
      </c>
      <c r="K288" s="2" t="inlineStr">
        <is>
          <t>Reign of Hezekiah (Judah)</t>
        </is>
      </c>
      <c r="L288" s="2" t="n"/>
      <c r="M288" s="7" t="inlineStr">
        <is>
          <t>Hezekiah rules Judah. Starts with Hezekiah becomes king of Judah (29 years) (746 B.C.E.); ends when Manasseh becomes king (b3-0081), as laid out in NWT Appendix A6.</t>
        </is>
      </c>
      <c r="N288" s="7" t="n"/>
      <c r="O288" s="8" t="inlineStr">
        <is>
          <t>Bible</t>
        </is>
      </c>
      <c r="P288" s="7" t="inlineStr">
        <is>
          <t>bible.monarchy</t>
        </is>
      </c>
      <c r="Q288" s="7" t="inlineStr">
        <is>
          <t>reign</t>
        </is>
      </c>
      <c r="R288" s="7" t="inlineStr">
        <is>
          <t>Hezekiah</t>
        </is>
      </c>
      <c r="S288" s="7" t="inlineStr">
        <is>
          <t>Judah</t>
        </is>
      </c>
      <c r="T288" s="7" t="inlineStr">
        <is>
          <t>2 Ki. 18:1, 2; 2 Ki. 21:1</t>
        </is>
      </c>
      <c r="U288" s="7" t="inlineStr">
        <is>
          <t>2 இரா. 18:1, 2; 2 இரா. 21:1</t>
        </is>
      </c>
      <c r="V288" s="7" t="n">
        <v>5</v>
      </c>
      <c r="W288" s="7" t="inlineStr">
        <is>
          <t>A6-B Chart: Prophets and Kings of Judah and of Israel (Part 2)</t>
        </is>
      </c>
      <c r="X288" s="9" t="inlineStr">
        <is>
          <t>open</t>
        </is>
      </c>
      <c r="Y288" s="9" t="inlineStr">
        <is>
          <t>open</t>
        </is>
      </c>
      <c r="Z288" s="7" t="inlineStr">
        <is>
          <t>https://wol.jw.org/en/wol/d/r1/lp-e/1001061215
https://wol.jw.org/en/wol/d/r1/lp-e/1101990130
https://wol.jw.org/en/wol/d/r1/lp-e/1200000970
https://wol.jw.org/en/wol/d/r1/lp-e/1200002011
https://wol.jw.org/en/wol/d/r1/lp-e/1200004359</t>
        </is>
      </c>
      <c r="AA288" s="7" t="n">
        <v>0</v>
      </c>
      <c r="AB288" s="7" t="n"/>
      <c r="AC288" s="7" t="n">
        <v>2</v>
      </c>
      <c r="AD288" s="7" t="inlineStr">
        <is>
          <t>si Study 3 table, si Bible Book No. 20 (Proverbs) and Insight "Hezekiah"/"Temple" give 745(-717) B.C.E.; NWT A6-B and Insight chart give 746. Insight chart: Hezekiah evidently began to rule in 746, but his first regnal year counted from 745. | Insight "Hezekiah" and si end Hezekiah’s reign in 717 B.C.E.; Manasseh’s accession is 716 in all sources (regnal-year reckoning).</t>
        </is>
      </c>
      <c r="AE288" s="7" t="inlineStr">
        <is>
          <t>Start b3-0073; ends when Manasseh becomes king (b3-0081), as laid out in NWT Appendix A6.</t>
        </is>
      </c>
      <c r="AF288" s="7" t="inlineStr">
        <is>
          <t>b3-0073</t>
        </is>
      </c>
      <c r="AG288" s="7" t="inlineStr">
        <is>
          <t>b3-0081</t>
        </is>
      </c>
      <c r="AH288" s="7" t="n"/>
      <c r="AI288" s="7" t="n"/>
      <c r="AJ288" s="7" t="n"/>
      <c r="AK288" s="7" t="inlineStr">
        <is>
          <t>kings-of-judah #13 (ruler); messianic-line #46 (item); prophets-and-kings-a6 #13 (ruler)</t>
        </is>
      </c>
      <c r="AL288" s="7" t="n"/>
      <c r="AM288" s="7" t="n">
        <v>-745.5</v>
      </c>
      <c r="AN288" s="10" t="n"/>
      <c r="AO288" s="10" t="n"/>
      <c r="AP288" s="10" t="n"/>
      <c r="AQ288" s="10" t="n"/>
    </row>
    <row r="289">
      <c r="A289" s="7" t="inlineStr">
        <is>
          <t>b11-0020</t>
        </is>
      </c>
      <c r="B289" s="7" t="inlineStr">
        <is>
          <t>Point</t>
        </is>
      </c>
      <c r="C289" s="7" t="n"/>
      <c r="D289" s="7" t="inlineStr">
        <is>
          <t>a. 745 B.C.E.</t>
        </is>
      </c>
      <c r="E289" s="7" t="inlineStr">
        <is>
          <t>கி.மு. 745-க்குப் பின்</t>
        </is>
      </c>
      <c r="F289" s="7" t="inlineStr">
        <is>
          <t>745 BCE</t>
        </is>
      </c>
      <c r="G289" s="7" t="inlineStr">
        <is>
          <t>After (a.)</t>
        </is>
      </c>
      <c r="H289" s="7" t="n"/>
      <c r="I289" s="7" t="n"/>
      <c r="J289" s="7" t="n"/>
      <c r="K289" s="2" t="inlineStr">
        <is>
          <t>Writing of Hosea completed</t>
        </is>
      </c>
      <c r="L289" s="2" t="inlineStr">
        <is>
          <t>ஓசியா — எழுதி முடிக்கப்பட்டது</t>
        </is>
      </c>
      <c r="M289" s="7" t="inlineStr">
        <is>
          <t>The writing of Hosea was completed after 745 B.C.E. Writer: Hosea; place written: Samaria (District). Time covered: b. 804–a. 745 B.C.E.</t>
        </is>
      </c>
      <c r="N289" s="7" t="inlineStr">
        <is>
          <t>ஓசியா: எழுதியவர்(கள்): ஓசியா; எழுதப்பட்ட இடம்: சமாரியா (மாகாணம்); முடிக்கப்பட்ட வருஷம் (கி.மு.): 745-க்குப் பின்; காலப்பகுதி (கி.மு.): 804-க்கு முன்–745-க்குப் பின்.</t>
        </is>
      </c>
      <c r="O289" s="8" t="inlineStr">
        <is>
          <t>Bible</t>
        </is>
      </c>
      <c r="P289" s="7" t="inlineStr">
        <is>
          <t>bible.book_writing</t>
        </is>
      </c>
      <c r="Q289" s="7" t="inlineStr">
        <is>
          <t>writing_completed</t>
        </is>
      </c>
      <c r="R289" s="7" t="inlineStr">
        <is>
          <t>Hosea</t>
        </is>
      </c>
      <c r="S289" s="7" t="inlineStr">
        <is>
          <t>Samaria (District)</t>
        </is>
      </c>
      <c r="T289" s="7" t="inlineStr">
        <is>
          <t>Hos.</t>
        </is>
      </c>
      <c r="U289" s="7" t="inlineStr">
        <is>
          <t>ஓசி.</t>
        </is>
      </c>
      <c r="V289" s="7" t="n">
        <v>6</v>
      </c>
      <c r="W289" s="7" t="inlineStr">
        <is>
          <t>Table of the Books of the Bible</t>
        </is>
      </c>
      <c r="X289" s="9" t="inlineStr">
        <is>
          <t>open</t>
        </is>
      </c>
      <c r="Y289" s="9" t="inlineStr">
        <is>
          <t>open</t>
        </is>
      </c>
      <c r="Z289" s="7" t="inlineStr">
        <is>
          <t>https://wol.jw.org/en/wol/d/r1/lp-e/1001070071
https://wol.jw.org/en/wol/d/r1/lp-e/1101990089
https://www.jw.org/en/library/bible/study-bible/books-of-the-bible-list/
https://wol.jw.org/en/wol/d/r1/lp-e/1001060002
https://wol.jw.org/en/wol/d/r1/lp-e/1101990130
https://wol.jw.org/en/wol/d/r1/lp-e/1200000970</t>
        </is>
      </c>
      <c r="AA289" s="7" t="n">
        <v>0</v>
      </c>
      <c r="AB289" s="7" t="n"/>
      <c r="AC289" s="7" t="n">
        <v>0</v>
      </c>
      <c r="AD289" s="7" t="n"/>
      <c r="AE289" s="7" t="n"/>
      <c r="AF289" s="7" t="n"/>
      <c r="AG289" s="7" t="n"/>
      <c r="AH289" s="7" t="n"/>
      <c r="AI289" s="7" t="n"/>
      <c r="AJ289" s="7" t="n"/>
      <c r="AK289" s="7" t="inlineStr">
        <is>
          <t>bible-books-written #28 (item); messianic-prophecies #51 (prophecy)</t>
        </is>
      </c>
      <c r="AL289" s="7" t="inlineStr">
        <is>
          <t>Writer(s): Hosea. Place written: Samaria (District). Writing completed: a. 745 B.C.E. Time covered: b. 804–a. 745 B.C.E.</t>
        </is>
      </c>
      <c r="AM289" s="7" t="n">
        <v>-744.9872</v>
      </c>
      <c r="AN289" s="10" t="n"/>
      <c r="AO289" s="10" t="n"/>
      <c r="AP289" s="10" t="n"/>
      <c r="AQ289" s="10" t="n"/>
    </row>
    <row r="290">
      <c r="A290" s="7" t="inlineStr">
        <is>
          <t>b3-0075</t>
        </is>
      </c>
      <c r="B290" s="7" t="inlineStr">
        <is>
          <t>Point</t>
        </is>
      </c>
      <c r="C290" s="7" t="n"/>
      <c r="D290" s="7" t="inlineStr">
        <is>
          <t>742 B.C.E.</t>
        </is>
      </c>
      <c r="E290" s="7" t="n"/>
      <c r="F290" s="7" t="inlineStr">
        <is>
          <t>742 BCE</t>
        </is>
      </c>
      <c r="G290" s="7" t="inlineStr">
        <is>
          <t>Exact</t>
        </is>
      </c>
      <c r="H290" s="7" t="n"/>
      <c r="I290" s="7" t="n"/>
      <c r="J290" s="7" t="n"/>
      <c r="K290" s="2" t="inlineStr">
        <is>
          <t>Assyrian siege of Samaria begins</t>
        </is>
      </c>
      <c r="L290" s="2" t="n"/>
      <c r="M290" s="7" t="inlineStr">
        <is>
          <t>In Hezekiah’s fourth year Shalmaneser of Assyria begins the siege of Samaria.</t>
        </is>
      </c>
      <c r="N290" s="7" t="n"/>
      <c r="O290" s="8" t="inlineStr">
        <is>
          <t>Bible</t>
        </is>
      </c>
      <c r="P290" s="7" t="inlineStr">
        <is>
          <t>bible.judgment</t>
        </is>
      </c>
      <c r="Q290" s="7" t="inlineStr">
        <is>
          <t>siege</t>
        </is>
      </c>
      <c r="R290" s="7" t="inlineStr">
        <is>
          <t>Shalmaneser V; Hoshea; Hezekiah</t>
        </is>
      </c>
      <c r="S290" s="7" t="inlineStr">
        <is>
          <t>Samaria</t>
        </is>
      </c>
      <c r="T290" s="7" t="inlineStr">
        <is>
          <t>2 Ki. 18:9</t>
        </is>
      </c>
      <c r="U290" s="7" t="inlineStr">
        <is>
          <t>2 இரா. 18:9</t>
        </is>
      </c>
      <c r="V290" s="7" t="n">
        <v>2</v>
      </c>
      <c r="W290" s="7" t="inlineStr">
        <is>
          <t>Chronology</t>
        </is>
      </c>
      <c r="X290" s="9" t="inlineStr">
        <is>
          <t>open</t>
        </is>
      </c>
      <c r="Y290" s="7" t="n"/>
      <c r="Z290" s="7" t="inlineStr">
        <is>
          <t>https://wol.jw.org/en/wol/d/r1/lp-e/1200000970
https://wol.jw.org/en/wol/d/r1/lp-e/1200002011</t>
        </is>
      </c>
      <c r="AA290" s="7" t="n">
        <v>0</v>
      </c>
      <c r="AB290" s="7" t="n"/>
      <c r="AC290" s="7" t="n">
        <v>0</v>
      </c>
      <c r="AD290" s="7" t="n"/>
      <c r="AE290" s="7" t="n"/>
      <c r="AF290" s="7" t="n"/>
      <c r="AG290" s="7" t="n"/>
      <c r="AH290" s="7" t="n"/>
      <c r="AI290" s="7" t="n"/>
      <c r="AJ290" s="7" t="n"/>
      <c r="AK290" s="7" t="n"/>
      <c r="AL290" s="7" t="n"/>
      <c r="AM290" s="7" t="n">
        <v>-742</v>
      </c>
      <c r="AN290" s="10" t="n"/>
      <c r="AO290" s="10" t="n"/>
      <c r="AP290" s="10" t="n"/>
      <c r="AQ290" s="10" t="n"/>
    </row>
    <row r="291">
      <c r="A291" s="7" t="inlineStr">
        <is>
          <t>b3-0076</t>
        </is>
      </c>
      <c r="B291" s="7" t="inlineStr">
        <is>
          <t>Point</t>
        </is>
      </c>
      <c r="C291" s="7" t="n"/>
      <c r="D291" s="7" t="inlineStr">
        <is>
          <t>740 B.C.E.</t>
        </is>
      </c>
      <c r="E291" s="7" t="inlineStr">
        <is>
          <t>கி.மு. 740</t>
        </is>
      </c>
      <c r="F291" s="7" t="inlineStr">
        <is>
          <t>740 BCE</t>
        </is>
      </c>
      <c r="G291" s="7" t="inlineStr">
        <is>
          <t>Exact</t>
        </is>
      </c>
      <c r="H291" s="7" t="n"/>
      <c r="I291" s="7" t="n"/>
      <c r="J291" s="7" t="n"/>
      <c r="K291" s="2" t="inlineStr">
        <is>
          <t>Assyria conquers Samaria; northern kingdom ends</t>
        </is>
      </c>
      <c r="L291" s="2" t="inlineStr">
        <is>
          <t>சமாரியாவை அசீரியா கைப்பற்றி, இஸ்ரவேலை ஆதிக்கம் செய்கிறது; இஸ்ரவேலின் பத்துக் கோத்திர வடக்கு ராஜ்யம் முடிவுக்கு வருகிறது</t>
        </is>
      </c>
      <c r="M291" s="7" t="inlineStr">
        <is>
          <t>In Hezekiah’s sixth year Samaria falls to Assyria; Israel is subjugated and taken into exile, ending the ten-tribe kingdom.</t>
        </is>
      </c>
      <c r="N291" s="7" t="inlineStr">
        <is>
          <t>அசீரியா இஸ்ரவேலைக் கீழ்ப்படுத்துகிறது, சமாரியாவைக் கைப்பற்றுகிறது</t>
        </is>
      </c>
      <c r="O291" s="8" t="inlineStr">
        <is>
          <t>Bible</t>
        </is>
      </c>
      <c r="P291" s="7" t="inlineStr">
        <is>
          <t>bible.judgment</t>
        </is>
      </c>
      <c r="Q291" s="7" t="inlineStr">
        <is>
          <t>conquest</t>
        </is>
      </c>
      <c r="R291" s="7" t="inlineStr">
        <is>
          <t>Hoshea; Shalmaneser V</t>
        </is>
      </c>
      <c r="S291" s="7" t="inlineStr">
        <is>
          <t>Samaria; Assyria; Israel</t>
        </is>
      </c>
      <c r="T291" s="7" t="inlineStr">
        <is>
          <t>2 Ki. 17:6, 13, 18; 2 Ki. 18:10</t>
        </is>
      </c>
      <c r="U291" s="7" t="inlineStr">
        <is>
          <t>2 இரா. 17:6, 13, 18; 2 இரா. 18:10</t>
        </is>
      </c>
      <c r="V291" s="7" t="n">
        <v>5</v>
      </c>
      <c r="W291" s="7" t="inlineStr">
        <is>
          <t>A6-B Chart: Prophets and Kings of Judah and of Israel (Part 2)</t>
        </is>
      </c>
      <c r="X291" s="9" t="inlineStr">
        <is>
          <t>open</t>
        </is>
      </c>
      <c r="Y291" s="9" t="inlineStr">
        <is>
          <t>open</t>
        </is>
      </c>
      <c r="Z291" s="7" t="inlineStr">
        <is>
          <t>https://wol.jw.org/en/wol/d/r1/lp-e/1001061215
https://wol.jw.org/en/wol/d/r1/lp-e/1101990130
https://wol.jw.org/en/wol/d/r1/lp-e/1200000970
https://wol.jw.org/en/wol/d/r1/lp-e/1200002011
https://wol.jw.org/en/wol/d/r1/lp-e/1101990073</t>
        </is>
      </c>
      <c r="AA291" s="7" t="n">
        <v>2</v>
      </c>
      <c r="AB291" s="9" t="inlineStr">
        <is>
          <t>open</t>
        </is>
      </c>
      <c r="AC291" s="7" t="n">
        <v>0</v>
      </c>
      <c r="AD291" s="7" t="n"/>
      <c r="AE291" s="7" t="n"/>
      <c r="AF291" s="7" t="n"/>
      <c r="AG291" s="7" t="n"/>
      <c r="AH291" s="7" t="n"/>
      <c r="AI291" s="7" t="inlineStr">
        <is>
          <t>Span endpoint – keep</t>
        </is>
      </c>
      <c r="AJ291" s="7" t="inlineStr">
        <is>
          <t>end of Northern ten-tribe kingdom of Israel (b12-0016); end of Reign of Hoshea (Israel) (d1-0070)</t>
        </is>
      </c>
      <c r="AK291" s="7" t="inlineStr">
        <is>
          <t>fulfilled-prophecies-nations #4 (fulfillment); prophets-and-kings-a6 #45 (end)</t>
        </is>
      </c>
      <c r="AL291" s="7" t="n"/>
      <c r="AM291" s="7" t="n">
        <v>-740</v>
      </c>
      <c r="AN291" s="10" t="n"/>
      <c r="AO291" s="10" t="n"/>
      <c r="AP291" s="10" t="n"/>
      <c r="AQ291" s="10" t="n"/>
    </row>
    <row r="292">
      <c r="A292" s="7" t="inlineStr">
        <is>
          <t>b11-0021</t>
        </is>
      </c>
      <c r="B292" s="7" t="inlineStr">
        <is>
          <t>Point</t>
        </is>
      </c>
      <c r="C292" s="7" t="n"/>
      <c r="D292" s="7" t="inlineStr">
        <is>
          <t>a. 732 B.C.E.</t>
        </is>
      </c>
      <c r="E292" s="7" t="inlineStr">
        <is>
          <t>கி.மு. 732-க்குப் பின்</t>
        </is>
      </c>
      <c r="F292" s="7" t="inlineStr">
        <is>
          <t>732 BCE</t>
        </is>
      </c>
      <c r="G292" s="7" t="inlineStr">
        <is>
          <t>After (a.)</t>
        </is>
      </c>
      <c r="H292" s="7" t="n"/>
      <c r="I292" s="7" t="n"/>
      <c r="J292" s="7" t="n"/>
      <c r="K292" s="2" t="inlineStr">
        <is>
          <t>Writing of Isaiah completed</t>
        </is>
      </c>
      <c r="L292" s="2" t="inlineStr">
        <is>
          <t>ஏசாயா — எழுதி முடிக்கப்பட்டது</t>
        </is>
      </c>
      <c r="M292" s="7" t="inlineStr">
        <is>
          <t>The writing of Isaiah was completed after 732 B.C.E. Writer: Isaiah; place written: Jerusalem. Time covered: c. 778–a. 732 B.C.E.</t>
        </is>
      </c>
      <c r="N292" s="7" t="inlineStr">
        <is>
          <t>ஏசாயா: எழுதியவர்(கள்): ஏசாயா; எழுதப்பட்ட இடம்: எருசலேம்; முடிக்கப்பட்ட வருஷம் (கி.மு.): 732-க்குப் பின்; காலப்பகுதி (கி.மு.): ஏ. 778–732-க்குப் பின்.</t>
        </is>
      </c>
      <c r="O292" s="8" t="inlineStr">
        <is>
          <t>Bible</t>
        </is>
      </c>
      <c r="P292" s="7" t="inlineStr">
        <is>
          <t>bible.book_writing</t>
        </is>
      </c>
      <c r="Q292" s="7" t="inlineStr">
        <is>
          <t>writing_completed</t>
        </is>
      </c>
      <c r="R292" s="7" t="inlineStr">
        <is>
          <t>Isaiah</t>
        </is>
      </c>
      <c r="S292" s="7" t="inlineStr">
        <is>
          <t>Jerusalem</t>
        </is>
      </c>
      <c r="T292" s="7" t="inlineStr">
        <is>
          <t>Isa.</t>
        </is>
      </c>
      <c r="U292" s="7" t="inlineStr">
        <is>
          <t>ஏசா.</t>
        </is>
      </c>
      <c r="V292" s="7" t="n">
        <v>6</v>
      </c>
      <c r="W292" s="7" t="inlineStr">
        <is>
          <t>Table of the Books of the Bible</t>
        </is>
      </c>
      <c r="X292" s="9" t="inlineStr">
        <is>
          <t>open</t>
        </is>
      </c>
      <c r="Y292" s="9" t="inlineStr">
        <is>
          <t>open</t>
        </is>
      </c>
      <c r="Z292" s="7" t="inlineStr">
        <is>
          <t>https://wol.jw.org/en/wol/d/r1/lp-e/1001070071
https://wol.jw.org/en/wol/d/r1/lp-e/1101990084
https://www.jw.org/en/library/bible/study-bible/books-of-the-bible-list/
https://wol.jw.org/en/wol/d/r1/lp-e/1001060002
https://wol.jw.org/en/wol/d/r1/lp-e/1101990130
https://wol.jw.org/en/wol/d/r1/lp-e/1200000970</t>
        </is>
      </c>
      <c r="AA292" s="7" t="n">
        <v>0</v>
      </c>
      <c r="AB292" s="7" t="n"/>
      <c r="AC292" s="7" t="n">
        <v>0</v>
      </c>
      <c r="AD292" s="7" t="n"/>
      <c r="AE292" s="7" t="n"/>
      <c r="AF292" s="7" t="n"/>
      <c r="AG292" s="7" t="n"/>
      <c r="AH292" s="7" t="n"/>
      <c r="AI292" s="7" t="n"/>
      <c r="AJ292" s="7" t="n"/>
      <c r="AK292" s="7" t="inlineStr">
        <is>
          <t>bible-books-written #23 (item); messianic-prophecies #31 (prophecy); messianic-prophecies #41 (prophecy); messianic-prophecies #81 (prophecy); messianic-prophecies #91 (prophecy); messianic-prophecies #101 (prophecy); messianic-prophecies #111 (prophecy); messianic-prophecies #121.1 (prophecy); messianic-prophecies #141 (prophecy); messianic-prophecies #191 (prophecy); messianic-prophecies #251 (prophecy)</t>
        </is>
      </c>
      <c r="AL292" s="7" t="inlineStr">
        <is>
          <t>Writer(s): Isaiah. Place written: Jerusalem. Writing completed: a. 732 B.C.E. Time covered: c. 778–a. 732 B.C.E.</t>
        </is>
      </c>
      <c r="AM292" s="7" t="n">
        <v>-731.9877</v>
      </c>
      <c r="AN292" s="10" t="n"/>
      <c r="AO292" s="10" t="n"/>
      <c r="AP292" s="10" t="n"/>
      <c r="AQ292" s="10" t="n"/>
    </row>
    <row r="293">
      <c r="A293" s="7" t="inlineStr">
        <is>
          <t>b3-0077</t>
        </is>
      </c>
      <c r="B293" s="7" t="inlineStr">
        <is>
          <t>Point</t>
        </is>
      </c>
      <c r="C293" s="7" t="n"/>
      <c r="D293" s="7" t="inlineStr">
        <is>
          <t>732 B.C.E.</t>
        </is>
      </c>
      <c r="E293" s="7" t="inlineStr">
        <is>
          <t>பொ.ச.மு. 732</t>
        </is>
      </c>
      <c r="F293" s="7" t="inlineStr">
        <is>
          <t>732 BCE</t>
        </is>
      </c>
      <c r="G293" s="7" t="inlineStr">
        <is>
          <t>Exact</t>
        </is>
      </c>
      <c r="H293" s="7" t="n"/>
      <c r="I293" s="7" t="n"/>
      <c r="J293" s="7" t="n"/>
      <c r="K293" s="2" t="inlineStr">
        <is>
          <t>Sennacherib invades Judah</t>
        </is>
      </c>
      <c r="L293" s="2" t="inlineStr">
        <is>
          <t>சனகெரிப் யூதாவின்மீது படையெடுக்கிறான்</t>
        </is>
      </c>
      <c r="M293" s="7" t="inlineStr">
        <is>
          <t>In Hezekiah’s 14th year Assyrian King Sennacherib comes up against the fortified cities of Judah and seizes them; Jerusalem is spared when Jehovah’s angel strikes down 185,000 Assyrians.</t>
        </is>
      </c>
      <c r="N293" s="7" t="inlineStr">
        <is>
          <t>சனகெரிப் யூதாவின்மீது படையெடுக்கிறான்</t>
        </is>
      </c>
      <c r="O293" s="8" t="inlineStr">
        <is>
          <t>Bible</t>
        </is>
      </c>
      <c r="P293" s="7" t="inlineStr">
        <is>
          <t>bible.monarchy</t>
        </is>
      </c>
      <c r="Q293" s="7" t="inlineStr">
        <is>
          <t>invasion</t>
        </is>
      </c>
      <c r="R293" s="7" t="inlineStr">
        <is>
          <t>Sennacherib; Hezekiah</t>
        </is>
      </c>
      <c r="S293" s="7" t="inlineStr">
        <is>
          <t>Judah; Jerusalem; Assyria</t>
        </is>
      </c>
      <c r="T293" s="7" t="inlineStr">
        <is>
          <t>2 Ki. 18:13; 2 Ki. 19:35</t>
        </is>
      </c>
      <c r="U293" s="7" t="inlineStr">
        <is>
          <t>2 இரா. 18:13; 2 இரா. 19:35</t>
        </is>
      </c>
      <c r="V293" s="7" t="n">
        <v>4</v>
      </c>
      <c r="W293" s="7" t="inlineStr">
        <is>
          <t>Study Number 3—Measuring Events in the Stream of Time</t>
        </is>
      </c>
      <c r="X293" s="9" t="inlineStr">
        <is>
          <t>open</t>
        </is>
      </c>
      <c r="Y293" s="9" t="inlineStr">
        <is>
          <t>open</t>
        </is>
      </c>
      <c r="Z293" s="7" t="inlineStr">
        <is>
          <t>https://wol.jw.org/en/wol/d/r1/lp-e/1101990130
https://wol.jw.org/en/wol/d/r1/lp-e/1200000970
https://wol.jw.org/en/wol/d/r1/lp-e/1200002011
https://wol.jw.org/en/wol/d/r1/lp-e/1200003897</t>
        </is>
      </c>
      <c r="AA293" s="7" t="n">
        <v>0</v>
      </c>
      <c r="AB293" s="7" t="n"/>
      <c r="AC293" s="7" t="n">
        <v>0</v>
      </c>
      <c r="AD293" s="7" t="n"/>
      <c r="AE293" s="7" t="n"/>
      <c r="AF293" s="7" t="n"/>
      <c r="AG293" s="7" t="n"/>
      <c r="AH293" s="7" t="n"/>
      <c r="AI293" s="7" t="n"/>
      <c r="AJ293" s="7" t="n"/>
      <c r="AK293" s="7" t="inlineStr">
        <is>
          <t>fulfilled-prophecies-nations #7 (fulfillment)</t>
        </is>
      </c>
      <c r="AL293" s="7" t="inlineStr">
        <is>
          <t>The 185,000 detail is from si Bible Book No. 28 (Hosea) and Insight "Sennacherib".</t>
        </is>
      </c>
      <c r="AM293" s="7" t="n">
        <v>-731.7</v>
      </c>
      <c r="AN293" s="10" t="n"/>
      <c r="AO293" s="10" t="n"/>
      <c r="AP293" s="10" t="n"/>
      <c r="AQ293" s="10" t="n"/>
    </row>
    <row r="294">
      <c r="A294" s="7" t="inlineStr">
        <is>
          <t>b11-0022</t>
        </is>
      </c>
      <c r="B294" s="7" t="inlineStr">
        <is>
          <t>Point</t>
        </is>
      </c>
      <c r="C294" s="7" t="n"/>
      <c r="D294" s="7" t="inlineStr">
        <is>
          <t>b. 717 B.C.E.</t>
        </is>
      </c>
      <c r="E294" s="7" t="inlineStr">
        <is>
          <t>கி.மு. 717-க்கு முன்</t>
        </is>
      </c>
      <c r="F294" s="7" t="inlineStr">
        <is>
          <t>717 BCE</t>
        </is>
      </c>
      <c r="G294" s="7" t="inlineStr">
        <is>
          <t>Before (b.)</t>
        </is>
      </c>
      <c r="H294" s="7" t="n"/>
      <c r="I294" s="7" t="n"/>
      <c r="J294" s="7" t="n"/>
      <c r="K294" s="2" t="inlineStr">
        <is>
          <t>Writing of Micah completed</t>
        </is>
      </c>
      <c r="L294" s="2" t="inlineStr">
        <is>
          <t>மீகா — எழுதி முடிக்கப்பட்டது</t>
        </is>
      </c>
      <c r="M294" s="7" t="inlineStr">
        <is>
          <t>The writing of Micah was completed before 717 B.C.E. Writer: Micah; place written: Judah. Time covered: c. 777-717 B.C.E.</t>
        </is>
      </c>
      <c r="N294" s="7" t="inlineStr">
        <is>
          <t>மீகா: எழுதியவர்(கள்): மீகா; எழுதப்பட்ட இடம்: யூதா; முடிக்கப்பட்ட வருஷம் (கி.மு.): 717-க்கு முன்; காலப்பகுதி (கி.மு.): ஏ. 777-717.</t>
        </is>
      </c>
      <c r="O294" s="8" t="inlineStr">
        <is>
          <t>Bible</t>
        </is>
      </c>
      <c r="P294" s="7" t="inlineStr">
        <is>
          <t>bible.book_writing</t>
        </is>
      </c>
      <c r="Q294" s="7" t="inlineStr">
        <is>
          <t>writing_completed</t>
        </is>
      </c>
      <c r="R294" s="7" t="inlineStr">
        <is>
          <t>Micah</t>
        </is>
      </c>
      <c r="S294" s="7" t="inlineStr">
        <is>
          <t>Judah</t>
        </is>
      </c>
      <c r="T294" s="7" t="inlineStr">
        <is>
          <t>Mic.</t>
        </is>
      </c>
      <c r="U294" s="7" t="inlineStr">
        <is>
          <t>மீ.</t>
        </is>
      </c>
      <c r="V294" s="7" t="n">
        <v>6</v>
      </c>
      <c r="W294" s="7" t="inlineStr">
        <is>
          <t>Table of the Books of the Bible</t>
        </is>
      </c>
      <c r="X294" s="9" t="inlineStr">
        <is>
          <t>open</t>
        </is>
      </c>
      <c r="Y294" s="9" t="inlineStr">
        <is>
          <t>open</t>
        </is>
      </c>
      <c r="Z294" s="7" t="inlineStr">
        <is>
          <t>https://wol.jw.org/en/wol/d/r1/lp-e/1001070071
https://wol.jw.org/en/wol/d/r1/lp-e/1101990094
https://www.jw.org/en/library/bible/study-bible/books-of-the-bible-list/
https://wol.jw.org/en/wol/d/r1/lp-e/1001060002
https://wol.jw.org/en/wol/d/r1/lp-e/1101990130
https://wol.jw.org/en/wol/d/r1/lp-e/1200000970</t>
        </is>
      </c>
      <c r="AA294" s="7" t="n">
        <v>0</v>
      </c>
      <c r="AB294" s="7" t="n"/>
      <c r="AC294" s="7" t="n">
        <v>0</v>
      </c>
      <c r="AD294" s="7" t="n"/>
      <c r="AE294" s="7" t="n"/>
      <c r="AF294" s="7" t="n"/>
      <c r="AG294" s="7" t="n"/>
      <c r="AH294" s="7" t="n"/>
      <c r="AI294" s="7" t="n"/>
      <c r="AJ294" s="7" t="n"/>
      <c r="AK294" s="7" t="inlineStr">
        <is>
          <t>bible-books-written #33 (item); messianic-prophecies #11 (prophecy)</t>
        </is>
      </c>
      <c r="AL294" s="7" t="inlineStr">
        <is>
          <t>Writer(s): Micah. Place written: Judah. Writing completed: b. 717 B.C.E. Time covered: c. 777-717 B.C.E.</t>
        </is>
      </c>
      <c r="AM294" s="7" t="n">
        <v>-717.0067</v>
      </c>
      <c r="AN294" s="10" t="n"/>
      <c r="AO294" s="10" t="n"/>
      <c r="AP294" s="10" t="n"/>
      <c r="AQ294" s="10" t="n"/>
    </row>
    <row r="295">
      <c r="A295" s="7" t="inlineStr">
        <is>
          <t>b11-0023</t>
        </is>
      </c>
      <c r="B295" s="7" t="inlineStr">
        <is>
          <t>Point</t>
        </is>
      </c>
      <c r="C295" s="7" t="n"/>
      <c r="D295" s="7" t="inlineStr">
        <is>
          <t>c. 717 B.C.E.</t>
        </is>
      </c>
      <c r="E295" s="7" t="inlineStr">
        <is>
          <t>ஏ. கி.மு. 717</t>
        </is>
      </c>
      <c r="F295" s="7" t="inlineStr">
        <is>
          <t>717 BCE</t>
        </is>
      </c>
      <c r="G295" s="7" t="inlineStr">
        <is>
          <t>Approx. (c.)</t>
        </is>
      </c>
      <c r="H295" s="7" t="n"/>
      <c r="I295" s="7" t="n"/>
      <c r="J295" s="7" t="n"/>
      <c r="K295" s="2" t="inlineStr">
        <is>
          <t>Writing of Proverbs completed</t>
        </is>
      </c>
      <c r="L295" s="2" t="inlineStr">
        <is>
          <t>நீதிமொழிகள் — எழுதி முடிக்கப்பட்டது</t>
        </is>
      </c>
      <c r="M295" s="7" t="inlineStr">
        <is>
          <t>The writing of Proverbs was completed c. 717 B.C.E. Speakers/writers: Solomon, Agur, and Lemuel; place written: Jerusalem.</t>
        </is>
      </c>
      <c r="N295" s="7" t="inlineStr">
        <is>
          <t>நீதிமொழிகள்: எழுதியவர்(கள்): சாலொமோன்; ஆகூர்; லேமுவேல்; எழுதப்பட்ட இடம்: எருசலேம்; முடிக்கப்பட்ட வருஷம் (கி.மு.): ஏ. 717.</t>
        </is>
      </c>
      <c r="O295" s="8" t="inlineStr">
        <is>
          <t>Bible</t>
        </is>
      </c>
      <c r="P295" s="7" t="inlineStr">
        <is>
          <t>bible.book_writing</t>
        </is>
      </c>
      <c r="Q295" s="7" t="inlineStr">
        <is>
          <t>writing_completed</t>
        </is>
      </c>
      <c r="R295" s="7" t="inlineStr">
        <is>
          <t>Solomon; Agur; Lemuel</t>
        </is>
      </c>
      <c r="S295" s="7" t="inlineStr">
        <is>
          <t>Jerusalem</t>
        </is>
      </c>
      <c r="T295" s="7" t="inlineStr">
        <is>
          <t>Prov.</t>
        </is>
      </c>
      <c r="U295" s="7" t="inlineStr">
        <is>
          <t>நீதி.</t>
        </is>
      </c>
      <c r="V295" s="7" t="n">
        <v>6</v>
      </c>
      <c r="W295" s="7" t="inlineStr">
        <is>
          <t>Table of the Books of the Bible</t>
        </is>
      </c>
      <c r="X295" s="9" t="inlineStr">
        <is>
          <t>open</t>
        </is>
      </c>
      <c r="Y295" s="9" t="inlineStr">
        <is>
          <t>open</t>
        </is>
      </c>
      <c r="Z295" s="7" t="inlineStr">
        <is>
          <t>https://wol.jw.org/en/wol/d/r1/lp-e/1001070071
https://wol.jw.org/en/wol/d/r1/lp-e/1101990081
https://www.jw.org/en/library/bible/study-bible/books-of-the-bible-list/
https://wol.jw.org/en/wol/d/r1/lp-e/1001060002
https://wol.jw.org/en/wol/d/r1/lp-e/1101990130
https://wol.jw.org/en/wol/d/r1/lp-e/1200000970</t>
        </is>
      </c>
      <c r="AA295" s="7" t="n">
        <v>0</v>
      </c>
      <c r="AB295" s="7" t="n"/>
      <c r="AC295" s="7" t="n">
        <v>1</v>
      </c>
      <c r="AD295" s="7" t="inlineStr">
        <is>
          <t>si labels Solomon, Agur and Lemuel as 'Speakers' rather than 'Writers'.</t>
        </is>
      </c>
      <c r="AE295" s="7" t="n"/>
      <c r="AF295" s="7" t="n"/>
      <c r="AG295" s="7" t="n"/>
      <c r="AH295" s="7" t="n"/>
      <c r="AI295" s="7" t="n"/>
      <c r="AJ295" s="7" t="n"/>
      <c r="AK295" s="7" t="inlineStr">
        <is>
          <t>bible-books-written #20 (item)</t>
        </is>
      </c>
      <c r="AL295" s="7" t="inlineStr">
        <is>
          <t>Writer(s): Solomon; Agur; Lemuel. Place written: Jerusalem. Writing completed: c. 717 B.C.E. Time covered: —.</t>
        </is>
      </c>
      <c r="AM295" s="7" t="n">
        <v>-716.998</v>
      </c>
      <c r="AN295" s="10" t="n"/>
      <c r="AO295" s="10" t="n"/>
      <c r="AP295" s="10" t="n"/>
      <c r="AQ295" s="10" t="n"/>
    </row>
    <row r="296">
      <c r="A296" s="7" t="inlineStr">
        <is>
          <t>b3-0081</t>
        </is>
      </c>
      <c r="B296" s="7" t="inlineStr">
        <is>
          <t>Point</t>
        </is>
      </c>
      <c r="C296" s="7" t="n"/>
      <c r="D296" s="7" t="inlineStr">
        <is>
          <t>716 B.C.E.</t>
        </is>
      </c>
      <c r="E296" s="7" t="inlineStr">
        <is>
          <t>கி.மு. 716</t>
        </is>
      </c>
      <c r="F296" s="7" t="inlineStr">
        <is>
          <t>716 BCE</t>
        </is>
      </c>
      <c r="G296" s="7" t="inlineStr">
        <is>
          <t>Exact</t>
        </is>
      </c>
      <c r="H296" s="7" t="n"/>
      <c r="I296" s="7" t="n"/>
      <c r="J296" s="7" t="n"/>
      <c r="K296" s="2" t="inlineStr">
        <is>
          <t>Manasseh becomes king of Judah (55 years)</t>
        </is>
      </c>
      <c r="L296" s="2" t="inlineStr">
        <is>
          <t>மனாசே: 55 வருஷங்கள்</t>
        </is>
      </c>
      <c r="M296" s="7" t="inlineStr">
        <is>
          <t>Manasseh begins to reign over the southern two-tribe kingdom of Judah; the NWT chart gives a reign of 55 years.</t>
        </is>
      </c>
      <c r="N296" s="7" t="inlineStr">
        <is>
          <t>எசேக்கியாவுக்குப் பின் மனாசே யூதாவின் அரசனாகிறான்</t>
        </is>
      </c>
      <c r="O296" s="8" t="inlineStr">
        <is>
          <t>Bible</t>
        </is>
      </c>
      <c r="P296" s="7" t="inlineStr">
        <is>
          <t>bible.monarchy</t>
        </is>
      </c>
      <c r="Q296" s="7" t="inlineStr">
        <is>
          <t>accession</t>
        </is>
      </c>
      <c r="R296" s="7" t="inlineStr">
        <is>
          <t>Manasseh</t>
        </is>
      </c>
      <c r="S296" s="7" t="inlineStr">
        <is>
          <t>Judah</t>
        </is>
      </c>
      <c r="T296" s="7" t="inlineStr">
        <is>
          <t>2 Ki. 21:1</t>
        </is>
      </c>
      <c r="U296" s="7" t="inlineStr">
        <is>
          <t>2 இரா. 21:1</t>
        </is>
      </c>
      <c r="V296" s="7" t="n">
        <v>4</v>
      </c>
      <c r="W296" s="7" t="inlineStr">
        <is>
          <t>A6-B Chart: Prophets and Kings of Judah and of Israel (Part 2)</t>
        </is>
      </c>
      <c r="X296" s="9" t="inlineStr">
        <is>
          <t>open</t>
        </is>
      </c>
      <c r="Y296" s="9" t="inlineStr">
        <is>
          <t>open</t>
        </is>
      </c>
      <c r="Z296" s="7" t="inlineStr">
        <is>
          <t>https://wol.jw.org/en/wol/d/r1/lp-e/1001061215
https://wol.jw.org/en/wol/d/r1/lp-e/1101990130
https://wol.jw.org/en/wol/d/r1/lp-e/1200000970
https://wol.jw.org/en/wol/d/r1/lp-e/1200004359</t>
        </is>
      </c>
      <c r="AA296" s="7" t="n">
        <v>2</v>
      </c>
      <c r="AB296" s="9" t="inlineStr">
        <is>
          <t>open</t>
        </is>
      </c>
      <c r="AC296" s="7" t="n">
        <v>1</v>
      </c>
      <c r="AD296" s="7" t="inlineStr">
        <is>
          <t>Insight "Hezekiah" and si end Hezekiah’s reign in 717 B.C.E.; Manasseh’s accession is 716 in all sources (regnal-year reckoning).</t>
        </is>
      </c>
      <c r="AE296" s="7" t="n"/>
      <c r="AF296" s="7" t="n"/>
      <c r="AG296" s="7" t="n"/>
      <c r="AH296" s="7" t="n"/>
      <c r="AI296" s="7" t="inlineStr">
        <is>
          <t>Covered by span – hide on chart</t>
        </is>
      </c>
      <c r="AJ296" s="7" t="inlineStr">
        <is>
          <t>end of Reign of Hezekiah (Judah) (d1-0044); start of Reign of Manasseh (Judah) (d1-0045)</t>
        </is>
      </c>
      <c r="AK296" s="7" t="n"/>
      <c r="AL296" s="7" t="n"/>
      <c r="AM296" s="7" t="n">
        <v>-715.5</v>
      </c>
      <c r="AN296" s="10" t="n"/>
      <c r="AO296" s="10" t="n"/>
      <c r="AP296" s="10" t="n"/>
      <c r="AQ296" s="10" t="n"/>
    </row>
    <row r="297">
      <c r="A297" s="7" t="inlineStr">
        <is>
          <t>d1-0045</t>
        </is>
      </c>
      <c r="B297" s="11" t="inlineStr">
        <is>
          <t>Span</t>
        </is>
      </c>
      <c r="C297" s="7" t="inlineStr">
        <is>
          <t>reign</t>
        </is>
      </c>
      <c r="D297" s="7" t="inlineStr">
        <is>
          <t>716 B.C.E. – 661 B.C.E.</t>
        </is>
      </c>
      <c r="E297" s="7" t="inlineStr">
        <is>
          <t>கி.மு. 716 – கி.மு. 661</t>
        </is>
      </c>
      <c r="F297" s="7" t="inlineStr">
        <is>
          <t>716 BCE</t>
        </is>
      </c>
      <c r="G297" s="7" t="inlineStr">
        <is>
          <t>Exact</t>
        </is>
      </c>
      <c r="H297" s="7" t="inlineStr">
        <is>
          <t>661 BCE</t>
        </is>
      </c>
      <c r="I297" s="7" t="inlineStr">
        <is>
          <t>Exact</t>
        </is>
      </c>
      <c r="J297" s="7" t="inlineStr">
        <is>
          <t>55 years</t>
        </is>
      </c>
      <c r="K297" s="2" t="inlineStr">
        <is>
          <t>Reign of Manasseh (Judah)</t>
        </is>
      </c>
      <c r="L297" s="2" t="n"/>
      <c r="M297" s="7" t="inlineStr">
        <is>
          <t>Manasseh rules Judah. Starts with Manasseh becomes king of Judah (55 years) (716 B.C.E.); ends when Amon becomes king (b3-0082), as laid out in NWT Appendix A6.</t>
        </is>
      </c>
      <c r="N297" s="7" t="n"/>
      <c r="O297" s="8" t="inlineStr">
        <is>
          <t>Bible</t>
        </is>
      </c>
      <c r="P297" s="7" t="inlineStr">
        <is>
          <t>bible.monarchy</t>
        </is>
      </c>
      <c r="Q297" s="7" t="inlineStr">
        <is>
          <t>reign</t>
        </is>
      </c>
      <c r="R297" s="7" t="inlineStr">
        <is>
          <t>Manasseh</t>
        </is>
      </c>
      <c r="S297" s="7" t="inlineStr">
        <is>
          <t>Judah</t>
        </is>
      </c>
      <c r="T297" s="7" t="inlineStr">
        <is>
          <t>2 Ki. 21:1; 2 Ki. 21:19</t>
        </is>
      </c>
      <c r="U297" s="7" t="inlineStr">
        <is>
          <t>2 இரா. 21:1; 2 இரா. 21:19</t>
        </is>
      </c>
      <c r="V297" s="7" t="n">
        <v>4</v>
      </c>
      <c r="W297" s="7" t="inlineStr">
        <is>
          <t>A6-B Chart: Prophets and Kings of Judah and of Israel (Part 2)</t>
        </is>
      </c>
      <c r="X297" s="9" t="inlineStr">
        <is>
          <t>open</t>
        </is>
      </c>
      <c r="Y297" s="9" t="inlineStr">
        <is>
          <t>open</t>
        </is>
      </c>
      <c r="Z297" s="7" t="inlineStr">
        <is>
          <t>https://wol.jw.org/en/wol/d/r1/lp-e/1001061215
https://wol.jw.org/en/wol/d/r1/lp-e/1101990130
https://wol.jw.org/en/wol/d/r1/lp-e/1200000970
https://wol.jw.org/en/wol/d/r1/lp-e/1200004359</t>
        </is>
      </c>
      <c r="AA297" s="7" t="n">
        <v>0</v>
      </c>
      <c r="AB297" s="7" t="n"/>
      <c r="AC297" s="7" t="n">
        <v>2</v>
      </c>
      <c r="AD297" s="7" t="inlineStr">
        <is>
          <t>Insight "Hezekiah" and si end Hezekiah’s reign in 717 B.C.E.; Manasseh’s accession is 716 in all sources (regnal-year reckoning). | Insight "Temple" ends Manasseh’s reign in 662 B.C.E.; Amon’s accession is 661 in A6-B, si and Insight chart.</t>
        </is>
      </c>
      <c r="AE297" s="7" t="inlineStr">
        <is>
          <t>Start b3-0081; ends when Amon becomes king (b3-0082), as laid out in NWT Appendix A6.</t>
        </is>
      </c>
      <c r="AF297" s="7" t="inlineStr">
        <is>
          <t>b3-0081</t>
        </is>
      </c>
      <c r="AG297" s="7" t="inlineStr">
        <is>
          <t>b3-0082</t>
        </is>
      </c>
      <c r="AH297" s="7" t="n"/>
      <c r="AI297" s="7" t="n"/>
      <c r="AJ297" s="7" t="n"/>
      <c r="AK297" s="7" t="inlineStr">
        <is>
          <t>kings-of-judah #14 (ruler); messianic-line #47 (item); prophets-and-kings-a6 #14 (ruler)</t>
        </is>
      </c>
      <c r="AL297" s="7" t="n"/>
      <c r="AM297" s="7" t="n">
        <v>-715.5</v>
      </c>
      <c r="AN297" s="10" t="n"/>
      <c r="AO297" s="10" t="n"/>
      <c r="AP297" s="10" t="n"/>
      <c r="AQ297" s="10" t="n"/>
    </row>
    <row r="298">
      <c r="A298" s="7" t="inlineStr">
        <is>
          <t>b3-0082</t>
        </is>
      </c>
      <c r="B298" s="7" t="inlineStr">
        <is>
          <t>Point</t>
        </is>
      </c>
      <c r="C298" s="7" t="n"/>
      <c r="D298" s="7" t="inlineStr">
        <is>
          <t>661 B.C.E.</t>
        </is>
      </c>
      <c r="E298" s="7" t="inlineStr">
        <is>
          <t>கி.மு. 661</t>
        </is>
      </c>
      <c r="F298" s="7" t="inlineStr">
        <is>
          <t>661 BCE</t>
        </is>
      </c>
      <c r="G298" s="7" t="inlineStr">
        <is>
          <t>Exact</t>
        </is>
      </c>
      <c r="H298" s="7" t="n"/>
      <c r="I298" s="7" t="n"/>
      <c r="J298" s="7" t="n"/>
      <c r="K298" s="2" t="inlineStr">
        <is>
          <t>Amon becomes king of Judah (2 years)</t>
        </is>
      </c>
      <c r="L298" s="2" t="inlineStr">
        <is>
          <t>ஆமோன்: 2 வருஷங்கள்</t>
        </is>
      </c>
      <c r="M298" s="7" t="inlineStr">
        <is>
          <t>Amon begins to reign over the southern two-tribe kingdom of Judah; the NWT chart gives a reign of 2 years.</t>
        </is>
      </c>
      <c r="N298" s="7" t="inlineStr">
        <is>
          <t>மனாசேக்குப் பின் ஆமோன் யூதாவின் அரசனாகிறான்</t>
        </is>
      </c>
      <c r="O298" s="8" t="inlineStr">
        <is>
          <t>Bible</t>
        </is>
      </c>
      <c r="P298" s="7" t="inlineStr">
        <is>
          <t>bible.monarchy</t>
        </is>
      </c>
      <c r="Q298" s="7" t="inlineStr">
        <is>
          <t>accession</t>
        </is>
      </c>
      <c r="R298" s="7" t="inlineStr">
        <is>
          <t>Amon</t>
        </is>
      </c>
      <c r="S298" s="7" t="inlineStr">
        <is>
          <t>Judah</t>
        </is>
      </c>
      <c r="T298" s="7" t="inlineStr">
        <is>
          <t>2 Ki. 21:19</t>
        </is>
      </c>
      <c r="U298" s="7" t="inlineStr">
        <is>
          <t>2 இரா. 21:19</t>
        </is>
      </c>
      <c r="V298" s="7" t="n">
        <v>3</v>
      </c>
      <c r="W298" s="7" t="inlineStr">
        <is>
          <t>A6-B Chart: Prophets and Kings of Judah and of Israel (Part 2)</t>
        </is>
      </c>
      <c r="X298" s="9" t="inlineStr">
        <is>
          <t>open</t>
        </is>
      </c>
      <c r="Y298" s="9" t="inlineStr">
        <is>
          <t>open</t>
        </is>
      </c>
      <c r="Z298" s="7" t="inlineStr">
        <is>
          <t>https://wol.jw.org/en/wol/d/r1/lp-e/1001061215
https://wol.jw.org/en/wol/d/r1/lp-e/1101990130
https://wol.jw.org/en/wol/d/r1/lp-e/1200000970</t>
        </is>
      </c>
      <c r="AA298" s="7" t="n">
        <v>2</v>
      </c>
      <c r="AB298" s="9" t="inlineStr">
        <is>
          <t>open</t>
        </is>
      </c>
      <c r="AC298" s="7" t="n">
        <v>1</v>
      </c>
      <c r="AD298" s="7" t="inlineStr">
        <is>
          <t>Insight "Temple" ends Manasseh’s reign in 662 B.C.E.; Amon’s accession is 661 in A6-B, si and Insight chart.</t>
        </is>
      </c>
      <c r="AE298" s="7" t="n"/>
      <c r="AF298" s="7" t="n"/>
      <c r="AG298" s="7" t="n"/>
      <c r="AH298" s="7" t="n"/>
      <c r="AI298" s="7" t="inlineStr">
        <is>
          <t>Covered by span – hide on chart</t>
        </is>
      </c>
      <c r="AJ298" s="7" t="inlineStr">
        <is>
          <t>end of Reign of Manasseh (Judah) (d1-0045); start of Reign of Amon (Judah) (d1-0046)</t>
        </is>
      </c>
      <c r="AK298" s="7" t="n"/>
      <c r="AL298" s="7" t="n"/>
      <c r="AM298" s="7" t="n">
        <v>-660.5</v>
      </c>
      <c r="AN298" s="10" t="n"/>
      <c r="AO298" s="10" t="n"/>
      <c r="AP298" s="10" t="n"/>
      <c r="AQ298" s="10" t="n"/>
    </row>
    <row r="299">
      <c r="A299" s="7" t="inlineStr">
        <is>
          <t>d1-0046</t>
        </is>
      </c>
      <c r="B299" s="11" t="inlineStr">
        <is>
          <t>Span</t>
        </is>
      </c>
      <c r="C299" s="7" t="inlineStr">
        <is>
          <t>reign</t>
        </is>
      </c>
      <c r="D299" s="7" t="inlineStr">
        <is>
          <t>661 B.C.E. – 659 B.C.E.</t>
        </is>
      </c>
      <c r="E299" s="7" t="inlineStr">
        <is>
          <t>கி.மு. 661 – கி.மு. 659</t>
        </is>
      </c>
      <c r="F299" s="7" t="inlineStr">
        <is>
          <t>661 BCE</t>
        </is>
      </c>
      <c r="G299" s="7" t="inlineStr">
        <is>
          <t>Exact</t>
        </is>
      </c>
      <c r="H299" s="7" t="inlineStr">
        <is>
          <t>659 BCE</t>
        </is>
      </c>
      <c r="I299" s="7" t="inlineStr">
        <is>
          <t>Exact</t>
        </is>
      </c>
      <c r="J299" s="7" t="inlineStr">
        <is>
          <t>2 years</t>
        </is>
      </c>
      <c r="K299" s="2" t="inlineStr">
        <is>
          <t>Reign of Amon (Judah)</t>
        </is>
      </c>
      <c r="L299" s="2" t="n"/>
      <c r="M299" s="7" t="inlineStr">
        <is>
          <t>Amon rules Judah. Starts with Amon becomes king of Judah (2 years) (661 B.C.E.); ends when Josiah becomes king (b3-0083), as laid out in NWT Appendix A6.</t>
        </is>
      </c>
      <c r="N299" s="7" t="n"/>
      <c r="O299" s="8" t="inlineStr">
        <is>
          <t>Bible</t>
        </is>
      </c>
      <c r="P299" s="7" t="inlineStr">
        <is>
          <t>bible.monarchy</t>
        </is>
      </c>
      <c r="Q299" s="7" t="inlineStr">
        <is>
          <t>reign</t>
        </is>
      </c>
      <c r="R299" s="7" t="inlineStr">
        <is>
          <t>Amon</t>
        </is>
      </c>
      <c r="S299" s="7" t="inlineStr">
        <is>
          <t>Judah</t>
        </is>
      </c>
      <c r="T299" s="7" t="inlineStr">
        <is>
          <t>2 Ki. 21:19; 2 Ki. 22:1</t>
        </is>
      </c>
      <c r="U299" s="7" t="inlineStr">
        <is>
          <t>2 இரா. 21:19; 2 இரா. 22:1</t>
        </is>
      </c>
      <c r="V299" s="7" t="n">
        <v>4</v>
      </c>
      <c r="W299" s="7" t="inlineStr">
        <is>
          <t>A6-B Chart: Prophets and Kings of Judah and of Israel (Part 2)</t>
        </is>
      </c>
      <c r="X299" s="9" t="inlineStr">
        <is>
          <t>open</t>
        </is>
      </c>
      <c r="Y299" s="9" t="inlineStr">
        <is>
          <t>open</t>
        </is>
      </c>
      <c r="Z299" s="7" t="inlineStr">
        <is>
          <t>https://wol.jw.org/en/wol/d/r1/lp-e/1001061215
https://wol.jw.org/en/wol/d/r1/lp-e/1101990130
https://wol.jw.org/en/wol/d/r1/lp-e/1200000970
https://wol.jw.org/en/wol/d/r1/lp-e/1200002525</t>
        </is>
      </c>
      <c r="AA299" s="7" t="n">
        <v>0</v>
      </c>
      <c r="AB299" s="7" t="n"/>
      <c r="AC299" s="7" t="n">
        <v>1</v>
      </c>
      <c r="AD299" s="7" t="inlineStr">
        <is>
          <t>Insight "Temple" ends Manasseh’s reign in 662 B.C.E.; Amon’s accession is 661 in A6-B, si and Insight chart.</t>
        </is>
      </c>
      <c r="AE299" s="7" t="inlineStr">
        <is>
          <t>Start b3-0082; ends when Josiah becomes king (b3-0083), as laid out in NWT Appendix A6.</t>
        </is>
      </c>
      <c r="AF299" s="7" t="inlineStr">
        <is>
          <t>b3-0082</t>
        </is>
      </c>
      <c r="AG299" s="7" t="inlineStr">
        <is>
          <t>b3-0083</t>
        </is>
      </c>
      <c r="AH299" s="7" t="n"/>
      <c r="AI299" s="7" t="n"/>
      <c r="AJ299" s="7" t="n"/>
      <c r="AK299" s="7" t="inlineStr">
        <is>
          <t>kings-of-judah #15 (ruler); messianic-line #48 (item); prophets-and-kings-a6 #15 (ruler)</t>
        </is>
      </c>
      <c r="AL299" s="7" t="n"/>
      <c r="AM299" s="7" t="n">
        <v>-660.5</v>
      </c>
      <c r="AN299" s="10" t="n"/>
      <c r="AO299" s="10" t="n"/>
      <c r="AP299" s="10" t="n"/>
      <c r="AQ299" s="10" t="n"/>
    </row>
    <row r="300">
      <c r="A300" s="7" t="inlineStr">
        <is>
          <t>b3-0083</t>
        </is>
      </c>
      <c r="B300" s="7" t="inlineStr">
        <is>
          <t>Point</t>
        </is>
      </c>
      <c r="C300" s="7" t="n"/>
      <c r="D300" s="7" t="inlineStr">
        <is>
          <t>659 B.C.E.</t>
        </is>
      </c>
      <c r="E300" s="7" t="inlineStr">
        <is>
          <t>கி.மு. 659</t>
        </is>
      </c>
      <c r="F300" s="7" t="inlineStr">
        <is>
          <t>659 BCE</t>
        </is>
      </c>
      <c r="G300" s="7" t="inlineStr">
        <is>
          <t>Exact</t>
        </is>
      </c>
      <c r="H300" s="7" t="n"/>
      <c r="I300" s="7" t="n"/>
      <c r="J300" s="7" t="n"/>
      <c r="K300" s="2" t="inlineStr">
        <is>
          <t>Josiah becomes king of Judah (31 years)</t>
        </is>
      </c>
      <c r="L300" s="2" t="inlineStr">
        <is>
          <t>யோசியா: 31 வருஷங்கள்</t>
        </is>
      </c>
      <c r="M300" s="7" t="inlineStr">
        <is>
          <t>Josiah begins to reign over the southern two-tribe kingdom of Judah; the NWT chart gives a reign of 31 years.</t>
        </is>
      </c>
      <c r="N300" s="7" t="inlineStr">
        <is>
          <t>ஆமோனுக்குப் பின் யோசியா யூதாவின் அரசனாகிறார்</t>
        </is>
      </c>
      <c r="O300" s="8" t="inlineStr">
        <is>
          <t>Bible</t>
        </is>
      </c>
      <c r="P300" s="7" t="inlineStr">
        <is>
          <t>bible.monarchy</t>
        </is>
      </c>
      <c r="Q300" s="7" t="inlineStr">
        <is>
          <t>accession</t>
        </is>
      </c>
      <c r="R300" s="7" t="inlineStr">
        <is>
          <t>Josiah</t>
        </is>
      </c>
      <c r="S300" s="7" t="inlineStr">
        <is>
          <t>Judah</t>
        </is>
      </c>
      <c r="T300" s="7" t="inlineStr">
        <is>
          <t>2 Ki. 22:1</t>
        </is>
      </c>
      <c r="U300" s="7" t="inlineStr">
        <is>
          <t>2 இரா. 22:1</t>
        </is>
      </c>
      <c r="V300" s="7" t="n">
        <v>4</v>
      </c>
      <c r="W300" s="7" t="inlineStr">
        <is>
          <t>A6-B Chart: Prophets and Kings of Judah and of Israel (Part 2)</t>
        </is>
      </c>
      <c r="X300" s="9" t="inlineStr">
        <is>
          <t>open</t>
        </is>
      </c>
      <c r="Y300" s="9" t="inlineStr">
        <is>
          <t>open</t>
        </is>
      </c>
      <c r="Z300" s="7" t="inlineStr">
        <is>
          <t>https://wol.jw.org/en/wol/d/r1/lp-e/1001061215
https://wol.jw.org/en/wol/d/r1/lp-e/1101990130
https://wol.jw.org/en/wol/d/r1/lp-e/1200000970
https://wol.jw.org/en/wol/d/r1/lp-e/1200002525</t>
        </is>
      </c>
      <c r="AA300" s="7" t="n">
        <v>2</v>
      </c>
      <c r="AB300" s="9" t="inlineStr">
        <is>
          <t>open</t>
        </is>
      </c>
      <c r="AC300" s="7" t="n">
        <v>0</v>
      </c>
      <c r="AD300" s="7" t="n"/>
      <c r="AE300" s="7" t="n"/>
      <c r="AF300" s="7" t="n"/>
      <c r="AG300" s="7" t="n"/>
      <c r="AH300" s="7" t="n"/>
      <c r="AI300" s="7" t="inlineStr">
        <is>
          <t>Covered by span – hide on chart</t>
        </is>
      </c>
      <c r="AJ300" s="7" t="inlineStr">
        <is>
          <t>end of Reign of Amon (Judah) (d1-0046); start of Reign of Josiah (Judah) (d1-0047)</t>
        </is>
      </c>
      <c r="AK300" s="7" t="n"/>
      <c r="AL300" s="7" t="n"/>
      <c r="AM300" s="7" t="n">
        <v>-658.5</v>
      </c>
      <c r="AN300" s="10" t="n"/>
      <c r="AO300" s="10" t="n"/>
      <c r="AP300" s="10" t="n"/>
      <c r="AQ300" s="10" t="n"/>
    </row>
    <row r="301">
      <c r="A301" s="7" t="inlineStr">
        <is>
          <t>d1-0047</t>
        </is>
      </c>
      <c r="B301" s="11" t="inlineStr">
        <is>
          <t>Span</t>
        </is>
      </c>
      <c r="C301" s="7" t="inlineStr">
        <is>
          <t>reign</t>
        </is>
      </c>
      <c r="D301" s="7" t="inlineStr">
        <is>
          <t>659 B.C.E. – 628 B.C.E.</t>
        </is>
      </c>
      <c r="E301" s="7" t="inlineStr">
        <is>
          <t>கி.மு. 659 – கி.மு. 628</t>
        </is>
      </c>
      <c r="F301" s="7" t="inlineStr">
        <is>
          <t>659 BCE</t>
        </is>
      </c>
      <c r="G301" s="7" t="inlineStr">
        <is>
          <t>Exact</t>
        </is>
      </c>
      <c r="H301" s="7" t="inlineStr">
        <is>
          <t>628 BCE</t>
        </is>
      </c>
      <c r="I301" s="7" t="inlineStr">
        <is>
          <t>Exact</t>
        </is>
      </c>
      <c r="J301" s="7" t="inlineStr">
        <is>
          <t>31 years</t>
        </is>
      </c>
      <c r="K301" s="2" t="inlineStr">
        <is>
          <t>Reign of Josiah (Judah)</t>
        </is>
      </c>
      <c r="L301" s="2" t="n"/>
      <c r="M301" s="7" t="inlineStr">
        <is>
          <t>Josiah rules Judah. Starts with Josiah becomes king of Judah (31 years) (659 B.C.E.); ends when Jehoahaz becomes king (b3-0095), as laid out in NWT Appendix A6.</t>
        </is>
      </c>
      <c r="N301" s="7" t="n"/>
      <c r="O301" s="8" t="inlineStr">
        <is>
          <t>Bible</t>
        </is>
      </c>
      <c r="P301" s="7" t="inlineStr">
        <is>
          <t>bible.monarchy</t>
        </is>
      </c>
      <c r="Q301" s="7" t="inlineStr">
        <is>
          <t>reign</t>
        </is>
      </c>
      <c r="R301" s="7" t="inlineStr">
        <is>
          <t>Josiah</t>
        </is>
      </c>
      <c r="S301" s="7" t="inlineStr">
        <is>
          <t>Judah</t>
        </is>
      </c>
      <c r="T301" s="7" t="inlineStr">
        <is>
          <t>2 Ki. 22:1; 2 Ki. 23:31</t>
        </is>
      </c>
      <c r="U301" s="7" t="inlineStr">
        <is>
          <t>2 இரா. 22:1; 2 இரா. 23:31</t>
        </is>
      </c>
      <c r="V301" s="7" t="n">
        <v>4</v>
      </c>
      <c r="W301" s="7" t="inlineStr">
        <is>
          <t>A6-B Chart: Prophets and Kings of Judah and of Israel (Part 2)</t>
        </is>
      </c>
      <c r="X301" s="9" t="inlineStr">
        <is>
          <t>open</t>
        </is>
      </c>
      <c r="Y301" s="9" t="inlineStr">
        <is>
          <t>open</t>
        </is>
      </c>
      <c r="Z301" s="7" t="inlineStr">
        <is>
          <t>https://wol.jw.org/en/wol/d/r1/lp-e/1001061215
https://wol.jw.org/en/wol/d/r1/lp-e/1101990130
https://wol.jw.org/en/wol/d/r1/lp-e/1200000970
https://wol.jw.org/en/wol/d/r1/lp-e/1200002525</t>
        </is>
      </c>
      <c r="AA301" s="7" t="n">
        <v>0</v>
      </c>
      <c r="AB301" s="7" t="n"/>
      <c r="AC301" s="7" t="n">
        <v>0</v>
      </c>
      <c r="AD301" s="7" t="n"/>
      <c r="AE301" s="7" t="inlineStr">
        <is>
          <t>Start b3-0083; ends when Jehoahaz becomes king (b3-0095), as laid out in NWT Appendix A6.</t>
        </is>
      </c>
      <c r="AF301" s="7" t="inlineStr">
        <is>
          <t>b3-0083</t>
        </is>
      </c>
      <c r="AG301" s="7" t="inlineStr">
        <is>
          <t>b3-0095</t>
        </is>
      </c>
      <c r="AH301" s="7" t="n"/>
      <c r="AI301" s="7" t="n"/>
      <c r="AJ301" s="7" t="n"/>
      <c r="AK301" s="7" t="inlineStr">
        <is>
          <t>kings-of-judah #16 (ruler); messianic-line #49 (item); prophets-and-kings-a6 #16 (ruler)</t>
        </is>
      </c>
      <c r="AL301" s="7" t="inlineStr">
        <is>
          <t>Bar ends where NWT App. A6 starts Jehoahaz (628 B.C.E.); Insight dates Josiah's death c. 629 B.C.E. (b3-0094).</t>
        </is>
      </c>
      <c r="AM301" s="7" t="n">
        <v>-658.5</v>
      </c>
      <c r="AN301" s="10" t="n"/>
      <c r="AO301" s="10" t="n"/>
      <c r="AP301" s="10" t="n"/>
      <c r="AQ301" s="10" t="n"/>
    </row>
    <row r="302">
      <c r="A302" s="7" t="inlineStr">
        <is>
          <t>b3-0084</t>
        </is>
      </c>
      <c r="B302" s="11" t="inlineStr">
        <is>
          <t>Span</t>
        </is>
      </c>
      <c r="C302" s="7" t="inlineStr">
        <is>
          <t>prophetic activity</t>
        </is>
      </c>
      <c r="D302" s="7" t="inlineStr">
        <is>
          <t>early in Josiah’s reign (659–b. 648 B.C.E.)</t>
        </is>
      </c>
      <c r="E302" s="7" t="n"/>
      <c r="F302" s="7" t="inlineStr">
        <is>
          <t>659 BCE</t>
        </is>
      </c>
      <c r="G302" s="7" t="inlineStr">
        <is>
          <t>Exact</t>
        </is>
      </c>
      <c r="H302" s="7" t="inlineStr">
        <is>
          <t>648 BCE</t>
        </is>
      </c>
      <c r="I302" s="7" t="inlineStr">
        <is>
          <t>Before (b.)</t>
        </is>
      </c>
      <c r="J302" s="7" t="inlineStr">
        <is>
          <t>c. 11 years</t>
        </is>
      </c>
      <c r="K302" s="2" t="inlineStr">
        <is>
          <t>Prophetic activity of Zephaniah</t>
        </is>
      </c>
      <c r="L302" s="2" t="inlineStr">
        <is>
          <t>செப்பனியா</t>
        </is>
      </c>
      <c r="M302" s="7" t="inlineStr">
        <is>
          <t>Zephaniah proclaims Jehovah’s judgment early in Josiah’s reign, before Josiah’s 12th year.</t>
        </is>
      </c>
      <c r="N302" s="7" t="n"/>
      <c r="O302" s="8" t="inlineStr">
        <is>
          <t>Bible</t>
        </is>
      </c>
      <c r="P302" s="7" t="inlineStr">
        <is>
          <t>bible.prophet</t>
        </is>
      </c>
      <c r="Q302" s="7" t="inlineStr">
        <is>
          <t>prophet_activity</t>
        </is>
      </c>
      <c r="R302" s="7" t="inlineStr">
        <is>
          <t>Zephaniah</t>
        </is>
      </c>
      <c r="S302" s="7" t="n"/>
      <c r="T302" s="7" t="inlineStr">
        <is>
          <t>Zeph. 1:1</t>
        </is>
      </c>
      <c r="U302" s="7" t="inlineStr">
        <is>
          <t>செப். 1:1</t>
        </is>
      </c>
      <c r="V302" s="7" t="n">
        <v>4</v>
      </c>
      <c r="W302" s="7" t="inlineStr">
        <is>
          <t>A6-B Chart: Prophets and Kings of Judah and of Israel (Part 2)</t>
        </is>
      </c>
      <c r="X302" s="9" t="inlineStr">
        <is>
          <t>open</t>
        </is>
      </c>
      <c r="Y302" s="9" t="inlineStr">
        <is>
          <t>open</t>
        </is>
      </c>
      <c r="Z302" s="7" t="inlineStr">
        <is>
          <t>https://wol.jw.org/en/wol/d/r1/lp-e/1001061215
https://wol.jw.org/en/wol/d/r1/lp-e/1101990097
https://wol.jw.org/en/wol/d/r1/lp-e/1200004696
https://wol.jw.org/en/wol/d/r1/lp-e/1200000970</t>
        </is>
      </c>
      <c r="AA302" s="7" t="n">
        <v>2</v>
      </c>
      <c r="AB302" s="9" t="inlineStr">
        <is>
          <t>open</t>
        </is>
      </c>
      <c r="AC302" s="7" t="n">
        <v>0</v>
      </c>
      <c r="AD302" s="7" t="n"/>
      <c r="AE302" s="7" t="n"/>
      <c r="AF302" s="7" t="n"/>
      <c r="AG302" s="7" t="n"/>
      <c r="AH302" s="7" t="n"/>
      <c r="AI302" s="7" t="n"/>
      <c r="AJ302" s="7" t="n"/>
      <c r="AK302" s="7" t="inlineStr">
        <is>
          <t>fulfilled-prophecies-nations #9 (prophecy); fulfilled-prophecies-nations #16 (prophecy); prophets-and-kings-a6 #53 (item)</t>
        </is>
      </c>
      <c r="AL302" s="7" t="inlineStr">
        <is>
          <t>Range derived from si: word came "sometime before 648 B.C.E." and "early in the reign of King Josiah (659-629)". The A6 chart shows this prophet as an undated bar; range years come from the cited text sources. title_ta is the prophet’s name as printed in the Tamil A6 list.</t>
        </is>
      </c>
      <c r="AM302" s="7" t="n">
        <v>-658.4</v>
      </c>
      <c r="AN302" s="10" t="n"/>
      <c r="AO302" s="10" t="n"/>
      <c r="AP302" s="10" t="n"/>
      <c r="AQ302" s="10" t="n"/>
    </row>
    <row r="303">
      <c r="A303" s="7" t="inlineStr">
        <is>
          <t>b3-0085</t>
        </is>
      </c>
      <c r="B303" s="7" t="inlineStr">
        <is>
          <t>Point</t>
        </is>
      </c>
      <c r="C303" s="7" t="n"/>
      <c r="D303" s="7" t="inlineStr">
        <is>
          <t>652 B.C.E.</t>
        </is>
      </c>
      <c r="E303" s="7" t="n"/>
      <c r="F303" s="7" t="inlineStr">
        <is>
          <t>652 BCE</t>
        </is>
      </c>
      <c r="G303" s="7" t="inlineStr">
        <is>
          <t>Exact</t>
        </is>
      </c>
      <c r="H303" s="7" t="n"/>
      <c r="I303" s="7" t="n"/>
      <c r="J303" s="7" t="n"/>
      <c r="K303" s="2" t="inlineStr">
        <is>
          <t>Josiah begins to search for Jehovah</t>
        </is>
      </c>
      <c r="L303" s="2" t="n"/>
      <c r="M303" s="7" t="inlineStr">
        <is>
          <t>In the eighth year of his reign, young King Josiah starts to seek Jehovah and to do His will.</t>
        </is>
      </c>
      <c r="N303" s="7" t="n"/>
      <c r="O303" s="8" t="inlineStr">
        <is>
          <t>Bible</t>
        </is>
      </c>
      <c r="P303" s="7" t="inlineStr">
        <is>
          <t>bible.monarchy</t>
        </is>
      </c>
      <c r="Q303" s="7" t="inlineStr">
        <is>
          <t>reform</t>
        </is>
      </c>
      <c r="R303" s="7" t="inlineStr">
        <is>
          <t>Josiah</t>
        </is>
      </c>
      <c r="S303" s="7" t="inlineStr">
        <is>
          <t>Judah</t>
        </is>
      </c>
      <c r="T303" s="7" t="inlineStr">
        <is>
          <t>2 Chron. 34:3</t>
        </is>
      </c>
      <c r="U303" s="7" t="inlineStr">
        <is>
          <t>2 நா. 34:3</t>
        </is>
      </c>
      <c r="V303" s="7" t="n">
        <v>2</v>
      </c>
      <c r="W303" s="7" t="inlineStr">
        <is>
          <t>Josiah</t>
        </is>
      </c>
      <c r="X303" s="9" t="inlineStr">
        <is>
          <t>open</t>
        </is>
      </c>
      <c r="Y303" s="7" t="n"/>
      <c r="Z303" s="7" t="inlineStr">
        <is>
          <t>https://wol.jw.org/en/wol/d/r1/lp-e/1200002525
https://wol.jw.org/en/wol/d/r1/lp-e/1200010959</t>
        </is>
      </c>
      <c r="AA303" s="7" t="n">
        <v>0</v>
      </c>
      <c r="AB303" s="7" t="n"/>
      <c r="AC303" s="7" t="n">
        <v>0</v>
      </c>
      <c r="AD303" s="7" t="n"/>
      <c r="AE303" s="7" t="n"/>
      <c r="AF303" s="7" t="n"/>
      <c r="AG303" s="7" t="n"/>
      <c r="AH303" s="7" t="n"/>
      <c r="AI303" s="7" t="n"/>
      <c r="AJ303" s="7" t="n"/>
      <c r="AK303" s="7" t="n"/>
      <c r="AL303" s="7" t="inlineStr">
        <is>
          <t>Year 652 is from the older Aid (1971) chart; Insight "Josiah" gives "eighth year of his reign" (659 accession).</t>
        </is>
      </c>
      <c r="AM303" s="7" t="n">
        <v>-652</v>
      </c>
      <c r="AN303" s="10" t="n"/>
      <c r="AO303" s="10" t="n"/>
      <c r="AP303" s="10" t="n"/>
      <c r="AQ303" s="10" t="n"/>
    </row>
    <row r="304">
      <c r="A304" s="7" t="inlineStr">
        <is>
          <t>b11-0024</t>
        </is>
      </c>
      <c r="B304" s="7" t="inlineStr">
        <is>
          <t>Point</t>
        </is>
      </c>
      <c r="C304" s="7" t="n"/>
      <c r="D304" s="7" t="inlineStr">
        <is>
          <t>b. 648 B.C.E.</t>
        </is>
      </c>
      <c r="E304" s="7" t="inlineStr">
        <is>
          <t>கி.மு. 648-க்கு முன்</t>
        </is>
      </c>
      <c r="F304" s="7" t="inlineStr">
        <is>
          <t>648 BCE</t>
        </is>
      </c>
      <c r="G304" s="7" t="inlineStr">
        <is>
          <t>Before (b.)</t>
        </is>
      </c>
      <c r="H304" s="7" t="n"/>
      <c r="I304" s="7" t="n"/>
      <c r="J304" s="7" t="n"/>
      <c r="K304" s="2" t="inlineStr">
        <is>
          <t>Writing of Zephaniah completed</t>
        </is>
      </c>
      <c r="L304" s="2" t="inlineStr">
        <is>
          <t>செப்பனியா — எழுதி முடிக்கப்பட்டது</t>
        </is>
      </c>
      <c r="M304" s="7" t="inlineStr">
        <is>
          <t>The writing of Zephaniah was completed before 648 B.C.E. Writer: Zephaniah; place written: Judah.</t>
        </is>
      </c>
      <c r="N304" s="7" t="inlineStr">
        <is>
          <t>செப்பனியா: எழுதியவர்(கள்): செப்பனியா; எழுதப்பட்ட இடம்: யூதா; முடிக்கப்பட்ட வருஷம் (கி.மு.): 648-க்கு முன்.</t>
        </is>
      </c>
      <c r="O304" s="8" t="inlineStr">
        <is>
          <t>Bible</t>
        </is>
      </c>
      <c r="P304" s="7" t="inlineStr">
        <is>
          <t>bible.book_writing</t>
        </is>
      </c>
      <c r="Q304" s="7" t="inlineStr">
        <is>
          <t>writing_completed</t>
        </is>
      </c>
      <c r="R304" s="7" t="inlineStr">
        <is>
          <t>Zephaniah</t>
        </is>
      </c>
      <c r="S304" s="7" t="inlineStr">
        <is>
          <t>Judah</t>
        </is>
      </c>
      <c r="T304" s="7" t="inlineStr">
        <is>
          <t>Zeph.</t>
        </is>
      </c>
      <c r="U304" s="7" t="inlineStr">
        <is>
          <t>செப்.</t>
        </is>
      </c>
      <c r="V304" s="7" t="n">
        <v>6</v>
      </c>
      <c r="W304" s="7" t="inlineStr">
        <is>
          <t>Table of the Books of the Bible</t>
        </is>
      </c>
      <c r="X304" s="9" t="inlineStr">
        <is>
          <t>open</t>
        </is>
      </c>
      <c r="Y304" s="9" t="inlineStr">
        <is>
          <t>open</t>
        </is>
      </c>
      <c r="Z304" s="7" t="inlineStr">
        <is>
          <t>https://wol.jw.org/en/wol/d/r1/lp-e/1001070071
https://wol.jw.org/en/wol/d/r1/lp-e/1101990097
https://www.jw.org/en/library/bible/study-bible/books-of-the-bible-list/
https://wol.jw.org/en/wol/d/r1/lp-e/1001060002
https://wol.jw.org/en/wol/d/r1/lp-e/1101990130
https://wol.jw.org/en/wol/d/r1/lp-e/1200000970</t>
        </is>
      </c>
      <c r="AA304" s="7" t="n">
        <v>0</v>
      </c>
      <c r="AB304" s="7" t="n"/>
      <c r="AC304" s="7" t="n">
        <v>0</v>
      </c>
      <c r="AD304" s="7" t="n"/>
      <c r="AE304" s="7" t="n"/>
      <c r="AF304" s="7" t="n"/>
      <c r="AG304" s="7" t="n"/>
      <c r="AH304" s="7" t="n"/>
      <c r="AI304" s="7" t="n"/>
      <c r="AJ304" s="7" t="n"/>
      <c r="AK304" s="7" t="inlineStr">
        <is>
          <t>bible-books-written #36 (item)</t>
        </is>
      </c>
      <c r="AL304" s="7" t="inlineStr">
        <is>
          <t>Writer(s): Zephaniah. Place written: Judah. Writing completed: b. 648 B.C.E. Time covered: —.</t>
        </is>
      </c>
      <c r="AM304" s="7" t="n">
        <v>-648.0064</v>
      </c>
      <c r="AN304" s="10" t="n"/>
      <c r="AO304" s="10" t="n"/>
      <c r="AP304" s="10" t="n"/>
      <c r="AQ304" s="10" t="n"/>
    </row>
    <row r="305">
      <c r="A305" s="7" t="inlineStr">
        <is>
          <t>b3-0086</t>
        </is>
      </c>
      <c r="B305" s="7" t="inlineStr">
        <is>
          <t>Point</t>
        </is>
      </c>
      <c r="C305" s="7" t="n"/>
      <c r="D305" s="7" t="inlineStr">
        <is>
          <t>648 B.C.E.</t>
        </is>
      </c>
      <c r="E305" s="7" t="n"/>
      <c r="F305" s="7" t="inlineStr">
        <is>
          <t>648 BCE</t>
        </is>
      </c>
      <c r="G305" s="7" t="inlineStr">
        <is>
          <t>Exact</t>
        </is>
      </c>
      <c r="H305" s="7" t="n"/>
      <c r="I305" s="7" t="n"/>
      <c r="J305" s="7" t="n"/>
      <c r="K305" s="2" t="inlineStr">
        <is>
          <t>Josiah begins his campaign against idolatry</t>
        </is>
      </c>
      <c r="L305" s="2" t="n"/>
      <c r="M305" s="7" t="inlineStr">
        <is>
          <t>In his 12th year Josiah begins clearing the high places, sacred poles and images out of Judah and Jerusalem, a campaign that extends even into the former northern territory.</t>
        </is>
      </c>
      <c r="N305" s="7" t="n"/>
      <c r="O305" s="8" t="inlineStr">
        <is>
          <t>Bible</t>
        </is>
      </c>
      <c r="P305" s="7" t="inlineStr">
        <is>
          <t>bible.monarchy</t>
        </is>
      </c>
      <c r="Q305" s="7" t="inlineStr">
        <is>
          <t>reform</t>
        </is>
      </c>
      <c r="R305" s="7" t="inlineStr">
        <is>
          <t>Josiah</t>
        </is>
      </c>
      <c r="S305" s="7" t="inlineStr">
        <is>
          <t>Judah; Jerusalem</t>
        </is>
      </c>
      <c r="T305" s="7" t="inlineStr">
        <is>
          <t>2 Chron. 34:3-8</t>
        </is>
      </c>
      <c r="U305" s="7" t="inlineStr">
        <is>
          <t>2 நா. 34:3-8</t>
        </is>
      </c>
      <c r="V305" s="7" t="n">
        <v>2</v>
      </c>
      <c r="W305" s="7" t="inlineStr">
        <is>
          <t>Josiah</t>
        </is>
      </c>
      <c r="X305" s="9" t="inlineStr">
        <is>
          <t>open</t>
        </is>
      </c>
      <c r="Y305" s="7" t="n"/>
      <c r="Z305" s="7" t="inlineStr">
        <is>
          <t>https://wol.jw.org/en/wol/d/r1/lp-e/1200002525
https://wol.jw.org/en/wol/d/r1/lp-e/1200010959</t>
        </is>
      </c>
      <c r="AA305" s="7" t="n">
        <v>0</v>
      </c>
      <c r="AB305" s="7" t="n"/>
      <c r="AC305" s="7" t="n">
        <v>0</v>
      </c>
      <c r="AD305" s="7" t="n"/>
      <c r="AE305" s="7" t="n"/>
      <c r="AF305" s="7" t="n"/>
      <c r="AG305" s="7" t="n"/>
      <c r="AH305" s="7" t="n"/>
      <c r="AI305" s="7" t="n"/>
      <c r="AJ305" s="7" t="n"/>
      <c r="AK305" s="7" t="n"/>
      <c r="AL305" s="7" t="inlineStr">
        <is>
          <t>Year 648 is from the older Aid (1971) chart; Insight "Josiah" gives "12th year".</t>
        </is>
      </c>
      <c r="AM305" s="7" t="n">
        <v>-648</v>
      </c>
      <c r="AN305" s="10" t="n"/>
      <c r="AO305" s="10" t="n"/>
      <c r="AP305" s="10" t="n"/>
      <c r="AQ305" s="10" t="n"/>
    </row>
    <row r="306">
      <c r="A306" s="7" t="inlineStr">
        <is>
          <t>b3-0088</t>
        </is>
      </c>
      <c r="B306" s="11" t="inlineStr">
        <is>
          <t>Span</t>
        </is>
      </c>
      <c r="C306" s="7" t="inlineStr">
        <is>
          <t>prophetic activity</t>
        </is>
      </c>
      <c r="D306" s="7" t="inlineStr">
        <is>
          <t>647–580 B.C.E.</t>
        </is>
      </c>
      <c r="E306" s="7" t="inlineStr">
        <is>
          <t>பொ.ச.மு. 647-580</t>
        </is>
      </c>
      <c r="F306" s="7" t="inlineStr">
        <is>
          <t>647 BCE</t>
        </is>
      </c>
      <c r="G306" s="7" t="inlineStr">
        <is>
          <t>Exact</t>
        </is>
      </c>
      <c r="H306" s="7" t="inlineStr">
        <is>
          <t>580 BCE</t>
        </is>
      </c>
      <c r="I306" s="7" t="inlineStr">
        <is>
          <t>Exact</t>
        </is>
      </c>
      <c r="J306" s="7" t="inlineStr">
        <is>
          <t>67 years</t>
        </is>
      </c>
      <c r="K306" s="2" t="inlineStr">
        <is>
          <t>Prophetic activity of Jeremiah</t>
        </is>
      </c>
      <c r="L306" s="2" t="inlineStr">
        <is>
          <t>எரேமியா</t>
        </is>
      </c>
      <c r="M306" s="7" t="inlineStr">
        <is>
          <t>Jeremiah is commissioned as prophet in the 13th year of Josiah and prophesies through the destruction of Jerusalem and afterward in Egypt.</t>
        </is>
      </c>
      <c r="N306" s="7" t="n"/>
      <c r="O306" s="8" t="inlineStr">
        <is>
          <t>Bible</t>
        </is>
      </c>
      <c r="P306" s="7" t="inlineStr">
        <is>
          <t>bible.prophet</t>
        </is>
      </c>
      <c r="Q306" s="7" t="inlineStr">
        <is>
          <t>prophet_activity</t>
        </is>
      </c>
      <c r="R306" s="7" t="inlineStr">
        <is>
          <t>Jeremiah</t>
        </is>
      </c>
      <c r="S306" s="7" t="n"/>
      <c r="T306" s="7" t="inlineStr">
        <is>
          <t>Jer. 1:1, 2, 9, 10</t>
        </is>
      </c>
      <c r="U306" s="7" t="inlineStr">
        <is>
          <t>எரே. 1:1, 2, 9, 10</t>
        </is>
      </c>
      <c r="V306" s="7" t="n">
        <v>4</v>
      </c>
      <c r="W306" s="7" t="inlineStr">
        <is>
          <t>A6-B Chart: Prophets and Kings of Judah and of Israel (Part 2)</t>
        </is>
      </c>
      <c r="X306" s="9" t="inlineStr">
        <is>
          <t>open</t>
        </is>
      </c>
      <c r="Y306" s="9" t="inlineStr">
        <is>
          <t>open</t>
        </is>
      </c>
      <c r="Z306" s="7" t="inlineStr">
        <is>
          <t>https://wol.jw.org/en/wol/d/r1/lp-e/1001061215
https://wol.jw.org/en/wol/d/r1/lp-e/1101990130
https://wol.jw.org/en/wol/d/r1/lp-e/1101990085
https://wol.jw.org/en/wol/d/r1/lp-e/1001060002</t>
        </is>
      </c>
      <c r="AA306" s="7" t="n">
        <v>2</v>
      </c>
      <c r="AB306" s="9" t="inlineStr">
        <is>
          <t>open</t>
        </is>
      </c>
      <c r="AC306" s="7" t="n">
        <v>0</v>
      </c>
      <c r="AD306" s="7" t="n"/>
      <c r="AE306" s="7" t="n"/>
      <c r="AF306" s="7" t="n"/>
      <c r="AG306" s="7" t="n"/>
      <c r="AH306" s="7" t="n"/>
      <c r="AI306" s="7" t="n"/>
      <c r="AJ306" s="7" t="n"/>
      <c r="AK306" s="7" t="inlineStr">
        <is>
          <t>covenants #7 (context); covenants #16 (step); fulfilled-prophecies-nations #17 (prophecy); fulfilled-prophecies-nations #20 (prophecy); fulfilled-prophecies-nations #25 (prophecy); fulfilled-prophecies-nations #32 (prophecy); fulfilled-prophecies-nations #37 (prophecy); prophets-and-kings-a6 #54 (item)</t>
        </is>
      </c>
      <c r="AL306" s="7" t="inlineStr">
        <is>
          <t>si Study 3 Tamil row: "தீர்க்கதரிசியாக எரேமியா நியமிக்கப்படுகிறார்" (647). The A6 chart shows this prophet as an undated bar; range years come from the cited text sources. title_ta is the prophet’s name as printed in the Tamil A6 list.</t>
        </is>
      </c>
      <c r="AM306" s="7" t="n">
        <v>-647</v>
      </c>
      <c r="AN306" s="10" t="n"/>
      <c r="AO306" s="10" t="n"/>
      <c r="AP306" s="10" t="n"/>
      <c r="AQ306" s="10" t="n"/>
    </row>
    <row r="307">
      <c r="A307" s="7" t="inlineStr">
        <is>
          <t>b3-0089</t>
        </is>
      </c>
      <c r="B307" s="7" t="inlineStr">
        <is>
          <t>Point</t>
        </is>
      </c>
      <c r="C307" s="7" t="n"/>
      <c r="D307" s="7" t="inlineStr">
        <is>
          <t>642 B.C.E.</t>
        </is>
      </c>
      <c r="E307" s="7" t="n"/>
      <c r="F307" s="7" t="inlineStr">
        <is>
          <t>642 BCE</t>
        </is>
      </c>
      <c r="G307" s="7" t="inlineStr">
        <is>
          <t>Exact</t>
        </is>
      </c>
      <c r="H307" s="7" t="n"/>
      <c r="I307" s="7" t="n"/>
      <c r="J307" s="7" t="n"/>
      <c r="K307" s="2" t="inlineStr">
        <is>
          <t>Book of the Law found in the temple; Huldah consulted</t>
        </is>
      </c>
      <c r="L307" s="2" t="n"/>
      <c r="M307" s="7" t="inlineStr">
        <is>
          <t>During temple repairs High Priest Hilkiah finds the book of Jehovah’s law; Josiah sends a delegation to the prophetess Huldah and then leads the people in a covenant of faithfulness.</t>
        </is>
      </c>
      <c r="N307" s="7" t="n"/>
      <c r="O307" s="8" t="inlineStr">
        <is>
          <t>Bible</t>
        </is>
      </c>
      <c r="P307" s="7" t="inlineStr">
        <is>
          <t>bible.monarchy</t>
        </is>
      </c>
      <c r="Q307" s="7" t="inlineStr">
        <is>
          <t>discovery</t>
        </is>
      </c>
      <c r="R307" s="7" t="inlineStr">
        <is>
          <t>Josiah; Hilkiah; Shaphan; Huldah</t>
        </is>
      </c>
      <c r="S307" s="7" t="inlineStr">
        <is>
          <t>Jerusalem</t>
        </is>
      </c>
      <c r="T307" s="7" t="inlineStr">
        <is>
          <t>2 Ki. 22:3-20; 2 Chron. 34:8-28</t>
        </is>
      </c>
      <c r="U307" s="7" t="inlineStr">
        <is>
          <t>2 இரா. 22:3-20; 2 நா. 34:8-28</t>
        </is>
      </c>
      <c r="V307" s="7" t="n">
        <v>2</v>
      </c>
      <c r="W307" s="7" t="inlineStr">
        <is>
          <t>Josiah</t>
        </is>
      </c>
      <c r="X307" s="9" t="inlineStr">
        <is>
          <t>open</t>
        </is>
      </c>
      <c r="Y307" s="7" t="n"/>
      <c r="Z307" s="7" t="inlineStr">
        <is>
          <t>https://wol.jw.org/en/wol/d/r1/lp-e/1200002525
https://wol.jw.org/en/wol/d/r1/lp-e/1200010959</t>
        </is>
      </c>
      <c r="AA307" s="7" t="n">
        <v>0</v>
      </c>
      <c r="AB307" s="7" t="n"/>
      <c r="AC307" s="7" t="n">
        <v>0</v>
      </c>
      <c r="AD307" s="7" t="n"/>
      <c r="AE307" s="7" t="n"/>
      <c r="AF307" s="7" t="n"/>
      <c r="AG307" s="7" t="n"/>
      <c r="AH307" s="7" t="n"/>
      <c r="AI307" s="7" t="n"/>
      <c r="AJ307" s="7" t="n"/>
      <c r="AK307" s="7" t="n"/>
      <c r="AL307" s="7" t="inlineStr">
        <is>
          <t>Josiah’s 18th year (2 Ki. 22:3); year 642 from the Aid (1971) chart, where Huldah is listed at 642.</t>
        </is>
      </c>
      <c r="AM307" s="7" t="n">
        <v>-641.9</v>
      </c>
      <c r="AN307" s="10" t="n"/>
      <c r="AO307" s="10" t="n"/>
      <c r="AP307" s="10" t="n"/>
      <c r="AQ307" s="10" t="n"/>
    </row>
    <row r="308">
      <c r="A308" s="7" t="inlineStr">
        <is>
          <t>b3-0090</t>
        </is>
      </c>
      <c r="B308" s="7" t="inlineStr">
        <is>
          <t>Point</t>
        </is>
      </c>
      <c r="C308" s="7" t="n"/>
      <c r="D308" s="7" t="inlineStr">
        <is>
          <t>642 B.C.E., Nisan 14</t>
        </is>
      </c>
      <c r="E308" s="7" t="n"/>
      <c r="F308" s="7" t="inlineStr">
        <is>
          <t>642 BCE</t>
        </is>
      </c>
      <c r="G308" s="7" t="inlineStr">
        <is>
          <t>Approx. (c.)</t>
        </is>
      </c>
      <c r="H308" s="7" t="n"/>
      <c r="I308" s="7" t="n"/>
      <c r="J308" s="7" t="n"/>
      <c r="K308" s="2" t="inlineStr">
        <is>
          <t>Josiah’s great Passover</t>
        </is>
      </c>
      <c r="L308" s="2" t="n"/>
      <c r="M308" s="7" t="inlineStr">
        <is>
          <t>In the 18th year of his reign Josiah holds a Passover on Nisan 14 surpassing any observed since Samuel’s days.</t>
        </is>
      </c>
      <c r="N308" s="7" t="n"/>
      <c r="O308" s="8" t="inlineStr">
        <is>
          <t>Bible</t>
        </is>
      </c>
      <c r="P308" s="7" t="inlineStr">
        <is>
          <t>bible.monarchy</t>
        </is>
      </c>
      <c r="Q308" s="7" t="inlineStr">
        <is>
          <t>festival</t>
        </is>
      </c>
      <c r="R308" s="7" t="inlineStr">
        <is>
          <t>Josiah</t>
        </is>
      </c>
      <c r="S308" s="7" t="inlineStr">
        <is>
          <t>Jerusalem</t>
        </is>
      </c>
      <c r="T308" s="7" t="inlineStr">
        <is>
          <t>2 Ki. 23:21-23; 2 Chron. 35:1-19</t>
        </is>
      </c>
      <c r="U308" s="7" t="inlineStr">
        <is>
          <t>2 இரா. 23:21-23; 2 நா. 35:1-19</t>
        </is>
      </c>
      <c r="V308" s="7" t="n">
        <v>1</v>
      </c>
      <c r="W308" s="7" t="inlineStr">
        <is>
          <t>Josiah</t>
        </is>
      </c>
      <c r="X308" s="9" t="inlineStr">
        <is>
          <t>open</t>
        </is>
      </c>
      <c r="Y308" s="7" t="n"/>
      <c r="Z308" s="7" t="inlineStr">
        <is>
          <t>https://wol.jw.org/en/wol/d/r1/lp-e/1200002525</t>
        </is>
      </c>
      <c r="AA308" s="7" t="n">
        <v>0</v>
      </c>
      <c r="AB308" s="7" t="n"/>
      <c r="AC308" s="7" t="n">
        <v>0</v>
      </c>
      <c r="AD308" s="7" t="n"/>
      <c r="AE308" s="7" t="n"/>
      <c r="AF308" s="7" t="n"/>
      <c r="AG308" s="7" t="n"/>
      <c r="AH308" s="7" t="n"/>
      <c r="AI308" s="7" t="n"/>
      <c r="AJ308" s="7" t="n"/>
      <c r="AK308" s="7" t="n"/>
      <c r="AL308" s="7" t="inlineStr">
        <is>
          <t>Year derived from Josiah’s 18th year as dated in the Aid chart (642); Insight gives only "18th year".</t>
        </is>
      </c>
      <c r="AM308" s="7" t="n">
        <v>-641.75</v>
      </c>
      <c r="AN308" s="10" t="n"/>
      <c r="AO308" s="10" t="n"/>
      <c r="AP308" s="10" t="n"/>
      <c r="AQ308" s="10" t="n"/>
    </row>
    <row r="309">
      <c r="A309" s="7" t="inlineStr">
        <is>
          <t>b15-0001</t>
        </is>
      </c>
      <c r="B309" s="7" t="inlineStr">
        <is>
          <t>Point</t>
        </is>
      </c>
      <c r="C309" s="7" t="n"/>
      <c r="D309" s="7" t="inlineStr">
        <is>
          <t>During or following Josiah’s 18th year (642 B.C.E.)</t>
        </is>
      </c>
      <c r="E309" s="7" t="n"/>
      <c r="F309" s="7" t="inlineStr">
        <is>
          <t>642 BCE</t>
        </is>
      </c>
      <c r="G309" s="7" t="inlineStr">
        <is>
          <t>After (a.)</t>
        </is>
      </c>
      <c r="H309" s="7" t="n"/>
      <c r="I309" s="7" t="n"/>
      <c r="J309" s="7" t="n"/>
      <c r="K309" s="2" t="inlineStr">
        <is>
          <t>Josiah tears down and desecrates Jeroboam’s altar at Bethel</t>
        </is>
      </c>
      <c r="L309" s="2" t="n"/>
      <c r="M309" s="7" t="inlineStr">
        <is>
          <t>During or after his 18th year of rule, King Josiah extended his purge of false worship to Bethel, burning bones from nearby tombs on Jeroboam’s altar and pulling it down. Insight and “All Scripture Is Inspired” present this as the fulfillment of the prophecy uttered by “the man of the true God” some 300 years earlier, which named Josiah.</t>
        </is>
      </c>
      <c r="N309" s="7" t="inlineStr">
        <is>
          <t>உதாரணமாக, பெத்தேலிலிருந்த யெரொபெயாமின் பலிபீடத்தைப் பிளந்து போடப்போகிறவன் யோசியாதான் என்பதாக 300-⁠க்கும் மேற்பட்ட ஆண்டுகளுக்கு முன்னால் அறிவிக்கப்பட்டது. கவனத்தைக் கவரும் இந்த முன்னறிவிப்பை யோசியா நிறைவேற்றினார்!</t>
        </is>
      </c>
      <c r="O309" s="8" t="inlineStr">
        <is>
          <t>Bible</t>
        </is>
      </c>
      <c r="P309" s="7" t="inlineStr">
        <is>
          <t>bible.prophecy_fulfilled</t>
        </is>
      </c>
      <c r="Q309" s="7" t="inlineStr">
        <is>
          <t>fulfilled_prophecy</t>
        </is>
      </c>
      <c r="R309" s="7" t="inlineStr">
        <is>
          <t>Josiah; Jeroboam</t>
        </is>
      </c>
      <c r="S309" s="7" t="inlineStr">
        <is>
          <t>Bethel</t>
        </is>
      </c>
      <c r="T309" s="7" t="inlineStr">
        <is>
          <t>1 Ki. 13:1-3; 2 Ki. 23:15-18</t>
        </is>
      </c>
      <c r="U309" s="7" t="inlineStr">
        <is>
          <t>1 ரா. 13:1-3; 2 ரா. 23:15-18</t>
        </is>
      </c>
      <c r="V309" s="7" t="n">
        <v>3</v>
      </c>
      <c r="W309" s="7" t="inlineStr">
        <is>
          <t>Bethel</t>
        </is>
      </c>
      <c r="X309" s="9" t="inlineStr">
        <is>
          <t>open</t>
        </is>
      </c>
      <c r="Y309" s="7" t="n"/>
      <c r="Z309" s="7" t="inlineStr">
        <is>
          <t>https://wol.jw.org/en/wol/d/r1/lp-e/1200000682
https://wol.jw.org/en/wol/d/r1/lp-e/1200002525
https://wol.jw.org/en/wol/d/r1/lp-e/1101990072</t>
        </is>
      </c>
      <c r="AA309" s="7" t="n">
        <v>0</v>
      </c>
      <c r="AB309" s="7" t="n"/>
      <c r="AC309" s="7" t="n">
        <v>0</v>
      </c>
      <c r="AD309" s="7" t="n"/>
      <c r="AE309" s="7" t="n"/>
      <c r="AF309" s="7" t="n"/>
      <c r="AG309" s="7" t="n"/>
      <c r="AH309" s="7" t="n"/>
      <c r="AI309" s="7" t="n"/>
      <c r="AJ309" s="7" t="n"/>
      <c r="AK309" s="7" t="inlineStr">
        <is>
          <t>fulfilled-prophecies-nations #12 (fulfillment)</t>
        </is>
      </c>
      <c r="AL309" s="7" t="inlineStr">
        <is>
          <t>Insight “Bethel” dates the act as during or following Josiah’s 18th year (642 B.C.E.); precision 'after'. The prophecy (1 Ki. 13:1-3) was spoken at Jeroboam’s altar in Bethel (see series fulfilled-prophecies-nations).</t>
        </is>
      </c>
      <c r="AM309" s="7" t="n">
        <v>-641.7</v>
      </c>
      <c r="AN309" s="10" t="n"/>
      <c r="AO309" s="10" t="n"/>
      <c r="AP309" s="10" t="n"/>
      <c r="AQ309" s="10" t="n"/>
    </row>
    <row r="310">
      <c r="A310" s="7" t="inlineStr">
        <is>
          <t>b11-0025</t>
        </is>
      </c>
      <c r="B310" s="7" t="inlineStr">
        <is>
          <t>Point</t>
        </is>
      </c>
      <c r="C310" s="7" t="n"/>
      <c r="D310" s="7" t="inlineStr">
        <is>
          <t>b. 632 B.C.E.</t>
        </is>
      </c>
      <c r="E310" s="7" t="inlineStr">
        <is>
          <t>கி.மு. 632-க்கு முன்</t>
        </is>
      </c>
      <c r="F310" s="7" t="inlineStr">
        <is>
          <t>632 BCE</t>
        </is>
      </c>
      <c r="G310" s="7" t="inlineStr">
        <is>
          <t>Before (b.)</t>
        </is>
      </c>
      <c r="H310" s="7" t="n"/>
      <c r="I310" s="7" t="n"/>
      <c r="J310" s="7" t="n"/>
      <c r="K310" s="2" t="inlineStr">
        <is>
          <t>Writing of Nahum completed</t>
        </is>
      </c>
      <c r="L310" s="2" t="inlineStr">
        <is>
          <t>நாகூம் — எழுதி முடிக்கப்பட்டது</t>
        </is>
      </c>
      <c r="M310" s="7" t="inlineStr">
        <is>
          <t>The writing of Nahum was completed before 632 B.C.E. Writer: Nahum; place written: Judah.</t>
        </is>
      </c>
      <c r="N310" s="7" t="inlineStr">
        <is>
          <t>நாகூம்: எழுதியவர்(கள்): நாகூம்; எழுதப்பட்ட இடம்: யூதா; முடிக்கப்பட்ட வருஷம் (கி.மு.): 632-க்கு முன்.</t>
        </is>
      </c>
      <c r="O310" s="8" t="inlineStr">
        <is>
          <t>Bible</t>
        </is>
      </c>
      <c r="P310" s="7" t="inlineStr">
        <is>
          <t>bible.book_writing</t>
        </is>
      </c>
      <c r="Q310" s="7" t="inlineStr">
        <is>
          <t>writing_completed</t>
        </is>
      </c>
      <c r="R310" s="7" t="inlineStr">
        <is>
          <t>Nahum</t>
        </is>
      </c>
      <c r="S310" s="7" t="inlineStr">
        <is>
          <t>Judah</t>
        </is>
      </c>
      <c r="T310" s="7" t="inlineStr">
        <is>
          <t>Nah.</t>
        </is>
      </c>
      <c r="U310" s="7" t="inlineStr">
        <is>
          <t>நாகூ.</t>
        </is>
      </c>
      <c r="V310" s="7" t="n">
        <v>6</v>
      </c>
      <c r="W310" s="7" t="inlineStr">
        <is>
          <t>Table of the Books of the Bible</t>
        </is>
      </c>
      <c r="X310" s="9" t="inlineStr">
        <is>
          <t>open</t>
        </is>
      </c>
      <c r="Y310" s="9" t="inlineStr">
        <is>
          <t>open</t>
        </is>
      </c>
      <c r="Z310" s="7" t="inlineStr">
        <is>
          <t>https://wol.jw.org/en/wol/d/r1/lp-e/1001070071
https://wol.jw.org/en/wol/d/r1/lp-e/1101990095
https://www.jw.org/en/library/bible/study-bible/books-of-the-bible-list/
https://wol.jw.org/en/wol/d/r1/lp-e/1001060002
https://wol.jw.org/en/wol/d/r1/lp-e/1101990130
https://wol.jw.org/en/wol/d/r1/lp-e/1200000970</t>
        </is>
      </c>
      <c r="AA310" s="7" t="n">
        <v>0</v>
      </c>
      <c r="AB310" s="7" t="n"/>
      <c r="AC310" s="7" t="n">
        <v>0</v>
      </c>
      <c r="AD310" s="7" t="n"/>
      <c r="AE310" s="7" t="n"/>
      <c r="AF310" s="7" t="n"/>
      <c r="AG310" s="7" t="n"/>
      <c r="AH310" s="7" t="n"/>
      <c r="AI310" s="7" t="n"/>
      <c r="AJ310" s="7" t="n"/>
      <c r="AK310" s="7" t="inlineStr">
        <is>
          <t>bible-books-written #34 (item)</t>
        </is>
      </c>
      <c r="AL310" s="7" t="inlineStr">
        <is>
          <t>Writer(s): Nahum. Place written: Judah. Writing completed: b. 632 B.C.E. Time covered: —.</t>
        </is>
      </c>
      <c r="AM310" s="7" t="n">
        <v>-632.0066</v>
      </c>
      <c r="AN310" s="10" t="n"/>
      <c r="AO310" s="10" t="n"/>
      <c r="AP310" s="10" t="n"/>
      <c r="AQ310" s="10" t="n"/>
    </row>
    <row r="311">
      <c r="A311" s="7" t="inlineStr">
        <is>
          <t>b3-0091</t>
        </is>
      </c>
      <c r="B311" s="7" t="inlineStr">
        <is>
          <t>Point</t>
        </is>
      </c>
      <c r="C311" s="7" t="n"/>
      <c r="D311" s="7" t="inlineStr">
        <is>
          <t>632 B.C.E.</t>
        </is>
      </c>
      <c r="E311" s="7" t="inlineStr">
        <is>
          <t>பொ.ச.மு. 632</t>
        </is>
      </c>
      <c r="F311" s="7" t="inlineStr">
        <is>
          <t>632 BCE</t>
        </is>
      </c>
      <c r="G311" s="7" t="inlineStr">
        <is>
          <t>Exact</t>
        </is>
      </c>
      <c r="H311" s="7" t="n"/>
      <c r="I311" s="7" t="n"/>
      <c r="J311" s="7" t="n"/>
      <c r="K311" s="2" t="inlineStr">
        <is>
          <t>Nineveh falls to the Chaldeans and Medes</t>
        </is>
      </c>
      <c r="L311" s="2" t="inlineStr">
        <is>
          <t>கல்தேயரும் மேதியரும் நினிவேயை வீழ்த்துகின்றனர்</t>
        </is>
      </c>
      <c r="M311" s="7" t="inlineStr">
        <is>
          <t>Nineveh, capital of Assyria, falls to the Chaldeans and Medes as Nahum foretold; Babylon is now in line to become the third world power.</t>
        </is>
      </c>
      <c r="N311" s="7" t="inlineStr">
        <is>
          <t>கல்தேயரும் மேதியரும் நினிவேயை வீழ்த்துகின்றனர்; பாபிலோன் இப்போது மூன்றாவது உலக வல்லரசாகும் நிலையிலுள்ளது</t>
        </is>
      </c>
      <c r="O311" s="8" t="inlineStr">
        <is>
          <t>Bible</t>
        </is>
      </c>
      <c r="P311" s="7" t="inlineStr">
        <is>
          <t>bible.prophecy_fulfilled</t>
        </is>
      </c>
      <c r="Q311" s="7" t="inlineStr">
        <is>
          <t>conquest</t>
        </is>
      </c>
      <c r="R311" s="7" t="n"/>
      <c r="S311" s="7" t="inlineStr">
        <is>
          <t>Nineveh; Assyria; Babylon</t>
        </is>
      </c>
      <c r="T311" s="7" t="inlineStr">
        <is>
          <t>Nah. 3:7</t>
        </is>
      </c>
      <c r="U311" s="7" t="inlineStr">
        <is>
          <t>நாகூ. 3:7</t>
        </is>
      </c>
      <c r="V311" s="7" t="n">
        <v>3</v>
      </c>
      <c r="W311" s="7" t="inlineStr">
        <is>
          <t>Study Number 3—Measuring Events in the Stream of Time</t>
        </is>
      </c>
      <c r="X311" s="9" t="inlineStr">
        <is>
          <t>open</t>
        </is>
      </c>
      <c r="Y311" s="9" t="inlineStr">
        <is>
          <t>open</t>
        </is>
      </c>
      <c r="Z311" s="7" t="inlineStr">
        <is>
          <t>https://wol.jw.org/en/wol/d/r1/lp-e/1101990130
https://wol.jw.org/en/wol/d/r1/lp-e/1101990095
https://wol.jw.org/en/wol/d/r1/lp-e/1101990093</t>
        </is>
      </c>
      <c r="AA311" s="7" t="n">
        <v>0</v>
      </c>
      <c r="AB311" s="7" t="n"/>
      <c r="AC311" s="7" t="n">
        <v>1</v>
      </c>
      <c r="AD311" s="7" t="inlineStr">
        <is>
          <t>si Bible Book No. 32 (Jonah) says "about 632"; si Study 3 and No. 34 (Nahum) give 632.</t>
        </is>
      </c>
      <c r="AE311" s="7" t="n"/>
      <c r="AF311" s="7" t="n"/>
      <c r="AG311" s="7" t="n"/>
      <c r="AH311" s="7" t="n"/>
      <c r="AI311" s="7" t="inlineStr">
        <is>
          <t>Span endpoint – keep</t>
        </is>
      </c>
      <c r="AJ311" s="7" t="inlineStr">
        <is>
          <t>end of Assyria, second world power of Bible history (b12-0019)</t>
        </is>
      </c>
      <c r="AK311" s="7" t="inlineStr">
        <is>
          <t>fulfilled-prophecies-nations #10 (fulfillment); seven-heads-of-the-beast #5 (fall)</t>
        </is>
      </c>
      <c r="AL311" s="7" t="n"/>
      <c r="AM311" s="7" t="n">
        <v>-632</v>
      </c>
      <c r="AN311" s="10" t="n"/>
      <c r="AO311" s="10" t="n"/>
      <c r="AP311" s="10" t="n"/>
      <c r="AQ311" s="10" t="n"/>
    </row>
    <row r="312">
      <c r="A312" s="7" t="inlineStr">
        <is>
          <t>b3-0092</t>
        </is>
      </c>
      <c r="B312" s="7" t="inlineStr">
        <is>
          <t>Point</t>
        </is>
      </c>
      <c r="C312" s="7" t="n"/>
      <c r="D312" s="7" t="inlineStr">
        <is>
          <t>b. 632 B.C.E.</t>
        </is>
      </c>
      <c r="E312" s="7" t="inlineStr">
        <is>
          <t>பொ.ச.மு. 632-⁠க்கு முன்</t>
        </is>
      </c>
      <c r="F312" s="7" t="inlineStr">
        <is>
          <t>632 BCE</t>
        </is>
      </c>
      <c r="G312" s="7" t="inlineStr">
        <is>
          <t>Before (b.)</t>
        </is>
      </c>
      <c r="H312" s="7" t="n"/>
      <c r="I312" s="7" t="n"/>
      <c r="J312" s="7" t="n"/>
      <c r="K312" s="2" t="inlineStr">
        <is>
          <t>Prophetic activity of Nahum</t>
        </is>
      </c>
      <c r="L312" s="2" t="inlineStr">
        <is>
          <t>நாகூம்</t>
        </is>
      </c>
      <c r="M312" s="7" t="inlineStr">
        <is>
          <t>Nahum of Elkosh prophesies Nineveh’s fall, apparently in Judah in the seventh century B.C.E., before that city fell in 632.</t>
        </is>
      </c>
      <c r="N312" s="7" t="n"/>
      <c r="O312" s="8" t="inlineStr">
        <is>
          <t>Bible</t>
        </is>
      </c>
      <c r="P312" s="7" t="inlineStr">
        <is>
          <t>bible.prophet</t>
        </is>
      </c>
      <c r="Q312" s="7" t="inlineStr">
        <is>
          <t>prophet_activity</t>
        </is>
      </c>
      <c r="R312" s="7" t="inlineStr">
        <is>
          <t>Nahum</t>
        </is>
      </c>
      <c r="S312" s="7" t="n"/>
      <c r="T312" s="7" t="inlineStr">
        <is>
          <t>Nah. 1:1</t>
        </is>
      </c>
      <c r="U312" s="7" t="inlineStr">
        <is>
          <t>நாகூ. 1:1</t>
        </is>
      </c>
      <c r="V312" s="7" t="n">
        <v>3</v>
      </c>
      <c r="W312" s="7" t="inlineStr">
        <is>
          <t>A6-B Chart: Prophets and Kings of Judah and of Israel (Part 2)</t>
        </is>
      </c>
      <c r="X312" s="9" t="inlineStr">
        <is>
          <t>open</t>
        </is>
      </c>
      <c r="Y312" s="9" t="inlineStr">
        <is>
          <t>open</t>
        </is>
      </c>
      <c r="Z312" s="7" t="inlineStr">
        <is>
          <t>https://wol.jw.org/en/wol/d/r1/lp-e/1001061215
https://wol.jw.org/en/wol/d/r1/lp-e/1101990095
https://wol.jw.org/en/wol/d/r1/lp-e/1200003172</t>
        </is>
      </c>
      <c r="AA312" s="7" t="n">
        <v>2</v>
      </c>
      <c r="AB312" s="9" t="inlineStr">
        <is>
          <t>open</t>
        </is>
      </c>
      <c r="AC312" s="7" t="n">
        <v>0</v>
      </c>
      <c r="AD312" s="7" t="n"/>
      <c r="AE312" s="7" t="n"/>
      <c r="AF312" s="7" t="n"/>
      <c r="AG312" s="7" t="n"/>
      <c r="AH312" s="7" t="n"/>
      <c r="AI312" s="7" t="n"/>
      <c r="AJ312" s="7" t="n"/>
      <c r="AK312" s="7" t="inlineStr">
        <is>
          <t>fulfilled-prophecies-nations #8 (prophecy); prophets-and-kings-a6 #55 (item)</t>
        </is>
      </c>
      <c r="AL312" s="7" t="inlineStr">
        <is>
          <t>Sources give only a terminal date, so precision is before rather than range. The A6 chart shows this prophet as an undated bar; range years come from the cited text sources. title_ta is the prophet’s name as printed in the Tamil A6 list.</t>
        </is>
      </c>
      <c r="AM312" s="7" t="n">
        <v>-631.91</v>
      </c>
      <c r="AN312" s="10" t="n"/>
      <c r="AO312" s="10" t="n"/>
      <c r="AP312" s="10" t="n"/>
      <c r="AQ312" s="10" t="n"/>
    </row>
    <row r="313">
      <c r="A313" s="7" t="inlineStr">
        <is>
          <t>b3-0094</t>
        </is>
      </c>
      <c r="B313" s="7" t="inlineStr">
        <is>
          <t>Point</t>
        </is>
      </c>
      <c r="C313" s="7" t="n"/>
      <c r="D313" s="7" t="inlineStr">
        <is>
          <t>c. 629 B.C.E.</t>
        </is>
      </c>
      <c r="E313" s="7" t="n"/>
      <c r="F313" s="7" t="inlineStr">
        <is>
          <t>629 BCE</t>
        </is>
      </c>
      <c r="G313" s="7" t="inlineStr">
        <is>
          <t>Approx. (c.)</t>
        </is>
      </c>
      <c r="H313" s="7" t="n"/>
      <c r="I313" s="7" t="n"/>
      <c r="J313" s="7" t="n"/>
      <c r="K313" s="2" t="inlineStr">
        <is>
          <t>Josiah dies in battle against Pharaoh Necho</t>
        </is>
      </c>
      <c r="L313" s="2" t="n"/>
      <c r="M313" s="7" t="inlineStr">
        <is>
          <t>Toward the close of Josiah’s 31-year reign, Pharaoh Necho marches north to aid the Assyrians; Josiah goes out against him and is killed at Megiddo.</t>
        </is>
      </c>
      <c r="N313" s="7" t="n"/>
      <c r="O313" s="8" t="inlineStr">
        <is>
          <t>Bible</t>
        </is>
      </c>
      <c r="P313" s="7" t="inlineStr">
        <is>
          <t>bible.monarchy</t>
        </is>
      </c>
      <c r="Q313" s="7" t="inlineStr">
        <is>
          <t>death</t>
        </is>
      </c>
      <c r="R313" s="7" t="inlineStr">
        <is>
          <t>Josiah; Necho</t>
        </is>
      </c>
      <c r="S313" s="7" t="inlineStr">
        <is>
          <t>Megiddo</t>
        </is>
      </c>
      <c r="T313" s="7" t="inlineStr">
        <is>
          <t>2 Ki. 23:29, 30; 2 Chron. 35:20-24</t>
        </is>
      </c>
      <c r="U313" s="7" t="inlineStr">
        <is>
          <t>2 இரா. 23:29, 30; 2 நா. 35:20-24</t>
        </is>
      </c>
      <c r="V313" s="7" t="n">
        <v>1</v>
      </c>
      <c r="W313" s="7" t="inlineStr">
        <is>
          <t>Josiah</t>
        </is>
      </c>
      <c r="X313" s="9" t="inlineStr">
        <is>
          <t>open</t>
        </is>
      </c>
      <c r="Y313" s="7" t="n"/>
      <c r="Z313" s="7" t="inlineStr">
        <is>
          <t>https://wol.jw.org/en/wol/d/r1/lp-e/1200002525</t>
        </is>
      </c>
      <c r="AA313" s="7" t="n">
        <v>0</v>
      </c>
      <c r="AB313" s="7" t="n"/>
      <c r="AC313" s="7" t="n">
        <v>0</v>
      </c>
      <c r="AD313" s="7" t="n"/>
      <c r="AE313" s="7" t="n"/>
      <c r="AF313" s="7" t="n"/>
      <c r="AG313" s="7" t="n"/>
      <c r="AH313" s="7" t="n"/>
      <c r="AI313" s="7" t="n"/>
      <c r="AJ313" s="7" t="n"/>
      <c r="AK313" s="7" t="n"/>
      <c r="AL313" s="7" t="inlineStr">
        <is>
          <t>Year derived from the end of Josiah’s reign as given by Insight (659-629); A6-B and si date Jehoahaz’ accession to 628.</t>
        </is>
      </c>
      <c r="AM313" s="7" t="n">
        <v>-628.5</v>
      </c>
      <c r="AN313" s="10" t="n"/>
      <c r="AO313" s="10" t="n"/>
      <c r="AP313" s="10" t="n"/>
      <c r="AQ313" s="10" t="n"/>
    </row>
    <row r="314">
      <c r="A314" s="7" t="inlineStr">
        <is>
          <t>b11-0026</t>
        </is>
      </c>
      <c r="B314" s="7" t="inlineStr">
        <is>
          <t>Point</t>
        </is>
      </c>
      <c r="C314" s="7" t="n"/>
      <c r="D314" s="7" t="inlineStr">
        <is>
          <t>c. 628 (?) B.C.E.</t>
        </is>
      </c>
      <c r="E314" s="7" t="inlineStr">
        <is>
          <t>ஏ. கி.மு. 628 (?)</t>
        </is>
      </c>
      <c r="F314" s="7" t="inlineStr">
        <is>
          <t>628 BCE</t>
        </is>
      </c>
      <c r="G314" s="7" t="inlineStr">
        <is>
          <t>Approx. (c.)</t>
        </is>
      </c>
      <c r="H314" s="7" t="n"/>
      <c r="I314" s="7" t="n"/>
      <c r="J314" s="7" t="n"/>
      <c r="K314" s="2" t="inlineStr">
        <is>
          <t>Writing of Habakkuk completed</t>
        </is>
      </c>
      <c r="L314" s="2" t="inlineStr">
        <is>
          <t>ஆபகூக் — எழுதி முடிக்கப்பட்டது</t>
        </is>
      </c>
      <c r="M314" s="7" t="inlineStr">
        <is>
          <t>The writing of Habakkuk was completed c. 628 (?) B.C.E. Writer: Habakkuk; place written: Judah.</t>
        </is>
      </c>
      <c r="N314" s="7" t="inlineStr">
        <is>
          <t>ஆபகூக்: எழுதியவர்(கள்): ஆபகூக்; எழுதப்பட்ட இடம்: யூதா; முடிக்கப்பட்ட வருஷம் (கி.மு.): ஏ. 628 (?).</t>
        </is>
      </c>
      <c r="O314" s="8" t="inlineStr">
        <is>
          <t>Bible</t>
        </is>
      </c>
      <c r="P314" s="7" t="inlineStr">
        <is>
          <t>bible.book_writing</t>
        </is>
      </c>
      <c r="Q314" s="7" t="inlineStr">
        <is>
          <t>writing_completed</t>
        </is>
      </c>
      <c r="R314" s="7" t="inlineStr">
        <is>
          <t>Habakkuk</t>
        </is>
      </c>
      <c r="S314" s="7" t="inlineStr">
        <is>
          <t>Judah</t>
        </is>
      </c>
      <c r="T314" s="7" t="inlineStr">
        <is>
          <t>Hab.</t>
        </is>
      </c>
      <c r="U314" s="7" t="inlineStr">
        <is>
          <t>ஆப.</t>
        </is>
      </c>
      <c r="V314" s="7" t="n">
        <v>6</v>
      </c>
      <c r="W314" s="7" t="inlineStr">
        <is>
          <t>Table of the Books of the Bible</t>
        </is>
      </c>
      <c r="X314" s="9" t="inlineStr">
        <is>
          <t>open</t>
        </is>
      </c>
      <c r="Y314" s="9" t="inlineStr">
        <is>
          <t>open</t>
        </is>
      </c>
      <c r="Z314" s="7" t="inlineStr">
        <is>
          <t>https://wol.jw.org/en/wol/d/r1/lp-e/1001070071
https://wol.jw.org/en/wol/d/r1/lp-e/1101990096
https://www.jw.org/en/library/bible/study-bible/books-of-the-bible-list/
https://wol.jw.org/en/wol/d/r1/lp-e/1001060002
https://wol.jw.org/en/wol/d/r1/lp-e/1101990130
https://wol.jw.org/en/wol/d/r1/lp-e/1200000970</t>
        </is>
      </c>
      <c r="AA314" s="7" t="n">
        <v>0</v>
      </c>
      <c r="AB314" s="7" t="n"/>
      <c r="AC314" s="7" t="n">
        <v>1</v>
      </c>
      <c r="AD314" s="7" t="inlineStr">
        <is>
          <t>date as given by merged duplicate b3-0098 (b3): Habakkuk completes the book of Habakkuk</t>
        </is>
      </c>
      <c r="AE314" s="7" t="n"/>
      <c r="AF314" s="7" t="n"/>
      <c r="AG314" s="7" t="n"/>
      <c r="AH314" s="7" t="n"/>
      <c r="AI314" s="7" t="n"/>
      <c r="AJ314" s="7" t="n"/>
      <c r="AK314" s="7" t="inlineStr">
        <is>
          <t>bible-books-written #35 (item)</t>
        </is>
      </c>
      <c r="AL314" s="7" t="inlineStr">
        <is>
          <t>Writer(s): Habakkuk. Place written: Judah. Writing completed: c. 628 (?) B.C.E. Time covered: —. Source marks the date with '(?)' (uncertain).</t>
        </is>
      </c>
      <c r="AM314" s="7" t="n">
        <v>-627.9965</v>
      </c>
      <c r="AN314" s="10" t="n"/>
      <c r="AO314" s="10" t="n"/>
      <c r="AP314" s="10" t="n"/>
      <c r="AQ314" s="10" t="n"/>
    </row>
    <row r="315">
      <c r="A315" s="7" t="inlineStr">
        <is>
          <t>b3-0095</t>
        </is>
      </c>
      <c r="B315" s="7" t="inlineStr">
        <is>
          <t>Point</t>
        </is>
      </c>
      <c r="C315" s="7" t="n"/>
      <c r="D315" s="7" t="inlineStr">
        <is>
          <t>628 B.C.E.</t>
        </is>
      </c>
      <c r="E315" s="7" t="inlineStr">
        <is>
          <t>கி.மு. 628</t>
        </is>
      </c>
      <c r="F315" s="7" t="inlineStr">
        <is>
          <t>628 BCE</t>
        </is>
      </c>
      <c r="G315" s="7" t="inlineStr">
        <is>
          <t>Exact</t>
        </is>
      </c>
      <c r="H315" s="7" t="n"/>
      <c r="I315" s="7" t="n"/>
      <c r="J315" s="7" t="n"/>
      <c r="K315" s="2" t="inlineStr">
        <is>
          <t>Jehoahaz (of Judah) becomes king of Judah (3 months)</t>
        </is>
      </c>
      <c r="L315" s="2" t="inlineStr">
        <is>
          <t>யோவாகாஸ்: 3 மாதங்கள்</t>
        </is>
      </c>
      <c r="M315" s="7" t="inlineStr">
        <is>
          <t>Jehoahaz (of Judah) begins to reign over the southern two-tribe kingdom of Judah; the NWT chart gives a reign of 3 months.</t>
        </is>
      </c>
      <c r="N315" s="7" t="inlineStr">
        <is>
          <t>யோசியாவுக்குப் பின் யோவாகாஸ் யூதாவின் அரசனாக ஆளுகிறான்</t>
        </is>
      </c>
      <c r="O315" s="8" t="inlineStr">
        <is>
          <t>Bible</t>
        </is>
      </c>
      <c r="P315" s="7" t="inlineStr">
        <is>
          <t>bible.monarchy</t>
        </is>
      </c>
      <c r="Q315" s="7" t="inlineStr">
        <is>
          <t>accession</t>
        </is>
      </c>
      <c r="R315" s="7" t="inlineStr">
        <is>
          <t>Jehoahaz</t>
        </is>
      </c>
      <c r="S315" s="7" t="inlineStr">
        <is>
          <t>Judah</t>
        </is>
      </c>
      <c r="T315" s="7" t="inlineStr">
        <is>
          <t>2 Ki. 23:31</t>
        </is>
      </c>
      <c r="U315" s="7" t="inlineStr">
        <is>
          <t>2 இரா. 23:31</t>
        </is>
      </c>
      <c r="V315" s="7" t="n">
        <v>3</v>
      </c>
      <c r="W315" s="7" t="inlineStr">
        <is>
          <t>A6-B Chart: Prophets and Kings of Judah and of Israel (Part 2)</t>
        </is>
      </c>
      <c r="X315" s="9" t="inlineStr">
        <is>
          <t>open</t>
        </is>
      </c>
      <c r="Y315" s="9" t="inlineStr">
        <is>
          <t>open</t>
        </is>
      </c>
      <c r="Z315" s="7" t="inlineStr">
        <is>
          <t>https://wol.jw.org/en/wol/d/r1/lp-e/1001061215
https://wol.jw.org/en/wol/d/r1/lp-e/1101990130
https://wol.jw.org/en/wol/d/r1/lp-e/1200000970</t>
        </is>
      </c>
      <c r="AA315" s="7" t="n">
        <v>2</v>
      </c>
      <c r="AB315" s="9" t="inlineStr">
        <is>
          <t>open</t>
        </is>
      </c>
      <c r="AC315" s="7" t="n">
        <v>0</v>
      </c>
      <c r="AD315" s="7" t="n"/>
      <c r="AE315" s="7" t="n"/>
      <c r="AF315" s="7" t="n"/>
      <c r="AG315" s="7" t="n"/>
      <c r="AH315" s="7" t="n"/>
      <c r="AI315" s="7" t="inlineStr">
        <is>
          <t>Covered by span – hide on chart</t>
        </is>
      </c>
      <c r="AJ315" s="7" t="inlineStr">
        <is>
          <t>end of Reign of Josiah (Judah) (d1-0047); start of Reign of Jehoahaz (Judah) (d1-0048)</t>
        </is>
      </c>
      <c r="AK315" s="7" t="n"/>
      <c r="AL315" s="7" t="n"/>
      <c r="AM315" s="7" t="n">
        <v>-627.7</v>
      </c>
      <c r="AN315" s="10" t="n"/>
      <c r="AO315" s="10" t="n"/>
      <c r="AP315" s="10" t="n"/>
      <c r="AQ315" s="10" t="n"/>
    </row>
    <row r="316">
      <c r="A316" s="7" t="inlineStr">
        <is>
          <t>d1-0048</t>
        </is>
      </c>
      <c r="B316" s="11" t="inlineStr">
        <is>
          <t>Span</t>
        </is>
      </c>
      <c r="C316" s="7" t="inlineStr">
        <is>
          <t>reign</t>
        </is>
      </c>
      <c r="D316" s="7" t="inlineStr">
        <is>
          <t>628 B.C.E.</t>
        </is>
      </c>
      <c r="E316" s="7" t="inlineStr">
        <is>
          <t>கி.மு. 628 – கி.மு. 628</t>
        </is>
      </c>
      <c r="F316" s="7" t="inlineStr">
        <is>
          <t>628 BCE</t>
        </is>
      </c>
      <c r="G316" s="7" t="inlineStr">
        <is>
          <t>Exact</t>
        </is>
      </c>
      <c r="H316" s="7" t="inlineStr">
        <is>
          <t>628 BCE</t>
        </is>
      </c>
      <c r="I316" s="7" t="inlineStr">
        <is>
          <t>Exact</t>
        </is>
      </c>
      <c r="J316" s="7" t="inlineStr">
        <is>
          <t>3 months</t>
        </is>
      </c>
      <c r="K316" s="2" t="inlineStr">
        <is>
          <t>Reign of Jehoahaz (Judah)</t>
        </is>
      </c>
      <c r="L316" s="2" t="n"/>
      <c r="M316" s="7" t="inlineStr">
        <is>
          <t>Jehoahaz rules Judah. Starts with Jehoahaz (of Judah) becomes king of Judah (3 months) (628 B.C.E.); ends when Jehoiakim becomes king (b3-0096), as laid out in NWT Appendix A6.</t>
        </is>
      </c>
      <c r="N316" s="7" t="n"/>
      <c r="O316" s="8" t="inlineStr">
        <is>
          <t>Bible</t>
        </is>
      </c>
      <c r="P316" s="7" t="inlineStr">
        <is>
          <t>bible.monarchy</t>
        </is>
      </c>
      <c r="Q316" s="7" t="inlineStr">
        <is>
          <t>reign</t>
        </is>
      </c>
      <c r="R316" s="7" t="inlineStr">
        <is>
          <t>Jehoahaz</t>
        </is>
      </c>
      <c r="S316" s="7" t="inlineStr">
        <is>
          <t>Judah</t>
        </is>
      </c>
      <c r="T316" s="7" t="inlineStr">
        <is>
          <t>2 Ki. 23:31; 2 Ki. 23:36</t>
        </is>
      </c>
      <c r="U316" s="7" t="inlineStr">
        <is>
          <t>2 இரா. 23:31; 2 இரா. 23:36</t>
        </is>
      </c>
      <c r="V316" s="7" t="n">
        <v>3</v>
      </c>
      <c r="W316" s="7" t="inlineStr">
        <is>
          <t>A6-B Chart: Prophets and Kings of Judah and of Israel (Part 2)</t>
        </is>
      </c>
      <c r="X316" s="9" t="inlineStr">
        <is>
          <t>open</t>
        </is>
      </c>
      <c r="Y316" s="9" t="inlineStr">
        <is>
          <t>open</t>
        </is>
      </c>
      <c r="Z316" s="7" t="inlineStr">
        <is>
          <t>https://wol.jw.org/en/wol/d/r1/lp-e/1001061215
https://wol.jw.org/en/wol/d/r1/lp-e/1101990130
https://wol.jw.org/en/wol/d/r1/lp-e/1200000970</t>
        </is>
      </c>
      <c r="AA316" s="7" t="n">
        <v>0</v>
      </c>
      <c r="AB316" s="7" t="n"/>
      <c r="AC316" s="7" t="n">
        <v>0</v>
      </c>
      <c r="AD316" s="7" t="n"/>
      <c r="AE316" s="7" t="inlineStr">
        <is>
          <t>Start b3-0095; ends when Jehoiakim becomes king (b3-0096), as laid out in NWT Appendix A6. Reign shorter than a year: end placed in the accession year using the printed length.</t>
        </is>
      </c>
      <c r="AF316" s="7" t="inlineStr">
        <is>
          <t>b3-0095</t>
        </is>
      </c>
      <c r="AG316" s="7" t="inlineStr">
        <is>
          <t>b3-0096</t>
        </is>
      </c>
      <c r="AH316" s="7" t="n"/>
      <c r="AI316" s="7" t="n"/>
      <c r="AJ316" s="7" t="n"/>
      <c r="AK316" s="7" t="inlineStr">
        <is>
          <t>kings-of-judah #17 (ruler); prophets-and-kings-a6 #17 (ruler)</t>
        </is>
      </c>
      <c r="AL316" s="7" t="n"/>
      <c r="AM316" s="7" t="n">
        <v>-627.7</v>
      </c>
      <c r="AN316" s="10" t="n"/>
      <c r="AO316" s="10" t="n"/>
      <c r="AP316" s="10" t="n"/>
      <c r="AQ316" s="10" t="n"/>
    </row>
    <row r="317">
      <c r="A317" s="7" t="inlineStr">
        <is>
          <t>b3-0096</t>
        </is>
      </c>
      <c r="B317" s="7" t="inlineStr">
        <is>
          <t>Point</t>
        </is>
      </c>
      <c r="C317" s="7" t="n"/>
      <c r="D317" s="7" t="inlineStr">
        <is>
          <t>628 B.C.E.</t>
        </is>
      </c>
      <c r="E317" s="7" t="inlineStr">
        <is>
          <t>கி.மு. 628</t>
        </is>
      </c>
      <c r="F317" s="7" t="inlineStr">
        <is>
          <t>628 BCE</t>
        </is>
      </c>
      <c r="G317" s="7" t="inlineStr">
        <is>
          <t>Exact</t>
        </is>
      </c>
      <c r="H317" s="7" t="n"/>
      <c r="I317" s="7" t="n"/>
      <c r="J317" s="7" t="n"/>
      <c r="K317" s="2" t="inlineStr">
        <is>
          <t>Jehoiakim becomes king of Judah (11 years)</t>
        </is>
      </c>
      <c r="L317" s="2" t="inlineStr">
        <is>
          <t>யோயாக்கீம்: 11 வருஷங்கள்</t>
        </is>
      </c>
      <c r="M317" s="7" t="inlineStr">
        <is>
          <t>Jehoiakim begins to reign over the southern two-tribe kingdom of Judah; the NWT chart gives a reign of 11 years.</t>
        </is>
      </c>
      <c r="N317" s="7" t="inlineStr">
        <is>
          <t>யோவாகாஸுக்குப் பின் யோயாக்கீம் யூதாவின் அரசனாகிறான்</t>
        </is>
      </c>
      <c r="O317" s="8" t="inlineStr">
        <is>
          <t>Bible</t>
        </is>
      </c>
      <c r="P317" s="7" t="inlineStr">
        <is>
          <t>bible.monarchy</t>
        </is>
      </c>
      <c r="Q317" s="7" t="inlineStr">
        <is>
          <t>accession</t>
        </is>
      </c>
      <c r="R317" s="7" t="inlineStr">
        <is>
          <t>Jehoiakim</t>
        </is>
      </c>
      <c r="S317" s="7" t="inlineStr">
        <is>
          <t>Judah</t>
        </is>
      </c>
      <c r="T317" s="7" t="inlineStr">
        <is>
          <t>2 Ki. 23:36</t>
        </is>
      </c>
      <c r="U317" s="7" t="inlineStr">
        <is>
          <t>2 இரா. 23:36</t>
        </is>
      </c>
      <c r="V317" s="7" t="n">
        <v>3</v>
      </c>
      <c r="W317" s="7" t="inlineStr">
        <is>
          <t>A6-B Chart: Prophets and Kings of Judah and of Israel (Part 2)</t>
        </is>
      </c>
      <c r="X317" s="9" t="inlineStr">
        <is>
          <t>open</t>
        </is>
      </c>
      <c r="Y317" s="9" t="inlineStr">
        <is>
          <t>open</t>
        </is>
      </c>
      <c r="Z317" s="7" t="inlineStr">
        <is>
          <t>https://wol.jw.org/en/wol/d/r1/lp-e/1001061215
https://wol.jw.org/en/wol/d/r1/lp-e/1101990130
https://wol.jw.org/en/wol/d/r1/lp-e/1200000970</t>
        </is>
      </c>
      <c r="AA317" s="7" t="n">
        <v>2</v>
      </c>
      <c r="AB317" s="9" t="inlineStr">
        <is>
          <t>open</t>
        </is>
      </c>
      <c r="AC317" s="7" t="n">
        <v>0</v>
      </c>
      <c r="AD317" s="7" t="n"/>
      <c r="AE317" s="7" t="n"/>
      <c r="AF317" s="7" t="n"/>
      <c r="AG317" s="7" t="n"/>
      <c r="AH317" s="7" t="n"/>
      <c r="AI317" s="7" t="inlineStr">
        <is>
          <t>Covered by span – hide on chart</t>
        </is>
      </c>
      <c r="AJ317" s="7" t="inlineStr">
        <is>
          <t>end of Reign of Jehoahaz (Judah) (d1-0048); start of Reign of Jehoiakim (Judah) (d1-0049)</t>
        </is>
      </c>
      <c r="AK317" s="7" t="n"/>
      <c r="AL317" s="7" t="inlineStr">
        <is>
          <t>A6-B lists Jehoiakim directly after Jehoahaz under 628 without a separate year.</t>
        </is>
      </c>
      <c r="AM317" s="7" t="n">
        <v>-627.6</v>
      </c>
      <c r="AN317" s="10" t="n"/>
      <c r="AO317" s="10" t="n"/>
      <c r="AP317" s="10" t="n"/>
      <c r="AQ317" s="10" t="n"/>
    </row>
    <row r="318">
      <c r="A318" s="7" t="inlineStr">
        <is>
          <t>d1-0049</t>
        </is>
      </c>
      <c r="B318" s="11" t="inlineStr">
        <is>
          <t>Span</t>
        </is>
      </c>
      <c r="C318" s="7" t="inlineStr">
        <is>
          <t>reign</t>
        </is>
      </c>
      <c r="D318" s="7" t="inlineStr">
        <is>
          <t>628 B.C.E. – 618 B.C.E.</t>
        </is>
      </c>
      <c r="E318" s="7" t="inlineStr">
        <is>
          <t>கி.மு. 628 – கி.மு. 618</t>
        </is>
      </c>
      <c r="F318" s="7" t="inlineStr">
        <is>
          <t>628 BCE</t>
        </is>
      </c>
      <c r="G318" s="7" t="inlineStr">
        <is>
          <t>Exact</t>
        </is>
      </c>
      <c r="H318" s="7" t="inlineStr">
        <is>
          <t>618 BCE</t>
        </is>
      </c>
      <c r="I318" s="7" t="inlineStr">
        <is>
          <t>Exact</t>
        </is>
      </c>
      <c r="J318" s="7" t="inlineStr">
        <is>
          <t>11 years</t>
        </is>
      </c>
      <c r="K318" s="2" t="inlineStr">
        <is>
          <t>Reign of Jehoiakim (Judah)</t>
        </is>
      </c>
      <c r="L318" s="2" t="n"/>
      <c r="M318" s="7" t="inlineStr">
        <is>
          <t>Jehoiakim rules Judah. Starts with Jehoiakim becomes king of Judah (11 years) (628 B.C.E.); ends when Jehoiachin becomes king (b3-0104), as laid out in NWT Appendix A6.</t>
        </is>
      </c>
      <c r="N318" s="7" t="n"/>
      <c r="O318" s="8" t="inlineStr">
        <is>
          <t>Bible</t>
        </is>
      </c>
      <c r="P318" s="7" t="inlineStr">
        <is>
          <t>bible.monarchy</t>
        </is>
      </c>
      <c r="Q318" s="7" t="inlineStr">
        <is>
          <t>reign</t>
        </is>
      </c>
      <c r="R318" s="7" t="inlineStr">
        <is>
          <t>Jehoiakim</t>
        </is>
      </c>
      <c r="S318" s="7" t="inlineStr">
        <is>
          <t>Judah</t>
        </is>
      </c>
      <c r="T318" s="7" t="inlineStr">
        <is>
          <t>2 Ki. 23:36; 2 Ki. 24:6, 8</t>
        </is>
      </c>
      <c r="U318" s="7" t="inlineStr">
        <is>
          <t>2 இரா. 23:36; 2 இரா. 24:6, 8</t>
        </is>
      </c>
      <c r="V318" s="7" t="n">
        <v>4</v>
      </c>
      <c r="W318" s="7" t="inlineStr">
        <is>
          <t>A6-B Chart: Prophets and Kings of Judah and of Israel (Part 2)</t>
        </is>
      </c>
      <c r="X318" s="9" t="inlineStr">
        <is>
          <t>open</t>
        </is>
      </c>
      <c r="Y318" s="9" t="inlineStr">
        <is>
          <t>open</t>
        </is>
      </c>
      <c r="Z318" s="7" t="inlineStr">
        <is>
          <t>https://wol.jw.org/en/wol/d/r1/lp-e/1001061215
https://wol.jw.org/en/wol/d/r1/lp-e/1101990130
https://wol.jw.org/en/wol/d/r1/lp-e/1200000970
https://wol.jw.org/en/wol/d/r1/lp-e/1200002375</t>
        </is>
      </c>
      <c r="AA318" s="7" t="n">
        <v>0</v>
      </c>
      <c r="AB318" s="7" t="n"/>
      <c r="AC318" s="7" t="n">
        <v>1</v>
      </c>
      <c r="AD318" s="7" t="inlineStr">
        <is>
          <t>The older Aid to Bible Understanding chart (1971) places Jehoiachin’s accession at 619; NWT A6-B, Insight chart and si Study 3 give 618.</t>
        </is>
      </c>
      <c r="AE318" s="7" t="inlineStr">
        <is>
          <t>Start b3-0096; ends when Jehoiachin becomes king (b3-0104), as laid out in NWT Appendix A6.</t>
        </is>
      </c>
      <c r="AF318" s="7" t="inlineStr">
        <is>
          <t>b3-0096</t>
        </is>
      </c>
      <c r="AG318" s="7" t="inlineStr">
        <is>
          <t>b3-0104</t>
        </is>
      </c>
      <c r="AH318" s="7" t="n"/>
      <c r="AI318" s="7" t="n"/>
      <c r="AJ318" s="7" t="n"/>
      <c r="AK318" s="7" t="inlineStr">
        <is>
          <t>kings-of-judah #18 (ruler); messianic-line #50 (item); prophets-and-kings-a6 #18 (ruler)</t>
        </is>
      </c>
      <c r="AL318" s="7" t="n"/>
      <c r="AM318" s="7" t="n">
        <v>-627.6</v>
      </c>
      <c r="AN318" s="10" t="n"/>
      <c r="AO318" s="10" t="n"/>
      <c r="AP318" s="10" t="n"/>
      <c r="AQ318" s="10" t="n"/>
    </row>
    <row r="319">
      <c r="A319" s="7" t="inlineStr">
        <is>
          <t>b3-0097</t>
        </is>
      </c>
      <c r="B319" s="7" t="inlineStr">
        <is>
          <t>Point</t>
        </is>
      </c>
      <c r="C319" s="7" t="n"/>
      <c r="D319" s="7" t="inlineStr">
        <is>
          <t>c. 628 B.C.E. (?)</t>
        </is>
      </c>
      <c r="E319" s="7" t="inlineStr">
        <is>
          <t>ஏ. பொ.ச.மு. 628(?)</t>
        </is>
      </c>
      <c r="F319" s="7" t="inlineStr">
        <is>
          <t>628 BCE</t>
        </is>
      </c>
      <c r="G319" s="7" t="inlineStr">
        <is>
          <t>Approx. (c.)</t>
        </is>
      </c>
      <c r="H319" s="7" t="n"/>
      <c r="I319" s="7" t="n"/>
      <c r="J319" s="7" t="n"/>
      <c r="K319" s="2" t="inlineStr">
        <is>
          <t>Prophetic activity of Habakkuk</t>
        </is>
      </c>
      <c r="L319" s="2" t="inlineStr">
        <is>
          <t>ஆபகூக்</t>
        </is>
      </c>
      <c r="M319" s="7" t="inlineStr">
        <is>
          <t>Habakkuk prophesies early in Jehoiakim’s reign, possibly before the battle of Carchemish, a contemporary of Jeremiah.</t>
        </is>
      </c>
      <c r="N319" s="7" t="n"/>
      <c r="O319" s="8" t="inlineStr">
        <is>
          <t>Bible</t>
        </is>
      </c>
      <c r="P319" s="7" t="inlineStr">
        <is>
          <t>bible.prophet</t>
        </is>
      </c>
      <c r="Q319" s="7" t="inlineStr">
        <is>
          <t>prophet_activity</t>
        </is>
      </c>
      <c r="R319" s="7" t="inlineStr">
        <is>
          <t>Habakkuk</t>
        </is>
      </c>
      <c r="S319" s="7" t="n"/>
      <c r="T319" s="7" t="inlineStr">
        <is>
          <t>Hab. 1:1</t>
        </is>
      </c>
      <c r="U319" s="7" t="inlineStr">
        <is>
          <t>ஆப. 1:1</t>
        </is>
      </c>
      <c r="V319" s="7" t="n">
        <v>3</v>
      </c>
      <c r="W319" s="7" t="inlineStr">
        <is>
          <t>A6-B Chart: Prophets and Kings of Judah and of Israel (Part 2)</t>
        </is>
      </c>
      <c r="X319" s="9" t="inlineStr">
        <is>
          <t>open</t>
        </is>
      </c>
      <c r="Y319" s="9" t="inlineStr">
        <is>
          <t>open</t>
        </is>
      </c>
      <c r="Z319" s="7" t="inlineStr">
        <is>
          <t>https://wol.jw.org/en/wol/d/r1/lp-e/1001061215
https://wol.jw.org/en/wol/d/r1/lp-e/1101990096
https://wol.jw.org/en/wol/d/r1/lp-e/1200001789</t>
        </is>
      </c>
      <c r="AA319" s="7" t="n">
        <v>2</v>
      </c>
      <c r="AB319" s="9" t="inlineStr">
        <is>
          <t>open</t>
        </is>
      </c>
      <c r="AC319" s="7" t="n">
        <v>0</v>
      </c>
      <c r="AD319" s="7" t="n"/>
      <c r="AE319" s="7" t="n"/>
      <c r="AF319" s="7" t="n"/>
      <c r="AG319" s="7" t="n"/>
      <c r="AH319" s="7" t="n"/>
      <c r="AI319" s="7" t="n"/>
      <c r="AJ319" s="7" t="n"/>
      <c r="AK319" s="7" t="inlineStr">
        <is>
          <t>prophets-and-kings-a6 #56 (item)</t>
        </is>
      </c>
      <c r="AL319" s="7" t="inlineStr">
        <is>
          <t>Only an approximate single date is given. The A6 chart shows this prophet as an undated bar; range years come from the cited text sources. title_ta is the prophet’s name as printed in the Tamil A6 list.</t>
        </is>
      </c>
      <c r="AM319" s="7" t="n">
        <v>-627.45</v>
      </c>
      <c r="AN319" s="10" t="n"/>
      <c r="AO319" s="10" t="n"/>
      <c r="AP319" s="10" t="n"/>
      <c r="AQ319" s="10" t="n"/>
    </row>
    <row r="320">
      <c r="A320" s="7" t="inlineStr">
        <is>
          <t>b3-0099</t>
        </is>
      </c>
      <c r="B320" s="7" t="inlineStr">
        <is>
          <t>Point</t>
        </is>
      </c>
      <c r="C320" s="7" t="n"/>
      <c r="D320" s="7" t="inlineStr">
        <is>
          <t>625 B.C.E.</t>
        </is>
      </c>
      <c r="E320" s="7" t="n"/>
      <c r="F320" s="7" t="inlineStr">
        <is>
          <t>625 BCE</t>
        </is>
      </c>
      <c r="G320" s="7" t="inlineStr">
        <is>
          <t>Exact</t>
        </is>
      </c>
      <c r="H320" s="7" t="n"/>
      <c r="I320" s="7" t="n"/>
      <c r="J320" s="7" t="n"/>
      <c r="K320" s="2" t="inlineStr">
        <is>
          <t>Nebuchadnezzar defeats Egypt at Carchemish</t>
        </is>
      </c>
      <c r="L320" s="2" t="n"/>
      <c r="M320" s="7" t="inlineStr">
        <is>
          <t>In Jehoiakim’s fourth year, Nebuchadnezzar defeats Pharaoh Necho at Carchemish, breaking Egypt’s power.</t>
        </is>
      </c>
      <c r="N320" s="7" t="n"/>
      <c r="O320" s="8" t="inlineStr">
        <is>
          <t>Bible</t>
        </is>
      </c>
      <c r="P320" s="7" t="inlineStr">
        <is>
          <t>bible.monarchy</t>
        </is>
      </c>
      <c r="Q320" s="7" t="inlineStr">
        <is>
          <t>battle</t>
        </is>
      </c>
      <c r="R320" s="7" t="inlineStr">
        <is>
          <t>Nebuchadnezzar; Necho; Jehoiakim</t>
        </is>
      </c>
      <c r="S320" s="7" t="inlineStr">
        <is>
          <t>Carchemish</t>
        </is>
      </c>
      <c r="T320" s="7" t="inlineStr">
        <is>
          <t>Jer. 46:2</t>
        </is>
      </c>
      <c r="U320" s="7" t="inlineStr">
        <is>
          <t>எரே. 46:2</t>
        </is>
      </c>
      <c r="V320" s="7" t="n">
        <v>3</v>
      </c>
      <c r="W320" s="7" t="inlineStr">
        <is>
          <t>Nebuchadnezzar</t>
        </is>
      </c>
      <c r="X320" s="9" t="inlineStr">
        <is>
          <t>open</t>
        </is>
      </c>
      <c r="Y320" s="7" t="n"/>
      <c r="Z320" s="7" t="inlineStr">
        <is>
          <t>https://wol.jw.org/en/wol/d/r1/lp-e/1200003200
https://wol.jw.org/en/wol/d/r1/lp-e/1101990096
https://wol.jw.org/en/wol/d/r1/lp-e/1200001789</t>
        </is>
      </c>
      <c r="AA320" s="7" t="n">
        <v>0</v>
      </c>
      <c r="AB320" s="7" t="n"/>
      <c r="AC320" s="7" t="n">
        <v>0</v>
      </c>
      <c r="AD320" s="7" t="n"/>
      <c r="AE320" s="7" t="n"/>
      <c r="AF320" s="7" t="n"/>
      <c r="AG320" s="7" t="n"/>
      <c r="AH320" s="7" t="n"/>
      <c r="AI320" s="7" t="n"/>
      <c r="AJ320" s="7" t="n"/>
      <c r="AK320" s="7" t="n"/>
      <c r="AL320" s="7" t="n"/>
      <c r="AM320" s="7" t="n">
        <v>-624.6</v>
      </c>
      <c r="AN320" s="10" t="n"/>
      <c r="AO320" s="10" t="n"/>
      <c r="AP320" s="10" t="n"/>
      <c r="AQ320" s="10" t="n"/>
    </row>
    <row r="321">
      <c r="A321" s="7" t="inlineStr">
        <is>
          <t>b3-0100</t>
        </is>
      </c>
      <c r="B321" s="7" t="inlineStr">
        <is>
          <t>Point</t>
        </is>
      </c>
      <c r="C321" s="7" t="n"/>
      <c r="D321" s="7" t="inlineStr">
        <is>
          <t>625 B.C.E.</t>
        </is>
      </c>
      <c r="E321" s="7" t="inlineStr">
        <is>
          <t>பொ.ச.மு. 625</t>
        </is>
      </c>
      <c r="F321" s="7" t="inlineStr">
        <is>
          <t>625 BCE</t>
        </is>
      </c>
      <c r="G321" s="7" t="inlineStr">
        <is>
          <t>Exact</t>
        </is>
      </c>
      <c r="H321" s="7" t="n"/>
      <c r="I321" s="7" t="n"/>
      <c r="J321" s="7" t="n"/>
      <c r="K321" s="2" t="inlineStr">
        <is>
          <t>Nebuchadnezzar becomes king of Babylon</t>
        </is>
      </c>
      <c r="L321" s="2" t="inlineStr">
        <is>
          <t>(இரண்டாம்) நேபுகாத்நேச்சார் பாபிலோனின் அரசனாகிறான்</t>
        </is>
      </c>
      <c r="M321" s="7" t="inlineStr">
        <is>
          <t>Nebuchadnezzar (II) becomes king of Babylon; his first regnal year counts from Nisan of 624 B.C.E. He reigned 43 years.</t>
        </is>
      </c>
      <c r="N321" s="7" t="inlineStr">
        <is>
          <t>(இரண்டாம்) நேபுகாத்நேச்சார் பாபிலோனின் அரசனாகிறான்; முதல் ஆட்சியாண்டு பொ.ச.மு. 624-ன் நிசானிலிருந்து கணக்கிடப்படுகிறது</t>
        </is>
      </c>
      <c r="O321" s="8" t="inlineStr">
        <is>
          <t>Bible</t>
        </is>
      </c>
      <c r="P321" s="7" t="inlineStr">
        <is>
          <t>bible.monarchy</t>
        </is>
      </c>
      <c r="Q321" s="7" t="inlineStr">
        <is>
          <t>accession</t>
        </is>
      </c>
      <c r="R321" s="7" t="inlineStr">
        <is>
          <t>Nebuchadnezzar</t>
        </is>
      </c>
      <c r="S321" s="7" t="inlineStr">
        <is>
          <t>Babylon</t>
        </is>
      </c>
      <c r="T321" s="7" t="inlineStr">
        <is>
          <t>Jer. 25:1</t>
        </is>
      </c>
      <c r="U321" s="7" t="inlineStr">
        <is>
          <t>எரே. 25:1</t>
        </is>
      </c>
      <c r="V321" s="7" t="n">
        <v>2</v>
      </c>
      <c r="W321" s="7" t="inlineStr">
        <is>
          <t>Study Number 3—Measuring Events in the Stream of Time</t>
        </is>
      </c>
      <c r="X321" s="9" t="inlineStr">
        <is>
          <t>open</t>
        </is>
      </c>
      <c r="Y321" s="9" t="inlineStr">
        <is>
          <t>open</t>
        </is>
      </c>
      <c r="Z321" s="7" t="inlineStr">
        <is>
          <t>https://wol.jw.org/en/wol/d/r1/lp-e/1101990130
https://wol.jw.org/en/wol/d/r1/lp-e/1200003200</t>
        </is>
      </c>
      <c r="AA321" s="7" t="n">
        <v>0</v>
      </c>
      <c r="AB321" s="7" t="n"/>
      <c r="AC321" s="7" t="n">
        <v>0</v>
      </c>
      <c r="AD321" s="7" t="n"/>
      <c r="AE321" s="7" t="n"/>
      <c r="AF321" s="7" t="n"/>
      <c r="AG321" s="7" t="n"/>
      <c r="AH321" s="7" t="n"/>
      <c r="AI321" s="7" t="inlineStr">
        <is>
          <t>Covered by span – hide on chart</t>
        </is>
      </c>
      <c r="AJ321" s="7" t="inlineStr">
        <is>
          <t>start of Reign of Nebuchadnezzar II, king of Babylon (b12-0020)</t>
        </is>
      </c>
      <c r="AK321" s="7" t="n"/>
      <c r="AL321" s="7" t="n"/>
      <c r="AM321" s="7" t="n">
        <v>-624.5</v>
      </c>
      <c r="AN321" s="10" t="n"/>
      <c r="AO321" s="10" t="n"/>
      <c r="AP321" s="10" t="n"/>
      <c r="AQ321" s="10" t="n"/>
    </row>
    <row r="322">
      <c r="A322" s="7" t="inlineStr">
        <is>
          <t>b12-0020</t>
        </is>
      </c>
      <c r="B322" s="11" t="inlineStr">
        <is>
          <t>Span</t>
        </is>
      </c>
      <c r="C322" s="7" t="inlineStr">
        <is>
          <t>reign</t>
        </is>
      </c>
      <c r="D322" s="7" t="inlineStr">
        <is>
          <t>624-582 B.C.E.</t>
        </is>
      </c>
      <c r="E322" s="7" t="n"/>
      <c r="F322" s="7" t="inlineStr">
        <is>
          <t>624 BCE</t>
        </is>
      </c>
      <c r="G322" s="7" t="inlineStr">
        <is>
          <t>Exact</t>
        </is>
      </c>
      <c r="H322" s="7" t="inlineStr">
        <is>
          <t>582 BCE</t>
        </is>
      </c>
      <c r="I322" s="7" t="inlineStr">
        <is>
          <t>Exact</t>
        </is>
      </c>
      <c r="J322" s="7" t="inlineStr">
        <is>
          <t>43 years</t>
        </is>
      </c>
      <c r="K322" s="2" t="inlineStr">
        <is>
          <t>Reign of Nebuchadnezzar II, king of Babylon</t>
        </is>
      </c>
      <c r="L322" s="2" t="n"/>
      <c r="M322" s="7" t="inlineStr">
        <is>
          <t>Nebuchadnezzar became king in 625 B.C.E. after defeating Egypt at Carchemish; his 43 official regnal years ran from 624 to 582 B.C.E. He destroyed Jerusalem in 607 B.C.E.</t>
        </is>
      </c>
      <c r="N322" s="7" t="inlineStr">
        <is>
          <t>இவ்வாறு பொ.ச.மு. 624-ல் நேபுகாத்நேச்சார் பாபிலோனிய ஆட்சிப்பீடத்தில் அமர்ந்து, பாபிலோனிய சாம்ராஜ்யத்தின் இரண்டாம் அரசரானார்.</t>
        </is>
      </c>
      <c r="O322" s="8" t="inlineStr">
        <is>
          <t>Bible</t>
        </is>
      </c>
      <c r="P322" s="7" t="inlineStr">
        <is>
          <t>bible.exile_return</t>
        </is>
      </c>
      <c r="Q322" s="7" t="n"/>
      <c r="R322" s="7" t="inlineStr">
        <is>
          <t>Nebuchadnezzar</t>
        </is>
      </c>
      <c r="S322" s="7" t="inlineStr">
        <is>
          <t>Babylon</t>
        </is>
      </c>
      <c r="T322" s="7" t="inlineStr">
        <is>
          <t>Dan. 4:31-33; Jer. 46:2</t>
        </is>
      </c>
      <c r="U322" s="7" t="inlineStr">
        <is>
          <t>தானி. 4:31-33; எரே. 46:2</t>
        </is>
      </c>
      <c r="V322" s="7" t="n">
        <v>3</v>
      </c>
      <c r="W322" s="7" t="inlineStr">
        <is>
          <t>Nebuchadnezzar</t>
        </is>
      </c>
      <c r="X322" s="9" t="inlineStr">
        <is>
          <t>open</t>
        </is>
      </c>
      <c r="Y322" s="7" t="n"/>
      <c r="Z322" s="7" t="inlineStr">
        <is>
          <t>https://wol.jw.org/en/wol/d/r1/lp-e/1200003200
https://wol.jw.org/en/wol/d/r1/lp-e/1200003200
https://wol.jw.org/en/wol/d/r1/lp-e/1101999023</t>
        </is>
      </c>
      <c r="AA322" s="7" t="n">
        <v>0</v>
      </c>
      <c r="AB322" s="7" t="n"/>
      <c r="AC322" s="7" t="n">
        <v>0</v>
      </c>
      <c r="AD322" s="7" t="n"/>
      <c r="AE322" s="7" t="n"/>
      <c r="AF322" s="7" t="inlineStr">
        <is>
          <t>b3-0100</t>
        </is>
      </c>
      <c r="AG322" s="7" t="inlineStr">
        <is>
          <t>b4-0013</t>
        </is>
      </c>
      <c r="AH322" s="7" t="n"/>
      <c r="AI322" s="7" t="n"/>
      <c r="AJ322" s="7" t="n"/>
      <c r="AK322" s="7" t="n"/>
      <c r="AL322" s="7" t="inlineStr">
        <is>
          <t>Accession year 625 B.C.E. (start_event b3-0100); first official regnal year 624 B.C.E.</t>
        </is>
      </c>
      <c r="AM322" s="7" t="n">
        <v>-623.75</v>
      </c>
      <c r="AN322" s="10" t="n"/>
      <c r="AO322" s="10" t="n"/>
      <c r="AP322" s="10" t="n"/>
      <c r="AQ322" s="10" t="n"/>
    </row>
    <row r="323">
      <c r="A323" s="7" t="inlineStr">
        <is>
          <t>b3-0101</t>
        </is>
      </c>
      <c r="B323" s="7" t="inlineStr">
        <is>
          <t>Point</t>
        </is>
      </c>
      <c r="C323" s="7" t="n"/>
      <c r="D323" s="7" t="inlineStr">
        <is>
          <t>620 B.C.E.</t>
        </is>
      </c>
      <c r="E323" s="7" t="inlineStr">
        <is>
          <t>பொ.ச.மு. 620</t>
        </is>
      </c>
      <c r="F323" s="7" t="inlineStr">
        <is>
          <t>620 BCE</t>
        </is>
      </c>
      <c r="G323" s="7" t="inlineStr">
        <is>
          <t>Exact</t>
        </is>
      </c>
      <c r="H323" s="7" t="n"/>
      <c r="I323" s="7" t="n"/>
      <c r="J323" s="7" t="n"/>
      <c r="K323" s="2" t="inlineStr">
        <is>
          <t>Nebuchadnezzar makes Jehoiakim a tributary king</t>
        </is>
      </c>
      <c r="L323" s="2" t="inlineStr">
        <is>
          <t>நேபுகாத்நேச்சார் யோயாக்கீமை கப்பம்கட்டும் அரசனாக்குகிறான்</t>
        </is>
      </c>
      <c r="M323" s="7" t="inlineStr">
        <is>
          <t>Nebuchadnezzar makes King Jehoiakim of Judah his vassal — the first of Nebuchadnezzar’s moves against Jerusalem.</t>
        </is>
      </c>
      <c r="N323" s="7" t="inlineStr">
        <is>
          <t>நேபுகாத்நேச்சார் யோயாக்கீமை கப்பம்கட்டும் அரசனாக்குகிறான்</t>
        </is>
      </c>
      <c r="O323" s="8" t="inlineStr">
        <is>
          <t>Bible</t>
        </is>
      </c>
      <c r="P323" s="7" t="inlineStr">
        <is>
          <t>bible.monarchy</t>
        </is>
      </c>
      <c r="Q323" s="7" t="inlineStr">
        <is>
          <t>vassalage</t>
        </is>
      </c>
      <c r="R323" s="7" t="inlineStr">
        <is>
          <t>Nebuchadnezzar; Jehoiakim</t>
        </is>
      </c>
      <c r="S323" s="7" t="inlineStr">
        <is>
          <t>Judah; Babylon</t>
        </is>
      </c>
      <c r="T323" s="7" t="inlineStr">
        <is>
          <t>2 Ki. 24:1</t>
        </is>
      </c>
      <c r="U323" s="7" t="inlineStr">
        <is>
          <t>2 இரா. 24:1</t>
        </is>
      </c>
      <c r="V323" s="7" t="n">
        <v>3</v>
      </c>
      <c r="W323" s="7" t="inlineStr">
        <is>
          <t>Study Number 3—Measuring Events in the Stream of Time</t>
        </is>
      </c>
      <c r="X323" s="9" t="inlineStr">
        <is>
          <t>open</t>
        </is>
      </c>
      <c r="Y323" s="9" t="inlineStr">
        <is>
          <t>open</t>
        </is>
      </c>
      <c r="Z323" s="7" t="inlineStr">
        <is>
          <t>https://wol.jw.org/en/wol/d/r1/lp-e/1101990130
https://wol.jw.org/en/wol/d/r1/lp-e/1200000970
https://wol.jw.org/en/wol/d/r1/lp-e/1200003200</t>
        </is>
      </c>
      <c r="AA323" s="7" t="n">
        <v>0</v>
      </c>
      <c r="AB323" s="7" t="n"/>
      <c r="AC323" s="7" t="n">
        <v>0</v>
      </c>
      <c r="AD323" s="7" t="n"/>
      <c r="AE323" s="7" t="n"/>
      <c r="AF323" s="7" t="n"/>
      <c r="AG323" s="7" t="n"/>
      <c r="AH323" s="7" t="n"/>
      <c r="AI323" s="7" t="n"/>
      <c r="AJ323" s="7" t="n"/>
      <c r="AK323" s="7" t="n"/>
      <c r="AL323" s="7" t="n"/>
      <c r="AM323" s="7" t="n">
        <v>-620</v>
      </c>
      <c r="AN323" s="10" t="n"/>
      <c r="AO323" s="10" t="n"/>
      <c r="AP323" s="10" t="n"/>
      <c r="AQ323" s="10" t="n"/>
    </row>
    <row r="324">
      <c r="A324" s="7" t="inlineStr">
        <is>
          <t>b3-0102</t>
        </is>
      </c>
      <c r="B324" s="7" t="inlineStr">
        <is>
          <t>Point</t>
        </is>
      </c>
      <c r="C324" s="7" t="n"/>
      <c r="D324" s="7" t="inlineStr">
        <is>
          <t>618 B.C.E.</t>
        </is>
      </c>
      <c r="E324" s="7" t="n"/>
      <c r="F324" s="7" t="inlineStr">
        <is>
          <t>618 BCE</t>
        </is>
      </c>
      <c r="G324" s="7" t="inlineStr">
        <is>
          <t>Exact</t>
        </is>
      </c>
      <c r="H324" s="7" t="n"/>
      <c r="I324" s="7" t="n"/>
      <c r="J324" s="7" t="n"/>
      <c r="K324" s="2" t="inlineStr">
        <is>
          <t>Jehoiakim rebels; Nebuchadnezzar comes against Jerusalem</t>
        </is>
      </c>
      <c r="L324" s="2" t="n"/>
      <c r="M324" s="7" t="inlineStr">
        <is>
          <t>In his third year of vassalage Jehoiakim rebels against Babylon; Nebuchadnezzar comes up to punish him and lays siege to Jerusalem, and Jehoiakim dies that year.</t>
        </is>
      </c>
      <c r="N324" s="7" t="n"/>
      <c r="O324" s="8" t="inlineStr">
        <is>
          <t>Bible</t>
        </is>
      </c>
      <c r="P324" s="7" t="inlineStr">
        <is>
          <t>bible.monarchy</t>
        </is>
      </c>
      <c r="Q324" s="7" t="inlineStr">
        <is>
          <t>rebellion</t>
        </is>
      </c>
      <c r="R324" s="7" t="inlineStr">
        <is>
          <t>Jehoiakim; Nebuchadnezzar</t>
        </is>
      </c>
      <c r="S324" s="7" t="inlineStr">
        <is>
          <t>Jerusalem</t>
        </is>
      </c>
      <c r="T324" s="7" t="inlineStr">
        <is>
          <t>2 Ki. 24:1; Dan. 1:1</t>
        </is>
      </c>
      <c r="U324" s="7" t="inlineStr">
        <is>
          <t>2 இரா. 24:1; தானி. 1:1</t>
        </is>
      </c>
      <c r="V324" s="7" t="n">
        <v>3</v>
      </c>
      <c r="W324" s="7" t="inlineStr">
        <is>
          <t>Jehoiachin</t>
        </is>
      </c>
      <c r="X324" s="9" t="inlineStr">
        <is>
          <t>open</t>
        </is>
      </c>
      <c r="Y324" s="7" t="n"/>
      <c r="Z324" s="7" t="inlineStr">
        <is>
          <t>https://wol.jw.org/en/wol/d/r1/lp-e/1200002375
https://wol.jw.org/en/wol/d/r1/lp-e/1101990075
https://wol.jw.org/en/wol/d/r1/lp-e/1200001117</t>
        </is>
      </c>
      <c r="AA324" s="7" t="n">
        <v>0</v>
      </c>
      <c r="AB324" s="7" t="n"/>
      <c r="AC324" s="7" t="n">
        <v>0</v>
      </c>
      <c r="AD324" s="7" t="n"/>
      <c r="AE324" s="7" t="n"/>
      <c r="AF324" s="7" t="n"/>
      <c r="AG324" s="7" t="n"/>
      <c r="AH324" s="7" t="n"/>
      <c r="AI324" s="7" t="n"/>
      <c r="AJ324" s="7" t="n"/>
      <c r="AK324" s="7" t="n"/>
      <c r="AL324" s="7" t="n"/>
      <c r="AM324" s="7" t="n">
        <v>-617.5</v>
      </c>
      <c r="AN324" s="10" t="n"/>
      <c r="AO324" s="10" t="n"/>
      <c r="AP324" s="10" t="n"/>
      <c r="AQ324" s="10" t="n"/>
    </row>
    <row r="325">
      <c r="A325" s="7" t="inlineStr">
        <is>
          <t>b3-0103</t>
        </is>
      </c>
      <c r="B325" s="11" t="inlineStr">
        <is>
          <t>Span</t>
        </is>
      </c>
      <c r="C325" s="7" t="inlineStr">
        <is>
          <t>prophetic activity</t>
        </is>
      </c>
      <c r="D325" s="7" t="inlineStr">
        <is>
          <t>618–c. 536 B.C.E.</t>
        </is>
      </c>
      <c r="E325" s="7" t="inlineStr">
        <is>
          <t>பொ.ச.மு. 618-ஏ. 536</t>
        </is>
      </c>
      <c r="F325" s="7" t="inlineStr">
        <is>
          <t>618 BCE</t>
        </is>
      </c>
      <c r="G325" s="7" t="inlineStr">
        <is>
          <t>Exact</t>
        </is>
      </c>
      <c r="H325" s="7" t="inlineStr">
        <is>
          <t>536 BCE</t>
        </is>
      </c>
      <c r="I325" s="7" t="inlineStr">
        <is>
          <t>Approx. (c.)</t>
        </is>
      </c>
      <c r="J325" s="7" t="inlineStr">
        <is>
          <t>c. 82 years</t>
        </is>
      </c>
      <c r="K325" s="2" t="inlineStr">
        <is>
          <t>Prophetic activity of Daniel</t>
        </is>
      </c>
      <c r="L325" s="2" t="inlineStr">
        <is>
          <t>தானியேல்</t>
        </is>
      </c>
      <c r="M325" s="7" t="inlineStr">
        <is>
          <t>Daniel’s book covers from Jehoiakim’s third year as tributary king (618) to Cyrus’ third year; Daniel serves in Babylon for some 80 years.</t>
        </is>
      </c>
      <c r="N325" s="7" t="n"/>
      <c r="O325" s="8" t="inlineStr">
        <is>
          <t>Bible</t>
        </is>
      </c>
      <c r="P325" s="7" t="inlineStr">
        <is>
          <t>bible.prophet</t>
        </is>
      </c>
      <c r="Q325" s="7" t="inlineStr">
        <is>
          <t>prophet_activity</t>
        </is>
      </c>
      <c r="R325" s="7" t="inlineStr">
        <is>
          <t>Daniel</t>
        </is>
      </c>
      <c r="S325" s="7" t="n"/>
      <c r="T325" s="7" t="inlineStr">
        <is>
          <t>Dan. 1:1; Dan. 10:1</t>
        </is>
      </c>
      <c r="U325" s="7" t="inlineStr">
        <is>
          <t>தானி. 1:1; தானி. 10:1</t>
        </is>
      </c>
      <c r="V325" s="7" t="n">
        <v>4</v>
      </c>
      <c r="W325" s="7" t="inlineStr">
        <is>
          <t>A6-B Chart: Prophets and Kings of Judah and of Israel (Part 2)</t>
        </is>
      </c>
      <c r="X325" s="9" t="inlineStr">
        <is>
          <t>open</t>
        </is>
      </c>
      <c r="Y325" s="9" t="inlineStr">
        <is>
          <t>open</t>
        </is>
      </c>
      <c r="Z325" s="7" t="inlineStr">
        <is>
          <t>https://wol.jw.org/en/wol/d/r1/lp-e/1001061215
https://wol.jw.org/en/wol/d/r1/lp-e/1101990088
https://wol.jw.org/en/wol/d/r1/lp-e/1200001117
https://wol.jw.org/en/wol/d/r1/lp-e/1001060002</t>
        </is>
      </c>
      <c r="AA325" s="7" t="n">
        <v>2</v>
      </c>
      <c r="AB325" s="9" t="inlineStr">
        <is>
          <t>open</t>
        </is>
      </c>
      <c r="AC325" s="7" t="n">
        <v>0</v>
      </c>
      <c r="AD325" s="7" t="n"/>
      <c r="AE325" s="7" t="n"/>
      <c r="AF325" s="7" t="n"/>
      <c r="AG325" s="7" t="n"/>
      <c r="AH325" s="7" t="n"/>
      <c r="AI325" s="7" t="n"/>
      <c r="AJ325" s="7" t="n"/>
      <c r="AK325" s="7" t="inlineStr">
        <is>
          <t>fulfilled-prophecies-nations #43 (prophecy); fulfilled-prophecies-nations #49 (prophecy); prophets-and-kings-a6 #57 (item)</t>
        </is>
      </c>
      <c r="AL325" s="7" t="inlineStr">
        <is>
          <t>The A6 chart shows this prophet as an undated bar; range years come from the cited text sources. title_ta is the prophet’s name as printed in the Tamil A6 list.</t>
        </is>
      </c>
      <c r="AM325" s="7" t="n">
        <v>-617.4</v>
      </c>
      <c r="AN325" s="10" t="n"/>
      <c r="AO325" s="10" t="n"/>
      <c r="AP325" s="10" t="n"/>
      <c r="AQ325" s="10" t="n"/>
    </row>
    <row r="326">
      <c r="A326" s="7" t="inlineStr">
        <is>
          <t>b3-0104</t>
        </is>
      </c>
      <c r="B326" s="7" t="inlineStr">
        <is>
          <t>Point</t>
        </is>
      </c>
      <c r="C326" s="7" t="n"/>
      <c r="D326" s="7" t="inlineStr">
        <is>
          <t>618 B.C.E.</t>
        </is>
      </c>
      <c r="E326" s="7" t="inlineStr">
        <is>
          <t>கி.மு. 618</t>
        </is>
      </c>
      <c r="F326" s="7" t="inlineStr">
        <is>
          <t>618 BCE</t>
        </is>
      </c>
      <c r="G326" s="7" t="inlineStr">
        <is>
          <t>Exact</t>
        </is>
      </c>
      <c r="H326" s="7" t="n"/>
      <c r="I326" s="7" t="n"/>
      <c r="J326" s="7" t="n"/>
      <c r="K326" s="2" t="inlineStr">
        <is>
          <t>Jehoiachin becomes king of Judah (3 months, 10 days)</t>
        </is>
      </c>
      <c r="L326" s="2" t="inlineStr">
        <is>
          <t>யோயாக்கீன்: 3 மாதங்கள், 10 நாட்கள்</t>
        </is>
      </c>
      <c r="M326" s="7" t="inlineStr">
        <is>
          <t>Jehoiachin begins to reign over the southern two-tribe kingdom of Judah; the NWT chart gives a reign of 3 months, 10 days.</t>
        </is>
      </c>
      <c r="N326" s="7" t="inlineStr">
        <is>
          <t>யோயாக்கீமுக்குப் பின் யோயாக்கீன் யூதாவில் அரசனாகிறான்</t>
        </is>
      </c>
      <c r="O326" s="8" t="inlineStr">
        <is>
          <t>Bible</t>
        </is>
      </c>
      <c r="P326" s="7" t="inlineStr">
        <is>
          <t>bible.monarchy</t>
        </is>
      </c>
      <c r="Q326" s="7" t="inlineStr">
        <is>
          <t>accession</t>
        </is>
      </c>
      <c r="R326" s="7" t="inlineStr">
        <is>
          <t>Jehoiachin</t>
        </is>
      </c>
      <c r="S326" s="7" t="inlineStr">
        <is>
          <t>Judah</t>
        </is>
      </c>
      <c r="T326" s="7" t="inlineStr">
        <is>
          <t>2 Ki. 24:6, 8</t>
        </is>
      </c>
      <c r="U326" s="7" t="inlineStr">
        <is>
          <t>2 இரா. 24:6, 8</t>
        </is>
      </c>
      <c r="V326" s="7" t="n">
        <v>4</v>
      </c>
      <c r="W326" s="7" t="inlineStr">
        <is>
          <t>A6-B Chart: Prophets and Kings of Judah and of Israel (Part 2)</t>
        </is>
      </c>
      <c r="X326" s="9" t="inlineStr">
        <is>
          <t>open</t>
        </is>
      </c>
      <c r="Y326" s="9" t="inlineStr">
        <is>
          <t>open</t>
        </is>
      </c>
      <c r="Z326" s="7" t="inlineStr">
        <is>
          <t>https://wol.jw.org/en/wol/d/r1/lp-e/1001061215
https://wol.jw.org/en/wol/d/r1/lp-e/1101990130
https://wol.jw.org/en/wol/d/r1/lp-e/1200000970
https://wol.jw.org/en/wol/d/r1/lp-e/1200002375</t>
        </is>
      </c>
      <c r="AA326" s="7" t="n">
        <v>2</v>
      </c>
      <c r="AB326" s="9" t="inlineStr">
        <is>
          <t>open</t>
        </is>
      </c>
      <c r="AC326" s="7" t="n">
        <v>1</v>
      </c>
      <c r="AD326" s="7" t="inlineStr">
        <is>
          <t>The older Aid to Bible Understanding chart (1971) places Jehoiachin’s accession at 619; NWT A6-B, Insight chart and si Study 3 give 618.</t>
        </is>
      </c>
      <c r="AE326" s="7" t="n"/>
      <c r="AF326" s="7" t="n"/>
      <c r="AG326" s="7" t="n"/>
      <c r="AH326" s="7" t="n"/>
      <c r="AI326" s="7" t="inlineStr">
        <is>
          <t>Covered by span – hide on chart</t>
        </is>
      </c>
      <c r="AJ326" s="7" t="inlineStr">
        <is>
          <t>end of Reign of Jehoiakim (Judah) (d1-0049); start of Reign of Jehoiachin (Judah) (d1-0050)</t>
        </is>
      </c>
      <c r="AK326" s="7" t="n"/>
      <c r="AL326" s="7" t="n"/>
      <c r="AM326" s="7" t="n">
        <v>-617.1</v>
      </c>
      <c r="AN326" s="10" t="n"/>
      <c r="AO326" s="10" t="n"/>
      <c r="AP326" s="10" t="n"/>
      <c r="AQ326" s="10" t="n"/>
    </row>
    <row r="327">
      <c r="A327" s="7" t="inlineStr">
        <is>
          <t>d1-0050</t>
        </is>
      </c>
      <c r="B327" s="11" t="inlineStr">
        <is>
          <t>Span</t>
        </is>
      </c>
      <c r="C327" s="7" t="inlineStr">
        <is>
          <t>reign</t>
        </is>
      </c>
      <c r="D327" s="7" t="inlineStr">
        <is>
          <t>618 B.C.E.</t>
        </is>
      </c>
      <c r="E327" s="7" t="inlineStr">
        <is>
          <t>கி.மு. 618 – கி.மு. 617</t>
        </is>
      </c>
      <c r="F327" s="7" t="inlineStr">
        <is>
          <t>618 BCE</t>
        </is>
      </c>
      <c r="G327" s="7" t="inlineStr">
        <is>
          <t>Exact</t>
        </is>
      </c>
      <c r="H327" s="7" t="inlineStr">
        <is>
          <t>618 BCE</t>
        </is>
      </c>
      <c r="I327" s="7" t="inlineStr">
        <is>
          <t>Exact</t>
        </is>
      </c>
      <c r="J327" s="7" t="inlineStr">
        <is>
          <t>3 months, 10 days</t>
        </is>
      </c>
      <c r="K327" s="2" t="inlineStr">
        <is>
          <t>Reign of Jehoiachin (Judah)</t>
        </is>
      </c>
      <c r="L327" s="2" t="n"/>
      <c r="M327" s="7" t="inlineStr">
        <is>
          <t>Jehoiachin rules Judah. Starts with Jehoiachin becomes king of Judah (3 months, 10 days) (618 B.C.E.); ends when Zedekiah becomes king (b3-0108), as laid out in NWT Appendix A6.</t>
        </is>
      </c>
      <c r="N327" s="7" t="n"/>
      <c r="O327" s="8" t="inlineStr">
        <is>
          <t>Bible</t>
        </is>
      </c>
      <c r="P327" s="7" t="inlineStr">
        <is>
          <t>bible.monarchy</t>
        </is>
      </c>
      <c r="Q327" s="7" t="inlineStr">
        <is>
          <t>reign</t>
        </is>
      </c>
      <c r="R327" s="7" t="inlineStr">
        <is>
          <t>Jehoiachin</t>
        </is>
      </c>
      <c r="S327" s="7" t="inlineStr">
        <is>
          <t>Judah</t>
        </is>
      </c>
      <c r="T327" s="7" t="inlineStr">
        <is>
          <t>2 Ki. 24:6, 8; 2 Ki. 24:12-18</t>
        </is>
      </c>
      <c r="U327" s="7" t="inlineStr">
        <is>
          <t>2 இரா. 24:6, 8; 2 இரா. 24:12-18</t>
        </is>
      </c>
      <c r="V327" s="7" t="n">
        <v>4</v>
      </c>
      <c r="W327" s="7" t="inlineStr">
        <is>
          <t>A6-B Chart: Prophets and Kings of Judah and of Israel (Part 2)</t>
        </is>
      </c>
      <c r="X327" s="9" t="inlineStr">
        <is>
          <t>open</t>
        </is>
      </c>
      <c r="Y327" s="9" t="inlineStr">
        <is>
          <t>open</t>
        </is>
      </c>
      <c r="Z327" s="7" t="inlineStr">
        <is>
          <t>https://wol.jw.org/en/wol/d/r1/lp-e/1001061215
https://wol.jw.org/en/wol/d/r1/lp-e/1101990130
https://wol.jw.org/en/wol/d/r1/lp-e/1200000970
https://wol.jw.org/en/wol/d/r1/lp-e/1200002375</t>
        </is>
      </c>
      <c r="AA327" s="7" t="n">
        <v>0</v>
      </c>
      <c r="AB327" s="7" t="n"/>
      <c r="AC327" s="7" t="n">
        <v>1</v>
      </c>
      <c r="AD327" s="7" t="inlineStr">
        <is>
          <t>The older Aid to Bible Understanding chart (1971) places Jehoiachin’s accession at 619; NWT A6-B, Insight chart and si Study 3 give 618.</t>
        </is>
      </c>
      <c r="AE327" s="7" t="inlineStr">
        <is>
          <t>Start b3-0104; ends when Zedekiah becomes king (b3-0108), as laid out in NWT Appendix A6. Reign shorter than a year: end placed in the accession year using the printed length.</t>
        </is>
      </c>
      <c r="AF327" s="7" t="inlineStr">
        <is>
          <t>b3-0104</t>
        </is>
      </c>
      <c r="AG327" s="7" t="inlineStr">
        <is>
          <t>b3-0108</t>
        </is>
      </c>
      <c r="AH327" s="7" t="n"/>
      <c r="AI327" s="7" t="n"/>
      <c r="AJ327" s="7" t="n"/>
      <c r="AK327" s="7" t="inlineStr">
        <is>
          <t>kings-of-judah #19 (ruler); messianic-line #51 (item); prophets-and-kings-a6 #19 (ruler)</t>
        </is>
      </c>
      <c r="AL327" s="7" t="n"/>
      <c r="AM327" s="7" t="n">
        <v>-617.1</v>
      </c>
      <c r="AN327" s="10" t="n"/>
      <c r="AO327" s="10" t="n"/>
      <c r="AP327" s="10" t="n"/>
      <c r="AQ327" s="10" t="n"/>
    </row>
    <row r="328">
      <c r="A328" s="7" t="inlineStr">
        <is>
          <t>b3-0105</t>
        </is>
      </c>
      <c r="B328" s="7" t="inlineStr">
        <is>
          <t>Point</t>
        </is>
      </c>
      <c r="C328" s="7" t="n"/>
      <c r="D328" s="7" t="inlineStr">
        <is>
          <t>617 B.C.E., Adar</t>
        </is>
      </c>
      <c r="E328" s="7" t="inlineStr">
        <is>
          <t>பொ.ச.மு. 617</t>
        </is>
      </c>
      <c r="F328" s="7" t="inlineStr">
        <is>
          <t>617 BCE</t>
        </is>
      </c>
      <c r="G328" s="7" t="inlineStr">
        <is>
          <t>Exact</t>
        </is>
      </c>
      <c r="H328" s="7" t="n"/>
      <c r="I328" s="7" t="n"/>
      <c r="J328" s="7" t="n"/>
      <c r="K328" s="2" t="inlineStr">
        <is>
          <t>Jehoiachin surrenders; first Jewish captives taken to Babylon</t>
        </is>
      </c>
      <c r="L328" s="2" t="inlineStr">
        <is>
          <t>நேபுகாத்நேச்சார் முதல் யூதக் கைதிகளைப் பாபிலோனுக்குச் சிறைப்படுத்திக் கொண்டு செல்கிறான்</t>
        </is>
      </c>
      <c r="M328" s="7" t="inlineStr">
        <is>
          <t>After a reign of three months and ten days, Jehoiachin surrenders Jerusalem to Nebuchadnezzar, who carries the king, the princes, craftsmen and temple treasures to Babylon.</t>
        </is>
      </c>
      <c r="N328" s="7" t="inlineStr">
        <is>
          <t>நேபுகாத்நேச்சார் முதல் யூதக் கைதிகளைப் பாபிலோனுக்குச் சிறைப்படுத்திக் கொண்டு செல்கிறான்</t>
        </is>
      </c>
      <c r="O328" s="8" t="inlineStr">
        <is>
          <t>Bible</t>
        </is>
      </c>
      <c r="P328" s="7" t="inlineStr">
        <is>
          <t>bible.exile_return</t>
        </is>
      </c>
      <c r="Q328" s="7" t="inlineStr">
        <is>
          <t>exile</t>
        </is>
      </c>
      <c r="R328" s="7" t="inlineStr">
        <is>
          <t>Jehoiachin; Nebuchadnezzar</t>
        </is>
      </c>
      <c r="S328" s="7" t="inlineStr">
        <is>
          <t>Jerusalem; Babylon</t>
        </is>
      </c>
      <c r="T328" s="7" t="inlineStr">
        <is>
          <t>2 Ki. 24:11-17; Dan. 1:1-4</t>
        </is>
      </c>
      <c r="U328" s="7" t="inlineStr">
        <is>
          <t>2 இரா. 24:11-17; தானி. 1:1-4</t>
        </is>
      </c>
      <c r="V328" s="7" t="n">
        <v>4</v>
      </c>
      <c r="W328" s="7" t="inlineStr">
        <is>
          <t>Study Number 3—Measuring Events in the Stream of Time</t>
        </is>
      </c>
      <c r="X328" s="9" t="inlineStr">
        <is>
          <t>open</t>
        </is>
      </c>
      <c r="Y328" s="9" t="inlineStr">
        <is>
          <t>open</t>
        </is>
      </c>
      <c r="Z328" s="7" t="inlineStr">
        <is>
          <t>https://wol.jw.org/en/wol/d/r1/lp-e/1101990130
https://wol.jw.org/en/wol/d/r1/lp-e/1200000970
https://wol.jw.org/en/wol/d/r1/lp-e/1200002375
https://wol.jw.org/en/wol/d/r1/lp-e/1101990085</t>
        </is>
      </c>
      <c r="AA328" s="7" t="n">
        <v>0</v>
      </c>
      <c r="AB328" s="7" t="n"/>
      <c r="AC328" s="7" t="n">
        <v>1</v>
      </c>
      <c r="AD328" s="7" t="inlineStr">
        <is>
          <t>Insight "Nebuchadnezzar" dates the surrender to Adar of Nebuchadnezzar’s 7th regnal year (ending Nisan 617); the Babylonian month Adar falls in early 617 B.C.E.</t>
        </is>
      </c>
      <c r="AE328" s="7" t="n"/>
      <c r="AF328" s="7" t="n"/>
      <c r="AG328" s="7" t="n"/>
      <c r="AH328" s="7" t="n"/>
      <c r="AI328" s="7" t="inlineStr">
        <is>
          <t>Span endpoint – keep</t>
        </is>
      </c>
      <c r="AJ328" s="7" t="inlineStr">
        <is>
          <t>start of Jehoiachin’s captivity in Babylon (b12-0021)</t>
        </is>
      </c>
      <c r="AK328" s="7" t="inlineStr">
        <is>
          <t>fulfilled-prophecies-nations #26 (fulfillment)</t>
        </is>
      </c>
      <c r="AL328" s="7" t="n"/>
      <c r="AM328" s="7" t="n">
        <v>-616.95</v>
      </c>
      <c r="AN328" s="10" t="n"/>
      <c r="AO328" s="10" t="n"/>
      <c r="AP328" s="10" t="n"/>
      <c r="AQ328" s="10" t="n"/>
    </row>
    <row r="329">
      <c r="A329" s="7" t="inlineStr">
        <is>
          <t>b12-0021</t>
        </is>
      </c>
      <c r="B329" s="11" t="inlineStr">
        <is>
          <t>Span</t>
        </is>
      </c>
      <c r="C329" s="7" t="inlineStr">
        <is>
          <t>imprisonment</t>
        </is>
      </c>
      <c r="D329" s="7" t="inlineStr">
        <is>
          <t>617 B.C.E.–580 B.C.E.</t>
        </is>
      </c>
      <c r="E329" s="7" t="n"/>
      <c r="F329" s="7" t="inlineStr">
        <is>
          <t>617 BCE</t>
        </is>
      </c>
      <c r="G329" s="7" t="inlineStr">
        <is>
          <t>Exact</t>
        </is>
      </c>
      <c r="H329" s="7" t="inlineStr">
        <is>
          <t>580 BCE</t>
        </is>
      </c>
      <c r="I329" s="7" t="inlineStr">
        <is>
          <t>Exact</t>
        </is>
      </c>
      <c r="J329" s="7" t="inlineStr">
        <is>
          <t>to the 37th year of his exile</t>
        </is>
      </c>
      <c r="K329" s="2" t="inlineStr">
        <is>
          <t>Jehoiachin’s captivity in Babylon</t>
        </is>
      </c>
      <c r="L329" s="2" t="n"/>
      <c r="M329" s="7" t="inlineStr">
        <is>
          <t>King Jehoiachin surrendered to Nebuchadnezzar and was taken captive to Babylon; in the 37th year of his exile Evil-merodach released him from prison.</t>
        </is>
      </c>
      <c r="N329" s="7" t="n"/>
      <c r="O329" s="8" t="inlineStr">
        <is>
          <t>Bible</t>
        </is>
      </c>
      <c r="P329" s="7" t="inlineStr">
        <is>
          <t>bible.exile_return</t>
        </is>
      </c>
      <c r="Q329" s="7" t="n"/>
      <c r="R329" s="7" t="inlineStr">
        <is>
          <t>Jehoiachin; Evil-merodach</t>
        </is>
      </c>
      <c r="S329" s="7" t="inlineStr">
        <is>
          <t>Babylon</t>
        </is>
      </c>
      <c r="T329" s="7" t="inlineStr">
        <is>
          <t>2 Ki. 24:12; 2 Ki. 25:27-30; Jer. 52:31</t>
        </is>
      </c>
      <c r="U329" s="7" t="inlineStr">
        <is>
          <t>2 ரா. 24:12; 2 ரா. 25:27-30; எரே. 52:31</t>
        </is>
      </c>
      <c r="V329" s="7" t="n">
        <v>3</v>
      </c>
      <c r="W329" s="7" t="inlineStr">
        <is>
          <t>Study Number 3—Measuring Events in the Stream of Time</t>
        </is>
      </c>
      <c r="X329" s="9" t="inlineStr">
        <is>
          <t>open</t>
        </is>
      </c>
      <c r="Y329" s="9" t="inlineStr">
        <is>
          <t>open</t>
        </is>
      </c>
      <c r="Z329" s="7" t="inlineStr">
        <is>
          <t>https://wol.jw.org/en/wol/d/r1/lp-e/1101990130
https://wol.jw.org/en/wol/d/r1/lp-e/1200002375
https://wol.jw.org/en/wol/d/r1/lp-e/1101990130</t>
        </is>
      </c>
      <c r="AA329" s="7" t="n">
        <v>0</v>
      </c>
      <c r="AB329" s="7" t="n"/>
      <c r="AC329" s="7" t="n">
        <v>0</v>
      </c>
      <c r="AD329" s="7" t="n"/>
      <c r="AE329" s="7" t="n"/>
      <c r="AF329" s="7" t="inlineStr">
        <is>
          <t>b3-0105</t>
        </is>
      </c>
      <c r="AG329" s="7" t="inlineStr">
        <is>
          <t>b4-0015</t>
        </is>
      </c>
      <c r="AH329" s="7" t="n"/>
      <c r="AI329" s="7" t="n"/>
      <c r="AJ329" s="7" t="n"/>
      <c r="AK329" s="7" t="n"/>
      <c r="AL329" s="7" t="n"/>
      <c r="AM329" s="7" t="n">
        <v>-616.95</v>
      </c>
      <c r="AN329" s="10" t="n"/>
      <c r="AO329" s="10" t="n"/>
      <c r="AP329" s="10" t="n"/>
      <c r="AQ329" s="10" t="n"/>
    </row>
    <row r="330">
      <c r="A330" s="7" t="inlineStr">
        <is>
          <t>b3-0106</t>
        </is>
      </c>
      <c r="B330" s="7" t="inlineStr">
        <is>
          <t>Point</t>
        </is>
      </c>
      <c r="C330" s="7" t="n"/>
      <c r="D330" s="7" t="inlineStr">
        <is>
          <t>617 B.C.E.</t>
        </is>
      </c>
      <c r="E330" s="7" t="inlineStr">
        <is>
          <t>பொ.ச.மு. 617</t>
        </is>
      </c>
      <c r="F330" s="7" t="inlineStr">
        <is>
          <t>617 BCE</t>
        </is>
      </c>
      <c r="G330" s="7" t="inlineStr">
        <is>
          <t>Exact</t>
        </is>
      </c>
      <c r="H330" s="7" t="n"/>
      <c r="I330" s="7" t="n"/>
      <c r="J330" s="7" t="n"/>
      <c r="K330" s="2" t="inlineStr">
        <is>
          <t>Daniel taken captive to Babylon</t>
        </is>
      </c>
      <c r="L330" s="2" t="inlineStr">
        <is>
          <t>நேபுகாத்நேச்சார் முதல் யூதக் கைதிகளைப் பாபிலோனுக்குச் சிறைப்படுத்திக் கொண்டு செல்கிறான்</t>
        </is>
      </c>
      <c r="M330" s="7" t="inlineStr">
        <is>
          <t>Young Daniel, likely a teenage prince, is taken to Babylon with Jehoiachin and the foremost men; with his three companions he is chosen for three years of training at the king’s court.</t>
        </is>
      </c>
      <c r="N330" s="7" t="n"/>
      <c r="O330" s="8" t="inlineStr">
        <is>
          <t>Bible</t>
        </is>
      </c>
      <c r="P330" s="7" t="inlineStr">
        <is>
          <t>bible.exile_return</t>
        </is>
      </c>
      <c r="Q330" s="7" t="inlineStr">
        <is>
          <t>exile</t>
        </is>
      </c>
      <c r="R330" s="7" t="inlineStr">
        <is>
          <t>Daniel; Hananiah; Mishael; Azariah</t>
        </is>
      </c>
      <c r="S330" s="7" t="inlineStr">
        <is>
          <t>Babylon</t>
        </is>
      </c>
      <c r="T330" s="7" t="inlineStr">
        <is>
          <t>Dan. 1:1-6; 2 Ki. 24:15</t>
        </is>
      </c>
      <c r="U330" s="7" t="inlineStr">
        <is>
          <t>தானி. 1:1-6; 2 இரா. 24:15</t>
        </is>
      </c>
      <c r="V330" s="7" t="n">
        <v>2</v>
      </c>
      <c r="W330" s="7" t="inlineStr">
        <is>
          <t>Daniel</t>
        </is>
      </c>
      <c r="X330" s="9" t="inlineStr">
        <is>
          <t>open</t>
        </is>
      </c>
      <c r="Y330" s="7" t="n"/>
      <c r="Z330" s="7" t="inlineStr">
        <is>
          <t>https://wol.jw.org/en/wol/d/r1/lp-e/1200001117
https://wol.jw.org/en/wol/d/r1/lp-e/1101990088</t>
        </is>
      </c>
      <c r="AA330" s="7" t="n">
        <v>0</v>
      </c>
      <c r="AB330" s="7" t="n"/>
      <c r="AC330" s="7" t="n">
        <v>0</v>
      </c>
      <c r="AD330" s="7" t="n"/>
      <c r="AE330" s="7" t="n"/>
      <c r="AF330" s="7" t="n"/>
      <c r="AG330" s="7" t="n"/>
      <c r="AH330" s="7" t="n"/>
      <c r="AI330" s="7" t="n"/>
      <c r="AJ330" s="7" t="n"/>
      <c r="AK330" s="7" t="n"/>
      <c r="AL330" s="7" t="inlineStr">
        <is>
          <t>si Bible Book No. 27 dates the opening of Daniel’s book to Jehoiakim’s third year as tributary king (618 B.C.E.); the deportation itself is dated 617. [title_ta from owner's Tamil sheet]</t>
        </is>
      </c>
      <c r="AM330" s="7" t="n">
        <v>-616.9400000000001</v>
      </c>
      <c r="AN330" s="10" t="n"/>
      <c r="AO330" s="10" t="n"/>
      <c r="AP330" s="10" t="n"/>
      <c r="AQ330" s="10" t="n"/>
    </row>
    <row r="331">
      <c r="A331" s="7" t="inlineStr">
        <is>
          <t>b3-0107</t>
        </is>
      </c>
      <c r="B331" s="7" t="inlineStr">
        <is>
          <t>Point</t>
        </is>
      </c>
      <c r="C331" s="7" t="n"/>
      <c r="D331" s="7" t="inlineStr">
        <is>
          <t>617 B.C.E.</t>
        </is>
      </c>
      <c r="E331" s="7" t="inlineStr">
        <is>
          <t>பொ.ச.மு. 617</t>
        </is>
      </c>
      <c r="F331" s="7" t="inlineStr">
        <is>
          <t>617 BCE</t>
        </is>
      </c>
      <c r="G331" s="7" t="inlineStr">
        <is>
          <t>Exact</t>
        </is>
      </c>
      <c r="H331" s="7" t="n"/>
      <c r="I331" s="7" t="n"/>
      <c r="J331" s="7" t="n"/>
      <c r="K331" s="2" t="inlineStr">
        <is>
          <t>Ezekiel taken captive to Babylon</t>
        </is>
      </c>
      <c r="L331" s="2" t="n"/>
      <c r="M331" s="7" t="inlineStr">
        <is>
          <t>Ezekiel, son of the priest Buzi, is among the captives taken to Babylon with Jehoiachin; the exiles settle by the river Chebar.</t>
        </is>
      </c>
      <c r="N331" s="7" t="n"/>
      <c r="O331" s="8" t="inlineStr">
        <is>
          <t>Bible</t>
        </is>
      </c>
      <c r="P331" s="7" t="inlineStr">
        <is>
          <t>bible.exile_return</t>
        </is>
      </c>
      <c r="Q331" s="7" t="inlineStr">
        <is>
          <t>exile</t>
        </is>
      </c>
      <c r="R331" s="7" t="inlineStr">
        <is>
          <t>Ezekiel; Jehoiachin</t>
        </is>
      </c>
      <c r="S331" s="7" t="inlineStr">
        <is>
          <t>Babylon; River Chebar</t>
        </is>
      </c>
      <c r="T331" s="7" t="inlineStr">
        <is>
          <t>2 Ki. 24:11-17; Ezek. 1:1-3</t>
        </is>
      </c>
      <c r="U331" s="7" t="inlineStr">
        <is>
          <t>2 இரா. 24:11-17; எசே. 1:1-3</t>
        </is>
      </c>
      <c r="V331" s="7" t="n">
        <v>2</v>
      </c>
      <c r="W331" s="7" t="inlineStr">
        <is>
          <t>Ezekiel</t>
        </is>
      </c>
      <c r="X331" s="9" t="inlineStr">
        <is>
          <t>open</t>
        </is>
      </c>
      <c r="Y331" s="7" t="n"/>
      <c r="Z331" s="7" t="inlineStr">
        <is>
          <t>https://wol.jw.org/en/wol/d/r1/lp-e/1200001469
https://wol.jw.org/en/wol/d/r1/lp-e/1101990087</t>
        </is>
      </c>
      <c r="AA331" s="7" t="n">
        <v>0</v>
      </c>
      <c r="AB331" s="7" t="n"/>
      <c r="AC331" s="7" t="n">
        <v>0</v>
      </c>
      <c r="AD331" s="7" t="n"/>
      <c r="AE331" s="7" t="n"/>
      <c r="AF331" s="7" t="n"/>
      <c r="AG331" s="7" t="n"/>
      <c r="AH331" s="7" t="n"/>
      <c r="AI331" s="7" t="n"/>
      <c r="AJ331" s="7" t="n"/>
      <c r="AK331" s="7" t="n"/>
      <c r="AL331" s="7" t="n"/>
      <c r="AM331" s="7" t="n">
        <v>-616.9299999999999</v>
      </c>
      <c r="AN331" s="10" t="n"/>
      <c r="AO331" s="10" t="n"/>
      <c r="AP331" s="10" t="n"/>
      <c r="AQ331" s="10" t="n"/>
    </row>
    <row r="332">
      <c r="A332" s="7" t="inlineStr">
        <is>
          <t>b3-0108</t>
        </is>
      </c>
      <c r="B332" s="7" t="inlineStr">
        <is>
          <t>Point</t>
        </is>
      </c>
      <c r="C332" s="7" t="n"/>
      <c r="D332" s="7" t="inlineStr">
        <is>
          <t>617 B.C.E.</t>
        </is>
      </c>
      <c r="E332" s="7" t="inlineStr">
        <is>
          <t>கி.மு. 617</t>
        </is>
      </c>
      <c r="F332" s="7" t="inlineStr">
        <is>
          <t>617 BCE</t>
        </is>
      </c>
      <c r="G332" s="7" t="inlineStr">
        <is>
          <t>Exact</t>
        </is>
      </c>
      <c r="H332" s="7" t="n"/>
      <c r="I332" s="7" t="n"/>
      <c r="J332" s="7" t="n"/>
      <c r="K332" s="2" t="inlineStr">
        <is>
          <t>Zedekiah becomes king of Judah (11 years)</t>
        </is>
      </c>
      <c r="L332" s="2" t="inlineStr">
        <is>
          <t>சிதேக்கியா: 11 வருஷங்கள்</t>
        </is>
      </c>
      <c r="M332" s="7" t="inlineStr">
        <is>
          <t>Zedekiah begins to reign over the southern two-tribe kingdom of Judah; the NWT chart gives a reign of 11 years. Nebuchadnezzar installed him (Mattaniah) after taking Jehoiachin captive.</t>
        </is>
      </c>
      <c r="N332" s="7" t="inlineStr">
        <is>
          <t>சிதேக்கியா யூதாவின் அரசனாக்கப்படுகிறான்</t>
        </is>
      </c>
      <c r="O332" s="8" t="inlineStr">
        <is>
          <t>Bible</t>
        </is>
      </c>
      <c r="P332" s="7" t="inlineStr">
        <is>
          <t>bible.monarchy</t>
        </is>
      </c>
      <c r="Q332" s="7" t="inlineStr">
        <is>
          <t>accession</t>
        </is>
      </c>
      <c r="R332" s="7" t="inlineStr">
        <is>
          <t>Zedekiah</t>
        </is>
      </c>
      <c r="S332" s="7" t="inlineStr">
        <is>
          <t>Judah</t>
        </is>
      </c>
      <c r="T332" s="7" t="inlineStr">
        <is>
          <t>2 Ki. 24:12-18</t>
        </is>
      </c>
      <c r="U332" s="7" t="inlineStr">
        <is>
          <t>2 இரா. 24:12-18</t>
        </is>
      </c>
      <c r="V332" s="7" t="n">
        <v>3</v>
      </c>
      <c r="W332" s="7" t="inlineStr">
        <is>
          <t>A6-B Chart: Prophets and Kings of Judah and of Israel (Part 2)</t>
        </is>
      </c>
      <c r="X332" s="9" t="inlineStr">
        <is>
          <t>open</t>
        </is>
      </c>
      <c r="Y332" s="9" t="inlineStr">
        <is>
          <t>open</t>
        </is>
      </c>
      <c r="Z332" s="7" t="inlineStr">
        <is>
          <t>https://wol.jw.org/en/wol/d/r1/lp-e/1001061215
https://wol.jw.org/en/wol/d/r1/lp-e/1101990130
https://wol.jw.org/en/wol/d/r1/lp-e/1200000970</t>
        </is>
      </c>
      <c r="AA332" s="7" t="n">
        <v>2</v>
      </c>
      <c r="AB332" s="9" t="inlineStr">
        <is>
          <t>open</t>
        </is>
      </c>
      <c r="AC332" s="7" t="n">
        <v>0</v>
      </c>
      <c r="AD332" s="7" t="n"/>
      <c r="AE332" s="7" t="n"/>
      <c r="AF332" s="7" t="n"/>
      <c r="AG332" s="7" t="n"/>
      <c r="AH332" s="7" t="n"/>
      <c r="AI332" s="7" t="inlineStr">
        <is>
          <t>Covered by span – hide on chart</t>
        </is>
      </c>
      <c r="AJ332" s="7" t="inlineStr">
        <is>
          <t>end of Reign of Jehoiachin (Judah) (d1-0050); start of Reign of Zedekiah (Judah) (d1-0051)</t>
        </is>
      </c>
      <c r="AK332" s="7" t="n"/>
      <c r="AL332" s="7" t="n"/>
      <c r="AM332" s="7" t="n">
        <v>-616.8</v>
      </c>
      <c r="AN332" s="10" t="n"/>
      <c r="AO332" s="10" t="n"/>
      <c r="AP332" s="10" t="n"/>
      <c r="AQ332" s="10" t="n"/>
    </row>
    <row r="333">
      <c r="A333" s="7" t="inlineStr">
        <is>
          <t>d1-0051</t>
        </is>
      </c>
      <c r="B333" s="11" t="inlineStr">
        <is>
          <t>Span</t>
        </is>
      </c>
      <c r="C333" s="7" t="inlineStr">
        <is>
          <t>reign</t>
        </is>
      </c>
      <c r="D333" s="7" t="inlineStr">
        <is>
          <t>617 B.C.E. – 607 B.C.E.</t>
        </is>
      </c>
      <c r="E333" s="7" t="inlineStr">
        <is>
          <t>கி.மு. 617 – கி.மு. 607</t>
        </is>
      </c>
      <c r="F333" s="7" t="inlineStr">
        <is>
          <t>617 BCE</t>
        </is>
      </c>
      <c r="G333" s="7" t="inlineStr">
        <is>
          <t>Exact</t>
        </is>
      </c>
      <c r="H333" s="7" t="inlineStr">
        <is>
          <t>607 BCE</t>
        </is>
      </c>
      <c r="I333" s="7" t="inlineStr">
        <is>
          <t>Exact</t>
        </is>
      </c>
      <c r="J333" s="7" t="inlineStr">
        <is>
          <t>11 years</t>
        </is>
      </c>
      <c r="K333" s="2" t="inlineStr">
        <is>
          <t>Reign of Zedekiah (Judah)</t>
        </is>
      </c>
      <c r="L333" s="2" t="n"/>
      <c r="M333" s="7" t="inlineStr">
        <is>
          <t>Zedekiah rules Judah. Starts with Zedekiah becomes king of Judah (11 years) (617 B.C.E.); ends with b3-0112.</t>
        </is>
      </c>
      <c r="N333" s="7" t="n"/>
      <c r="O333" s="8" t="inlineStr">
        <is>
          <t>Bible</t>
        </is>
      </c>
      <c r="P333" s="7" t="inlineStr">
        <is>
          <t>bible.monarchy</t>
        </is>
      </c>
      <c r="Q333" s="7" t="inlineStr">
        <is>
          <t>reign</t>
        </is>
      </c>
      <c r="R333" s="7" t="inlineStr">
        <is>
          <t>Zedekiah</t>
        </is>
      </c>
      <c r="S333" s="7" t="inlineStr">
        <is>
          <t>Judah; Jerusalem; Riblah</t>
        </is>
      </c>
      <c r="T333" s="7" t="inlineStr">
        <is>
          <t>2 Ki. 24:12-18; 2 Ki. 25:6, 7; Ezek. 21:25-27</t>
        </is>
      </c>
      <c r="U333" s="7" t="inlineStr">
        <is>
          <t>2 இரா. 24:12-18; 2 இரா. 25:6, 7; எசே. 21:25-27</t>
        </is>
      </c>
      <c r="V333" s="7" t="n">
        <v>3</v>
      </c>
      <c r="W333" s="7" t="inlineStr">
        <is>
          <t>A6-B Chart: Prophets and Kings of Judah and of Israel (Part 2)</t>
        </is>
      </c>
      <c r="X333" s="9" t="inlineStr">
        <is>
          <t>open</t>
        </is>
      </c>
      <c r="Y333" s="9" t="inlineStr">
        <is>
          <t>open</t>
        </is>
      </c>
      <c r="Z333" s="7" t="inlineStr">
        <is>
          <t>https://wol.jw.org/en/wol/d/r1/lp-e/1001061215
https://wol.jw.org/en/wol/d/r1/lp-e/1101990130
https://wol.jw.org/en/wol/d/r1/lp-e/1200000970</t>
        </is>
      </c>
      <c r="AA333" s="7" t="n">
        <v>0</v>
      </c>
      <c r="AB333" s="7" t="n"/>
      <c r="AC333" s="7" t="n">
        <v>0</v>
      </c>
      <c r="AD333" s="7" t="n"/>
      <c r="AE333" s="7" t="inlineStr">
        <is>
          <t>Start b3-0108; ends with b3-0112.</t>
        </is>
      </c>
      <c r="AF333" s="7" t="inlineStr">
        <is>
          <t>b3-0108</t>
        </is>
      </c>
      <c r="AG333" s="7" t="inlineStr">
        <is>
          <t>b3-0112</t>
        </is>
      </c>
      <c r="AH333" s="7" t="n"/>
      <c r="AI333" s="7" t="n"/>
      <c r="AJ333" s="7" t="n"/>
      <c r="AK333" s="7" t="inlineStr">
        <is>
          <t>kings-of-judah #20 (ruler); prophets-and-kings-a6 #20 (ruler)</t>
        </is>
      </c>
      <c r="AL333" s="7" t="n"/>
      <c r="AM333" s="7" t="n">
        <v>-616.8</v>
      </c>
      <c r="AN333" s="10" t="n"/>
      <c r="AO333" s="10" t="n"/>
      <c r="AP333" s="10" t="n"/>
      <c r="AQ333" s="10" t="n"/>
    </row>
    <row r="334">
      <c r="A334" s="7" t="inlineStr">
        <is>
          <t>b3-0109</t>
        </is>
      </c>
      <c r="B334" s="11" t="inlineStr">
        <is>
          <t>Span</t>
        </is>
      </c>
      <c r="C334" s="7" t="inlineStr">
        <is>
          <t>prophetic activity</t>
        </is>
      </c>
      <c r="D334" s="7" t="inlineStr">
        <is>
          <t>613–c. 591 B.C.E.</t>
        </is>
      </c>
      <c r="E334" s="7" t="inlineStr">
        <is>
          <t>பொ.ச.மு. 613-ஏ. 591</t>
        </is>
      </c>
      <c r="F334" s="7" t="inlineStr">
        <is>
          <t>613 BCE</t>
        </is>
      </c>
      <c r="G334" s="7" t="inlineStr">
        <is>
          <t>Exact</t>
        </is>
      </c>
      <c r="H334" s="7" t="inlineStr">
        <is>
          <t>591 BCE</t>
        </is>
      </c>
      <c r="I334" s="7" t="inlineStr">
        <is>
          <t>Approx. (c.)</t>
        </is>
      </c>
      <c r="J334" s="7" t="inlineStr">
        <is>
          <t>c. 22 years</t>
        </is>
      </c>
      <c r="K334" s="2" t="inlineStr">
        <is>
          <t>Prophetic activity of Ezekiel</t>
        </is>
      </c>
      <c r="L334" s="2" t="inlineStr">
        <is>
          <t>எசேக்கியேல்</t>
        </is>
      </c>
      <c r="M334" s="7" t="inlineStr">
        <is>
          <t>Ezekiel is commissioned by the river Chebar in the fifth year of Jehoiachin’s exile and prophesies for at least 22 years.</t>
        </is>
      </c>
      <c r="N334" s="7" t="n"/>
      <c r="O334" s="8" t="inlineStr">
        <is>
          <t>Bible</t>
        </is>
      </c>
      <c r="P334" s="7" t="inlineStr">
        <is>
          <t>bible.prophet</t>
        </is>
      </c>
      <c r="Q334" s="7" t="inlineStr">
        <is>
          <t>prophet_activity</t>
        </is>
      </c>
      <c r="R334" s="7" t="inlineStr">
        <is>
          <t>Ezekiel</t>
        </is>
      </c>
      <c r="S334" s="7" t="n"/>
      <c r="T334" s="7" t="inlineStr">
        <is>
          <t>Ezek. 1:1-3; Ezek. 29:17</t>
        </is>
      </c>
      <c r="U334" s="7" t="inlineStr">
        <is>
          <t>எசே. 1:1-3; எசே. 29:17</t>
        </is>
      </c>
      <c r="V334" s="7" t="n">
        <v>5</v>
      </c>
      <c r="W334" s="7" t="inlineStr">
        <is>
          <t>A6-B Chart: Prophets and Kings of Judah and of Israel (Part 2)</t>
        </is>
      </c>
      <c r="X334" s="9" t="inlineStr">
        <is>
          <t>open</t>
        </is>
      </c>
      <c r="Y334" s="9" t="inlineStr">
        <is>
          <t>open</t>
        </is>
      </c>
      <c r="Z334" s="7" t="inlineStr">
        <is>
          <t>https://wol.jw.org/en/wol/d/r1/lp-e/1001061215
https://wol.jw.org/en/wol/d/r1/lp-e/1101990130
https://wol.jw.org/en/wol/d/r1/lp-e/1101990087
https://wol.jw.org/en/wol/d/r1/lp-e/1200001469
https://wol.jw.org/en/wol/d/r1/lp-e/1001060002</t>
        </is>
      </c>
      <c r="AA334" s="7" t="n">
        <v>2</v>
      </c>
      <c r="AB334" s="9" t="inlineStr">
        <is>
          <t>open</t>
        </is>
      </c>
      <c r="AC334" s="7" t="n">
        <v>0</v>
      </c>
      <c r="AD334" s="7" t="n"/>
      <c r="AE334" s="7" t="n"/>
      <c r="AF334" s="7" t="n"/>
      <c r="AG334" s="7" t="n"/>
      <c r="AH334" s="7" t="n"/>
      <c r="AI334" s="7" t="n"/>
      <c r="AJ334" s="7" t="n"/>
      <c r="AK334" s="7" t="inlineStr">
        <is>
          <t>fulfilled-prophecies-nations #31 (prophecy); fulfilled-prophecies-nations #58 (prophecy); prophets-and-kings-a6 #58 (item)</t>
        </is>
      </c>
      <c r="AL334" s="7" t="inlineStr">
        <is>
          <t>si Study 3 Tamil row: "எசேக்கியேல் தீர்க்கதரிசனமுரைக்கத் தொடங்குகிறார்" (613). The A6 chart shows this prophet as an undated bar; range years come from the cited text sources. title_ta is the prophet’s name as printed in the Tamil A6 list.</t>
        </is>
      </c>
      <c r="AM334" s="7" t="n">
        <v>-613</v>
      </c>
      <c r="AN334" s="10" t="n"/>
      <c r="AO334" s="10" t="n"/>
      <c r="AP334" s="10" t="n"/>
      <c r="AQ334" s="10" t="n"/>
    </row>
    <row r="335">
      <c r="A335" s="7" t="inlineStr">
        <is>
          <t>b3-0110</t>
        </is>
      </c>
      <c r="B335" s="7" t="inlineStr">
        <is>
          <t>Point</t>
        </is>
      </c>
      <c r="C335" s="7" t="n"/>
      <c r="D335" s="7" t="inlineStr">
        <is>
          <t>609 B.C.E., Tebeth 10</t>
        </is>
      </c>
      <c r="E335" s="7" t="inlineStr">
        <is>
          <t>பொ.ச.மு. 609</t>
        </is>
      </c>
      <c r="F335" s="7" t="inlineStr">
        <is>
          <t>609 BCE</t>
        </is>
      </c>
      <c r="G335" s="7" t="inlineStr">
        <is>
          <t>Exact</t>
        </is>
      </c>
      <c r="H335" s="7" t="n"/>
      <c r="I335" s="7" t="n"/>
      <c r="J335" s="7" t="n"/>
      <c r="K335" s="2" t="inlineStr">
        <is>
          <t>Nebuchadnezzar begins the final siege of Jerusalem</t>
        </is>
      </c>
      <c r="L335" s="2" t="inlineStr">
        <is>
          <t>நேபுகாத்நேச்சார் மூன்றாவது தடவையாக யூதாவுக்கு எதிராக வருகிறான்; எருசலேமை முற்றுகையிடத் தொடங்குகிறான்</t>
        </is>
      </c>
      <c r="M335" s="7" t="inlineStr">
        <is>
          <t>After Zedekiah rebels, Nebuchadnezzar comes against Judah a third time and lays siege to Jerusalem on the 10th day of the tenth month (Tebeth) in Zedekiah’s ninth year.</t>
        </is>
      </c>
      <c r="N335" s="7" t="inlineStr">
        <is>
          <t>நேபுகாத்நேச்சார் மூன்றாவது தடவையாக யூதாவுக்கு எதிராக வருகிறான்; எருசலேமை முற்றுகையிடத் தொடங்குகிறான்</t>
        </is>
      </c>
      <c r="O335" s="8" t="inlineStr">
        <is>
          <t>Bible</t>
        </is>
      </c>
      <c r="P335" s="7" t="inlineStr">
        <is>
          <t>bible.judgment</t>
        </is>
      </c>
      <c r="Q335" s="7" t="inlineStr">
        <is>
          <t>siege</t>
        </is>
      </c>
      <c r="R335" s="7" t="inlineStr">
        <is>
          <t>Nebuchadnezzar; Zedekiah</t>
        </is>
      </c>
      <c r="S335" s="7" t="inlineStr">
        <is>
          <t>Jerusalem</t>
        </is>
      </c>
      <c r="T335" s="7" t="inlineStr">
        <is>
          <t>2 Ki. 25:1, 2</t>
        </is>
      </c>
      <c r="U335" s="7" t="inlineStr">
        <is>
          <t>2 இரா. 25:1, 2</t>
        </is>
      </c>
      <c r="V335" s="7" t="n">
        <v>4</v>
      </c>
      <c r="W335" s="7" t="inlineStr">
        <is>
          <t>Study Number 3—Measuring Events in the Stream of Time</t>
        </is>
      </c>
      <c r="X335" s="9" t="inlineStr">
        <is>
          <t>open</t>
        </is>
      </c>
      <c r="Y335" s="9" t="inlineStr">
        <is>
          <t>open</t>
        </is>
      </c>
      <c r="Z335" s="7" t="inlineStr">
        <is>
          <t>https://wol.jw.org/en/wol/d/r1/lp-e/1101990130
https://wol.jw.org/en/wol/d/r1/lp-e/1200000970
https://wol.jw.org/en/wol/d/r1/lp-e/1200003200
https://wol.jw.org/en/wol/d/r1/lp-e/1101990087</t>
        </is>
      </c>
      <c r="AA335" s="7" t="n">
        <v>0</v>
      </c>
      <c r="AB335" s="7" t="n"/>
      <c r="AC335" s="7" t="n">
        <v>0</v>
      </c>
      <c r="AD335" s="7" t="n"/>
      <c r="AE335" s="7" t="n"/>
      <c r="AF335" s="7" t="n"/>
      <c r="AG335" s="7" t="n"/>
      <c r="AH335" s="7" t="n"/>
      <c r="AI335" s="7" t="inlineStr">
        <is>
          <t>Span endpoint – keep</t>
        </is>
      </c>
      <c r="AJ335" s="7" t="inlineStr">
        <is>
          <t>start of Babylonian siege of Jerusalem (b12-0022)</t>
        </is>
      </c>
      <c r="AK335" s="7" t="n"/>
      <c r="AL335" s="7" t="inlineStr">
        <is>
          <t>Tebeth corresponds to December-January, so day 10 may fall in early 608 B.C.E. on the Gregorian calendar; sources label it 609.</t>
        </is>
      </c>
      <c r="AM335" s="7" t="n">
        <v>-608.05</v>
      </c>
      <c r="AN335" s="10" t="n"/>
      <c r="AO335" s="10" t="n"/>
      <c r="AP335" s="10" t="n"/>
      <c r="AQ335" s="10" t="n"/>
    </row>
    <row r="336">
      <c r="A336" s="7" t="inlineStr">
        <is>
          <t>b12-0022</t>
        </is>
      </c>
      <c r="B336" s="11" t="inlineStr">
        <is>
          <t>Span</t>
        </is>
      </c>
      <c r="C336" s="7" t="inlineStr">
        <is>
          <t>war</t>
        </is>
      </c>
      <c r="D336" s="7" t="inlineStr">
        <is>
          <t>609 B.C.E.–607 B.C.E.</t>
        </is>
      </c>
      <c r="E336" s="7" t="n"/>
      <c r="F336" s="7" t="inlineStr">
        <is>
          <t>609 BCE</t>
        </is>
      </c>
      <c r="G336" s="7" t="inlineStr">
        <is>
          <t>Exact</t>
        </is>
      </c>
      <c r="H336" s="7" t="inlineStr">
        <is>
          <t>607 BCE</t>
        </is>
      </c>
      <c r="I336" s="7" t="inlineStr">
        <is>
          <t>Exact</t>
        </is>
      </c>
      <c r="J336" s="7" t="inlineStr">
        <is>
          <t>18 months</t>
        </is>
      </c>
      <c r="K336" s="2" t="inlineStr">
        <is>
          <t>Babylonian siege of Jerusalem</t>
        </is>
      </c>
      <c r="L336" s="2" t="n"/>
      <c r="M336" s="7" t="inlineStr">
        <is>
          <t>In Zedekiah’s ninth year Nebuchadnezzar laid siege to Jerusalem; after 18 months of famine and disease the walls were breached in Zedekiah’s 11th year.</t>
        </is>
      </c>
      <c r="N336" s="7" t="n"/>
      <c r="O336" s="8" t="inlineStr">
        <is>
          <t>Bible</t>
        </is>
      </c>
      <c r="P336" s="7" t="inlineStr">
        <is>
          <t>bible.judgment</t>
        </is>
      </c>
      <c r="Q336" s="7" t="n"/>
      <c r="R336" s="7" t="inlineStr">
        <is>
          <t>Nebuchadnezzar; Zedekiah; Jeremiah</t>
        </is>
      </c>
      <c r="S336" s="7" t="inlineStr">
        <is>
          <t>Jerusalem</t>
        </is>
      </c>
      <c r="T336" s="7" t="inlineStr">
        <is>
          <t>2 Ki. 25:1-4; Jer. 52:4-7</t>
        </is>
      </c>
      <c r="U336" s="7" t="inlineStr">
        <is>
          <t>2 ரா. 25:1-4; எரே. 52:4-7</t>
        </is>
      </c>
      <c r="V336" s="7" t="n">
        <v>2</v>
      </c>
      <c r="W336" s="7" t="inlineStr">
        <is>
          <t>Chronology</t>
        </is>
      </c>
      <c r="X336" s="9" t="inlineStr">
        <is>
          <t>open</t>
        </is>
      </c>
      <c r="Y336" s="7" t="n"/>
      <c r="Z336" s="7" t="inlineStr">
        <is>
          <t>https://wol.jw.org/en/wol/d/r1/lp-e/1200000970
https://wol.jw.org/en/wol/d/r1/lp-e/1200002436</t>
        </is>
      </c>
      <c r="AA336" s="7" t="n">
        <v>0</v>
      </c>
      <c r="AB336" s="7" t="n"/>
      <c r="AC336" s="7" t="n">
        <v>0</v>
      </c>
      <c r="AD336" s="7" t="n"/>
      <c r="AE336" s="7" t="n"/>
      <c r="AF336" s="7" t="inlineStr">
        <is>
          <t>b3-0110</t>
        </is>
      </c>
      <c r="AG336" s="7" t="inlineStr">
        <is>
          <t>b3-0111</t>
        </is>
      </c>
      <c r="AH336" s="7" t="n"/>
      <c r="AI336" s="7" t="n"/>
      <c r="AJ336" s="7" t="n"/>
      <c r="AK336" s="7" t="inlineStr">
        <is>
          <t>fulfilled-prophecies-nations #18 (fulfillment)</t>
        </is>
      </c>
      <c r="AL336" s="7" t="n"/>
      <c r="AM336" s="7" t="n">
        <v>-608.05</v>
      </c>
      <c r="AN336" s="10" t="n"/>
      <c r="AO336" s="10" t="n"/>
      <c r="AP336" s="10" t="n"/>
      <c r="AQ336" s="10" t="n"/>
    </row>
    <row r="337">
      <c r="A337" s="7" t="inlineStr">
        <is>
          <t>b11-0027</t>
        </is>
      </c>
      <c r="B337" s="7" t="inlineStr">
        <is>
          <t>Point</t>
        </is>
      </c>
      <c r="C337" s="7" t="n"/>
      <c r="D337" s="7" t="inlineStr">
        <is>
          <t>607 B.C.E.</t>
        </is>
      </c>
      <c r="E337" s="7" t="inlineStr">
        <is>
          <t>கி.மு. 607</t>
        </is>
      </c>
      <c r="F337" s="7" t="inlineStr">
        <is>
          <t>607 BCE</t>
        </is>
      </c>
      <c r="G337" s="7" t="inlineStr">
        <is>
          <t>Exact</t>
        </is>
      </c>
      <c r="H337" s="7" t="n"/>
      <c r="I337" s="7" t="n"/>
      <c r="J337" s="7" t="n"/>
      <c r="K337" s="2" t="inlineStr">
        <is>
          <t>Writing of Lamentations completed</t>
        </is>
      </c>
      <c r="L337" s="2" t="inlineStr">
        <is>
          <t>புலம்பல் — எழுதி முடிக்கப்பட்டது</t>
        </is>
      </c>
      <c r="M337" s="7" t="inlineStr">
        <is>
          <t>The writing of Lamentations was completed in 607 B.C.E. Writer: Jeremiah; place written: Near Jerusalem.</t>
        </is>
      </c>
      <c r="N337" s="7" t="inlineStr">
        <is>
          <t>புலம்பல்: எழுதியவர்(கள்): எரேமியா; எழுதப்பட்ட இடம்: எருசலேமுக்குப் பக்கத்தில்; முடிக்கப்பட்ட வருஷம் (கி.மு.): 607.</t>
        </is>
      </c>
      <c r="O337" s="8" t="inlineStr">
        <is>
          <t>Bible</t>
        </is>
      </c>
      <c r="P337" s="7" t="inlineStr">
        <is>
          <t>bible.book_writing</t>
        </is>
      </c>
      <c r="Q337" s="7" t="inlineStr">
        <is>
          <t>writing_completed</t>
        </is>
      </c>
      <c r="R337" s="7" t="inlineStr">
        <is>
          <t>Jeremiah</t>
        </is>
      </c>
      <c r="S337" s="7" t="inlineStr">
        <is>
          <t>Jerusalem</t>
        </is>
      </c>
      <c r="T337" s="7" t="inlineStr">
        <is>
          <t>Lam.</t>
        </is>
      </c>
      <c r="U337" s="7" t="inlineStr">
        <is>
          <t>புல.</t>
        </is>
      </c>
      <c r="V337" s="7" t="n">
        <v>6</v>
      </c>
      <c r="W337" s="7" t="inlineStr">
        <is>
          <t>Table of the Books of the Bible</t>
        </is>
      </c>
      <c r="X337" s="9" t="inlineStr">
        <is>
          <t>open</t>
        </is>
      </c>
      <c r="Y337" s="9" t="inlineStr">
        <is>
          <t>open</t>
        </is>
      </c>
      <c r="Z337" s="7" t="inlineStr">
        <is>
          <t>https://wol.jw.org/en/wol/d/r1/lp-e/1001070071
https://wol.jw.org/en/wol/d/r1/lp-e/1101990086
https://www.jw.org/en/library/bible/study-bible/books-of-the-bible-list/
https://wol.jw.org/en/wol/d/r1/lp-e/1001060002
https://wol.jw.org/en/wol/d/r1/lp-e/1101990130
https://wol.jw.org/en/wol/d/r1/lp-e/1200000970</t>
        </is>
      </c>
      <c r="AA337" s="7" t="n">
        <v>0</v>
      </c>
      <c r="AB337" s="7" t="n"/>
      <c r="AC337" s="7" t="n">
        <v>0</v>
      </c>
      <c r="AD337" s="7" t="n"/>
      <c r="AE337" s="7" t="n"/>
      <c r="AF337" s="7" t="n"/>
      <c r="AG337" s="7" t="n"/>
      <c r="AH337" s="7" t="n"/>
      <c r="AI337" s="7" t="n"/>
      <c r="AJ337" s="7" t="n"/>
      <c r="AK337" s="7" t="inlineStr">
        <is>
          <t>bible-books-written #25 (item)</t>
        </is>
      </c>
      <c r="AL337" s="7" t="inlineStr">
        <is>
          <t>Writer(s): Jeremiah. Place written: Near Jerusalem. Writing completed: 607 B.C.E. Time covered: —.</t>
        </is>
      </c>
      <c r="AM337" s="7" t="n">
        <v>-606.9974999999999</v>
      </c>
      <c r="AN337" s="10" t="n"/>
      <c r="AO337" s="10" t="n"/>
      <c r="AP337" s="10" t="n"/>
      <c r="AQ337" s="10" t="n"/>
    </row>
    <row r="338">
      <c r="A338" s="7" t="inlineStr">
        <is>
          <t>b11-0028</t>
        </is>
      </c>
      <c r="B338" s="7" t="inlineStr">
        <is>
          <t>Point</t>
        </is>
      </c>
      <c r="C338" s="7" t="n"/>
      <c r="D338" s="7" t="inlineStr">
        <is>
          <t>c. 607 B.C.E.</t>
        </is>
      </c>
      <c r="E338" s="7" t="inlineStr">
        <is>
          <t>ஏ. கி.மு. 607</t>
        </is>
      </c>
      <c r="F338" s="7" t="inlineStr">
        <is>
          <t>607 BCE</t>
        </is>
      </c>
      <c r="G338" s="7" t="inlineStr">
        <is>
          <t>Approx. (c.)</t>
        </is>
      </c>
      <c r="H338" s="7" t="n"/>
      <c r="I338" s="7" t="n"/>
      <c r="J338" s="7" t="n"/>
      <c r="K338" s="2" t="inlineStr">
        <is>
          <t>Writing of Obadiah completed</t>
        </is>
      </c>
      <c r="L338" s="2" t="inlineStr">
        <is>
          <t>ஒபதியா — எழுதி முடிக்கப்பட்டது</t>
        </is>
      </c>
      <c r="M338" s="7" t="inlineStr">
        <is>
          <t>The writing of Obadiah was completed c. 607 B.C.E. Writer: Obadiah.</t>
        </is>
      </c>
      <c r="N338" s="7" t="inlineStr">
        <is>
          <t>ஒபதியா: எழுதியவர்(கள்): ஒபதியா; முடிக்கப்பட்ட வருஷம் (கி.மு.): ஏ. 607.</t>
        </is>
      </c>
      <c r="O338" s="8" t="inlineStr">
        <is>
          <t>Bible</t>
        </is>
      </c>
      <c r="P338" s="7" t="inlineStr">
        <is>
          <t>bible.book_writing</t>
        </is>
      </c>
      <c r="Q338" s="7" t="inlineStr">
        <is>
          <t>writing_completed</t>
        </is>
      </c>
      <c r="R338" s="7" t="inlineStr">
        <is>
          <t>Obadiah</t>
        </is>
      </c>
      <c r="S338" s="7" t="n"/>
      <c r="T338" s="7" t="inlineStr">
        <is>
          <t>Obad.</t>
        </is>
      </c>
      <c r="U338" s="7" t="inlineStr">
        <is>
          <t>ஒப.</t>
        </is>
      </c>
      <c r="V338" s="7" t="n">
        <v>6</v>
      </c>
      <c r="W338" s="7" t="inlineStr">
        <is>
          <t>Table of the Books of the Bible</t>
        </is>
      </c>
      <c r="X338" s="9" t="inlineStr">
        <is>
          <t>open</t>
        </is>
      </c>
      <c r="Y338" s="9" t="inlineStr">
        <is>
          <t>open</t>
        </is>
      </c>
      <c r="Z338" s="7" t="inlineStr">
        <is>
          <t>https://wol.jw.org/en/wol/d/r1/lp-e/1001070071
https://wol.jw.org/en/wol/d/r1/lp-e/1101990092
https://www.jw.org/en/library/bible/study-bible/books-of-the-bible-list/
https://wol.jw.org/en/wol/d/r1/lp-e/1001060002
https://wol.jw.org/en/wol/d/r1/lp-e/1101990130
https://wol.jw.org/en/wol/d/r1/lp-e/1200000970</t>
        </is>
      </c>
      <c r="AA338" s="7" t="n">
        <v>0</v>
      </c>
      <c r="AB338" s="7" t="n"/>
      <c r="AC338" s="7" t="n">
        <v>0</v>
      </c>
      <c r="AD338" s="7" t="n"/>
      <c r="AE338" s="7" t="n"/>
      <c r="AF338" s="7" t="n"/>
      <c r="AG338" s="7" t="n"/>
      <c r="AH338" s="7" t="n"/>
      <c r="AI338" s="7" t="n"/>
      <c r="AJ338" s="7" t="n"/>
      <c r="AK338" s="7" t="inlineStr">
        <is>
          <t>bible-books-written #31 (item)</t>
        </is>
      </c>
      <c r="AL338" s="7" t="inlineStr">
        <is>
          <t>Writer(s): Obadiah. Place written: —. Writing completed: c. 607 B.C.E. Time covered: —.</t>
        </is>
      </c>
      <c r="AM338" s="7" t="n">
        <v>-606.9969</v>
      </c>
      <c r="AN338" s="10" t="n"/>
      <c r="AO338" s="10" t="n"/>
      <c r="AP338" s="10" t="n"/>
      <c r="AQ338" s="10" t="n"/>
    </row>
    <row r="339">
      <c r="A339" s="7" t="inlineStr">
        <is>
          <t>b3-0111</t>
        </is>
      </c>
      <c r="B339" s="7" t="inlineStr">
        <is>
          <t>Point</t>
        </is>
      </c>
      <c r="C339" s="7" t="n"/>
      <c r="D339" s="7" t="inlineStr">
        <is>
          <t>607 B.C.E., Tammuz 9</t>
        </is>
      </c>
      <c r="E339" s="7" t="n"/>
      <c r="F339" s="7" t="inlineStr">
        <is>
          <t>607 BCE</t>
        </is>
      </c>
      <c r="G339" s="7" t="inlineStr">
        <is>
          <t>Exact</t>
        </is>
      </c>
      <c r="H339" s="7" t="n"/>
      <c r="I339" s="7" t="n"/>
      <c r="J339" s="7" t="n"/>
      <c r="K339" s="2" t="inlineStr">
        <is>
          <t>Jerusalem’s walls breached; Zedekiah captured</t>
        </is>
      </c>
      <c r="L339" s="2" t="n"/>
      <c r="M339" s="7" t="inlineStr">
        <is>
          <t>On the 9th day of the fourth month (Tammuz), in Zedekiah’s 11th year, the Babylonians breach Jerusalem’s walls; Zedekiah flees but is captured.</t>
        </is>
      </c>
      <c r="N339" s="7" t="n"/>
      <c r="O339" s="8" t="inlineStr">
        <is>
          <t>Bible</t>
        </is>
      </c>
      <c r="P339" s="7" t="inlineStr">
        <is>
          <t>bible.judgment</t>
        </is>
      </c>
      <c r="Q339" s="7" t="inlineStr">
        <is>
          <t>siege</t>
        </is>
      </c>
      <c r="R339" s="7" t="inlineStr">
        <is>
          <t>Zedekiah; Nebuchadnezzar</t>
        </is>
      </c>
      <c r="S339" s="7" t="inlineStr">
        <is>
          <t>Jerusalem</t>
        </is>
      </c>
      <c r="T339" s="7" t="inlineStr">
        <is>
          <t>2 Ki. 25:2-7; Jer. 52:6-11</t>
        </is>
      </c>
      <c r="U339" s="7" t="inlineStr">
        <is>
          <t>2 இரா. 25:2-7; எரே. 52:6-11</t>
        </is>
      </c>
      <c r="V339" s="7" t="n">
        <v>3</v>
      </c>
      <c r="W339" s="7" t="inlineStr">
        <is>
          <t>Chronology</t>
        </is>
      </c>
      <c r="X339" s="9" t="inlineStr">
        <is>
          <t>open</t>
        </is>
      </c>
      <c r="Y339" s="7" t="n"/>
      <c r="Z339" s="7" t="inlineStr">
        <is>
          <t>https://wol.jw.org/en/wol/d/r1/lp-e/1200000970
https://wol.jw.org/en/wol/d/r1/lp-e/1101990130
https://wol.jw.org/en/wol/d/r1/lp-e/1200010959</t>
        </is>
      </c>
      <c r="AA339" s="7" t="n">
        <v>0</v>
      </c>
      <c r="AB339" s="7" t="n"/>
      <c r="AC339" s="7" t="n">
        <v>0</v>
      </c>
      <c r="AD339" s="7" t="n"/>
      <c r="AE339" s="7" t="n"/>
      <c r="AF339" s="7" t="n"/>
      <c r="AG339" s="7" t="n"/>
      <c r="AH339" s="7" t="n"/>
      <c r="AI339" s="7" t="inlineStr">
        <is>
          <t>Span endpoint – keep</t>
        </is>
      </c>
      <c r="AJ339" s="7" t="inlineStr">
        <is>
          <t>end of Babylonian siege of Jerusalem (b12-0022)</t>
        </is>
      </c>
      <c r="AK339" s="7" t="inlineStr">
        <is>
          <t>fulfilled-prophecies-nations #27 (fulfillment)</t>
        </is>
      </c>
      <c r="AL339" s="7" t="n"/>
      <c r="AM339" s="7" t="n">
        <v>-606.7</v>
      </c>
      <c r="AN339" s="10" t="n"/>
      <c r="AO339" s="10" t="n"/>
      <c r="AP339" s="10" t="n"/>
      <c r="AQ339" s="10" t="n"/>
    </row>
    <row r="340">
      <c r="A340" s="7" t="inlineStr">
        <is>
          <t>b3-0112</t>
        </is>
      </c>
      <c r="B340" s="7" t="inlineStr">
        <is>
          <t>Point</t>
        </is>
      </c>
      <c r="C340" s="7" t="n"/>
      <c r="D340" s="7" t="inlineStr">
        <is>
          <t>607 B.C.E.</t>
        </is>
      </c>
      <c r="E340" s="7" t="inlineStr">
        <is>
          <t>கி.மு. 607</t>
        </is>
      </c>
      <c r="F340" s="7" t="inlineStr">
        <is>
          <t>607 BCE</t>
        </is>
      </c>
      <c r="G340" s="7" t="inlineStr">
        <is>
          <t>Exact</t>
        </is>
      </c>
      <c r="H340" s="7" t="n"/>
      <c r="I340" s="7" t="n"/>
      <c r="J340" s="7" t="n"/>
      <c r="K340" s="2" t="inlineStr">
        <is>
          <t>Zedekiah dethroned — end of the Davidic kings in Jerusalem</t>
        </is>
      </c>
      <c r="L340" s="2" t="inlineStr">
        <is>
          <t>தாவீதின் வம்சத்தில் வந்த ராஜாக்களில் கடைசியாகப் பூமியில் ஆட்சி செய்கிற சிதேக்கியா பதவி இழக்கிறார்</t>
        </is>
      </c>
      <c r="M340" s="7" t="inlineStr">
        <is>
          <t>Zedekiah, the last earthly king in David’s line, is dethroned; his sons are slaughtered, he is blinded and taken to Babylon.</t>
        </is>
      </c>
      <c r="N340" s="7" t="n"/>
      <c r="O340" s="8" t="inlineStr">
        <is>
          <t>Bible</t>
        </is>
      </c>
      <c r="P340" s="7" t="inlineStr">
        <is>
          <t>bible.monarchy</t>
        </is>
      </c>
      <c r="Q340" s="7" t="inlineStr">
        <is>
          <t>dethronement</t>
        </is>
      </c>
      <c r="R340" s="7" t="inlineStr">
        <is>
          <t>Zedekiah</t>
        </is>
      </c>
      <c r="S340" s="7" t="inlineStr">
        <is>
          <t>Jerusalem; Riblah</t>
        </is>
      </c>
      <c r="T340" s="7" t="inlineStr">
        <is>
          <t>2 Ki. 25:6, 7; Ezek. 21:25-27</t>
        </is>
      </c>
      <c r="U340" s="7" t="inlineStr">
        <is>
          <t>2 இரா. 25:6, 7; எசே. 21:25-27</t>
        </is>
      </c>
      <c r="V340" s="7" t="n">
        <v>1</v>
      </c>
      <c r="W340" s="7" t="inlineStr">
        <is>
          <t>A6-B Chart: Prophets and Kings of Judah and of Israel (Part 2)</t>
        </is>
      </c>
      <c r="X340" s="9" t="inlineStr">
        <is>
          <t>open</t>
        </is>
      </c>
      <c r="Y340" s="9" t="inlineStr">
        <is>
          <t>open</t>
        </is>
      </c>
      <c r="Z340" s="7" t="inlineStr">
        <is>
          <t>https://wol.jw.org/en/wol/d/r1/lp-e/1001061215</t>
        </is>
      </c>
      <c r="AA340" s="7" t="n">
        <v>2</v>
      </c>
      <c r="AB340" s="9" t="inlineStr">
        <is>
          <t>open</t>
        </is>
      </c>
      <c r="AC340" s="7" t="n">
        <v>0</v>
      </c>
      <c r="AD340" s="7" t="n"/>
      <c r="AE340" s="7" t="n"/>
      <c r="AF340" s="7" t="n"/>
      <c r="AG340" s="7" t="n"/>
      <c r="AH340" s="7" t="n"/>
      <c r="AI340" s="7" t="inlineStr">
        <is>
          <t>Span endpoint – keep</t>
        </is>
      </c>
      <c r="AJ340" s="7" t="inlineStr">
        <is>
          <t>end of Southern kingdom of Judah (b12-0017); end of Reign of Zedekiah (Judah) (d1-0051)</t>
        </is>
      </c>
      <c r="AK340" s="7" t="inlineStr">
        <is>
          <t>covenants #11 (context); prophets-and-kings-a6 #21 (end)</t>
        </is>
      </c>
      <c r="AL340" s="7" t="inlineStr">
        <is>
          <t>Details of the sons and blinding follow 2 Ki. 25:7 as cited; the A6-B row gives the dethronement only.</t>
        </is>
      </c>
      <c r="AM340" s="7" t="n">
        <v>-606.6900000000001</v>
      </c>
      <c r="AN340" s="10" t="n"/>
      <c r="AO340" s="10" t="n"/>
      <c r="AP340" s="10" t="n"/>
      <c r="AQ340" s="10" t="n"/>
    </row>
    <row r="341">
      <c r="A341" s="7" t="inlineStr">
        <is>
          <t>b3-0113</t>
        </is>
      </c>
      <c r="B341" s="7" t="inlineStr">
        <is>
          <t>Point</t>
        </is>
      </c>
      <c r="C341" s="7" t="n"/>
      <c r="D341" s="7" t="inlineStr">
        <is>
          <t>607 B.C.E., Ab 10</t>
        </is>
      </c>
      <c r="E341" s="7" t="inlineStr">
        <is>
          <t>பொ.ச.மு. 607</t>
        </is>
      </c>
      <c r="F341" s="7" t="inlineStr">
        <is>
          <t>607 BCE</t>
        </is>
      </c>
      <c r="G341" s="7" t="inlineStr">
        <is>
          <t>Exact</t>
        </is>
      </c>
      <c r="H341" s="7" t="n"/>
      <c r="I341" s="7" t="n"/>
      <c r="J341" s="7" t="n"/>
      <c r="K341" s="2" t="inlineStr">
        <is>
          <t>Jerusalem and the temple destroyed by Babylon</t>
        </is>
      </c>
      <c r="L341" s="2" t="inlineStr">
        <is>
          <t>நேபுகாத்நேச்சார் தலைமையில் வரும் பாபிலோனிய படை எருசலேமையும் ஆலயத்தையும் அழிக்கிறது</t>
        </is>
      </c>
      <c r="M341" s="7" t="inlineStr">
        <is>
          <t>On the 10th day of the fifth month (Ab), Nebuzaradan burns Jehovah’s temple, the king’s house and the city, and pulls down Jerusalem’s walls. Solomon’s temple had stood about 420 years.</t>
        </is>
      </c>
      <c r="N341" s="7" t="inlineStr">
        <is>
          <t>ஐந்தாவது மாதம் (ஆப்), ஆலயம் சுட்டெரிக்கப்படுகிறது, எருசலேம் அழிக்கப்படுகிறது</t>
        </is>
      </c>
      <c r="O341" s="8" t="inlineStr">
        <is>
          <t>Bible</t>
        </is>
      </c>
      <c r="P341" s="7" t="inlineStr">
        <is>
          <t>bible.judgment</t>
        </is>
      </c>
      <c r="Q341" s="7" t="inlineStr">
        <is>
          <t>destruction</t>
        </is>
      </c>
      <c r="R341" s="7" t="inlineStr">
        <is>
          <t>Nebuchadnezzar; Nebuzaradan</t>
        </is>
      </c>
      <c r="S341" s="7" t="inlineStr">
        <is>
          <t>Jerusalem</t>
        </is>
      </c>
      <c r="T341" s="7" t="inlineStr">
        <is>
          <t>2 Ki. 25:8-10; Jer. 52:12-14; 2 Chron. 36:19</t>
        </is>
      </c>
      <c r="U341" s="7" t="inlineStr">
        <is>
          <t>2 இரா. 25:8-10; எரே. 52:12-14; 2 நா. 36:19</t>
        </is>
      </c>
      <c r="V341" s="7" t="n">
        <v>5</v>
      </c>
      <c r="W341" s="7" t="inlineStr">
        <is>
          <t>Study Number 3—Measuring Events in the Stream of Time</t>
        </is>
      </c>
      <c r="X341" s="9" t="inlineStr">
        <is>
          <t>open</t>
        </is>
      </c>
      <c r="Y341" s="9" t="inlineStr">
        <is>
          <t>open</t>
        </is>
      </c>
      <c r="Z341" s="7" t="inlineStr">
        <is>
          <t>https://wol.jw.org/en/wol/d/r1/lp-e/1101990130
https://wol.jw.org/en/wol/d/r1/lp-e/1001061215
https://wol.jw.org/en/wol/d/r1/lp-e/1200000970
https://wol.jw.org/en/wol/d/r1/lp-e/1200004359
https://wol.jw.org/en/wol/d/r1/lp-e/1101990073</t>
        </is>
      </c>
      <c r="AA341" s="7" t="n">
        <v>2</v>
      </c>
      <c r="AB341" s="9" t="inlineStr">
        <is>
          <t>open</t>
        </is>
      </c>
      <c r="AC341" s="7" t="n">
        <v>2</v>
      </c>
      <c r="AD341" s="7" t="inlineStr">
        <is>
          <t>The older Aid (1971) chart footnote dates the burning to the 7th of Ab (following 2 Ki. 25:8); si Study 3 (par. 6) and the Insight chart give the 10th day (Jer. 52:12). | date as given by merged duplicate b4-0005 (b4): Temple razed and Jerusalem destroyed</t>
        </is>
      </c>
      <c r="AE341" s="7" t="n"/>
      <c r="AF341" s="7" t="n"/>
      <c r="AG341" s="7" t="n"/>
      <c r="AH341" s="7" t="n"/>
      <c r="AI341" s="7" t="inlineStr">
        <is>
          <t>Span endpoint – keep</t>
        </is>
      </c>
      <c r="AJ341" s="7" t="inlineStr">
        <is>
          <t>end of Solomon’s temple in service (b12-0015); end of The 390 years of “the error of the house of Israel” (Ezekiel 4) (b12-0018); start of Babylon, third world power (b12-0023)</t>
        </is>
      </c>
      <c r="AK341" s="7" t="inlineStr">
        <is>
          <t>fulfilled-prophecies-nations #19 (fulfillment); seven-heads-of-the-beast #7 (rise); temple-built-by-solomon #6 (item); world-powers-daniel #5 (rise)</t>
        </is>
      </c>
      <c r="AL341" s="7" t="n"/>
      <c r="AM341" s="7" t="n">
        <v>-606.6</v>
      </c>
      <c r="AN341" s="10" t="n"/>
      <c r="AO341" s="10" t="n"/>
      <c r="AP341" s="10" t="n"/>
      <c r="AQ341" s="10" t="n"/>
    </row>
    <row r="342">
      <c r="A342" s="7" t="inlineStr">
        <is>
          <t>b12-0023</t>
        </is>
      </c>
      <c r="B342" s="11" t="inlineStr">
        <is>
          <t>Span</t>
        </is>
      </c>
      <c r="C342" s="7" t="inlineStr">
        <is>
          <t>world power</t>
        </is>
      </c>
      <c r="D342" s="7" t="inlineStr">
        <is>
          <t>607 B.C.E.–539 B.C.E.</t>
        </is>
      </c>
      <c r="E342" s="7" t="inlineStr">
        <is>
          <t>பொ.ச.மு. 607 முதற்கொண்டு</t>
        </is>
      </c>
      <c r="F342" s="7" t="inlineStr">
        <is>
          <t>607 BCE</t>
        </is>
      </c>
      <c r="G342" s="7" t="inlineStr">
        <is>
          <t>Exact</t>
        </is>
      </c>
      <c r="H342" s="7" t="inlineStr">
        <is>
          <t>539 BCE</t>
        </is>
      </c>
      <c r="I342" s="7" t="inlineStr">
        <is>
          <t>Exact</t>
        </is>
      </c>
      <c r="J342" s="7" t="n"/>
      <c r="K342" s="2" t="inlineStr">
        <is>
          <t>Babylon, third world power</t>
        </is>
      </c>
      <c r="L342" s="2" t="inlineStr">
        <is>
          <t>பாபிலோனியா</t>
        </is>
      </c>
      <c r="M342" s="7" t="inlineStr">
        <is>
          <t>Nebuchadnezzar became world ruler when he destroyed Jerusalem in 607 B.C.E.; his dynasty, the “head of gold” of Daniel 2, lasted until Babylon fell to the Medes and Persians in 539 B.C.E.</t>
        </is>
      </c>
      <c r="N342" s="7" t="inlineStr">
        <is>
          <t>பொ.ச.மு. 607-ல் எருசலேமையும் அதன் ஆலயத்தையும் அழிக்க யெகோவா தேவன் அவரை அனுமதித்தபோது அவர் உலக ஆட்சியாளரானார் எனலாம்.</t>
        </is>
      </c>
      <c r="O342" s="8" t="inlineStr">
        <is>
          <t>Bible</t>
        </is>
      </c>
      <c r="P342" s="7" t="inlineStr">
        <is>
          <t>bible.prophecy_fulfilled</t>
        </is>
      </c>
      <c r="Q342" s="7" t="n"/>
      <c r="R342" s="7" t="inlineStr">
        <is>
          <t>Nebuchadnezzar; Belshazzar</t>
        </is>
      </c>
      <c r="S342" s="7" t="inlineStr">
        <is>
          <t>Babylon</t>
        </is>
      </c>
      <c r="T342" s="7" t="inlineStr">
        <is>
          <t>Dan. 2:37, 38</t>
        </is>
      </c>
      <c r="U342" s="7" t="inlineStr">
        <is>
          <t>தானி. 2:37, 38</t>
        </is>
      </c>
      <c r="V342" s="7" t="n">
        <v>5</v>
      </c>
      <c r="W342" s="7" t="inlineStr">
        <is>
          <t>The Rise and Fall of an Immense Image</t>
        </is>
      </c>
      <c r="X342" s="9" t="inlineStr">
        <is>
          <t>open</t>
        </is>
      </c>
      <c r="Y342" s="9" t="inlineStr">
        <is>
          <t>open</t>
        </is>
      </c>
      <c r="Z342" s="7" t="inlineStr">
        <is>
          <t>https://wol.jw.org/en/wol/d/r1/lp-e/1101999023
https://wol.jw.org/en/wol/d/r1/lp-e/1101999023
https://wol.jw.org/en/wol/d/r1/lp-e/1001061229
https://wol.jw.org/en/wol/d/r1/lp-e/1101999023
https://wol.jw.org/en/wol/d/r1/lp-e/1200000530</t>
        </is>
      </c>
      <c r="AA342" s="7" t="n">
        <v>0</v>
      </c>
      <c r="AB342" s="7" t="n"/>
      <c r="AC342" s="7" t="n">
        <v>0</v>
      </c>
      <c r="AD342" s="7" t="n"/>
      <c r="AE342" s="7" t="n"/>
      <c r="AF342" s="7" t="inlineStr">
        <is>
          <t>b3-0113</t>
        </is>
      </c>
      <c r="AG342" s="7" t="inlineStr">
        <is>
          <t>b4-0024</t>
        </is>
      </c>
      <c r="AH342" s="7" t="n"/>
      <c r="AI342" s="7" t="n"/>
      <c r="AJ342" s="7" t="n"/>
      <c r="AK342" s="7" t="inlineStr">
        <is>
          <t>seven-heads-of-the-beast #6 (item); world-powers-daniel #4 (item)</t>
        </is>
      </c>
      <c r="AL342" s="7" t="n"/>
      <c r="AM342" s="7" t="n">
        <v>-606.6</v>
      </c>
      <c r="AN342" s="10" t="n"/>
      <c r="AO342" s="10" t="n"/>
      <c r="AP342" s="10" t="n"/>
      <c r="AQ342" s="10" t="n"/>
    </row>
    <row r="343">
      <c r="A343" s="7" t="inlineStr">
        <is>
          <t>b3-0114</t>
        </is>
      </c>
      <c r="B343" s="7" t="inlineStr">
        <is>
          <t>Point</t>
        </is>
      </c>
      <c r="C343" s="7" t="n"/>
      <c r="D343" s="7" t="inlineStr">
        <is>
          <t>607 B.C.E.</t>
        </is>
      </c>
      <c r="E343" s="7" t="n"/>
      <c r="F343" s="7" t="inlineStr">
        <is>
          <t>607 BCE</t>
        </is>
      </c>
      <c r="G343" s="7" t="inlineStr">
        <is>
          <t>Exact</t>
        </is>
      </c>
      <c r="H343" s="7" t="n"/>
      <c r="I343" s="7" t="n"/>
      <c r="J343" s="7" t="n"/>
      <c r="K343" s="2" t="inlineStr">
        <is>
          <t>Gedaliah appointed governor of Judah</t>
        </is>
      </c>
      <c r="L343" s="2" t="n"/>
      <c r="M343" s="7" t="inlineStr">
        <is>
          <t>Nebuchadnezzar appoints Gedaliah son of Ahikam as governor over the Jews left in the land, a remaining vestige of Jewish self-rule.</t>
        </is>
      </c>
      <c r="N343" s="7" t="n"/>
      <c r="O343" s="8" t="inlineStr">
        <is>
          <t>Bible</t>
        </is>
      </c>
      <c r="P343" s="7" t="inlineStr">
        <is>
          <t>bible.exile_return</t>
        </is>
      </c>
      <c r="Q343" s="7" t="inlineStr">
        <is>
          <t>appointment</t>
        </is>
      </c>
      <c r="R343" s="7" t="inlineStr">
        <is>
          <t>Gedaliah; Nebuchadnezzar; Jeremiah</t>
        </is>
      </c>
      <c r="S343" s="7" t="inlineStr">
        <is>
          <t>Mizpah; Judah</t>
        </is>
      </c>
      <c r="T343" s="7" t="inlineStr">
        <is>
          <t>2 Ki. 25:22; Jer. 40:7</t>
        </is>
      </c>
      <c r="U343" s="7" t="inlineStr">
        <is>
          <t>2 இரா. 25:22; எரே. 40:7</t>
        </is>
      </c>
      <c r="V343" s="7" t="n">
        <v>2</v>
      </c>
      <c r="W343" s="7" t="inlineStr">
        <is>
          <t>Gedaliah</t>
        </is>
      </c>
      <c r="X343" s="9" t="inlineStr">
        <is>
          <t>open</t>
        </is>
      </c>
      <c r="Y343" s="7" t="n"/>
      <c r="Z343" s="7" t="inlineStr">
        <is>
          <t>https://wol.jw.org/en/wol/d/r1/lp-e/1200001632
https://wol.jw.org/en/wol/d/r1/lp-e/1101990130</t>
        </is>
      </c>
      <c r="AA343" s="7" t="n">
        <v>0</v>
      </c>
      <c r="AB343" s="7" t="n"/>
      <c r="AC343" s="7" t="n">
        <v>0</v>
      </c>
      <c r="AD343" s="7" t="n"/>
      <c r="AE343" s="7" t="n"/>
      <c r="AF343" s="7" t="n"/>
      <c r="AG343" s="7" t="n"/>
      <c r="AH343" s="7" t="n"/>
      <c r="AI343" s="7" t="n"/>
      <c r="AJ343" s="7" t="n"/>
      <c r="AK343" s="7" t="n"/>
      <c r="AL343" s="7" t="n"/>
      <c r="AM343" s="7" t="n">
        <v>-606.55</v>
      </c>
      <c r="AN343" s="10" t="n"/>
      <c r="AO343" s="10" t="n"/>
      <c r="AP343" s="10" t="n"/>
      <c r="AQ343" s="10" t="n"/>
    </row>
    <row r="344">
      <c r="A344" s="7" t="inlineStr">
        <is>
          <t>b4-0006</t>
        </is>
      </c>
      <c r="B344" s="7" t="inlineStr">
        <is>
          <t>Point</t>
        </is>
      </c>
      <c r="C344" s="7" t="n"/>
      <c r="D344" s="7" t="inlineStr">
        <is>
          <t>607 B.C.E., Tammuz 9</t>
        </is>
      </c>
      <c r="E344" s="7" t="n"/>
      <c r="F344" s="7" t="inlineStr">
        <is>
          <t>607 BCE</t>
        </is>
      </c>
      <c r="G344" s="7" t="inlineStr">
        <is>
          <t>Exact</t>
        </is>
      </c>
      <c r="H344" s="7" t="n"/>
      <c r="I344" s="7" t="n"/>
      <c r="J344" s="7" t="n"/>
      <c r="K344" s="2" t="inlineStr">
        <is>
          <t>Babylonians breach Jerusalem's wall</t>
        </is>
      </c>
      <c r="L344" s="2" t="n"/>
      <c r="M344" s="7" t="inlineStr">
        <is>
          <t>After an 18-month siege, Nebuchadnezzar's army made a breach in Jerusalem's wall on Tammuz 9, in Zedekiah's 11th year.</t>
        </is>
      </c>
      <c r="N344" s="7" t="n"/>
      <c r="O344" s="8" t="inlineStr">
        <is>
          <t>Bible</t>
        </is>
      </c>
      <c r="P344" s="7" t="inlineStr">
        <is>
          <t>bible.judgment</t>
        </is>
      </c>
      <c r="Q344" s="7" t="inlineStr">
        <is>
          <t>battle</t>
        </is>
      </c>
      <c r="R344" s="7" t="inlineStr">
        <is>
          <t>Nebuchadnezzar; Zedekiah</t>
        </is>
      </c>
      <c r="S344" s="7" t="inlineStr">
        <is>
          <t>Jerusalem</t>
        </is>
      </c>
      <c r="T344" s="7" t="inlineStr">
        <is>
          <t>2 Ki. 25:2-4; Jer. 52:5-7</t>
        </is>
      </c>
      <c r="U344" s="7" t="n"/>
      <c r="V344" s="7" t="n">
        <v>3</v>
      </c>
      <c r="W344" s="7" t="inlineStr">
        <is>
          <t>Jerusalem</t>
        </is>
      </c>
      <c r="X344" s="9" t="inlineStr">
        <is>
          <t>open</t>
        </is>
      </c>
      <c r="Y344" s="7" t="n"/>
      <c r="Z344" s="7" t="inlineStr">
        <is>
          <t>https://wol.jw.org/en/wol/d/r1/lp-e/1200002436
https://wol.jw.org/en/wol/d/r1/lp-e/1200003200
https://wol.jw.org/en/wol/d/r1/lp-e/1200000888</t>
        </is>
      </c>
      <c r="AA344" s="7" t="n">
        <v>0</v>
      </c>
      <c r="AB344" s="7" t="n"/>
      <c r="AC344" s="7" t="n">
        <v>0</v>
      </c>
      <c r="AD344" s="7" t="n"/>
      <c r="AE344" s="7" t="n"/>
      <c r="AF344" s="7" t="n"/>
      <c r="AG344" s="7" t="n"/>
      <c r="AH344" s="7" t="n"/>
      <c r="AI344" s="7" t="n"/>
      <c r="AJ344" s="7" t="n"/>
      <c r="AK344" s="7" t="n"/>
      <c r="AL344" s="7" t="n"/>
      <c r="AM344" s="7" t="n">
        <v>-606.55</v>
      </c>
      <c r="AN344" s="10" t="n"/>
      <c r="AO344" s="10" t="n"/>
      <c r="AP344" s="10" t="n"/>
      <c r="AQ344" s="10" t="n"/>
    </row>
    <row r="345">
      <c r="A345" s="7" t="inlineStr">
        <is>
          <t>b3-0115</t>
        </is>
      </c>
      <c r="B345" s="7" t="inlineStr">
        <is>
          <t>Point</t>
        </is>
      </c>
      <c r="C345" s="7" t="n"/>
      <c r="D345" s="7" t="inlineStr">
        <is>
          <t>607 B.C.E., seventh month</t>
        </is>
      </c>
      <c r="E345" s="7" t="n"/>
      <c r="F345" s="7" t="inlineStr">
        <is>
          <t>607 BCE</t>
        </is>
      </c>
      <c r="G345" s="7" t="inlineStr">
        <is>
          <t>Exact</t>
        </is>
      </c>
      <c r="H345" s="7" t="n"/>
      <c r="I345" s="7" t="n"/>
      <c r="J345" s="7" t="n"/>
      <c r="K345" s="2" t="inlineStr">
        <is>
          <t>Gedaliah murdered</t>
        </is>
      </c>
      <c r="L345" s="2" t="inlineStr">
        <is>
          <t>“ஏழாம் மாதத்திலே” கெதலியாவும், இன்னும் சிலரும் கொலை செய்யப்பட்டனர்</t>
        </is>
      </c>
      <c r="M345" s="7" t="inlineStr">
        <is>
          <t>In the seventh month Gedaliah and others with him are assassinated, removing the last vestige of Jewish sovereignty in the land.</t>
        </is>
      </c>
      <c r="N345" s="7" t="inlineStr">
        <is>
          <t>“ஏழாம் மாதத்திலே” கெதலியாவும், இன்னும் சிலரும் கொலை செய்யப்பட்டனர், ஆகவே மீந்திருந்த யூதர்கள் பயந்து எகிப்துக்கு ஓடிவிட்டனர்.</t>
        </is>
      </c>
      <c r="O345" s="8" t="inlineStr">
        <is>
          <t>Bible</t>
        </is>
      </c>
      <c r="P345" s="7" t="inlineStr">
        <is>
          <t>bible.exile_return</t>
        </is>
      </c>
      <c r="Q345" s="7" t="inlineStr">
        <is>
          <t>assassination</t>
        </is>
      </c>
      <c r="R345" s="7" t="inlineStr">
        <is>
          <t>Gedaliah; Ishmael</t>
        </is>
      </c>
      <c r="S345" s="7" t="inlineStr">
        <is>
          <t>Mizpah</t>
        </is>
      </c>
      <c r="T345" s="7" t="inlineStr">
        <is>
          <t>2 Ki. 25:25; Jer. 41:1-3</t>
        </is>
      </c>
      <c r="U345" s="7" t="inlineStr">
        <is>
          <t>2 இரா. 25:25; எரே. 41:1-3</t>
        </is>
      </c>
      <c r="V345" s="7" t="n">
        <v>1</v>
      </c>
      <c r="W345" s="7" t="inlineStr">
        <is>
          <t>Study Number 3—Measuring Events in the Stream of Time</t>
        </is>
      </c>
      <c r="X345" s="9" t="inlineStr">
        <is>
          <t>open</t>
        </is>
      </c>
      <c r="Y345" s="9" t="inlineStr">
        <is>
          <t>open</t>
        </is>
      </c>
      <c r="Z345" s="7" t="inlineStr">
        <is>
          <t>https://wol.jw.org/en/wol/d/r1/lp-e/1101990130</t>
        </is>
      </c>
      <c r="AA345" s="7" t="n">
        <v>0</v>
      </c>
      <c r="AB345" s="7" t="n"/>
      <c r="AC345" s="7" t="n">
        <v>0</v>
      </c>
      <c r="AD345" s="7" t="n"/>
      <c r="AE345" s="7" t="n"/>
      <c r="AF345" s="7" t="n"/>
      <c r="AG345" s="7" t="n"/>
      <c r="AH345" s="7" t="n"/>
      <c r="AI345" s="7" t="n"/>
      <c r="AJ345" s="7" t="n"/>
      <c r="AK345" s="7" t="n"/>
      <c r="AL345" s="7" t="n"/>
      <c r="AM345" s="7" t="n">
        <v>-606.26</v>
      </c>
      <c r="AN345" s="10" t="n"/>
      <c r="AO345" s="10" t="n"/>
      <c r="AP345" s="10" t="n"/>
      <c r="AQ345" s="10" t="n"/>
    </row>
    <row r="346">
      <c r="A346" s="7" t="inlineStr">
        <is>
          <t>b3-0116</t>
        </is>
      </c>
      <c r="B346" s="7" t="inlineStr">
        <is>
          <t>Point</t>
        </is>
      </c>
      <c r="C346" s="7" t="n"/>
      <c r="D346" s="7" t="inlineStr">
        <is>
          <t>607 B.C.E., c. October 1</t>
        </is>
      </c>
      <c r="E346" s="7" t="inlineStr">
        <is>
          <t>பொ.ச.மு. 607</t>
        </is>
      </c>
      <c r="F346" s="7" t="inlineStr">
        <is>
          <t>607 BCE</t>
        </is>
      </c>
      <c r="G346" s="7" t="inlineStr">
        <is>
          <t>Approx. (c.)</t>
        </is>
      </c>
      <c r="H346" s="7" t="n"/>
      <c r="I346" s="7" t="n"/>
      <c r="J346" s="7" t="n"/>
      <c r="K346" s="2" t="inlineStr">
        <is>
          <t>Jews abandon Judah; 70-year desolation begins</t>
        </is>
      </c>
      <c r="L346" s="2" t="inlineStr">
        <is>
          <t>ஏழாவது மாதம், யூதர்கள் யூதாவைவிட்டு வெளியேறுகிறார்கள்</t>
        </is>
      </c>
      <c r="M346" s="7" t="inlineStr">
        <is>
          <t>The remaining Jews flee to Egypt; from about October 1, 607 B.C.E., the land lies completely desolate, beginning the 70 years foretold by Jeremiah (ending 537 B.C.E.).</t>
        </is>
      </c>
      <c r="N346" s="7" t="inlineStr">
        <is>
          <t>ஏறக்குறைய பொ.ச.மு. அக்டோபர் 1, 607-⁠லிருந்தே அந்தத் தேசம் முழுமையான கருத்தில் ‘பாழாய்க்கிடந்[து] . . . எழுபதுவருஷம் முடியுமட்டும் ஓய்ந்திருந்தது.’</t>
        </is>
      </c>
      <c r="O346" s="8" t="inlineStr">
        <is>
          <t>Bible</t>
        </is>
      </c>
      <c r="P346" s="7" t="inlineStr">
        <is>
          <t>bible.exile_return</t>
        </is>
      </c>
      <c r="Q346" s="7" t="inlineStr">
        <is>
          <t>desolation</t>
        </is>
      </c>
      <c r="R346" s="7" t="n"/>
      <c r="S346" s="7" t="inlineStr">
        <is>
          <t>Judah; Egypt</t>
        </is>
      </c>
      <c r="T346" s="7" t="inlineStr">
        <is>
          <t>2 Ki. 25:25, 26; 2 Chron. 36:20, 21; Jer. 25:11, 12</t>
        </is>
      </c>
      <c r="U346" s="7" t="inlineStr">
        <is>
          <t>2 இரா. 25:25, 26; 2 நா. 36:20, 21; எரே. 25:11, 12</t>
        </is>
      </c>
      <c r="V346" s="7" t="n">
        <v>5</v>
      </c>
      <c r="W346" s="7" t="inlineStr">
        <is>
          <t>Study Number 3—Measuring Events in the Stream of Time</t>
        </is>
      </c>
      <c r="X346" s="9" t="inlineStr">
        <is>
          <t>open</t>
        </is>
      </c>
      <c r="Y346" s="9" t="inlineStr">
        <is>
          <t>open</t>
        </is>
      </c>
      <c r="Z346" s="7" t="inlineStr">
        <is>
          <t>https://wol.jw.org/en/wol/d/r1/lp-e/1101990130
https://wol.jw.org/en/wol/d/r1/lp-e/1200000970
https://wol.jw.org/en/wol/d/r1/lp-e/1101990073
https://wol.jw.org/en/wol/d/r1/lp-e/1101990075
https://wol.jw.org/en/wol/d/r1/lp-e/1101999025</t>
        </is>
      </c>
      <c r="AA346" s="7" t="n">
        <v>0</v>
      </c>
      <c r="AB346" s="7" t="n"/>
      <c r="AC346" s="7" t="n">
        <v>1</v>
      </c>
      <c r="AD346" s="7" t="inlineStr">
        <is>
          <t>date as given by merged duplicate b4-0003 (b4): Gedaliah assassinated; Jews abandon Judah; 70 years of desolation begin</t>
        </is>
      </c>
      <c r="AE346" s="7" t="n"/>
      <c r="AF346" s="7" t="n"/>
      <c r="AG346" s="7" t="n"/>
      <c r="AH346" s="7" t="n"/>
      <c r="AI346" s="7" t="inlineStr">
        <is>
          <t>Span endpoint – keep</t>
        </is>
      </c>
      <c r="AJ346" s="7" t="inlineStr">
        <is>
          <t>start of The 70 years of Judah’s desolation (b12-0024)</t>
        </is>
      </c>
      <c r="AK346" s="7" t="inlineStr">
        <is>
          <t>fulfilled-prophecies-nations #21 (fulfillment)</t>
        </is>
      </c>
      <c r="AL346" s="7" t="n"/>
      <c r="AM346" s="7" t="n">
        <v>-606.25</v>
      </c>
      <c r="AN346" s="10" t="n"/>
      <c r="AO346" s="10" t="n"/>
      <c r="AP346" s="10" t="n"/>
      <c r="AQ346" s="10" t="n"/>
    </row>
    <row r="347">
      <c r="A347" s="7" t="inlineStr">
        <is>
          <t>b12-0024</t>
        </is>
      </c>
      <c r="B347" s="11" t="inlineStr">
        <is>
          <t>Span</t>
        </is>
      </c>
      <c r="C347" s="7" t="inlineStr">
        <is>
          <t>prophetic period</t>
        </is>
      </c>
      <c r="D347" s="7" t="inlineStr">
        <is>
          <t>607 B.C.E.–537 B.C.E.</t>
        </is>
      </c>
      <c r="E347" s="7" t="n"/>
      <c r="F347" s="7" t="inlineStr">
        <is>
          <t>607 BCE</t>
        </is>
      </c>
      <c r="G347" s="7" t="inlineStr">
        <is>
          <t>Exact</t>
        </is>
      </c>
      <c r="H347" s="7" t="inlineStr">
        <is>
          <t>537 BCE</t>
        </is>
      </c>
      <c r="I347" s="7" t="inlineStr">
        <is>
          <t>Exact</t>
        </is>
      </c>
      <c r="J347" s="7" t="inlineStr">
        <is>
          <t>70 years</t>
        </is>
      </c>
      <c r="K347" s="2" t="inlineStr">
        <is>
          <t>The 70 years of Judah’s desolation</t>
        </is>
      </c>
      <c r="L347" s="2" t="n"/>
      <c r="M347" s="7" t="inlineStr">
        <is>
          <t>After Gedaliah’s murder the remaining Jews fled to Egypt and the land lay desolate for the 70 years foretold by Jeremiah, until the exiles returned in the autumn of 537 B.C.E.</t>
        </is>
      </c>
      <c r="N347" s="7" t="inlineStr">
        <is>
          <t>அவ்வாறெனில், பொ.ச.மு. 537-ம் ஆண்டின் இலையுதிர்காலத்தில் முடிவடைந்த இந்த ‘எழுபது வருஷங்கள்,’ பொ.ச.மு. 607-ன் இலையுதிர் காலத்தில் தொடங்கியிருக்க வேண்டும்.</t>
        </is>
      </c>
      <c r="O347" s="8" t="inlineStr">
        <is>
          <t>Bible</t>
        </is>
      </c>
      <c r="P347" s="7" t="inlineStr">
        <is>
          <t>bible.exile_return</t>
        </is>
      </c>
      <c r="Q347" s="7" t="n"/>
      <c r="R347" s="7" t="inlineStr">
        <is>
          <t>Jeremiah; Daniel; Gedaliah</t>
        </is>
      </c>
      <c r="S347" s="7" t="inlineStr">
        <is>
          <t>Judah; Babylon</t>
        </is>
      </c>
      <c r="T347" s="7" t="inlineStr">
        <is>
          <t>Jer. 25:11, 12; Jer. 29:10; 2 Chron. 36:20, 21; Dan. 9:2</t>
        </is>
      </c>
      <c r="U347" s="7" t="inlineStr">
        <is>
          <t>எரே. 25:11, 12; எரே. 29:10; 2 நா. 36:20, 21; தானி. 9:2</t>
        </is>
      </c>
      <c r="V347" s="7" t="n">
        <v>2</v>
      </c>
      <c r="W347" s="7" t="inlineStr">
        <is>
          <t>Study Number 3—Measuring Events in the Stream of Time</t>
        </is>
      </c>
      <c r="X347" s="9" t="inlineStr">
        <is>
          <t>open</t>
        </is>
      </c>
      <c r="Y347" s="9" t="inlineStr">
        <is>
          <t>open</t>
        </is>
      </c>
      <c r="Z347" s="7" t="inlineStr">
        <is>
          <t>https://wol.jw.org/en/wol/d/r1/lp-e/1101990130
https://wol.jw.org/en/wol/d/r1/lp-e/1200000970</t>
        </is>
      </c>
      <c r="AA347" s="7" t="n">
        <v>0</v>
      </c>
      <c r="AB347" s="7" t="n"/>
      <c r="AC347" s="7" t="n">
        <v>0</v>
      </c>
      <c r="AD347" s="7" t="n"/>
      <c r="AE347" s="7" t="n"/>
      <c r="AF347" s="7" t="inlineStr">
        <is>
          <t>b3-0116</t>
        </is>
      </c>
      <c r="AG347" s="7" t="inlineStr">
        <is>
          <t>b4-0028</t>
        </is>
      </c>
      <c r="AH347" s="7" t="n"/>
      <c r="AI347" s="7" t="n"/>
      <c r="AJ347" s="7" t="n"/>
      <c r="AK347" s="7" t="inlineStr">
        <is>
          <t>fulfilled-prophecies-nations #22 (fulfillment)</t>
        </is>
      </c>
      <c r="AL347" s="7" t="n"/>
      <c r="AM347" s="7" t="n">
        <v>-606.25</v>
      </c>
      <c r="AN347" s="10" t="n"/>
      <c r="AO347" s="10" t="n"/>
      <c r="AP347" s="10" t="n"/>
      <c r="AQ347" s="10" t="n"/>
    </row>
    <row r="348">
      <c r="A348" s="7" t="inlineStr">
        <is>
          <t>b3-0117</t>
        </is>
      </c>
      <c r="B348" s="7" t="inlineStr">
        <is>
          <t>Point</t>
        </is>
      </c>
      <c r="C348" s="7" t="n"/>
      <c r="D348" s="7" t="inlineStr">
        <is>
          <t>607 B.C.E., seventh month</t>
        </is>
      </c>
      <c r="E348" s="7" t="inlineStr">
        <is>
          <t>பொ.ச.மு. 607</t>
        </is>
      </c>
      <c r="F348" s="7" t="inlineStr">
        <is>
          <t>607 BCE</t>
        </is>
      </c>
      <c r="G348" s="7" t="inlineStr">
        <is>
          <t>Exact</t>
        </is>
      </c>
      <c r="H348" s="7" t="n"/>
      <c r="I348" s="7" t="n"/>
      <c r="J348" s="7" t="n"/>
      <c r="K348" s="2" t="inlineStr">
        <is>
          <t>“Appointed times of the nations” begin to count</t>
        </is>
      </c>
      <c r="L348" s="2" t="inlineStr">
        <is>
          <t>“புறஜாதியாரின் காலம்” தொடங்குகிறது</t>
        </is>
      </c>
      <c r="M348" s="7" t="inlineStr">
        <is>
          <t>With Judah abandoned in the seventh month, the “appointed times of the nations” begin to count.</t>
        </is>
      </c>
      <c r="N348" s="7" t="inlineStr">
        <is>
          <t>ஏழாவது மாதம், யூதர்கள் யூதாவைவிட்டு வெளியேறுகிறார்கள்; “புறஜாதியாரின் காலம்” தொடங்குகிறது</t>
        </is>
      </c>
      <c r="O348" s="8" t="inlineStr">
        <is>
          <t>Bible</t>
        </is>
      </c>
      <c r="P348" s="7" t="inlineStr">
        <is>
          <t>bible.prophecy_fulfilled</t>
        </is>
      </c>
      <c r="Q348" s="7" t="inlineStr">
        <is>
          <t>prophetic_period</t>
        </is>
      </c>
      <c r="R348" s="7" t="n"/>
      <c r="S348" s="7" t="n"/>
      <c r="T348" s="7" t="inlineStr">
        <is>
          <t>Luke 21:24</t>
        </is>
      </c>
      <c r="U348" s="7" t="inlineStr">
        <is>
          <t>லூக். 21:24</t>
        </is>
      </c>
      <c r="V348" s="7" t="n">
        <v>1</v>
      </c>
      <c r="W348" s="7" t="inlineStr">
        <is>
          <t>Study Number 3—Measuring Events in the Stream of Time</t>
        </is>
      </c>
      <c r="X348" s="9" t="inlineStr">
        <is>
          <t>open</t>
        </is>
      </c>
      <c r="Y348" s="9" t="inlineStr">
        <is>
          <t>open</t>
        </is>
      </c>
      <c r="Z348" s="7" t="inlineStr">
        <is>
          <t>https://wol.jw.org/en/wol/d/r1/lp-e/1101990130</t>
        </is>
      </c>
      <c r="AA348" s="7" t="n">
        <v>0</v>
      </c>
      <c r="AB348" s="7" t="n"/>
      <c r="AC348" s="7" t="n">
        <v>0</v>
      </c>
      <c r="AD348" s="7" t="n"/>
      <c r="AE348" s="7" t="n"/>
      <c r="AF348" s="7" t="n"/>
      <c r="AG348" s="7" t="n"/>
      <c r="AH348" s="7" t="n"/>
      <c r="AI348" s="7" t="inlineStr">
        <is>
          <t>Span endpoint – keep</t>
        </is>
      </c>
      <c r="AJ348" s="7" t="inlineStr">
        <is>
          <t>start of “Seven times”: the appointed times of the nations (Gentile Times) (b12-0025)</t>
        </is>
      </c>
      <c r="AK348" s="7" t="inlineStr">
        <is>
          <t>daniel-time-prophecies #3 (start)</t>
        </is>
      </c>
      <c r="AL348" s="7" t="n"/>
      <c r="AM348" s="7" t="n">
        <v>-606.24</v>
      </c>
      <c r="AN348" s="10" t="n"/>
      <c r="AO348" s="10" t="n"/>
      <c r="AP348" s="10" t="n"/>
      <c r="AQ348" s="10" t="n"/>
    </row>
    <row r="349">
      <c r="A349" s="7" t="inlineStr">
        <is>
          <t>b12-0025</t>
        </is>
      </c>
      <c r="B349" s="11" t="inlineStr">
        <is>
          <t>Span</t>
        </is>
      </c>
      <c r="C349" s="7" t="inlineStr">
        <is>
          <t>prophetic period</t>
        </is>
      </c>
      <c r="D349" s="7" t="inlineStr">
        <is>
          <t>October 607 B.C.E. to October 1914 C.E.</t>
        </is>
      </c>
      <c r="E349" s="7" t="n"/>
      <c r="F349" s="7" t="inlineStr">
        <is>
          <t>607 BCE</t>
        </is>
      </c>
      <c r="G349" s="7" t="inlineStr">
        <is>
          <t>Exact</t>
        </is>
      </c>
      <c r="H349" s="7" t="inlineStr">
        <is>
          <t>1914 CE</t>
        </is>
      </c>
      <c r="I349" s="7" t="inlineStr">
        <is>
          <t>Exact</t>
        </is>
      </c>
      <c r="J349" s="7" t="inlineStr">
        <is>
          <t>2,520 years</t>
        </is>
      </c>
      <c r="K349" s="2" t="inlineStr">
        <is>
          <t>“Seven times”: the appointed times of the nations (Gentile Times)</t>
        </is>
      </c>
      <c r="L349" s="2" t="inlineStr">
        <is>
          <t>ஏழு காலங்கள்</t>
        </is>
      </c>
      <c r="M349" s="7" t="inlineStr">
        <is>
          <t>The “seven times” of Daniel 4, which Jesus called “the appointed times of the nations,” began when Babylon overthrew Jerusalem and the line of Davidic kings in 607 B.C.E. and ended in 1914 with the establishment of the Messianic Kingdom.</t>
        </is>
      </c>
      <c r="N349" s="7" t="inlineStr">
        <is>
          <t>பொ.ச.மு. 607 அக்டோபரில், பாபிலோனியரால் எருசலேம் வீழ்த்தப்பட்டு, தாவீதின் வம்சாவளியில் வந்த ராஜா சிங்காசனத்திலிருந்து நீக்கப்பட்டபோது அந்த 2,520 வருட காலப்பகுதி ஆரம்பமானது.</t>
        </is>
      </c>
      <c r="O349" s="8" t="inlineStr">
        <is>
          <t>Bible</t>
        </is>
      </c>
      <c r="P349" s="7" t="inlineStr">
        <is>
          <t>bible.prophecy_fulfilled</t>
        </is>
      </c>
      <c r="Q349" s="7" t="n"/>
      <c r="R349" s="7" t="n"/>
      <c r="S349" s="7" t="n"/>
      <c r="T349" s="7" t="inlineStr">
        <is>
          <t>Dan. 4:16, 25; Luke 21:24</t>
        </is>
      </c>
      <c r="U349" s="7" t="inlineStr">
        <is>
          <t>தானி. 4:16, 25; லூக். 21:24</t>
        </is>
      </c>
      <c r="V349" s="7" t="n">
        <v>3</v>
      </c>
      <c r="W349" s="7" t="inlineStr">
        <is>
          <t>Identifying True Worshipers in the Time of the End</t>
        </is>
      </c>
      <c r="X349" s="9" t="inlineStr">
        <is>
          <t>open</t>
        </is>
      </c>
      <c r="Y349" s="9" t="inlineStr">
        <is>
          <t>open</t>
        </is>
      </c>
      <c r="Z349" s="7" t="inlineStr">
        <is>
          <t>https://wol.jw.org/en/wol/d/r1/lp-e/1101999037
https://wol.jw.org/en/wol/d/r1/lp-e/1102005159
https://wol.jw.org/en/wol/d/r1/lp-e/1200000316</t>
        </is>
      </c>
      <c r="AA349" s="7" t="n">
        <v>0</v>
      </c>
      <c r="AB349" s="7" t="n"/>
      <c r="AC349" s="7" t="n">
        <v>0</v>
      </c>
      <c r="AD349" s="7" t="n"/>
      <c r="AE349" s="7" t="n"/>
      <c r="AF349" s="7" t="inlineStr">
        <is>
          <t>b3-0117</t>
        </is>
      </c>
      <c r="AG349" s="7" t="inlineStr">
        <is>
          <t>b10-0001</t>
        </is>
      </c>
      <c r="AH349" s="7" t="n"/>
      <c r="AI349" s="7" t="n"/>
      <c r="AJ349" s="7" t="n"/>
      <c r="AK349" s="7" t="inlineStr">
        <is>
          <t>daniel-time-prophecies #2 (item)</t>
        </is>
      </c>
      <c r="AL349" s="7" t="n"/>
      <c r="AM349" s="7" t="n">
        <v>-606.24</v>
      </c>
      <c r="AN349" s="10" t="n"/>
      <c r="AO349" s="10" t="n"/>
      <c r="AP349" s="10" t="n"/>
      <c r="AQ349" s="10" t="n"/>
    </row>
    <row r="350">
      <c r="A350" s="7" t="inlineStr">
        <is>
          <t>b3-0120</t>
        </is>
      </c>
      <c r="B350" s="7" t="inlineStr">
        <is>
          <t>Point</t>
        </is>
      </c>
      <c r="C350" s="7" t="n"/>
      <c r="D350" s="7" t="inlineStr">
        <is>
          <t>c. 607 B.C.E.</t>
        </is>
      </c>
      <c r="E350" s="7" t="inlineStr">
        <is>
          <t>ஏ. பொ.ச.மு. 607</t>
        </is>
      </c>
      <c r="F350" s="7" t="inlineStr">
        <is>
          <t>607 BCE</t>
        </is>
      </c>
      <c r="G350" s="7" t="inlineStr">
        <is>
          <t>Approx. (c.)</t>
        </is>
      </c>
      <c r="H350" s="7" t="n"/>
      <c r="I350" s="7" t="n"/>
      <c r="J350" s="7" t="n"/>
      <c r="K350" s="2" t="inlineStr">
        <is>
          <t>Prophetic activity of Obadiah</t>
        </is>
      </c>
      <c r="L350" s="2" t="inlineStr">
        <is>
          <t>ஒபதியா</t>
        </is>
      </c>
      <c r="M350" s="7" t="inlineStr">
        <is>
          <t>Obadiah, a prophet of the seventh century B.C.E. about whom nothing personal is known, denounces Edom at the time of Jerusalem’s destruction.</t>
        </is>
      </c>
      <c r="N350" s="7" t="n"/>
      <c r="O350" s="8" t="inlineStr">
        <is>
          <t>Bible</t>
        </is>
      </c>
      <c r="P350" s="7" t="inlineStr">
        <is>
          <t>bible.prophet</t>
        </is>
      </c>
      <c r="Q350" s="7" t="inlineStr">
        <is>
          <t>prophet_activity</t>
        </is>
      </c>
      <c r="R350" s="7" t="inlineStr">
        <is>
          <t>Obadiah</t>
        </is>
      </c>
      <c r="S350" s="7" t="n"/>
      <c r="T350" s="7" t="inlineStr">
        <is>
          <t>Obad. 1</t>
        </is>
      </c>
      <c r="U350" s="7" t="inlineStr">
        <is>
          <t>ஒப. 1</t>
        </is>
      </c>
      <c r="V350" s="7" t="n">
        <v>4</v>
      </c>
      <c r="W350" s="7" t="inlineStr">
        <is>
          <t>A6-B Chart: Prophets and Kings of Judah and of Israel (Part 2)</t>
        </is>
      </c>
      <c r="X350" s="9" t="inlineStr">
        <is>
          <t>open</t>
        </is>
      </c>
      <c r="Y350" s="9" t="inlineStr">
        <is>
          <t>open</t>
        </is>
      </c>
      <c r="Z350" s="7" t="inlineStr">
        <is>
          <t>https://wol.jw.org/en/wol/d/r1/lp-e/1001061215
https://wol.jw.org/en/wol/d/r1/lp-e/1101990092
https://wol.jw.org/en/wol/d/r1/lp-e/1200003287
https://wol.jw.org/en/wol/d/r1/lp-e/1200000970</t>
        </is>
      </c>
      <c r="AA350" s="7" t="n">
        <v>2</v>
      </c>
      <c r="AB350" s="9" t="inlineStr">
        <is>
          <t>open</t>
        </is>
      </c>
      <c r="AC350" s="7" t="n">
        <v>0</v>
      </c>
      <c r="AD350" s="7" t="n"/>
      <c r="AE350" s="7" t="n"/>
      <c r="AF350" s="7" t="n"/>
      <c r="AG350" s="7" t="n"/>
      <c r="AH350" s="7" t="n"/>
      <c r="AI350" s="7" t="n"/>
      <c r="AJ350" s="7" t="n"/>
      <c r="AK350" s="7" t="inlineStr">
        <is>
          <t>fulfilled-prophecies-nations #30 (prophecy); prophets-and-kings-a6 #59 (item)</t>
        </is>
      </c>
      <c r="AL350" s="7" t="inlineStr">
        <is>
          <t>Only an approximate single date is given. The A6 chart shows this prophet as an undated bar; range years come from the cited text sources. title_ta is the prophet’s name as printed in the Tamil A6 list.</t>
        </is>
      </c>
      <c r="AM350" s="7" t="n">
        <v>-606.1799999999999</v>
      </c>
      <c r="AN350" s="10" t="n"/>
      <c r="AO350" s="10" t="n"/>
      <c r="AP350" s="10" t="n"/>
      <c r="AQ350" s="10" t="n"/>
    </row>
    <row r="351">
      <c r="A351" s="7" t="inlineStr">
        <is>
          <t>b4-0007</t>
        </is>
      </c>
      <c r="B351" s="7" t="inlineStr">
        <is>
          <t>Point</t>
        </is>
      </c>
      <c r="C351" s="7" t="n"/>
      <c r="D351" s="7" t="inlineStr">
        <is>
          <t>607 B.C.E., tenth month, 5th day</t>
        </is>
      </c>
      <c r="E351" s="7" t="inlineStr">
        <is>
          <t>பொ.ச.மு. 607</t>
        </is>
      </c>
      <c r="F351" s="7" t="inlineStr">
        <is>
          <t>607 BCE</t>
        </is>
      </c>
      <c r="G351" s="7" t="inlineStr">
        <is>
          <t>Exact</t>
        </is>
      </c>
      <c r="H351" s="7" t="n"/>
      <c r="I351" s="7" t="n"/>
      <c r="J351" s="7" t="n"/>
      <c r="K351" s="2" t="inlineStr">
        <is>
          <t>Ezekiel told that Jerusalem has been struck down</t>
        </is>
      </c>
      <c r="L351" s="2" t="n"/>
      <c r="M351" s="7" t="inlineStr">
        <is>
          <t>In Babylon, an escapee from Jerusalem reached Ezekiel and reported that the city had been struck down; Ezekiel was then free to speak again to the exiles.</t>
        </is>
      </c>
      <c r="N351" s="7" t="inlineStr">
        <is>
          <t>(33:17) இப்போது பொ.ச.மு. 607-ன் பத்தாவது மாதத்தின் ஐந்தாம் தேதி.</t>
        </is>
      </c>
      <c r="O351" s="8" t="inlineStr">
        <is>
          <t>Bible</t>
        </is>
      </c>
      <c r="P351" s="7" t="inlineStr">
        <is>
          <t>bible.prophet</t>
        </is>
      </c>
      <c r="Q351" s="7" t="inlineStr">
        <is>
          <t>report</t>
        </is>
      </c>
      <c r="R351" s="7" t="inlineStr">
        <is>
          <t>Ezekiel</t>
        </is>
      </c>
      <c r="S351" s="7" t="inlineStr">
        <is>
          <t>Babylon</t>
        </is>
      </c>
      <c r="T351" s="7" t="inlineStr">
        <is>
          <t>Ezek. 33:21</t>
        </is>
      </c>
      <c r="U351" s="7" t="n"/>
      <c r="V351" s="7" t="n">
        <v>1</v>
      </c>
      <c r="W351" s="7" t="inlineStr">
        <is>
          <t>Bible Book Number 26—Ezekiel</t>
        </is>
      </c>
      <c r="X351" s="9" t="inlineStr">
        <is>
          <t>open</t>
        </is>
      </c>
      <c r="Y351" s="9" t="inlineStr">
        <is>
          <t>open</t>
        </is>
      </c>
      <c r="Z351" s="7" t="inlineStr">
        <is>
          <t>https://wol.jw.org/en/wol/d/r1/lp-e/1101990087</t>
        </is>
      </c>
      <c r="AA351" s="7" t="n">
        <v>0</v>
      </c>
      <c r="AB351" s="7" t="n"/>
      <c r="AC351" s="7" t="n">
        <v>0</v>
      </c>
      <c r="AD351" s="7" t="n"/>
      <c r="AE351" s="7" t="n"/>
      <c r="AF351" s="7" t="n"/>
      <c r="AG351" s="7" t="n"/>
      <c r="AH351" s="7" t="n"/>
      <c r="AI351" s="7" t="n"/>
      <c r="AJ351" s="7" t="n"/>
      <c r="AK351" s="7" t="n"/>
      <c r="AL351" s="7" t="n"/>
      <c r="AM351" s="7" t="n">
        <v>-606.05</v>
      </c>
      <c r="AN351" s="10" t="n"/>
      <c r="AO351" s="10" t="n"/>
      <c r="AP351" s="10" t="n"/>
      <c r="AQ351" s="10" t="n"/>
    </row>
    <row r="352">
      <c r="A352" s="7" t="inlineStr">
        <is>
          <t>b4-0008</t>
        </is>
      </c>
      <c r="B352" s="7" t="inlineStr">
        <is>
          <t>Point</t>
        </is>
      </c>
      <c r="C352" s="7" t="n"/>
      <c r="D352" s="7" t="inlineStr">
        <is>
          <t>606/605 B.C.E.</t>
        </is>
      </c>
      <c r="E352" s="7" t="inlineStr">
        <is>
          <t>பொ.ச.மு. 606/605</t>
        </is>
      </c>
      <c r="F352" s="7" t="inlineStr">
        <is>
          <t>606 BCE</t>
        </is>
      </c>
      <c r="G352" s="7" t="inlineStr">
        <is>
          <t>Approx. (c.)</t>
        </is>
      </c>
      <c r="H352" s="7" t="n"/>
      <c r="I352" s="7" t="n"/>
      <c r="J352" s="7" t="n"/>
      <c r="K352" s="2" t="inlineStr">
        <is>
          <t>Nebuchadnezzar's dream of the immense image</t>
        </is>
      </c>
      <c r="L352" s="2" t="n"/>
      <c r="M352" s="7" t="inlineStr">
        <is>
          <t>In the second year of his reign as world ruler (counted from Jerusalem's destruction), Nebuchadnezzar had a terrifying dream of an immense image; Daniel revealed and interpreted it.</t>
        </is>
      </c>
      <c r="N352" s="7" t="inlineStr">
        <is>
          <t>நேபுகாத்நேச்சார் உலகை ஆட்சிபுரிந்த இரண்டாம் வருடத்தில் (பொ.ச.மு. 606/605) கடவுள் தந்த கனவால் அரண்டுபோனார்.</t>
        </is>
      </c>
      <c r="O352" s="8" t="inlineStr">
        <is>
          <t>Bible</t>
        </is>
      </c>
      <c r="P352" s="7" t="inlineStr">
        <is>
          <t>bible.prophet</t>
        </is>
      </c>
      <c r="Q352" s="7" t="inlineStr">
        <is>
          <t>dream</t>
        </is>
      </c>
      <c r="R352" s="7" t="inlineStr">
        <is>
          <t>Nebuchadnezzar; Daniel</t>
        </is>
      </c>
      <c r="S352" s="7" t="inlineStr">
        <is>
          <t>Babylon</t>
        </is>
      </c>
      <c r="T352" s="7" t="inlineStr">
        <is>
          <t>Dan. 2:1; Dan. 2:31-45</t>
        </is>
      </c>
      <c r="U352" s="7" t="n"/>
      <c r="V352" s="7" t="n">
        <v>4</v>
      </c>
      <c r="W352" s="7" t="inlineStr">
        <is>
          <t>The Rise and Fall of an Immense Image</t>
        </is>
      </c>
      <c r="X352" s="9" t="inlineStr">
        <is>
          <t>open</t>
        </is>
      </c>
      <c r="Y352" s="9" t="inlineStr">
        <is>
          <t>open</t>
        </is>
      </c>
      <c r="Z352" s="7" t="inlineStr">
        <is>
          <t>https://wol.jw.org/en/wol/d/r1/lp-e/1101999023
https://wol.jw.org/en/wol/d/r1/lp-e/1200002149
https://wol.jw.org/en/wol/d/r1/lp-e/1101990088
https://wol.jw.org/en/wol/d/r1/lp-e/1200003200</t>
        </is>
      </c>
      <c r="AA352" s="7" t="n">
        <v>0</v>
      </c>
      <c r="AB352" s="7" t="n"/>
      <c r="AC352" s="7" t="n">
        <v>0</v>
      </c>
      <c r="AD352" s="7" t="n"/>
      <c r="AE352" s="7" t="n"/>
      <c r="AF352" s="7" t="n"/>
      <c r="AG352" s="7" t="n"/>
      <c r="AH352" s="7" t="n"/>
      <c r="AI352" s="7" t="n"/>
      <c r="AJ352" s="7" t="n"/>
      <c r="AK352" s="7" t="inlineStr">
        <is>
          <t>world-powers-daniel #1 (prophecy)</t>
        </is>
      </c>
      <c r="AL352" s="7" t="n"/>
      <c r="AM352" s="7" t="n">
        <v>-605.9</v>
      </c>
      <c r="AN352" s="10" t="n"/>
      <c r="AO352" s="10" t="n"/>
      <c r="AP352" s="10" t="n"/>
      <c r="AQ352" s="10" t="n"/>
    </row>
    <row r="353">
      <c r="A353" s="7" t="inlineStr">
        <is>
          <t>b4-0009</t>
        </is>
      </c>
      <c r="B353" s="7" t="inlineStr">
        <is>
          <t>Point</t>
        </is>
      </c>
      <c r="C353" s="7" t="n"/>
      <c r="D353" s="7" t="inlineStr">
        <is>
          <t>593 B.C.E.</t>
        </is>
      </c>
      <c r="E353" s="7" t="n"/>
      <c r="F353" s="7" t="inlineStr">
        <is>
          <t>593 BCE</t>
        </is>
      </c>
      <c r="G353" s="7" t="inlineStr">
        <is>
          <t>Exact</t>
        </is>
      </c>
      <c r="H353" s="7" t="n"/>
      <c r="I353" s="7" t="n"/>
      <c r="J353" s="7" t="n"/>
      <c r="K353" s="2" t="inlineStr">
        <is>
          <t>Ezekiel's vision of a great temple</t>
        </is>
      </c>
      <c r="L353" s="2" t="n"/>
      <c r="M353" s="7" t="inlineStr">
        <is>
          <t>In the 14th year after Jerusalem's destruction, the priest-prophet Ezekiel was transported in vision to a high mountain and beheld a great temple of Jehovah.</t>
        </is>
      </c>
      <c r="N353" s="7" t="n"/>
      <c r="O353" s="8" t="inlineStr">
        <is>
          <t>Bible</t>
        </is>
      </c>
      <c r="P353" s="7" t="inlineStr">
        <is>
          <t>bible.prophet</t>
        </is>
      </c>
      <c r="Q353" s="7" t="inlineStr">
        <is>
          <t>vision</t>
        </is>
      </c>
      <c r="R353" s="7" t="inlineStr">
        <is>
          <t>Ezekiel</t>
        </is>
      </c>
      <c r="S353" s="7" t="inlineStr">
        <is>
          <t>Babylon</t>
        </is>
      </c>
      <c r="T353" s="7" t="inlineStr">
        <is>
          <t>Ezek. 40:1, 2</t>
        </is>
      </c>
      <c r="U353" s="7" t="n"/>
      <c r="V353" s="7" t="n">
        <v>1</v>
      </c>
      <c r="W353" s="7" t="inlineStr">
        <is>
          <t>Temple</t>
        </is>
      </c>
      <c r="X353" s="9" t="inlineStr">
        <is>
          <t>open</t>
        </is>
      </c>
      <c r="Y353" s="7" t="n"/>
      <c r="Z353" s="7" t="inlineStr">
        <is>
          <t>https://wol.jw.org/en/wol/d/r1/lp-e/1200004359</t>
        </is>
      </c>
      <c r="AA353" s="7" t="n">
        <v>0</v>
      </c>
      <c r="AB353" s="7" t="n"/>
      <c r="AC353" s="7" t="n">
        <v>0</v>
      </c>
      <c r="AD353" s="7" t="n"/>
      <c r="AE353" s="7" t="n"/>
      <c r="AF353" s="7" t="n"/>
      <c r="AG353" s="7" t="n"/>
      <c r="AH353" s="7" t="n"/>
      <c r="AI353" s="7" t="n"/>
      <c r="AJ353" s="7" t="n"/>
      <c r="AK353" s="7" t="n"/>
      <c r="AL353" s="7" t="n"/>
      <c r="AM353" s="7" t="n">
        <v>-593</v>
      </c>
      <c r="AN353" s="10" t="n"/>
      <c r="AO353" s="10" t="n"/>
      <c r="AP353" s="10" t="n"/>
      <c r="AQ353" s="10" t="n"/>
    </row>
    <row r="354">
      <c r="A354" s="7" t="inlineStr">
        <is>
          <t>b4-0010</t>
        </is>
      </c>
      <c r="B354" s="7" t="inlineStr">
        <is>
          <t>Point</t>
        </is>
      </c>
      <c r="C354" s="7" t="n"/>
      <c r="D354" s="7" t="inlineStr">
        <is>
          <t>591 B.C.E.</t>
        </is>
      </c>
      <c r="E354" s="7" t="inlineStr">
        <is>
          <t>பொ.ச.மு. 591</t>
        </is>
      </c>
      <c r="F354" s="7" t="inlineStr">
        <is>
          <t>591 BCE</t>
        </is>
      </c>
      <c r="G354" s="7" t="inlineStr">
        <is>
          <t>Exact</t>
        </is>
      </c>
      <c r="H354" s="7" t="n"/>
      <c r="I354" s="7" t="n"/>
      <c r="J354" s="7" t="n"/>
      <c r="K354" s="2" t="inlineStr">
        <is>
          <t>Ezekiel foretells Egypt given to Nebuchadnezzar</t>
        </is>
      </c>
      <c r="L354" s="2" t="n"/>
      <c r="M354" s="7" t="inlineStr">
        <is>
          <t>Ezekiel received a message that Egypt would be given to Nebuchadnezzar as wages for his campaign against Tyre; he inserted this later revelation into his book.</t>
        </is>
      </c>
      <c r="N354" s="7" t="inlineStr">
        <is>
          <t>இங்கே, பொ.ச.மு. 591-ல் தனக்கு வெளிப்படுத்தப்பட்ட சில தகவல்களை எசேக்கியேல் இடையில் சேர்க்கிறார்.</t>
        </is>
      </c>
      <c r="O354" s="8" t="inlineStr">
        <is>
          <t>Bible</t>
        </is>
      </c>
      <c r="P354" s="7" t="inlineStr">
        <is>
          <t>bible.prophet</t>
        </is>
      </c>
      <c r="Q354" s="7" t="inlineStr">
        <is>
          <t>prophecy</t>
        </is>
      </c>
      <c r="R354" s="7" t="inlineStr">
        <is>
          <t>Ezekiel; Nebuchadnezzar</t>
        </is>
      </c>
      <c r="S354" s="7" t="inlineStr">
        <is>
          <t>Egypt; Tyre</t>
        </is>
      </c>
      <c r="T354" s="7" t="inlineStr">
        <is>
          <t>Ezek. 29:17-20</t>
        </is>
      </c>
      <c r="U354" s="7" t="n"/>
      <c r="V354" s="7" t="n">
        <v>2</v>
      </c>
      <c r="W354" s="7" t="inlineStr">
        <is>
          <t>Bible Book Number 26—Ezekiel</t>
        </is>
      </c>
      <c r="X354" s="9" t="inlineStr">
        <is>
          <t>open</t>
        </is>
      </c>
      <c r="Y354" s="9" t="inlineStr">
        <is>
          <t>open</t>
        </is>
      </c>
      <c r="Z354" s="7" t="inlineStr">
        <is>
          <t>https://wol.jw.org/en/wol/d/r1/lp-e/1101990087
https://wol.jw.org/en/wol/d/r1/lp-e/1200000530</t>
        </is>
      </c>
      <c r="AA354" s="7" t="n">
        <v>0</v>
      </c>
      <c r="AB354" s="7" t="n"/>
      <c r="AC354" s="7" t="n">
        <v>0</v>
      </c>
      <c r="AD354" s="7" t="n"/>
      <c r="AE354" s="7" t="n"/>
      <c r="AF354" s="7" t="n"/>
      <c r="AG354" s="7" t="n"/>
      <c r="AH354" s="7" t="n"/>
      <c r="AI354" s="7" t="n"/>
      <c r="AJ354" s="7" t="n"/>
      <c r="AK354" s="7" t="inlineStr">
        <is>
          <t>fulfilled-prophecies-nations #28 (prophecy)</t>
        </is>
      </c>
      <c r="AL354" s="7" t="n"/>
      <c r="AM354" s="7" t="n">
        <v>-591.1</v>
      </c>
      <c r="AN354" s="10" t="n"/>
      <c r="AO354" s="10" t="n"/>
      <c r="AP354" s="10" t="n"/>
      <c r="AQ354" s="10" t="n"/>
    </row>
    <row r="355">
      <c r="A355" s="7" t="inlineStr">
        <is>
          <t>b11-0029</t>
        </is>
      </c>
      <c r="B355" s="7" t="inlineStr">
        <is>
          <t>Point</t>
        </is>
      </c>
      <c r="C355" s="7" t="n"/>
      <c r="D355" s="7" t="inlineStr">
        <is>
          <t>c. 591 B.C.E.</t>
        </is>
      </c>
      <c r="E355" s="7" t="inlineStr">
        <is>
          <t>ஏ. கி.மு. 591</t>
        </is>
      </c>
      <c r="F355" s="7" t="inlineStr">
        <is>
          <t>591 BCE</t>
        </is>
      </c>
      <c r="G355" s="7" t="inlineStr">
        <is>
          <t>Approx. (c.)</t>
        </is>
      </c>
      <c r="H355" s="7" t="n"/>
      <c r="I355" s="7" t="n"/>
      <c r="J355" s="7" t="n"/>
      <c r="K355" s="2" t="inlineStr">
        <is>
          <t>Writing of Ezekiel completed</t>
        </is>
      </c>
      <c r="L355" s="2" t="inlineStr">
        <is>
          <t>எசேக்கியேல் — எழுதி முடிக்கப்பட்டது</t>
        </is>
      </c>
      <c r="M355" s="7" t="inlineStr">
        <is>
          <t>The writing of Ezekiel was completed c. 591 B.C.E. Writer: Ezekiel; place written: Babylon. Time covered: 613–c. 591 B.C.E.</t>
        </is>
      </c>
      <c r="N355" s="7" t="inlineStr">
        <is>
          <t>எசேக்கியேல்: எழுதியவர்(கள்): எசேக்கியேல்; எழுதப்பட்ட இடம்: பாபிலோன்; முடிக்கப்பட்ட வருஷம் (கி.மு.): ஏ. 591; காலப்பகுதி (கி.மு.): 613–ஏ. 591.</t>
        </is>
      </c>
      <c r="O355" s="8" t="inlineStr">
        <is>
          <t>Bible</t>
        </is>
      </c>
      <c r="P355" s="7" t="inlineStr">
        <is>
          <t>bible.book_writing</t>
        </is>
      </c>
      <c r="Q355" s="7" t="inlineStr">
        <is>
          <t>writing_completed</t>
        </is>
      </c>
      <c r="R355" s="7" t="inlineStr">
        <is>
          <t>Ezekiel</t>
        </is>
      </c>
      <c r="S355" s="7" t="inlineStr">
        <is>
          <t>Babylon</t>
        </is>
      </c>
      <c r="T355" s="7" t="inlineStr">
        <is>
          <t>Ezek.</t>
        </is>
      </c>
      <c r="U355" s="7" t="inlineStr">
        <is>
          <t>எசே.</t>
        </is>
      </c>
      <c r="V355" s="7" t="n">
        <v>5</v>
      </c>
      <c r="W355" s="7" t="inlineStr">
        <is>
          <t>Table of the Books of the Bible</t>
        </is>
      </c>
      <c r="X355" s="9" t="inlineStr">
        <is>
          <t>open</t>
        </is>
      </c>
      <c r="Y355" s="9" t="inlineStr">
        <is>
          <t>open</t>
        </is>
      </c>
      <c r="Z355" s="7" t="inlineStr">
        <is>
          <t>https://wol.jw.org/en/wol/d/r1/lp-e/1001070071
https://wol.jw.org/en/wol/d/r1/lp-e/1101990087
https://www.jw.org/en/library/bible/study-bible/books-of-the-bible-list/
https://wol.jw.org/en/wol/d/r1/lp-e/1001060002
https://wol.jw.org/en/wol/d/r1/lp-e/1101990130</t>
        </is>
      </c>
      <c r="AA355" s="7" t="n">
        <v>0</v>
      </c>
      <c r="AB355" s="7" t="n"/>
      <c r="AC355" s="7" t="n">
        <v>0</v>
      </c>
      <c r="AD355" s="7" t="n"/>
      <c r="AE355" s="7" t="n"/>
      <c r="AF355" s="7" t="n"/>
      <c r="AG355" s="7" t="n"/>
      <c r="AH355" s="7" t="n"/>
      <c r="AI355" s="7" t="n"/>
      <c r="AJ355" s="7" t="n"/>
      <c r="AK355" s="7" t="inlineStr">
        <is>
          <t>bible-books-written #26 (item)</t>
        </is>
      </c>
      <c r="AL355" s="7" t="inlineStr">
        <is>
          <t>Writer(s): Ezekiel. Place written: Babylon. Writing completed: c. 591 B.C.E. Time covered: 613–c. 591 B.C.E.</t>
        </is>
      </c>
      <c r="AM355" s="7" t="n">
        <v>-590.9974</v>
      </c>
      <c r="AN355" s="10" t="n"/>
      <c r="AO355" s="10" t="n"/>
      <c r="AP355" s="10" t="n"/>
      <c r="AQ355" s="10" t="n"/>
    </row>
    <row r="356">
      <c r="A356" s="7" t="inlineStr">
        <is>
          <t>b4-0012</t>
        </is>
      </c>
      <c r="B356" s="7" t="inlineStr">
        <is>
          <t>Point</t>
        </is>
      </c>
      <c r="C356" s="7" t="n"/>
      <c r="D356" s="7" t="inlineStr">
        <is>
          <t>588 B.C.E.</t>
        </is>
      </c>
      <c r="E356" s="7" t="n"/>
      <c r="F356" s="7" t="inlineStr">
        <is>
          <t>588 BCE</t>
        </is>
      </c>
      <c r="G356" s="7" t="inlineStr">
        <is>
          <t>Exact</t>
        </is>
      </c>
      <c r="H356" s="7" t="n"/>
      <c r="I356" s="7" t="n"/>
      <c r="J356" s="7" t="n"/>
      <c r="K356" s="2" t="inlineStr">
        <is>
          <t>Nebuchadnezzar campaigns against Egypt (37th year)</t>
        </is>
      </c>
      <c r="L356" s="2" t="n"/>
      <c r="M356" s="7" t="inlineStr">
        <is>
          <t>A fragmentary Babylonian text dated to Nebuchadnezzar's 37th year mentions a campaign against Egypt, possibly when Egypt was brought under Babylonian control as Ezekiel foretold.</t>
        </is>
      </c>
      <c r="N356" s="7" t="n"/>
      <c r="O356" s="8" t="inlineStr">
        <is>
          <t>Bible</t>
        </is>
      </c>
      <c r="P356" s="7" t="inlineStr">
        <is>
          <t>bible.prophecy_fulfilled</t>
        </is>
      </c>
      <c r="Q356" s="7" t="inlineStr">
        <is>
          <t>battle</t>
        </is>
      </c>
      <c r="R356" s="7" t="inlineStr">
        <is>
          <t>Nebuchadnezzar</t>
        </is>
      </c>
      <c r="S356" s="7" t="inlineStr">
        <is>
          <t>Egypt</t>
        </is>
      </c>
      <c r="T356" s="7" t="inlineStr">
        <is>
          <t>Ezek. 29:19</t>
        </is>
      </c>
      <c r="U356" s="7" t="n"/>
      <c r="V356" s="7" t="n">
        <v>2</v>
      </c>
      <c r="W356" s="7" t="inlineStr">
        <is>
          <t>Nebuchadnezzar</t>
        </is>
      </c>
      <c r="X356" s="9" t="inlineStr">
        <is>
          <t>open</t>
        </is>
      </c>
      <c r="Y356" s="7" t="n"/>
      <c r="Z356" s="7" t="inlineStr">
        <is>
          <t>https://wol.jw.org/en/wol/d/r1/lp-e/1200003200
https://wol.jw.org/en/wol/d/r1/lp-e/1200000530</t>
        </is>
      </c>
      <c r="AA356" s="7" t="n">
        <v>0</v>
      </c>
      <c r="AB356" s="7" t="n"/>
      <c r="AC356" s="7" t="n">
        <v>0</v>
      </c>
      <c r="AD356" s="7" t="n"/>
      <c r="AE356" s="7" t="n"/>
      <c r="AF356" s="7" t="n"/>
      <c r="AG356" s="7" t="n"/>
      <c r="AH356" s="7" t="n"/>
      <c r="AI356" s="7" t="n"/>
      <c r="AJ356" s="7" t="n"/>
      <c r="AK356" s="7" t="inlineStr">
        <is>
          <t>fulfilled-prophecies-nations #29 (fulfillment)</t>
        </is>
      </c>
      <c r="AL356" s="7" t="n"/>
      <c r="AM356" s="7" t="n">
        <v>-588</v>
      </c>
      <c r="AN356" s="10" t="n"/>
      <c r="AO356" s="10" t="n"/>
      <c r="AP356" s="10" t="n"/>
      <c r="AQ356" s="10" t="n"/>
    </row>
    <row r="357">
      <c r="A357" s="7" t="inlineStr">
        <is>
          <t>b4-0013</t>
        </is>
      </c>
      <c r="B357" s="7" t="inlineStr">
        <is>
          <t>Point</t>
        </is>
      </c>
      <c r="C357" s="7" t="n"/>
      <c r="D357" s="7" t="inlineStr">
        <is>
          <t>582 B.C.E. (October)</t>
        </is>
      </c>
      <c r="E357" s="7" t="inlineStr">
        <is>
          <t>பொ.ச.மு. 582</t>
        </is>
      </c>
      <c r="F357" s="7" t="inlineStr">
        <is>
          <t>582 BCE</t>
        </is>
      </c>
      <c r="G357" s="7" t="inlineStr">
        <is>
          <t>Exact</t>
        </is>
      </c>
      <c r="H357" s="7" t="n"/>
      <c r="I357" s="7" t="n"/>
      <c r="J357" s="7" t="n"/>
      <c r="K357" s="2" t="inlineStr">
        <is>
          <t>Death of Nebuchadnezzar II</t>
        </is>
      </c>
      <c r="L357" s="2" t="n"/>
      <c r="M357" s="7" t="inlineStr">
        <is>
          <t>After a 43-year reign (624-582 B.C.E.) that included his 'seven times' of madness, Nebuchadnezzar died in October 582 B.C.E.</t>
        </is>
      </c>
      <c r="N357" s="7" t="inlineStr">
        <is>
          <t>பொ.ச.மு. 582-ல் கர்வம்பிடித்த நேபுகாத்நேச்சாரின் உயிர்பிரிந்தது.</t>
        </is>
      </c>
      <c r="O357" s="8" t="inlineStr">
        <is>
          <t>Bible</t>
        </is>
      </c>
      <c r="P357" s="7" t="inlineStr">
        <is>
          <t>bible.exile_return</t>
        </is>
      </c>
      <c r="Q357" s="7" t="inlineStr">
        <is>
          <t>death</t>
        </is>
      </c>
      <c r="R357" s="7" t="inlineStr">
        <is>
          <t>Nebuchadnezzar</t>
        </is>
      </c>
      <c r="S357" s="7" t="inlineStr">
        <is>
          <t>Babylon</t>
        </is>
      </c>
      <c r="T357" s="7" t="inlineStr">
        <is>
          <t>Dan. 4:30-36</t>
        </is>
      </c>
      <c r="U357" s="7" t="n"/>
      <c r="V357" s="7" t="n">
        <v>3</v>
      </c>
      <c r="W357" s="7" t="inlineStr">
        <is>
          <t>Babylon</t>
        </is>
      </c>
      <c r="X357" s="9" t="inlineStr">
        <is>
          <t>open</t>
        </is>
      </c>
      <c r="Y357" s="7" t="n"/>
      <c r="Z357" s="7" t="inlineStr">
        <is>
          <t>https://wol.jw.org/en/wol/d/r1/lp-e/1200000530
https://wol.jw.org/en/wol/d/r1/lp-e/1200003200
https://wol.jw.org/en/wol/d/r1/lp-e/1101999026</t>
        </is>
      </c>
      <c r="AA357" s="7" t="n">
        <v>0</v>
      </c>
      <c r="AB357" s="7" t="n"/>
      <c r="AC357" s="7" t="n">
        <v>0</v>
      </c>
      <c r="AD357" s="7" t="n"/>
      <c r="AE357" s="7" t="n"/>
      <c r="AF357" s="7" t="n"/>
      <c r="AG357" s="7" t="n"/>
      <c r="AH357" s="7" t="n"/>
      <c r="AI357" s="7" t="inlineStr">
        <is>
          <t>Covered by span – hide on chart</t>
        </is>
      </c>
      <c r="AJ357" s="7" t="inlineStr">
        <is>
          <t>end of Reign of Nebuchadnezzar II, king of Babylon (b12-0020)</t>
        </is>
      </c>
      <c r="AK357" s="7" t="n"/>
      <c r="AL357" s="7" t="n"/>
      <c r="AM357" s="7" t="n">
        <v>-581.25</v>
      </c>
      <c r="AN357" s="10" t="n"/>
      <c r="AO357" s="10" t="n"/>
      <c r="AP357" s="10" t="n"/>
      <c r="AQ357" s="10" t="n"/>
    </row>
    <row r="358">
      <c r="A358" s="7" t="inlineStr">
        <is>
          <t>b4-0014</t>
        </is>
      </c>
      <c r="B358" s="7" t="inlineStr">
        <is>
          <t>Point</t>
        </is>
      </c>
      <c r="C358" s="7" t="n"/>
      <c r="D358" s="7" t="inlineStr">
        <is>
          <t>581 B.C.E.</t>
        </is>
      </c>
      <c r="E358" s="7" t="n"/>
      <c r="F358" s="7" t="inlineStr">
        <is>
          <t>581 BCE</t>
        </is>
      </c>
      <c r="G358" s="7" t="inlineStr">
        <is>
          <t>Exact</t>
        </is>
      </c>
      <c r="H358" s="7" t="n"/>
      <c r="I358" s="7" t="n"/>
      <c r="J358" s="7" t="n"/>
      <c r="K358" s="2" t="inlineStr">
        <is>
          <t>Evil-merodach succeeds Nebuchadnezzar</t>
        </is>
      </c>
      <c r="L358" s="2" t="n"/>
      <c r="M358" s="7" t="inlineStr">
        <is>
          <t>Evil-merodach (Awil-Marduk) became king of Babylon after Nebuchadnezzar.</t>
        </is>
      </c>
      <c r="N358" s="7" t="n"/>
      <c r="O358" s="8" t="inlineStr">
        <is>
          <t>Bible</t>
        </is>
      </c>
      <c r="P358" s="7" t="inlineStr">
        <is>
          <t>bible.exile_return</t>
        </is>
      </c>
      <c r="Q358" s="7" t="inlineStr">
        <is>
          <t>accession</t>
        </is>
      </c>
      <c r="R358" s="7" t="inlineStr">
        <is>
          <t>Evil-merodach</t>
        </is>
      </c>
      <c r="S358" s="7" t="inlineStr">
        <is>
          <t>Babylon</t>
        </is>
      </c>
      <c r="T358" s="7" t="inlineStr">
        <is>
          <t>2 Ki. 25:27; Jer. 52:31</t>
        </is>
      </c>
      <c r="U358" s="7" t="n"/>
      <c r="V358" s="7" t="n">
        <v>2</v>
      </c>
      <c r="W358" s="7" t="inlineStr">
        <is>
          <t>Evil-merodach</t>
        </is>
      </c>
      <c r="X358" s="9" t="inlineStr">
        <is>
          <t>open</t>
        </is>
      </c>
      <c r="Y358" s="7" t="n"/>
      <c r="Z358" s="7" t="inlineStr">
        <is>
          <t>https://wol.jw.org/en/wol/d/r1/lp-e/1200001453
https://wol.jw.org/en/wol/d/r1/lp-e/1200000530</t>
        </is>
      </c>
      <c r="AA358" s="7" t="n">
        <v>0</v>
      </c>
      <c r="AB358" s="7" t="n"/>
      <c r="AC358" s="7" t="n">
        <v>1</v>
      </c>
      <c r="AD358" s="7" t="inlineStr">
        <is>
          <t>Insight 'Babylon' says Nebuchadnezzar died October 582 and was succeeded by Awil-Marduk; Insight 'Evil-merodach' gives 581 for the succession (likely accession vs. first regnal year).</t>
        </is>
      </c>
      <c r="AE358" s="7" t="n"/>
      <c r="AF358" s="7" t="n"/>
      <c r="AG358" s="7" t="n"/>
      <c r="AH358" s="7" t="n"/>
      <c r="AI358" s="7" t="n"/>
      <c r="AJ358" s="7" t="n"/>
      <c r="AK358" s="7" t="n"/>
      <c r="AL358" s="7" t="n"/>
      <c r="AM358" s="7" t="n">
        <v>-581</v>
      </c>
      <c r="AN358" s="10" t="n"/>
      <c r="AO358" s="10" t="n"/>
      <c r="AP358" s="10" t="n"/>
      <c r="AQ358" s="10" t="n"/>
    </row>
    <row r="359">
      <c r="A359" s="7" t="inlineStr">
        <is>
          <t>b4-0015</t>
        </is>
      </c>
      <c r="B359" s="7" t="inlineStr">
        <is>
          <t>Point</t>
        </is>
      </c>
      <c r="C359" s="7" t="n"/>
      <c r="D359" s="7" t="inlineStr">
        <is>
          <t>580 B.C.E.</t>
        </is>
      </c>
      <c r="E359" s="7" t="n"/>
      <c r="F359" s="7" t="inlineStr">
        <is>
          <t>580 BCE</t>
        </is>
      </c>
      <c r="G359" s="7" t="inlineStr">
        <is>
          <t>Approx. (c.)</t>
        </is>
      </c>
      <c r="H359" s="7" t="n"/>
      <c r="I359" s="7" t="n"/>
      <c r="J359" s="7" t="n"/>
      <c r="K359" s="2" t="inlineStr">
        <is>
          <t>Jehoiachin released from prison by Evil-merodach</t>
        </is>
      </c>
      <c r="L359" s="2" t="n"/>
      <c r="M359" s="7" t="inlineStr">
        <is>
          <t>In the 37th year of his exile, Jehoiachin was released from the house of detention by Evil-merodach and given a position of favor above the other captive kings.</t>
        </is>
      </c>
      <c r="N359" s="7" t="n"/>
      <c r="O359" s="8" t="inlineStr">
        <is>
          <t>Bible</t>
        </is>
      </c>
      <c r="P359" s="7" t="inlineStr">
        <is>
          <t>bible.exile_return</t>
        </is>
      </c>
      <c r="Q359" s="7" t="inlineStr">
        <is>
          <t>release</t>
        </is>
      </c>
      <c r="R359" s="7" t="inlineStr">
        <is>
          <t>Jehoiachin; Evil-merodach</t>
        </is>
      </c>
      <c r="S359" s="7" t="inlineStr">
        <is>
          <t>Babylon</t>
        </is>
      </c>
      <c r="T359" s="7" t="inlineStr">
        <is>
          <t>2 Ki. 25:27-30; Jer. 52:31-34</t>
        </is>
      </c>
      <c r="U359" s="7" t="n"/>
      <c r="V359" s="7" t="n">
        <v>2</v>
      </c>
      <c r="W359" s="7" t="inlineStr">
        <is>
          <t>Jehoiachin</t>
        </is>
      </c>
      <c r="X359" s="9" t="inlineStr">
        <is>
          <t>open</t>
        </is>
      </c>
      <c r="Y359" s="7" t="n"/>
      <c r="Z359" s="7" t="inlineStr">
        <is>
          <t>https://wol.jw.org/en/wol/d/r1/lp-e/1200002375
https://wol.jw.org/en/wol/d/r1/lp-e/1200001453</t>
        </is>
      </c>
      <c r="AA359" s="7" t="n">
        <v>0</v>
      </c>
      <c r="AB359" s="7" t="n"/>
      <c r="AC359" s="7" t="n">
        <v>1</v>
      </c>
      <c r="AD359" s="7" t="inlineStr">
        <is>
          <t>Insight 'Evil-merodach' says the release was 'in the year of his becoming king' (581); Insight 'Jehoiachin' says 'evidently in 580 B.C.E.'</t>
        </is>
      </c>
      <c r="AE359" s="7" t="n"/>
      <c r="AF359" s="7" t="n"/>
      <c r="AG359" s="7" t="n"/>
      <c r="AH359" s="7" t="n"/>
      <c r="AI359" s="7" t="inlineStr">
        <is>
          <t>Span endpoint – keep</t>
        </is>
      </c>
      <c r="AJ359" s="7" t="inlineStr">
        <is>
          <t>end of Jehoiachin’s captivity in Babylon (b12-0021)</t>
        </is>
      </c>
      <c r="AK359" s="7" t="n"/>
      <c r="AL359" s="7" t="n"/>
      <c r="AM359" s="7" t="n">
        <v>-580.1</v>
      </c>
      <c r="AN359" s="10" t="n"/>
      <c r="AO359" s="10" t="n"/>
      <c r="AP359" s="10" t="n"/>
      <c r="AQ359" s="10" t="n"/>
    </row>
    <row r="360">
      <c r="A360" s="7" t="inlineStr">
        <is>
          <t>b11-0030</t>
        </is>
      </c>
      <c r="B360" s="7" t="inlineStr">
        <is>
          <t>Point</t>
        </is>
      </c>
      <c r="C360" s="7" t="n"/>
      <c r="D360" s="7" t="inlineStr">
        <is>
          <t>580 B.C.E.</t>
        </is>
      </c>
      <c r="E360" s="7" t="inlineStr">
        <is>
          <t>கி.மு. 580</t>
        </is>
      </c>
      <c r="F360" s="7" t="inlineStr">
        <is>
          <t>580 BCE</t>
        </is>
      </c>
      <c r="G360" s="7" t="inlineStr">
        <is>
          <t>Exact</t>
        </is>
      </c>
      <c r="H360" s="7" t="n"/>
      <c r="I360" s="7" t="n"/>
      <c r="J360" s="7" t="n"/>
      <c r="K360" s="2" t="inlineStr">
        <is>
          <t>Writing of 1 Kings completed</t>
        </is>
      </c>
      <c r="L360" s="2" t="inlineStr">
        <is>
          <t>1 ராஜாக்கள் — எழுதி முடிக்கப்பட்டது</t>
        </is>
      </c>
      <c r="M360" s="7" t="inlineStr">
        <is>
          <t>The writing of 1 Kings was completed in 580 B.C.E. Writer: Jeremiah; place written: Judah. Time covered: c. 1040-911 B.C.E.</t>
        </is>
      </c>
      <c r="N360" s="7" t="inlineStr">
        <is>
          <t>1 ராஜாக்கள்: எழுதியவர்(கள்): எரேமியா; எழுதப்பட்ட இடம்: யூதா; முடிக்கப்பட்ட வருஷம் (கி.மு.): 580; காலப்பகுதி (கி.மு.): ஏ. 1040-911.</t>
        </is>
      </c>
      <c r="O360" s="8" t="inlineStr">
        <is>
          <t>Bible</t>
        </is>
      </c>
      <c r="P360" s="7" t="inlineStr">
        <is>
          <t>bible.book_writing</t>
        </is>
      </c>
      <c r="Q360" s="7" t="inlineStr">
        <is>
          <t>writing_completed</t>
        </is>
      </c>
      <c r="R360" s="7" t="inlineStr">
        <is>
          <t>Jeremiah</t>
        </is>
      </c>
      <c r="S360" s="7" t="inlineStr">
        <is>
          <t>Judah</t>
        </is>
      </c>
      <c r="T360" s="7" t="inlineStr">
        <is>
          <t>1 Ki.</t>
        </is>
      </c>
      <c r="U360" s="7" t="inlineStr">
        <is>
          <t>1 ரா.</t>
        </is>
      </c>
      <c r="V360" s="7" t="n">
        <v>4</v>
      </c>
      <c r="W360" s="7" t="inlineStr">
        <is>
          <t>Table of the Books of the Bible</t>
        </is>
      </c>
      <c r="X360" s="9" t="inlineStr">
        <is>
          <t>open</t>
        </is>
      </c>
      <c r="Y360" s="9" t="inlineStr">
        <is>
          <t>open</t>
        </is>
      </c>
      <c r="Z360" s="7" t="inlineStr">
        <is>
          <t>https://wol.jw.org/en/wol/d/r1/lp-e/1001070071
https://wol.jw.org/en/wol/d/r1/lp-e/1101990072
https://www.jw.org/en/library/bible/study-bible/books-of-the-bible-list/
https://wol.jw.org/en/wol/d/r1/lp-e/1001060002</t>
        </is>
      </c>
      <c r="AA360" s="7" t="n">
        <v>0</v>
      </c>
      <c r="AB360" s="7" t="n"/>
      <c r="AC360" s="7" t="n">
        <v>2</v>
      </c>
      <c r="AD360" s="7" t="inlineStr">
        <is>
          <t>si gives place written as 'Jerusalem and Judah' (nwtsty: 'Judah'). | Rbi8 lists 1 Kings and 2 Kings as one row: writer Jeremiah, place 'Judah and Egypt', completed '1 roll 580', time covered 'c. 1040-580'.</t>
        </is>
      </c>
      <c r="AE360" s="7" t="n"/>
      <c r="AF360" s="7" t="n"/>
      <c r="AG360" s="7" t="n"/>
      <c r="AH360" s="7" t="n"/>
      <c r="AI360" s="7" t="n"/>
      <c r="AJ360" s="7" t="n"/>
      <c r="AK360" s="7" t="inlineStr">
        <is>
          <t>bible-books-written #11 (item)</t>
        </is>
      </c>
      <c r="AL360" s="7" t="inlineStr">
        <is>
          <t>Writer(s): Jeremiah. Place written: Judah. Writing completed: 580 B.C.E. Time covered: c. 1040-911 B.C.E.</t>
        </is>
      </c>
      <c r="AM360" s="7" t="n">
        <v>-579.9989</v>
      </c>
      <c r="AN360" s="10" t="n"/>
      <c r="AO360" s="10" t="n"/>
      <c r="AP360" s="10" t="n"/>
      <c r="AQ360" s="10" t="n"/>
    </row>
    <row r="361">
      <c r="A361" s="7" t="inlineStr">
        <is>
          <t>b11-0031</t>
        </is>
      </c>
      <c r="B361" s="7" t="inlineStr">
        <is>
          <t>Point</t>
        </is>
      </c>
      <c r="C361" s="7" t="n"/>
      <c r="D361" s="7" t="inlineStr">
        <is>
          <t>580 B.C.E.</t>
        </is>
      </c>
      <c r="E361" s="7" t="inlineStr">
        <is>
          <t>கி.மு. 580</t>
        </is>
      </c>
      <c r="F361" s="7" t="inlineStr">
        <is>
          <t>580 BCE</t>
        </is>
      </c>
      <c r="G361" s="7" t="inlineStr">
        <is>
          <t>Exact</t>
        </is>
      </c>
      <c r="H361" s="7" t="n"/>
      <c r="I361" s="7" t="n"/>
      <c r="J361" s="7" t="n"/>
      <c r="K361" s="2" t="inlineStr">
        <is>
          <t>Writing of 2 Kings completed</t>
        </is>
      </c>
      <c r="L361" s="2" t="inlineStr">
        <is>
          <t>2 ராஜாக்கள் — எழுதி முடிக்கப்பட்டது</t>
        </is>
      </c>
      <c r="M361" s="7" t="inlineStr">
        <is>
          <t>The writing of 2 Kings was completed in 580 B.C.E. Writer: Jeremiah; place written: Judah and Egypt. Time covered: c. 920-580 B.C.E.</t>
        </is>
      </c>
      <c r="N361" s="7" t="inlineStr">
        <is>
          <t>2 ராஜாக்கள்: எழுதியவர்(கள்): எரேமியா; எழுதப்பட்ட இடம்: யூதா மற்றும் எகிப்து; முடிக்கப்பட்ட வருஷம் (கி.மு.): 580; காலப்பகுதி (கி.மு.): ஏ. 920-580.</t>
        </is>
      </c>
      <c r="O361" s="8" t="inlineStr">
        <is>
          <t>Bible</t>
        </is>
      </c>
      <c r="P361" s="7" t="inlineStr">
        <is>
          <t>bible.book_writing</t>
        </is>
      </c>
      <c r="Q361" s="7" t="inlineStr">
        <is>
          <t>writing_completed</t>
        </is>
      </c>
      <c r="R361" s="7" t="inlineStr">
        <is>
          <t>Jeremiah</t>
        </is>
      </c>
      <c r="S361" s="7" t="inlineStr">
        <is>
          <t>Judah; Egypt</t>
        </is>
      </c>
      <c r="T361" s="7" t="inlineStr">
        <is>
          <t>2 Ki.</t>
        </is>
      </c>
      <c r="U361" s="7" t="inlineStr">
        <is>
          <t>2 ரா.</t>
        </is>
      </c>
      <c r="V361" s="7" t="n">
        <v>6</v>
      </c>
      <c r="W361" s="7" t="inlineStr">
        <is>
          <t>Table of the Books of the Bible</t>
        </is>
      </c>
      <c r="X361" s="9" t="inlineStr">
        <is>
          <t>open</t>
        </is>
      </c>
      <c r="Y361" s="9" t="inlineStr">
        <is>
          <t>open</t>
        </is>
      </c>
      <c r="Z361" s="7" t="inlineStr">
        <is>
          <t>https://wol.jw.org/en/wol/d/r1/lp-e/1001070071
https://wol.jw.org/en/wol/d/r1/lp-e/1101990073
https://www.jw.org/en/library/bible/study-bible/books-of-the-bible-list/
https://wol.jw.org/en/wol/d/r1/lp-e/1001060002
https://wol.jw.org/en/wol/d/r1/lp-e/1101990130
https://wol.jw.org/en/wol/d/r1/lp-e/1101990072</t>
        </is>
      </c>
      <c r="AA361" s="7" t="n">
        <v>0</v>
      </c>
      <c r="AB361" s="7" t="n"/>
      <c r="AC361" s="7" t="n">
        <v>2</v>
      </c>
      <c r="AD361" s="7" t="inlineStr">
        <is>
          <t>si gives places written as 'Jerusalem and Egypt' (nwtsty: 'Judah and Egypt'). | Rbi8 lists 1 Kings and 2 Kings as one row: writer Jeremiah, place 'Judah and Egypt', completed '1 roll 580', time covered 'c. 1040-580'.</t>
        </is>
      </c>
      <c r="AE361" s="7" t="n"/>
      <c r="AF361" s="7" t="n"/>
      <c r="AG361" s="7" t="n"/>
      <c r="AH361" s="7" t="n"/>
      <c r="AI361" s="7" t="n"/>
      <c r="AJ361" s="7" t="n"/>
      <c r="AK361" s="7" t="inlineStr">
        <is>
          <t>bible-books-written #12 (item)</t>
        </is>
      </c>
      <c r="AL361" s="7" t="inlineStr">
        <is>
          <t>Writer(s): Jeremiah. Place written: Judah and Egypt. Writing completed: 580 B.C.E. Time covered: c. 920-580 B.C.E.</t>
        </is>
      </c>
      <c r="AM361" s="7" t="n">
        <v>-579.9988</v>
      </c>
      <c r="AN361" s="10" t="n"/>
      <c r="AO361" s="10" t="n"/>
      <c r="AP361" s="10" t="n"/>
      <c r="AQ361" s="10" t="n"/>
    </row>
    <row r="362">
      <c r="A362" s="7" t="inlineStr">
        <is>
          <t>b11-0032</t>
        </is>
      </c>
      <c r="B362" s="7" t="inlineStr">
        <is>
          <t>Point</t>
        </is>
      </c>
      <c r="C362" s="7" t="n"/>
      <c r="D362" s="7" t="inlineStr">
        <is>
          <t>580 B.C.E.</t>
        </is>
      </c>
      <c r="E362" s="7" t="inlineStr">
        <is>
          <t>கி.மு. 580</t>
        </is>
      </c>
      <c r="F362" s="7" t="inlineStr">
        <is>
          <t>580 BCE</t>
        </is>
      </c>
      <c r="G362" s="7" t="inlineStr">
        <is>
          <t>Exact</t>
        </is>
      </c>
      <c r="H362" s="7" t="n"/>
      <c r="I362" s="7" t="n"/>
      <c r="J362" s="7" t="n"/>
      <c r="K362" s="2" t="inlineStr">
        <is>
          <t>Writing of Jeremiah completed</t>
        </is>
      </c>
      <c r="L362" s="2" t="inlineStr">
        <is>
          <t>எரேமியா — எழுதி முடிக்கப்பட்டது</t>
        </is>
      </c>
      <c r="M362" s="7" t="inlineStr">
        <is>
          <t>The writing of Jeremiah was completed in 580 B.C.E. Writer: Jeremiah; place written: Judah; Egypt. Time covered: 647-580 B.C.E.</t>
        </is>
      </c>
      <c r="N362" s="7" t="inlineStr">
        <is>
          <t>எரேமியா: எழுதியவர்(கள்): எரேமியா; எழுதப்பட்ட இடம்: யூதா; எகிப்து; முடிக்கப்பட்ட வருஷம் (கி.மு.): 580; காலப்பகுதி (கி.மு.): 647-580.</t>
        </is>
      </c>
      <c r="O362" s="8" t="inlineStr">
        <is>
          <t>Bible</t>
        </is>
      </c>
      <c r="P362" s="7" t="inlineStr">
        <is>
          <t>bible.book_writing</t>
        </is>
      </c>
      <c r="Q362" s="7" t="inlineStr">
        <is>
          <t>writing_completed</t>
        </is>
      </c>
      <c r="R362" s="7" t="inlineStr">
        <is>
          <t>Jeremiah</t>
        </is>
      </c>
      <c r="S362" s="7" t="inlineStr">
        <is>
          <t>Judah; Egypt</t>
        </is>
      </c>
      <c r="T362" s="7" t="inlineStr">
        <is>
          <t>Jer.</t>
        </is>
      </c>
      <c r="U362" s="7" t="inlineStr">
        <is>
          <t>எரே.</t>
        </is>
      </c>
      <c r="V362" s="7" t="n">
        <v>5</v>
      </c>
      <c r="W362" s="7" t="inlineStr">
        <is>
          <t>Table of the Books of the Bible</t>
        </is>
      </c>
      <c r="X362" s="9" t="inlineStr">
        <is>
          <t>open</t>
        </is>
      </c>
      <c r="Y362" s="9" t="inlineStr">
        <is>
          <t>open</t>
        </is>
      </c>
      <c r="Z362" s="7" t="inlineStr">
        <is>
          <t>https://wol.jw.org/en/wol/d/r1/lp-e/1001070071
https://wol.jw.org/en/wol/d/r1/lp-e/1101990085
https://www.jw.org/en/library/bible/study-bible/books-of-the-bible-list/
https://wol.jw.org/en/wol/d/r1/lp-e/1001060002
https://wol.jw.org/en/wol/d/r1/lp-e/1101990130</t>
        </is>
      </c>
      <c r="AA362" s="7" t="n">
        <v>0</v>
      </c>
      <c r="AB362" s="7" t="n"/>
      <c r="AC362" s="7" t="n">
        <v>0</v>
      </c>
      <c r="AD362" s="7" t="n"/>
      <c r="AE362" s="7" t="n"/>
      <c r="AF362" s="7" t="n"/>
      <c r="AG362" s="7" t="n"/>
      <c r="AH362" s="7" t="n"/>
      <c r="AI362" s="7" t="n"/>
      <c r="AJ362" s="7" t="n"/>
      <c r="AK362" s="7" t="inlineStr">
        <is>
          <t>bible-books-written #24 (item); messianic-prophecies #61 (prophecy)</t>
        </is>
      </c>
      <c r="AL362" s="7" t="inlineStr">
        <is>
          <t>Writer(s): Jeremiah. Place written: Judah; Egypt. Writing completed: 580 B.C.E. Time covered: 647-580 B.C.E.</t>
        </is>
      </c>
      <c r="AM362" s="7" t="n">
        <v>-579.9976</v>
      </c>
      <c r="AN362" s="10" t="n"/>
      <c r="AO362" s="10" t="n"/>
      <c r="AP362" s="10" t="n"/>
      <c r="AQ362" s="10" t="n"/>
    </row>
    <row r="363">
      <c r="A363" s="7" t="inlineStr">
        <is>
          <t>b4-0018</t>
        </is>
      </c>
      <c r="B363" s="7" t="inlineStr">
        <is>
          <t>Point</t>
        </is>
      </c>
      <c r="C363" s="7" t="n"/>
      <c r="D363" s="7" t="inlineStr">
        <is>
          <t>560/559 B.C.E.</t>
        </is>
      </c>
      <c r="E363" s="7" t="inlineStr">
        <is>
          <t>பொ.ச.மு. 560/559</t>
        </is>
      </c>
      <c r="F363" s="7" t="inlineStr">
        <is>
          <t>560 BCE</t>
        </is>
      </c>
      <c r="G363" s="7" t="inlineStr">
        <is>
          <t>Approx. (c.)</t>
        </is>
      </c>
      <c r="H363" s="7" t="n"/>
      <c r="I363" s="7" t="n"/>
      <c r="J363" s="7" t="n"/>
      <c r="K363" s="2" t="inlineStr">
        <is>
          <t>Cyrus begins his reign</t>
        </is>
      </c>
      <c r="L363" s="2" t="n"/>
      <c r="M363" s="7" t="inlineStr">
        <is>
          <t>Cyrus succeeded his father Cambyses I to the throne of Anshan in Persia about 560/559 B.C.E.; Diodorus places the start of his reign in Olympiad 55, year 1.</t>
        </is>
      </c>
      <c r="N363" s="7" t="inlineStr">
        <is>
          <t>சுமார் பொ.ச.மு. 560/559-ல் கோரேசு புகழின் பாதையில் காலடியெடுத்து வைத்தார்.</t>
        </is>
      </c>
      <c r="O363" s="8" t="inlineStr">
        <is>
          <t>Bible</t>
        </is>
      </c>
      <c r="P363" s="7" t="inlineStr">
        <is>
          <t>bible.exile_return</t>
        </is>
      </c>
      <c r="Q363" s="7" t="inlineStr">
        <is>
          <t>accession</t>
        </is>
      </c>
      <c r="R363" s="7" t="inlineStr">
        <is>
          <t>Cyrus; Cambyses I</t>
        </is>
      </c>
      <c r="S363" s="7" t="inlineStr">
        <is>
          <t>Anshan; Persia</t>
        </is>
      </c>
      <c r="T363" s="7" t="inlineStr">
        <is>
          <t>Isa. 45:1</t>
        </is>
      </c>
      <c r="U363" s="7" t="n"/>
      <c r="V363" s="7" t="n">
        <v>3</v>
      </c>
      <c r="W363" s="7" t="inlineStr">
        <is>
          <t>Cyrus</t>
        </is>
      </c>
      <c r="X363" s="9" t="inlineStr">
        <is>
          <t>open</t>
        </is>
      </c>
      <c r="Y363" s="7" t="n"/>
      <c r="Z363" s="7" t="inlineStr">
        <is>
          <t>https://wol.jw.org/en/wol/d/r1/lp-e/1200001102
https://wol.jw.org/en/wol/d/r1/lp-e/1101999028
https://wol.jw.org/en/wol/d/r1/lp-e/1200000970</t>
        </is>
      </c>
      <c r="AA363" s="7" t="n">
        <v>0</v>
      </c>
      <c r="AB363" s="7" t="n"/>
      <c r="AC363" s="7" t="n">
        <v>0</v>
      </c>
      <c r="AD363" s="7" t="n"/>
      <c r="AE363" s="7" t="n"/>
      <c r="AF363" s="7" t="n"/>
      <c r="AG363" s="7" t="n"/>
      <c r="AH363" s="7" t="n"/>
      <c r="AI363" s="7" t="inlineStr">
        <is>
          <t>Covered by span – hide on chart</t>
        </is>
      </c>
      <c r="AJ363" s="7" t="inlineStr">
        <is>
          <t>start of Reign of Cyrus the Great (b12-0026)</t>
        </is>
      </c>
      <c r="AK363" s="7" t="n"/>
      <c r="AL363" s="7" t="n"/>
      <c r="AM363" s="7" t="n">
        <v>-559.5</v>
      </c>
      <c r="AN363" s="10" t="n"/>
      <c r="AO363" s="10" t="n"/>
      <c r="AP363" s="10" t="n"/>
      <c r="AQ363" s="10" t="n"/>
    </row>
    <row r="364">
      <c r="A364" s="7" t="inlineStr">
        <is>
          <t>b12-0026</t>
        </is>
      </c>
      <c r="B364" s="11" t="inlineStr">
        <is>
          <t>Span</t>
        </is>
      </c>
      <c r="C364" s="7" t="inlineStr">
        <is>
          <t>reign</t>
        </is>
      </c>
      <c r="D364" s="7" t="inlineStr">
        <is>
          <t>560/559 B.C.E.–530 B.C.E.</t>
        </is>
      </c>
      <c r="E364" s="7" t="n"/>
      <c r="F364" s="7" t="inlineStr">
        <is>
          <t>560 BCE</t>
        </is>
      </c>
      <c r="G364" s="7" t="inlineStr">
        <is>
          <t>Between (one moment in a window)</t>
        </is>
      </c>
      <c r="H364" s="7" t="inlineStr">
        <is>
          <t>530 BCE</t>
        </is>
      </c>
      <c r="I364" s="7" t="inlineStr">
        <is>
          <t>Exact</t>
        </is>
      </c>
      <c r="J364" s="7" t="n"/>
      <c r="K364" s="2" t="inlineStr">
        <is>
          <t>Reign of Cyrus the Great</t>
        </is>
      </c>
      <c r="L364" s="2" t="n"/>
      <c r="M364" s="7" t="inlineStr">
        <is>
          <t>Cyrus, the Persian conqueror of Babylon, reigned from 560/559 B.C.E. and issued the decree that let the Jews return home; he died on a military campaign in 530 B.C.E.</t>
        </is>
      </c>
      <c r="N364" s="7" t="n"/>
      <c r="O364" s="8" t="inlineStr">
        <is>
          <t>Bible</t>
        </is>
      </c>
      <c r="P364" s="7" t="inlineStr">
        <is>
          <t>bible.exile_return</t>
        </is>
      </c>
      <c r="Q364" s="7" t="n"/>
      <c r="R364" s="7" t="inlineStr">
        <is>
          <t>Cyrus</t>
        </is>
      </c>
      <c r="S364" s="7" t="inlineStr">
        <is>
          <t>Persia</t>
        </is>
      </c>
      <c r="T364" s="7" t="inlineStr">
        <is>
          <t>Isa. 45:1; Ezra 1:1-4</t>
        </is>
      </c>
      <c r="U364" s="7" t="inlineStr">
        <is>
          <t>ஏசா. 45:1; எஸ்றா 1:1-4</t>
        </is>
      </c>
      <c r="V364" s="7" t="n">
        <v>3</v>
      </c>
      <c r="W364" s="7" t="inlineStr">
        <is>
          <t>Cyrus</t>
        </is>
      </c>
      <c r="X364" s="9" t="inlineStr">
        <is>
          <t>open</t>
        </is>
      </c>
      <c r="Y364" s="7" t="n"/>
      <c r="Z364" s="7" t="inlineStr">
        <is>
          <t>https://wol.jw.org/en/wol/d/r1/lp-e/1200001102
https://wol.jw.org/en/wol/d/r1/lp-e/1200001102
https://wol.jw.org/en/wol/d/r1/lp-e/1200000970</t>
        </is>
      </c>
      <c r="AA364" s="7" t="n">
        <v>0</v>
      </c>
      <c r="AB364" s="7" t="n"/>
      <c r="AC364" s="7" t="n">
        <v>0</v>
      </c>
      <c r="AD364" s="7" t="n"/>
      <c r="AE364" s="7" t="n"/>
      <c r="AF364" s="7" t="inlineStr">
        <is>
          <t>b4-0018</t>
        </is>
      </c>
      <c r="AG364" s="7" t="inlineStr">
        <is>
          <t>b4-0035</t>
        </is>
      </c>
      <c r="AH364" s="7" t="n"/>
      <c r="AI364" s="7" t="n"/>
      <c r="AJ364" s="7" t="n"/>
      <c r="AK364" s="7" t="inlineStr">
        <is>
          <t>rulers-of-persia #1 (ruler)</t>
        </is>
      </c>
      <c r="AL364" s="7" t="n"/>
      <c r="AM364" s="7" t="n">
        <v>-559.5</v>
      </c>
      <c r="AN364" s="10" t="n"/>
      <c r="AO364" s="10" t="n"/>
      <c r="AP364" s="10" t="n"/>
      <c r="AQ364" s="10" t="n"/>
    </row>
    <row r="365">
      <c r="A365" s="7" t="inlineStr">
        <is>
          <t>b4-0019</t>
        </is>
      </c>
      <c r="B365" s="7" t="inlineStr">
        <is>
          <t>Point</t>
        </is>
      </c>
      <c r="C365" s="7" t="n"/>
      <c r="D365" s="7" t="inlineStr">
        <is>
          <t>556 B.C.E.</t>
        </is>
      </c>
      <c r="E365" s="7" t="inlineStr">
        <is>
          <t>பொ.ச.மு. 556</t>
        </is>
      </c>
      <c r="F365" s="7" t="inlineStr">
        <is>
          <t>556 BCE</t>
        </is>
      </c>
      <c r="G365" s="7" t="inlineStr">
        <is>
          <t>Exact</t>
        </is>
      </c>
      <c r="H365" s="7" t="n"/>
      <c r="I365" s="7" t="n"/>
      <c r="J365" s="7" t="n"/>
      <c r="K365" s="2" t="inlineStr">
        <is>
          <t>Nabonidus begins to rule Babylon</t>
        </is>
      </c>
      <c r="L365" s="2" t="n"/>
      <c r="M365" s="7" t="inlineStr">
        <is>
          <t>On the basis of cuneiform texts, Nabonidus is believed to have ruled Babylon some 17 years, from 556 to 539 B.C.E.</t>
        </is>
      </c>
      <c r="N365" s="7" t="inlineStr">
        <is>
          <t>நபோனிடஸ் தன் ஆட்சியை பொ.ச.மு. 556-ல் தொடங்கியதாக நம்பப்படுவதால் அவருடைய ஆட்சியின் மூன்றாம் வருஷமும் ‘பெல்ஷாத்சாரின் முதலாம் வருஷமும்’ பொ.ச.மு. 553 ஆக இருந்ததென தெரிகிறது.</t>
        </is>
      </c>
      <c r="O365" s="8" t="inlineStr">
        <is>
          <t>Bible</t>
        </is>
      </c>
      <c r="P365" s="7" t="inlineStr">
        <is>
          <t>bible.exile_return</t>
        </is>
      </c>
      <c r="Q365" s="7" t="inlineStr">
        <is>
          <t>accession</t>
        </is>
      </c>
      <c r="R365" s="7" t="inlineStr">
        <is>
          <t>Nabonidus</t>
        </is>
      </c>
      <c r="S365" s="7" t="inlineStr">
        <is>
          <t>Babylon</t>
        </is>
      </c>
      <c r="T365" s="7" t="n"/>
      <c r="U365" s="7" t="n"/>
      <c r="V365" s="7" t="n">
        <v>2</v>
      </c>
      <c r="W365" s="7" t="inlineStr">
        <is>
          <t>Nabonidus</t>
        </is>
      </c>
      <c r="X365" s="9" t="inlineStr">
        <is>
          <t>open</t>
        </is>
      </c>
      <c r="Y365" s="7" t="n"/>
      <c r="Z365" s="7" t="inlineStr">
        <is>
          <t>https://wol.jw.org/en/wol/d/r1/lp-e/1200003156
https://wol.jw.org/en/wol/d/r1/lp-e/1101990088</t>
        </is>
      </c>
      <c r="AA365" s="7" t="n">
        <v>0</v>
      </c>
      <c r="AB365" s="7" t="n"/>
      <c r="AC365" s="7" t="n">
        <v>0</v>
      </c>
      <c r="AD365" s="7" t="n"/>
      <c r="AE365" s="7" t="n"/>
      <c r="AF365" s="7" t="n"/>
      <c r="AG365" s="7" t="n"/>
      <c r="AH365" s="7" t="n"/>
      <c r="AI365" s="7" t="n"/>
      <c r="AJ365" s="7" t="n"/>
      <c r="AK365" s="7" t="n"/>
      <c r="AL365" s="7" t="n"/>
      <c r="AM365" s="7" t="n">
        <v>-556</v>
      </c>
      <c r="AN365" s="10" t="n"/>
      <c r="AO365" s="10" t="n"/>
      <c r="AP365" s="10" t="n"/>
      <c r="AQ365" s="10" t="n"/>
    </row>
    <row r="366">
      <c r="A366" s="7" t="inlineStr">
        <is>
          <t>b4-0020</t>
        </is>
      </c>
      <c r="B366" s="7" t="inlineStr">
        <is>
          <t>Point</t>
        </is>
      </c>
      <c r="C366" s="7" t="n"/>
      <c r="D366" s="7" t="inlineStr">
        <is>
          <t>553 B.C.E.</t>
        </is>
      </c>
      <c r="E366" s="7" t="inlineStr">
        <is>
          <t>பொ.ச.மு. 553</t>
        </is>
      </c>
      <c r="F366" s="7" t="inlineStr">
        <is>
          <t>553 BCE</t>
        </is>
      </c>
      <c r="G366" s="7" t="inlineStr">
        <is>
          <t>Approx. (c.)</t>
        </is>
      </c>
      <c r="H366" s="7" t="n"/>
      <c r="I366" s="7" t="n"/>
      <c r="J366" s="7" t="n"/>
      <c r="K366" s="2" t="inlineStr">
        <is>
          <t>First year of Belshazzar: Daniel's dream of four beasts</t>
        </is>
      </c>
      <c r="L366" s="2" t="n"/>
      <c r="M366" s="7" t="inlineStr">
        <is>
          <t>Belshazzar exercised royal authority from Nabonidus' third year on, evidently 553 B.C.E. In 'the first year of Belshazzar' Daniel had a dream and visions of four beasts, beginning the private visions of Daniel chapters 7 to 12.</t>
        </is>
      </c>
      <c r="N366" s="7" t="inlineStr">
        <is>
          <t>இவருடைய ஆட்சி பொ.ச.மு. 553-ல் தொடங்கியிருக்க வேண்டும்.</t>
        </is>
      </c>
      <c r="O366" s="8" t="inlineStr">
        <is>
          <t>Bible</t>
        </is>
      </c>
      <c r="P366" s="7" t="inlineStr">
        <is>
          <t>bible.prophet</t>
        </is>
      </c>
      <c r="Q366" s="7" t="inlineStr">
        <is>
          <t>vision</t>
        </is>
      </c>
      <c r="R366" s="7" t="inlineStr">
        <is>
          <t>Daniel; Belshazzar; Nabonidus</t>
        </is>
      </c>
      <c r="S366" s="7" t="inlineStr">
        <is>
          <t>Babylon</t>
        </is>
      </c>
      <c r="T366" s="7" t="inlineStr">
        <is>
          <t>Dan. 7:1</t>
        </is>
      </c>
      <c r="U366" s="7" t="n"/>
      <c r="V366" s="7" t="n">
        <v>3</v>
      </c>
      <c r="W366" s="7" t="inlineStr">
        <is>
          <t>Bible Book Number 27—Daniel</t>
        </is>
      </c>
      <c r="X366" s="9" t="inlineStr">
        <is>
          <t>open</t>
        </is>
      </c>
      <c r="Y366" s="9" t="inlineStr">
        <is>
          <t>open</t>
        </is>
      </c>
      <c r="Z366" s="7" t="inlineStr">
        <is>
          <t>https://wol.jw.org/en/wol/d/r1/lp-e/1101990088
https://wol.jw.org/en/wol/d/r1/lp-e/1200000628
https://wol.jw.org/en/wol/d/r1/lp-e/1200001118</t>
        </is>
      </c>
      <c r="AA366" s="7" t="n">
        <v>0</v>
      </c>
      <c r="AB366" s="7" t="n"/>
      <c r="AC366" s="7" t="n">
        <v>0</v>
      </c>
      <c r="AD366" s="7" t="n"/>
      <c r="AE366" s="7" t="n"/>
      <c r="AF366" s="7" t="n"/>
      <c r="AG366" s="7" t="n"/>
      <c r="AH366" s="7" t="n"/>
      <c r="AI366" s="7" t="n"/>
      <c r="AJ366" s="7" t="n"/>
      <c r="AK366" s="7" t="inlineStr">
        <is>
          <t>daniel-time-prophecies #16 (prophecy); fulfilled-prophecies-nations #44 (prophecy); fulfilled-prophecies-nations #50 (prophecy); world-powers-daniel #2 (prophecy)</t>
        </is>
      </c>
      <c r="AL366" s="7" t="inlineStr">
        <is>
          <t>Daniel 8 vision ('third year of Belshazzar') has no B.C.E. date stated on jw.org sources checked; not included.</t>
        </is>
      </c>
      <c r="AM366" s="7" t="n">
        <v>-553</v>
      </c>
      <c r="AN366" s="10" t="n"/>
      <c r="AO366" s="10" t="n"/>
      <c r="AP366" s="10" t="n"/>
      <c r="AQ366" s="10" t="n"/>
    </row>
    <row r="367">
      <c r="A367" s="7" t="inlineStr">
        <is>
          <t>b15-0002</t>
        </is>
      </c>
      <c r="B367" s="7" t="inlineStr">
        <is>
          <t>Point</t>
        </is>
      </c>
      <c r="C367" s="7" t="n"/>
      <c r="D367" s="7" t="inlineStr">
        <is>
          <t>About the middle of the sixth century B.C.E.</t>
        </is>
      </c>
      <c r="E367" s="7" t="inlineStr">
        <is>
          <t>பொ.ச.மு. ஆறாம் நூற்றாண்டில்</t>
        </is>
      </c>
      <c r="F367" s="7" t="inlineStr">
        <is>
          <t>550 BCE</t>
        </is>
      </c>
      <c r="G367" s="7" t="inlineStr">
        <is>
          <t>Approx. (c.)</t>
        </is>
      </c>
      <c r="H367" s="7" t="n"/>
      <c r="I367" s="7" t="n"/>
      <c r="J367" s="7" t="n"/>
      <c r="K367" s="2" t="inlineStr">
        <is>
          <t>Babylonian king Nabonidus conquers Edom</t>
        </is>
      </c>
      <c r="L367" s="2" t="inlineStr">
        <is>
          <t>நபோனிடஸின் பாபிலோனிய சேனைகள் ஏதோமை கைப்பற்றின</t>
        </is>
      </c>
      <c r="M367" s="7" t="inlineStr">
        <is>
          <t>Babylon’s peace with Edom did not last: about the middle of the sixth century B.C.E., troops of the Babylonian king Nabonidus conquered Edom. Insight and “All Scripture Is Inspired” present this as a fulfillment of the prophecies of Jeremiah, Ezekiel, and Obadiah against Edom (Obadiah 7: those ‘in covenant with’ Edom would prevail against her).</t>
        </is>
      </c>
      <c r="N367" s="7" t="inlineStr">
        <is>
          <t>பாபிலோன் ஏதோமுடன் செய்த சமாதானம் நீண்ட காலம் நிலைக்கவில்லை. பொ.ச.மு. ஆறாம் நூற்றாண்டில், அரசன் நபோனிடஸின் பாபிலோனிய சேனைகள் ஏதோமை கைப்பற்றின.</t>
        </is>
      </c>
      <c r="O367" s="8" t="inlineStr">
        <is>
          <t>Bible</t>
        </is>
      </c>
      <c r="P367" s="7" t="inlineStr">
        <is>
          <t>bible.prophecy_fulfilled</t>
        </is>
      </c>
      <c r="Q367" s="7" t="inlineStr">
        <is>
          <t>conquest</t>
        </is>
      </c>
      <c r="R367" s="7" t="inlineStr">
        <is>
          <t>Nabonidus</t>
        </is>
      </c>
      <c r="S367" s="7" t="inlineStr">
        <is>
          <t>Edom</t>
        </is>
      </c>
      <c r="T367" s="7" t="inlineStr">
        <is>
          <t>Obad. 7; Jer. 25:15-17, 21; Ezek. 25:14</t>
        </is>
      </c>
      <c r="U367" s="7" t="inlineStr">
        <is>
          <t>ஒப. 7; எரே. 25:15-17, 21; எசே. 25:14</t>
        </is>
      </c>
      <c r="V367" s="7" t="n">
        <v>2</v>
      </c>
      <c r="W367" s="7" t="inlineStr">
        <is>
          <t>Edom</t>
        </is>
      </c>
      <c r="X367" s="9" t="inlineStr">
        <is>
          <t>open</t>
        </is>
      </c>
      <c r="Y367" s="7" t="n"/>
      <c r="Z367" s="7" t="inlineStr">
        <is>
          <t>https://wol.jw.org/en/wol/d/r1/lp-e/1200001258
https://wol.jw.org/en/wol/d/r1/lp-e/1101990092</t>
        </is>
      </c>
      <c r="AA367" s="7" t="n">
        <v>0</v>
      </c>
      <c r="AB367" s="7" t="n"/>
      <c r="AC367" s="7" t="n">
        <v>0</v>
      </c>
      <c r="AD367" s="7" t="n"/>
      <c r="AE367" s="7" t="n"/>
      <c r="AF367" s="7" t="n"/>
      <c r="AG367" s="7" t="n"/>
      <c r="AH367" s="7" t="n"/>
      <c r="AI367" s="7" t="n"/>
      <c r="AJ367" s="7" t="n"/>
      <c r="AK367" s="7" t="inlineStr">
        <is>
          <t>fulfilled-prophecies-nations #33 (partial_fulfillment)</t>
        </is>
      </c>
      <c r="AL367" s="7" t="inlineStr">
        <is>
          <t>No exact year is printed. Insight: “about the middle of the sixth century B.C.E.”; si (Tamil and English): “during the sixth century B.C.E.” Year 550 and sort_key -550 only place the event mid-century (Nabonidus began to rule in 556 B.C.E., b4-0019); do not display as a year.</t>
        </is>
      </c>
      <c r="AM367" s="7" t="n">
        <v>-550</v>
      </c>
      <c r="AN367" s="10" t="n"/>
      <c r="AO367" s="10" t="n"/>
      <c r="AP367" s="10" t="n"/>
      <c r="AQ367" s="10" t="n"/>
    </row>
    <row r="368">
      <c r="A368" s="7" t="inlineStr">
        <is>
          <t>b4-0021</t>
        </is>
      </c>
      <c r="B368" s="7" t="inlineStr">
        <is>
          <t>Point</t>
        </is>
      </c>
      <c r="C368" s="7" t="n"/>
      <c r="D368" s="7" t="inlineStr">
        <is>
          <t>550 B.C.E.</t>
        </is>
      </c>
      <c r="E368" s="7" t="inlineStr">
        <is>
          <t>பொ.ச.மு. 550</t>
        </is>
      </c>
      <c r="F368" s="7" t="inlineStr">
        <is>
          <t>550 BCE</t>
        </is>
      </c>
      <c r="G368" s="7" t="inlineStr">
        <is>
          <t>Exact</t>
        </is>
      </c>
      <c r="H368" s="7" t="n"/>
      <c r="I368" s="7" t="n"/>
      <c r="J368" s="7" t="n"/>
      <c r="K368" s="2" t="inlineStr">
        <is>
          <t>Cyrus conquers Media</t>
        </is>
      </c>
      <c r="L368" s="2" t="n"/>
      <c r="M368" s="7" t="inlineStr">
        <is>
          <t>Cyrus gained a swift victory over Median King Astyages and captured his capital, Ecbatana, ending Median dominance over the Persians.</t>
        </is>
      </c>
      <c r="N368" s="7" t="inlineStr">
        <is>
          <t>ஆனால் பொ.ச.மு. 550-ல் பெர்சிய ராஜாவான கோரேசு மேதிய ராஜாவான ஆஸ்டைஜிஸை எளிதில் தோற்கடித்தார்.</t>
        </is>
      </c>
      <c r="O368" s="8" t="inlineStr">
        <is>
          <t>Bible</t>
        </is>
      </c>
      <c r="P368" s="7" t="inlineStr">
        <is>
          <t>bible.exile_return</t>
        </is>
      </c>
      <c r="Q368" s="7" t="inlineStr">
        <is>
          <t>battle</t>
        </is>
      </c>
      <c r="R368" s="7" t="inlineStr">
        <is>
          <t>Cyrus; Astyages</t>
        </is>
      </c>
      <c r="S368" s="7" t="inlineStr">
        <is>
          <t>Ecbatana; Media</t>
        </is>
      </c>
      <c r="T368" s="7" t="inlineStr">
        <is>
          <t>Dan. 8:3, 20</t>
        </is>
      </c>
      <c r="U368" s="7" t="n"/>
      <c r="V368" s="7" t="n">
        <v>2</v>
      </c>
      <c r="W368" s="7" t="inlineStr">
        <is>
          <t>Persia, Persians</t>
        </is>
      </c>
      <c r="X368" s="9" t="inlineStr">
        <is>
          <t>open</t>
        </is>
      </c>
      <c r="Y368" s="7" t="n"/>
      <c r="Z368" s="7" t="inlineStr">
        <is>
          <t>https://wol.jw.org/en/wol/d/r1/lp-e/1200003447
https://wol.jw.org/en/wol/d/r1/lp-e/1101999029</t>
        </is>
      </c>
      <c r="AA368" s="7" t="n">
        <v>1</v>
      </c>
      <c r="AB368" s="9" t="inlineStr">
        <is>
          <t>open</t>
        </is>
      </c>
      <c r="AC368" s="7" t="n">
        <v>0</v>
      </c>
      <c r="AD368" s="7" t="n"/>
      <c r="AE368" s="7" t="n"/>
      <c r="AF368" s="7" t="n"/>
      <c r="AG368" s="7" t="n"/>
      <c r="AH368" s="7" t="n"/>
      <c r="AI368" s="7" t="n"/>
      <c r="AJ368" s="7" t="n"/>
      <c r="AK368" s="7" t="inlineStr">
        <is>
          <t>fulfilled-prophecies-nations #46 (fulfillment)</t>
        </is>
      </c>
      <c r="AL368" s="7" t="n"/>
      <c r="AM368" s="7" t="n">
        <v>-550</v>
      </c>
      <c r="AN368" s="10" t="n"/>
      <c r="AO368" s="10" t="n"/>
      <c r="AP368" s="10" t="n"/>
      <c r="AQ368" s="10" t="n"/>
    </row>
    <row r="369">
      <c r="A369" s="7" t="inlineStr">
        <is>
          <t>b4-0022</t>
        </is>
      </c>
      <c r="B369" s="7" t="inlineStr">
        <is>
          <t>Point</t>
        </is>
      </c>
      <c r="C369" s="7" t="n"/>
      <c r="D369" s="7" t="inlineStr">
        <is>
          <t>539 B.C.E., Tishri</t>
        </is>
      </c>
      <c r="E369" s="7" t="n"/>
      <c r="F369" s="7" t="inlineStr">
        <is>
          <t>539 BCE</t>
        </is>
      </c>
      <c r="G369" s="7" t="inlineStr">
        <is>
          <t>Exact</t>
        </is>
      </c>
      <c r="H369" s="7" t="n"/>
      <c r="I369" s="7" t="n"/>
      <c r="J369" s="7" t="n"/>
      <c r="K369" s="2" t="inlineStr">
        <is>
          <t>Cyrus defeats Babylonian forces at Opis</t>
        </is>
      </c>
      <c r="L369" s="2" t="n"/>
      <c r="M369" s="7" t="inlineStr">
        <is>
          <t>According to the Nabonidus Chronicle, in the month Tishri of Nabonidus' final year Cyrus attacked and defeated the Babylonian forces at Opis.</t>
        </is>
      </c>
      <c r="N369" s="7" t="n"/>
      <c r="O369" s="8" t="inlineStr">
        <is>
          <t>Bible</t>
        </is>
      </c>
      <c r="P369" s="7" t="inlineStr">
        <is>
          <t>bible.exile_return</t>
        </is>
      </c>
      <c r="Q369" s="7" t="inlineStr">
        <is>
          <t>battle</t>
        </is>
      </c>
      <c r="R369" s="7" t="inlineStr">
        <is>
          <t>Cyrus; Nabonidus</t>
        </is>
      </c>
      <c r="S369" s="7" t="inlineStr">
        <is>
          <t>Opis</t>
        </is>
      </c>
      <c r="T369" s="7" t="inlineStr">
        <is>
          <t>Isa. 45:1, 2</t>
        </is>
      </c>
      <c r="U369" s="7" t="n"/>
      <c r="V369" s="7" t="n">
        <v>1</v>
      </c>
      <c r="W369" s="7" t="inlineStr">
        <is>
          <t>Cyrus</t>
        </is>
      </c>
      <c r="X369" s="9" t="inlineStr">
        <is>
          <t>open</t>
        </is>
      </c>
      <c r="Y369" s="7" t="n"/>
      <c r="Z369" s="7" t="inlineStr">
        <is>
          <t>https://wol.jw.org/en/wol/d/r1/lp-e/1200001102</t>
        </is>
      </c>
      <c r="AA369" s="7" t="n">
        <v>0</v>
      </c>
      <c r="AB369" s="7" t="n"/>
      <c r="AC369" s="7" t="n">
        <v>0</v>
      </c>
      <c r="AD369" s="7" t="n"/>
      <c r="AE369" s="7" t="n"/>
      <c r="AF369" s="7" t="n"/>
      <c r="AG369" s="7" t="n"/>
      <c r="AH369" s="7" t="n"/>
      <c r="AI369" s="7" t="n"/>
      <c r="AJ369" s="7" t="n"/>
      <c r="AK369" s="7" t="n"/>
      <c r="AL369" s="7" t="n"/>
      <c r="AM369" s="7" t="n">
        <v>-538.27</v>
      </c>
      <c r="AN369" s="10" t="n"/>
      <c r="AO369" s="10" t="n"/>
      <c r="AP369" s="10" t="n"/>
      <c r="AQ369" s="10" t="n"/>
    </row>
    <row r="370">
      <c r="A370" s="7" t="inlineStr">
        <is>
          <t>b4-0023</t>
        </is>
      </c>
      <c r="B370" s="7" t="inlineStr">
        <is>
          <t>Point</t>
        </is>
      </c>
      <c r="C370" s="7" t="n"/>
      <c r="D370" s="7" t="inlineStr">
        <is>
          <t>539 B.C.E., night of Oct. 5/6</t>
        </is>
      </c>
      <c r="E370" s="7" t="inlineStr">
        <is>
          <t>பொ.ச.மு. 539, அக்டோபர் 5/6</t>
        </is>
      </c>
      <c r="F370" s="7" t="inlineStr">
        <is>
          <t>539 BCE</t>
        </is>
      </c>
      <c r="G370" s="7" t="inlineStr">
        <is>
          <t>Exact</t>
        </is>
      </c>
      <c r="H370" s="7" t="n"/>
      <c r="I370" s="7" t="n"/>
      <c r="J370" s="7" t="n"/>
      <c r="K370" s="2" t="inlineStr">
        <is>
          <t>Belshazzar's feast: Daniel interprets the handwriting on the wall</t>
        </is>
      </c>
      <c r="L370" s="2" t="inlineStr">
        <is>
          <t>மேதியரும் பெர்சியரும் பாபிலோனைக் கைப்பற்றுகின்றனர்  மேதிய-பெர்சியா நான்காவது உலக வல்லரசாகிறது</t>
        </is>
      </c>
      <c r="M370" s="7" t="inlineStr">
        <is>
          <t>During Belshazzar's feast, a hand wrote on the palace wall; Daniel made known its meaning, that the kingdom was given to the Medes and the Persians.</t>
        </is>
      </c>
      <c r="N370" s="7" t="inlineStr">
        <is>
          <t>4 இந்த இரவில் அதாவது பொ.ச.மு. 539, அக்டோபர் 5/6-ன் இரவில் பாபிலோனியர்கள் இந்தளவு குடித்துக் கும்மாளமடித்தது வியப்பளிக்கிறது.</t>
        </is>
      </c>
      <c r="O370" s="8" t="inlineStr">
        <is>
          <t>Bible</t>
        </is>
      </c>
      <c r="P370" s="7" t="inlineStr">
        <is>
          <t>bible.prophet</t>
        </is>
      </c>
      <c r="Q370" s="7" t="inlineStr">
        <is>
          <t>prophecy</t>
        </is>
      </c>
      <c r="R370" s="7" t="inlineStr">
        <is>
          <t>Belshazzar; Daniel</t>
        </is>
      </c>
      <c r="S370" s="7" t="inlineStr">
        <is>
          <t>Babylon</t>
        </is>
      </c>
      <c r="T370" s="7" t="inlineStr">
        <is>
          <t>Dan. 5:1-28</t>
        </is>
      </c>
      <c r="U370" s="7" t="n"/>
      <c r="V370" s="7" t="n">
        <v>3</v>
      </c>
      <c r="W370" s="7" t="inlineStr">
        <is>
          <t>Babylon</t>
        </is>
      </c>
      <c r="X370" s="9" t="inlineStr">
        <is>
          <t>open</t>
        </is>
      </c>
      <c r="Y370" s="7" t="n"/>
      <c r="Z370" s="7" t="inlineStr">
        <is>
          <t>https://wol.jw.org/en/wol/d/r1/lp-e/1200000530
https://wol.jw.org/en/wol/d/r1/lp-e/1101999026
https://wol.jw.org/en/wol/d/r1/lp-e/1101990088</t>
        </is>
      </c>
      <c r="AA370" s="7" t="n">
        <v>0</v>
      </c>
      <c r="AB370" s="7" t="n"/>
      <c r="AC370" s="7" t="n">
        <v>0</v>
      </c>
      <c r="AD370" s="7" t="n"/>
      <c r="AE370" s="7" t="n"/>
      <c r="AF370" s="7" t="n"/>
      <c r="AG370" s="7" t="n"/>
      <c r="AH370" s="7" t="n"/>
      <c r="AI370" s="7" t="n"/>
      <c r="AJ370" s="7" t="n"/>
      <c r="AK370" s="7" t="inlineStr">
        <is>
          <t>fulfilled-prophecies-nations #38 (prophecy)</t>
        </is>
      </c>
      <c r="AL370" s="7" t="inlineStr">
        <is>
          <t>[title_ta from owner's Tamil sheet]</t>
        </is>
      </c>
      <c r="AM370" s="7" t="n">
        <v>-538.24</v>
      </c>
      <c r="AN370" s="10" t="n"/>
      <c r="AO370" s="10" t="n"/>
      <c r="AP370" s="10" t="n"/>
      <c r="AQ370" s="10" t="n"/>
    </row>
    <row r="371">
      <c r="A371" s="7" t="inlineStr">
        <is>
          <t>b4-0024</t>
        </is>
      </c>
      <c r="B371" s="7" t="inlineStr">
        <is>
          <t>Point</t>
        </is>
      </c>
      <c r="C371" s="7" t="n"/>
      <c r="D371" s="7" t="inlineStr">
        <is>
          <t>539 B.C.E., Oct. 5 (Tishri 16)</t>
        </is>
      </c>
      <c r="E371" s="7" t="inlineStr">
        <is>
          <t>பொ.ச.மு. 539</t>
        </is>
      </c>
      <c r="F371" s="7" t="inlineStr">
        <is>
          <t>539 BCE</t>
        </is>
      </c>
      <c r="G371" s="7" t="inlineStr">
        <is>
          <t>Exact</t>
        </is>
      </c>
      <c r="H371" s="7" t="n"/>
      <c r="I371" s="7" t="n"/>
      <c r="J371" s="7" t="n"/>
      <c r="K371" s="2" t="inlineStr">
        <is>
          <t>Babylon falls to the Medes and Persians</t>
        </is>
      </c>
      <c r="L371" s="2" t="inlineStr">
        <is>
          <t>மேதியரும் பெர்சியரும் பாபிலோனைக் கைப்பற்றுகின்றனர்; மேதிய-பெர்சியா நான்காவது உலக வல்லரசாகிறது</t>
        </is>
      </c>
      <c r="M371" s="7" t="inlineStr">
        <is>
          <t>Cyrus' army entered Babylon without a battle during the night of October 5, 539 B.C.E. (Tishri 16); Belshazzar was killed, and Medo-Persia became the fourth world power of Bible history.</t>
        </is>
      </c>
      <c r="N371" s="7" t="inlineStr">
        <is>
          <t>பொ.ச.மு. 539, அக்டோபர் 5/6-ன் இரவில், மேதிய-பெர்சிய படை, வெல்லமுடியாததாய் தோன்றிய பாபிலோனை வீழ்த்தி பெல்ஷாத்சார் ராஜாவை கொன்றபோது தானியேல் அங்கிருந்தார்.</t>
        </is>
      </c>
      <c r="O371" s="8" t="inlineStr">
        <is>
          <t>Bible</t>
        </is>
      </c>
      <c r="P371" s="7" t="inlineStr">
        <is>
          <t>bible.prophecy_fulfilled</t>
        </is>
      </c>
      <c r="Q371" s="7" t="inlineStr">
        <is>
          <t>conquest</t>
        </is>
      </c>
      <c r="R371" s="7" t="inlineStr">
        <is>
          <t>Cyrus; Belshazzar; Darius the Mede</t>
        </is>
      </c>
      <c r="S371" s="7" t="inlineStr">
        <is>
          <t>Babylon</t>
        </is>
      </c>
      <c r="T371" s="7" t="inlineStr">
        <is>
          <t>Dan. 5:30, 31; Isa. 45:1</t>
        </is>
      </c>
      <c r="U371" s="7" t="inlineStr">
        <is>
          <t>தானி. 5:30, 31</t>
        </is>
      </c>
      <c r="V371" s="7" t="n">
        <v>5</v>
      </c>
      <c r="W371" s="7" t="inlineStr">
        <is>
          <t>Study Number 3—Measuring Events in the Stream of Time</t>
        </is>
      </c>
      <c r="X371" s="9" t="inlineStr">
        <is>
          <t>open</t>
        </is>
      </c>
      <c r="Y371" s="9" t="inlineStr">
        <is>
          <t>open</t>
        </is>
      </c>
      <c r="Z371" s="7" t="inlineStr">
        <is>
          <t>https://wol.jw.org/en/wol/d/r1/lp-e/1101990130
https://wol.jw.org/en/wol/d/r1/lp-e/1200001102
https://wol.jw.org/en/wol/d/r1/lp-e/1200000628
https://wol.jw.org/en/wol/d/r1/lp-e/1200000970
https://wol.jw.org/en/wol/d/r1/lp-e/1101999023</t>
        </is>
      </c>
      <c r="AA371" s="7" t="n">
        <v>2</v>
      </c>
      <c r="AB371" s="9" t="inlineStr">
        <is>
          <t>open</t>
        </is>
      </c>
      <c r="AC371" s="7" t="n">
        <v>0</v>
      </c>
      <c r="AD371" s="7" t="n"/>
      <c r="AE371" s="7" t="n"/>
      <c r="AF371" s="7" t="n"/>
      <c r="AG371" s="7" t="n"/>
      <c r="AH371" s="7" t="n"/>
      <c r="AI371" s="7" t="inlineStr">
        <is>
          <t>Span endpoint – keep</t>
        </is>
      </c>
      <c r="AJ371" s="7" t="inlineStr">
        <is>
          <t>end of Babylon, third world power (b12-0023); start of Medo-Persia, fourth world power (b12-0027)</t>
        </is>
      </c>
      <c r="AK371" s="7" t="inlineStr">
        <is>
          <t>fulfilled-prophecies-nations #39 (fulfillment); fulfilled-prophecies-nations #41 (fulfillment); fulfilled-prophecies-nations #47 (fulfillment); seven-heads-of-the-beast #8 (fall); seven-heads-of-the-beast #10 (rise); world-powers-daniel #6 (fall); world-powers-daniel #8 (rise)</t>
        </is>
      </c>
      <c r="AL371" s="7" t="n"/>
      <c r="AM371" s="7" t="n">
        <v>-538.23</v>
      </c>
      <c r="AN371" s="10" t="n"/>
      <c r="AO371" s="10" t="n"/>
      <c r="AP371" s="10" t="n"/>
      <c r="AQ371" s="10" t="n"/>
    </row>
    <row r="372">
      <c r="A372" s="7" t="inlineStr">
        <is>
          <t>b12-0027</t>
        </is>
      </c>
      <c r="B372" s="11" t="inlineStr">
        <is>
          <t>Span</t>
        </is>
      </c>
      <c r="C372" s="7" t="inlineStr">
        <is>
          <t>world power</t>
        </is>
      </c>
      <c r="D372" s="7" t="inlineStr">
        <is>
          <t>539 B.C.E.–331 B.C.E.</t>
        </is>
      </c>
      <c r="E372" s="7" t="inlineStr">
        <is>
          <t>பொ.ச.மு. 539 முதற்கொண்டு</t>
        </is>
      </c>
      <c r="F372" s="7" t="inlineStr">
        <is>
          <t>539 BCE</t>
        </is>
      </c>
      <c r="G372" s="7" t="inlineStr">
        <is>
          <t>Exact</t>
        </is>
      </c>
      <c r="H372" s="7" t="inlineStr">
        <is>
          <t>331 BCE</t>
        </is>
      </c>
      <c r="I372" s="7" t="inlineStr">
        <is>
          <t>Exact</t>
        </is>
      </c>
      <c r="J372" s="7" t="n"/>
      <c r="K372" s="2" t="inlineStr">
        <is>
          <t>Medo-Persia, fourth world power</t>
        </is>
      </c>
      <c r="L372" s="2" t="inlineStr">
        <is>
          <t>மேதிய-பெர்சியா</t>
        </is>
      </c>
      <c r="M372" s="7" t="inlineStr">
        <is>
          <t>Medo-Persia, the silver part of the image, replaced Babylon in 539 B.C.E. and ended when Alexander the Great defeated Darius III at Gaugamela in 331 B.C.E.</t>
        </is>
      </c>
      <c r="N372" s="7" t="inlineStr">
        <is>
          <t>பொ.ச.மு. 539-ல் உலக மகா வல்லரசாக திகழ்ந்த பாபிலோனின் இடத்தைப் பிடித்தது மேதிய-பெர்சியா.</t>
        </is>
      </c>
      <c r="O372" s="8" t="inlineStr">
        <is>
          <t>Bible</t>
        </is>
      </c>
      <c r="P372" s="7" t="inlineStr">
        <is>
          <t>bible.prophecy_fulfilled</t>
        </is>
      </c>
      <c r="Q372" s="7" t="n"/>
      <c r="R372" s="7" t="inlineStr">
        <is>
          <t>Cyrus; Darius III</t>
        </is>
      </c>
      <c r="S372" s="7" t="inlineStr">
        <is>
          <t>Persia; Babylon</t>
        </is>
      </c>
      <c r="T372" s="7" t="inlineStr">
        <is>
          <t>Dan. 2:39; Dan. 8:20</t>
        </is>
      </c>
      <c r="U372" s="7" t="inlineStr">
        <is>
          <t>தானி. 2:39; தானி. 8:20</t>
        </is>
      </c>
      <c r="V372" s="7" t="n">
        <v>4</v>
      </c>
      <c r="W372" s="7" t="inlineStr">
        <is>
          <t>The Rise and Fall of an Immense Image</t>
        </is>
      </c>
      <c r="X372" s="9" t="inlineStr">
        <is>
          <t>open</t>
        </is>
      </c>
      <c r="Y372" s="9" t="inlineStr">
        <is>
          <t>open</t>
        </is>
      </c>
      <c r="Z372" s="7" t="inlineStr">
        <is>
          <t>https://wol.jw.org/en/wol/d/r1/lp-e/1101999023
https://wol.jw.org/en/wol/d/r1/lp-e/1101999023
https://wol.jw.org/en/wol/d/r1/lp-e/1001061229
https://wol.jw.org/en/wol/d/r1/lp-e/1101999023</t>
        </is>
      </c>
      <c r="AA372" s="7" t="n">
        <v>0</v>
      </c>
      <c r="AB372" s="7" t="n"/>
      <c r="AC372" s="7" t="n">
        <v>0</v>
      </c>
      <c r="AD372" s="7" t="n"/>
      <c r="AE372" s="7" t="n"/>
      <c r="AF372" s="7" t="inlineStr">
        <is>
          <t>b4-0024</t>
        </is>
      </c>
      <c r="AG372" s="7" t="inlineStr">
        <is>
          <t>b4-0087</t>
        </is>
      </c>
      <c r="AH372" s="7" t="n"/>
      <c r="AI372" s="7" t="n"/>
      <c r="AJ372" s="7" t="n"/>
      <c r="AK372" s="7" t="inlineStr">
        <is>
          <t>seven-heads-of-the-beast #9 (item); world-powers-daniel #7 (item)</t>
        </is>
      </c>
      <c r="AL372" s="7" t="n"/>
      <c r="AM372" s="7" t="n">
        <v>-538.23</v>
      </c>
      <c r="AN372" s="10" t="n"/>
      <c r="AO372" s="10" t="n"/>
      <c r="AP372" s="10" t="n"/>
      <c r="AQ372" s="10" t="n"/>
    </row>
    <row r="373">
      <c r="A373" s="7" t="inlineStr">
        <is>
          <t>b4-0025</t>
        </is>
      </c>
      <c r="B373" s="7" t="inlineStr">
        <is>
          <t>Point</t>
        </is>
      </c>
      <c r="C373" s="7" t="n"/>
      <c r="D373" s="7" t="inlineStr">
        <is>
          <t>539 B.C.E., Marchesvan 3</t>
        </is>
      </c>
      <c r="E373" s="7" t="n"/>
      <c r="F373" s="7" t="inlineStr">
        <is>
          <t>539 BCE</t>
        </is>
      </c>
      <c r="G373" s="7" t="inlineStr">
        <is>
          <t>Exact</t>
        </is>
      </c>
      <c r="H373" s="7" t="n"/>
      <c r="I373" s="7" t="n"/>
      <c r="J373" s="7" t="n"/>
      <c r="K373" s="2" t="inlineStr">
        <is>
          <t>Cyrus enters Babylon</t>
        </is>
      </c>
      <c r="L373" s="2" t="n"/>
      <c r="M373" s="7" t="inlineStr">
        <is>
          <t>Seventeen days after the city fell, Cyrus himself entered Babylon on Marchesvan 3, according to the Nabonidus Chronicle.</t>
        </is>
      </c>
      <c r="N373" s="7" t="n"/>
      <c r="O373" s="8" t="inlineStr">
        <is>
          <t>Bible</t>
        </is>
      </c>
      <c r="P373" s="7" t="inlineStr">
        <is>
          <t>bible.exile_return</t>
        </is>
      </c>
      <c r="Q373" s="7" t="inlineStr">
        <is>
          <t>conquest</t>
        </is>
      </c>
      <c r="R373" s="7" t="inlineStr">
        <is>
          <t>Cyrus</t>
        </is>
      </c>
      <c r="S373" s="7" t="inlineStr">
        <is>
          <t>Babylon</t>
        </is>
      </c>
      <c r="T373" s="7" t="n"/>
      <c r="U373" s="7" t="n"/>
      <c r="V373" s="7" t="n">
        <v>1</v>
      </c>
      <c r="W373" s="7" t="inlineStr">
        <is>
          <t>Cyrus</t>
        </is>
      </c>
      <c r="X373" s="9" t="inlineStr">
        <is>
          <t>open</t>
        </is>
      </c>
      <c r="Y373" s="7" t="n"/>
      <c r="Z373" s="7" t="inlineStr">
        <is>
          <t>https://wol.jw.org/en/wol/d/r1/lp-e/1200001102</t>
        </is>
      </c>
      <c r="AA373" s="7" t="n">
        <v>0</v>
      </c>
      <c r="AB373" s="7" t="n"/>
      <c r="AC373" s="7" t="n">
        <v>0</v>
      </c>
      <c r="AD373" s="7" t="n"/>
      <c r="AE373" s="7" t="n"/>
      <c r="AF373" s="7" t="n"/>
      <c r="AG373" s="7" t="n"/>
      <c r="AH373" s="7" t="n"/>
      <c r="AI373" s="7" t="n"/>
      <c r="AJ373" s="7" t="n"/>
      <c r="AK373" s="7" t="n"/>
      <c r="AL373" s="7" t="n"/>
      <c r="AM373" s="7" t="n">
        <v>-538.2</v>
      </c>
      <c r="AN373" s="10" t="n"/>
      <c r="AO373" s="10" t="n"/>
      <c r="AP373" s="10" t="n"/>
      <c r="AQ373" s="10" t="n"/>
    </row>
    <row r="374">
      <c r="A374" s="7" t="inlineStr">
        <is>
          <t>b4-0026</t>
        </is>
      </c>
      <c r="B374" s="7" t="inlineStr">
        <is>
          <t>Point</t>
        </is>
      </c>
      <c r="C374" s="7" t="n"/>
      <c r="D374" s="7" t="inlineStr">
        <is>
          <t>539/538 B.C.E.</t>
        </is>
      </c>
      <c r="E374" s="7" t="n"/>
      <c r="F374" s="7" t="inlineStr">
        <is>
          <t>539 BCE</t>
        </is>
      </c>
      <c r="G374" s="7" t="inlineStr">
        <is>
          <t>Approx. (c.)</t>
        </is>
      </c>
      <c r="H374" s="7" t="n"/>
      <c r="I374" s="7" t="n"/>
      <c r="J374" s="7" t="n"/>
      <c r="K374" s="2" t="inlineStr">
        <is>
          <t>First year of Darius the Mede: Daniel receives the 70 weeks prophecy</t>
        </is>
      </c>
      <c r="L374" s="2" t="n"/>
      <c r="M374" s="7" t="inlineStr">
        <is>
          <t>In the first year of Darius the Mede, Daniel discerned from Jeremiah's writings that the 70 years of desolation were nearing their end; he prayed and received through Gabriel the prophecy of the 70 weeks.</t>
        </is>
      </c>
      <c r="N374" s="7" t="n"/>
      <c r="O374" s="8" t="inlineStr">
        <is>
          <t>Bible</t>
        </is>
      </c>
      <c r="P374" s="7" t="inlineStr">
        <is>
          <t>bible.prophet</t>
        </is>
      </c>
      <c r="Q374" s="7" t="inlineStr">
        <is>
          <t>prophecy</t>
        </is>
      </c>
      <c r="R374" s="7" t="inlineStr">
        <is>
          <t>Daniel; Darius the Mede; Gabriel</t>
        </is>
      </c>
      <c r="S374" s="7" t="inlineStr">
        <is>
          <t>Babylon</t>
        </is>
      </c>
      <c r="T374" s="7" t="inlineStr">
        <is>
          <t>Dan. 9:1-3; Dan. 9:24-27; Dan. 11:1</t>
        </is>
      </c>
      <c r="U374" s="7" t="n"/>
      <c r="V374" s="7" t="n">
        <v>3</v>
      </c>
      <c r="W374" s="7" t="inlineStr">
        <is>
          <t>Two Kings in Conflict</t>
        </is>
      </c>
      <c r="X374" s="9" t="inlineStr">
        <is>
          <t>open</t>
        </is>
      </c>
      <c r="Y374" s="9" t="inlineStr">
        <is>
          <t>open</t>
        </is>
      </c>
      <c r="Z374" s="7" t="inlineStr">
        <is>
          <t>https://wol.jw.org/en/wol/d/r1/lp-e/1101999032
https://wol.jw.org/en/wol/d/r1/lp-e/1200001117
https://wol.jw.org/en/wol/d/r1/lp-e/1101999030</t>
        </is>
      </c>
      <c r="AA374" s="7" t="n">
        <v>0</v>
      </c>
      <c r="AB374" s="7" t="n"/>
      <c r="AC374" s="7" t="n">
        <v>0</v>
      </c>
      <c r="AD374" s="7" t="n"/>
      <c r="AE374" s="7" t="n"/>
      <c r="AF374" s="7" t="n"/>
      <c r="AG374" s="7" t="n"/>
      <c r="AH374" s="7" t="n"/>
      <c r="AI374" s="7" t="n"/>
      <c r="AJ374" s="7" t="n"/>
      <c r="AK374" s="7" t="inlineStr">
        <is>
          <t>daniel-time-prophecies #6 (prophecy); fulfilled-prophecies-nations #24 (context); fulfilled-prophecies-nations #63 (prophecy)</t>
        </is>
      </c>
      <c r="AL374" s="7" t="n"/>
      <c r="AM374" s="7" t="n">
        <v>-538.15</v>
      </c>
      <c r="AN374" s="10" t="n"/>
      <c r="AO374" s="10" t="n"/>
      <c r="AP374" s="10" t="n"/>
      <c r="AQ374" s="10" t="n"/>
    </row>
    <row r="375">
      <c r="A375" s="7" t="inlineStr">
        <is>
          <t>b4-0027</t>
        </is>
      </c>
      <c r="B375" s="7" t="inlineStr">
        <is>
          <t>Point</t>
        </is>
      </c>
      <c r="C375" s="7" t="n"/>
      <c r="D375" s="7" t="inlineStr">
        <is>
          <t>late 538 or early 537 B.C.E.</t>
        </is>
      </c>
      <c r="E375" s="7" t="inlineStr">
        <is>
          <t>பொ.ச.மு. 537-ன் வசந்தகாலத்திற்கு முன்</t>
        </is>
      </c>
      <c r="F375" s="7" t="inlineStr">
        <is>
          <t>538 BCE</t>
        </is>
      </c>
      <c r="G375" s="7" t="inlineStr">
        <is>
          <t>Between (one moment in a window)</t>
        </is>
      </c>
      <c r="H375" s="7" t="n"/>
      <c r="I375" s="7" t="n"/>
      <c r="J375" s="7" t="n"/>
      <c r="K375" s="2" t="inlineStr">
        <is>
          <t>Cyrus issues decree freeing the Jews</t>
        </is>
      </c>
      <c r="L375" s="2" t="n"/>
      <c r="M375" s="7" t="inlineStr">
        <is>
          <t>In his first year as ruler of Babylon, Cyrus issued a decree permitting the exiled Jews to return to Jerusalem and rebuild Jehovah's house; it was likely issued late in 538 or early in 537 B.C.E.</t>
        </is>
      </c>
      <c r="N375" s="7" t="inlineStr">
        <is>
          <t>கோரேசு ஆட்சி துவங்கிய முதலாம் வருடம், பொ.ச.மு. 537-ன் வசந்தகாலத்திற்கு முன், யூதருக்கு விடுதலையளித்து கட்டளை பிறப்பித்தார்.</t>
        </is>
      </c>
      <c r="O375" s="8" t="inlineStr">
        <is>
          <t>Bible</t>
        </is>
      </c>
      <c r="P375" s="7" t="inlineStr">
        <is>
          <t>bible.prophecy_fulfilled</t>
        </is>
      </c>
      <c r="Q375" s="7" t="inlineStr">
        <is>
          <t>decree</t>
        </is>
      </c>
      <c r="R375" s="7" t="inlineStr">
        <is>
          <t>Cyrus</t>
        </is>
      </c>
      <c r="S375" s="7" t="inlineStr">
        <is>
          <t>Babylon; Jerusalem</t>
        </is>
      </c>
      <c r="T375" s="7" t="inlineStr">
        <is>
          <t>Ezra 1:1-4; 2 Chron. 36:22, 23; Isa. 44:28</t>
        </is>
      </c>
      <c r="U375" s="7" t="inlineStr">
        <is>
          <t>2 நா. 36:22, 23</t>
        </is>
      </c>
      <c r="V375" s="7" t="n">
        <v>6</v>
      </c>
      <c r="W375" s="7" t="inlineStr">
        <is>
          <t>Cyrus</t>
        </is>
      </c>
      <c r="X375" s="9" t="inlineStr">
        <is>
          <t>open</t>
        </is>
      </c>
      <c r="Y375" s="7" t="n"/>
      <c r="Z375" s="7" t="inlineStr">
        <is>
          <t>https://wol.jw.org/en/wol/d/r1/lp-e/1200001102
https://wol.jw.org/en/wol/d/r1/lp-e/1101990130
https://wol.jw.org/en/wol/d/r1/lp-e/1200001476
https://wol.jw.org/en/wol/d/r1/lp-e/1101990076
https://wol.jw.org/en/wol/d/r1/lp-e/1200002436
https://wol.jw.org/en/wol/d/r1/lp-e/1101999023</t>
        </is>
      </c>
      <c r="AA375" s="7" t="n">
        <v>0</v>
      </c>
      <c r="AB375" s="7" t="n"/>
      <c r="AC375" s="7" t="n">
        <v>2</v>
      </c>
      <c r="AD375" s="7" t="inlineStr">
        <is>
          <t>Insight 'Jerusalem' dates the decree's going forth to Cyrus' first year (538 B.C.E.). | dp ch. 4 says 'In 537 B.C.E., Cyrus issued a decree'; Insight 'Captivity' says 'Early in 537 B.C.E.'</t>
        </is>
      </c>
      <c r="AE375" s="7" t="n"/>
      <c r="AF375" s="7" t="n"/>
      <c r="AG375" s="7" t="n"/>
      <c r="AH375" s="7" t="n"/>
      <c r="AI375" s="7" t="n"/>
      <c r="AJ375" s="7" t="n"/>
      <c r="AK375" s="7" t="inlineStr">
        <is>
          <t>fulfilled-prophecies-nations #42 (fulfillment); world-powers-daniel #9 (step)</t>
        </is>
      </c>
      <c r="AL375" s="7" t="n"/>
      <c r="AM375" s="7" t="n">
        <v>-537.6</v>
      </c>
      <c r="AN375" s="10" t="n"/>
      <c r="AO375" s="10" t="n"/>
      <c r="AP375" s="10" t="n"/>
      <c r="AQ375" s="10" t="n"/>
    </row>
    <row r="376">
      <c r="A376" s="7" t="inlineStr">
        <is>
          <t>b4-0028</t>
        </is>
      </c>
      <c r="B376" s="7" t="inlineStr">
        <is>
          <t>Point</t>
        </is>
      </c>
      <c r="C376" s="7" t="n"/>
      <c r="D376" s="7" t="inlineStr">
        <is>
          <t>537 B.C.E. (by Tishri)</t>
        </is>
      </c>
      <c r="E376" s="7" t="inlineStr">
        <is>
          <t>பொ.ச.மு. 537</t>
        </is>
      </c>
      <c r="F376" s="7" t="inlineStr">
        <is>
          <t>537 BCE</t>
        </is>
      </c>
      <c r="G376" s="7" t="inlineStr">
        <is>
          <t>Exact</t>
        </is>
      </c>
      <c r="H376" s="7" t="n"/>
      <c r="I376" s="7" t="n"/>
      <c r="J376" s="7" t="n"/>
      <c r="K376" s="2" t="inlineStr">
        <is>
          <t>Jews return to Jerusalem; 70-year desolation ends</t>
        </is>
      </c>
      <c r="L376" s="2" t="inlineStr">
        <is>
          <t>எருசலேமுக்குத் திரும்பிச் செல்லும்படி அனுமதித்த பெர்சியனாகிய கோரேசின் கட்டளை செயல்படுத்தப்படுகிறது; எருசலேமின் 70 ஆண்டு பாழ்க்கடிப்பு முடிகிறது</t>
        </is>
      </c>
      <c r="M376" s="7" t="inlineStr">
        <is>
          <t>A remnant of Jews under Governor Zerubbabel and High Priest Jeshua made the roughly four-month journey and were settled in their cities by the seventh month, Tishri, ending the 70 years of desolation exactly as foretold.</t>
        </is>
      </c>
      <c r="N376" s="7" t="inlineStr">
        <is>
          <t>6 பொ.ச.மு. 537-ன் இலையுதிர்காலத்தில் யெகோவாவின் வணக்கம் திரும்ப நிலைநாட்டப்பட்டதும் ஒரு தீர்க்கதரிசன காலப்பகுதி முடிவடைந்தது.</t>
        </is>
      </c>
      <c r="O376" s="8" t="inlineStr">
        <is>
          <t>Bible</t>
        </is>
      </c>
      <c r="P376" s="7" t="inlineStr">
        <is>
          <t>bible.exile_return</t>
        </is>
      </c>
      <c r="Q376" s="7" t="inlineStr">
        <is>
          <t>return</t>
        </is>
      </c>
      <c r="R376" s="7" t="inlineStr">
        <is>
          <t>Zerubbabel; Jeshua</t>
        </is>
      </c>
      <c r="S376" s="7" t="inlineStr">
        <is>
          <t>Babylon; Jerusalem; Judah</t>
        </is>
      </c>
      <c r="T376" s="7" t="inlineStr">
        <is>
          <t>Ezra 2:1, 2; Ezra 2:64, 65; Ezra 3:1; Jer. 25:12; Jer. 29:10</t>
        </is>
      </c>
      <c r="U376" s="7" t="inlineStr">
        <is>
          <t>எரே. 25:12; எரே. 29:10</t>
        </is>
      </c>
      <c r="V376" s="7" t="n">
        <v>5</v>
      </c>
      <c r="W376" s="7" t="inlineStr">
        <is>
          <t>Study Number 3—Measuring Events in the Stream of Time</t>
        </is>
      </c>
      <c r="X376" s="9" t="inlineStr">
        <is>
          <t>open</t>
        </is>
      </c>
      <c r="Y376" s="9" t="inlineStr">
        <is>
          <t>open</t>
        </is>
      </c>
      <c r="Z376" s="7" t="inlineStr">
        <is>
          <t>https://wol.jw.org/en/wol/d/r1/lp-e/1101990130
https://wol.jw.org/en/wol/d/r1/lp-e/1200004716
https://wol.jw.org/en/wol/d/r1/lp-e/1200000970
https://wol.jw.org/en/wol/d/r1/lp-e/1200000888
https://wol.jw.org/en/wol/d/r1/lp-e/1200003447</t>
        </is>
      </c>
      <c r="AA376" s="7" t="n">
        <v>0</v>
      </c>
      <c r="AB376" s="7" t="n"/>
      <c r="AC376" s="7" t="n">
        <v>0</v>
      </c>
      <c r="AD376" s="7" t="n"/>
      <c r="AE376" s="7" t="n"/>
      <c r="AF376" s="7" t="n"/>
      <c r="AG376" s="7" t="n"/>
      <c r="AH376" s="7" t="n"/>
      <c r="AI376" s="7" t="inlineStr">
        <is>
          <t>Span endpoint – keep</t>
        </is>
      </c>
      <c r="AJ376" s="7" t="inlineStr">
        <is>
          <t>end of The 70 years of Judah’s desolation (b12-0024)</t>
        </is>
      </c>
      <c r="AK376" s="7" t="inlineStr">
        <is>
          <t>fulfilled-prophecies-nations #23 (fulfillment)</t>
        </is>
      </c>
      <c r="AL376" s="7" t="n"/>
      <c r="AM376" s="7" t="n">
        <v>-536.27</v>
      </c>
      <c r="AN376" s="10" t="n"/>
      <c r="AO376" s="10" t="n"/>
      <c r="AP376" s="10" t="n"/>
      <c r="AQ376" s="10" t="n"/>
    </row>
    <row r="377">
      <c r="A377" s="7" t="inlineStr">
        <is>
          <t>b4-0029</t>
        </is>
      </c>
      <c r="B377" s="7" t="inlineStr">
        <is>
          <t>Point</t>
        </is>
      </c>
      <c r="C377" s="7" t="n"/>
      <c r="D377" s="7" t="inlineStr">
        <is>
          <t>537 B.C.E., Tishri 1 (Sept. 29)</t>
        </is>
      </c>
      <c r="E377" s="7" t="inlineStr">
        <is>
          <t>பொ.ச.மு. 537</t>
        </is>
      </c>
      <c r="F377" s="7" t="inlineStr">
        <is>
          <t>537 BCE</t>
        </is>
      </c>
      <c r="G377" s="7" t="inlineStr">
        <is>
          <t>Exact</t>
        </is>
      </c>
      <c r="H377" s="7" t="n"/>
      <c r="I377" s="7" t="n"/>
      <c r="J377" s="7" t="n"/>
      <c r="K377" s="2" t="inlineStr">
        <is>
          <t>Altar set up and sacrifices resumed at Jerusalem</t>
        </is>
      </c>
      <c r="L377" s="2" t="n"/>
      <c r="M377" s="7" t="inlineStr">
        <is>
          <t>On the first day of the seventh month the returned Jews set up the altar on its site under Zerubbabel and Jeshua and began offering sacrifices, 70 years to the month after the land's desolation began.</t>
        </is>
      </c>
      <c r="N377" s="7" t="inlineStr">
        <is>
          <t>பொ.ச.மு. 537-ம் ஆண்டு, ‘ஏழாம் மாதத்தில்’ (திஷ்ரி, செப்டம்பர்-அக்டோபருக்கு ஒத்தது) பலிபீடத்தைக் கட்டி முதல் பலிகளைச் செலுத்தினர்.</t>
        </is>
      </c>
      <c r="O377" s="8" t="inlineStr">
        <is>
          <t>Bible</t>
        </is>
      </c>
      <c r="P377" s="7" t="inlineStr">
        <is>
          <t>bible.exile_return</t>
        </is>
      </c>
      <c r="Q377" s="7" t="inlineStr">
        <is>
          <t>restoration</t>
        </is>
      </c>
      <c r="R377" s="7" t="inlineStr">
        <is>
          <t>Zerubbabel; Jeshua</t>
        </is>
      </c>
      <c r="S377" s="7" t="inlineStr">
        <is>
          <t>Jerusalem</t>
        </is>
      </c>
      <c r="T377" s="7" t="inlineStr">
        <is>
          <t>Ezra 3:1-6</t>
        </is>
      </c>
      <c r="U377" s="7" t="n"/>
      <c r="V377" s="7" t="n">
        <v>3</v>
      </c>
      <c r="W377" s="7" t="inlineStr">
        <is>
          <t>Ezra, Book of</t>
        </is>
      </c>
      <c r="X377" s="9" t="inlineStr">
        <is>
          <t>open</t>
        </is>
      </c>
      <c r="Y377" s="7" t="n"/>
      <c r="Z377" s="7" t="inlineStr">
        <is>
          <t>https://wol.jw.org/en/wol/d/r1/lp-e/1200001476
https://wol.jw.org/en/wol/d/r1/lp-e/1200004359
https://wol.jw.org/en/wol/d/r1/lp-e/1101990076</t>
        </is>
      </c>
      <c r="AA377" s="7" t="n">
        <v>0</v>
      </c>
      <c r="AB377" s="7" t="n"/>
      <c r="AC377" s="7" t="n">
        <v>0</v>
      </c>
      <c r="AD377" s="7" t="n"/>
      <c r="AE377" s="7" t="n"/>
      <c r="AF377" s="7" t="n"/>
      <c r="AG377" s="7" t="n"/>
      <c r="AH377" s="7" t="n"/>
      <c r="AI377" s="7" t="n"/>
      <c r="AJ377" s="7" t="n"/>
      <c r="AK377" s="7" t="n"/>
      <c r="AL377" s="7" t="n"/>
      <c r="AM377" s="7" t="n">
        <v>-536.26</v>
      </c>
      <c r="AN377" s="10" t="n"/>
      <c r="AO377" s="10" t="n"/>
      <c r="AP377" s="10" t="n"/>
      <c r="AQ377" s="10" t="n"/>
    </row>
    <row r="378">
      <c r="A378" s="7" t="inlineStr">
        <is>
          <t>b4-0030</t>
        </is>
      </c>
      <c r="B378" s="7" t="inlineStr">
        <is>
          <t>Point</t>
        </is>
      </c>
      <c r="C378" s="7" t="n"/>
      <c r="D378" s="7" t="inlineStr">
        <is>
          <t>537 B.C.E., Tishri</t>
        </is>
      </c>
      <c r="E378" s="7" t="n"/>
      <c r="F378" s="7" t="inlineStr">
        <is>
          <t>537 BCE</t>
        </is>
      </c>
      <c r="G378" s="7" t="inlineStr">
        <is>
          <t>Exact</t>
        </is>
      </c>
      <c r="H378" s="7" t="n"/>
      <c r="I378" s="7" t="n"/>
      <c r="J378" s="7" t="n"/>
      <c r="K378" s="2" t="inlineStr">
        <is>
          <t>Festival of Booths celebrated by the returned exiles</t>
        </is>
      </c>
      <c r="L378" s="2" t="n"/>
      <c r="M378" s="7" t="inlineStr">
        <is>
          <t>The returned Jews gathered at Jerusalem and celebrated the Festival of Booths in Tishri 537 B.C.E.</t>
        </is>
      </c>
      <c r="N378" s="7" t="n"/>
      <c r="O378" s="8" t="inlineStr">
        <is>
          <t>Bible</t>
        </is>
      </c>
      <c r="P378" s="7" t="inlineStr">
        <is>
          <t>bible.exile_return</t>
        </is>
      </c>
      <c r="Q378" s="7" t="inlineStr">
        <is>
          <t>festival</t>
        </is>
      </c>
      <c r="R378" s="7" t="n"/>
      <c r="S378" s="7" t="inlineStr">
        <is>
          <t>Jerusalem</t>
        </is>
      </c>
      <c r="T378" s="7" t="inlineStr">
        <is>
          <t>Ezra 3:4</t>
        </is>
      </c>
      <c r="U378" s="7" t="n"/>
      <c r="V378" s="7" t="n">
        <v>2</v>
      </c>
      <c r="W378" s="7" t="inlineStr">
        <is>
          <t>Jerusalem</t>
        </is>
      </c>
      <c r="X378" s="9" t="inlineStr">
        <is>
          <t>open</t>
        </is>
      </c>
      <c r="Y378" s="7" t="n"/>
      <c r="Z378" s="7" t="inlineStr">
        <is>
          <t>https://wol.jw.org/en/wol/d/r1/lp-e/1200002436
https://wol.jw.org/en/wol/d/r1/lp-e/1101990076</t>
        </is>
      </c>
      <c r="AA378" s="7" t="n">
        <v>0</v>
      </c>
      <c r="AB378" s="7" t="n"/>
      <c r="AC378" s="7" t="n">
        <v>0</v>
      </c>
      <c r="AD378" s="7" t="n"/>
      <c r="AE378" s="7" t="n"/>
      <c r="AF378" s="7" t="n"/>
      <c r="AG378" s="7" t="n"/>
      <c r="AH378" s="7" t="n"/>
      <c r="AI378" s="7" t="n"/>
      <c r="AJ378" s="7" t="n"/>
      <c r="AK378" s="7" t="n"/>
      <c r="AL378" s="7" t="n"/>
      <c r="AM378" s="7" t="n">
        <v>-536.255</v>
      </c>
      <c r="AN378" s="10" t="n"/>
      <c r="AO378" s="10" t="n"/>
      <c r="AP378" s="10" t="n"/>
      <c r="AQ378" s="10" t="n"/>
    </row>
    <row r="379">
      <c r="A379" s="7" t="inlineStr">
        <is>
          <t>b11-0033</t>
        </is>
      </c>
      <c r="B379" s="7" t="inlineStr">
        <is>
          <t>Point</t>
        </is>
      </c>
      <c r="C379" s="7" t="n"/>
      <c r="D379" s="7" t="inlineStr">
        <is>
          <t>c. 536 B.C.E.</t>
        </is>
      </c>
      <c r="E379" s="7" t="inlineStr">
        <is>
          <t>ஏ. கி.மு. 536</t>
        </is>
      </c>
      <c r="F379" s="7" t="inlineStr">
        <is>
          <t>536 BCE</t>
        </is>
      </c>
      <c r="G379" s="7" t="inlineStr">
        <is>
          <t>Approx. (c.)</t>
        </is>
      </c>
      <c r="H379" s="7" t="n"/>
      <c r="I379" s="7" t="n"/>
      <c r="J379" s="7" t="n"/>
      <c r="K379" s="2" t="inlineStr">
        <is>
          <t>Writing of Daniel completed</t>
        </is>
      </c>
      <c r="L379" s="2" t="inlineStr">
        <is>
          <t>தானியேல் — எழுதி முடிக்கப்பட்டது</t>
        </is>
      </c>
      <c r="M379" s="7" t="inlineStr">
        <is>
          <t>The writing of Daniel was completed c. 536 B.C.E. Writer: Daniel; place written: Babylon. Time covered: 618–c. 536 B.C.E.</t>
        </is>
      </c>
      <c r="N379" s="7" t="inlineStr">
        <is>
          <t>தானியேல்: எழுதியவர்(கள்): தானியேல்; எழுதப்பட்ட இடம்: பாபிலோன்; முடிக்கப்பட்ட வருஷம் (கி.மு.): ஏ. 536; காலப்பகுதி (கி.மு.): 618–ஏ. 536.</t>
        </is>
      </c>
      <c r="O379" s="8" t="inlineStr">
        <is>
          <t>Bible</t>
        </is>
      </c>
      <c r="P379" s="7" t="inlineStr">
        <is>
          <t>bible.book_writing</t>
        </is>
      </c>
      <c r="Q379" s="7" t="inlineStr">
        <is>
          <t>writing_completed</t>
        </is>
      </c>
      <c r="R379" s="7" t="inlineStr">
        <is>
          <t>Daniel</t>
        </is>
      </c>
      <c r="S379" s="7" t="inlineStr">
        <is>
          <t>Babylon</t>
        </is>
      </c>
      <c r="T379" s="7" t="inlineStr">
        <is>
          <t>Dan.</t>
        </is>
      </c>
      <c r="U379" s="7" t="inlineStr">
        <is>
          <t>தானி.</t>
        </is>
      </c>
      <c r="V379" s="7" t="n">
        <v>6</v>
      </c>
      <c r="W379" s="7" t="inlineStr">
        <is>
          <t>Table of the Books of the Bible</t>
        </is>
      </c>
      <c r="X379" s="9" t="inlineStr">
        <is>
          <t>open</t>
        </is>
      </c>
      <c r="Y379" s="9" t="inlineStr">
        <is>
          <t>open</t>
        </is>
      </c>
      <c r="Z379" s="7" t="inlineStr">
        <is>
          <t>https://wol.jw.org/en/wol/d/r1/lp-e/1001070071
https://wol.jw.org/en/wol/d/r1/lp-e/1101990088
https://www.jw.org/en/library/bible/study-bible/books-of-the-bible-list/
https://wol.jw.org/en/wol/d/r1/lp-e/1001060002
https://wol.jw.org/en/wol/d/r1/lp-e/1101990130
https://wol.jw.org/en/wol/d/r1/lp-e/1200001118</t>
        </is>
      </c>
      <c r="AA379" s="7" t="n">
        <v>0</v>
      </c>
      <c r="AB379" s="7" t="n"/>
      <c r="AC379" s="7" t="n">
        <v>0</v>
      </c>
      <c r="AD379" s="7" t="n"/>
      <c r="AE379" s="7" t="n"/>
      <c r="AF379" s="7" t="n"/>
      <c r="AG379" s="7" t="n"/>
      <c r="AH379" s="7" t="n"/>
      <c r="AI379" s="7" t="n"/>
      <c r="AJ379" s="7" t="n"/>
      <c r="AK379" s="7" t="inlineStr">
        <is>
          <t>bible-books-written #27 (item); daniel-time-prophecies #1 (prophecy); daniel-time-prophecies #26 (prophecy); world-powers-daniel #3 (prophecy)</t>
        </is>
      </c>
      <c r="AL379" s="7" t="inlineStr">
        <is>
          <t>Writer(s): Daniel. Place written: Babylon. Writing completed: c. 536 B.C.E. Time covered: 618–c. 536 B.C.E.</t>
        </is>
      </c>
      <c r="AM379" s="7" t="n">
        <v>-535.9973</v>
      </c>
      <c r="AN379" s="10" t="n"/>
      <c r="AO379" s="10" t="n"/>
      <c r="AP379" s="10" t="n"/>
      <c r="AQ379" s="10" t="n"/>
    </row>
    <row r="380">
      <c r="A380" s="7" t="inlineStr">
        <is>
          <t>b4-0031</t>
        </is>
      </c>
      <c r="B380" s="7" t="inlineStr">
        <is>
          <t>Point</t>
        </is>
      </c>
      <c r="C380" s="7" t="n"/>
      <c r="D380" s="7" t="inlineStr">
        <is>
          <t>536 B.C.E., second month (Ziv)</t>
        </is>
      </c>
      <c r="E380" s="7" t="inlineStr">
        <is>
          <t>பொ.ச.மு. 536</t>
        </is>
      </c>
      <c r="F380" s="7" t="inlineStr">
        <is>
          <t>536 BCE</t>
        </is>
      </c>
      <c r="G380" s="7" t="inlineStr">
        <is>
          <t>Exact</t>
        </is>
      </c>
      <c r="H380" s="7" t="n"/>
      <c r="I380" s="7" t="n"/>
      <c r="J380" s="7" t="n"/>
      <c r="K380" s="2" t="inlineStr">
        <is>
          <t>Foundation of the second temple laid</t>
        </is>
      </c>
      <c r="L380" s="2" t="inlineStr">
        <is>
          <t>செருபாபேல் ஆலயத்துக்கு அஸ்திவாரம் போடுகிறார்</t>
        </is>
      </c>
      <c r="M380" s="7" t="inlineStr">
        <is>
          <t>In the second month of the second year of the return, under Zerubbabel's direction, the foundation of the new temple was laid in Jerusalem amid joy and weeping.</t>
        </is>
      </c>
      <c r="N380" s="7" t="inlineStr">
        <is>
          <t>4 பதிவு காட்டுகிறபடி, (பொ.ச.மு. 536-ல்) ஆலயத்தின் அஸ்திவாரம் போடப்பட்ட உடன், “அந்தத் தேசத்து ஜனங்கள் யூதா ஜனத்தின் கைகளைத் தளரப்பண்ணி, கட்டாதபடிக்கு அவர்களைச் சங்கடப்படுத்தி ...</t>
        </is>
      </c>
      <c r="O380" s="8" t="inlineStr">
        <is>
          <t>Bible</t>
        </is>
      </c>
      <c r="P380" s="7" t="inlineStr">
        <is>
          <t>bible.temple</t>
        </is>
      </c>
      <c r="Q380" s="7" t="inlineStr">
        <is>
          <t>construction</t>
        </is>
      </c>
      <c r="R380" s="7" t="inlineStr">
        <is>
          <t>Zerubbabel; Jeshua</t>
        </is>
      </c>
      <c r="S380" s="7" t="inlineStr">
        <is>
          <t>Jerusalem</t>
        </is>
      </c>
      <c r="T380" s="7" t="inlineStr">
        <is>
          <t>Ezra 3:8-10; Ezra 3:11-13</t>
        </is>
      </c>
      <c r="U380" s="7" t="inlineStr">
        <is>
          <t>எஸ்றா 3:8-10</t>
        </is>
      </c>
      <c r="V380" s="7" t="n">
        <v>5</v>
      </c>
      <c r="W380" s="7" t="inlineStr">
        <is>
          <t>Study Number 3—Measuring Events in the Stream of Time</t>
        </is>
      </c>
      <c r="X380" s="9" t="inlineStr">
        <is>
          <t>open</t>
        </is>
      </c>
      <c r="Y380" s="9" t="inlineStr">
        <is>
          <t>open</t>
        </is>
      </c>
      <c r="Z380" s="7" t="inlineStr">
        <is>
          <t>https://wol.jw.org/en/wol/d/r1/lp-e/1101990130
https://wol.jw.org/en/wol/d/r1/lp-e/1200004716
https://wol.jw.org/en/wol/d/r1/lp-e/1200000970
https://wol.jw.org/en/wol/d/r1/lp-e/1200004359
https://wol.jw.org/en/wol/d/r1/lp-e/1101990098</t>
        </is>
      </c>
      <c r="AA380" s="7" t="n">
        <v>0</v>
      </c>
      <c r="AB380" s="7" t="n"/>
      <c r="AC380" s="7" t="n">
        <v>0</v>
      </c>
      <c r="AD380" s="7" t="n"/>
      <c r="AE380" s="7" t="n"/>
      <c r="AF380" s="7" t="n"/>
      <c r="AG380" s="7" t="n"/>
      <c r="AH380" s="7" t="n"/>
      <c r="AI380" s="7" t="inlineStr">
        <is>
          <t>Span endpoint – keep</t>
        </is>
      </c>
      <c r="AJ380" s="7" t="inlineStr">
        <is>
          <t>start of Rebuilding of the temple under Zerubbabel (b12-0028)</t>
        </is>
      </c>
      <c r="AK380" s="7" t="n"/>
      <c r="AL380" s="7" t="n"/>
      <c r="AM380" s="7" t="n">
        <v>-535.9</v>
      </c>
      <c r="AN380" s="10" t="n"/>
      <c r="AO380" s="10" t="n"/>
      <c r="AP380" s="10" t="n"/>
      <c r="AQ380" s="10" t="n"/>
    </row>
    <row r="381">
      <c r="A381" s="7" t="inlineStr">
        <is>
          <t>b4-0032</t>
        </is>
      </c>
      <c r="B381" s="7" t="inlineStr">
        <is>
          <t>Point</t>
        </is>
      </c>
      <c r="C381" s="7" t="n"/>
      <c r="D381" s="7" t="inlineStr">
        <is>
          <t>536/535 B.C.E. (third year of Cyrus)</t>
        </is>
      </c>
      <c r="E381" s="7" t="inlineStr">
        <is>
          <t>பொ.ச.மு. 536/535</t>
        </is>
      </c>
      <c r="F381" s="7" t="inlineStr">
        <is>
          <t>536 BCE</t>
        </is>
      </c>
      <c r="G381" s="7" t="inlineStr">
        <is>
          <t>Approx. (c.)</t>
        </is>
      </c>
      <c r="H381" s="7" t="n"/>
      <c r="I381" s="7" t="n"/>
      <c r="J381" s="7" t="n"/>
      <c r="K381" s="2" t="inlineStr">
        <is>
          <t>Daniel's final vision (third year of Cyrus)</t>
        </is>
      </c>
      <c r="L381" s="2" t="inlineStr">
        <is>
          <t>தானியேல் புத்தகத்தைத் தானியேல் எழுதி முடிக்கிறார்</t>
        </is>
      </c>
      <c r="M381" s="7" t="inlineStr">
        <is>
          <t>In the third year of Cyrus, Daniel, then nearly 100 years old, received the vision of Daniel chapters 10 to 12 from an angel who had been opposed by 'the prince of Persia.'</t>
        </is>
      </c>
      <c r="N381" s="7" t="inlineStr">
        <is>
          <t>3 ‘கோரேஸ் அரசாண்ட மூன்றாம் வருஷம்’ பொ.ச.மு. 536/535-ஆக இருக்கும்.</t>
        </is>
      </c>
      <c r="O381" s="8" t="inlineStr">
        <is>
          <t>Bible</t>
        </is>
      </c>
      <c r="P381" s="7" t="inlineStr">
        <is>
          <t>bible.prophet</t>
        </is>
      </c>
      <c r="Q381" s="7" t="inlineStr">
        <is>
          <t>vision</t>
        </is>
      </c>
      <c r="R381" s="7" t="inlineStr">
        <is>
          <t>Daniel; Cyrus</t>
        </is>
      </c>
      <c r="S381" s="7" t="inlineStr">
        <is>
          <t>Babylon; Hiddekel</t>
        </is>
      </c>
      <c r="T381" s="7" t="inlineStr">
        <is>
          <t>Dan. 10:1; Dan. 10:13; Dan. 11:1-4</t>
        </is>
      </c>
      <c r="U381" s="7" t="n"/>
      <c r="V381" s="7" t="n">
        <v>3</v>
      </c>
      <c r="W381" s="7" t="inlineStr">
        <is>
          <t>Daniel</t>
        </is>
      </c>
      <c r="X381" s="9" t="inlineStr">
        <is>
          <t>open</t>
        </is>
      </c>
      <c r="Y381" s="7" t="n"/>
      <c r="Z381" s="7" t="inlineStr">
        <is>
          <t>https://wol.jw.org/en/wol/d/r1/lp-e/1200001117
https://wol.jw.org/en/wol/d/r1/lp-e/1101999031
https://wol.jw.org/en/wol/d/r1/lp-e/1101990088</t>
        </is>
      </c>
      <c r="AA381" s="7" t="n">
        <v>0</v>
      </c>
      <c r="AB381" s="7" t="n"/>
      <c r="AC381" s="7" t="n">
        <v>0</v>
      </c>
      <c r="AD381" s="7" t="n"/>
      <c r="AE381" s="7" t="n"/>
      <c r="AF381" s="7" t="n"/>
      <c r="AG381" s="7" t="n"/>
      <c r="AH381" s="7" t="n"/>
      <c r="AI381" s="7" t="n"/>
      <c r="AJ381" s="7" t="n"/>
      <c r="AK381" s="7" t="inlineStr">
        <is>
          <t>daniel-time-prophecies #17 (prophecy); fulfilled-prophecies-nations #45 (prophecy); fulfilled-prophecies-nations #51 (prophecy); kings-north-and-south #1 (prophecy)</t>
        </is>
      </c>
      <c r="AL381" s="7" t="inlineStr">
        <is>
          <t>[title_ta from owner's Tamil sheet]</t>
        </is>
      </c>
      <c r="AM381" s="7" t="n">
        <v>-535.9</v>
      </c>
      <c r="AN381" s="10" t="n"/>
      <c r="AO381" s="10" t="n"/>
      <c r="AP381" s="10" t="n"/>
      <c r="AQ381" s="10" t="n"/>
    </row>
    <row r="382">
      <c r="A382" s="7" t="inlineStr">
        <is>
          <t>b12-0028</t>
        </is>
      </c>
      <c r="B382" s="11" t="inlineStr">
        <is>
          <t>Span</t>
        </is>
      </c>
      <c r="C382" s="7" t="inlineStr">
        <is>
          <t>construction</t>
        </is>
      </c>
      <c r="D382" s="7" t="inlineStr">
        <is>
          <t>536 B.C.E.–515 B.C.E.</t>
        </is>
      </c>
      <c r="E382" s="7" t="n"/>
      <c r="F382" s="7" t="inlineStr">
        <is>
          <t>536 BCE</t>
        </is>
      </c>
      <c r="G382" s="7" t="inlineStr">
        <is>
          <t>Exact</t>
        </is>
      </c>
      <c r="H382" s="7" t="inlineStr">
        <is>
          <t>515 BCE</t>
        </is>
      </c>
      <c r="I382" s="7" t="inlineStr">
        <is>
          <t>Exact</t>
        </is>
      </c>
      <c r="J382" s="7" t="n"/>
      <c r="K382" s="2" t="inlineStr">
        <is>
          <t>Rebuilding of the temple under Zerubbabel</t>
        </is>
      </c>
      <c r="L382" s="2" t="n"/>
      <c r="M382" s="7" t="inlineStr">
        <is>
          <t>The returned exiles laid the temple foundation in 536 B.C.E.; after a period of opposition and a royal ban, Zerubbabel completed the temple in the sixth year of Darius I.</t>
        </is>
      </c>
      <c r="N382" s="7" t="n"/>
      <c r="O382" s="8" t="inlineStr">
        <is>
          <t>Bible</t>
        </is>
      </c>
      <c r="P382" s="7" t="inlineStr">
        <is>
          <t>bible.temple</t>
        </is>
      </c>
      <c r="Q382" s="7" t="n"/>
      <c r="R382" s="7" t="inlineStr">
        <is>
          <t>Zerubbabel; Jeshua; Haggai; Zechariah</t>
        </is>
      </c>
      <c r="S382" s="7" t="inlineStr">
        <is>
          <t>Jerusalem</t>
        </is>
      </c>
      <c r="T382" s="7" t="inlineStr">
        <is>
          <t>Ezra 3:8-10; Ezra 6:14, 15</t>
        </is>
      </c>
      <c r="U382" s="7" t="inlineStr">
        <is>
          <t>எஸ்றா 3:8-10; எஸ்றா 6:14, 15</t>
        </is>
      </c>
      <c r="V382" s="7" t="n">
        <v>2</v>
      </c>
      <c r="W382" s="7" t="inlineStr">
        <is>
          <t>Chronology</t>
        </is>
      </c>
      <c r="X382" s="9" t="inlineStr">
        <is>
          <t>open</t>
        </is>
      </c>
      <c r="Y382" s="7" t="n"/>
      <c r="Z382" s="7" t="inlineStr">
        <is>
          <t>https://wol.jw.org/en/wol/d/r1/lp-e/1200000970
https://wol.jw.org/en/wol/d/r1/lp-e/1200000970</t>
        </is>
      </c>
      <c r="AA382" s="7" t="n">
        <v>0</v>
      </c>
      <c r="AB382" s="7" t="n"/>
      <c r="AC382" s="7" t="n">
        <v>0</v>
      </c>
      <c r="AD382" s="7" t="n"/>
      <c r="AE382" s="7" t="n"/>
      <c r="AF382" s="7" t="inlineStr">
        <is>
          <t>b4-0031</t>
        </is>
      </c>
      <c r="AG382" s="7" t="inlineStr">
        <is>
          <t>b4-0047</t>
        </is>
      </c>
      <c r="AH382" s="7" t="n"/>
      <c r="AI382" s="7" t="n"/>
      <c r="AJ382" s="7" t="n"/>
      <c r="AK382" s="7" t="inlineStr">
        <is>
          <t>messianic-line #53 (item)</t>
        </is>
      </c>
      <c r="AL382" s="7" t="n"/>
      <c r="AM382" s="7" t="n">
        <v>-535.9</v>
      </c>
      <c r="AN382" s="10" t="n"/>
      <c r="AO382" s="10" t="n"/>
      <c r="AP382" s="10" t="n"/>
      <c r="AQ382" s="10" t="n"/>
    </row>
    <row r="383">
      <c r="A383" s="7" t="inlineStr">
        <is>
          <t>b4-0034</t>
        </is>
      </c>
      <c r="B383" s="7" t="inlineStr">
        <is>
          <t>Point</t>
        </is>
      </c>
      <c r="C383" s="7" t="n"/>
      <c r="D383" s="7" t="inlineStr">
        <is>
          <t>530 B.C.E., Nisan 1</t>
        </is>
      </c>
      <c r="E383" s="7" t="n"/>
      <c r="F383" s="7" t="inlineStr">
        <is>
          <t>530 BCE</t>
        </is>
      </c>
      <c r="G383" s="7" t="inlineStr">
        <is>
          <t>Exact</t>
        </is>
      </c>
      <c r="H383" s="7" t="n"/>
      <c r="I383" s="7" t="n"/>
      <c r="J383" s="7" t="n"/>
      <c r="K383" s="2" t="inlineStr">
        <is>
          <t>Cambyses II made 'King of Babylon' as coregent</t>
        </is>
      </c>
      <c r="L383" s="2" t="n"/>
      <c r="M383" s="7" t="inlineStr">
        <is>
          <t>Cuneiform texts indicate Cambyses II assumed the title 'King of Babylon' on Nisan 1, 530 B.C.E., as coregent with Cyrus, who was then setting out on his final campaign.</t>
        </is>
      </c>
      <c r="N383" s="7" t="n"/>
      <c r="O383" s="8" t="inlineStr">
        <is>
          <t>Bible</t>
        </is>
      </c>
      <c r="P383" s="7" t="inlineStr">
        <is>
          <t>bible.exile_return</t>
        </is>
      </c>
      <c r="Q383" s="7" t="inlineStr">
        <is>
          <t>accession</t>
        </is>
      </c>
      <c r="R383" s="7" t="inlineStr">
        <is>
          <t>Cambyses II; Cyrus</t>
        </is>
      </c>
      <c r="S383" s="7" t="inlineStr">
        <is>
          <t>Babylon</t>
        </is>
      </c>
      <c r="T383" s="7" t="n"/>
      <c r="U383" s="7" t="n"/>
      <c r="V383" s="7" t="n">
        <v>2</v>
      </c>
      <c r="W383" s="7" t="inlineStr">
        <is>
          <t>Darius</t>
        </is>
      </c>
      <c r="X383" s="9" t="inlineStr">
        <is>
          <t>open</t>
        </is>
      </c>
      <c r="Y383" s="7" t="n"/>
      <c r="Z383" s="7" t="inlineStr">
        <is>
          <t>https://wol.jw.org/en/wol/d/r1/lp-e/1200001124
https://wol.jw.org/en/wol/d/r1/lp-e/1200000142</t>
        </is>
      </c>
      <c r="AA383" s="7" t="n">
        <v>0</v>
      </c>
      <c r="AB383" s="7" t="n"/>
      <c r="AC383" s="7" t="n">
        <v>0</v>
      </c>
      <c r="AD383" s="7" t="n"/>
      <c r="AE383" s="7" t="n"/>
      <c r="AF383" s="7" t="n"/>
      <c r="AG383" s="7" t="n"/>
      <c r="AH383" s="7" t="n"/>
      <c r="AI383" s="7" t="n"/>
      <c r="AJ383" s="7" t="n"/>
      <c r="AK383" s="7" t="n"/>
      <c r="AL383" s="7" t="n"/>
      <c r="AM383" s="7" t="n">
        <v>-529.75</v>
      </c>
      <c r="AN383" s="10" t="n"/>
      <c r="AO383" s="10" t="n"/>
      <c r="AP383" s="10" t="n"/>
      <c r="AQ383" s="10" t="n"/>
    </row>
    <row r="384">
      <c r="A384" s="7" t="inlineStr">
        <is>
          <t>b4-0035</t>
        </is>
      </c>
      <c r="B384" s="7" t="inlineStr">
        <is>
          <t>Point</t>
        </is>
      </c>
      <c r="C384" s="7" t="n"/>
      <c r="D384" s="7" t="inlineStr">
        <is>
          <t>530 B.C.E.</t>
        </is>
      </c>
      <c r="E384" s="7" t="inlineStr">
        <is>
          <t>பொ.ச.மு. 530</t>
        </is>
      </c>
      <c r="F384" s="7" t="inlineStr">
        <is>
          <t>530 BCE</t>
        </is>
      </c>
      <c r="G384" s="7" t="inlineStr">
        <is>
          <t>Exact</t>
        </is>
      </c>
      <c r="H384" s="7" t="n"/>
      <c r="I384" s="7" t="n"/>
      <c r="J384" s="7" t="n"/>
      <c r="K384" s="2" t="inlineStr">
        <is>
          <t>Cyrus dies on a military campaign</t>
        </is>
      </c>
      <c r="L384" s="2" t="n"/>
      <c r="M384" s="7" t="inlineStr">
        <is>
          <t>Cyrus the Great is believed to have fallen in battle in 530 B.C.E., ending a rule of about 30 years.</t>
        </is>
      </c>
      <c r="N384" s="7" t="inlineStr">
        <is>
          <t>பொ.ச.மு. 530-ல் அவர் யுத்த களத்தில் உயிர் நீத்தார்.</t>
        </is>
      </c>
      <c r="O384" s="8" t="inlineStr">
        <is>
          <t>Bible</t>
        </is>
      </c>
      <c r="P384" s="7" t="inlineStr">
        <is>
          <t>bible.exile_return</t>
        </is>
      </c>
      <c r="Q384" s="7" t="inlineStr">
        <is>
          <t>death</t>
        </is>
      </c>
      <c r="R384" s="7" t="inlineStr">
        <is>
          <t>Cyrus</t>
        </is>
      </c>
      <c r="S384" s="7" t="inlineStr">
        <is>
          <t>Persia</t>
        </is>
      </c>
      <c r="T384" s="7" t="n"/>
      <c r="U384" s="7" t="n"/>
      <c r="V384" s="7" t="n">
        <v>4</v>
      </c>
      <c r="W384" s="7" t="inlineStr">
        <is>
          <t>Cyrus</t>
        </is>
      </c>
      <c r="X384" s="9" t="inlineStr">
        <is>
          <t>open</t>
        </is>
      </c>
      <c r="Y384" s="7" t="n"/>
      <c r="Z384" s="7" t="inlineStr">
        <is>
          <t>https://wol.jw.org/en/wol/d/r1/lp-e/1200001102
https://wol.jw.org/en/wol/d/r1/lp-e/1200003447
https://wol.jw.org/en/wol/d/r1/lp-e/1101999028
https://wol.jw.org/en/wol/d/r1/lp-e/1101999023</t>
        </is>
      </c>
      <c r="AA384" s="7" t="n">
        <v>0</v>
      </c>
      <c r="AB384" s="7" t="n"/>
      <c r="AC384" s="7" t="n">
        <v>0</v>
      </c>
      <c r="AD384" s="7" t="n"/>
      <c r="AE384" s="7" t="n"/>
      <c r="AF384" s="7" t="n"/>
      <c r="AG384" s="7" t="n"/>
      <c r="AH384" s="7" t="n"/>
      <c r="AI384" s="7" t="inlineStr">
        <is>
          <t>Covered by span – hide on chart</t>
        </is>
      </c>
      <c r="AJ384" s="7" t="inlineStr">
        <is>
          <t>end of Reign of Cyrus the Great (b12-0026)</t>
        </is>
      </c>
      <c r="AK384" s="7" t="n"/>
      <c r="AL384" s="7" t="n"/>
      <c r="AM384" s="7" t="n">
        <v>-529.5</v>
      </c>
      <c r="AN384" s="10" t="n"/>
      <c r="AO384" s="10" t="n"/>
      <c r="AP384" s="10" t="n"/>
      <c r="AQ384" s="10" t="n"/>
    </row>
    <row r="385">
      <c r="A385" s="7" t="inlineStr">
        <is>
          <t>b4-0036</t>
        </is>
      </c>
      <c r="B385" s="7" t="inlineStr">
        <is>
          <t>Point</t>
        </is>
      </c>
      <c r="C385" s="7" t="n"/>
      <c r="D385" s="7" t="inlineStr">
        <is>
          <t>522 B.C.E.</t>
        </is>
      </c>
      <c r="E385" s="7" t="n"/>
      <c r="F385" s="7" t="inlineStr">
        <is>
          <t>522 BCE</t>
        </is>
      </c>
      <c r="G385" s="7" t="inlineStr">
        <is>
          <t>Exact</t>
        </is>
      </c>
      <c r="H385" s="7" t="n"/>
      <c r="I385" s="7" t="n"/>
      <c r="J385" s="7" t="n"/>
      <c r="K385" s="2" t="inlineStr">
        <is>
          <t>Cambyses II dies; usurper rules seven months</t>
        </is>
      </c>
      <c r="L385" s="2" t="inlineStr">
        <is>
          <t>ஆலய கட்டட வேலையின்பேரில் தடையுத்தரவிடுதல்</t>
        </is>
      </c>
      <c r="M385" s="7" t="inlineStr">
        <is>
          <t>Cambyses II died in 522 B.C.E. while returning from Egypt; the throne was then held for seven months by his brother Bardiya or a Magian named Gaumata, the 'Artaxerxes' of Ezra 4:7.</t>
        </is>
      </c>
      <c r="N385" s="7" t="n"/>
      <c r="O385" s="8" t="inlineStr">
        <is>
          <t>Bible</t>
        </is>
      </c>
      <c r="P385" s="7" t="inlineStr">
        <is>
          <t>bible.exile_return</t>
        </is>
      </c>
      <c r="Q385" s="7" t="inlineStr">
        <is>
          <t>death</t>
        </is>
      </c>
      <c r="R385" s="7" t="inlineStr">
        <is>
          <t>Cambyses II; Bardiya; Gaumata</t>
        </is>
      </c>
      <c r="S385" s="7" t="inlineStr">
        <is>
          <t>Persia</t>
        </is>
      </c>
      <c r="T385" s="7" t="inlineStr">
        <is>
          <t>Ezra 4:7</t>
        </is>
      </c>
      <c r="U385" s="7" t="n"/>
      <c r="V385" s="7" t="n">
        <v>3</v>
      </c>
      <c r="W385" s="7" t="inlineStr">
        <is>
          <t>Darius</t>
        </is>
      </c>
      <c r="X385" s="9" t="inlineStr">
        <is>
          <t>open</t>
        </is>
      </c>
      <c r="Y385" s="7" t="n"/>
      <c r="Z385" s="7" t="inlineStr">
        <is>
          <t>https://wol.jw.org/en/wol/d/r1/lp-e/1200001124
https://wol.jw.org/en/wol/d/r1/lp-e/1200003447
https://wol.jw.org/en/wol/d/r1/lp-e/1200000389</t>
        </is>
      </c>
      <c r="AA385" s="7" t="n">
        <v>0</v>
      </c>
      <c r="AB385" s="7" t="n"/>
      <c r="AC385" s="7" t="n">
        <v>0</v>
      </c>
      <c r="AD385" s="7" t="n"/>
      <c r="AE385" s="7" t="n"/>
      <c r="AF385" s="7" t="n"/>
      <c r="AG385" s="7" t="n"/>
      <c r="AH385" s="7" t="n"/>
      <c r="AI385" s="7" t="n"/>
      <c r="AJ385" s="7" t="n"/>
      <c r="AK385" s="7" t="n"/>
      <c r="AL385" s="7" t="inlineStr">
        <is>
          <t>[title_ta from owner's Tamil sheet]</t>
        </is>
      </c>
      <c r="AM385" s="7" t="n">
        <v>-522.5</v>
      </c>
      <c r="AN385" s="10" t="n"/>
      <c r="AO385" s="10" t="n"/>
      <c r="AP385" s="10" t="n"/>
      <c r="AQ385" s="10" t="n"/>
    </row>
    <row r="386">
      <c r="A386" s="7" t="inlineStr">
        <is>
          <t>b4-0037</t>
        </is>
      </c>
      <c r="B386" s="7" t="inlineStr">
        <is>
          <t>Point</t>
        </is>
      </c>
      <c r="C386" s="7" t="n"/>
      <c r="D386" s="7" t="inlineStr">
        <is>
          <t>522 B.C.E.</t>
        </is>
      </c>
      <c r="E386" s="7" t="inlineStr">
        <is>
          <t>பொ.ச.மு. 522</t>
        </is>
      </c>
      <c r="F386" s="7" t="inlineStr">
        <is>
          <t>522 BCE</t>
        </is>
      </c>
      <c r="G386" s="7" t="inlineStr">
        <is>
          <t>Exact</t>
        </is>
      </c>
      <c r="H386" s="7" t="n"/>
      <c r="I386" s="7" t="n"/>
      <c r="J386" s="7" t="n"/>
      <c r="K386" s="2" t="inlineStr">
        <is>
          <t>Ban put on temple-building work</t>
        </is>
      </c>
      <c r="L386" s="2" t="inlineStr">
        <is>
          <t>ஆலய கட்டட வேலையின்பேரில் தடையுத்தரவிடுதல்</t>
        </is>
      </c>
      <c r="M386" s="7" t="inlineStr">
        <is>
          <t>Opposers succeeded in getting a royal order from 'Artaxerxes' (Bardiya or Gaumata) that forcibly stopped the rebuilding of the temple.</t>
        </is>
      </c>
      <c r="N386" s="7" t="inlineStr">
        <is>
          <t>கடைசியாக, “அர்தசஷ்டாவின்” (பார்டியா அல்லது கெளமாட்டா என அறியப்பட்ட மேகியன், பொ.ச.மு. 522) நாட்களில், அரச கட்டளையால் அந்த வேலையை வலுக்கட்டாயமாக நிறுத்திப்போடுகின்றனர்.</t>
        </is>
      </c>
      <c r="O386" s="8" t="inlineStr">
        <is>
          <t>Bible</t>
        </is>
      </c>
      <c r="P386" s="7" t="inlineStr">
        <is>
          <t>bible.temple</t>
        </is>
      </c>
      <c r="Q386" s="7" t="inlineStr">
        <is>
          <t>decree</t>
        </is>
      </c>
      <c r="R386" s="7" t="inlineStr">
        <is>
          <t>Bardiya; Gaumata</t>
        </is>
      </c>
      <c r="S386" s="7" t="inlineStr">
        <is>
          <t>Jerusalem</t>
        </is>
      </c>
      <c r="T386" s="7" t="inlineStr">
        <is>
          <t>Ezra 4:23, 24; Ezra 4:7-23</t>
        </is>
      </c>
      <c r="U386" s="7" t="inlineStr">
        <is>
          <t>எஸ்றா 4:23, 24</t>
        </is>
      </c>
      <c r="V386" s="7" t="n">
        <v>5</v>
      </c>
      <c r="W386" s="7" t="inlineStr">
        <is>
          <t>Study Number 3—Measuring Events in the Stream of Time</t>
        </is>
      </c>
      <c r="X386" s="9" t="inlineStr">
        <is>
          <t>open</t>
        </is>
      </c>
      <c r="Y386" s="9" t="inlineStr">
        <is>
          <t>open</t>
        </is>
      </c>
      <c r="Z386" s="7" t="inlineStr">
        <is>
          <t>https://wol.jw.org/en/wol/d/r1/lp-e/1101990130
https://wol.jw.org/en/wol/d/r1/lp-e/1200004716
https://wol.jw.org/en/wol/d/r1/lp-e/1200001124
https://wol.jw.org/en/wol/d/r1/lp-e/1101990076
https://wol.jw.org/en/wol/d/r1/lp-e/1200000389</t>
        </is>
      </c>
      <c r="AA386" s="7" t="n">
        <v>0</v>
      </c>
      <c r="AB386" s="7" t="n"/>
      <c r="AC386" s="7" t="n">
        <v>0</v>
      </c>
      <c r="AD386" s="7" t="n"/>
      <c r="AE386" s="7" t="n"/>
      <c r="AF386" s="7" t="n"/>
      <c r="AG386" s="7" t="n"/>
      <c r="AH386" s="7" t="n"/>
      <c r="AI386" s="7" t="inlineStr">
        <is>
          <t>Span endpoint – keep</t>
        </is>
      </c>
      <c r="AJ386" s="7" t="inlineStr">
        <is>
          <t>start of Ban on the rebuilding of the temple (b12-0029)</t>
        </is>
      </c>
      <c r="AK386" s="7" t="n"/>
      <c r="AL386" s="7" t="n"/>
      <c r="AM386" s="7" t="n">
        <v>-522.4</v>
      </c>
      <c r="AN386" s="10" t="n"/>
      <c r="AO386" s="10" t="n"/>
      <c r="AP386" s="10" t="n"/>
      <c r="AQ386" s="10" t="n"/>
    </row>
    <row r="387">
      <c r="A387" s="7" t="inlineStr">
        <is>
          <t>b12-0029</t>
        </is>
      </c>
      <c r="B387" s="11" t="inlineStr">
        <is>
          <t>Span</t>
        </is>
      </c>
      <c r="C387" s="7" t="inlineStr">
        <is>
          <t>ban</t>
        </is>
      </c>
      <c r="D387" s="7" t="inlineStr">
        <is>
          <t>522 B.C.E.–520 B.C.E.</t>
        </is>
      </c>
      <c r="E387" s="7" t="n"/>
      <c r="F387" s="7" t="inlineStr">
        <is>
          <t>522 BCE</t>
        </is>
      </c>
      <c r="G387" s="7" t="inlineStr">
        <is>
          <t>Exact</t>
        </is>
      </c>
      <c r="H387" s="7" t="inlineStr">
        <is>
          <t>520 BCE</t>
        </is>
      </c>
      <c r="I387" s="7" t="inlineStr">
        <is>
          <t>Exact</t>
        </is>
      </c>
      <c r="J387" s="7" t="n"/>
      <c r="K387" s="2" t="inlineStr">
        <is>
          <t>Ban on the rebuilding of the temple</t>
        </is>
      </c>
      <c r="L387" s="2" t="n"/>
      <c r="M387" s="7" t="inlineStr">
        <is>
          <t>Opposers obtained a royal ban that halted the temple work; it lay idle until the second year of Darius I, who confirmed Cyrus’ decree and lifted the ban in 520 B.C.E.</t>
        </is>
      </c>
      <c r="N387" s="7" t="n"/>
      <c r="O387" s="8" t="inlineStr">
        <is>
          <t>Bible</t>
        </is>
      </c>
      <c r="P387" s="7" t="inlineStr">
        <is>
          <t>bible.temple</t>
        </is>
      </c>
      <c r="Q387" s="7" t="n"/>
      <c r="R387" s="7" t="inlineStr">
        <is>
          <t>Darius I; Haggai; Zechariah</t>
        </is>
      </c>
      <c r="S387" s="7" t="inlineStr">
        <is>
          <t>Jerusalem</t>
        </is>
      </c>
      <c r="T387" s="7" t="inlineStr">
        <is>
          <t>Ezra 4:23, 24; Ezra 6:1-12</t>
        </is>
      </c>
      <c r="U387" s="7" t="inlineStr">
        <is>
          <t>எஸ்றா 4:23, 24; எஸ்றா 6:1-12</t>
        </is>
      </c>
      <c r="V387" s="7" t="n">
        <v>3</v>
      </c>
      <c r="W387" s="7" t="inlineStr">
        <is>
          <t>Study Number 3—Measuring Events in the Stream of Time</t>
        </is>
      </c>
      <c r="X387" s="9" t="inlineStr">
        <is>
          <t>open</t>
        </is>
      </c>
      <c r="Y387" s="9" t="inlineStr">
        <is>
          <t>open</t>
        </is>
      </c>
      <c r="Z387" s="7" t="inlineStr">
        <is>
          <t>https://wol.jw.org/en/wol/d/r1/lp-e/1101990130
https://wol.jw.org/en/wol/d/r1/lp-e/1200003447
https://wol.jw.org/en/wol/d/r1/lp-e/1101999023</t>
        </is>
      </c>
      <c r="AA387" s="7" t="n">
        <v>0</v>
      </c>
      <c r="AB387" s="7" t="n"/>
      <c r="AC387" s="7" t="n">
        <v>0</v>
      </c>
      <c r="AD387" s="7" t="n"/>
      <c r="AE387" s="7" t="n"/>
      <c r="AF387" s="7" t="inlineStr">
        <is>
          <t>b4-0037</t>
        </is>
      </c>
      <c r="AG387" s="7" t="inlineStr">
        <is>
          <t>b4-0040</t>
        </is>
      </c>
      <c r="AH387" s="7" t="inlineStr">
        <is>
          <t>b12-0028</t>
        </is>
      </c>
      <c r="AI387" s="7" t="n"/>
      <c r="AJ387" s="7" t="n"/>
      <c r="AK387" s="7" t="n"/>
      <c r="AL387" s="7" t="n"/>
      <c r="AM387" s="7" t="n">
        <v>-522.4</v>
      </c>
      <c r="AN387" s="10" t="n"/>
      <c r="AO387" s="10" t="n"/>
      <c r="AP387" s="10" t="n"/>
      <c r="AQ387" s="10" t="n"/>
    </row>
    <row r="388">
      <c r="A388" s="7" t="inlineStr">
        <is>
          <t>b4-0038</t>
        </is>
      </c>
      <c r="B388" s="7" t="inlineStr">
        <is>
          <t>Point</t>
        </is>
      </c>
      <c r="C388" s="7" t="n"/>
      <c r="D388" s="7" t="inlineStr">
        <is>
          <t>522 B.C.E. (December)</t>
        </is>
      </c>
      <c r="E388" s="7" t="n"/>
      <c r="F388" s="7" t="inlineStr">
        <is>
          <t>522 BCE</t>
        </is>
      </c>
      <c r="G388" s="7" t="inlineStr">
        <is>
          <t>Exact</t>
        </is>
      </c>
      <c r="H388" s="7" t="n"/>
      <c r="I388" s="7" t="n"/>
      <c r="J388" s="7" t="n"/>
      <c r="K388" s="2" t="inlineStr">
        <is>
          <t>Darius I establishes himself in Babylon</t>
        </is>
      </c>
      <c r="L388" s="2" t="n"/>
      <c r="M388" s="7" t="inlineStr">
        <is>
          <t>Darius I defeated and killed the rebel Nebuchadnezzar III in December 522, so 522 B.C.E. is viewed as his accession year; his first regnal year began in spring 521.</t>
        </is>
      </c>
      <c r="N388" s="7" t="n"/>
      <c r="O388" s="8" t="inlineStr">
        <is>
          <t>Bible</t>
        </is>
      </c>
      <c r="P388" s="7" t="inlineStr">
        <is>
          <t>bible.exile_return</t>
        </is>
      </c>
      <c r="Q388" s="7" t="inlineStr">
        <is>
          <t>accession</t>
        </is>
      </c>
      <c r="R388" s="7" t="inlineStr">
        <is>
          <t>Darius I; Nebuchadnezzar III</t>
        </is>
      </c>
      <c r="S388" s="7" t="inlineStr">
        <is>
          <t>Babylon</t>
        </is>
      </c>
      <c r="T388" s="7" t="inlineStr">
        <is>
          <t>Ezra 4:24</t>
        </is>
      </c>
      <c r="U388" s="7" t="n"/>
      <c r="V388" s="7" t="n">
        <v>3</v>
      </c>
      <c r="W388" s="7" t="inlineStr">
        <is>
          <t>Chronology</t>
        </is>
      </c>
      <c r="X388" s="9" t="inlineStr">
        <is>
          <t>open</t>
        </is>
      </c>
      <c r="Y388" s="7" t="n"/>
      <c r="Z388" s="7" t="inlineStr">
        <is>
          <t>https://wol.jw.org/en/wol/d/r1/lp-e/1200000970
https://wol.jw.org/en/wol/d/r1/lp-e/1200003156
https://wol.jw.org/en/wol/d/r1/lp-e/1101999023</t>
        </is>
      </c>
      <c r="AA388" s="7" t="n">
        <v>0</v>
      </c>
      <c r="AB388" s="7" t="n"/>
      <c r="AC388" s="7" t="n">
        <v>1</v>
      </c>
      <c r="AD388" s="7" t="inlineStr">
        <is>
          <t>dp ch. 4 says Darius I 'ascended the throne in 521 B.C.E.' (first regnal year); Insight Chronology treats 522 as accession year.</t>
        </is>
      </c>
      <c r="AE388" s="7" t="n"/>
      <c r="AF388" s="7" t="n"/>
      <c r="AG388" s="7" t="n"/>
      <c r="AH388" s="7" t="n"/>
      <c r="AI388" s="7" t="inlineStr">
        <is>
          <t>Covered by span – hide on chart</t>
        </is>
      </c>
      <c r="AJ388" s="7" t="inlineStr">
        <is>
          <t>start of Reign of Darius I (the Great) of Persia (b12-0030)</t>
        </is>
      </c>
      <c r="AK388" s="7" t="n"/>
      <c r="AL388" s="7" t="n"/>
      <c r="AM388" s="7" t="n">
        <v>-521.05</v>
      </c>
      <c r="AN388" s="10" t="n"/>
      <c r="AO388" s="10" t="n"/>
      <c r="AP388" s="10" t="n"/>
      <c r="AQ388" s="10" t="n"/>
    </row>
    <row r="389">
      <c r="A389" s="7" t="inlineStr">
        <is>
          <t>b12-0030</t>
        </is>
      </c>
      <c r="B389" s="11" t="inlineStr">
        <is>
          <t>Span</t>
        </is>
      </c>
      <c r="C389" s="7" t="inlineStr">
        <is>
          <t>reign</t>
        </is>
      </c>
      <c r="D389" s="7" t="inlineStr">
        <is>
          <t>522 B.C.E.–486 B.C.E.</t>
        </is>
      </c>
      <c r="E389" s="7" t="n"/>
      <c r="F389" s="7" t="inlineStr">
        <is>
          <t>522 BCE</t>
        </is>
      </c>
      <c r="G389" s="7" t="inlineStr">
        <is>
          <t>Exact</t>
        </is>
      </c>
      <c r="H389" s="7" t="inlineStr">
        <is>
          <t>486 BCE</t>
        </is>
      </c>
      <c r="I389" s="7" t="inlineStr">
        <is>
          <t>Exact</t>
        </is>
      </c>
      <c r="J389" s="7" t="n"/>
      <c r="K389" s="2" t="inlineStr">
        <is>
          <t>Reign of Darius I (the Great) of Persia</t>
        </is>
      </c>
      <c r="L389" s="2" t="n"/>
      <c r="M389" s="7" t="inlineStr">
        <is>
          <t>Darius I established himself in Babylon in late 522 B.C.E.; he upheld Cyrus’ decree so the temple could be finished, and he died in 486 B.C.E.</t>
        </is>
      </c>
      <c r="N389" s="7" t="n"/>
      <c r="O389" s="8" t="inlineStr">
        <is>
          <t>Bible</t>
        </is>
      </c>
      <c r="P389" s="7" t="inlineStr">
        <is>
          <t>bible.exile_return</t>
        </is>
      </c>
      <c r="Q389" s="7" t="n"/>
      <c r="R389" s="7" t="inlineStr">
        <is>
          <t>Darius I</t>
        </is>
      </c>
      <c r="S389" s="7" t="inlineStr">
        <is>
          <t>Persia; Babylon</t>
        </is>
      </c>
      <c r="T389" s="7" t="inlineStr">
        <is>
          <t>Ezra 6:1-15; Hag. 1:1</t>
        </is>
      </c>
      <c r="U389" s="7" t="inlineStr">
        <is>
          <t>எஸ்றா 6:1-15; ஆகா. 1:1</t>
        </is>
      </c>
      <c r="V389" s="7" t="n">
        <v>2</v>
      </c>
      <c r="W389" s="7" t="inlineStr">
        <is>
          <t>Chronology</t>
        </is>
      </c>
      <c r="X389" s="9" t="inlineStr">
        <is>
          <t>open</t>
        </is>
      </c>
      <c r="Y389" s="7" t="n"/>
      <c r="Z389" s="7" t="inlineStr">
        <is>
          <t>https://wol.jw.org/en/wol/d/r1/lp-e/1200000970
https://wol.jw.org/en/wol/d/r1/lp-e/1200003447</t>
        </is>
      </c>
      <c r="AA389" s="7" t="n">
        <v>0</v>
      </c>
      <c r="AB389" s="7" t="n"/>
      <c r="AC389" s="7" t="n">
        <v>0</v>
      </c>
      <c r="AD389" s="7" t="n"/>
      <c r="AE389" s="7" t="n"/>
      <c r="AF389" s="7" t="inlineStr">
        <is>
          <t>b4-0038</t>
        </is>
      </c>
      <c r="AG389" s="7" t="inlineStr">
        <is>
          <t>b4-0057</t>
        </is>
      </c>
      <c r="AH389" s="7" t="n"/>
      <c r="AI389" s="7" t="n"/>
      <c r="AJ389" s="7" t="n"/>
      <c r="AK389" s="7" t="inlineStr">
        <is>
          <t>rulers-of-persia #2 (ruler)</t>
        </is>
      </c>
      <c r="AL389" s="7" t="n"/>
      <c r="AM389" s="7" t="n">
        <v>-521.05</v>
      </c>
      <c r="AN389" s="10" t="n"/>
      <c r="AO389" s="10" t="n"/>
      <c r="AP389" s="10" t="n"/>
      <c r="AQ389" s="10" t="n"/>
    </row>
    <row r="390">
      <c r="A390" s="7" t="inlineStr">
        <is>
          <t>b4-0039</t>
        </is>
      </c>
      <c r="B390" s="7" t="inlineStr">
        <is>
          <t>Point</t>
        </is>
      </c>
      <c r="C390" s="7" t="n"/>
      <c r="D390" s="7" t="inlineStr">
        <is>
          <t>520 B.C.E. (second year of Darius)</t>
        </is>
      </c>
      <c r="E390" s="7" t="inlineStr">
        <is>
          <t>பொ.ச.மு. 520</t>
        </is>
      </c>
      <c r="F390" s="7" t="inlineStr">
        <is>
          <t>520 BCE</t>
        </is>
      </c>
      <c r="G390" s="7" t="inlineStr">
        <is>
          <t>Exact</t>
        </is>
      </c>
      <c r="H390" s="7" t="n"/>
      <c r="I390" s="7" t="n"/>
      <c r="J390" s="7" t="n"/>
      <c r="K390" s="2" t="inlineStr">
        <is>
          <t>Haggai's messages move the Jews to resume temple building</t>
        </is>
      </c>
      <c r="L390" s="2" t="inlineStr">
        <is>
          <t>ஆகாய் புத்தகத்தை ஆகாய் எழுதி முடிக்கிறார். ஆகாயும் சகரியாவும் எருசலேமில் தீர்க்கதரிசனம் சொல்கிறார்கள்</t>
        </is>
      </c>
      <c r="M390" s="7" t="inlineStr">
        <is>
          <t>In the second year of Darius I, Haggai delivered four messages within about four months that moved the Jews, led by Zerubbabel and Jeshua, to resume building the temple.</t>
        </is>
      </c>
      <c r="N390" s="7" t="inlineStr">
        <is>
          <t>பெர்சிய அரசனாகிய தரியு ஹிஸ்டாஸ்பிஸ் ஆட்சிசெய்த இரண்டாம் வருடத்தில், அதாவது பொ.ச.மு. 520-ல் ஆகாய் தீர்க்கதரிசனம் உரைக்க தொடங்கினார்.</t>
        </is>
      </c>
      <c r="O390" s="8" t="inlineStr">
        <is>
          <t>Bible</t>
        </is>
      </c>
      <c r="P390" s="7" t="inlineStr">
        <is>
          <t>bible.prophet</t>
        </is>
      </c>
      <c r="Q390" s="7" t="inlineStr">
        <is>
          <t>prophecy</t>
        </is>
      </c>
      <c r="R390" s="7" t="inlineStr">
        <is>
          <t>Haggai; Zerubbabel; Jeshua; Darius I</t>
        </is>
      </c>
      <c r="S390" s="7" t="inlineStr">
        <is>
          <t>Jerusalem</t>
        </is>
      </c>
      <c r="T390" s="7" t="inlineStr">
        <is>
          <t>Hag. 1:1; Hag. 2:1, 10, 20; Ezra 5:1, 2</t>
        </is>
      </c>
      <c r="U390" s="7" t="n"/>
      <c r="V390" s="7" t="n">
        <v>3</v>
      </c>
      <c r="W390" s="7" t="inlineStr">
        <is>
          <t>Haggai</t>
        </is>
      </c>
      <c r="X390" s="9" t="inlineStr">
        <is>
          <t>open</t>
        </is>
      </c>
      <c r="Y390" s="7" t="n"/>
      <c r="Z390" s="7" t="inlineStr">
        <is>
          <t>https://wol.jw.org/en/wol/d/r1/lp-e/1200001812
https://wol.jw.org/en/wol/d/r1/lp-e/1101990098
https://wol.jw.org/en/wol/d/r1/lp-e/1200004359</t>
        </is>
      </c>
      <c r="AA390" s="7" t="n">
        <v>0</v>
      </c>
      <c r="AB390" s="7" t="n"/>
      <c r="AC390" s="7" t="n">
        <v>0</v>
      </c>
      <c r="AD390" s="7" t="n"/>
      <c r="AE390" s="7" t="n"/>
      <c r="AF390" s="7" t="n"/>
      <c r="AG390" s="7" t="n"/>
      <c r="AH390" s="7" t="n"/>
      <c r="AI390" s="7" t="n"/>
      <c r="AJ390" s="7" t="n"/>
      <c r="AK390" s="7" t="n"/>
      <c r="AL390" s="7" t="inlineStr">
        <is>
          <t>[title_ta from owner's Tamil sheet]</t>
        </is>
      </c>
      <c r="AM390" s="7" t="n">
        <v>-520.4</v>
      </c>
      <c r="AN390" s="10" t="n"/>
      <c r="AO390" s="10" t="n"/>
      <c r="AP390" s="10" t="n"/>
      <c r="AQ390" s="10" t="n"/>
    </row>
    <row r="391">
      <c r="A391" s="7" t="inlineStr">
        <is>
          <t>b4-0040</t>
        </is>
      </c>
      <c r="B391" s="7" t="inlineStr">
        <is>
          <t>Point</t>
        </is>
      </c>
      <c r="C391" s="7" t="n"/>
      <c r="D391" s="7" t="inlineStr">
        <is>
          <t>520 B.C.E.</t>
        </is>
      </c>
      <c r="E391" s="7" t="inlineStr">
        <is>
          <t>பொ.ச.மு. 520</t>
        </is>
      </c>
      <c r="F391" s="7" t="inlineStr">
        <is>
          <t>520 BCE</t>
        </is>
      </c>
      <c r="G391" s="7" t="inlineStr">
        <is>
          <t>Exact</t>
        </is>
      </c>
      <c r="H391" s="7" t="n"/>
      <c r="I391" s="7" t="n"/>
      <c r="J391" s="7" t="n"/>
      <c r="K391" s="2" t="inlineStr">
        <is>
          <t>Darius I confirms Cyrus' decree and lifts the ban</t>
        </is>
      </c>
      <c r="L391" s="2" t="n"/>
      <c r="M391" s="7" t="inlineStr">
        <is>
          <t>After the document containing Cyrus' decree was found at Ecbatana, Darius removed the ban on the temple work, commanded that it proceed, and ordered funds from the royal treasury.</t>
        </is>
      </c>
      <c r="N391" s="7" t="inlineStr">
        <is>
          <t>கோரேசின் தீர்ப்பாணை பத்திரத்தை அக்மேதா ஆவணகாப்பகத்தில் கண்டெடுத்த தரியு, பொ.ச.மு. 520-ல் தடையை நீக்கினார்.</t>
        </is>
      </c>
      <c r="O391" s="8" t="inlineStr">
        <is>
          <t>Bible</t>
        </is>
      </c>
      <c r="P391" s="7" t="inlineStr">
        <is>
          <t>bible.temple</t>
        </is>
      </c>
      <c r="Q391" s="7" t="inlineStr">
        <is>
          <t>decree</t>
        </is>
      </c>
      <c r="R391" s="7" t="inlineStr">
        <is>
          <t>Darius I</t>
        </is>
      </c>
      <c r="S391" s="7" t="inlineStr">
        <is>
          <t>Ecbatana; Jerusalem</t>
        </is>
      </c>
      <c r="T391" s="7" t="inlineStr">
        <is>
          <t>Ezra 6:1-12; Ezra 4:24</t>
        </is>
      </c>
      <c r="U391" s="7" t="n"/>
      <c r="V391" s="7" t="n">
        <v>3</v>
      </c>
      <c r="W391" s="7" t="inlineStr">
        <is>
          <t>The Rise and Fall of an Immense Image</t>
        </is>
      </c>
      <c r="X391" s="9" t="inlineStr">
        <is>
          <t>open</t>
        </is>
      </c>
      <c r="Y391" s="9" t="inlineStr">
        <is>
          <t>open</t>
        </is>
      </c>
      <c r="Z391" s="7" t="inlineStr">
        <is>
          <t>https://wol.jw.org/en/wol/d/r1/lp-e/1101999023
https://wol.jw.org/en/wol/d/r1/lp-e/1200000389
https://wol.jw.org/en/wol/d/r1/lp-e/1200001124</t>
        </is>
      </c>
      <c r="AA391" s="7" t="n">
        <v>0</v>
      </c>
      <c r="AB391" s="7" t="n"/>
      <c r="AC391" s="7" t="n">
        <v>0</v>
      </c>
      <c r="AD391" s="7" t="n"/>
      <c r="AE391" s="7" t="n"/>
      <c r="AF391" s="7" t="n"/>
      <c r="AG391" s="7" t="n"/>
      <c r="AH391" s="7" t="n"/>
      <c r="AI391" s="7" t="inlineStr">
        <is>
          <t>Span endpoint – keep</t>
        </is>
      </c>
      <c r="AJ391" s="7" t="inlineStr">
        <is>
          <t>end of Ban on the rebuilding of the temple (b12-0029)</t>
        </is>
      </c>
      <c r="AK391" s="7" t="n"/>
      <c r="AL391" s="7" t="n"/>
      <c r="AM391" s="7" t="n">
        <v>-520.3</v>
      </c>
      <c r="AN391" s="10" t="n"/>
      <c r="AO391" s="10" t="n"/>
      <c r="AP391" s="10" t="n"/>
      <c r="AQ391" s="10" t="n"/>
    </row>
    <row r="392">
      <c r="A392" s="7" t="inlineStr">
        <is>
          <t>b4-0041</t>
        </is>
      </c>
      <c r="B392" s="7" t="inlineStr">
        <is>
          <t>Point</t>
        </is>
      </c>
      <c r="C392" s="7" t="n"/>
      <c r="D392" s="7" t="inlineStr">
        <is>
          <t>520 B.C.E., eighth month (Oct./Nov.)</t>
        </is>
      </c>
      <c r="E392" s="7" t="inlineStr">
        <is>
          <t>பொ.ச.மு. 520, அக்டோபர்/நவம்பர்</t>
        </is>
      </c>
      <c r="F392" s="7" t="inlineStr">
        <is>
          <t>520 BCE</t>
        </is>
      </c>
      <c r="G392" s="7" t="inlineStr">
        <is>
          <t>Exact</t>
        </is>
      </c>
      <c r="H392" s="7" t="n"/>
      <c r="I392" s="7" t="n"/>
      <c r="J392" s="7" t="n"/>
      <c r="K392" s="2" t="inlineStr">
        <is>
          <t>Zechariah begins to prophesy</t>
        </is>
      </c>
      <c r="L392" s="2" t="n"/>
      <c r="M392" s="7" t="inlineStr">
        <is>
          <t>In the eighth month of Darius' second year, when temple building had resumed, the word of Jehovah came to Zechariah.</t>
        </is>
      </c>
      <c r="N392" s="7" t="inlineStr">
        <is>
          <t>“தரியு அரசாண்ட இரண்டாம் வருஷம் எட்டாம் மாதத்திலே” (பொ.ச.மு. 520, அக்டோபர்/நவம்பர்) ஆலய கட்டட வேலை திரும்ப தொடங்கப்பட்டது, சகரியாவும் தீர்க்கதரிசனம் உரைக்கத் தொடங்கினார்.</t>
        </is>
      </c>
      <c r="O392" s="8" t="inlineStr">
        <is>
          <t>Bible</t>
        </is>
      </c>
      <c r="P392" s="7" t="inlineStr">
        <is>
          <t>bible.prophet</t>
        </is>
      </c>
      <c r="Q392" s="7" t="inlineStr">
        <is>
          <t>prophecy</t>
        </is>
      </c>
      <c r="R392" s="7" t="inlineStr">
        <is>
          <t>Zechariah</t>
        </is>
      </c>
      <c r="S392" s="7" t="inlineStr">
        <is>
          <t>Jerusalem</t>
        </is>
      </c>
      <c r="T392" s="7" t="inlineStr">
        <is>
          <t>Zech. 1:1</t>
        </is>
      </c>
      <c r="U392" s="7" t="n"/>
      <c r="V392" s="7" t="n">
        <v>2</v>
      </c>
      <c r="W392" s="7" t="inlineStr">
        <is>
          <t>Bible Book Number 38—Zechariah</t>
        </is>
      </c>
      <c r="X392" s="9" t="inlineStr">
        <is>
          <t>open</t>
        </is>
      </c>
      <c r="Y392" s="9" t="inlineStr">
        <is>
          <t>open</t>
        </is>
      </c>
      <c r="Z392" s="7" t="inlineStr">
        <is>
          <t>https://wol.jw.org/en/wol/d/r1/lp-e/1101990099
https://wol.jw.org/en/wol/d/r1/lp-e/1200004682</t>
        </is>
      </c>
      <c r="AA392" s="7" t="n">
        <v>0</v>
      </c>
      <c r="AB392" s="7" t="n"/>
      <c r="AC392" s="7" t="n">
        <v>0</v>
      </c>
      <c r="AD392" s="7" t="n"/>
      <c r="AE392" s="7" t="n"/>
      <c r="AF392" s="7" t="n"/>
      <c r="AG392" s="7" t="n"/>
      <c r="AH392" s="7" t="n"/>
      <c r="AI392" s="7" t="n"/>
      <c r="AJ392" s="7" t="n"/>
      <c r="AK392" s="7" t="n"/>
      <c r="AL392" s="7" t="n"/>
      <c r="AM392" s="7" t="n">
        <v>-520.2</v>
      </c>
      <c r="AN392" s="10" t="n"/>
      <c r="AO392" s="10" t="n"/>
      <c r="AP392" s="10" t="n"/>
      <c r="AQ392" s="10" t="n"/>
    </row>
    <row r="393">
      <c r="A393" s="7" t="inlineStr">
        <is>
          <t>b11-0034</t>
        </is>
      </c>
      <c r="B393" s="7" t="inlineStr">
        <is>
          <t>Point</t>
        </is>
      </c>
      <c r="C393" s="7" t="n"/>
      <c r="D393" s="7" t="inlineStr">
        <is>
          <t>520 B.C.E.</t>
        </is>
      </c>
      <c r="E393" s="7" t="inlineStr">
        <is>
          <t>கி.மு. 520</t>
        </is>
      </c>
      <c r="F393" s="7" t="inlineStr">
        <is>
          <t>520 BCE</t>
        </is>
      </c>
      <c r="G393" s="7" t="inlineStr">
        <is>
          <t>Exact</t>
        </is>
      </c>
      <c r="H393" s="7" t="n"/>
      <c r="I393" s="7" t="n"/>
      <c r="J393" s="7" t="n"/>
      <c r="K393" s="2" t="inlineStr">
        <is>
          <t>Writing of Haggai completed</t>
        </is>
      </c>
      <c r="L393" s="2" t="inlineStr">
        <is>
          <t>ஆகாய் — எழுதி முடிக்கப்பட்டது</t>
        </is>
      </c>
      <c r="M393" s="7" t="inlineStr">
        <is>
          <t>The writing of Haggai was completed in 520 B.C.E. Writer: Haggai; place written: Jerusalem. Time covered: 112 days (520 B.C.E.).</t>
        </is>
      </c>
      <c r="N393" s="7" t="inlineStr">
        <is>
          <t>ஆகாய்: எழுதியவர்(கள்): ஆகாய்; எழுதப்பட்ட இடம்: எருசலேம்; முடிக்கப்பட்ட வருஷம் (கி.மு.): 520; காலப்பகுதி (கி.மு.): 112 நாட்கள் (520).</t>
        </is>
      </c>
      <c r="O393" s="8" t="inlineStr">
        <is>
          <t>Bible</t>
        </is>
      </c>
      <c r="P393" s="7" t="inlineStr">
        <is>
          <t>bible.book_writing</t>
        </is>
      </c>
      <c r="Q393" s="7" t="inlineStr">
        <is>
          <t>writing_completed</t>
        </is>
      </c>
      <c r="R393" s="7" t="inlineStr">
        <is>
          <t>Haggai</t>
        </is>
      </c>
      <c r="S393" s="7" t="inlineStr">
        <is>
          <t>Jerusalem</t>
        </is>
      </c>
      <c r="T393" s="7" t="inlineStr">
        <is>
          <t>Hag.</t>
        </is>
      </c>
      <c r="U393" s="7" t="inlineStr">
        <is>
          <t>ஆகா.</t>
        </is>
      </c>
      <c r="V393" s="7" t="n">
        <v>6</v>
      </c>
      <c r="W393" s="7" t="inlineStr">
        <is>
          <t>Table of the Books of the Bible</t>
        </is>
      </c>
      <c r="X393" s="9" t="inlineStr">
        <is>
          <t>open</t>
        </is>
      </c>
      <c r="Y393" s="9" t="inlineStr">
        <is>
          <t>open</t>
        </is>
      </c>
      <c r="Z393" s="7" t="inlineStr">
        <is>
          <t>https://wol.jw.org/en/wol/d/r1/lp-e/1001070071
https://wol.jw.org/en/wol/d/r1/lp-e/1101990098
https://www.jw.org/en/library/bible/study-bible/books-of-the-bible-list/
https://wol.jw.org/en/wol/d/r1/lp-e/1001060002
https://wol.jw.org/en/wol/d/r1/lp-e/1101990130
https://wol.jw.org/en/wol/d/r1/lp-e/1200001813</t>
        </is>
      </c>
      <c r="AA393" s="7" t="n">
        <v>0</v>
      </c>
      <c r="AB393" s="7" t="n"/>
      <c r="AC393" s="7" t="n">
        <v>1</v>
      </c>
      <c r="AD393" s="7" t="inlineStr">
        <is>
          <t>Rbi8 place written: 'Jerusalem rebuilt' (nwtsty: 'Jerusalem').</t>
        </is>
      </c>
      <c r="AE393" s="7" t="n"/>
      <c r="AF393" s="7" t="n"/>
      <c r="AG393" s="7" t="n"/>
      <c r="AH393" s="7" t="n"/>
      <c r="AI393" s="7" t="n"/>
      <c r="AJ393" s="7" t="n"/>
      <c r="AK393" s="7" t="inlineStr">
        <is>
          <t>bible-books-written #37 (item)</t>
        </is>
      </c>
      <c r="AL393" s="7" t="inlineStr">
        <is>
          <t>Writer(s): Haggai. Place written: Jerusalem. Writing completed: 520 B.C.E. Time covered: 112 days (520 B.C.E.).</t>
        </is>
      </c>
      <c r="AM393" s="7" t="n">
        <v>-519.9963</v>
      </c>
      <c r="AN393" s="10" t="n"/>
      <c r="AO393" s="10" t="n"/>
      <c r="AP393" s="10" t="n"/>
      <c r="AQ393" s="10" t="n"/>
    </row>
    <row r="394">
      <c r="A394" s="7" t="inlineStr">
        <is>
          <t>b4-0043</t>
        </is>
      </c>
      <c r="B394" s="7" t="inlineStr">
        <is>
          <t>Point</t>
        </is>
      </c>
      <c r="C394" s="7" t="n"/>
      <c r="D394" s="7" t="inlineStr">
        <is>
          <t>c. Feb. 9, 519 B.C.E.</t>
        </is>
      </c>
      <c r="E394" s="7" t="n"/>
      <c r="F394" s="7" t="inlineStr">
        <is>
          <t>519 BCE</t>
        </is>
      </c>
      <c r="G394" s="7" t="inlineStr">
        <is>
          <t>Approx. (c.)</t>
        </is>
      </c>
      <c r="H394" s="7" t="n"/>
      <c r="I394" s="7" t="n"/>
      <c r="J394" s="7" t="n"/>
      <c r="K394" s="2" t="inlineStr">
        <is>
          <t>Zechariah's night visions begin</t>
        </is>
      </c>
      <c r="L394" s="2" t="n"/>
      <c r="M394" s="7" t="inlineStr">
        <is>
          <t>About February 9, 519 B.C.E., Zechariah heard that 'the whole earth is sitting still,' the setting for his series of visions encouraging the temple builders.</t>
        </is>
      </c>
      <c r="N394" s="7" t="n"/>
      <c r="O394" s="8" t="inlineStr">
        <is>
          <t>Bible</t>
        </is>
      </c>
      <c r="P394" s="7" t="inlineStr">
        <is>
          <t>bible.prophet</t>
        </is>
      </c>
      <c r="Q394" s="7" t="inlineStr">
        <is>
          <t>vision</t>
        </is>
      </c>
      <c r="R394" s="7" t="inlineStr">
        <is>
          <t>Zechariah</t>
        </is>
      </c>
      <c r="S394" s="7" t="inlineStr">
        <is>
          <t>Jerusalem</t>
        </is>
      </c>
      <c r="T394" s="7" t="inlineStr">
        <is>
          <t>Zech. 1:7, 11</t>
        </is>
      </c>
      <c r="U394" s="7" t="n"/>
      <c r="V394" s="7" t="n">
        <v>1</v>
      </c>
      <c r="W394" s="7" t="inlineStr">
        <is>
          <t>Zechariah, Book of</t>
        </is>
      </c>
      <c r="X394" s="9" t="inlineStr">
        <is>
          <t>open</t>
        </is>
      </c>
      <c r="Y394" s="7" t="n"/>
      <c r="Z394" s="7" t="inlineStr">
        <is>
          <t>https://wol.jw.org/en/wol/d/r1/lp-e/1200004682</t>
        </is>
      </c>
      <c r="AA394" s="7" t="n">
        <v>0</v>
      </c>
      <c r="AB394" s="7" t="n"/>
      <c r="AC394" s="7" t="n">
        <v>0</v>
      </c>
      <c r="AD394" s="7" t="n"/>
      <c r="AE394" s="7" t="n"/>
      <c r="AF394" s="7" t="n"/>
      <c r="AG394" s="7" t="n"/>
      <c r="AH394" s="7" t="n"/>
      <c r="AI394" s="7" t="n"/>
      <c r="AJ394" s="7" t="n"/>
      <c r="AK394" s="7" t="n"/>
      <c r="AL394" s="7" t="n"/>
      <c r="AM394" s="7" t="n">
        <v>-519.9</v>
      </c>
      <c r="AN394" s="10" t="n"/>
      <c r="AO394" s="10" t="n"/>
      <c r="AP394" s="10" t="n"/>
      <c r="AQ394" s="10" t="n"/>
    </row>
    <row r="395">
      <c r="A395" s="7" t="inlineStr">
        <is>
          <t>b4-0044</t>
        </is>
      </c>
      <c r="B395" s="11" t="inlineStr">
        <is>
          <t>Span</t>
        </is>
      </c>
      <c r="C395" s="7" t="inlineStr">
        <is>
          <t>campaign</t>
        </is>
      </c>
      <c r="D395" s="7" t="inlineStr">
        <is>
          <t>c. 519-518 B.C.E.</t>
        </is>
      </c>
      <c r="E395" s="7" t="n"/>
      <c r="F395" s="7" t="inlineStr">
        <is>
          <t>519 BCE</t>
        </is>
      </c>
      <c r="G395" s="7" t="inlineStr">
        <is>
          <t>Approx. (c.)</t>
        </is>
      </c>
      <c r="H395" s="7" t="inlineStr">
        <is>
          <t>518 BCE</t>
        </is>
      </c>
      <c r="I395" s="7" t="inlineStr">
        <is>
          <t>Approx. (c.)</t>
        </is>
      </c>
      <c r="J395" s="7" t="inlineStr">
        <is>
          <t>c. 1 year</t>
        </is>
      </c>
      <c r="K395" s="2" t="inlineStr">
        <is>
          <t>Darius I reconquers Egypt</t>
        </is>
      </c>
      <c r="L395" s="2" t="n"/>
      <c r="M395" s="7" t="inlineStr">
        <is>
          <t>Egypt, which had thrown off the Persian yoke, was reconquered by Darius about 519-518 B.C.E.</t>
        </is>
      </c>
      <c r="N395" s="7" t="n"/>
      <c r="O395" s="8" t="inlineStr">
        <is>
          <t>Bible</t>
        </is>
      </c>
      <c r="P395" s="7" t="inlineStr">
        <is>
          <t>bible.exile_return</t>
        </is>
      </c>
      <c r="Q395" s="7" t="inlineStr">
        <is>
          <t>battle</t>
        </is>
      </c>
      <c r="R395" s="7" t="inlineStr">
        <is>
          <t>Darius I</t>
        </is>
      </c>
      <c r="S395" s="7" t="inlineStr">
        <is>
          <t>Egypt</t>
        </is>
      </c>
      <c r="T395" s="7" t="n"/>
      <c r="U395" s="7" t="n"/>
      <c r="V395" s="7" t="n">
        <v>1</v>
      </c>
      <c r="W395" s="7" t="inlineStr">
        <is>
          <t>Darius</t>
        </is>
      </c>
      <c r="X395" s="9" t="inlineStr">
        <is>
          <t>open</t>
        </is>
      </c>
      <c r="Y395" s="7" t="n"/>
      <c r="Z395" s="7" t="inlineStr">
        <is>
          <t>https://wol.jw.org/en/wol/d/r1/lp-e/1200001124</t>
        </is>
      </c>
      <c r="AA395" s="7" t="n">
        <v>0</v>
      </c>
      <c r="AB395" s="7" t="n"/>
      <c r="AC395" s="7" t="n">
        <v>0</v>
      </c>
      <c r="AD395" s="7" t="n"/>
      <c r="AE395" s="7" t="n"/>
      <c r="AF395" s="7" t="n"/>
      <c r="AG395" s="7" t="n"/>
      <c r="AH395" s="7" t="n"/>
      <c r="AI395" s="7" t="n"/>
      <c r="AJ395" s="7" t="n"/>
      <c r="AK395" s="7" t="n"/>
      <c r="AL395" s="7" t="n"/>
      <c r="AM395" s="7" t="n">
        <v>-518.8</v>
      </c>
      <c r="AN395" s="10" t="n"/>
      <c r="AO395" s="10" t="n"/>
      <c r="AP395" s="10" t="n"/>
      <c r="AQ395" s="10" t="n"/>
    </row>
    <row r="396">
      <c r="A396" s="7" t="inlineStr">
        <is>
          <t>b4-0045</t>
        </is>
      </c>
      <c r="B396" s="7" t="inlineStr">
        <is>
          <t>Point</t>
        </is>
      </c>
      <c r="C396" s="7" t="n"/>
      <c r="D396" s="7" t="inlineStr">
        <is>
          <t>c. Dec. 1, 518 B.C.E. (Chislev 4)</t>
        </is>
      </c>
      <c r="E396" s="7" t="inlineStr">
        <is>
          <t>ஏறக்குறைய பொ.ச.மு. 518, டிசம்பர் 1</t>
        </is>
      </c>
      <c r="F396" s="7" t="inlineStr">
        <is>
          <t>518 BCE</t>
        </is>
      </c>
      <c r="G396" s="7" t="inlineStr">
        <is>
          <t>Approx. (c.)</t>
        </is>
      </c>
      <c r="H396" s="7" t="n"/>
      <c r="I396" s="7" t="n"/>
      <c r="J396" s="7" t="n"/>
      <c r="K396" s="2" t="inlineStr">
        <is>
          <t>Question about fasting brought to Zechariah</t>
        </is>
      </c>
      <c r="L396" s="2" t="n"/>
      <c r="M396" s="7" t="inlineStr">
        <is>
          <t>On the fourth day of Chislev in Darius' fourth year, the last date given in Zechariah's book, a delegation inquired about the fasts kept during the exile.</t>
        </is>
      </c>
      <c r="N396" s="7" t="inlineStr">
        <is>
          <t>(1:1) மேலும், “தரியு ராஜா அரசாண்ட நாலாம் வருஷம், கிஸ்லே என்னும் ஒன்பதாம் மாதம் நாலாந்தேதி” (ஏறக்குறைய பொ.ச.மு. 518, டிசம்பர் 1) என்றும் இந்தப் புத்தகம் குறிப்பிடுகிறது.</t>
        </is>
      </c>
      <c r="O396" s="8" t="inlineStr">
        <is>
          <t>Bible</t>
        </is>
      </c>
      <c r="P396" s="7" t="inlineStr">
        <is>
          <t>bible.prophet</t>
        </is>
      </c>
      <c r="Q396" s="7" t="inlineStr">
        <is>
          <t>prophecy</t>
        </is>
      </c>
      <c r="R396" s="7" t="inlineStr">
        <is>
          <t>Zechariah</t>
        </is>
      </c>
      <c r="S396" s="7" t="inlineStr">
        <is>
          <t>Jerusalem; Bethel</t>
        </is>
      </c>
      <c r="T396" s="7" t="inlineStr">
        <is>
          <t>Zech. 7:1-7</t>
        </is>
      </c>
      <c r="U396" s="7" t="n"/>
      <c r="V396" s="7" t="n">
        <v>2</v>
      </c>
      <c r="W396" s="7" t="inlineStr">
        <is>
          <t>Zechariah, Book of</t>
        </is>
      </c>
      <c r="X396" s="9" t="inlineStr">
        <is>
          <t>open</t>
        </is>
      </c>
      <c r="Y396" s="7" t="n"/>
      <c r="Z396" s="7" t="inlineStr">
        <is>
          <t>https://wol.jw.org/en/wol/d/r1/lp-e/1200004682
https://wol.jw.org/en/wol/d/r1/lp-e/1101990099</t>
        </is>
      </c>
      <c r="AA396" s="7" t="n">
        <v>0</v>
      </c>
      <c r="AB396" s="7" t="n"/>
      <c r="AC396" s="7" t="n">
        <v>0</v>
      </c>
      <c r="AD396" s="7" t="n"/>
      <c r="AE396" s="7" t="n"/>
      <c r="AF396" s="7" t="n"/>
      <c r="AG396" s="7" t="n"/>
      <c r="AH396" s="7" t="n"/>
      <c r="AI396" s="7" t="n"/>
      <c r="AJ396" s="7" t="n"/>
      <c r="AK396" s="7" t="n"/>
      <c r="AL396" s="7" t="n"/>
      <c r="AM396" s="7" t="n">
        <v>-518.08</v>
      </c>
      <c r="AN396" s="10" t="n"/>
      <c r="AO396" s="10" t="n"/>
      <c r="AP396" s="10" t="n"/>
      <c r="AQ396" s="10" t="n"/>
    </row>
    <row r="397">
      <c r="A397" s="7" t="inlineStr">
        <is>
          <t>b11-0035</t>
        </is>
      </c>
      <c r="B397" s="7" t="inlineStr">
        <is>
          <t>Point</t>
        </is>
      </c>
      <c r="C397" s="7" t="n"/>
      <c r="D397" s="7" t="inlineStr">
        <is>
          <t>518 B.C.E.</t>
        </is>
      </c>
      <c r="E397" s="7" t="inlineStr">
        <is>
          <t>கி.மு. 518</t>
        </is>
      </c>
      <c r="F397" s="7" t="inlineStr">
        <is>
          <t>518 BCE</t>
        </is>
      </c>
      <c r="G397" s="7" t="inlineStr">
        <is>
          <t>Exact</t>
        </is>
      </c>
      <c r="H397" s="7" t="n"/>
      <c r="I397" s="7" t="n"/>
      <c r="J397" s="7" t="n"/>
      <c r="K397" s="2" t="inlineStr">
        <is>
          <t>Writing of Zechariah completed</t>
        </is>
      </c>
      <c r="L397" s="2" t="inlineStr">
        <is>
          <t>சகரியா — எழுதி முடிக்கப்பட்டது</t>
        </is>
      </c>
      <c r="M397" s="7" t="inlineStr">
        <is>
          <t>The writing of Zechariah was completed in 518 B.C.E. Writer: Zechariah; place written: Jerusalem. Time covered: 520-518 B.C.E.</t>
        </is>
      </c>
      <c r="N397" s="7" t="inlineStr">
        <is>
          <t>சகரியா: எழுதியவர்(கள்): சகரியா; எழுதப்பட்ட இடம்: எருசலேம்; முடிக்கப்பட்ட வருஷம் (கி.மு.): 518; காலப்பகுதி (கி.மு.): 520-518.</t>
        </is>
      </c>
      <c r="O397" s="8" t="inlineStr">
        <is>
          <t>Bible</t>
        </is>
      </c>
      <c r="P397" s="7" t="inlineStr">
        <is>
          <t>bible.book_writing</t>
        </is>
      </c>
      <c r="Q397" s="7" t="inlineStr">
        <is>
          <t>writing_completed</t>
        </is>
      </c>
      <c r="R397" s="7" t="inlineStr">
        <is>
          <t>Zechariah</t>
        </is>
      </c>
      <c r="S397" s="7" t="inlineStr">
        <is>
          <t>Jerusalem</t>
        </is>
      </c>
      <c r="T397" s="7" t="inlineStr">
        <is>
          <t>Zech.</t>
        </is>
      </c>
      <c r="U397" s="7" t="inlineStr">
        <is>
          <t>சக.</t>
        </is>
      </c>
      <c r="V397" s="7" t="n">
        <v>6</v>
      </c>
      <c r="W397" s="7" t="inlineStr">
        <is>
          <t>Table of the Books of the Bible</t>
        </is>
      </c>
      <c r="X397" s="9" t="inlineStr">
        <is>
          <t>open</t>
        </is>
      </c>
      <c r="Y397" s="9" t="inlineStr">
        <is>
          <t>open</t>
        </is>
      </c>
      <c r="Z397" s="7" t="inlineStr">
        <is>
          <t>https://wol.jw.org/en/wol/d/r1/lp-e/1001070071
https://wol.jw.org/en/wol/d/r1/lp-e/1101990099
https://www.jw.org/en/library/bible/study-bible/books-of-the-bible-list/
https://wol.jw.org/en/wol/d/r1/lp-e/1001060002
https://wol.jw.org/en/wol/d/r1/lp-e/1101990130
https://wol.jw.org/en/wol/d/r1/lp-e/1200004682</t>
        </is>
      </c>
      <c r="AA397" s="7" t="n">
        <v>0</v>
      </c>
      <c r="AB397" s="7" t="n"/>
      <c r="AC397" s="7" t="n">
        <v>1</v>
      </c>
      <c r="AD397" s="7" t="inlineStr">
        <is>
          <t>Rbi8 place written: 'Jerusalem rebuilt' (nwtsty: 'Jerusalem').</t>
        </is>
      </c>
      <c r="AE397" s="7" t="n"/>
      <c r="AF397" s="7" t="n"/>
      <c r="AG397" s="7" t="n"/>
      <c r="AH397" s="7" t="n"/>
      <c r="AI397" s="7" t="n"/>
      <c r="AJ397" s="7" t="n"/>
      <c r="AK397" s="7" t="inlineStr">
        <is>
          <t>bible-books-written #38 (item); fulfilled-prophecies-nations #59 (prophecy); messianic-prophecies #131 (prophecy); messianic-prophecies #151 (prophecy); messianic-prophecies #181 (prophecy); messianic-prophecies #231 (prophecy)</t>
        </is>
      </c>
      <c r="AL397" s="7" t="inlineStr">
        <is>
          <t>Writer(s): Zechariah. Place written: Jerusalem. Writing completed: 518 B.C.E. Time covered: 520-518 B.C.E.</t>
        </is>
      </c>
      <c r="AM397" s="7" t="n">
        <v>-517.9962</v>
      </c>
      <c r="AN397" s="10" t="n"/>
      <c r="AO397" s="10" t="n"/>
      <c r="AP397" s="10" t="n"/>
      <c r="AQ397" s="10" t="n"/>
    </row>
    <row r="398">
      <c r="A398" s="7" t="inlineStr">
        <is>
          <t>b4-0047</t>
        </is>
      </c>
      <c r="B398" s="7" t="inlineStr">
        <is>
          <t>Point</t>
        </is>
      </c>
      <c r="C398" s="7" t="n"/>
      <c r="D398" s="7" t="inlineStr">
        <is>
          <t>515 B.C.E., Adar 3 (March 6)</t>
        </is>
      </c>
      <c r="E398" s="7" t="inlineStr">
        <is>
          <t>பொ.ச.மு. 515</t>
        </is>
      </c>
      <c r="F398" s="7" t="inlineStr">
        <is>
          <t>515 BCE</t>
        </is>
      </c>
      <c r="G398" s="7" t="inlineStr">
        <is>
          <t>Exact</t>
        </is>
      </c>
      <c r="H398" s="7" t="n"/>
      <c r="I398" s="7" t="n"/>
      <c r="J398" s="7" t="n"/>
      <c r="K398" s="2" t="inlineStr">
        <is>
          <t>Zerubbabel completes the second temple</t>
        </is>
      </c>
      <c r="L398" s="2" t="inlineStr">
        <is>
          <t>செருபாபேல் இரண்டாவது ஆலயத்தைக் கட்டி முடிக்கிறார்</t>
        </is>
      </c>
      <c r="M398" s="7" t="inlineStr">
        <is>
          <t>The rebuilt temple was completed on the third day of Adar in the sixth year of Darius, about March 6, 515 B.C.E., some 20 years after the foundation was laid.</t>
        </is>
      </c>
      <c r="N398" s="7" t="n"/>
      <c r="O398" s="8" t="inlineStr">
        <is>
          <t>Bible</t>
        </is>
      </c>
      <c r="P398" s="7" t="inlineStr">
        <is>
          <t>bible.temple</t>
        </is>
      </c>
      <c r="Q398" s="7" t="inlineStr">
        <is>
          <t>construction</t>
        </is>
      </c>
      <c r="R398" s="7" t="inlineStr">
        <is>
          <t>Zerubbabel; Darius I; Haggai; Zechariah</t>
        </is>
      </c>
      <c r="S398" s="7" t="inlineStr">
        <is>
          <t>Jerusalem</t>
        </is>
      </c>
      <c r="T398" s="7" t="inlineStr">
        <is>
          <t>Ezra 6:14, 15</t>
        </is>
      </c>
      <c r="U398" s="7" t="inlineStr">
        <is>
          <t>எஸ்றா 6:14, 15</t>
        </is>
      </c>
      <c r="V398" s="7" t="n">
        <v>5</v>
      </c>
      <c r="W398" s="7" t="inlineStr">
        <is>
          <t>Study Number 3—Measuring Events in the Stream of Time</t>
        </is>
      </c>
      <c r="X398" s="9" t="inlineStr">
        <is>
          <t>open</t>
        </is>
      </c>
      <c r="Y398" s="9" t="inlineStr">
        <is>
          <t>open</t>
        </is>
      </c>
      <c r="Z398" s="7" t="inlineStr">
        <is>
          <t>https://wol.jw.org/en/wol/d/r1/lp-e/1101990130
https://wol.jw.org/en/wol/d/r1/lp-e/1200000970
https://wol.jw.org/en/wol/d/r1/lp-e/1200004359
https://wol.jw.org/en/wol/d/r1/lp-e/1200001124
https://wol.jw.org/en/wol/d/r1/lp-e/1101990076</t>
        </is>
      </c>
      <c r="AA398" s="7" t="n">
        <v>0</v>
      </c>
      <c r="AB398" s="7" t="n"/>
      <c r="AC398" s="7" t="n">
        <v>0</v>
      </c>
      <c r="AD398" s="7" t="n"/>
      <c r="AE398" s="7" t="n"/>
      <c r="AF398" s="7" t="n"/>
      <c r="AG398" s="7" t="n"/>
      <c r="AH398" s="7" t="n"/>
      <c r="AI398" s="7" t="inlineStr">
        <is>
          <t>Span endpoint – keep</t>
        </is>
      </c>
      <c r="AJ398" s="7" t="inlineStr">
        <is>
          <t>end of Rebuilding of the temple under Zerubbabel (b12-0028)</t>
        </is>
      </c>
      <c r="AK398" s="7" t="n"/>
      <c r="AL398" s="7" t="n"/>
      <c r="AM398" s="7" t="n">
        <v>-514.8200000000001</v>
      </c>
      <c r="AN398" s="10" t="n"/>
      <c r="AO398" s="10" t="n"/>
      <c r="AP398" s="10" t="n"/>
      <c r="AQ398" s="10" t="n"/>
    </row>
    <row r="399">
      <c r="A399" s="7" t="inlineStr">
        <is>
          <t>b4-0048</t>
        </is>
      </c>
      <c r="B399" s="7" t="inlineStr">
        <is>
          <t>Point</t>
        </is>
      </c>
      <c r="C399" s="7" t="n"/>
      <c r="D399" s="7" t="inlineStr">
        <is>
          <t>515 B.C.E.</t>
        </is>
      </c>
      <c r="E399" s="7" t="n"/>
      <c r="F399" s="7" t="inlineStr">
        <is>
          <t>515 BCE</t>
        </is>
      </c>
      <c r="G399" s="7" t="inlineStr">
        <is>
          <t>Exact</t>
        </is>
      </c>
      <c r="H399" s="7" t="n"/>
      <c r="I399" s="7" t="n"/>
      <c r="J399" s="7" t="n"/>
      <c r="K399" s="2" t="inlineStr">
        <is>
          <t>Rebuilt temple inaugurated; Passover held</t>
        </is>
      </c>
      <c r="L399" s="2" t="inlineStr">
        <is>
          <t>செருபாபேல் இரண்டாவது ஆலயத்தைக் கட்டி முடிக்கிறார்</t>
        </is>
      </c>
      <c r="M399" s="7" t="inlineStr">
        <is>
          <t>After completing the temple, the Jews inaugurated it with joy and then held the Passover and the Festival of Unfermented Cakes.</t>
        </is>
      </c>
      <c r="N399" s="7" t="n"/>
      <c r="O399" s="8" t="inlineStr">
        <is>
          <t>Bible</t>
        </is>
      </c>
      <c r="P399" s="7" t="inlineStr">
        <is>
          <t>bible.temple</t>
        </is>
      </c>
      <c r="Q399" s="7" t="inlineStr">
        <is>
          <t>dedication</t>
        </is>
      </c>
      <c r="R399" s="7" t="n"/>
      <c r="S399" s="7" t="inlineStr">
        <is>
          <t>Jerusalem</t>
        </is>
      </c>
      <c r="T399" s="7" t="inlineStr">
        <is>
          <t>Ezra 6:16-22</t>
        </is>
      </c>
      <c r="U399" s="7" t="n"/>
      <c r="V399" s="7" t="n">
        <v>2</v>
      </c>
      <c r="W399" s="7" t="inlineStr">
        <is>
          <t>Temple</t>
        </is>
      </c>
      <c r="X399" s="9" t="inlineStr">
        <is>
          <t>open</t>
        </is>
      </c>
      <c r="Y399" s="7" t="n"/>
      <c r="Z399" s="7" t="inlineStr">
        <is>
          <t>https://wol.jw.org/en/wol/d/r1/lp-e/1200004359
https://wol.jw.org/en/wol/d/r1/lp-e/1200001476</t>
        </is>
      </c>
      <c r="AA399" s="7" t="n">
        <v>0</v>
      </c>
      <c r="AB399" s="7" t="n"/>
      <c r="AC399" s="7" t="n">
        <v>0</v>
      </c>
      <c r="AD399" s="7" t="n"/>
      <c r="AE399" s="7" t="n"/>
      <c r="AF399" s="7" t="n"/>
      <c r="AG399" s="7" t="n"/>
      <c r="AH399" s="7" t="n"/>
      <c r="AI399" s="7" t="n"/>
      <c r="AJ399" s="7" t="n"/>
      <c r="AK399" s="7" t="n"/>
      <c r="AL399" s="7" t="inlineStr">
        <is>
          <t>[title_ta from owner's Tamil sheet]</t>
        </is>
      </c>
      <c r="AM399" s="7" t="n">
        <v>-514.75</v>
      </c>
      <c r="AN399" s="10" t="n"/>
      <c r="AO399" s="10" t="n"/>
      <c r="AP399" s="10" t="n"/>
      <c r="AQ399" s="10" t="n"/>
    </row>
    <row r="400">
      <c r="A400" s="7" t="inlineStr">
        <is>
          <t>b4-0049</t>
        </is>
      </c>
      <c r="B400" s="7" t="inlineStr">
        <is>
          <t>Point</t>
        </is>
      </c>
      <c r="C400" s="7" t="n"/>
      <c r="D400" s="7" t="inlineStr">
        <is>
          <t>513 B.C.E.</t>
        </is>
      </c>
      <c r="E400" s="7" t="inlineStr">
        <is>
          <t>பொ.ச.மு. 513</t>
        </is>
      </c>
      <c r="F400" s="7" t="inlineStr">
        <is>
          <t>513 BCE</t>
        </is>
      </c>
      <c r="G400" s="7" t="inlineStr">
        <is>
          <t>Exact</t>
        </is>
      </c>
      <c r="H400" s="7" t="n"/>
      <c r="I400" s="7" t="n"/>
      <c r="J400" s="7" t="n"/>
      <c r="K400" s="2" t="inlineStr">
        <is>
          <t>Darius I invades Thrace</t>
        </is>
      </c>
      <c r="L400" s="2" t="n"/>
      <c r="M400" s="7" t="inlineStr">
        <is>
          <t>Darius I moved westward across the Bosporus and invaded the European territory of Thrace.</t>
        </is>
      </c>
      <c r="N400" s="7" t="inlineStr">
        <is>
          <t>இவர் பொ.ச.மு. 513-ல் பாஸ்பெரஸ் ஜலசந்தியைக் கடந்து மேற்கே சென்று, ஐரோப்பிய பகுதியான த்ரேஸ் மீது படையெடுத்தார்.</t>
        </is>
      </c>
      <c r="O400" s="8" t="inlineStr">
        <is>
          <t>Bible</t>
        </is>
      </c>
      <c r="P400" s="7" t="inlineStr">
        <is>
          <t>bible.exile_return</t>
        </is>
      </c>
      <c r="Q400" s="7" t="inlineStr">
        <is>
          <t>battle</t>
        </is>
      </c>
      <c r="R400" s="7" t="inlineStr">
        <is>
          <t>Darius I</t>
        </is>
      </c>
      <c r="S400" s="7" t="inlineStr">
        <is>
          <t>Thrace; Byzantium</t>
        </is>
      </c>
      <c r="T400" s="7" t="n"/>
      <c r="U400" s="7" t="n"/>
      <c r="V400" s="7" t="n">
        <v>1</v>
      </c>
      <c r="W400" s="7" t="inlineStr">
        <is>
          <t>Who Can Stand Against the Prince of Princes?</t>
        </is>
      </c>
      <c r="X400" s="9" t="inlineStr">
        <is>
          <t>open</t>
        </is>
      </c>
      <c r="Y400" s="9" t="inlineStr">
        <is>
          <t>open</t>
        </is>
      </c>
      <c r="Z400" s="7" t="inlineStr">
        <is>
          <t>https://wol.jw.org/en/wol/d/r1/lp-e/1101999029</t>
        </is>
      </c>
      <c r="AA400" s="7" t="n">
        <v>0</v>
      </c>
      <c r="AB400" s="7" t="n"/>
      <c r="AC400" s="7" t="n">
        <v>0</v>
      </c>
      <c r="AD400" s="7" t="n"/>
      <c r="AE400" s="7" t="n"/>
      <c r="AF400" s="7" t="n"/>
      <c r="AG400" s="7" t="n"/>
      <c r="AH400" s="7" t="n"/>
      <c r="AI400" s="7" t="n"/>
      <c r="AJ400" s="7" t="n"/>
      <c r="AK400" s="7" t="n"/>
      <c r="AL400" s="7" t="n"/>
      <c r="AM400" s="7" t="n">
        <v>-513</v>
      </c>
      <c r="AN400" s="10" t="n"/>
      <c r="AO400" s="10" t="n"/>
      <c r="AP400" s="10" t="n"/>
      <c r="AQ400" s="10" t="n"/>
    </row>
    <row r="401">
      <c r="A401" s="7" t="inlineStr">
        <is>
          <t>b4-0050</t>
        </is>
      </c>
      <c r="B401" s="7" t="inlineStr">
        <is>
          <t>Point</t>
        </is>
      </c>
      <c r="C401" s="7" t="n"/>
      <c r="D401" s="7" t="inlineStr">
        <is>
          <t>508 B.C.E.</t>
        </is>
      </c>
      <c r="E401" s="7" t="inlineStr">
        <is>
          <t>பொ.ச.மு. 508</t>
        </is>
      </c>
      <c r="F401" s="7" t="inlineStr">
        <is>
          <t>508 BCE</t>
        </is>
      </c>
      <c r="G401" s="7" t="inlineStr">
        <is>
          <t>Exact</t>
        </is>
      </c>
      <c r="H401" s="7" t="n"/>
      <c r="I401" s="7" t="n"/>
      <c r="J401" s="7" t="n"/>
      <c r="K401" s="2" t="inlineStr">
        <is>
          <t>Darius I subdues Thrace</t>
        </is>
      </c>
      <c r="L401" s="2" t="n"/>
      <c r="M401" s="7" t="inlineStr">
        <is>
          <t>Darius I subdued Thrace in 508 B.C.E.</t>
        </is>
      </c>
      <c r="N401" s="7" t="inlineStr">
        <is>
          <t>பொ.ச.மு. 508-ல் த்ரேஸையும் அதன்பின் பொ.ச.மு. 496-ல் மக்கெதோனியாவையும் அவர் கைப்பற்றினார்.</t>
        </is>
      </c>
      <c r="O401" s="8" t="inlineStr">
        <is>
          <t>Bible</t>
        </is>
      </c>
      <c r="P401" s="7" t="inlineStr">
        <is>
          <t>bible.exile_return</t>
        </is>
      </c>
      <c r="Q401" s="7" t="inlineStr">
        <is>
          <t>battle</t>
        </is>
      </c>
      <c r="R401" s="7" t="inlineStr">
        <is>
          <t>Darius I</t>
        </is>
      </c>
      <c r="S401" s="7" t="inlineStr">
        <is>
          <t>Thrace</t>
        </is>
      </c>
      <c r="T401" s="7" t="n"/>
      <c r="U401" s="7" t="n"/>
      <c r="V401" s="7" t="n">
        <v>1</v>
      </c>
      <c r="W401" s="7" t="inlineStr">
        <is>
          <t>Who Can Stand Against the Prince of Princes?</t>
        </is>
      </c>
      <c r="X401" s="9" t="inlineStr">
        <is>
          <t>open</t>
        </is>
      </c>
      <c r="Y401" s="9" t="inlineStr">
        <is>
          <t>open</t>
        </is>
      </c>
      <c r="Z401" s="7" t="inlineStr">
        <is>
          <t>https://wol.jw.org/en/wol/d/r1/lp-e/1101999029</t>
        </is>
      </c>
      <c r="AA401" s="7" t="n">
        <v>0</v>
      </c>
      <c r="AB401" s="7" t="n"/>
      <c r="AC401" s="7" t="n">
        <v>0</v>
      </c>
      <c r="AD401" s="7" t="n"/>
      <c r="AE401" s="7" t="n"/>
      <c r="AF401" s="7" t="n"/>
      <c r="AG401" s="7" t="n"/>
      <c r="AH401" s="7" t="n"/>
      <c r="AI401" s="7" t="n"/>
      <c r="AJ401" s="7" t="n"/>
      <c r="AK401" s="7" t="n"/>
      <c r="AL401" s="7" t="n"/>
      <c r="AM401" s="7" t="n">
        <v>-508</v>
      </c>
      <c r="AN401" s="10" t="n"/>
      <c r="AO401" s="10" t="n"/>
      <c r="AP401" s="10" t="n"/>
      <c r="AQ401" s="10" t="n"/>
    </row>
    <row r="402">
      <c r="A402" s="7" t="inlineStr">
        <is>
          <t>b4-0051</t>
        </is>
      </c>
      <c r="B402" s="7" t="inlineStr">
        <is>
          <t>Point</t>
        </is>
      </c>
      <c r="C402" s="7" t="n"/>
      <c r="D402" s="7" t="inlineStr">
        <is>
          <t>499 B.C.E.</t>
        </is>
      </c>
      <c r="E402" s="7" t="n"/>
      <c r="F402" s="7" t="inlineStr">
        <is>
          <t>499 BCE</t>
        </is>
      </c>
      <c r="G402" s="7" t="inlineStr">
        <is>
          <t>Exact</t>
        </is>
      </c>
      <c r="H402" s="7" t="n"/>
      <c r="I402" s="7" t="n"/>
      <c r="J402" s="7" t="n"/>
      <c r="K402" s="2" t="inlineStr">
        <is>
          <t>Darius I puts down revolt of Greek colonies</t>
        </is>
      </c>
      <c r="L402" s="2" t="n"/>
      <c r="M402" s="7" t="inlineStr">
        <is>
          <t>The third Persian king, Darius Hystaspis, put down a revolt of Greek colonies and prepared to invade Greece.</t>
        </is>
      </c>
      <c r="N402" s="7" t="n"/>
      <c r="O402" s="8" t="inlineStr">
        <is>
          <t>Bible</t>
        </is>
      </c>
      <c r="P402" s="7" t="inlineStr">
        <is>
          <t>bible.prophecy_fulfilled</t>
        </is>
      </c>
      <c r="Q402" s="7" t="inlineStr">
        <is>
          <t>battle</t>
        </is>
      </c>
      <c r="R402" s="7" t="inlineStr">
        <is>
          <t>Darius I</t>
        </is>
      </c>
      <c r="S402" s="7" t="inlineStr">
        <is>
          <t>Asia Minor; Greece</t>
        </is>
      </c>
      <c r="T402" s="7" t="inlineStr">
        <is>
          <t>Dan. 11:2</t>
        </is>
      </c>
      <c r="U402" s="7" t="n"/>
      <c r="V402" s="7" t="n">
        <v>1</v>
      </c>
      <c r="W402" s="7" t="inlineStr">
        <is>
          <t>Greece, Greeks</t>
        </is>
      </c>
      <c r="X402" s="9" t="inlineStr">
        <is>
          <t>open</t>
        </is>
      </c>
      <c r="Y402" s="7" t="n"/>
      <c r="Z402" s="7" t="inlineStr">
        <is>
          <t>https://wol.jw.org/en/wol/d/r1/lp-e/1200001765</t>
        </is>
      </c>
      <c r="AA402" s="7" t="n">
        <v>0</v>
      </c>
      <c r="AB402" s="7" t="n"/>
      <c r="AC402" s="7" t="n">
        <v>0</v>
      </c>
      <c r="AD402" s="7" t="n"/>
      <c r="AE402" s="7" t="n"/>
      <c r="AF402" s="7" t="n"/>
      <c r="AG402" s="7" t="n"/>
      <c r="AH402" s="7" t="n"/>
      <c r="AI402" s="7" t="n"/>
      <c r="AJ402" s="7" t="n"/>
      <c r="AK402" s="7" t="inlineStr">
        <is>
          <t>kings-north-and-south #2 (step)</t>
        </is>
      </c>
      <c r="AL402" s="7" t="n"/>
      <c r="AM402" s="7" t="n">
        <v>-499</v>
      </c>
      <c r="AN402" s="10" t="n"/>
      <c r="AO402" s="10" t="n"/>
      <c r="AP402" s="10" t="n"/>
      <c r="AQ402" s="10" t="n"/>
    </row>
    <row r="403">
      <c r="A403" s="7" t="inlineStr">
        <is>
          <t>b4-0052</t>
        </is>
      </c>
      <c r="B403" s="7" t="inlineStr">
        <is>
          <t>Point</t>
        </is>
      </c>
      <c r="C403" s="7" t="n"/>
      <c r="D403" s="7" t="inlineStr">
        <is>
          <t>496 B.C.E.</t>
        </is>
      </c>
      <c r="E403" s="7" t="n"/>
      <c r="F403" s="7" t="inlineStr">
        <is>
          <t>496 BCE</t>
        </is>
      </c>
      <c r="G403" s="7" t="inlineStr">
        <is>
          <t>Exact</t>
        </is>
      </c>
      <c r="H403" s="7" t="n"/>
      <c r="I403" s="7" t="n"/>
      <c r="J403" s="7" t="n"/>
      <c r="K403" s="2" t="inlineStr">
        <is>
          <t>Xerxes becomes coregent with Darius</t>
        </is>
      </c>
      <c r="L403" s="2" t="n"/>
      <c r="M403" s="7" t="inlineStr">
        <is>
          <t>Evidence from Babylon, including a palace for Xerxes completed in 496 B.C.E., indicates Xerxes began a coregency with his father Darius; his accession year was 496 and his first regnal year 495 B.C.E.</t>
        </is>
      </c>
      <c r="N403" s="7" t="n"/>
      <c r="O403" s="8" t="inlineStr">
        <is>
          <t>Bible</t>
        </is>
      </c>
      <c r="P403" s="7" t="inlineStr">
        <is>
          <t>bible.exile_return</t>
        </is>
      </c>
      <c r="Q403" s="7" t="inlineStr">
        <is>
          <t>accession</t>
        </is>
      </c>
      <c r="R403" s="7" t="inlineStr">
        <is>
          <t>Xerxes I; Darius I</t>
        </is>
      </c>
      <c r="S403" s="7" t="inlineStr">
        <is>
          <t>Babylon</t>
        </is>
      </c>
      <c r="T403" s="7" t="inlineStr">
        <is>
          <t>Esther 1:3</t>
        </is>
      </c>
      <c r="U403" s="7" t="n"/>
      <c r="V403" s="7" t="n">
        <v>2</v>
      </c>
      <c r="W403" s="7" t="inlineStr">
        <is>
          <t>Ahasuerus</t>
        </is>
      </c>
      <c r="X403" s="9" t="inlineStr">
        <is>
          <t>open</t>
        </is>
      </c>
      <c r="Y403" s="7" t="n"/>
      <c r="Z403" s="7" t="inlineStr">
        <is>
          <t>https://wol.jw.org/en/wol/d/r1/lp-e/1200000142
https://wol.jw.org/en/wol/d/r1/lp-e/1200003447</t>
        </is>
      </c>
      <c r="AA403" s="7" t="n">
        <v>0</v>
      </c>
      <c r="AB403" s="7" t="n"/>
      <c r="AC403" s="7" t="n">
        <v>1</v>
      </c>
      <c r="AD403" s="7" t="inlineStr">
        <is>
          <t>Insight notes Xerxes' rule is customarily counted from 486 B.C.E. (Darius' death); jw.org holds a coregency from 496.</t>
        </is>
      </c>
      <c r="AE403" s="7" t="n"/>
      <c r="AF403" s="7" t="n"/>
      <c r="AG403" s="7" t="n"/>
      <c r="AH403" s="7" t="n"/>
      <c r="AI403" s="7" t="n"/>
      <c r="AJ403" s="7" t="n"/>
      <c r="AK403" s="7" t="n"/>
      <c r="AL403" s="7" t="n"/>
      <c r="AM403" s="7" t="n">
        <v>-496.2</v>
      </c>
      <c r="AN403" s="10" t="n"/>
      <c r="AO403" s="10" t="n"/>
      <c r="AP403" s="10" t="n"/>
      <c r="AQ403" s="10" t="n"/>
    </row>
    <row r="404">
      <c r="A404" s="7" t="inlineStr">
        <is>
          <t>b4-0053</t>
        </is>
      </c>
      <c r="B404" s="7" t="inlineStr">
        <is>
          <t>Point</t>
        </is>
      </c>
      <c r="C404" s="7" t="n"/>
      <c r="D404" s="7" t="inlineStr">
        <is>
          <t>496 B.C.E.</t>
        </is>
      </c>
      <c r="E404" s="7" t="inlineStr">
        <is>
          <t>பொ.ச.மு. 496</t>
        </is>
      </c>
      <c r="F404" s="7" t="inlineStr">
        <is>
          <t>496 BCE</t>
        </is>
      </c>
      <c r="G404" s="7" t="inlineStr">
        <is>
          <t>Exact</t>
        </is>
      </c>
      <c r="H404" s="7" t="n"/>
      <c r="I404" s="7" t="n"/>
      <c r="J404" s="7" t="n"/>
      <c r="K404" s="2" t="inlineStr">
        <is>
          <t>Darius I conquers Macedonia</t>
        </is>
      </c>
      <c r="L404" s="2" t="n"/>
      <c r="M404" s="7" t="inlineStr">
        <is>
          <t>Darius I conquered Macedonia in 496 B.C.E.</t>
        </is>
      </c>
      <c r="N404" s="7" t="inlineStr">
        <is>
          <t>பொ.ச.மு. 508-ல் த்ரேஸையும் அதன்பின் பொ.ச.மு. 496-ல் மக்கெதோனியாவையும் அவர் கைப்பற்றினார்.</t>
        </is>
      </c>
      <c r="O404" s="8" t="inlineStr">
        <is>
          <t>Bible</t>
        </is>
      </c>
      <c r="P404" s="7" t="inlineStr">
        <is>
          <t>bible.exile_return</t>
        </is>
      </c>
      <c r="Q404" s="7" t="inlineStr">
        <is>
          <t>battle</t>
        </is>
      </c>
      <c r="R404" s="7" t="inlineStr">
        <is>
          <t>Darius I</t>
        </is>
      </c>
      <c r="S404" s="7" t="inlineStr">
        <is>
          <t>Macedonia</t>
        </is>
      </c>
      <c r="T404" s="7" t="n"/>
      <c r="U404" s="7" t="n"/>
      <c r="V404" s="7" t="n">
        <v>1</v>
      </c>
      <c r="W404" s="7" t="inlineStr">
        <is>
          <t>Who Can Stand Against the Prince of Princes?</t>
        </is>
      </c>
      <c r="X404" s="9" t="inlineStr">
        <is>
          <t>open</t>
        </is>
      </c>
      <c r="Y404" s="9" t="inlineStr">
        <is>
          <t>open</t>
        </is>
      </c>
      <c r="Z404" s="7" t="inlineStr">
        <is>
          <t>https://wol.jw.org/en/wol/d/r1/lp-e/1101999029</t>
        </is>
      </c>
      <c r="AA404" s="7" t="n">
        <v>0</v>
      </c>
      <c r="AB404" s="7" t="n"/>
      <c r="AC404" s="7" t="n">
        <v>0</v>
      </c>
      <c r="AD404" s="7" t="n"/>
      <c r="AE404" s="7" t="n"/>
      <c r="AF404" s="7" t="n"/>
      <c r="AG404" s="7" t="n"/>
      <c r="AH404" s="7" t="n"/>
      <c r="AI404" s="7" t="n"/>
      <c r="AJ404" s="7" t="n"/>
      <c r="AK404" s="7" t="n"/>
      <c r="AL404" s="7" t="n"/>
      <c r="AM404" s="7" t="n">
        <v>-496.1</v>
      </c>
      <c r="AN404" s="10" t="n"/>
      <c r="AO404" s="10" t="n"/>
      <c r="AP404" s="10" t="n"/>
      <c r="AQ404" s="10" t="n"/>
    </row>
    <row r="405">
      <c r="A405" s="7" t="inlineStr">
        <is>
          <t>b4-0054</t>
        </is>
      </c>
      <c r="B405" s="7" t="inlineStr">
        <is>
          <t>Point</t>
        </is>
      </c>
      <c r="C405" s="7" t="n"/>
      <c r="D405" s="7" t="inlineStr">
        <is>
          <t>493 B.C.E. (third year of Ahasuerus)</t>
        </is>
      </c>
      <c r="E405" s="7" t="inlineStr">
        <is>
          <t>பொ.ச.மு. 493</t>
        </is>
      </c>
      <c r="F405" s="7" t="inlineStr">
        <is>
          <t>493 BCE</t>
        </is>
      </c>
      <c r="G405" s="7" t="inlineStr">
        <is>
          <t>Exact</t>
        </is>
      </c>
      <c r="H405" s="7" t="n"/>
      <c r="I405" s="7" t="n"/>
      <c r="J405" s="7" t="n"/>
      <c r="K405" s="2" t="inlineStr">
        <is>
          <t>Ahasuerus' banquet; Queen Vashti deposed</t>
        </is>
      </c>
      <c r="L405" s="2" t="inlineStr">
        <is>
          <t>ராணி குறுக்கிட்டே ஆக வேண்டும்</t>
        </is>
      </c>
      <c r="M405" s="7" t="inlineStr">
        <is>
          <t>In his third regnal year, King Ahasuerus (Xerxes I) held a royal banquet; Queen Vashti refused to appear at his command and was deprived of her rank.</t>
        </is>
      </c>
      <c r="N405" s="7" t="inlineStr">
        <is>
          <t>அகாஸ்வேரு ராஜா தன்னுடைய ஆட்சியின் மூன்றாம் வருடத்தில் (பொ.ச.மு. 493-ல்) ஒரு ராஜ விருந்து வைக்கிறார்.</t>
        </is>
      </c>
      <c r="O405" s="8" t="inlineStr">
        <is>
          <t>Bible</t>
        </is>
      </c>
      <c r="P405" s="7" t="inlineStr">
        <is>
          <t>bible.exile_return</t>
        </is>
      </c>
      <c r="Q405" s="7" t="inlineStr">
        <is>
          <t>banquet</t>
        </is>
      </c>
      <c r="R405" s="7" t="inlineStr">
        <is>
          <t>Ahasuerus; Vashti</t>
        </is>
      </c>
      <c r="S405" s="7" t="inlineStr">
        <is>
          <t>Shushan</t>
        </is>
      </c>
      <c r="T405" s="7" t="inlineStr">
        <is>
          <t>Esther 1:3, 10-12, 19-21</t>
        </is>
      </c>
      <c r="U405" s="7" t="n"/>
      <c r="V405" s="7" t="n">
        <v>4</v>
      </c>
      <c r="W405" s="7" t="inlineStr">
        <is>
          <t>Highlights From the Book of Esther</t>
        </is>
      </c>
      <c r="X405" s="9" t="inlineStr">
        <is>
          <t>open</t>
        </is>
      </c>
      <c r="Y405" s="9" t="inlineStr">
        <is>
          <t>open</t>
        </is>
      </c>
      <c r="Z405" s="7" t="inlineStr">
        <is>
          <t>https://wol.jw.org/en/wol/d/r1/lp-e/2006162
https://wol.jw.org/en/wol/d/r1/lp-e/1200001431
https://wol.jw.org/en/wol/d/r1/lp-e/1200000142
https://wol.jw.org/en/wol/d/r1/lp-e/1101990078</t>
        </is>
      </c>
      <c r="AA405" s="7" t="n">
        <v>0</v>
      </c>
      <c r="AB405" s="7" t="n"/>
      <c r="AC405" s="7" t="n">
        <v>1</v>
      </c>
      <c r="AD405" s="7" t="inlineStr">
        <is>
          <t>The Watchtower 1986 3/15 says 'About 484 B.C.E.' for the banquet; the newer w06 and Insight (coregency reckoning) give 493. Newer value used.</t>
        </is>
      </c>
      <c r="AE405" s="7" t="n"/>
      <c r="AF405" s="7" t="n"/>
      <c r="AG405" s="7" t="n"/>
      <c r="AH405" s="7" t="n"/>
      <c r="AI405" s="7" t="n"/>
      <c r="AJ405" s="7" t="n"/>
      <c r="AK405" s="7" t="n"/>
      <c r="AL405" s="7" t="inlineStr">
        <is>
          <t>title_ta is the w06 Tamil section heading covering Esther 1:1-5:14, not a translation of title_en.</t>
        </is>
      </c>
      <c r="AM405" s="7" t="n">
        <v>-493</v>
      </c>
      <c r="AN405" s="10" t="n"/>
      <c r="AO405" s="10" t="n"/>
      <c r="AP405" s="10" t="n"/>
      <c r="AQ405" s="10" t="n"/>
    </row>
    <row r="406">
      <c r="A406" s="7" t="inlineStr">
        <is>
          <t>b4-0055</t>
        </is>
      </c>
      <c r="B406" s="7" t="inlineStr">
        <is>
          <t>Point</t>
        </is>
      </c>
      <c r="C406" s="7" t="n"/>
      <c r="D406" s="7" t="inlineStr">
        <is>
          <t>492 B.C.E.</t>
        </is>
      </c>
      <c r="E406" s="7" t="n"/>
      <c r="F406" s="7" t="inlineStr">
        <is>
          <t>492 BCE</t>
        </is>
      </c>
      <c r="G406" s="7" t="inlineStr">
        <is>
          <t>Exact</t>
        </is>
      </c>
      <c r="H406" s="7" t="n"/>
      <c r="I406" s="7" t="n"/>
      <c r="J406" s="7" t="n"/>
      <c r="K406" s="2" t="inlineStr">
        <is>
          <t>Persian invasion fleet wrecked by storm</t>
        </is>
      </c>
      <c r="L406" s="2" t="n"/>
      <c r="M406" s="7" t="inlineStr">
        <is>
          <t>The Persian fleet sent to invade Greece was wrecked by a storm.</t>
        </is>
      </c>
      <c r="N406" s="7" t="n"/>
      <c r="O406" s="8" t="inlineStr">
        <is>
          <t>Bible</t>
        </is>
      </c>
      <c r="P406" s="7" t="inlineStr">
        <is>
          <t>bible.exile_return</t>
        </is>
      </c>
      <c r="Q406" s="7" t="inlineStr">
        <is>
          <t>battle</t>
        </is>
      </c>
      <c r="R406" s="7" t="n"/>
      <c r="S406" s="7" t="inlineStr">
        <is>
          <t>Greece</t>
        </is>
      </c>
      <c r="T406" s="7" t="n"/>
      <c r="U406" s="7" t="n"/>
      <c r="V406" s="7" t="n">
        <v>1</v>
      </c>
      <c r="W406" s="7" t="inlineStr">
        <is>
          <t>Greece, Greeks</t>
        </is>
      </c>
      <c r="X406" s="9" t="inlineStr">
        <is>
          <t>open</t>
        </is>
      </c>
      <c r="Y406" s="7" t="n"/>
      <c r="Z406" s="7" t="inlineStr">
        <is>
          <t>https://wol.jw.org/en/wol/d/r1/lp-e/1200001765</t>
        </is>
      </c>
      <c r="AA406" s="7" t="n">
        <v>0</v>
      </c>
      <c r="AB406" s="7" t="n"/>
      <c r="AC406" s="7" t="n">
        <v>0</v>
      </c>
      <c r="AD406" s="7" t="n"/>
      <c r="AE406" s="7" t="n"/>
      <c r="AF406" s="7" t="n"/>
      <c r="AG406" s="7" t="n"/>
      <c r="AH406" s="7" t="n"/>
      <c r="AI406" s="7" t="n"/>
      <c r="AJ406" s="7" t="n"/>
      <c r="AK406" s="7" t="n"/>
      <c r="AL406" s="7" t="n"/>
      <c r="AM406" s="7" t="n">
        <v>-492</v>
      </c>
      <c r="AN406" s="10" t="n"/>
      <c r="AO406" s="10" t="n"/>
      <c r="AP406" s="10" t="n"/>
      <c r="AQ406" s="10" t="n"/>
    </row>
    <row r="407">
      <c r="A407" s="7" t="inlineStr">
        <is>
          <t>b4-0056</t>
        </is>
      </c>
      <c r="B407" s="7" t="inlineStr">
        <is>
          <t>Point</t>
        </is>
      </c>
      <c r="C407" s="7" t="n"/>
      <c r="D407" s="7" t="inlineStr">
        <is>
          <t>490 B.C.E.</t>
        </is>
      </c>
      <c r="E407" s="7" t="inlineStr">
        <is>
          <t>பொ.ச.மு. 490</t>
        </is>
      </c>
      <c r="F407" s="7" t="inlineStr">
        <is>
          <t>490 BCE</t>
        </is>
      </c>
      <c r="G407" s="7" t="inlineStr">
        <is>
          <t>Exact</t>
        </is>
      </c>
      <c r="H407" s="7" t="n"/>
      <c r="I407" s="7" t="n"/>
      <c r="J407" s="7" t="n"/>
      <c r="K407" s="2" t="inlineStr">
        <is>
          <t>Persians defeated at Marathon</t>
        </is>
      </c>
      <c r="L407" s="2" t="n"/>
      <c r="M407" s="7" t="inlineStr">
        <is>
          <t>Darius' second attempt to invade Greece ended in the defeat of his forces at the battle of Marathon.</t>
        </is>
      </c>
      <c r="N407" s="7" t="inlineStr">
        <is>
          <t>பொ.ச.மு. 490-ல், மூன்றாம் ராஜாவான முதலாம் தரியு இரண்டாம் முறையாக கிரீஸ்மீது படையெடுக்க முற்பட்டார்.</t>
        </is>
      </c>
      <c r="O407" s="8" t="inlineStr">
        <is>
          <t>Bible</t>
        </is>
      </c>
      <c r="P407" s="7" t="inlineStr">
        <is>
          <t>bible.exile_return</t>
        </is>
      </c>
      <c r="Q407" s="7" t="inlineStr">
        <is>
          <t>battle</t>
        </is>
      </c>
      <c r="R407" s="7" t="inlineStr">
        <is>
          <t>Darius I</t>
        </is>
      </c>
      <c r="S407" s="7" t="inlineStr">
        <is>
          <t>Marathon; Greece</t>
        </is>
      </c>
      <c r="T407" s="7" t="inlineStr">
        <is>
          <t>Dan. 11:2</t>
        </is>
      </c>
      <c r="U407" s="7" t="n"/>
      <c r="V407" s="7" t="n">
        <v>3</v>
      </c>
      <c r="W407" s="7" t="inlineStr">
        <is>
          <t>Darius</t>
        </is>
      </c>
      <c r="X407" s="9" t="inlineStr">
        <is>
          <t>open</t>
        </is>
      </c>
      <c r="Y407" s="7" t="n"/>
      <c r="Z407" s="7" t="inlineStr">
        <is>
          <t>https://wol.jw.org/en/wol/d/r1/lp-e/1200001124
https://wol.jw.org/en/wol/d/r1/lp-e/1200003447
https://wol.jw.org/en/wol/d/r1/lp-e/1101999032</t>
        </is>
      </c>
      <c r="AA407" s="7" t="n">
        <v>0</v>
      </c>
      <c r="AB407" s="7" t="n"/>
      <c r="AC407" s="7" t="n">
        <v>0</v>
      </c>
      <c r="AD407" s="7" t="n"/>
      <c r="AE407" s="7" t="n"/>
      <c r="AF407" s="7" t="n"/>
      <c r="AG407" s="7" t="n"/>
      <c r="AH407" s="7" t="n"/>
      <c r="AI407" s="7" t="n"/>
      <c r="AJ407" s="7" t="n"/>
      <c r="AK407" s="7" t="inlineStr">
        <is>
          <t>kings-north-and-south #3 (step)</t>
        </is>
      </c>
      <c r="AL407" s="7" t="n"/>
      <c r="AM407" s="7" t="n">
        <v>-490</v>
      </c>
      <c r="AN407" s="10" t="n"/>
      <c r="AO407" s="10" t="n"/>
      <c r="AP407" s="10" t="n"/>
      <c r="AQ407" s="10" t="n"/>
    </row>
    <row r="408">
      <c r="A408" s="7" t="inlineStr">
        <is>
          <t>b4-0057</t>
        </is>
      </c>
      <c r="B408" s="7" t="inlineStr">
        <is>
          <t>Point</t>
        </is>
      </c>
      <c r="C408" s="7" t="n"/>
      <c r="D408" s="7" t="inlineStr">
        <is>
          <t>486 B.C.E.</t>
        </is>
      </c>
      <c r="E408" s="7" t="inlineStr">
        <is>
          <t>பொ.ச.மு. 486</t>
        </is>
      </c>
      <c r="F408" s="7" t="inlineStr">
        <is>
          <t>486 BCE</t>
        </is>
      </c>
      <c r="G408" s="7" t="inlineStr">
        <is>
          <t>Exact</t>
        </is>
      </c>
      <c r="H408" s="7" t="n"/>
      <c r="I408" s="7" t="n"/>
      <c r="J408" s="7" t="n"/>
      <c r="K408" s="2" t="inlineStr">
        <is>
          <t>Death of Darius I</t>
        </is>
      </c>
      <c r="L408" s="2" t="n"/>
      <c r="M408" s="7" t="inlineStr">
        <is>
          <t>Darius I died in 486 B.C.E. before he could carry out a further campaign against Greece; Xerxes then ruled alone.</t>
        </is>
      </c>
      <c r="N408" s="7" t="inlineStr">
        <is>
          <t>இவர்கள் ஒன்றாக சேர்ந்து 10 வருடங்களும், பொ.ச.மு. 486-ல் தரியு இறந்தபின் சஷ்டா மட்டும் மற்றொரு 11 வருடங்களும் ஆட்சி செய்திருந்தால், அர்தசஷ்டாவின் ஆட்சி துவங்கியது பொ.ச.மு. 474-ஆக இருக்கும்.</t>
        </is>
      </c>
      <c r="O408" s="8" t="inlineStr">
        <is>
          <t>Bible</t>
        </is>
      </c>
      <c r="P408" s="7" t="inlineStr">
        <is>
          <t>bible.exile_return</t>
        </is>
      </c>
      <c r="Q408" s="7" t="inlineStr">
        <is>
          <t>death</t>
        </is>
      </c>
      <c r="R408" s="7" t="inlineStr">
        <is>
          <t>Darius I; Xerxes I</t>
        </is>
      </c>
      <c r="S408" s="7" t="inlineStr">
        <is>
          <t>Persia</t>
        </is>
      </c>
      <c r="T408" s="7" t="n"/>
      <c r="U408" s="7" t="n"/>
      <c r="V408" s="7" t="n">
        <v>3</v>
      </c>
      <c r="W408" s="7" t="inlineStr">
        <is>
          <t>Darius</t>
        </is>
      </c>
      <c r="X408" s="9" t="inlineStr">
        <is>
          <t>open</t>
        </is>
      </c>
      <c r="Y408" s="7" t="n"/>
      <c r="Z408" s="7" t="inlineStr">
        <is>
          <t>https://wol.jw.org/en/wol/d/r1/lp-e/1200001124
https://wol.jw.org/en/wol/d/r1/lp-e/1200003447
https://wol.jw.org/en/wol/d/r1/lp-e/1101999030</t>
        </is>
      </c>
      <c r="AA408" s="7" t="n">
        <v>0</v>
      </c>
      <c r="AB408" s="7" t="n"/>
      <c r="AC408" s="7" t="n">
        <v>0</v>
      </c>
      <c r="AD408" s="7" t="n"/>
      <c r="AE408" s="7" t="n"/>
      <c r="AF408" s="7" t="n"/>
      <c r="AG408" s="7" t="n"/>
      <c r="AH408" s="7" t="n"/>
      <c r="AI408" s="7" t="inlineStr">
        <is>
          <t>Covered by span – hide on chart</t>
        </is>
      </c>
      <c r="AJ408" s="7" t="inlineStr">
        <is>
          <t>end of Reign of Darius I (the Great) of Persia (b12-0030); start of Reign of Xerxes I (Ahasuerus) as sole king (b12-0031)</t>
        </is>
      </c>
      <c r="AK408" s="7" t="n"/>
      <c r="AL408" s="7" t="n"/>
      <c r="AM408" s="7" t="n">
        <v>-486</v>
      </c>
      <c r="AN408" s="10" t="n"/>
      <c r="AO408" s="10" t="n"/>
      <c r="AP408" s="10" t="n"/>
      <c r="AQ408" s="10" t="n"/>
    </row>
    <row r="409">
      <c r="A409" s="7" t="inlineStr">
        <is>
          <t>b12-0031</t>
        </is>
      </c>
      <c r="B409" s="11" t="inlineStr">
        <is>
          <t>Span</t>
        </is>
      </c>
      <c r="C409" s="7" t="inlineStr">
        <is>
          <t>reign</t>
        </is>
      </c>
      <c r="D409" s="7" t="inlineStr">
        <is>
          <t>486 to 475 B.C.E.</t>
        </is>
      </c>
      <c r="E409" s="7" t="n"/>
      <c r="F409" s="7" t="inlineStr">
        <is>
          <t>486 BCE</t>
        </is>
      </c>
      <c r="G409" s="7" t="inlineStr">
        <is>
          <t>Exact</t>
        </is>
      </c>
      <c r="H409" s="7" t="inlineStr">
        <is>
          <t>475 BCE</t>
        </is>
      </c>
      <c r="I409" s="7" t="inlineStr">
        <is>
          <t>Exact</t>
        </is>
      </c>
      <c r="J409" s="7" t="inlineStr">
        <is>
          <t>11 years</t>
        </is>
      </c>
      <c r="K409" s="2" t="inlineStr">
        <is>
          <t>Reign of Xerxes I (Ahasuerus) as sole king</t>
        </is>
      </c>
      <c r="L409" s="2" t="n"/>
      <c r="M409" s="7" t="inlineStr">
        <is>
          <t>Xerxes, evidently the Ahasuerus of the book of Esther, ruled alone for 11 years after Darius’ death, having been coregent with his father from 496 B.C.E.</t>
        </is>
      </c>
      <c r="N409" s="7" t="n"/>
      <c r="O409" s="8" t="inlineStr">
        <is>
          <t>Bible</t>
        </is>
      </c>
      <c r="P409" s="7" t="inlineStr">
        <is>
          <t>bible.exile_return</t>
        </is>
      </c>
      <c r="Q409" s="7" t="n"/>
      <c r="R409" s="7" t="inlineStr">
        <is>
          <t>Xerxes; Esther; Mordecai</t>
        </is>
      </c>
      <c r="S409" s="7" t="inlineStr">
        <is>
          <t>Shushan</t>
        </is>
      </c>
      <c r="T409" s="7" t="inlineStr">
        <is>
          <t>Esther 1:1-3</t>
        </is>
      </c>
      <c r="U409" s="7" t="inlineStr">
        <is>
          <t>எஸ்தர். 1:1-3</t>
        </is>
      </c>
      <c r="V409" s="7" t="n">
        <v>1</v>
      </c>
      <c r="W409" s="7" t="inlineStr">
        <is>
          <t>Persia, Persians</t>
        </is>
      </c>
      <c r="X409" s="9" t="inlineStr">
        <is>
          <t>open</t>
        </is>
      </c>
      <c r="Y409" s="7" t="n"/>
      <c r="Z409" s="7" t="inlineStr">
        <is>
          <t>https://wol.jw.org/en/wol/d/r1/lp-e/1200003447</t>
        </is>
      </c>
      <c r="AA409" s="7" t="n">
        <v>0</v>
      </c>
      <c r="AB409" s="7" t="n"/>
      <c r="AC409" s="7" t="n">
        <v>0</v>
      </c>
      <c r="AD409" s="7" t="n"/>
      <c r="AE409" s="7" t="n"/>
      <c r="AF409" s="7" t="inlineStr">
        <is>
          <t>b4-0057</t>
        </is>
      </c>
      <c r="AG409" s="7" t="inlineStr">
        <is>
          <t>b4-0063</t>
        </is>
      </c>
      <c r="AH409" s="7" t="n"/>
      <c r="AI409" s="7" t="n"/>
      <c r="AJ409" s="7" t="n"/>
      <c r="AK409" s="7" t="inlineStr">
        <is>
          <t>rulers-of-persia #3 (ruler)</t>
        </is>
      </c>
      <c r="AL409" s="7" t="n"/>
      <c r="AM409" s="7" t="n">
        <v>-486</v>
      </c>
      <c r="AN409" s="10" t="n"/>
      <c r="AO409" s="10" t="n"/>
      <c r="AP409" s="10" t="n"/>
      <c r="AQ409" s="10" t="n"/>
    </row>
    <row r="410">
      <c r="A410" s="7" t="inlineStr">
        <is>
          <t>b4-0058</t>
        </is>
      </c>
      <c r="B410" s="11" t="inlineStr">
        <is>
          <t>Span</t>
        </is>
      </c>
      <c r="C410" s="7" t="inlineStr">
        <is>
          <t>festival</t>
        </is>
      </c>
      <c r="D410" s="7" t="inlineStr">
        <is>
          <t>Adar 13-15, after 484 B.C.E.</t>
        </is>
      </c>
      <c r="E410" s="7" t="n"/>
      <c r="F410" s="7" t="inlineStr">
        <is>
          <t>484 BCE</t>
        </is>
      </c>
      <c r="G410" s="7" t="inlineStr">
        <is>
          <t>After (a.)</t>
        </is>
      </c>
      <c r="H410" s="7" t="inlineStr">
        <is>
          <t>484 BCE</t>
        </is>
      </c>
      <c r="I410" s="7" t="inlineStr">
        <is>
          <t>After (a.)</t>
        </is>
      </c>
      <c r="J410" s="7" t="inlineStr">
        <is>
          <t>3 days</t>
        </is>
      </c>
      <c r="K410" s="2" t="inlineStr">
        <is>
          <t>Jews defeat their enemies; Festival of Purim instituted</t>
        </is>
      </c>
      <c r="L410" s="2" t="n"/>
      <c r="M410" s="7" t="inlineStr">
        <is>
          <t>On Adar 13, the day set by Haman's decree, the Jews instead struck down their enemies, resting on Adar 14 (Shushan, Adar 15). Mordecai, confirmed by Queen Esther, commanded yearly observance of Purim on Adar 14 and 15.</t>
        </is>
      </c>
      <c r="N410" s="7" t="n"/>
      <c r="O410" s="8" t="inlineStr">
        <is>
          <t>Bible</t>
        </is>
      </c>
      <c r="P410" s="7" t="inlineStr">
        <is>
          <t>bible.exile_return</t>
        </is>
      </c>
      <c r="Q410" s="7" t="inlineStr">
        <is>
          <t>festival</t>
        </is>
      </c>
      <c r="R410" s="7" t="inlineStr">
        <is>
          <t>Mordecai; Esther; Ahasuerus</t>
        </is>
      </c>
      <c r="S410" s="7" t="inlineStr">
        <is>
          <t>Shushan; Persian Empire</t>
        </is>
      </c>
      <c r="T410" s="7" t="inlineStr">
        <is>
          <t>Esther 8:3-17; Esther 9:1-32</t>
        </is>
      </c>
      <c r="U410" s="7" t="n"/>
      <c r="V410" s="7" t="n">
        <v>2</v>
      </c>
      <c r="W410" s="7" t="inlineStr">
        <is>
          <t>Purim</t>
        </is>
      </c>
      <c r="X410" s="9" t="inlineStr">
        <is>
          <t>open</t>
        </is>
      </c>
      <c r="Y410" s="7" t="n"/>
      <c r="Z410" s="7" t="inlineStr">
        <is>
          <t>https://wol.jw.org/en/wol/d/r1/lp-e/1200003588
https://wol.jw.org/en/wol/d/r1/lp-e/1200003111</t>
        </is>
      </c>
      <c r="AA410" s="7" t="n">
        <v>0</v>
      </c>
      <c r="AB410" s="7" t="n"/>
      <c r="AC410" s="7" t="n">
        <v>0</v>
      </c>
      <c r="AD410" s="7" t="n"/>
      <c r="AE410" s="7" t="n"/>
      <c r="AF410" s="7" t="n"/>
      <c r="AG410" s="7" t="n"/>
      <c r="AH410" s="7" t="n"/>
      <c r="AI410" s="7" t="n"/>
      <c r="AJ410" s="7" t="n"/>
      <c r="AK410" s="7" t="n"/>
      <c r="AL410" s="7" t="inlineStr">
        <is>
          <t>No B.C.E. year printed for Adar 13 in the sources; placed after the Nisan 13, 484 decree it answered.</t>
        </is>
      </c>
      <c r="AM410" s="7" t="n">
        <v>-483.85</v>
      </c>
      <c r="AN410" s="10" t="n"/>
      <c r="AO410" s="10" t="n"/>
      <c r="AP410" s="10" t="n"/>
      <c r="AQ410" s="10" t="n"/>
    </row>
    <row r="411">
      <c r="A411" s="7" t="inlineStr">
        <is>
          <t>b4-0059</t>
        </is>
      </c>
      <c r="B411" s="7" t="inlineStr">
        <is>
          <t>Point</t>
        </is>
      </c>
      <c r="C411" s="7" t="n"/>
      <c r="D411" s="7" t="inlineStr">
        <is>
          <t>484 B.C.E., Nisan 13 (12th year of Ahasuerus)</t>
        </is>
      </c>
      <c r="E411" s="7" t="n"/>
      <c r="F411" s="7" t="inlineStr">
        <is>
          <t>484 BCE</t>
        </is>
      </c>
      <c r="G411" s="7" t="inlineStr">
        <is>
          <t>Approx. (c.)</t>
        </is>
      </c>
      <c r="H411" s="7" t="n"/>
      <c r="I411" s="7" t="n"/>
      <c r="J411" s="7" t="n"/>
      <c r="K411" s="2" t="inlineStr">
        <is>
          <t>Haman's extermination decree issued</t>
        </is>
      </c>
      <c r="L411" s="2" t="n"/>
      <c r="M411" s="7" t="inlineStr">
        <is>
          <t>In Ahasuerus' 12th year, on Nisan 13, apparently in the spring of 484 B.C.E., the decree Haman induced the king to approve was prepared for all provinces, ordering the destruction of the Jews on Adar 13.</t>
        </is>
      </c>
      <c r="N411" s="7" t="n"/>
      <c r="O411" s="8" t="inlineStr">
        <is>
          <t>Bible</t>
        </is>
      </c>
      <c r="P411" s="7" t="inlineStr">
        <is>
          <t>bible.exile_return</t>
        </is>
      </c>
      <c r="Q411" s="7" t="inlineStr">
        <is>
          <t>decree</t>
        </is>
      </c>
      <c r="R411" s="7" t="inlineStr">
        <is>
          <t>Haman; Ahasuerus; Mordecai; Esther</t>
        </is>
      </c>
      <c r="S411" s="7" t="inlineStr">
        <is>
          <t>Shushan; Persian Empire</t>
        </is>
      </c>
      <c r="T411" s="7" t="inlineStr">
        <is>
          <t>Esther 3:7-15</t>
        </is>
      </c>
      <c r="U411" s="7" t="n"/>
      <c r="V411" s="7" t="n">
        <v>3</v>
      </c>
      <c r="W411" s="7" t="inlineStr">
        <is>
          <t>Purim</t>
        </is>
      </c>
      <c r="X411" s="9" t="inlineStr">
        <is>
          <t>open</t>
        </is>
      </c>
      <c r="Y411" s="7" t="n"/>
      <c r="Z411" s="7" t="inlineStr">
        <is>
          <t>https://wol.jw.org/en/wol/d/r1/lp-e/1200003588
https://wol.jw.org/en/wol/d/r1/lp-e/1200001430
https://wol.jw.org/en/wol/d/r1/lp-e/1200000142</t>
        </is>
      </c>
      <c r="AA411" s="7" t="n">
        <v>0</v>
      </c>
      <c r="AB411" s="7" t="n"/>
      <c r="AC411" s="7" t="n">
        <v>0</v>
      </c>
      <c r="AD411" s="7" t="n"/>
      <c r="AE411" s="7" t="n"/>
      <c r="AF411" s="7" t="n"/>
      <c r="AG411" s="7" t="n"/>
      <c r="AH411" s="7" t="n"/>
      <c r="AI411" s="7" t="n"/>
      <c r="AJ411" s="7" t="n"/>
      <c r="AK411" s="7" t="n"/>
      <c r="AL411" s="7" t="n"/>
      <c r="AM411" s="7" t="n">
        <v>-483.76</v>
      </c>
      <c r="AN411" s="10" t="n"/>
      <c r="AO411" s="10" t="n"/>
      <c r="AP411" s="10" t="n"/>
      <c r="AQ411" s="10" t="n"/>
    </row>
    <row r="412">
      <c r="A412" s="7" t="inlineStr">
        <is>
          <t>b4-0060</t>
        </is>
      </c>
      <c r="B412" s="7" t="inlineStr">
        <is>
          <t>Point</t>
        </is>
      </c>
      <c r="C412" s="7" t="n"/>
      <c r="D412" s="7" t="inlineStr">
        <is>
          <t>480 B.C.E.</t>
        </is>
      </c>
      <c r="E412" s="7" t="inlineStr">
        <is>
          <t>பொ.ச.மு. 480</t>
        </is>
      </c>
      <c r="F412" s="7" t="inlineStr">
        <is>
          <t>480 BCE</t>
        </is>
      </c>
      <c r="G412" s="7" t="inlineStr">
        <is>
          <t>Exact</t>
        </is>
      </c>
      <c r="H412" s="7" t="n"/>
      <c r="I412" s="7" t="n"/>
      <c r="J412" s="7" t="n"/>
      <c r="K412" s="2" t="inlineStr">
        <is>
          <t>Xerxes launches massive invasion of Greece</t>
        </is>
      </c>
      <c r="L412" s="2" t="n"/>
      <c r="M412" s="7" t="inlineStr">
        <is>
          <t>As the foretold fourth Persian king who would 'rouse up everything against the kingdom of Greece,' Xerxes crossed the Hellespont with huge forces.</t>
        </is>
      </c>
      <c r="N412" s="7" t="inlineStr">
        <is>
          <t>7 முழு வெற்றி பெற வேண்டுமென்ற குறிக்கோளோடு, முதலாம் சஷ்டா பொ.ச.மு. 480-ல் கிரீஸை பலத்த படைகொண்டு தாக்கினார்.</t>
        </is>
      </c>
      <c r="O412" s="8" t="inlineStr">
        <is>
          <t>Bible</t>
        </is>
      </c>
      <c r="P412" s="7" t="inlineStr">
        <is>
          <t>bible.prophecy_fulfilled</t>
        </is>
      </c>
      <c r="Q412" s="7" t="inlineStr">
        <is>
          <t>battle</t>
        </is>
      </c>
      <c r="R412" s="7" t="inlineStr">
        <is>
          <t>Xerxes I; Themistocles</t>
        </is>
      </c>
      <c r="S412" s="7" t="inlineStr">
        <is>
          <t>Hellespont; Greece</t>
        </is>
      </c>
      <c r="T412" s="7" t="inlineStr">
        <is>
          <t>Dan. 11:2</t>
        </is>
      </c>
      <c r="U412" s="7" t="n"/>
      <c r="V412" s="7" t="n">
        <v>3</v>
      </c>
      <c r="W412" s="7" t="inlineStr">
        <is>
          <t>Greece, Greeks</t>
        </is>
      </c>
      <c r="X412" s="9" t="inlineStr">
        <is>
          <t>open</t>
        </is>
      </c>
      <c r="Y412" s="7" t="n"/>
      <c r="Z412" s="7" t="inlineStr">
        <is>
          <t>https://wol.jw.org/en/wol/d/r1/lp-e/1200001765
https://wol.jw.org/en/wol/d/r1/lp-e/1200003447
https://wol.jw.org/en/wol/d/r1/lp-e/1101999032</t>
        </is>
      </c>
      <c r="AA412" s="7" t="n">
        <v>0</v>
      </c>
      <c r="AB412" s="7" t="n"/>
      <c r="AC412" s="7" t="n">
        <v>0</v>
      </c>
      <c r="AD412" s="7" t="n"/>
      <c r="AE412" s="7" t="n"/>
      <c r="AF412" s="7" t="n"/>
      <c r="AG412" s="7" t="n"/>
      <c r="AH412" s="7" t="n"/>
      <c r="AI412" s="7" t="n"/>
      <c r="AJ412" s="7" t="n"/>
      <c r="AK412" s="7" t="inlineStr">
        <is>
          <t>fulfilled-prophecies-nations #48 (fulfillment); kings-north-and-south #4 (fulfillment)</t>
        </is>
      </c>
      <c r="AL412" s="7" t="n"/>
      <c r="AM412" s="7" t="n">
        <v>-480</v>
      </c>
      <c r="AN412" s="10" t="n"/>
      <c r="AO412" s="10" t="n"/>
      <c r="AP412" s="10" t="n"/>
      <c r="AQ412" s="10" t="n"/>
    </row>
    <row r="413">
      <c r="A413" s="7" t="inlineStr">
        <is>
          <t>b4-0061</t>
        </is>
      </c>
      <c r="B413" s="7" t="inlineStr">
        <is>
          <t>Point</t>
        </is>
      </c>
      <c r="C413" s="7" t="n"/>
      <c r="D413" s="7" t="inlineStr">
        <is>
          <t>479 B.C.E.</t>
        </is>
      </c>
      <c r="E413" s="7" t="inlineStr">
        <is>
          <t>பொ.ச.மு. 479</t>
        </is>
      </c>
      <c r="F413" s="7" t="inlineStr">
        <is>
          <t>479 BCE</t>
        </is>
      </c>
      <c r="G413" s="7" t="inlineStr">
        <is>
          <t>Exact</t>
        </is>
      </c>
      <c r="H413" s="7" t="n"/>
      <c r="I413" s="7" t="n"/>
      <c r="J413" s="7" t="n"/>
      <c r="K413" s="2" t="inlineStr">
        <is>
          <t>Greek victory at Plataea</t>
        </is>
      </c>
      <c r="L413" s="2" t="n"/>
      <c r="M413" s="7" t="inlineStr">
        <is>
          <t>Another Greek victory over Xerxes' forces took place at Plataea.</t>
        </is>
      </c>
      <c r="N413" s="7" t="inlineStr">
        <is>
          <t>பொ.ச.மு. 479-ல் பிளாட்டியாவில் கிரேக்கர்களுக்கு மீண்டும் வெற்றி கிட்டியது.</t>
        </is>
      </c>
      <c r="O413" s="8" t="inlineStr">
        <is>
          <t>Bible</t>
        </is>
      </c>
      <c r="P413" s="7" t="inlineStr">
        <is>
          <t>bible.exile_return</t>
        </is>
      </c>
      <c r="Q413" s="7" t="inlineStr">
        <is>
          <t>battle</t>
        </is>
      </c>
      <c r="R413" s="7" t="n"/>
      <c r="S413" s="7" t="inlineStr">
        <is>
          <t>Plataea; Greece</t>
        </is>
      </c>
      <c r="T413" s="7" t="n"/>
      <c r="U413" s="7" t="n"/>
      <c r="V413" s="7" t="n">
        <v>1</v>
      </c>
      <c r="W413" s="7" t="inlineStr">
        <is>
          <t>Two Kings in Conflict</t>
        </is>
      </c>
      <c r="X413" s="9" t="inlineStr">
        <is>
          <t>open</t>
        </is>
      </c>
      <c r="Y413" s="9" t="inlineStr">
        <is>
          <t>open</t>
        </is>
      </c>
      <c r="Z413" s="7" t="inlineStr">
        <is>
          <t>https://wol.jw.org/en/wol/d/r1/lp-e/1101999032</t>
        </is>
      </c>
      <c r="AA413" s="7" t="n">
        <v>0</v>
      </c>
      <c r="AB413" s="7" t="n"/>
      <c r="AC413" s="7" t="n">
        <v>0</v>
      </c>
      <c r="AD413" s="7" t="n"/>
      <c r="AE413" s="7" t="n"/>
      <c r="AF413" s="7" t="n"/>
      <c r="AG413" s="7" t="n"/>
      <c r="AH413" s="7" t="n"/>
      <c r="AI413" s="7" t="n"/>
      <c r="AJ413" s="7" t="n"/>
      <c r="AK413" s="7" t="n"/>
      <c r="AL413" s="7" t="n"/>
      <c r="AM413" s="7" t="n">
        <v>-479</v>
      </c>
      <c r="AN413" s="10" t="n"/>
      <c r="AO413" s="10" t="n"/>
      <c r="AP413" s="10" t="n"/>
      <c r="AQ413" s="10" t="n"/>
    </row>
    <row r="414">
      <c r="A414" s="7" t="inlineStr">
        <is>
          <t>b11-0036</t>
        </is>
      </c>
      <c r="B414" s="7" t="inlineStr">
        <is>
          <t>Point</t>
        </is>
      </c>
      <c r="C414" s="7" t="n"/>
      <c r="D414" s="7" t="inlineStr">
        <is>
          <t>c. 475 B.C.E.</t>
        </is>
      </c>
      <c r="E414" s="7" t="inlineStr">
        <is>
          <t>ஏ. கி.மு. 475</t>
        </is>
      </c>
      <c r="F414" s="7" t="inlineStr">
        <is>
          <t>475 BCE</t>
        </is>
      </c>
      <c r="G414" s="7" t="inlineStr">
        <is>
          <t>Approx. (c.)</t>
        </is>
      </c>
      <c r="H414" s="7" t="n"/>
      <c r="I414" s="7" t="n"/>
      <c r="J414" s="7" t="n"/>
      <c r="K414" s="2" t="inlineStr">
        <is>
          <t>Writing of Esther completed</t>
        </is>
      </c>
      <c r="L414" s="2" t="inlineStr">
        <is>
          <t>எஸ்தர் — எழுதி முடிக்கப்பட்டது</t>
        </is>
      </c>
      <c r="M414" s="7" t="inlineStr">
        <is>
          <t>The writing of Esther was completed c. 475 B.C.E. Writer: Mordecai; place written: Shushan, Elam. Time covered: 493–c. 475 B.C.E.</t>
        </is>
      </c>
      <c r="N414" s="7" t="inlineStr">
        <is>
          <t>எஸ்தர்: எழுதியவர்(கள்): மொர்தெகாய்; எழுதப்பட்ட இடம்: சூசான், ஏலாம்; முடிக்கப்பட்ட வருஷம் (கி.மு.): ஏ. 475; காலப்பகுதி (கி.மு.): 493–ஏ. 475.</t>
        </is>
      </c>
      <c r="O414" s="8" t="inlineStr">
        <is>
          <t>Bible</t>
        </is>
      </c>
      <c r="P414" s="7" t="inlineStr">
        <is>
          <t>bible.book_writing</t>
        </is>
      </c>
      <c r="Q414" s="7" t="inlineStr">
        <is>
          <t>writing_completed</t>
        </is>
      </c>
      <c r="R414" s="7" t="inlineStr">
        <is>
          <t>Mordecai</t>
        </is>
      </c>
      <c r="S414" s="7" t="inlineStr">
        <is>
          <t>Shushan, Elam</t>
        </is>
      </c>
      <c r="T414" s="7" t="inlineStr">
        <is>
          <t>Esther</t>
        </is>
      </c>
      <c r="U414" s="7" t="inlineStr">
        <is>
          <t>எஸ்தர்.</t>
        </is>
      </c>
      <c r="V414" s="7" t="n">
        <v>6</v>
      </c>
      <c r="W414" s="7" t="inlineStr">
        <is>
          <t>Table of the Books of the Bible</t>
        </is>
      </c>
      <c r="X414" s="9" t="inlineStr">
        <is>
          <t>open</t>
        </is>
      </c>
      <c r="Y414" s="9" t="inlineStr">
        <is>
          <t>open</t>
        </is>
      </c>
      <c r="Z414" s="7" t="inlineStr">
        <is>
          <t>https://wol.jw.org/en/wol/d/r1/lp-e/1001070071
https://wol.jw.org/en/wol/d/r1/lp-e/1101990078
https://www.jw.org/en/library/bible/study-bible/books-of-the-bible-list/
https://wol.jw.org/en/wol/d/r1/lp-e/1001060002
https://wol.jw.org/en/wol/d/r1/lp-e/1101990130
https://wol.jw.org/en/wol/d/r1/lp-e/1200001431</t>
        </is>
      </c>
      <c r="AA414" s="7" t="n">
        <v>0</v>
      </c>
      <c r="AB414" s="7" t="n"/>
      <c r="AC414" s="7" t="n">
        <v>0</v>
      </c>
      <c r="AD414" s="7" t="n"/>
      <c r="AE414" s="7" t="n"/>
      <c r="AF414" s="7" t="n"/>
      <c r="AG414" s="7" t="n"/>
      <c r="AH414" s="7" t="n"/>
      <c r="AI414" s="7" t="n"/>
      <c r="AJ414" s="7" t="n"/>
      <c r="AK414" s="7" t="inlineStr">
        <is>
          <t>bible-books-written #17 (item)</t>
        </is>
      </c>
      <c r="AL414" s="7" t="inlineStr">
        <is>
          <t>Writer(s): Mordecai. Place written: Shushan, Elam. Writing completed: c. 475 B.C.E. Time covered: 493–c. 475 B.C.E.</t>
        </is>
      </c>
      <c r="AM414" s="7" t="n">
        <v>-474.9983</v>
      </c>
      <c r="AN414" s="10" t="n"/>
      <c r="AO414" s="10" t="n"/>
      <c r="AP414" s="10" t="n"/>
      <c r="AQ414" s="10" t="n"/>
    </row>
    <row r="415">
      <c r="A415" s="7" t="inlineStr">
        <is>
          <t>b4-0063</t>
        </is>
      </c>
      <c r="B415" s="7" t="inlineStr">
        <is>
          <t>Point</t>
        </is>
      </c>
      <c r="C415" s="7" t="n"/>
      <c r="D415" s="7" t="inlineStr">
        <is>
          <t>475 B.C.E. (latter part)</t>
        </is>
      </c>
      <c r="E415" s="7" t="inlineStr">
        <is>
          <t>பொ.ச.மு. 475</t>
        </is>
      </c>
      <c r="F415" s="7" t="inlineStr">
        <is>
          <t>475 BCE</t>
        </is>
      </c>
      <c r="G415" s="7" t="inlineStr">
        <is>
          <t>Exact</t>
        </is>
      </c>
      <c r="H415" s="7" t="n"/>
      <c r="I415" s="7" t="n"/>
      <c r="J415" s="7" t="n"/>
      <c r="K415" s="2" t="inlineStr">
        <is>
          <t>Xerxes dies; Artaxerxes I's accession year</t>
        </is>
      </c>
      <c r="L415" s="2" t="n"/>
      <c r="M415" s="7" t="inlineStr">
        <is>
          <t>Xerxes died in the latter part of 475 B.C.E., so Artaxerxes (Longimanus) began his accession year in 475 and his first regnal year in 474, as Greek, Persian, and Babylonian evidence indicates.</t>
        </is>
      </c>
      <c r="N415" s="7" t="inlineStr">
        <is>
          <t>அவனுடைய தகப்பனும் முந்திய அரசருமான சஷ்டா, பொ.ச.மு. 475-ன் பிற்பகுதியில் மரித்தான்.</t>
        </is>
      </c>
      <c r="O415" s="8" t="inlineStr">
        <is>
          <t>Bible</t>
        </is>
      </c>
      <c r="P415" s="7" t="inlineStr">
        <is>
          <t>bible.exile_return</t>
        </is>
      </c>
      <c r="Q415" s="7" t="inlineStr">
        <is>
          <t>accession</t>
        </is>
      </c>
      <c r="R415" s="7" t="inlineStr">
        <is>
          <t>Xerxes I; Artaxerxes I</t>
        </is>
      </c>
      <c r="S415" s="7" t="inlineStr">
        <is>
          <t>Persia</t>
        </is>
      </c>
      <c r="T415" s="7" t="inlineStr">
        <is>
          <t>Neh. 2:1</t>
        </is>
      </c>
      <c r="U415" s="7" t="n"/>
      <c r="V415" s="7" t="n">
        <v>5</v>
      </c>
      <c r="W415" s="7" t="inlineStr">
        <is>
          <t>Study Number 3—Measuring Events in the Stream of Time</t>
        </is>
      </c>
      <c r="X415" s="9" t="inlineStr">
        <is>
          <t>open</t>
        </is>
      </c>
      <c r="Y415" s="9" t="inlineStr">
        <is>
          <t>open</t>
        </is>
      </c>
      <c r="Z415" s="7" t="inlineStr">
        <is>
          <t>https://wol.jw.org/en/wol/d/r1/lp-e/1101990130
https://wol.jw.org/en/wol/d/r1/lp-e/1200003447
https://wol.jw.org/en/wol/d/r1/lp-e/1200003915
https://wol.jw.org/en/wol/d/r1/lp-e/1101999030
https://wol.jw.org/en/wol/d/r1/lp-e/1101999023</t>
        </is>
      </c>
      <c r="AA415" s="7" t="n">
        <v>0</v>
      </c>
      <c r="AB415" s="7" t="n"/>
      <c r="AC415" s="7" t="n">
        <v>1</v>
      </c>
      <c r="AD415" s="7" t="inlineStr">
        <is>
          <t>Insight 'Artaxerxes' notes most reference works give 465 B.C.E. as the accession year; jw.org holds 475.</t>
        </is>
      </c>
      <c r="AE415" s="7" t="n"/>
      <c r="AF415" s="7" t="n"/>
      <c r="AG415" s="7" t="n"/>
      <c r="AH415" s="7" t="n"/>
      <c r="AI415" s="7" t="inlineStr">
        <is>
          <t>Covered by span – hide on chart</t>
        </is>
      </c>
      <c r="AJ415" s="7" t="inlineStr">
        <is>
          <t>end of Reign of Xerxes I (Ahasuerus) as sole king (b12-0031); start of Reign of Artaxerxes I (Longimanus) (b12-0032)</t>
        </is>
      </c>
      <c r="AK415" s="7" t="n"/>
      <c r="AL415" s="7" t="n"/>
      <c r="AM415" s="7" t="n">
        <v>-474.2</v>
      </c>
      <c r="AN415" s="10" t="n"/>
      <c r="AO415" s="10" t="n"/>
      <c r="AP415" s="10" t="n"/>
      <c r="AQ415" s="10" t="n"/>
    </row>
    <row r="416">
      <c r="A416" s="7" t="inlineStr">
        <is>
          <t>b12-0032</t>
        </is>
      </c>
      <c r="B416" s="11" t="inlineStr">
        <is>
          <t>Span</t>
        </is>
      </c>
      <c r="C416" s="7" t="inlineStr">
        <is>
          <t>reign</t>
        </is>
      </c>
      <c r="D416" s="7" t="inlineStr">
        <is>
          <t>475 B.C.E.–424 B.C.E.</t>
        </is>
      </c>
      <c r="E416" s="7" t="n"/>
      <c r="F416" s="7" t="inlineStr">
        <is>
          <t>475 BCE</t>
        </is>
      </c>
      <c r="G416" s="7" t="inlineStr">
        <is>
          <t>Exact</t>
        </is>
      </c>
      <c r="H416" s="7" t="inlineStr">
        <is>
          <t>424 BCE</t>
        </is>
      </c>
      <c r="I416" s="7" t="inlineStr">
        <is>
          <t>Exact</t>
        </is>
      </c>
      <c r="J416" s="7" t="n"/>
      <c r="K416" s="2" t="inlineStr">
        <is>
          <t>Reign of Artaxerxes I (Longimanus)</t>
        </is>
      </c>
      <c r="L416" s="2" t="n"/>
      <c r="M416" s="7" t="inlineStr">
        <is>
          <t>Artaxerxes I succeeded Xerxes in 475 B.C.E.; in his 20th year (455 B.C.E.) he authorized Nehemiah to rebuild Jerusalem’s walls. His last year of rule began in 424 B.C.E.</t>
        </is>
      </c>
      <c r="N416" s="7" t="n"/>
      <c r="O416" s="8" t="inlineStr">
        <is>
          <t>Bible</t>
        </is>
      </c>
      <c r="P416" s="7" t="inlineStr">
        <is>
          <t>bible.exile_return</t>
        </is>
      </c>
      <c r="Q416" s="7" t="n"/>
      <c r="R416" s="7" t="inlineStr">
        <is>
          <t>Artaxerxes; Ezra; Nehemiah</t>
        </is>
      </c>
      <c r="S416" s="7" t="inlineStr">
        <is>
          <t>Persia</t>
        </is>
      </c>
      <c r="T416" s="7" t="inlineStr">
        <is>
          <t>Neh. 2:1; Ezra 7:7</t>
        </is>
      </c>
      <c r="U416" s="7" t="inlineStr">
        <is>
          <t>நெ. 2:1; எஸ்றா 7:7</t>
        </is>
      </c>
      <c r="V416" s="7" t="n">
        <v>3</v>
      </c>
      <c r="W416" s="7" t="inlineStr">
        <is>
          <t>Study Number 3—Measuring Events in the Stream of Time</t>
        </is>
      </c>
      <c r="X416" s="9" t="inlineStr">
        <is>
          <t>open</t>
        </is>
      </c>
      <c r="Y416" s="9" t="inlineStr">
        <is>
          <t>open</t>
        </is>
      </c>
      <c r="Z416" s="7" t="inlineStr">
        <is>
          <t>https://wol.jw.org/en/wol/d/r1/lp-e/1101990130
https://wol.jw.org/en/wol/d/r1/lp-e/1200003447
https://wol.jw.org/en/wol/d/r1/lp-e/1101999023</t>
        </is>
      </c>
      <c r="AA416" s="7" t="n">
        <v>0</v>
      </c>
      <c r="AB416" s="7" t="n"/>
      <c r="AC416" s="7" t="n">
        <v>0</v>
      </c>
      <c r="AD416" s="7" t="n"/>
      <c r="AE416" s="7" t="n"/>
      <c r="AF416" s="7" t="inlineStr">
        <is>
          <t>b4-0063</t>
        </is>
      </c>
      <c r="AG416" s="7" t="inlineStr">
        <is>
          <t>b4-0077</t>
        </is>
      </c>
      <c r="AH416" s="7" t="n"/>
      <c r="AI416" s="7" t="n"/>
      <c r="AJ416" s="7" t="n"/>
      <c r="AK416" s="7" t="inlineStr">
        <is>
          <t>rulers-of-persia #4 (ruler)</t>
        </is>
      </c>
      <c r="AL416" s="7" t="n"/>
      <c r="AM416" s="7" t="n">
        <v>-474.2</v>
      </c>
      <c r="AN416" s="10" t="n"/>
      <c r="AO416" s="10" t="n"/>
      <c r="AP416" s="10" t="n"/>
      <c r="AQ416" s="10" t="n"/>
    </row>
    <row r="417">
      <c r="A417" s="7" t="inlineStr">
        <is>
          <t>b4-0064</t>
        </is>
      </c>
      <c r="B417" s="7" t="inlineStr">
        <is>
          <t>Point</t>
        </is>
      </c>
      <c r="C417" s="7" t="n"/>
      <c r="D417" s="7" t="inlineStr">
        <is>
          <t>468 B.C.E. (seventh year of Artaxerxes)</t>
        </is>
      </c>
      <c r="E417" s="7" t="inlineStr">
        <is>
          <t>பொ.ச.மு. 468</t>
        </is>
      </c>
      <c r="F417" s="7" t="inlineStr">
        <is>
          <t>468 BCE</t>
        </is>
      </c>
      <c r="G417" s="7" t="inlineStr">
        <is>
          <t>Exact</t>
        </is>
      </c>
      <c r="H417" s="7" t="n"/>
      <c r="I417" s="7" t="n"/>
      <c r="J417" s="7" t="n"/>
      <c r="K417" s="2" t="inlineStr">
        <is>
          <t>Ezra and priests return to Jerusalem</t>
        </is>
      </c>
      <c r="L417" s="2" t="inlineStr">
        <is>
          <t>எஸ்றாவும் ஆசாரியர்களும் எருசலேமுக்குத் திரும்பி வருகின்றனர்</t>
        </is>
      </c>
      <c r="M417" s="7" t="inlineStr">
        <is>
          <t>In the seventh year of Artaxerxes, Ezra received the king's decree granting all his request and led over 1,750 men, with priests and Levites, to Jerusalem bearing gifts for the temple.</t>
        </is>
      </c>
      <c r="N417" s="7" t="n"/>
      <c r="O417" s="8" t="inlineStr">
        <is>
          <t>Bible</t>
        </is>
      </c>
      <c r="P417" s="7" t="inlineStr">
        <is>
          <t>bible.exile_return</t>
        </is>
      </c>
      <c r="Q417" s="7" t="inlineStr">
        <is>
          <t>return</t>
        </is>
      </c>
      <c r="R417" s="7" t="inlineStr">
        <is>
          <t>Ezra; Artaxerxes I</t>
        </is>
      </c>
      <c r="S417" s="7" t="inlineStr">
        <is>
          <t>Babylon; Jerusalem</t>
        </is>
      </c>
      <c r="T417" s="7" t="inlineStr">
        <is>
          <t>Ezra 7:7; Ezra 7:6, 12-26; Ezra 8:1-36</t>
        </is>
      </c>
      <c r="U417" s="7" t="inlineStr">
        <is>
          <t>எஸ்றா 7:7</t>
        </is>
      </c>
      <c r="V417" s="7" t="n">
        <v>5</v>
      </c>
      <c r="W417" s="7" t="inlineStr">
        <is>
          <t>Study Number 3—Measuring Events in the Stream of Time</t>
        </is>
      </c>
      <c r="X417" s="9" t="inlineStr">
        <is>
          <t>open</t>
        </is>
      </c>
      <c r="Y417" s="9" t="inlineStr">
        <is>
          <t>open</t>
        </is>
      </c>
      <c r="Z417" s="7" t="inlineStr">
        <is>
          <t>https://wol.jw.org/en/wol/d/r1/lp-e/1101990130
https://wol.jw.org/en/wol/d/r1/lp-e/1200001475
https://wol.jw.org/en/wol/d/r1/lp-e/1200000389
https://wol.jw.org/en/wol/d/r1/lp-e/1200000888
https://wol.jw.org/en/wol/d/r1/lp-e/1101990076</t>
        </is>
      </c>
      <c r="AA417" s="7" t="n">
        <v>0</v>
      </c>
      <c r="AB417" s="7" t="n"/>
      <c r="AC417" s="7" t="n">
        <v>0</v>
      </c>
      <c r="AD417" s="7" t="n"/>
      <c r="AE417" s="7" t="n"/>
      <c r="AF417" s="7" t="n"/>
      <c r="AG417" s="7" t="n"/>
      <c r="AH417" s="7" t="n"/>
      <c r="AI417" s="7" t="n"/>
      <c r="AJ417" s="7" t="n"/>
      <c r="AK417" s="7" t="inlineStr">
        <is>
          <t>how-the-bible-came-to-us #1 (context)</t>
        </is>
      </c>
      <c r="AL417" s="7" t="n"/>
      <c r="AM417" s="7" t="n">
        <v>-467.67</v>
      </c>
      <c r="AN417" s="10" t="n"/>
      <c r="AO417" s="10" t="n"/>
      <c r="AP417" s="10" t="n"/>
      <c r="AQ417" s="10" t="n"/>
    </row>
    <row r="418">
      <c r="A418" s="7" t="inlineStr">
        <is>
          <t>b11-0037</t>
        </is>
      </c>
      <c r="B418" s="7" t="inlineStr">
        <is>
          <t>Point</t>
        </is>
      </c>
      <c r="C418" s="7" t="n"/>
      <c r="D418" s="7" t="inlineStr">
        <is>
          <t>c. 460 B.C.E.</t>
        </is>
      </c>
      <c r="E418" s="7" t="inlineStr">
        <is>
          <t>ஏ. கி.மு. 460</t>
        </is>
      </c>
      <c r="F418" s="7" t="inlineStr">
        <is>
          <t>460 BCE</t>
        </is>
      </c>
      <c r="G418" s="7" t="inlineStr">
        <is>
          <t>Approx. (c.)</t>
        </is>
      </c>
      <c r="H418" s="7" t="n"/>
      <c r="I418" s="7" t="n"/>
      <c r="J418" s="7" t="n"/>
      <c r="K418" s="2" t="inlineStr">
        <is>
          <t>Writing of 1 Chronicles completed</t>
        </is>
      </c>
      <c r="L418" s="2" t="inlineStr">
        <is>
          <t>1 நாளாகமம் — எழுதி முடிக்கப்பட்டது</t>
        </is>
      </c>
      <c r="M418" s="7" t="inlineStr">
        <is>
          <t>The writing of 1 Chronicles was completed c. 460 B.C.E. Writer: Ezra; place written: Jerusalem (?). Time covered: After 1 Chronicles 9:44: c. 1077-1037 B.C.E.</t>
        </is>
      </c>
      <c r="N418" s="7" t="inlineStr">
        <is>
          <t>1 நாளாகமம்: எழுதியவர்(கள்): எஸ்றா; எழுதப்பட்ட இடம்: எருசலேம் (?); முடிக்கப்பட்ட வருஷம் (கி.மு.): ஏ. 460; காலப்பகுதி (கி.மு.): 1 நாளாகமம் 9:44-க்குப் பிறகு: கி.மு. 1077-1037.</t>
        </is>
      </c>
      <c r="O418" s="8" t="inlineStr">
        <is>
          <t>Bible</t>
        </is>
      </c>
      <c r="P418" s="7" t="inlineStr">
        <is>
          <t>bible.book_writing</t>
        </is>
      </c>
      <c r="Q418" s="7" t="inlineStr">
        <is>
          <t>writing_completed</t>
        </is>
      </c>
      <c r="R418" s="7" t="inlineStr">
        <is>
          <t>Ezra</t>
        </is>
      </c>
      <c r="S418" s="7" t="inlineStr">
        <is>
          <t>Jerusalem</t>
        </is>
      </c>
      <c r="T418" s="7" t="inlineStr">
        <is>
          <t>1 Chron.</t>
        </is>
      </c>
      <c r="U418" s="7" t="inlineStr">
        <is>
          <t>1 நா.</t>
        </is>
      </c>
      <c r="V418" s="7" t="n">
        <v>4</v>
      </c>
      <c r="W418" s="7" t="inlineStr">
        <is>
          <t>Table of the Books of the Bible</t>
        </is>
      </c>
      <c r="X418" s="9" t="inlineStr">
        <is>
          <t>open</t>
        </is>
      </c>
      <c r="Y418" s="9" t="inlineStr">
        <is>
          <t>open</t>
        </is>
      </c>
      <c r="Z418" s="7" t="inlineStr">
        <is>
          <t>https://wol.jw.org/en/wol/d/r1/lp-e/1001070071
https://wol.jw.org/en/wol/d/r1/lp-e/1101990074
https://www.jw.org/en/library/bible/study-bible/books-of-the-bible-list/
https://wol.jw.org/en/wol/d/r1/lp-e/1001060002</t>
        </is>
      </c>
      <c r="AA418" s="7" t="n">
        <v>0</v>
      </c>
      <c r="AB418" s="7" t="n"/>
      <c r="AC418" s="7" t="n">
        <v>2</v>
      </c>
      <c r="AD418" s="7" t="inlineStr">
        <is>
          <t>si gives time covered after 1 Chron. 9:44 as '1077–1037 B.C.E.' without 'c.' (nwtsty: 'c. 1077-1037'); si labels the date 'Time of Writing: c. 460 B.C.E.'. | Rbi8 lists 1 and 2 Chronicles as one row: completed '1 roll c. 460', time covered 'After 1 Chronicles 9:44: 1077-537'.</t>
        </is>
      </c>
      <c r="AE418" s="7" t="n"/>
      <c r="AF418" s="7" t="n"/>
      <c r="AG418" s="7" t="n"/>
      <c r="AH418" s="7" t="n"/>
      <c r="AI418" s="7" t="n"/>
      <c r="AJ418" s="7" t="n"/>
      <c r="AK418" s="7" t="inlineStr">
        <is>
          <t>bible-books-written #13 (item)</t>
        </is>
      </c>
      <c r="AL418" s="7" t="inlineStr">
        <is>
          <t>Writer(s): Ezra. Place written: Jerusalem (?). Writing completed: c. 460 B.C.E. Time covered: After 1 Chronicles 9:44: c. 1077-1037 B.C.E.</t>
        </is>
      </c>
      <c r="AM418" s="7" t="n">
        <v>-459.9987</v>
      </c>
      <c r="AN418" s="10" t="n"/>
      <c r="AO418" s="10" t="n"/>
      <c r="AP418" s="10" t="n"/>
      <c r="AQ418" s="10" t="n"/>
    </row>
    <row r="419">
      <c r="A419" s="7" t="inlineStr">
        <is>
          <t>b11-0038</t>
        </is>
      </c>
      <c r="B419" s="7" t="inlineStr">
        <is>
          <t>Point</t>
        </is>
      </c>
      <c r="C419" s="7" t="n"/>
      <c r="D419" s="7" t="inlineStr">
        <is>
          <t>c. 460 B.C.E.</t>
        </is>
      </c>
      <c r="E419" s="7" t="inlineStr">
        <is>
          <t>ஏ. கி.மு. 460</t>
        </is>
      </c>
      <c r="F419" s="7" t="inlineStr">
        <is>
          <t>460 BCE</t>
        </is>
      </c>
      <c r="G419" s="7" t="inlineStr">
        <is>
          <t>Approx. (c.)</t>
        </is>
      </c>
      <c r="H419" s="7" t="n"/>
      <c r="I419" s="7" t="n"/>
      <c r="J419" s="7" t="n"/>
      <c r="K419" s="2" t="inlineStr">
        <is>
          <t>Writing of 2 Chronicles completed</t>
        </is>
      </c>
      <c r="L419" s="2" t="inlineStr">
        <is>
          <t>2 நாளாகமம் — எழுதி முடிக்கப்பட்டது</t>
        </is>
      </c>
      <c r="M419" s="7" t="inlineStr">
        <is>
          <t>The writing of 2 Chronicles was completed c. 460 B.C.E. Writer: Ezra; place written: Jerusalem (?). Time covered: c. 1037-537 B.C.E.</t>
        </is>
      </c>
      <c r="N419" s="7" t="inlineStr">
        <is>
          <t>2 நாளாகமம்: எழுதியவர்(கள்): எஸ்றா; எழுதப்பட்ட இடம்: எருசலேம் (?); முடிக்கப்பட்ட வருஷம் (கி.மு.): ஏ. 460; காலப்பகுதி (கி.மு.): ஏ. 1037-537.</t>
        </is>
      </c>
      <c r="O419" s="8" t="inlineStr">
        <is>
          <t>Bible</t>
        </is>
      </c>
      <c r="P419" s="7" t="inlineStr">
        <is>
          <t>bible.book_writing</t>
        </is>
      </c>
      <c r="Q419" s="7" t="inlineStr">
        <is>
          <t>writing_completed</t>
        </is>
      </c>
      <c r="R419" s="7" t="inlineStr">
        <is>
          <t>Ezra</t>
        </is>
      </c>
      <c r="S419" s="7" t="inlineStr">
        <is>
          <t>Jerusalem</t>
        </is>
      </c>
      <c r="T419" s="7" t="inlineStr">
        <is>
          <t>2 Chron.</t>
        </is>
      </c>
      <c r="U419" s="7" t="inlineStr">
        <is>
          <t>2 நா.</t>
        </is>
      </c>
      <c r="V419" s="7" t="n">
        <v>6</v>
      </c>
      <c r="W419" s="7" t="inlineStr">
        <is>
          <t>Table of the Books of the Bible</t>
        </is>
      </c>
      <c r="X419" s="9" t="inlineStr">
        <is>
          <t>open</t>
        </is>
      </c>
      <c r="Y419" s="9" t="inlineStr">
        <is>
          <t>open</t>
        </is>
      </c>
      <c r="Z419" s="7" t="inlineStr">
        <is>
          <t>https://wol.jw.org/en/wol/d/r1/lp-e/1001070071
https://wol.jw.org/en/wol/d/r1/lp-e/1101990075
https://www.jw.org/en/library/bible/study-bible/books-of-the-bible-list/
https://wol.jw.org/en/wol/d/r1/lp-e/1001060002
https://wol.jw.org/en/wol/d/r1/lp-e/1101990130
https://wol.jw.org/en/wol/d/r1/lp-e/1101990074</t>
        </is>
      </c>
      <c r="AA419" s="7" t="n">
        <v>0</v>
      </c>
      <c r="AB419" s="7" t="n"/>
      <c r="AC419" s="7" t="n">
        <v>2</v>
      </c>
      <c r="AD419" s="7" t="inlineStr">
        <is>
          <t>si gives time covered as '1037–537 B.C.E.' without 'c.' (nwtsty: 'c. 1037-537'). | Rbi8 lists 1 and 2 Chronicles as one row: completed '1 roll c. 460', time covered 'After 1 Chronicles 9:44: 1077-537'.</t>
        </is>
      </c>
      <c r="AE419" s="7" t="n"/>
      <c r="AF419" s="7" t="n"/>
      <c r="AG419" s="7" t="n"/>
      <c r="AH419" s="7" t="n"/>
      <c r="AI419" s="7" t="n"/>
      <c r="AJ419" s="7" t="n"/>
      <c r="AK419" s="7" t="inlineStr">
        <is>
          <t>bible-books-written #14 (item)</t>
        </is>
      </c>
      <c r="AL419" s="7" t="inlineStr">
        <is>
          <t>Writer(s): Ezra. Place written: Jerusalem (?). Writing completed: c. 460 B.C.E. Time covered: c. 1037-537 B.C.E.</t>
        </is>
      </c>
      <c r="AM419" s="7" t="n">
        <v>-459.9986</v>
      </c>
      <c r="AN419" s="10" t="n"/>
      <c r="AO419" s="10" t="n"/>
      <c r="AP419" s="10" t="n"/>
      <c r="AQ419" s="10" t="n"/>
    </row>
    <row r="420">
      <c r="A420" s="7" t="inlineStr">
        <is>
          <t>b11-0039</t>
        </is>
      </c>
      <c r="B420" s="7" t="inlineStr">
        <is>
          <t>Point</t>
        </is>
      </c>
      <c r="C420" s="7" t="n"/>
      <c r="D420" s="7" t="inlineStr">
        <is>
          <t>c. 460 B.C.E.</t>
        </is>
      </c>
      <c r="E420" s="7" t="inlineStr">
        <is>
          <t>ஏ. கி.மு. 460</t>
        </is>
      </c>
      <c r="F420" s="7" t="inlineStr">
        <is>
          <t>460 BCE</t>
        </is>
      </c>
      <c r="G420" s="7" t="inlineStr">
        <is>
          <t>Approx. (c.)</t>
        </is>
      </c>
      <c r="H420" s="7" t="n"/>
      <c r="I420" s="7" t="n"/>
      <c r="J420" s="7" t="n"/>
      <c r="K420" s="2" t="inlineStr">
        <is>
          <t>Writing of Ezra completed</t>
        </is>
      </c>
      <c r="L420" s="2" t="inlineStr">
        <is>
          <t>எஸ்றா — எழுதி முடிக்கப்பட்டது</t>
        </is>
      </c>
      <c r="M420" s="7" t="inlineStr">
        <is>
          <t>The writing of Ezra was completed c. 460 B.C.E. Writer: Ezra; place written: Jerusalem. Time covered: 537–c. 467 B.C.E.</t>
        </is>
      </c>
      <c r="N420" s="7" t="inlineStr">
        <is>
          <t>எஸ்றா: எழுதியவர்(கள்): எஸ்றா; எழுதப்பட்ட இடம்: எருசலேம்; முடிக்கப்பட்ட வருஷம் (கி.மு.): ஏ. 460; காலப்பகுதி (கி.மு.): 537–ஏ. 467.</t>
        </is>
      </c>
      <c r="O420" s="8" t="inlineStr">
        <is>
          <t>Bible</t>
        </is>
      </c>
      <c r="P420" s="7" t="inlineStr">
        <is>
          <t>bible.book_writing</t>
        </is>
      </c>
      <c r="Q420" s="7" t="inlineStr">
        <is>
          <t>writing_completed</t>
        </is>
      </c>
      <c r="R420" s="7" t="inlineStr">
        <is>
          <t>Ezra</t>
        </is>
      </c>
      <c r="S420" s="7" t="inlineStr">
        <is>
          <t>Jerusalem</t>
        </is>
      </c>
      <c r="T420" s="7" t="inlineStr">
        <is>
          <t>Ezra</t>
        </is>
      </c>
      <c r="U420" s="7" t="inlineStr">
        <is>
          <t>எஸ்றா</t>
        </is>
      </c>
      <c r="V420" s="7" t="n">
        <v>6</v>
      </c>
      <c r="W420" s="7" t="inlineStr">
        <is>
          <t>Table of the Books of the Bible</t>
        </is>
      </c>
      <c r="X420" s="9" t="inlineStr">
        <is>
          <t>open</t>
        </is>
      </c>
      <c r="Y420" s="9" t="inlineStr">
        <is>
          <t>open</t>
        </is>
      </c>
      <c r="Z420" s="7" t="inlineStr">
        <is>
          <t>https://wol.jw.org/en/wol/d/r1/lp-e/1001070071
https://wol.jw.org/en/wol/d/r1/lp-e/1101990076
https://www.jw.org/en/library/bible/study-bible/books-of-the-bible-list/
https://wol.jw.org/en/wol/d/r1/lp-e/1001060002
https://wol.jw.org/en/wol/d/r1/lp-e/1101990130
https://wol.jw.org/en/wol/d/r1/lp-e/1200001476</t>
        </is>
      </c>
      <c r="AA420" s="7" t="n">
        <v>0</v>
      </c>
      <c r="AB420" s="7" t="n"/>
      <c r="AC420" s="7" t="n">
        <v>0</v>
      </c>
      <c r="AD420" s="7" t="n"/>
      <c r="AE420" s="7" t="n"/>
      <c r="AF420" s="7" t="n"/>
      <c r="AG420" s="7" t="n"/>
      <c r="AH420" s="7" t="n"/>
      <c r="AI420" s="7" t="n"/>
      <c r="AJ420" s="7" t="n"/>
      <c r="AK420" s="7" t="inlineStr">
        <is>
          <t>bible-books-written #15 (item)</t>
        </is>
      </c>
      <c r="AL420" s="7" t="inlineStr">
        <is>
          <t>Writer(s): Ezra. Place written: Jerusalem. Writing completed: c. 460 B.C.E. Time covered: 537–c. 467 B.C.E.</t>
        </is>
      </c>
      <c r="AM420" s="7" t="n">
        <v>-459.9985</v>
      </c>
      <c r="AN420" s="10" t="n"/>
      <c r="AO420" s="10" t="n"/>
      <c r="AP420" s="10" t="n"/>
      <c r="AQ420" s="10" t="n"/>
    </row>
    <row r="421">
      <c r="A421" s="7" t="inlineStr">
        <is>
          <t>b11-0040</t>
        </is>
      </c>
      <c r="B421" s="7" t="inlineStr">
        <is>
          <t>Point</t>
        </is>
      </c>
      <c r="C421" s="7" t="n"/>
      <c r="D421" s="7" t="inlineStr">
        <is>
          <t>c. 460 B.C.E.</t>
        </is>
      </c>
      <c r="E421" s="7" t="inlineStr">
        <is>
          <t>ஏ. கி.மு. 460</t>
        </is>
      </c>
      <c r="F421" s="7" t="inlineStr">
        <is>
          <t>460 BCE</t>
        </is>
      </c>
      <c r="G421" s="7" t="inlineStr">
        <is>
          <t>Approx. (c.)</t>
        </is>
      </c>
      <c r="H421" s="7" t="n"/>
      <c r="I421" s="7" t="n"/>
      <c r="J421" s="7" t="n"/>
      <c r="K421" s="2" t="inlineStr">
        <is>
          <t>Writing of Psalms completed</t>
        </is>
      </c>
      <c r="L421" s="2" t="inlineStr">
        <is>
          <t>சங்கீதம் — எழுதி முடிக்கப்பட்டது</t>
        </is>
      </c>
      <c r="M421" s="7" t="inlineStr">
        <is>
          <t>The writing of Psalms was completed c. 460 B.C.E. Writers: David and others.</t>
        </is>
      </c>
      <c r="N421" s="7" t="inlineStr">
        <is>
          <t>சங்கீதம்: எழுதியவர்(கள்): தாவீதும் மற்றவர்களும்; முடிக்கப்பட்ட வருஷம் (கி.மு.): ஏ. 460.</t>
        </is>
      </c>
      <c r="O421" s="8" t="inlineStr">
        <is>
          <t>Bible</t>
        </is>
      </c>
      <c r="P421" s="7" t="inlineStr">
        <is>
          <t>bible.book_writing</t>
        </is>
      </c>
      <c r="Q421" s="7" t="inlineStr">
        <is>
          <t>writing_completed</t>
        </is>
      </c>
      <c r="R421" s="7" t="inlineStr">
        <is>
          <t>David</t>
        </is>
      </c>
      <c r="S421" s="7" t="n"/>
      <c r="T421" s="7" t="inlineStr">
        <is>
          <t>Ps.</t>
        </is>
      </c>
      <c r="U421" s="7" t="inlineStr">
        <is>
          <t>சங்.</t>
        </is>
      </c>
      <c r="V421" s="7" t="n">
        <v>5</v>
      </c>
      <c r="W421" s="7" t="inlineStr">
        <is>
          <t>Table of the Books of the Bible</t>
        </is>
      </c>
      <c r="X421" s="9" t="inlineStr">
        <is>
          <t>open</t>
        </is>
      </c>
      <c r="Y421" s="9" t="inlineStr">
        <is>
          <t>open</t>
        </is>
      </c>
      <c r="Z421" s="7" t="inlineStr">
        <is>
          <t>https://wol.jw.org/en/wol/d/r1/lp-e/1001070071
https://wol.jw.org/en/wol/d/r1/lp-e/1101990080
https://www.jw.org/en/library/bible/study-bible/books-of-the-bible-list/
https://wol.jw.org/en/wol/d/r1/lp-e/1001060002
https://wol.jw.org/en/wol/d/r1/lp-e/1101990130</t>
        </is>
      </c>
      <c r="AA421" s="7" t="n">
        <v>0</v>
      </c>
      <c r="AB421" s="7" t="n"/>
      <c r="AC421" s="7" t="n">
        <v>0</v>
      </c>
      <c r="AD421" s="7" t="n"/>
      <c r="AE421" s="7" t="n"/>
      <c r="AF421" s="7" t="n"/>
      <c r="AG421" s="7" t="n"/>
      <c r="AH421" s="7" t="n"/>
      <c r="AI421" s="7" t="n"/>
      <c r="AJ421" s="7" t="n"/>
      <c r="AK421" s="7" t="inlineStr">
        <is>
          <t>bible-books-written #19 (item); messianic-prophecies #71 (prophecy); messianic-prophecies #121 (prophecy); messianic-prophecies #161 (prophecy); messianic-prophecies #171 (prophecy); messianic-prophecies #201 (prophecy); messianic-prophecies #211 (prophecy); messianic-prophecies #221 (prophecy); messianic-prophecies #241 (prophecy); messianic-prophecies #261 (prophecy); messianic-prophecies #271 (prophecy)</t>
        </is>
      </c>
      <c r="AL421" s="7" t="inlineStr">
        <is>
          <t>Writer(s): David and others. Place written: —. Writing completed: c. 460 B.C.E. Time covered: —.</t>
        </is>
      </c>
      <c r="AM421" s="7" t="n">
        <v>-459.9981</v>
      </c>
      <c r="AN421" s="10" t="n"/>
      <c r="AO421" s="10" t="n"/>
      <c r="AP421" s="10" t="n"/>
      <c r="AQ421" s="10" t="n"/>
    </row>
    <row r="422">
      <c r="A422" s="7" t="inlineStr">
        <is>
          <t>b4-0068</t>
        </is>
      </c>
      <c r="B422" s="7" t="inlineStr">
        <is>
          <t>Point</t>
        </is>
      </c>
      <c r="C422" s="7" t="n"/>
      <c r="D422" s="7" t="inlineStr">
        <is>
          <t>456 B.C.E., Chislev</t>
        </is>
      </c>
      <c r="E422" s="7" t="inlineStr">
        <is>
          <t>பொ.ச.மு. 456</t>
        </is>
      </c>
      <c r="F422" s="7" t="inlineStr">
        <is>
          <t>456 BCE</t>
        </is>
      </c>
      <c r="G422" s="7" t="inlineStr">
        <is>
          <t>Exact</t>
        </is>
      </c>
      <c r="H422" s="7" t="n"/>
      <c r="I422" s="7" t="n"/>
      <c r="J422" s="7" t="n"/>
      <c r="K422" s="2" t="inlineStr">
        <is>
          <t>Nehemiah hears of Jerusalem's distress</t>
        </is>
      </c>
      <c r="L422" s="2" t="n"/>
      <c r="M422" s="7" t="inlineStr">
        <is>
          <t>In the month Chislev, at Shushan, Nehemiah received his brother Hanani and men from Judah, who reported that the returned remnant was in a bad state and Jerusalem's wall was broken down.</t>
        </is>
      </c>
      <c r="N422" s="7" t="inlineStr">
        <is>
          <t>2 பொ.ச.மு. 456-ல் ‘சிறையிருப்பிலிருந்து விடுபட்டு’ எருசலேமுக்குத் திரும்பிய யூத மீதியானோர் செழித்தோங்கவில்லை.</t>
        </is>
      </c>
      <c r="O422" s="8" t="inlineStr">
        <is>
          <t>Bible</t>
        </is>
      </c>
      <c r="P422" s="7" t="inlineStr">
        <is>
          <t>bible.exile_return</t>
        </is>
      </c>
      <c r="Q422" s="7" t="inlineStr">
        <is>
          <t>report</t>
        </is>
      </c>
      <c r="R422" s="7" t="inlineStr">
        <is>
          <t>Nehemiah; Hanani</t>
        </is>
      </c>
      <c r="S422" s="7" t="inlineStr">
        <is>
          <t>Shushan</t>
        </is>
      </c>
      <c r="T422" s="7" t="inlineStr">
        <is>
          <t>Neh. 1:1-4</t>
        </is>
      </c>
      <c r="U422" s="7" t="n"/>
      <c r="V422" s="7" t="n">
        <v>3</v>
      </c>
      <c r="W422" s="7" t="inlineStr">
        <is>
          <t>Nehemiah, Book of</t>
        </is>
      </c>
      <c r="X422" s="9" t="inlineStr">
        <is>
          <t>open</t>
        </is>
      </c>
      <c r="Y422" s="7" t="n"/>
      <c r="Z422" s="7" t="inlineStr">
        <is>
          <t>https://wol.jw.org/en/wol/d/r1/lp-e/1200003213
https://wol.jw.org/en/wol/d/r1/lp-e/1200003212
https://wol.jw.org/en/wol/d/r1/lp-e/1101990077</t>
        </is>
      </c>
      <c r="AA422" s="7" t="n">
        <v>0</v>
      </c>
      <c r="AB422" s="7" t="n"/>
      <c r="AC422" s="7" t="n">
        <v>0</v>
      </c>
      <c r="AD422" s="7" t="n"/>
      <c r="AE422" s="7" t="n"/>
      <c r="AF422" s="7" t="n"/>
      <c r="AG422" s="7" t="n"/>
      <c r="AH422" s="7" t="n"/>
      <c r="AI422" s="7" t="n"/>
      <c r="AJ422" s="7" t="n"/>
      <c r="AK422" s="7" t="n"/>
      <c r="AL422" s="7" t="n"/>
      <c r="AM422" s="7" t="n">
        <v>-455.08</v>
      </c>
      <c r="AN422" s="10" t="n"/>
      <c r="AO422" s="10" t="n"/>
      <c r="AP422" s="10" t="n"/>
      <c r="AQ422" s="10" t="n"/>
    </row>
    <row r="423">
      <c r="A423" s="7" t="inlineStr">
        <is>
          <t>b4-0069</t>
        </is>
      </c>
      <c r="B423" s="7" t="inlineStr">
        <is>
          <t>Point</t>
        </is>
      </c>
      <c r="C423" s="7" t="n"/>
      <c r="D423" s="7" t="inlineStr">
        <is>
          <t>455 B.C.E., Nisan (20th year of Artaxerxes)</t>
        </is>
      </c>
      <c r="E423" s="7" t="inlineStr">
        <is>
          <t>பொ.ச.மு. 455</t>
        </is>
      </c>
      <c r="F423" s="7" t="inlineStr">
        <is>
          <t>455 BCE</t>
        </is>
      </c>
      <c r="G423" s="7" t="inlineStr">
        <is>
          <t>Exact</t>
        </is>
      </c>
      <c r="H423" s="7" t="n"/>
      <c r="I423" s="7" t="n"/>
      <c r="J423" s="7" t="n"/>
      <c r="K423" s="2" t="inlineStr">
        <is>
          <t>Artaxerxes commissions Nehemiah; 70 weeks begin</t>
        </is>
      </c>
      <c r="L423" s="2" t="inlineStr">
        <is>
          <t>70 வாரங்களின் தீர்க்கதரிசனம் நிறைவேறத் தொடங்குகிறது</t>
        </is>
      </c>
      <c r="M423" s="7" t="inlineStr">
        <is>
          <t>In Nisan of Artaxerxes' 20th year, the king granted cupbearer Nehemiah's request to go and rebuild Jerusalem, appointing him governor. This 'going forth of the word' began the 70 weeks of years of Daniel 9.</t>
        </is>
      </c>
      <c r="N423" s="7" t="inlineStr">
        <is>
          <t>19 இவ்வாறு “அர்தசஷ்டா ராஜாவின் இருபதாம் வருஷம்” பொ.ச.மு. 455 ஆகும்.</t>
        </is>
      </c>
      <c r="O423" s="8" t="inlineStr">
        <is>
          <t>Bible</t>
        </is>
      </c>
      <c r="P423" s="7" t="inlineStr">
        <is>
          <t>bible.prophecy_fulfilled</t>
        </is>
      </c>
      <c r="Q423" s="7" t="inlineStr">
        <is>
          <t>decree</t>
        </is>
      </c>
      <c r="R423" s="7" t="inlineStr">
        <is>
          <t>Nehemiah; Artaxerxes I</t>
        </is>
      </c>
      <c r="S423" s="7" t="inlineStr">
        <is>
          <t>Shushan; Jerusalem</t>
        </is>
      </c>
      <c r="T423" s="7" t="inlineStr">
        <is>
          <t>Neh. 2:1-8; Dan. 9:24, 25</t>
        </is>
      </c>
      <c r="U423" s="7" t="inlineStr">
        <is>
          <t>தானி. 9:24</t>
        </is>
      </c>
      <c r="V423" s="7" t="n">
        <v>7</v>
      </c>
      <c r="W423" s="7" t="inlineStr">
        <is>
          <t>Study Number 3—Measuring Events in the Stream of Time</t>
        </is>
      </c>
      <c r="X423" s="9" t="inlineStr">
        <is>
          <t>open</t>
        </is>
      </c>
      <c r="Y423" s="9" t="inlineStr">
        <is>
          <t>open</t>
        </is>
      </c>
      <c r="Z423" s="7" t="inlineStr">
        <is>
          <t>https://wol.jw.org/en/wol/d/r1/lp-e/1101990130
https://wol.jw.org/en/wol/d/r1/lp-e/1200003915
https://wol.jw.org/en/wol/d/r1/lp-e/1200000389
https://wol.jw.org/en/wol/d/r1/lp-e/1200003447
https://wol.jw.org/en/wol/d/r1/lp-e/1200000970
https://wol.jw.org/en/wol/d/r1/lp-e/1101999030
https://wol.jw.org/en/wol/d/r1/lp-e/1101999023</t>
        </is>
      </c>
      <c r="AA423" s="7" t="n">
        <v>0</v>
      </c>
      <c r="AB423" s="7" t="n"/>
      <c r="AC423" s="7" t="n">
        <v>1</v>
      </c>
      <c r="AD423" s="7" t="inlineStr">
        <is>
          <t>Insight notes historians following Ptolemy place Artaxerxes' 20th year at 445/444 B.C.E.; jw.org holds 455.</t>
        </is>
      </c>
      <c r="AE423" s="7" t="n"/>
      <c r="AF423" s="7" t="n"/>
      <c r="AG423" s="7" t="n"/>
      <c r="AH423" s="7" t="n"/>
      <c r="AI423" s="7" t="inlineStr">
        <is>
          <t>Span endpoint – keep</t>
        </is>
      </c>
      <c r="AJ423" s="7" t="inlineStr">
        <is>
          <t>start of Nehemiah’s first term as governor of Judah (b12-0033); start of The 69 weeks to “Messiah the Leader” (b12-0034); start of The 70 weeks of years (Daniel 9) (b12-0035)</t>
        </is>
      </c>
      <c r="AK423" s="7" t="inlineStr">
        <is>
          <t>daniel-time-prophecies #8 (start)</t>
        </is>
      </c>
      <c r="AL423" s="7" t="n"/>
      <c r="AM423" s="7" t="n">
        <v>-454.75</v>
      </c>
      <c r="AN423" s="10" t="n"/>
      <c r="AO423" s="10" t="n"/>
      <c r="AP423" s="10" t="n"/>
      <c r="AQ423" s="10" t="n"/>
    </row>
    <row r="424">
      <c r="A424" s="7" t="inlineStr">
        <is>
          <t>b12-0033</t>
        </is>
      </c>
      <c r="B424" s="11" t="inlineStr">
        <is>
          <t>Span</t>
        </is>
      </c>
      <c r="C424" s="7" t="inlineStr">
        <is>
          <t>office</t>
        </is>
      </c>
      <c r="D424" s="7" t="inlineStr">
        <is>
          <t>455 B.C.E.–443 B.C.E.</t>
        </is>
      </c>
      <c r="E424" s="7" t="n"/>
      <c r="F424" s="7" t="inlineStr">
        <is>
          <t>455 BCE</t>
        </is>
      </c>
      <c r="G424" s="7" t="inlineStr">
        <is>
          <t>Exact</t>
        </is>
      </c>
      <c r="H424" s="7" t="inlineStr">
        <is>
          <t>443 BCE</t>
        </is>
      </c>
      <c r="I424" s="7" t="inlineStr">
        <is>
          <t>Exact</t>
        </is>
      </c>
      <c r="J424" s="7" t="inlineStr">
        <is>
          <t>about 12 years</t>
        </is>
      </c>
      <c r="K424" s="2" t="inlineStr">
        <is>
          <t>Nehemiah’s first term as governor of Judah</t>
        </is>
      </c>
      <c r="L424" s="2" t="n"/>
      <c r="M424" s="7" t="inlineStr">
        <is>
          <t>Commissioned by Artaxerxes in his 20th year, Nehemiah governed Judah and rebuilt Jerusalem’s wall; about 12 years later, in the king’s 32nd year, he returned to the Persian court.</t>
        </is>
      </c>
      <c r="N424" s="7" t="n"/>
      <c r="O424" s="8" t="inlineStr">
        <is>
          <t>Bible</t>
        </is>
      </c>
      <c r="P424" s="7" t="inlineStr">
        <is>
          <t>bible.exile_return</t>
        </is>
      </c>
      <c r="Q424" s="7" t="n"/>
      <c r="R424" s="7" t="inlineStr">
        <is>
          <t>Nehemiah; Artaxerxes</t>
        </is>
      </c>
      <c r="S424" s="7" t="inlineStr">
        <is>
          <t>Jerusalem</t>
        </is>
      </c>
      <c r="T424" s="7" t="inlineStr">
        <is>
          <t>Neh. 5:14; Neh. 13:6</t>
        </is>
      </c>
      <c r="U424" s="7" t="inlineStr">
        <is>
          <t>நெ. 5:14; நெ. 13:6</t>
        </is>
      </c>
      <c r="V424" s="7" t="n">
        <v>3</v>
      </c>
      <c r="W424" s="7" t="inlineStr">
        <is>
          <t>The Rise and Fall of an Immense Image</t>
        </is>
      </c>
      <c r="X424" s="9" t="inlineStr">
        <is>
          <t>open</t>
        </is>
      </c>
      <c r="Y424" s="9" t="inlineStr">
        <is>
          <t>open</t>
        </is>
      </c>
      <c r="Z424" s="7" t="inlineStr">
        <is>
          <t>https://wol.jw.org/en/wol/d/r1/lp-e/1101999023
https://wol.jw.org/en/wol/d/r1/lp-e/1200003212
https://wol.jw.org/en/wol/d/r1/lp-e/1200000389</t>
        </is>
      </c>
      <c r="AA424" s="7" t="n">
        <v>0</v>
      </c>
      <c r="AB424" s="7" t="n"/>
      <c r="AC424" s="7" t="n">
        <v>0</v>
      </c>
      <c r="AD424" s="7" t="n"/>
      <c r="AE424" s="7" t="n"/>
      <c r="AF424" s="7" t="inlineStr">
        <is>
          <t>b4-0069</t>
        </is>
      </c>
      <c r="AG424" s="7" t="inlineStr">
        <is>
          <t>b4-0072</t>
        </is>
      </c>
      <c r="AH424" s="7" t="n"/>
      <c r="AI424" s="7" t="n"/>
      <c r="AJ424" s="7" t="n"/>
      <c r="AK424" s="7" t="n"/>
      <c r="AL424" s="7" t="n"/>
      <c r="AM424" s="7" t="n">
        <v>-454.75</v>
      </c>
      <c r="AN424" s="10" t="n"/>
      <c r="AO424" s="10" t="n"/>
      <c r="AP424" s="10" t="n"/>
      <c r="AQ424" s="10" t="n"/>
    </row>
    <row r="425">
      <c r="A425" s="7" t="inlineStr">
        <is>
          <t>b12-0034</t>
        </is>
      </c>
      <c r="B425" s="11" t="inlineStr">
        <is>
          <t>Span</t>
        </is>
      </c>
      <c r="C425" s="7" t="inlineStr">
        <is>
          <t>prophetic period</t>
        </is>
      </c>
      <c r="D425" s="7" t="inlineStr">
        <is>
          <t>455 B.C.E. to 29 C.E.</t>
        </is>
      </c>
      <c r="E425" s="7" t="n"/>
      <c r="F425" s="7" t="inlineStr">
        <is>
          <t>455 BCE</t>
        </is>
      </c>
      <c r="G425" s="7" t="inlineStr">
        <is>
          <t>Exact</t>
        </is>
      </c>
      <c r="H425" s="7" t="inlineStr">
        <is>
          <t>29 CE</t>
        </is>
      </c>
      <c r="I425" s="7" t="inlineStr">
        <is>
          <t>Exact</t>
        </is>
      </c>
      <c r="J425" s="7" t="inlineStr">
        <is>
          <t>483 years</t>
        </is>
      </c>
      <c r="K425" s="2" t="inlineStr">
        <is>
          <t>The 69 weeks to “Messiah the Leader”</t>
        </is>
      </c>
      <c r="L425" s="2" t="n"/>
      <c r="M425" s="7" t="inlineStr">
        <is>
          <t>Seven plus 62 weeks of years—483 years—ran from the word to rebuild Jerusalem to the appearance of the Messiah when Jesus was baptized and anointed in the autumn of 29 C.E.</t>
        </is>
      </c>
      <c r="N425" s="7" t="inlineStr">
        <is>
          <t>பொ.ச.மு. 455-லிருந்து 483 ஆண்டுகளை (69 “வாரங்கள்”) கணக்கிட்டால், “பிரபுவாகிய மேசியா” தோன்றும் ஆண்டு பொ.ச. 29 என்று தெரியும்.</t>
        </is>
      </c>
      <c r="O425" s="8" t="inlineStr">
        <is>
          <t>Bible</t>
        </is>
      </c>
      <c r="P425" s="7" t="inlineStr">
        <is>
          <t>bible.prophecy_fulfilled</t>
        </is>
      </c>
      <c r="Q425" s="7" t="n"/>
      <c r="R425" s="7" t="inlineStr">
        <is>
          <t>Jesus</t>
        </is>
      </c>
      <c r="S425" s="7" t="n"/>
      <c r="T425" s="7" t="inlineStr">
        <is>
          <t>Dan. 9:25</t>
        </is>
      </c>
      <c r="U425" s="7" t="inlineStr">
        <is>
          <t>தானி. 9:25</t>
        </is>
      </c>
      <c r="V425" s="7" t="n">
        <v>2</v>
      </c>
      <c r="W425" s="7" t="inlineStr">
        <is>
          <t>Seventy Weeks</t>
        </is>
      </c>
      <c r="X425" s="9" t="inlineStr">
        <is>
          <t>open</t>
        </is>
      </c>
      <c r="Y425" s="7" t="n"/>
      <c r="Z425" s="7" t="inlineStr">
        <is>
          <t>https://wol.jw.org/en/wol/d/r1/lp-e/1200003915
https://wol.jw.org/en/wol/d/r1/lp-e/1101990130</t>
        </is>
      </c>
      <c r="AA425" s="7" t="n">
        <v>0</v>
      </c>
      <c r="AB425" s="7" t="n"/>
      <c r="AC425" s="7" t="n">
        <v>0</v>
      </c>
      <c r="AD425" s="7" t="n"/>
      <c r="AE425" s="7" t="n"/>
      <c r="AF425" s="7" t="inlineStr">
        <is>
          <t>b4-0069</t>
        </is>
      </c>
      <c r="AG425" s="7" t="inlineStr">
        <is>
          <t>b5-0017</t>
        </is>
      </c>
      <c r="AH425" s="7" t="inlineStr">
        <is>
          <t>b12-0035</t>
        </is>
      </c>
      <c r="AI425" s="7" t="n"/>
      <c r="AJ425" s="7" t="n"/>
      <c r="AK425" s="7" t="inlineStr">
        <is>
          <t>daniel-time-prophecies #10 (item)</t>
        </is>
      </c>
      <c r="AL425" s="7" t="n"/>
      <c r="AM425" s="7" t="n">
        <v>-454.75</v>
      </c>
      <c r="AN425" s="10" t="n"/>
      <c r="AO425" s="10" t="n"/>
      <c r="AP425" s="10" t="n"/>
      <c r="AQ425" s="10" t="n"/>
    </row>
    <row r="426">
      <c r="A426" s="7" t="inlineStr">
        <is>
          <t>b12-0035</t>
        </is>
      </c>
      <c r="B426" s="11" t="inlineStr">
        <is>
          <t>Span</t>
        </is>
      </c>
      <c r="C426" s="7" t="inlineStr">
        <is>
          <t>prophetic period</t>
        </is>
      </c>
      <c r="D426" s="7" t="inlineStr">
        <is>
          <t>455 B.C.E. to 36 C.E.</t>
        </is>
      </c>
      <c r="E426" s="7" t="n"/>
      <c r="F426" s="7" t="inlineStr">
        <is>
          <t>455 BCE</t>
        </is>
      </c>
      <c r="G426" s="7" t="inlineStr">
        <is>
          <t>Exact</t>
        </is>
      </c>
      <c r="H426" s="7" t="inlineStr">
        <is>
          <t>36 CE</t>
        </is>
      </c>
      <c r="I426" s="7" t="inlineStr">
        <is>
          <t>Exact</t>
        </is>
      </c>
      <c r="J426" s="7" t="inlineStr">
        <is>
          <t>490 years</t>
        </is>
      </c>
      <c r="K426" s="2" t="inlineStr">
        <is>
          <t>The 70 weeks of years (Daniel 9)</t>
        </is>
      </c>
      <c r="L426" s="2" t="inlineStr">
        <is>
          <t>70 வாரங்கள்</t>
        </is>
      </c>
      <c r="M426" s="7" t="inlineStr">
        <is>
          <t>Daniel’s 70 weeks of years began with the word to rebuild Jerusalem in Artaxerxes’ 20th year and ended with the conversion of Cornelius, when God’s special favor to the Jews closed.</t>
        </is>
      </c>
      <c r="N426" s="7" t="inlineStr">
        <is>
          <t>அப்போதுதான் முன்னறிவிக்கப்பட்ட “எழுபது வாரங்கள்” அல்லது 490 ஆண்டுகள் ஆரம்பமாயின.</t>
        </is>
      </c>
      <c r="O426" s="8" t="inlineStr">
        <is>
          <t>Bible</t>
        </is>
      </c>
      <c r="P426" s="7" t="inlineStr">
        <is>
          <t>bible.prophecy_fulfilled</t>
        </is>
      </c>
      <c r="Q426" s="7" t="n"/>
      <c r="R426" s="7" t="inlineStr">
        <is>
          <t>Nehemiah; Jesus; Cornelius</t>
        </is>
      </c>
      <c r="S426" s="7" t="n"/>
      <c r="T426" s="7" t="inlineStr">
        <is>
          <t>Dan. 9:24-27; Neh. 2:1-8; Acts 10:30-48</t>
        </is>
      </c>
      <c r="U426" s="7" t="inlineStr">
        <is>
          <t>தானி. 9:24-27; நெ. 2:1-8; அப். 10:30-48</t>
        </is>
      </c>
      <c r="V426" s="7" t="n">
        <v>4</v>
      </c>
      <c r="W426" s="7" t="inlineStr">
        <is>
          <t>Identifying True Worshipers in the Time of the End</t>
        </is>
      </c>
      <c r="X426" s="9" t="inlineStr">
        <is>
          <t>open</t>
        </is>
      </c>
      <c r="Y426" s="9" t="inlineStr">
        <is>
          <t>open</t>
        </is>
      </c>
      <c r="Z426" s="7" t="inlineStr">
        <is>
          <t>https://wol.jw.org/en/wol/d/r1/lp-e/1101999037
https://wol.jw.org/en/wol/d/r1/lp-e/1101999030
https://wol.jw.org/en/wol/d/r1/lp-e/1200003915
https://wol.jw.org/en/wol/d/r1/lp-e/1200000970</t>
        </is>
      </c>
      <c r="AA426" s="7" t="n">
        <v>0</v>
      </c>
      <c r="AB426" s="7" t="n"/>
      <c r="AC426" s="7" t="n">
        <v>0</v>
      </c>
      <c r="AD426" s="7" t="n"/>
      <c r="AE426" s="7" t="n"/>
      <c r="AF426" s="7" t="inlineStr">
        <is>
          <t>b4-0069</t>
        </is>
      </c>
      <c r="AG426" s="7" t="inlineStr">
        <is>
          <t>b6-0011</t>
        </is>
      </c>
      <c r="AH426" s="7" t="n"/>
      <c r="AI426" s="7" t="n"/>
      <c r="AJ426" s="7" t="n"/>
      <c r="AK426" s="7" t="inlineStr">
        <is>
          <t>daniel-time-prophecies #7 (item)</t>
        </is>
      </c>
      <c r="AL426" s="7" t="n"/>
      <c r="AM426" s="7" t="n">
        <v>-454.75</v>
      </c>
      <c r="AN426" s="10" t="n"/>
      <c r="AO426" s="10" t="n"/>
      <c r="AP426" s="10" t="n"/>
      <c r="AQ426" s="10" t="n"/>
    </row>
    <row r="427">
      <c r="A427" s="7" t="inlineStr">
        <is>
          <t>b4-0070</t>
        </is>
      </c>
      <c r="B427" s="7" t="inlineStr">
        <is>
          <t>Point</t>
        </is>
      </c>
      <c r="C427" s="7" t="n"/>
      <c r="D427" s="7" t="inlineStr">
        <is>
          <t>455 B.C.E., about Ab 4</t>
        </is>
      </c>
      <c r="E427" s="7" t="inlineStr">
        <is>
          <t>பொ.ச.மு. 455</t>
        </is>
      </c>
      <c r="F427" s="7" t="inlineStr">
        <is>
          <t>455 BCE</t>
        </is>
      </c>
      <c r="G427" s="7" t="inlineStr">
        <is>
          <t>Approx. (c.)</t>
        </is>
      </c>
      <c r="H427" s="7" t="n"/>
      <c r="I427" s="7" t="n"/>
      <c r="J427" s="7" t="n"/>
      <c r="K427" s="2" t="inlineStr">
        <is>
          <t>Repair of Jerusalem's wall begins</t>
        </is>
      </c>
      <c r="L427" s="2" t="inlineStr">
        <is>
          <t>எருசலேமின் மதில்களை நெகேமியா திரும்பக் கட்டுகிறார்</t>
        </is>
      </c>
      <c r="M427" s="7" t="inlineStr">
        <is>
          <t>After inspecting the walls by night, Nehemiah urged the people to build; despite ridicule from Sanballat, Tobiah, and Geshem, repair work began about the fourth of Ab.</t>
        </is>
      </c>
      <c r="N427" s="7" t="n"/>
      <c r="O427" s="8" t="inlineStr">
        <is>
          <t>Bible</t>
        </is>
      </c>
      <c r="P427" s="7" t="inlineStr">
        <is>
          <t>bible.exile_return</t>
        </is>
      </c>
      <c r="Q427" s="7" t="inlineStr">
        <is>
          <t>construction</t>
        </is>
      </c>
      <c r="R427" s="7" t="inlineStr">
        <is>
          <t>Nehemiah; Sanballat; Tobiah; Geshem</t>
        </is>
      </c>
      <c r="S427" s="7" t="inlineStr">
        <is>
          <t>Jerusalem</t>
        </is>
      </c>
      <c r="T427" s="7" t="inlineStr">
        <is>
          <t>Neh. 2:11-20; Neh. 3:1-32</t>
        </is>
      </c>
      <c r="U427" s="7" t="n"/>
      <c r="V427" s="7" t="n">
        <v>2</v>
      </c>
      <c r="W427" s="7" t="inlineStr">
        <is>
          <t>Nehemiah</t>
        </is>
      </c>
      <c r="X427" s="9" t="inlineStr">
        <is>
          <t>open</t>
        </is>
      </c>
      <c r="Y427" s="7" t="n"/>
      <c r="Z427" s="7" t="inlineStr">
        <is>
          <t>https://wol.jw.org/en/wol/d/r1/lp-e/1200003212
https://wol.jw.org/en/wol/d/r1/lp-e/1101990130</t>
        </is>
      </c>
      <c r="AA427" s="7" t="n">
        <v>0</v>
      </c>
      <c r="AB427" s="7" t="n"/>
      <c r="AC427" s="7" t="n">
        <v>0</v>
      </c>
      <c r="AD427" s="7" t="n"/>
      <c r="AE427" s="7" t="n"/>
      <c r="AF427" s="7" t="n"/>
      <c r="AG427" s="7" t="n"/>
      <c r="AH427" s="7" t="n"/>
      <c r="AI427" s="7" t="n"/>
      <c r="AJ427" s="7" t="n"/>
      <c r="AK427" s="7" t="n"/>
      <c r="AL427" s="7" t="n"/>
      <c r="AM427" s="7" t="n">
        <v>-454.4</v>
      </c>
      <c r="AN427" s="10" t="n"/>
      <c r="AO427" s="10" t="n"/>
      <c r="AP427" s="10" t="n"/>
      <c r="AQ427" s="10" t="n"/>
    </row>
    <row r="428">
      <c r="A428" s="7" t="inlineStr">
        <is>
          <t>b4-0071</t>
        </is>
      </c>
      <c r="B428" s="7" t="inlineStr">
        <is>
          <t>Point</t>
        </is>
      </c>
      <c r="C428" s="7" t="n"/>
      <c r="D428" s="7" t="inlineStr">
        <is>
          <t>455 B.C.E., Elul 25</t>
        </is>
      </c>
      <c r="E428" s="7" t="inlineStr">
        <is>
          <t>பொ.ச.மு. 455</t>
        </is>
      </c>
      <c r="F428" s="7" t="inlineStr">
        <is>
          <t>455 BCE</t>
        </is>
      </c>
      <c r="G428" s="7" t="inlineStr">
        <is>
          <t>Exact</t>
        </is>
      </c>
      <c r="H428" s="7" t="n"/>
      <c r="I428" s="7" t="n"/>
      <c r="J428" s="7" t="n"/>
      <c r="K428" s="2" t="inlineStr">
        <is>
          <t>Jerusalem's wall completed in 52 days</t>
        </is>
      </c>
      <c r="L428" s="2" t="inlineStr">
        <is>
          <t>எருசலேமின் மதில்களை நெகேமியா திரும்பக் கட்டுகிறார்; 70 வாரங்களின் தீர்க்கதரிசனம் நிறைவேறத் தொடங்குகிறது</t>
        </is>
      </c>
      <c r="M428" s="7" t="inlineStr">
        <is>
          <t>Despite harassment and plots, the repair work was completed on the 25th of Elul, just 52 days after it began, ringing Jerusalem with a wall and gates.</t>
        </is>
      </c>
      <c r="N428" s="7" t="n"/>
      <c r="O428" s="8" t="inlineStr">
        <is>
          <t>Bible</t>
        </is>
      </c>
      <c r="P428" s="7" t="inlineStr">
        <is>
          <t>bible.exile_return</t>
        </is>
      </c>
      <c r="Q428" s="7" t="inlineStr">
        <is>
          <t>construction</t>
        </is>
      </c>
      <c r="R428" s="7" t="inlineStr">
        <is>
          <t>Nehemiah</t>
        </is>
      </c>
      <c r="S428" s="7" t="inlineStr">
        <is>
          <t>Jerusalem</t>
        </is>
      </c>
      <c r="T428" s="7" t="inlineStr">
        <is>
          <t>Neh. 6:15; Neh. 4:1-23</t>
        </is>
      </c>
      <c r="U428" s="7" t="inlineStr">
        <is>
          <t>நெ. 6:15</t>
        </is>
      </c>
      <c r="V428" s="7" t="n">
        <v>3</v>
      </c>
      <c r="W428" s="7" t="inlineStr">
        <is>
          <t>Study Number 3—Measuring Events in the Stream of Time</t>
        </is>
      </c>
      <c r="X428" s="9" t="inlineStr">
        <is>
          <t>open</t>
        </is>
      </c>
      <c r="Y428" s="9" t="inlineStr">
        <is>
          <t>open</t>
        </is>
      </c>
      <c r="Z428" s="7" t="inlineStr">
        <is>
          <t>https://wol.jw.org/en/wol/d/r1/lp-e/1101990130
https://wol.jw.org/en/wol/d/r1/lp-e/1200003212
https://wol.jw.org/en/wol/d/r1/lp-e/1200002436</t>
        </is>
      </c>
      <c r="AA428" s="7" t="n">
        <v>0</v>
      </c>
      <c r="AB428" s="7" t="n"/>
      <c r="AC428" s="7" t="n">
        <v>0</v>
      </c>
      <c r="AD428" s="7" t="n"/>
      <c r="AE428" s="7" t="n"/>
      <c r="AF428" s="7" t="n"/>
      <c r="AG428" s="7" t="n"/>
      <c r="AH428" s="7" t="n"/>
      <c r="AI428" s="7" t="n"/>
      <c r="AJ428" s="7" t="n"/>
      <c r="AK428" s="7" t="n"/>
      <c r="AL428" s="7" t="n"/>
      <c r="AM428" s="7" t="n">
        <v>-454.3</v>
      </c>
      <c r="AN428" s="10" t="n"/>
      <c r="AO428" s="10" t="n"/>
      <c r="AP428" s="10" t="n"/>
      <c r="AQ428" s="10" t="n"/>
    </row>
    <row r="429">
      <c r="A429" s="7" t="inlineStr">
        <is>
          <t>b4-0072</t>
        </is>
      </c>
      <c r="B429" s="7" t="inlineStr">
        <is>
          <t>Point</t>
        </is>
      </c>
      <c r="C429" s="7" t="n"/>
      <c r="D429" s="7" t="inlineStr">
        <is>
          <t>443 B.C.E. (32nd year of Artaxerxes)</t>
        </is>
      </c>
      <c r="E429" s="7" t="inlineStr">
        <is>
          <t>பொ.ச.மு. 443</t>
        </is>
      </c>
      <c r="F429" s="7" t="inlineStr">
        <is>
          <t>443 BCE</t>
        </is>
      </c>
      <c r="G429" s="7" t="inlineStr">
        <is>
          <t>Exact</t>
        </is>
      </c>
      <c r="H429" s="7" t="n"/>
      <c r="I429" s="7" t="n"/>
      <c r="J429" s="7" t="n"/>
      <c r="K429" s="2" t="inlineStr">
        <is>
          <t>Nehemiah returns to Artaxerxes' court</t>
        </is>
      </c>
      <c r="L429" s="2" t="inlineStr">
        <is>
          <t>நெகேமியாவின் புத்தகத்தை நெகேமியா எழுதி முடிக்கிறார்</t>
        </is>
      </c>
      <c r="M429" s="7" t="inlineStr">
        <is>
          <t>After 12 years as governor (455-443 B.C.E.), during which he never demanded the governor's food allowance, Nehemiah left Jerusalem in Artaxerxes' 32nd year and returned for a time to the king's court.</t>
        </is>
      </c>
      <c r="N429" s="7" t="inlineStr">
        <is>
          <t>அர்தசஷ்டாவின் 32-ம் ஆண்டாகிய பொ.ச.மு. 443-ல் அவர் நெகேமியாவை பாபிலோனுக்கு திரும்ப அழைத்தார்.</t>
        </is>
      </c>
      <c r="O429" s="8" t="inlineStr">
        <is>
          <t>Bible</t>
        </is>
      </c>
      <c r="P429" s="7" t="inlineStr">
        <is>
          <t>bible.exile_return</t>
        </is>
      </c>
      <c r="Q429" s="7" t="inlineStr">
        <is>
          <t>journey</t>
        </is>
      </c>
      <c r="R429" s="7" t="inlineStr">
        <is>
          <t>Nehemiah; Artaxerxes I</t>
        </is>
      </c>
      <c r="S429" s="7" t="inlineStr">
        <is>
          <t>Jerusalem; Babylon</t>
        </is>
      </c>
      <c r="T429" s="7" t="inlineStr">
        <is>
          <t>Neh. 13:6; Neh. 5:14</t>
        </is>
      </c>
      <c r="U429" s="7" t="n"/>
      <c r="V429" s="7" t="n">
        <v>5</v>
      </c>
      <c r="W429" s="7" t="inlineStr">
        <is>
          <t>Artaxerxes</t>
        </is>
      </c>
      <c r="X429" s="9" t="inlineStr">
        <is>
          <t>open</t>
        </is>
      </c>
      <c r="Y429" s="7" t="n"/>
      <c r="Z429" s="7" t="inlineStr">
        <is>
          <t>https://wol.jw.org/en/wol/d/r1/lp-e/1200000389
https://wol.jw.org/en/wol/d/r1/lp-e/1200003447
https://wol.jw.org/en/wol/d/r1/lp-e/1200003213
https://wol.jw.org/en/wol/d/r1/lp-e/1101990077
https://wol.jw.org/en/wol/d/r1/lp-e/1101990100</t>
        </is>
      </c>
      <c r="AA429" s="7" t="n">
        <v>0</v>
      </c>
      <c r="AB429" s="7" t="n"/>
      <c r="AC429" s="7" t="n">
        <v>0</v>
      </c>
      <c r="AD429" s="7" t="n"/>
      <c r="AE429" s="7" t="n"/>
      <c r="AF429" s="7" t="n"/>
      <c r="AG429" s="7" t="n"/>
      <c r="AH429" s="7" t="n"/>
      <c r="AI429" s="7" t="inlineStr">
        <is>
          <t>Span endpoint – keep</t>
        </is>
      </c>
      <c r="AJ429" s="7" t="inlineStr">
        <is>
          <t>end of Nehemiah’s first term as governor of Judah (b12-0033)</t>
        </is>
      </c>
      <c r="AK429" s="7" t="n"/>
      <c r="AL429" s="7" t="inlineStr">
        <is>
          <t>[title_ta from owner's Tamil sheet]</t>
        </is>
      </c>
      <c r="AM429" s="7" t="n">
        <v>-443</v>
      </c>
      <c r="AN429" s="10" t="n"/>
      <c r="AO429" s="10" t="n"/>
      <c r="AP429" s="10" t="n"/>
      <c r="AQ429" s="10" t="n"/>
    </row>
    <row r="430">
      <c r="A430" s="7" t="inlineStr">
        <is>
          <t>b4-0073</t>
        </is>
      </c>
      <c r="B430" s="7" t="inlineStr">
        <is>
          <t>Point</t>
        </is>
      </c>
      <c r="C430" s="7" t="n"/>
      <c r="D430" s="7" t="inlineStr">
        <is>
          <t>a. 443 B.C.E.</t>
        </is>
      </c>
      <c r="E430" s="7" t="n"/>
      <c r="F430" s="7" t="inlineStr">
        <is>
          <t>443 BCE</t>
        </is>
      </c>
      <c r="G430" s="7" t="inlineStr">
        <is>
          <t>After (a.)</t>
        </is>
      </c>
      <c r="H430" s="7" t="n"/>
      <c r="I430" s="7" t="n"/>
      <c r="J430" s="7" t="n"/>
      <c r="K430" s="2" t="inlineStr">
        <is>
          <t>Nehemiah's second visit to Jerusalem and reforms</t>
        </is>
      </c>
      <c r="L430" s="2" t="n"/>
      <c r="M430" s="7" t="inlineStr">
        <is>
          <t>Sometime after Artaxerxes' 32nd year, Nehemiah came again to Jerusalem and vigorously rooted out apostasy and abuses, including Tobiah's use of a temple dining hall, neglect of tithes, Sabbath breaking, and marriages to foreign wives.</t>
        </is>
      </c>
      <c r="N430" s="7" t="n"/>
      <c r="O430" s="8" t="inlineStr">
        <is>
          <t>Bible</t>
        </is>
      </c>
      <c r="P430" s="7" t="inlineStr">
        <is>
          <t>bible.exile_return</t>
        </is>
      </c>
      <c r="Q430" s="7" t="inlineStr">
        <is>
          <t>reform</t>
        </is>
      </c>
      <c r="R430" s="7" t="inlineStr">
        <is>
          <t>Nehemiah; Tobiah; Eliashib</t>
        </is>
      </c>
      <c r="S430" s="7" t="inlineStr">
        <is>
          <t>Jerusalem</t>
        </is>
      </c>
      <c r="T430" s="7" t="inlineStr">
        <is>
          <t>Neh. 13:4-31</t>
        </is>
      </c>
      <c r="U430" s="7" t="n"/>
      <c r="V430" s="7" t="n">
        <v>2</v>
      </c>
      <c r="W430" s="7" t="inlineStr">
        <is>
          <t>Malachi, Book of</t>
        </is>
      </c>
      <c r="X430" s="9" t="inlineStr">
        <is>
          <t>open</t>
        </is>
      </c>
      <c r="Y430" s="7" t="n"/>
      <c r="Z430" s="7" t="inlineStr">
        <is>
          <t>https://wol.jw.org/en/wol/d/r1/lp-e/1200002861
https://wol.jw.org/en/wol/d/r1/lp-e/1200002436</t>
        </is>
      </c>
      <c r="AA430" s="7" t="n">
        <v>0</v>
      </c>
      <c r="AB430" s="7" t="n"/>
      <c r="AC430" s="7" t="n">
        <v>0</v>
      </c>
      <c r="AD430" s="7" t="n"/>
      <c r="AE430" s="7" t="n"/>
      <c r="AF430" s="7" t="n"/>
      <c r="AG430" s="7" t="n"/>
      <c r="AH430" s="7" t="n"/>
      <c r="AI430" s="7" t="n"/>
      <c r="AJ430" s="7" t="n"/>
      <c r="AK430" s="7" t="n"/>
      <c r="AL430" s="7" t="n"/>
      <c r="AM430" s="7" t="n">
        <v>-442.99</v>
      </c>
      <c r="AN430" s="10" t="n"/>
      <c r="AO430" s="10" t="n"/>
      <c r="AP430" s="10" t="n"/>
      <c r="AQ430" s="10" t="n"/>
    </row>
    <row r="431">
      <c r="A431" s="7" t="inlineStr">
        <is>
          <t>b11-0041</t>
        </is>
      </c>
      <c r="B431" s="7" t="inlineStr">
        <is>
          <t>Point</t>
        </is>
      </c>
      <c r="C431" s="7" t="n"/>
      <c r="D431" s="7" t="inlineStr">
        <is>
          <t>a. 443 B.C.E.</t>
        </is>
      </c>
      <c r="E431" s="7" t="inlineStr">
        <is>
          <t>கி.மு. 443-க்குப் பின்</t>
        </is>
      </c>
      <c r="F431" s="7" t="inlineStr">
        <is>
          <t>443 BCE</t>
        </is>
      </c>
      <c r="G431" s="7" t="inlineStr">
        <is>
          <t>After (a.)</t>
        </is>
      </c>
      <c r="H431" s="7" t="n"/>
      <c r="I431" s="7" t="n"/>
      <c r="J431" s="7" t="n"/>
      <c r="K431" s="2" t="inlineStr">
        <is>
          <t>Writing of Nehemiah completed</t>
        </is>
      </c>
      <c r="L431" s="2" t="inlineStr">
        <is>
          <t>நெகேமியா — எழுதி முடிக்கப்பட்டது</t>
        </is>
      </c>
      <c r="M431" s="7" t="inlineStr">
        <is>
          <t>The writing of Nehemiah was completed after 443 B.C.E. Writer: Nehemiah; place written: Jerusalem. Time covered: 456–a. 443 B.C.E.</t>
        </is>
      </c>
      <c r="N431" s="7" t="inlineStr">
        <is>
          <t>நெகேமியா: எழுதியவர்(கள்): நெகேமியா; எழுதப்பட்ட இடம்: எருசலேம்; முடிக்கப்பட்ட வருஷம் (கி.மு.): 443-க்குப் பின்; காலப்பகுதி (கி.மு.): 456–443-க்குப் பின்.</t>
        </is>
      </c>
      <c r="O431" s="8" t="inlineStr">
        <is>
          <t>Bible</t>
        </is>
      </c>
      <c r="P431" s="7" t="inlineStr">
        <is>
          <t>bible.book_writing</t>
        </is>
      </c>
      <c r="Q431" s="7" t="inlineStr">
        <is>
          <t>writing_completed</t>
        </is>
      </c>
      <c r="R431" s="7" t="inlineStr">
        <is>
          <t>Nehemiah</t>
        </is>
      </c>
      <c r="S431" s="7" t="inlineStr">
        <is>
          <t>Jerusalem</t>
        </is>
      </c>
      <c r="T431" s="7" t="inlineStr">
        <is>
          <t>Neh.</t>
        </is>
      </c>
      <c r="U431" s="7" t="inlineStr">
        <is>
          <t>நெ.</t>
        </is>
      </c>
      <c r="V431" s="7" t="n">
        <v>6</v>
      </c>
      <c r="W431" s="7" t="inlineStr">
        <is>
          <t>Table of the Books of the Bible</t>
        </is>
      </c>
      <c r="X431" s="9" t="inlineStr">
        <is>
          <t>open</t>
        </is>
      </c>
      <c r="Y431" s="9" t="inlineStr">
        <is>
          <t>open</t>
        </is>
      </c>
      <c r="Z431" s="7" t="inlineStr">
        <is>
          <t>https://wol.jw.org/en/wol/d/r1/lp-e/1001070071
https://wol.jw.org/en/wol/d/r1/lp-e/1101990077
https://www.jw.org/en/library/bible/study-bible/books-of-the-bible-list/
https://wol.jw.org/en/wol/d/r1/lp-e/1001060002
https://wol.jw.org/en/wol/d/r1/lp-e/1101990130
https://wol.jw.org/en/wol/d/r1/lp-e/1200003213</t>
        </is>
      </c>
      <c r="AA431" s="7" t="n">
        <v>0</v>
      </c>
      <c r="AB431" s="7" t="n"/>
      <c r="AC431" s="7" t="n">
        <v>0</v>
      </c>
      <c r="AD431" s="7" t="n"/>
      <c r="AE431" s="7" t="n"/>
      <c r="AF431" s="7" t="n"/>
      <c r="AG431" s="7" t="n"/>
      <c r="AH431" s="7" t="n"/>
      <c r="AI431" s="7" t="n"/>
      <c r="AJ431" s="7" t="n"/>
      <c r="AK431" s="7" t="inlineStr">
        <is>
          <t>bible-books-written #16 (item)</t>
        </is>
      </c>
      <c r="AL431" s="7" t="inlineStr">
        <is>
          <t>Writer(s): Nehemiah. Place written: Jerusalem. Writing completed: a. 443 B.C.E. Time covered: 456–a. 443 B.C.E.</t>
        </is>
      </c>
      <c r="AM431" s="7" t="n">
        <v>-442.9884</v>
      </c>
      <c r="AN431" s="10" t="n"/>
      <c r="AO431" s="10" t="n"/>
      <c r="AP431" s="10" t="n"/>
      <c r="AQ431" s="10" t="n"/>
    </row>
    <row r="432">
      <c r="A432" s="7" t="inlineStr">
        <is>
          <t>b11-0042</t>
        </is>
      </c>
      <c r="B432" s="7" t="inlineStr">
        <is>
          <t>Point</t>
        </is>
      </c>
      <c r="C432" s="7" t="n"/>
      <c r="D432" s="7" t="inlineStr">
        <is>
          <t>a. 443 B.C.E.</t>
        </is>
      </c>
      <c r="E432" s="7" t="inlineStr">
        <is>
          <t>கி.மு. 443-க்குப் பின்</t>
        </is>
      </c>
      <c r="F432" s="7" t="inlineStr">
        <is>
          <t>443 BCE</t>
        </is>
      </c>
      <c r="G432" s="7" t="inlineStr">
        <is>
          <t>After (a.)</t>
        </is>
      </c>
      <c r="H432" s="7" t="n"/>
      <c r="I432" s="7" t="n"/>
      <c r="J432" s="7" t="n"/>
      <c r="K432" s="2" t="inlineStr">
        <is>
          <t>Writing of Malachi completed</t>
        </is>
      </c>
      <c r="L432" s="2" t="inlineStr">
        <is>
          <t>மல்கியா — எழுதி முடிக்கப்பட்டது</t>
        </is>
      </c>
      <c r="M432" s="7" t="inlineStr">
        <is>
          <t>The writing of Malachi was completed after 443 B.C.E. Writer: Malachi; place written: Jerusalem.</t>
        </is>
      </c>
      <c r="N432" s="7" t="inlineStr">
        <is>
          <t>மல்கியா: எழுதியவர்(கள்): மல்கியா; எழுதப்பட்ட இடம்: எருசலேம்; முடிக்கப்பட்ட வருஷம் (கி.மு.): 443-க்குப் பின்.</t>
        </is>
      </c>
      <c r="O432" s="8" t="inlineStr">
        <is>
          <t>Bible</t>
        </is>
      </c>
      <c r="P432" s="7" t="inlineStr">
        <is>
          <t>bible.book_writing</t>
        </is>
      </c>
      <c r="Q432" s="7" t="inlineStr">
        <is>
          <t>writing_completed</t>
        </is>
      </c>
      <c r="R432" s="7" t="inlineStr">
        <is>
          <t>Malachi</t>
        </is>
      </c>
      <c r="S432" s="7" t="inlineStr">
        <is>
          <t>Jerusalem</t>
        </is>
      </c>
      <c r="T432" s="7" t="inlineStr">
        <is>
          <t>Mal.</t>
        </is>
      </c>
      <c r="U432" s="7" t="inlineStr">
        <is>
          <t>மல்.</t>
        </is>
      </c>
      <c r="V432" s="7" t="n">
        <v>7</v>
      </c>
      <c r="W432" s="7" t="inlineStr">
        <is>
          <t>Table of the Books of the Bible</t>
        </is>
      </c>
      <c r="X432" s="9" t="inlineStr">
        <is>
          <t>open</t>
        </is>
      </c>
      <c r="Y432" s="9" t="inlineStr">
        <is>
          <t>open</t>
        </is>
      </c>
      <c r="Z432" s="7" t="inlineStr">
        <is>
          <t>https://wol.jw.org/en/wol/d/r1/lp-e/1001070071
https://wol.jw.org/en/wol/d/r1/lp-e/1101990100
https://www.jw.org/en/library/bible/study-bible/books-of-the-bible-list/
https://wol.jw.org/en/wol/d/r1/lp-e/1001060002
https://wol.jw.org/en/wol/d/r1/lp-e/1101990130
https://wol.jw.org/en/wol/d/r1/lp-e/1200002861
https://wol.jw.org/en/wol/d/r1/lp-e/1200003915</t>
        </is>
      </c>
      <c r="AA432" s="7" t="n">
        <v>0</v>
      </c>
      <c r="AB432" s="7" t="n"/>
      <c r="AC432" s="7" t="n">
        <v>1</v>
      </c>
      <c r="AD432" s="7" t="inlineStr">
        <is>
          <t>Rbi8 place written: 'Jerusalem rebuilt' (nwtsty: 'Jerusalem').</t>
        </is>
      </c>
      <c r="AE432" s="7" t="n"/>
      <c r="AF432" s="7" t="n"/>
      <c r="AG432" s="7" t="n"/>
      <c r="AH432" s="7" t="n"/>
      <c r="AI432" s="7" t="n"/>
      <c r="AJ432" s="7" t="n"/>
      <c r="AK432" s="7" t="inlineStr">
        <is>
          <t>bible-books-written #39 (item); how-the-bible-came-to-us #2 (step); wheat-and-weeds #1 (prophecy)</t>
        </is>
      </c>
      <c r="AL432" s="7" t="inlineStr">
        <is>
          <t>Writer(s): Malachi. Place written: Jerusalem. Writing completed: a. 443 B.C.E. Time covered: —.</t>
        </is>
      </c>
      <c r="AM432" s="7" t="n">
        <v>-442.9861</v>
      </c>
      <c r="AN432" s="10" t="n"/>
      <c r="AO432" s="10" t="n"/>
      <c r="AP432" s="10" t="n"/>
      <c r="AQ432" s="10" t="n"/>
    </row>
    <row r="433">
      <c r="A433" s="7" t="inlineStr">
        <is>
          <t>b4-0076</t>
        </is>
      </c>
      <c r="B433" s="11" t="inlineStr">
        <is>
          <t>Span</t>
        </is>
      </c>
      <c r="C433" s="7" t="inlineStr">
        <is>
          <t>war</t>
        </is>
      </c>
      <c r="D433" s="7" t="inlineStr">
        <is>
          <t>431-404 B.C.E.</t>
        </is>
      </c>
      <c r="E433" s="7" t="n"/>
      <c r="F433" s="7" t="inlineStr">
        <is>
          <t>431 BCE</t>
        </is>
      </c>
      <c r="G433" s="7" t="inlineStr">
        <is>
          <t>Exact</t>
        </is>
      </c>
      <c r="H433" s="7" t="inlineStr">
        <is>
          <t>404 BCE</t>
        </is>
      </c>
      <c r="I433" s="7" t="inlineStr">
        <is>
          <t>Exact</t>
        </is>
      </c>
      <c r="J433" s="7" t="inlineStr">
        <is>
          <t>27 years</t>
        </is>
      </c>
      <c r="K433" s="2" t="inlineStr">
        <is>
          <t>Peloponnesian War between Athens and Sparta</t>
        </is>
      </c>
      <c r="L433" s="2" t="n"/>
      <c r="M433" s="7" t="inlineStr">
        <is>
          <t>Athens' 'Golden Age' lasted down to about 431 B.C.E.; the war that followed ran from 431 to 404 B.C.E. and ended in Athens' complete defeat by Sparta.</t>
        </is>
      </c>
      <c r="N433" s="7" t="n"/>
      <c r="O433" s="8" t="inlineStr">
        <is>
          <t>Bible</t>
        </is>
      </c>
      <c r="P433" s="7" t="inlineStr">
        <is>
          <t>bible.intertestament</t>
        </is>
      </c>
      <c r="Q433" s="7" t="inlineStr">
        <is>
          <t>battle</t>
        </is>
      </c>
      <c r="R433" s="7" t="n"/>
      <c r="S433" s="7" t="inlineStr">
        <is>
          <t>Athens; Sparta</t>
        </is>
      </c>
      <c r="T433" s="7" t="n"/>
      <c r="U433" s="7" t="n"/>
      <c r="V433" s="7" t="n">
        <v>1</v>
      </c>
      <c r="W433" s="7" t="inlineStr">
        <is>
          <t>Greece, Greeks</t>
        </is>
      </c>
      <c r="X433" s="9" t="inlineStr">
        <is>
          <t>open</t>
        </is>
      </c>
      <c r="Y433" s="7" t="n"/>
      <c r="Z433" s="7" t="inlineStr">
        <is>
          <t>https://wol.jw.org/en/wol/d/r1/lp-e/1200001765</t>
        </is>
      </c>
      <c r="AA433" s="7" t="n">
        <v>0</v>
      </c>
      <c r="AB433" s="7" t="n"/>
      <c r="AC433" s="7" t="n">
        <v>0</v>
      </c>
      <c r="AD433" s="7" t="n"/>
      <c r="AE433" s="7" t="n"/>
      <c r="AF433" s="7" t="n"/>
      <c r="AG433" s="7" t="n"/>
      <c r="AH433" s="7" t="n"/>
      <c r="AI433" s="7" t="n"/>
      <c r="AJ433" s="7" t="n"/>
      <c r="AK433" s="7" t="n"/>
      <c r="AL433" s="7" t="n"/>
      <c r="AM433" s="7" t="n">
        <v>-431</v>
      </c>
      <c r="AN433" s="10" t="n"/>
      <c r="AO433" s="10" t="n"/>
      <c r="AP433" s="10" t="n"/>
      <c r="AQ433" s="10" t="n"/>
    </row>
    <row r="434">
      <c r="A434" s="7" t="inlineStr">
        <is>
          <t>b4-0077</t>
        </is>
      </c>
      <c r="B434" s="7" t="inlineStr">
        <is>
          <t>Point</t>
        </is>
      </c>
      <c r="C434" s="7" t="n"/>
      <c r="D434" s="7" t="inlineStr">
        <is>
          <t>424 B.C.E.</t>
        </is>
      </c>
      <c r="E434" s="7" t="n"/>
      <c r="F434" s="7" t="inlineStr">
        <is>
          <t>424 BCE</t>
        </is>
      </c>
      <c r="G434" s="7" t="inlineStr">
        <is>
          <t>Exact</t>
        </is>
      </c>
      <c r="H434" s="7" t="n"/>
      <c r="I434" s="7" t="n"/>
      <c r="J434" s="7" t="n"/>
      <c r="K434" s="2" t="inlineStr">
        <is>
          <t>End of Artaxerxes I's reign; Darius II succeeds</t>
        </is>
      </c>
      <c r="L434" s="2" t="n"/>
      <c r="M434" s="7" t="inlineStr">
        <is>
          <t>Artaxerxes I ruled through his 51st year (424 B.C.E.); the first regnal year of Darius II began in spring 423 B.C.E.</t>
        </is>
      </c>
      <c r="N434" s="7" t="n"/>
      <c r="O434" s="8" t="inlineStr">
        <is>
          <t>Bible</t>
        </is>
      </c>
      <c r="P434" s="7" t="inlineStr">
        <is>
          <t>bible.intertestament</t>
        </is>
      </c>
      <c r="Q434" s="7" t="inlineStr">
        <is>
          <t>accession</t>
        </is>
      </c>
      <c r="R434" s="7" t="inlineStr">
        <is>
          <t>Artaxerxes I; Darius II</t>
        </is>
      </c>
      <c r="S434" s="7" t="inlineStr">
        <is>
          <t>Persia</t>
        </is>
      </c>
      <c r="T434" s="7" t="n"/>
      <c r="U434" s="7" t="n"/>
      <c r="V434" s="7" t="n">
        <v>1</v>
      </c>
      <c r="W434" s="7" t="inlineStr">
        <is>
          <t>Persia, Persians</t>
        </is>
      </c>
      <c r="X434" s="9" t="inlineStr">
        <is>
          <t>open</t>
        </is>
      </c>
      <c r="Y434" s="7" t="n"/>
      <c r="Z434" s="7" t="inlineStr">
        <is>
          <t>https://wol.jw.org/en/wol/d/r1/lp-e/1200003447</t>
        </is>
      </c>
      <c r="AA434" s="7" t="n">
        <v>0</v>
      </c>
      <c r="AB434" s="7" t="n"/>
      <c r="AC434" s="7" t="n">
        <v>0</v>
      </c>
      <c r="AD434" s="7" t="n"/>
      <c r="AE434" s="7" t="n"/>
      <c r="AF434" s="7" t="n"/>
      <c r="AG434" s="7" t="n"/>
      <c r="AH434" s="7" t="n"/>
      <c r="AI434" s="7" t="inlineStr">
        <is>
          <t>Covered by span – hide on chart</t>
        </is>
      </c>
      <c r="AJ434" s="7" t="inlineStr">
        <is>
          <t>end of Reign of Artaxerxes I (Longimanus) (b12-0032)</t>
        </is>
      </c>
      <c r="AK434" s="7" t="n"/>
      <c r="AL434" s="7" t="n"/>
      <c r="AM434" s="7" t="n">
        <v>-424</v>
      </c>
      <c r="AN434" s="10" t="n"/>
      <c r="AO434" s="10" t="n"/>
      <c r="AP434" s="10" t="n"/>
      <c r="AQ434" s="10" t="n"/>
    </row>
    <row r="435">
      <c r="A435" s="7" t="inlineStr">
        <is>
          <t>b4-0078</t>
        </is>
      </c>
      <c r="B435" s="7" t="inlineStr">
        <is>
          <t>Point</t>
        </is>
      </c>
      <c r="C435" s="7" t="n"/>
      <c r="D435" s="7" t="inlineStr">
        <is>
          <t>406 B.C.E.</t>
        </is>
      </c>
      <c r="E435" s="7" t="inlineStr">
        <is>
          <t>பொ.ச.மு. 406</t>
        </is>
      </c>
      <c r="F435" s="7" t="inlineStr">
        <is>
          <t>406 BCE</t>
        </is>
      </c>
      <c r="G435" s="7" t="inlineStr">
        <is>
          <t>Approx. (c.)</t>
        </is>
      </c>
      <c r="H435" s="7" t="n"/>
      <c r="I435" s="7" t="n"/>
      <c r="J435" s="7" t="n"/>
      <c r="K435" s="2" t="inlineStr">
        <is>
          <t>Rebuilding of Jerusalem evidently completed</t>
        </is>
      </c>
      <c r="L435" s="2" t="inlineStr">
        <is>
          <t>எருசலேமைத் திரும்பக் கட்டுவது முடிவுற்றதாக தெரிகிறது</t>
        </is>
      </c>
      <c r="M435" s="7" t="inlineStr">
        <is>
          <t>The rebuilding of Jerusalem was evidently completed to the extent necessary by about 406 B.C.E., within the first 'seven weeks' (49 years) of the prophecy.</t>
        </is>
      </c>
      <c r="N435" s="7" t="inlineStr">
        <is>
          <t>406-க்குள்—‘ஏழு வாரத்திற்குள்,’ அல்லது 49 வருடங்களுக்குள்—போதிய அளவு வேலை முடிக்கப்பட்டது.</t>
        </is>
      </c>
      <c r="O435" s="8" t="inlineStr">
        <is>
          <t>Bible</t>
        </is>
      </c>
      <c r="P435" s="7" t="inlineStr">
        <is>
          <t>bible.prophecy_fulfilled</t>
        </is>
      </c>
      <c r="Q435" s="7" t="inlineStr">
        <is>
          <t>construction</t>
        </is>
      </c>
      <c r="R435" s="7" t="n"/>
      <c r="S435" s="7" t="inlineStr">
        <is>
          <t>Jerusalem</t>
        </is>
      </c>
      <c r="T435" s="7" t="inlineStr">
        <is>
          <t>Dan. 9:25</t>
        </is>
      </c>
      <c r="U435" s="7" t="inlineStr">
        <is>
          <t>தானி. 9:25</t>
        </is>
      </c>
      <c r="V435" s="7" t="n">
        <v>2</v>
      </c>
      <c r="W435" s="7" t="inlineStr">
        <is>
          <t>Study Number 3—Measuring Events in the Stream of Time</t>
        </is>
      </c>
      <c r="X435" s="9" t="inlineStr">
        <is>
          <t>open</t>
        </is>
      </c>
      <c r="Y435" s="9" t="inlineStr">
        <is>
          <t>open</t>
        </is>
      </c>
      <c r="Z435" s="7" t="inlineStr">
        <is>
          <t>https://wol.jw.org/en/wol/d/r1/lp-e/1101990130
https://wol.jw.org/en/wol/d/r1/lp-e/1101999030</t>
        </is>
      </c>
      <c r="AA435" s="7" t="n">
        <v>0</v>
      </c>
      <c r="AB435" s="7" t="n"/>
      <c r="AC435" s="7" t="n">
        <v>0</v>
      </c>
      <c r="AD435" s="7" t="n"/>
      <c r="AE435" s="7" t="n"/>
      <c r="AF435" s="7" t="n"/>
      <c r="AG435" s="7" t="n"/>
      <c r="AH435" s="7" t="n"/>
      <c r="AI435" s="7" t="n"/>
      <c r="AJ435" s="7" t="n"/>
      <c r="AK435" s="7" t="inlineStr">
        <is>
          <t>daniel-time-prophecies #9 (step)</t>
        </is>
      </c>
      <c r="AL435" s="7" t="n"/>
      <c r="AM435" s="7" t="n">
        <v>-406</v>
      </c>
      <c r="AN435" s="10" t="n"/>
      <c r="AO435" s="10" t="n"/>
      <c r="AP435" s="10" t="n"/>
      <c r="AQ435" s="10" t="n"/>
    </row>
    <row r="436">
      <c r="A436" s="7" t="inlineStr">
        <is>
          <t>b4-0079</t>
        </is>
      </c>
      <c r="B436" s="7" t="inlineStr">
        <is>
          <t>Point</t>
        </is>
      </c>
      <c r="C436" s="7" t="n"/>
      <c r="D436" s="7" t="inlineStr">
        <is>
          <t>c. 371 B.C.E.</t>
        </is>
      </c>
      <c r="E436" s="7" t="n"/>
      <c r="F436" s="7" t="inlineStr">
        <is>
          <t>371 BCE</t>
        </is>
      </c>
      <c r="G436" s="7" t="inlineStr">
        <is>
          <t>Approx. (c.)</t>
        </is>
      </c>
      <c r="H436" s="7" t="n"/>
      <c r="I436" s="7" t="n"/>
      <c r="J436" s="7" t="n"/>
      <c r="K436" s="2" t="inlineStr">
        <is>
          <t>Spartan dominance ends; Thebes gains superiority</t>
        </is>
      </c>
      <c r="L436" s="2" t="n"/>
      <c r="M436" s="7" t="inlineStr">
        <is>
          <t>The rigid rule of Sparta over Greece lasted until about 371 B.C.E., when Thebes gained superiority.</t>
        </is>
      </c>
      <c r="N436" s="7" t="n"/>
      <c r="O436" s="8" t="inlineStr">
        <is>
          <t>Bible</t>
        </is>
      </c>
      <c r="P436" s="7" t="inlineStr">
        <is>
          <t>bible.intertestament</t>
        </is>
      </c>
      <c r="Q436" s="7" t="inlineStr">
        <is>
          <t>politics</t>
        </is>
      </c>
      <c r="R436" s="7" t="n"/>
      <c r="S436" s="7" t="inlineStr">
        <is>
          <t>Sparta; Thebes</t>
        </is>
      </c>
      <c r="T436" s="7" t="n"/>
      <c r="U436" s="7" t="n"/>
      <c r="V436" s="7" t="n">
        <v>1</v>
      </c>
      <c r="W436" s="7" t="inlineStr">
        <is>
          <t>Greece, Greeks</t>
        </is>
      </c>
      <c r="X436" s="9" t="inlineStr">
        <is>
          <t>open</t>
        </is>
      </c>
      <c r="Y436" s="7" t="n"/>
      <c r="Z436" s="7" t="inlineStr">
        <is>
          <t>https://wol.jw.org/en/wol/d/r1/lp-e/1200001765</t>
        </is>
      </c>
      <c r="AA436" s="7" t="n">
        <v>0</v>
      </c>
      <c r="AB436" s="7" t="n"/>
      <c r="AC436" s="7" t="n">
        <v>0</v>
      </c>
      <c r="AD436" s="7" t="n"/>
      <c r="AE436" s="7" t="n"/>
      <c r="AF436" s="7" t="n"/>
      <c r="AG436" s="7" t="n"/>
      <c r="AH436" s="7" t="n"/>
      <c r="AI436" s="7" t="n"/>
      <c r="AJ436" s="7" t="n"/>
      <c r="AK436" s="7" t="n"/>
      <c r="AL436" s="7" t="n"/>
      <c r="AM436" s="7" t="n">
        <v>-371</v>
      </c>
      <c r="AN436" s="10" t="n"/>
      <c r="AO436" s="10" t="n"/>
      <c r="AP436" s="10" t="n"/>
      <c r="AQ436" s="10" t="n"/>
    </row>
    <row r="437">
      <c r="A437" s="7" t="inlineStr">
        <is>
          <t>b4-0080</t>
        </is>
      </c>
      <c r="B437" s="7" t="inlineStr">
        <is>
          <t>Point</t>
        </is>
      </c>
      <c r="C437" s="7" t="n"/>
      <c r="D437" s="7" t="inlineStr">
        <is>
          <t>356 B.C.E.</t>
        </is>
      </c>
      <c r="E437" s="7" t="inlineStr">
        <is>
          <t>பொ.ச.மு. 356</t>
        </is>
      </c>
      <c r="F437" s="7" t="inlineStr">
        <is>
          <t>356 BCE</t>
        </is>
      </c>
      <c r="G437" s="7" t="inlineStr">
        <is>
          <t>Exact</t>
        </is>
      </c>
      <c r="H437" s="7" t="n"/>
      <c r="I437" s="7" t="n"/>
      <c r="J437" s="7" t="n"/>
      <c r="K437" s="2" t="inlineStr">
        <is>
          <t>Birth of Alexander the Great</t>
        </is>
      </c>
      <c r="L437" s="2" t="n"/>
      <c r="M437" s="7" t="inlineStr">
        <is>
          <t>Alexander, son of Philip II of Macedonia and Olympias, was born at Pella.</t>
        </is>
      </c>
      <c r="N437" s="7" t="inlineStr">
        <is>
          <t>அலெக்ஸாந்தர் பொ.ச.மு. 356-ல் மக்கெதோனியாவிலுள்ள பெல்லாவில் பிறந்தார்.</t>
        </is>
      </c>
      <c r="O437" s="8" t="inlineStr">
        <is>
          <t>Bible</t>
        </is>
      </c>
      <c r="P437" s="7" t="inlineStr">
        <is>
          <t>bible.intertestament</t>
        </is>
      </c>
      <c r="Q437" s="7" t="inlineStr">
        <is>
          <t>birth</t>
        </is>
      </c>
      <c r="R437" s="7" t="inlineStr">
        <is>
          <t>Alexander the Great; Philip II</t>
        </is>
      </c>
      <c r="S437" s="7" t="inlineStr">
        <is>
          <t>Pella; Macedonia</t>
        </is>
      </c>
      <c r="T437" s="7" t="n"/>
      <c r="U437" s="7" t="n"/>
      <c r="V437" s="7" t="n">
        <v>2</v>
      </c>
      <c r="W437" s="7" t="inlineStr">
        <is>
          <t>Alexander</t>
        </is>
      </c>
      <c r="X437" s="9" t="inlineStr">
        <is>
          <t>open</t>
        </is>
      </c>
      <c r="Y437" s="7" t="n"/>
      <c r="Z437" s="7" t="inlineStr">
        <is>
          <t>https://wol.jw.org/en/wol/d/r1/lp-e/1200000192
https://wol.jw.org/en/wol/d/r1/lp-e/1101999028</t>
        </is>
      </c>
      <c r="AA437" s="7" t="n">
        <v>1</v>
      </c>
      <c r="AB437" s="9" t="inlineStr">
        <is>
          <t>open</t>
        </is>
      </c>
      <c r="AC437" s="7" t="n">
        <v>0</v>
      </c>
      <c r="AD437" s="7" t="n"/>
      <c r="AE437" s="7" t="n"/>
      <c r="AF437" s="7" t="n"/>
      <c r="AG437" s="7" t="n"/>
      <c r="AH437" s="7" t="n"/>
      <c r="AI437" s="7" t="inlineStr">
        <is>
          <t>Covered by span – hide on chart</t>
        </is>
      </c>
      <c r="AJ437" s="7" t="inlineStr">
        <is>
          <t>start of Life of Alexander the Great (d1-0022)</t>
        </is>
      </c>
      <c r="AK437" s="7" t="n"/>
      <c r="AL437" s="7" t="n"/>
      <c r="AM437" s="7" t="n">
        <v>-356</v>
      </c>
      <c r="AN437" s="10" t="n"/>
      <c r="AO437" s="10" t="n"/>
      <c r="AP437" s="10" t="n"/>
      <c r="AQ437" s="10" t="n"/>
    </row>
    <row r="438">
      <c r="A438" s="7" t="inlineStr">
        <is>
          <t>d1-0022</t>
        </is>
      </c>
      <c r="B438" s="11" t="inlineStr">
        <is>
          <t>Span</t>
        </is>
      </c>
      <c r="C438" s="7" t="inlineStr">
        <is>
          <t>lifespan</t>
        </is>
      </c>
      <c r="D438" s="7" t="inlineStr">
        <is>
          <t>356 B.C.E. – 323 B.C.E., June 13</t>
        </is>
      </c>
      <c r="E438" s="7" t="inlineStr">
        <is>
          <t>பொ.ச.மு. 356 – பொ.ச.மு. 323, ஜூன் 13</t>
        </is>
      </c>
      <c r="F438" s="7" t="inlineStr">
        <is>
          <t>356 BCE</t>
        </is>
      </c>
      <c r="G438" s="7" t="inlineStr">
        <is>
          <t>Exact</t>
        </is>
      </c>
      <c r="H438" s="7" t="inlineStr">
        <is>
          <t>323 BCE</t>
        </is>
      </c>
      <c r="I438" s="7" t="inlineStr">
        <is>
          <t>Exact</t>
        </is>
      </c>
      <c r="J438" s="7" t="inlineStr">
        <is>
          <t>33 years</t>
        </is>
      </c>
      <c r="K438" s="2" t="inlineStr">
        <is>
          <t>Life of Alexander the Great</t>
        </is>
      </c>
      <c r="L438" s="2" t="n"/>
      <c r="M438" s="7" t="inlineStr">
        <is>
          <t>Alexander the Great: from Birth of Alexander the Great (356 B.C.E.) to Death of Alexander the Great (323 B.C.E., June 13). Dates as given in the cited jw.org publications.</t>
        </is>
      </c>
      <c r="N438" s="7" t="n"/>
      <c r="O438" s="8" t="inlineStr">
        <is>
          <t>Bible</t>
        </is>
      </c>
      <c r="P438" s="7" t="inlineStr">
        <is>
          <t>bible.intertestament</t>
        </is>
      </c>
      <c r="Q438" s="7" t="inlineStr">
        <is>
          <t>lifespan</t>
        </is>
      </c>
      <c r="R438" s="7" t="inlineStr">
        <is>
          <t>Alexander the Great</t>
        </is>
      </c>
      <c r="S438" s="7" t="inlineStr">
        <is>
          <t>Pella; Macedonia; Babylon</t>
        </is>
      </c>
      <c r="T438" s="7" t="inlineStr">
        <is>
          <t>Dan. 8:8, 21, 22; Dan. 11:3, 4</t>
        </is>
      </c>
      <c r="U438" s="7" t="n"/>
      <c r="V438" s="7" t="n">
        <v>5</v>
      </c>
      <c r="W438" s="7" t="inlineStr">
        <is>
          <t>Alexander</t>
        </is>
      </c>
      <c r="X438" s="9" t="inlineStr">
        <is>
          <t>open</t>
        </is>
      </c>
      <c r="Y438" s="7" t="n"/>
      <c r="Z438" s="7" t="inlineStr">
        <is>
          <t>https://wol.jw.org/en/wol/d/r1/lp-e/1200000192
https://wol.jw.org/en/wol/d/r1/lp-e/1101999028
https://wol.jw.org/en/wol/d/r1/lp-e/1200001765
https://wol.jw.org/en/wol/d/r1/lp-e/1101999023
https://wol.jw.org/en/wol/d/r1/lp-e/1101990088</t>
        </is>
      </c>
      <c r="AA438" s="7" t="n">
        <v>0</v>
      </c>
      <c r="AB438" s="7" t="n"/>
      <c r="AC438" s="7" t="n">
        <v>0</v>
      </c>
      <c r="AD438" s="7" t="n"/>
      <c r="AE438" s="7" t="inlineStr">
        <is>
          <t>Built from b4-0080 (start) and b4-0090 (end).</t>
        </is>
      </c>
      <c r="AF438" s="7" t="inlineStr">
        <is>
          <t>b4-0080</t>
        </is>
      </c>
      <c r="AG438" s="7" t="inlineStr">
        <is>
          <t>b4-0090</t>
        </is>
      </c>
      <c r="AH438" s="7" t="n"/>
      <c r="AI438" s="7" t="n"/>
      <c r="AJ438" s="7" t="n"/>
      <c r="AK438" s="7" t="n"/>
      <c r="AL438" s="7" t="n"/>
      <c r="AM438" s="7" t="n">
        <v>-356</v>
      </c>
      <c r="AN438" s="10" t="n"/>
      <c r="AO438" s="10" t="n"/>
      <c r="AP438" s="10" t="n"/>
      <c r="AQ438" s="10" t="n"/>
    </row>
    <row r="439">
      <c r="A439" s="7" t="inlineStr">
        <is>
          <t>b4-0081</t>
        </is>
      </c>
      <c r="B439" s="7" t="inlineStr">
        <is>
          <t>Point</t>
        </is>
      </c>
      <c r="C439" s="7" t="n"/>
      <c r="D439" s="7" t="inlineStr">
        <is>
          <t>338 B.C.E.</t>
        </is>
      </c>
      <c r="E439" s="7" t="n"/>
      <c r="F439" s="7" t="inlineStr">
        <is>
          <t>338 BCE</t>
        </is>
      </c>
      <c r="G439" s="7" t="inlineStr">
        <is>
          <t>Exact</t>
        </is>
      </c>
      <c r="H439" s="7" t="n"/>
      <c r="I439" s="7" t="n"/>
      <c r="J439" s="7" t="n"/>
      <c r="K439" s="2" t="inlineStr">
        <is>
          <t>Philip II of Macedonia conquers Greece</t>
        </is>
      </c>
      <c r="L439" s="2" t="n"/>
      <c r="M439" s="7" t="inlineStr">
        <is>
          <t>The emerging power of Macedonia under Philip II conquered Greece, unifying it under Macedonian control.</t>
        </is>
      </c>
      <c r="N439" s="7" t="n"/>
      <c r="O439" s="8" t="inlineStr">
        <is>
          <t>Bible</t>
        </is>
      </c>
      <c r="P439" s="7" t="inlineStr">
        <is>
          <t>bible.intertestament</t>
        </is>
      </c>
      <c r="Q439" s="7" t="inlineStr">
        <is>
          <t>conquest</t>
        </is>
      </c>
      <c r="R439" s="7" t="inlineStr">
        <is>
          <t>Philip II</t>
        </is>
      </c>
      <c r="S439" s="7" t="inlineStr">
        <is>
          <t>Greece; Macedonia</t>
        </is>
      </c>
      <c r="T439" s="7" t="n"/>
      <c r="U439" s="7" t="n"/>
      <c r="V439" s="7" t="n">
        <v>1</v>
      </c>
      <c r="W439" s="7" t="inlineStr">
        <is>
          <t>Greece, Greeks</t>
        </is>
      </c>
      <c r="X439" s="9" t="inlineStr">
        <is>
          <t>open</t>
        </is>
      </c>
      <c r="Y439" s="7" t="n"/>
      <c r="Z439" s="7" t="inlineStr">
        <is>
          <t>https://wol.jw.org/en/wol/d/r1/lp-e/1200001765</t>
        </is>
      </c>
      <c r="AA439" s="7" t="n">
        <v>0</v>
      </c>
      <c r="AB439" s="7" t="n"/>
      <c r="AC439" s="7" t="n">
        <v>0</v>
      </c>
      <c r="AD439" s="7" t="n"/>
      <c r="AE439" s="7" t="n"/>
      <c r="AF439" s="7" t="n"/>
      <c r="AG439" s="7" t="n"/>
      <c r="AH439" s="7" t="n"/>
      <c r="AI439" s="7" t="n"/>
      <c r="AJ439" s="7" t="n"/>
      <c r="AK439" s="7" t="n"/>
      <c r="AL439" s="7" t="n"/>
      <c r="AM439" s="7" t="n">
        <v>-338</v>
      </c>
      <c r="AN439" s="10" t="n"/>
      <c r="AO439" s="10" t="n"/>
      <c r="AP439" s="10" t="n"/>
      <c r="AQ439" s="10" t="n"/>
    </row>
    <row r="440">
      <c r="A440" s="7" t="inlineStr">
        <is>
          <t>b4-0082</t>
        </is>
      </c>
      <c r="B440" s="7" t="inlineStr">
        <is>
          <t>Point</t>
        </is>
      </c>
      <c r="C440" s="7" t="n"/>
      <c r="D440" s="7" t="inlineStr">
        <is>
          <t>336 B.C.E.</t>
        </is>
      </c>
      <c r="E440" s="7" t="inlineStr">
        <is>
          <t>பொ.ச.மு. 336</t>
        </is>
      </c>
      <c r="F440" s="7" t="inlineStr">
        <is>
          <t>336 BCE</t>
        </is>
      </c>
      <c r="G440" s="7" t="inlineStr">
        <is>
          <t>Exact</t>
        </is>
      </c>
      <c r="H440" s="7" t="n"/>
      <c r="I440" s="7" t="n"/>
      <c r="J440" s="7" t="n"/>
      <c r="K440" s="2" t="inlineStr">
        <is>
          <t>Alexander becomes king of Macedonia</t>
        </is>
      </c>
      <c r="L440" s="2" t="n"/>
      <c r="M440" s="7" t="inlineStr">
        <is>
          <t>After the assassination of Philip II, 20-year-old Alexander inherited the throne of Macedonia; the same year Darius III, the last Persian king, was crowned.</t>
        </is>
      </c>
      <c r="N440" s="7" t="inlineStr">
        <is>
          <t>பொ.ச.மு. 336-ல் பிலிப் கொல்லப்பட, 20 வயது அலெக்ஸாந்தர் மக்கெதோனிய அரியணையில் ஏறினார்.</t>
        </is>
      </c>
      <c r="O440" s="8" t="inlineStr">
        <is>
          <t>Bible</t>
        </is>
      </c>
      <c r="P440" s="7" t="inlineStr">
        <is>
          <t>bible.prophecy_fulfilled</t>
        </is>
      </c>
      <c r="Q440" s="7" t="inlineStr">
        <is>
          <t>accession</t>
        </is>
      </c>
      <c r="R440" s="7" t="inlineStr">
        <is>
          <t>Alexander the Great; Philip II; Darius III</t>
        </is>
      </c>
      <c r="S440" s="7" t="inlineStr">
        <is>
          <t>Macedonia</t>
        </is>
      </c>
      <c r="T440" s="7" t="inlineStr">
        <is>
          <t>Dan. 11:3</t>
        </is>
      </c>
      <c r="U440" s="7" t="n"/>
      <c r="V440" s="7" t="n">
        <v>4</v>
      </c>
      <c r="W440" s="7" t="inlineStr">
        <is>
          <t>Who Will Rule the World?</t>
        </is>
      </c>
      <c r="X440" s="9" t="inlineStr">
        <is>
          <t>open</t>
        </is>
      </c>
      <c r="Y440" s="9" t="inlineStr">
        <is>
          <t>open</t>
        </is>
      </c>
      <c r="Z440" s="7" t="inlineStr">
        <is>
          <t>https://wol.jw.org/en/wol/d/r1/lp-e/1101999028
https://wol.jw.org/en/wol/d/r1/lp-e/1101999032
https://wol.jw.org/en/wol/d/r1/lp-e/1101999029
https://wol.jw.org/en/wol/d/r1/lp-e/1200003447</t>
        </is>
      </c>
      <c r="AA440" s="7" t="n">
        <v>0</v>
      </c>
      <c r="AB440" s="7" t="n"/>
      <c r="AC440" s="7" t="n">
        <v>0</v>
      </c>
      <c r="AD440" s="7" t="n"/>
      <c r="AE440" s="7" t="n"/>
      <c r="AF440" s="7" t="n"/>
      <c r="AG440" s="7" t="n"/>
      <c r="AH440" s="7" t="n"/>
      <c r="AI440" s="7" t="inlineStr">
        <is>
          <t>Span endpoint – keep</t>
        </is>
      </c>
      <c r="AJ440" s="7" t="inlineStr">
        <is>
          <t>start of Reign of Alexander the Great (b12-0036)</t>
        </is>
      </c>
      <c r="AK440" s="7" t="inlineStr">
        <is>
          <t>fulfilled-prophecies-nations #52 (fulfillment); kings-north-and-south #5 (step)</t>
        </is>
      </c>
      <c r="AL440" s="7" t="n"/>
      <c r="AM440" s="7" t="n">
        <v>-336</v>
      </c>
      <c r="AN440" s="10" t="n"/>
      <c r="AO440" s="10" t="n"/>
      <c r="AP440" s="10" t="n"/>
      <c r="AQ440" s="10" t="n"/>
    </row>
    <row r="441">
      <c r="A441" s="7" t="inlineStr">
        <is>
          <t>b12-0036</t>
        </is>
      </c>
      <c r="B441" s="11" t="inlineStr">
        <is>
          <t>Span</t>
        </is>
      </c>
      <c r="C441" s="7" t="inlineStr">
        <is>
          <t>reign</t>
        </is>
      </c>
      <c r="D441" s="7" t="inlineStr">
        <is>
          <t>336 B.C.E.–June 13, 323 B.C.E.</t>
        </is>
      </c>
      <c r="E441" s="7" t="n"/>
      <c r="F441" s="7" t="inlineStr">
        <is>
          <t>336 BCE</t>
        </is>
      </c>
      <c r="G441" s="7" t="inlineStr">
        <is>
          <t>Exact</t>
        </is>
      </c>
      <c r="H441" s="7" t="inlineStr">
        <is>
          <t>323 BCE</t>
        </is>
      </c>
      <c r="I441" s="7" t="inlineStr">
        <is>
          <t>Exact</t>
        </is>
      </c>
      <c r="J441" s="7" t="n"/>
      <c r="K441" s="2" t="inlineStr">
        <is>
          <t>Reign of Alexander the Great</t>
        </is>
      </c>
      <c r="L441" s="2" t="n"/>
      <c r="M441" s="7" t="inlineStr">
        <is>
          <t>Alexander inherited the throne of Macedonia in 336 B.C.E., conquered the Persian Empire, and died at Babylon at the age of 32.</t>
        </is>
      </c>
      <c r="N441" s="7" t="inlineStr">
        <is>
          <t>பொ.ச.மு. 336-ல் 20 வயதான மூன்றாம் அலெக்ஸாந்தர் மக்கெதோனிய அரியணையில் ஏறினார்.</t>
        </is>
      </c>
      <c r="O441" s="8" t="inlineStr">
        <is>
          <t>Bible</t>
        </is>
      </c>
      <c r="P441" s="7" t="inlineStr">
        <is>
          <t>bible.intertestament</t>
        </is>
      </c>
      <c r="Q441" s="7" t="n"/>
      <c r="R441" s="7" t="inlineStr">
        <is>
          <t>Alexander the Great</t>
        </is>
      </c>
      <c r="S441" s="7" t="inlineStr">
        <is>
          <t>Macedonia; Babylon</t>
        </is>
      </c>
      <c r="T441" s="7" t="inlineStr">
        <is>
          <t>Dan. 8:5-8</t>
        </is>
      </c>
      <c r="U441" s="7" t="inlineStr">
        <is>
          <t>தானி. 8:5-8</t>
        </is>
      </c>
      <c r="V441" s="7" t="n">
        <v>2</v>
      </c>
      <c r="W441" s="7" t="inlineStr">
        <is>
          <t>The Rise and Fall of an Immense Image</t>
        </is>
      </c>
      <c r="X441" s="9" t="inlineStr">
        <is>
          <t>open</t>
        </is>
      </c>
      <c r="Y441" s="9" t="inlineStr">
        <is>
          <t>open</t>
        </is>
      </c>
      <c r="Z441" s="7" t="inlineStr">
        <is>
          <t>https://wol.jw.org/en/wol/d/r1/lp-e/1101999023
https://wol.jw.org/en/wol/d/r1/lp-e/1101999023</t>
        </is>
      </c>
      <c r="AA441" s="7" t="n">
        <v>0</v>
      </c>
      <c r="AB441" s="7" t="n"/>
      <c r="AC441" s="7" t="n">
        <v>0</v>
      </c>
      <c r="AD441" s="7" t="n"/>
      <c r="AE441" s="7" t="n"/>
      <c r="AF441" s="7" t="inlineStr">
        <is>
          <t>b4-0082</t>
        </is>
      </c>
      <c r="AG441" s="7" t="inlineStr">
        <is>
          <t>b4-0090</t>
        </is>
      </c>
      <c r="AH441" s="7" t="n"/>
      <c r="AI441" s="7" t="n"/>
      <c r="AJ441" s="7" t="n"/>
      <c r="AK441" s="7" t="n"/>
      <c r="AL441" s="7" t="n"/>
      <c r="AM441" s="7" t="n">
        <v>-336</v>
      </c>
      <c r="AN441" s="10" t="n"/>
      <c r="AO441" s="10" t="n"/>
      <c r="AP441" s="10" t="n"/>
      <c r="AQ441" s="10" t="n"/>
    </row>
    <row r="442">
      <c r="A442" s="7" t="inlineStr">
        <is>
          <t>b4-0083</t>
        </is>
      </c>
      <c r="B442" s="7" t="inlineStr">
        <is>
          <t>Point</t>
        </is>
      </c>
      <c r="C442" s="7" t="n"/>
      <c r="D442" s="7" t="inlineStr">
        <is>
          <t>334 B.C.E. (spring)</t>
        </is>
      </c>
      <c r="E442" s="7" t="inlineStr">
        <is>
          <t>பொ.ச.மு. 334</t>
        </is>
      </c>
      <c r="F442" s="7" t="inlineStr">
        <is>
          <t>334 BCE</t>
        </is>
      </c>
      <c r="G442" s="7" t="inlineStr">
        <is>
          <t>Exact</t>
        </is>
      </c>
      <c r="H442" s="7" t="n"/>
      <c r="I442" s="7" t="n"/>
      <c r="J442" s="7" t="n"/>
      <c r="K442" s="2" t="inlineStr">
        <is>
          <t>Alexander crosses the Hellespont; victory at Granicus</t>
        </is>
      </c>
      <c r="L442" s="2" t="n"/>
      <c r="M442" s="7" t="inlineStr">
        <is>
          <t>Alexander entered Asia at the Hellespont with about 30,000 foot soldiers and 5,000 cavalry and defeated the Persian forces at Granicus.</t>
        </is>
      </c>
      <c r="N442" s="7" t="inlineStr">
        <is>
          <t>பொ.ச.மு. 334, மே மாத ஆரம்பத்தில் ஆசியாவின் ஹெலஸ்பான்ட்டிற்கு (தற்போதைய டார்ட்னெல்ஸிற்கு) ஒரு சிறிய, ஆனால் பலம்படைத்த படையோடு—30,000 காலாட் படையினரோடும் 5,000 குதிரைப் படையினரோடும்—சென்ற அலெக்ஸாந்தர், வெற்றிகளைக் குவிக்கும் படலத்தில் இறங்கினார்.</t>
        </is>
      </c>
      <c r="O442" s="8" t="inlineStr">
        <is>
          <t>Bible</t>
        </is>
      </c>
      <c r="P442" s="7" t="inlineStr">
        <is>
          <t>bible.prophecy_fulfilled</t>
        </is>
      </c>
      <c r="Q442" s="7" t="inlineStr">
        <is>
          <t>battle</t>
        </is>
      </c>
      <c r="R442" s="7" t="inlineStr">
        <is>
          <t>Alexander the Great</t>
        </is>
      </c>
      <c r="S442" s="7" t="inlineStr">
        <is>
          <t>Hellespont; Granicus; Asia Minor</t>
        </is>
      </c>
      <c r="T442" s="7" t="inlineStr">
        <is>
          <t>Dan. 8:5-7</t>
        </is>
      </c>
      <c r="U442" s="7" t="n"/>
      <c r="V442" s="7" t="n">
        <v>3</v>
      </c>
      <c r="W442" s="7" t="inlineStr">
        <is>
          <t>Who Will Rule the World?</t>
        </is>
      </c>
      <c r="X442" s="9" t="inlineStr">
        <is>
          <t>open</t>
        </is>
      </c>
      <c r="Y442" s="9" t="inlineStr">
        <is>
          <t>open</t>
        </is>
      </c>
      <c r="Z442" s="7" t="inlineStr">
        <is>
          <t>https://wol.jw.org/en/wol/d/r1/lp-e/1101999028
https://wol.jw.org/en/wol/d/r1/lp-e/1200003447
https://wol.jw.org/en/wol/d/r1/lp-e/1200001765</t>
        </is>
      </c>
      <c r="AA442" s="7" t="n">
        <v>0</v>
      </c>
      <c r="AB442" s="7" t="n"/>
      <c r="AC442" s="7" t="n">
        <v>0</v>
      </c>
      <c r="AD442" s="7" t="n"/>
      <c r="AE442" s="7" t="n"/>
      <c r="AF442" s="7" t="n"/>
      <c r="AG442" s="7" t="n"/>
      <c r="AH442" s="7" t="n"/>
      <c r="AI442" s="7" t="n"/>
      <c r="AJ442" s="7" t="n"/>
      <c r="AK442" s="7" t="inlineStr">
        <is>
          <t>fulfilled-prophecies-nations #53 (fulfillment)</t>
        </is>
      </c>
      <c r="AL442" s="7" t="n"/>
      <c r="AM442" s="7" t="n">
        <v>-333.7</v>
      </c>
      <c r="AN442" s="10" t="n"/>
      <c r="AO442" s="10" t="n"/>
      <c r="AP442" s="10" t="n"/>
      <c r="AQ442" s="10" t="n"/>
    </row>
    <row r="443">
      <c r="A443" s="7" t="inlineStr">
        <is>
          <t>b4-0084</t>
        </is>
      </c>
      <c r="B443" s="7" t="inlineStr">
        <is>
          <t>Point</t>
        </is>
      </c>
      <c r="C443" s="7" t="n"/>
      <c r="D443" s="7" t="inlineStr">
        <is>
          <t>333 B.C.E.</t>
        </is>
      </c>
      <c r="E443" s="7" t="n"/>
      <c r="F443" s="7" t="inlineStr">
        <is>
          <t>333 BCE</t>
        </is>
      </c>
      <c r="G443" s="7" t="inlineStr">
        <is>
          <t>Exact</t>
        </is>
      </c>
      <c r="H443" s="7" t="n"/>
      <c r="I443" s="7" t="n"/>
      <c r="J443" s="7" t="n"/>
      <c r="K443" s="2" t="inlineStr">
        <is>
          <t>Alexander defeats the Persians at Issus</t>
        </is>
      </c>
      <c r="L443" s="2" t="n"/>
      <c r="M443" s="7" t="inlineStr">
        <is>
          <t>Alexander again defeated the Persian forces, at Issus in the SE corner of Asia Minor.</t>
        </is>
      </c>
      <c r="N443" s="7" t="n"/>
      <c r="O443" s="8" t="inlineStr">
        <is>
          <t>Bible</t>
        </is>
      </c>
      <c r="P443" s="7" t="inlineStr">
        <is>
          <t>bible.intertestament</t>
        </is>
      </c>
      <c r="Q443" s="7" t="inlineStr">
        <is>
          <t>battle</t>
        </is>
      </c>
      <c r="R443" s="7" t="inlineStr">
        <is>
          <t>Alexander the Great; Darius III</t>
        </is>
      </c>
      <c r="S443" s="7" t="inlineStr">
        <is>
          <t>Issus</t>
        </is>
      </c>
      <c r="T443" s="7" t="n"/>
      <c r="U443" s="7" t="n"/>
      <c r="V443" s="7" t="n">
        <v>1</v>
      </c>
      <c r="W443" s="7" t="inlineStr">
        <is>
          <t>Persia, Persians</t>
        </is>
      </c>
      <c r="X443" s="9" t="inlineStr">
        <is>
          <t>open</t>
        </is>
      </c>
      <c r="Y443" s="7" t="n"/>
      <c r="Z443" s="7" t="inlineStr">
        <is>
          <t>https://wol.jw.org/en/wol/d/r1/lp-e/1200003447</t>
        </is>
      </c>
      <c r="AA443" s="7" t="n">
        <v>0</v>
      </c>
      <c r="AB443" s="7" t="n"/>
      <c r="AC443" s="7" t="n">
        <v>0</v>
      </c>
      <c r="AD443" s="7" t="n"/>
      <c r="AE443" s="7" t="n"/>
      <c r="AF443" s="7" t="n"/>
      <c r="AG443" s="7" t="n"/>
      <c r="AH443" s="7" t="n"/>
      <c r="AI443" s="7" t="n"/>
      <c r="AJ443" s="7" t="n"/>
      <c r="AK443" s="7" t="n"/>
      <c r="AL443" s="7" t="n"/>
      <c r="AM443" s="7" t="n">
        <v>-333</v>
      </c>
      <c r="AN443" s="10" t="n"/>
      <c r="AO443" s="10" t="n"/>
      <c r="AP443" s="10" t="n"/>
      <c r="AQ443" s="10" t="n"/>
    </row>
    <row r="444">
      <c r="A444" s="7" t="inlineStr">
        <is>
          <t>b4-0085</t>
        </is>
      </c>
      <c r="B444" s="7" t="inlineStr">
        <is>
          <t>Point</t>
        </is>
      </c>
      <c r="C444" s="7" t="n"/>
      <c r="D444" s="7" t="inlineStr">
        <is>
          <t>332 B.C.E. (July)</t>
        </is>
      </c>
      <c r="E444" s="7" t="inlineStr">
        <is>
          <t>பொ.ச.மு. 332, ஜூலை</t>
        </is>
      </c>
      <c r="F444" s="7" t="inlineStr">
        <is>
          <t>332 BCE</t>
        </is>
      </c>
      <c r="G444" s="7" t="inlineStr">
        <is>
          <t>Exact</t>
        </is>
      </c>
      <c r="H444" s="7" t="n"/>
      <c r="I444" s="7" t="n"/>
      <c r="J444" s="7" t="n"/>
      <c r="K444" s="2" t="inlineStr">
        <is>
          <t>Alexander destroys island Tyre</t>
        </is>
      </c>
      <c r="L444" s="2" t="n"/>
      <c r="M444" s="7" t="inlineStr">
        <is>
          <t>After a siege, Alexander's navy and engines of war demolished the island city of Tyre, fulfilling Ezekiel's prophecy.</t>
        </is>
      </c>
      <c r="N444" s="7" t="inlineStr">
        <is>
          <t>பின் பொ.ச.மு. 332, ஜூலையில் கர்வமிக்க “கடற்கன்னியை” அழித்தார்.</t>
        </is>
      </c>
      <c r="O444" s="8" t="inlineStr">
        <is>
          <t>Bible</t>
        </is>
      </c>
      <c r="P444" s="7" t="inlineStr">
        <is>
          <t>bible.prophecy_fulfilled</t>
        </is>
      </c>
      <c r="Q444" s="7" t="inlineStr">
        <is>
          <t>destruction</t>
        </is>
      </c>
      <c r="R444" s="7" t="inlineStr">
        <is>
          <t>Alexander the Great</t>
        </is>
      </c>
      <c r="S444" s="7" t="inlineStr">
        <is>
          <t>Tyre</t>
        </is>
      </c>
      <c r="T444" s="7" t="inlineStr">
        <is>
          <t>Ezek. 26:4, 12</t>
        </is>
      </c>
      <c r="U444" s="7" t="n"/>
      <c r="V444" s="7" t="n">
        <v>2</v>
      </c>
      <c r="W444" s="7" t="inlineStr">
        <is>
          <t>Alexander</t>
        </is>
      </c>
      <c r="X444" s="9" t="inlineStr">
        <is>
          <t>open</t>
        </is>
      </c>
      <c r="Y444" s="7" t="n"/>
      <c r="Z444" s="7" t="inlineStr">
        <is>
          <t>https://wol.jw.org/en/wol/d/r1/lp-e/1200000192
https://wol.jw.org/en/wol/d/r1/lp-e/1101999028</t>
        </is>
      </c>
      <c r="AA444" s="7" t="n">
        <v>0</v>
      </c>
      <c r="AB444" s="7" t="n"/>
      <c r="AC444" s="7" t="n">
        <v>0</v>
      </c>
      <c r="AD444" s="7" t="n"/>
      <c r="AE444" s="7" t="n"/>
      <c r="AF444" s="7" t="n"/>
      <c r="AG444" s="7" t="n"/>
      <c r="AH444" s="7" t="n"/>
      <c r="AI444" s="7" t="n"/>
      <c r="AJ444" s="7" t="n"/>
      <c r="AK444" s="7" t="inlineStr">
        <is>
          <t>fulfilled-prophecies-nations #60 (fulfillment)</t>
        </is>
      </c>
      <c r="AL444" s="7" t="n"/>
      <c r="AM444" s="7" t="n">
        <v>-331.5</v>
      </c>
      <c r="AN444" s="10" t="n"/>
      <c r="AO444" s="10" t="n"/>
      <c r="AP444" s="10" t="n"/>
      <c r="AQ444" s="10" t="n"/>
    </row>
    <row r="445">
      <c r="A445" s="7" t="inlineStr">
        <is>
          <t>b4-0086</t>
        </is>
      </c>
      <c r="B445" s="7" t="inlineStr">
        <is>
          <t>Point</t>
        </is>
      </c>
      <c r="C445" s="7" t="n"/>
      <c r="D445" s="7" t="inlineStr">
        <is>
          <t>332 B.C.E.</t>
        </is>
      </c>
      <c r="E445" s="7" t="inlineStr">
        <is>
          <t>பொ.ச.மு. 332</t>
        </is>
      </c>
      <c r="F445" s="7" t="inlineStr">
        <is>
          <t>332 BCE</t>
        </is>
      </c>
      <c r="G445" s="7" t="inlineStr">
        <is>
          <t>Exact</t>
        </is>
      </c>
      <c r="H445" s="7" t="n"/>
      <c r="I445" s="7" t="n"/>
      <c r="J445" s="7" t="n"/>
      <c r="K445" s="2" t="inlineStr">
        <is>
          <t>Greece, fifth world power, rules Judea</t>
        </is>
      </c>
      <c r="L445" s="2" t="inlineStr">
        <is>
          <t>கிரீஸ், ஐந்தாவது உலக வல்லரசு, யூதேயாவை ஆளுகிறது</t>
        </is>
      </c>
      <c r="M445" s="7" t="inlineStr">
        <is>
          <t>When Alexander the Great marched through Judah, control passed from Medo-Persia to Greece, the fifth world power in relation to Israel.</t>
        </is>
      </c>
      <c r="N445" s="7" t="n"/>
      <c r="O445" s="8" t="inlineStr">
        <is>
          <t>Bible</t>
        </is>
      </c>
      <c r="P445" s="7" t="inlineStr">
        <is>
          <t>bible.intertestament</t>
        </is>
      </c>
      <c r="Q445" s="7" t="inlineStr">
        <is>
          <t>conquest</t>
        </is>
      </c>
      <c r="R445" s="7" t="inlineStr">
        <is>
          <t>Alexander the Great</t>
        </is>
      </c>
      <c r="S445" s="7" t="inlineStr">
        <is>
          <t>Judea; Jerusalem</t>
        </is>
      </c>
      <c r="T445" s="7" t="inlineStr">
        <is>
          <t>Dan. 8:21</t>
        </is>
      </c>
      <c r="U445" s="7" t="inlineStr">
        <is>
          <t>தானி. 8:21</t>
        </is>
      </c>
      <c r="V445" s="7" t="n">
        <v>3</v>
      </c>
      <c r="W445" s="7" t="inlineStr">
        <is>
          <t>Study Number 3—Measuring Events in the Stream of Time</t>
        </is>
      </c>
      <c r="X445" s="9" t="inlineStr">
        <is>
          <t>open</t>
        </is>
      </c>
      <c r="Y445" s="9" t="inlineStr">
        <is>
          <t>open</t>
        </is>
      </c>
      <c r="Z445" s="7" t="inlineStr">
        <is>
          <t>https://wol.jw.org/en/wol/d/r1/lp-e/1101990130
https://wol.jw.org/en/wol/d/r1/lp-e/1200001765
https://wol.jw.org/en/wol/d/r1/lp-e/1200002436</t>
        </is>
      </c>
      <c r="AA445" s="7" t="n">
        <v>0</v>
      </c>
      <c r="AB445" s="7" t="n"/>
      <c r="AC445" s="7" t="n">
        <v>0</v>
      </c>
      <c r="AD445" s="7" t="n"/>
      <c r="AE445" s="7" t="n"/>
      <c r="AF445" s="7" t="n"/>
      <c r="AG445" s="7" t="n"/>
      <c r="AH445" s="7" t="n"/>
      <c r="AI445" s="7" t="n"/>
      <c r="AJ445" s="7" t="n"/>
      <c r="AK445" s="7" t="n"/>
      <c r="AL445" s="7" t="n"/>
      <c r="AM445" s="7" t="n">
        <v>-331.4</v>
      </c>
      <c r="AN445" s="10" t="n"/>
      <c r="AO445" s="10" t="n"/>
      <c r="AP445" s="10" t="n"/>
      <c r="AQ445" s="10" t="n"/>
    </row>
    <row r="446">
      <c r="A446" s="7" t="inlineStr">
        <is>
          <t>b4-0087</t>
        </is>
      </c>
      <c r="B446" s="7" t="inlineStr">
        <is>
          <t>Point</t>
        </is>
      </c>
      <c r="C446" s="7" t="n"/>
      <c r="D446" s="7" t="inlineStr">
        <is>
          <t>331 B.C.E.</t>
        </is>
      </c>
      <c r="E446" s="7" t="inlineStr">
        <is>
          <t>பொ.ச.மு. 331</t>
        </is>
      </c>
      <c r="F446" s="7" t="inlineStr">
        <is>
          <t>331 BCE</t>
        </is>
      </c>
      <c r="G446" s="7" t="inlineStr">
        <is>
          <t>Exact</t>
        </is>
      </c>
      <c r="H446" s="7" t="n"/>
      <c r="I446" s="7" t="n"/>
      <c r="J446" s="7" t="n"/>
      <c r="K446" s="2" t="inlineStr">
        <is>
          <t>Battle of Gaugamela: Persian Empire falls</t>
        </is>
      </c>
      <c r="L446" s="2" t="n"/>
      <c r="M446" s="7" t="inlineStr">
        <is>
          <t>Alexander crushed the Persians' last stand at Gaugamela, near the ruins of Nineveh; the Persian Empire came to its end and Greece became the world power. Alexander captured Babylon the same year.</t>
        </is>
      </c>
      <c r="N446" s="7" t="inlineStr">
        <is>
          <t>பொ.ச.மு. 331-ல், நினிவேயின் இடிபாடுகளுக்கு அருகிருந்த கௌகமெலாவில் பெர்சியர்களோடு மூன்றாம் முறையாக கடும் போர் மூண்டது.</t>
        </is>
      </c>
      <c r="O446" s="8" t="inlineStr">
        <is>
          <t>Bible</t>
        </is>
      </c>
      <c r="P446" s="7" t="inlineStr">
        <is>
          <t>bible.prophecy_fulfilled</t>
        </is>
      </c>
      <c r="Q446" s="7" t="inlineStr">
        <is>
          <t>battle</t>
        </is>
      </c>
      <c r="R446" s="7" t="inlineStr">
        <is>
          <t>Alexander the Great; Darius III</t>
        </is>
      </c>
      <c r="S446" s="7" t="inlineStr">
        <is>
          <t>Gaugamela; Babylon</t>
        </is>
      </c>
      <c r="T446" s="7" t="inlineStr">
        <is>
          <t>Dan. 8:7, 20, 21</t>
        </is>
      </c>
      <c r="U446" s="7" t="n"/>
      <c r="V446" s="7" t="n">
        <v>5</v>
      </c>
      <c r="W446" s="7" t="inlineStr">
        <is>
          <t>Persia, Persians</t>
        </is>
      </c>
      <c r="X446" s="9" t="inlineStr">
        <is>
          <t>open</t>
        </is>
      </c>
      <c r="Y446" s="7" t="n"/>
      <c r="Z446" s="7" t="inlineStr">
        <is>
          <t>https://wol.jw.org/en/wol/d/r1/lp-e/1200003447
https://wol.jw.org/en/wol/d/r1/lp-e/1101999023
https://wol.jw.org/en/wol/d/r1/lp-e/1200000530
https://wol.jw.org/en/wol/d/r1/lp-e/1101999028
https://wol.jw.org/en/wol/d/r1/lp-e/1200002149</t>
        </is>
      </c>
      <c r="AA446" s="7" t="n">
        <v>0</v>
      </c>
      <c r="AB446" s="7" t="n"/>
      <c r="AC446" s="7" t="n">
        <v>1</v>
      </c>
      <c r="AD446" s="7" t="inlineStr">
        <is>
          <t>si dates Greece as fifth world power ruling Judea from 332; dp lists 'GREECE from 331 B.C.E.' (Gaugamela). Different reference points, both kept.</t>
        </is>
      </c>
      <c r="AE446" s="7" t="n"/>
      <c r="AF446" s="7" t="n"/>
      <c r="AG446" s="7" t="n"/>
      <c r="AH446" s="7" t="n"/>
      <c r="AI446" s="7" t="inlineStr">
        <is>
          <t>Span endpoint – keep</t>
        </is>
      </c>
      <c r="AJ446" s="7" t="inlineStr">
        <is>
          <t>end of Medo-Persia, fourth world power (b12-0027); start of Greece, fifth world power (b12-0037)</t>
        </is>
      </c>
      <c r="AK446" s="7" t="inlineStr">
        <is>
          <t>fulfilled-prophecies-nations #54 (fulfillment); seven-heads-of-the-beast #11 (fall); seven-heads-of-the-beast #13 (rise); world-powers-daniel #10 (fall); world-powers-daniel #12 (rise)</t>
        </is>
      </c>
      <c r="AL446" s="7" t="n"/>
      <c r="AM446" s="7" t="n">
        <v>-331</v>
      </c>
      <c r="AN446" s="10" t="n"/>
      <c r="AO446" s="10" t="n"/>
      <c r="AP446" s="10" t="n"/>
      <c r="AQ446" s="10" t="n"/>
    </row>
    <row r="447">
      <c r="A447" s="7" t="inlineStr">
        <is>
          <t>b12-0037</t>
        </is>
      </c>
      <c r="B447" s="11" t="inlineStr">
        <is>
          <t>Span</t>
        </is>
      </c>
      <c r="C447" s="7" t="inlineStr">
        <is>
          <t>world power</t>
        </is>
      </c>
      <c r="D447" s="7" t="inlineStr">
        <is>
          <t>331 B.C.E.–30 B.C.E.</t>
        </is>
      </c>
      <c r="E447" s="7" t="inlineStr">
        <is>
          <t>பொ.ச.மு 331 முதற்கொண்டு</t>
        </is>
      </c>
      <c r="F447" s="7" t="inlineStr">
        <is>
          <t>331 BCE</t>
        </is>
      </c>
      <c r="G447" s="7" t="inlineStr">
        <is>
          <t>Exact</t>
        </is>
      </c>
      <c r="H447" s="7" t="inlineStr">
        <is>
          <t>30 BCE</t>
        </is>
      </c>
      <c r="I447" s="7" t="inlineStr">
        <is>
          <t>Exact</t>
        </is>
      </c>
      <c r="J447" s="7" t="n"/>
      <c r="K447" s="2" t="inlineStr">
        <is>
          <t>Greece, fifth world power</t>
        </is>
      </c>
      <c r="L447" s="2" t="inlineStr">
        <is>
          <t>கிரீஸ்</t>
        </is>
      </c>
      <c r="M447" s="7" t="inlineStr">
        <is>
          <t>Alexander established Greece as world power at Gaugamela in 331 B.C.E.; after his death his empire split into four kingdoms, the last of which, Ptolemaic Egypt, fell to Rome in 30 B.C.E.</t>
        </is>
      </c>
      <c r="N447" s="7" t="inlineStr">
        <is>
          <t>பொ.ச.மு. 331-ல் கௌகமெலாவில் நடந்த யுத்தத்தில் மூன்றாம் தரியுவை அவர் தோற்கடித்தபோது பெர்சிய சாம்ராஜ்யம் வீழ்ந்தது.</t>
        </is>
      </c>
      <c r="O447" s="8" t="inlineStr">
        <is>
          <t>Bible</t>
        </is>
      </c>
      <c r="P447" s="7" t="inlineStr">
        <is>
          <t>bible.prophecy_fulfilled</t>
        </is>
      </c>
      <c r="Q447" s="7" t="n"/>
      <c r="R447" s="7" t="inlineStr">
        <is>
          <t>Alexander the Great</t>
        </is>
      </c>
      <c r="S447" s="7" t="inlineStr">
        <is>
          <t>Greece; Macedonia</t>
        </is>
      </c>
      <c r="T447" s="7" t="inlineStr">
        <is>
          <t>Dan. 2:39; Dan. 8:21</t>
        </is>
      </c>
      <c r="U447" s="7" t="inlineStr">
        <is>
          <t>தானி. 2:39; தானி. 8:21</t>
        </is>
      </c>
      <c r="V447" s="7" t="n">
        <v>4</v>
      </c>
      <c r="W447" s="7" t="inlineStr">
        <is>
          <t>The Rise and Fall of an Immense Image</t>
        </is>
      </c>
      <c r="X447" s="9" t="inlineStr">
        <is>
          <t>open</t>
        </is>
      </c>
      <c r="Y447" s="9" t="inlineStr">
        <is>
          <t>open</t>
        </is>
      </c>
      <c r="Z447" s="7" t="inlineStr">
        <is>
          <t>https://wol.jw.org/en/wol/d/r1/lp-e/1101999023
https://wol.jw.org/en/wol/d/r1/lp-e/1101999023
https://wol.jw.org/en/wol/d/r1/lp-e/1001061229
https://wol.jw.org/en/wol/d/r1/lp-e/1101999023</t>
        </is>
      </c>
      <c r="AA447" s="7" t="n">
        <v>0</v>
      </c>
      <c r="AB447" s="7" t="n"/>
      <c r="AC447" s="7" t="n">
        <v>0</v>
      </c>
      <c r="AD447" s="7" t="n"/>
      <c r="AE447" s="7" t="n"/>
      <c r="AF447" s="7" t="inlineStr">
        <is>
          <t>b4-0087</t>
        </is>
      </c>
      <c r="AG447" s="7" t="inlineStr">
        <is>
          <t>b4-0131</t>
        </is>
      </c>
      <c r="AH447" s="7" t="n"/>
      <c r="AI447" s="7" t="n"/>
      <c r="AJ447" s="7" t="n"/>
      <c r="AK447" s="7" t="inlineStr">
        <is>
          <t>seven-heads-of-the-beast #12 (item); world-powers-daniel #11 (item)</t>
        </is>
      </c>
      <c r="AL447" s="7" t="n"/>
      <c r="AM447" s="7" t="n">
        <v>-331</v>
      </c>
      <c r="AN447" s="10" t="n"/>
      <c r="AO447" s="10" t="n"/>
      <c r="AP447" s="10" t="n"/>
      <c r="AQ447" s="10" t="n"/>
    </row>
    <row r="448">
      <c r="A448" s="7" t="inlineStr">
        <is>
          <t>b4-0088</t>
        </is>
      </c>
      <c r="B448" s="7" t="inlineStr">
        <is>
          <t>Point</t>
        </is>
      </c>
      <c r="C448" s="7" t="n"/>
      <c r="D448" s="7" t="inlineStr">
        <is>
          <t>328 B.C.E.</t>
        </is>
      </c>
      <c r="E448" s="7" t="n"/>
      <c r="F448" s="7" t="inlineStr">
        <is>
          <t>328 BCE</t>
        </is>
      </c>
      <c r="G448" s="7" t="inlineStr">
        <is>
          <t>Exact</t>
        </is>
      </c>
      <c r="H448" s="7" t="n"/>
      <c r="I448" s="7" t="n"/>
      <c r="J448" s="7" t="n"/>
      <c r="K448" s="2" t="inlineStr">
        <is>
          <t>Alexander's conquest complete</t>
        </is>
      </c>
      <c r="L448" s="2" t="n"/>
      <c r="M448" s="7" t="inlineStr">
        <is>
          <t>By 328 B.C.E. Alexander's conquest of the Persian Empire was complete.</t>
        </is>
      </c>
      <c r="N448" s="7" t="n"/>
      <c r="O448" s="8" t="inlineStr">
        <is>
          <t>Bible</t>
        </is>
      </c>
      <c r="P448" s="7" t="inlineStr">
        <is>
          <t>bible.intertestament</t>
        </is>
      </c>
      <c r="Q448" s="7" t="inlineStr">
        <is>
          <t>conquest</t>
        </is>
      </c>
      <c r="R448" s="7" t="inlineStr">
        <is>
          <t>Alexander the Great</t>
        </is>
      </c>
      <c r="S448" s="7" t="n"/>
      <c r="T448" s="7" t="inlineStr">
        <is>
          <t>Dan. 8:8</t>
        </is>
      </c>
      <c r="U448" s="7" t="n"/>
      <c r="V448" s="7" t="n">
        <v>1</v>
      </c>
      <c r="W448" s="7" t="inlineStr">
        <is>
          <t>Greece, Greeks</t>
        </is>
      </c>
      <c r="X448" s="9" t="inlineStr">
        <is>
          <t>open</t>
        </is>
      </c>
      <c r="Y448" s="7" t="n"/>
      <c r="Z448" s="7" t="inlineStr">
        <is>
          <t>https://wol.jw.org/en/wol/d/r1/lp-e/1200001765</t>
        </is>
      </c>
      <c r="AA448" s="7" t="n">
        <v>0</v>
      </c>
      <c r="AB448" s="7" t="n"/>
      <c r="AC448" s="7" t="n">
        <v>0</v>
      </c>
      <c r="AD448" s="7" t="n"/>
      <c r="AE448" s="7" t="n"/>
      <c r="AF448" s="7" t="n"/>
      <c r="AG448" s="7" t="n"/>
      <c r="AH448" s="7" t="n"/>
      <c r="AI448" s="7" t="n"/>
      <c r="AJ448" s="7" t="n"/>
      <c r="AK448" s="7" t="n"/>
      <c r="AL448" s="7" t="n"/>
      <c r="AM448" s="7" t="n">
        <v>-328</v>
      </c>
      <c r="AN448" s="10" t="n"/>
      <c r="AO448" s="10" t="n"/>
      <c r="AP448" s="10" t="n"/>
      <c r="AQ448" s="10" t="n"/>
    </row>
    <row r="449">
      <c r="A449" s="7" t="inlineStr">
        <is>
          <t>b4-0089</t>
        </is>
      </c>
      <c r="B449" s="7" t="inlineStr">
        <is>
          <t>Point</t>
        </is>
      </c>
      <c r="C449" s="7" t="n"/>
      <c r="D449" s="7" t="inlineStr">
        <is>
          <t>326 B.C.E. (June)</t>
        </is>
      </c>
      <c r="E449" s="7" t="inlineStr">
        <is>
          <t>பொ.ச.மு. 326, ஜூன்</t>
        </is>
      </c>
      <c r="F449" s="7" t="inlineStr">
        <is>
          <t>326 BCE</t>
        </is>
      </c>
      <c r="G449" s="7" t="inlineStr">
        <is>
          <t>Exact</t>
        </is>
      </c>
      <c r="H449" s="7" t="n"/>
      <c r="I449" s="7" t="n"/>
      <c r="J449" s="7" t="n"/>
      <c r="K449" s="2" t="inlineStr">
        <is>
          <t>Alexander's fourth and final major battle</t>
        </is>
      </c>
      <c r="L449" s="2" t="n"/>
      <c r="M449" s="7" t="inlineStr">
        <is>
          <t>In June 326 B.C.E., Alexander fought his fourth and final major battle, in the east of the former Persian realm.</t>
        </is>
      </c>
      <c r="N449" s="7" t="inlineStr">
        <is>
          <t>பொ.ச.மு. 326, ஜூனில் மூண்ட போரே, அலெக்ஸாந்தரின் நான்காம் மகா யுத்தம்; இறுதியான யுத்தமும்தான்.</t>
        </is>
      </c>
      <c r="O449" s="8" t="inlineStr">
        <is>
          <t>Bible</t>
        </is>
      </c>
      <c r="P449" s="7" t="inlineStr">
        <is>
          <t>bible.intertestament</t>
        </is>
      </c>
      <c r="Q449" s="7" t="inlineStr">
        <is>
          <t>battle</t>
        </is>
      </c>
      <c r="R449" s="7" t="inlineStr">
        <is>
          <t>Alexander the Great</t>
        </is>
      </c>
      <c r="S449" s="7" t="n"/>
      <c r="T449" s="7" t="n"/>
      <c r="U449" s="7" t="n"/>
      <c r="V449" s="7" t="n">
        <v>1</v>
      </c>
      <c r="W449" s="7" t="inlineStr">
        <is>
          <t>Who Will Rule the World?</t>
        </is>
      </c>
      <c r="X449" s="9" t="inlineStr">
        <is>
          <t>open</t>
        </is>
      </c>
      <c r="Y449" s="9" t="inlineStr">
        <is>
          <t>open</t>
        </is>
      </c>
      <c r="Z449" s="7" t="inlineStr">
        <is>
          <t>https://wol.jw.org/en/wol/d/r1/lp-e/1101999028</t>
        </is>
      </c>
      <c r="AA449" s="7" t="n">
        <v>0</v>
      </c>
      <c r="AB449" s="7" t="n"/>
      <c r="AC449" s="7" t="n">
        <v>0</v>
      </c>
      <c r="AD449" s="7" t="n"/>
      <c r="AE449" s="7" t="n"/>
      <c r="AF449" s="7" t="n"/>
      <c r="AG449" s="7" t="n"/>
      <c r="AH449" s="7" t="n"/>
      <c r="AI449" s="7" t="n"/>
      <c r="AJ449" s="7" t="n"/>
      <c r="AK449" s="7" t="n"/>
      <c r="AL449" s="7" t="n"/>
      <c r="AM449" s="7" t="n">
        <v>-325.55</v>
      </c>
      <c r="AN449" s="10" t="n"/>
      <c r="AO449" s="10" t="n"/>
      <c r="AP449" s="10" t="n"/>
      <c r="AQ449" s="10" t="n"/>
    </row>
    <row r="450">
      <c r="A450" s="7" t="inlineStr">
        <is>
          <t>b4-0090</t>
        </is>
      </c>
      <c r="B450" s="7" t="inlineStr">
        <is>
          <t>Point</t>
        </is>
      </c>
      <c r="C450" s="7" t="n"/>
      <c r="D450" s="7" t="inlineStr">
        <is>
          <t>323 B.C.E., June 13</t>
        </is>
      </c>
      <c r="E450" s="7" t="inlineStr">
        <is>
          <t>பொ.ச.மு. 323, ஜூன் 13</t>
        </is>
      </c>
      <c r="F450" s="7" t="inlineStr">
        <is>
          <t>323 BCE</t>
        </is>
      </c>
      <c r="G450" s="7" t="inlineStr">
        <is>
          <t>Exact</t>
        </is>
      </c>
      <c r="H450" s="7" t="n"/>
      <c r="I450" s="7" t="n"/>
      <c r="J450" s="7" t="n"/>
      <c r="K450" s="2" t="inlineStr">
        <is>
          <t>Death of Alexander the Great</t>
        </is>
      </c>
      <c r="L450" s="2" t="n"/>
      <c r="M450" s="7" t="inlineStr">
        <is>
          <t>Alexander died in Babylon on June 13, 323 B.C.E., aged 32 years and 8 months; his empire was later divided among four of his generals, as foretold.</t>
        </is>
      </c>
      <c r="N450" s="7" t="inlineStr">
        <is>
          <t>பொ.ச.மு. 323, ஜூன் 13 அன்று, 32 வருடங்களும் 8 மாதங்களுமே வாழ்ந்திருந்த அவர், வெல்லமுடியாத எதிரியான மரணத்திடம் சரணடைந்தார்.</t>
        </is>
      </c>
      <c r="O450" s="8" t="inlineStr">
        <is>
          <t>Bible</t>
        </is>
      </c>
      <c r="P450" s="7" t="inlineStr">
        <is>
          <t>bible.prophecy_fulfilled</t>
        </is>
      </c>
      <c r="Q450" s="7" t="inlineStr">
        <is>
          <t>death</t>
        </is>
      </c>
      <c r="R450" s="7" t="inlineStr">
        <is>
          <t>Alexander the Great</t>
        </is>
      </c>
      <c r="S450" s="7" t="inlineStr">
        <is>
          <t>Babylon</t>
        </is>
      </c>
      <c r="T450" s="7" t="inlineStr">
        <is>
          <t>Dan. 8:8, 21, 22; Dan. 11:3, 4</t>
        </is>
      </c>
      <c r="U450" s="7" t="n"/>
      <c r="V450" s="7" t="n">
        <v>5</v>
      </c>
      <c r="W450" s="7" t="inlineStr">
        <is>
          <t>Who Will Rule the World?</t>
        </is>
      </c>
      <c r="X450" s="9" t="inlineStr">
        <is>
          <t>open</t>
        </is>
      </c>
      <c r="Y450" s="9" t="inlineStr">
        <is>
          <t>open</t>
        </is>
      </c>
      <c r="Z450" s="7" t="inlineStr">
        <is>
          <t>https://wol.jw.org/en/wol/d/r1/lp-e/1101999028
https://wol.jw.org/en/wol/d/r1/lp-e/1200000192
https://wol.jw.org/en/wol/d/r1/lp-e/1200001765
https://wol.jw.org/en/wol/d/r1/lp-e/1101999023
https://wol.jw.org/en/wol/d/r1/lp-e/1101990088</t>
        </is>
      </c>
      <c r="AA450" s="7" t="n">
        <v>1</v>
      </c>
      <c r="AB450" s="9" t="inlineStr">
        <is>
          <t>open</t>
        </is>
      </c>
      <c r="AC450" s="7" t="n">
        <v>0</v>
      </c>
      <c r="AD450" s="7" t="n"/>
      <c r="AE450" s="7" t="n"/>
      <c r="AF450" s="7" t="n"/>
      <c r="AG450" s="7" t="n"/>
      <c r="AH450" s="7" t="n"/>
      <c r="AI450" s="7" t="inlineStr">
        <is>
          <t>Span endpoint – keep</t>
        </is>
      </c>
      <c r="AJ450" s="7" t="inlineStr">
        <is>
          <t>end of Life of Alexander the Great (d1-0022); end of Reign of Alexander the Great (b12-0036)</t>
        </is>
      </c>
      <c r="AK450" s="7" t="inlineStr">
        <is>
          <t>fulfilled-prophecies-nations #55 (fulfillment); kings-north-and-south #6 (step); world-powers-daniel #13 (step)</t>
        </is>
      </c>
      <c r="AL450" s="7" t="n"/>
      <c r="AM450" s="7" t="n">
        <v>-322.55</v>
      </c>
      <c r="AN450" s="10" t="n"/>
      <c r="AO450" s="10" t="n"/>
      <c r="AP450" s="10" t="n"/>
      <c r="AQ450" s="10" t="n"/>
    </row>
    <row r="451">
      <c r="A451" s="7" t="inlineStr">
        <is>
          <t>b4-0091</t>
        </is>
      </c>
      <c r="B451" s="7" t="inlineStr">
        <is>
          <t>Point</t>
        </is>
      </c>
      <c r="C451" s="7" t="n"/>
      <c r="D451" s="7" t="inlineStr">
        <is>
          <t>c. 320 B.C.E.</t>
        </is>
      </c>
      <c r="E451" s="7" t="inlineStr">
        <is>
          <t>சுமார் பொ.ச.மு. 320</t>
        </is>
      </c>
      <c r="F451" s="7" t="inlineStr">
        <is>
          <t>320 BCE</t>
        </is>
      </c>
      <c r="G451" s="7" t="inlineStr">
        <is>
          <t>Approx. (c.)</t>
        </is>
      </c>
      <c r="H451" s="7" t="n"/>
      <c r="I451" s="7" t="n"/>
      <c r="J451" s="7" t="n"/>
      <c r="K451" s="2" t="inlineStr">
        <is>
          <t>Ptolemy I draws Jews to Egypt as colonists</t>
        </is>
      </c>
      <c r="L451" s="2" t="n"/>
      <c r="M451" s="7" t="inlineStr">
        <is>
          <t>From about 320 B.C.E., Ptolemy I influenced Jews to come to Egypt as colonists; Judah remained under Ptolemaic control until 198 B.C.E.</t>
        </is>
      </c>
      <c r="N451" s="7" t="inlineStr">
        <is>
          <t>சுமார் பொ.ச.மு. 320 முதற்கொண்டு, முதலாம் தாலமி யூதர்களை எகிப்தில் குடியேறும்படி தூண்டினார்.</t>
        </is>
      </c>
      <c r="O451" s="8" t="inlineStr">
        <is>
          <t>Bible</t>
        </is>
      </c>
      <c r="P451" s="7" t="inlineStr">
        <is>
          <t>bible.intertestament</t>
        </is>
      </c>
      <c r="Q451" s="7" t="inlineStr">
        <is>
          <t>migration</t>
        </is>
      </c>
      <c r="R451" s="7" t="inlineStr">
        <is>
          <t>Ptolemy I</t>
        </is>
      </c>
      <c r="S451" s="7" t="inlineStr">
        <is>
          <t>Egypt; Alexandria</t>
        </is>
      </c>
      <c r="T451" s="7" t="n"/>
      <c r="U451" s="7" t="n"/>
      <c r="V451" s="7" t="n">
        <v>1</v>
      </c>
      <c r="W451" s="7" t="inlineStr">
        <is>
          <t>Two Kings in Conflict</t>
        </is>
      </c>
      <c r="X451" s="9" t="inlineStr">
        <is>
          <t>open</t>
        </is>
      </c>
      <c r="Y451" s="9" t="inlineStr">
        <is>
          <t>open</t>
        </is>
      </c>
      <c r="Z451" s="7" t="inlineStr">
        <is>
          <t>https://wol.jw.org/en/wol/d/r1/lp-e/1101999032</t>
        </is>
      </c>
      <c r="AA451" s="7" t="n">
        <v>0</v>
      </c>
      <c r="AB451" s="7" t="n"/>
      <c r="AC451" s="7" t="n">
        <v>0</v>
      </c>
      <c r="AD451" s="7" t="n"/>
      <c r="AE451" s="7" t="n"/>
      <c r="AF451" s="7" t="n"/>
      <c r="AG451" s="7" t="n"/>
      <c r="AH451" s="7" t="n"/>
      <c r="AI451" s="7" t="n"/>
      <c r="AJ451" s="7" t="n"/>
      <c r="AK451" s="7" t="n"/>
      <c r="AL451" s="7" t="n"/>
      <c r="AM451" s="7" t="n">
        <v>-320</v>
      </c>
      <c r="AN451" s="10" t="n"/>
      <c r="AO451" s="10" t="n"/>
      <c r="AP451" s="10" t="n"/>
      <c r="AQ451" s="10" t="n"/>
    </row>
    <row r="452">
      <c r="A452" s="7" t="inlineStr">
        <is>
          <t>b4-0092</t>
        </is>
      </c>
      <c r="B452" s="7" t="inlineStr">
        <is>
          <t>Point</t>
        </is>
      </c>
      <c r="C452" s="7" t="n"/>
      <c r="D452" s="7" t="inlineStr">
        <is>
          <t>312 B.C.E.</t>
        </is>
      </c>
      <c r="E452" s="7" t="n"/>
      <c r="F452" s="7" t="inlineStr">
        <is>
          <t>312 BCE</t>
        </is>
      </c>
      <c r="G452" s="7" t="inlineStr">
        <is>
          <t>Exact</t>
        </is>
      </c>
      <c r="H452" s="7" t="n"/>
      <c r="I452" s="7" t="n"/>
      <c r="J452" s="7" t="n"/>
      <c r="K452" s="2" t="inlineStr">
        <is>
          <t>Seleucus Nicator conquers Babylon</t>
        </is>
      </c>
      <c r="L452" s="2" t="n"/>
      <c r="M452" s="7" t="inlineStr">
        <is>
          <t>Seleucus Nicator conquered Babylon and carried off much of its material to build his new capital, Seleucia, on the Tigris.</t>
        </is>
      </c>
      <c r="N452" s="7" t="n"/>
      <c r="O452" s="8" t="inlineStr">
        <is>
          <t>Bible</t>
        </is>
      </c>
      <c r="P452" s="7" t="inlineStr">
        <is>
          <t>bible.intertestament</t>
        </is>
      </c>
      <c r="Q452" s="7" t="inlineStr">
        <is>
          <t>conquest</t>
        </is>
      </c>
      <c r="R452" s="7" t="inlineStr">
        <is>
          <t>Seleucus I Nicator</t>
        </is>
      </c>
      <c r="S452" s="7" t="inlineStr">
        <is>
          <t>Babylon; Seleucia</t>
        </is>
      </c>
      <c r="T452" s="7" t="n"/>
      <c r="U452" s="7" t="n"/>
      <c r="V452" s="7" t="n">
        <v>1</v>
      </c>
      <c r="W452" s="7" t="inlineStr">
        <is>
          <t>Babylon</t>
        </is>
      </c>
      <c r="X452" s="9" t="inlineStr">
        <is>
          <t>open</t>
        </is>
      </c>
      <c r="Y452" s="7" t="n"/>
      <c r="Z452" s="7" t="inlineStr">
        <is>
          <t>https://wol.jw.org/en/wol/d/r1/lp-e/1200000530</t>
        </is>
      </c>
      <c r="AA452" s="7" t="n">
        <v>0</v>
      </c>
      <c r="AB452" s="7" t="n"/>
      <c r="AC452" s="7" t="n">
        <v>0</v>
      </c>
      <c r="AD452" s="7" t="n"/>
      <c r="AE452" s="7" t="n"/>
      <c r="AF452" s="7" t="n"/>
      <c r="AG452" s="7" t="n"/>
      <c r="AH452" s="7" t="n"/>
      <c r="AI452" s="7" t="n"/>
      <c r="AJ452" s="7" t="n"/>
      <c r="AK452" s="7" t="inlineStr">
        <is>
          <t>kings-north-and-south #9 (context)</t>
        </is>
      </c>
      <c r="AL452" s="7" t="n"/>
      <c r="AM452" s="7" t="n">
        <v>-312</v>
      </c>
      <c r="AN452" s="10" t="n"/>
      <c r="AO452" s="10" t="n"/>
      <c r="AP452" s="10" t="n"/>
      <c r="AQ452" s="10" t="n"/>
    </row>
    <row r="453">
      <c r="A453" s="7" t="inlineStr">
        <is>
          <t>b4-0093</t>
        </is>
      </c>
      <c r="B453" s="7" t="inlineStr">
        <is>
          <t>Point</t>
        </is>
      </c>
      <c r="C453" s="7" t="n"/>
      <c r="D453" s="7" t="inlineStr">
        <is>
          <t>311 B.C.E.</t>
        </is>
      </c>
      <c r="E453" s="7" t="inlineStr">
        <is>
          <t>பொ.ச.மு. 311</t>
        </is>
      </c>
      <c r="F453" s="7" t="inlineStr">
        <is>
          <t>311 BCE</t>
        </is>
      </c>
      <c r="G453" s="7" t="inlineStr">
        <is>
          <t>Exact</t>
        </is>
      </c>
      <c r="H453" s="7" t="n"/>
      <c r="I453" s="7" t="n"/>
      <c r="J453" s="7" t="n"/>
      <c r="K453" s="2" t="inlineStr">
        <is>
          <t>Alexander IV killed by Cassander</t>
        </is>
      </c>
      <c r="L453" s="2" t="n"/>
      <c r="M453" s="7" t="inlineStr">
        <is>
          <t>Alexander's son Alexander IV ruled until 311 B.C.E., when he was killed by Cassander; Alexander's illegitimate son Heracles was murdered in 309 B.C.E.</t>
        </is>
      </c>
      <c r="N453" s="7" t="inlineStr">
        <is>
          <t>அலெக்ஸாந்தரின் மகனான நான்காம் அலெக்ஸாந்தர் பொ.ச.மு. 311 வரை ஆட்சிசெய்தார்.</t>
        </is>
      </c>
      <c r="O453" s="8" t="inlineStr">
        <is>
          <t>Bible</t>
        </is>
      </c>
      <c r="P453" s="7" t="inlineStr">
        <is>
          <t>bible.prophecy_fulfilled</t>
        </is>
      </c>
      <c r="Q453" s="7" t="inlineStr">
        <is>
          <t>death</t>
        </is>
      </c>
      <c r="R453" s="7" t="inlineStr">
        <is>
          <t>Alexander IV; Cassander; Heracles</t>
        </is>
      </c>
      <c r="S453" s="7" t="n"/>
      <c r="T453" s="7" t="inlineStr">
        <is>
          <t>Dan. 11:4</t>
        </is>
      </c>
      <c r="U453" s="7" t="n"/>
      <c r="V453" s="7" t="n">
        <v>1</v>
      </c>
      <c r="W453" s="7" t="inlineStr">
        <is>
          <t>Two Kings in Conflict</t>
        </is>
      </c>
      <c r="X453" s="9" t="inlineStr">
        <is>
          <t>open</t>
        </is>
      </c>
      <c r="Y453" s="9" t="inlineStr">
        <is>
          <t>open</t>
        </is>
      </c>
      <c r="Z453" s="7" t="inlineStr">
        <is>
          <t>https://wol.jw.org/en/wol/d/r1/lp-e/1101999032</t>
        </is>
      </c>
      <c r="AA453" s="7" t="n">
        <v>0</v>
      </c>
      <c r="AB453" s="7" t="n"/>
      <c r="AC453" s="7" t="n">
        <v>0</v>
      </c>
      <c r="AD453" s="7" t="n"/>
      <c r="AE453" s="7" t="n"/>
      <c r="AF453" s="7" t="n"/>
      <c r="AG453" s="7" t="n"/>
      <c r="AH453" s="7" t="n"/>
      <c r="AI453" s="7" t="n"/>
      <c r="AJ453" s="7" t="n"/>
      <c r="AK453" s="7" t="inlineStr">
        <is>
          <t>fulfilled-prophecies-nations #56 (fulfillment); kings-north-and-south #7 (step)</t>
        </is>
      </c>
      <c r="AL453" s="7" t="n"/>
      <c r="AM453" s="7" t="n">
        <v>-311</v>
      </c>
      <c r="AN453" s="10" t="n"/>
      <c r="AO453" s="10" t="n"/>
      <c r="AP453" s="10" t="n"/>
      <c r="AQ453" s="10" t="n"/>
    </row>
    <row r="454">
      <c r="A454" s="7" t="inlineStr">
        <is>
          <t>b4-0094</t>
        </is>
      </c>
      <c r="B454" s="7" t="inlineStr">
        <is>
          <t>Point</t>
        </is>
      </c>
      <c r="C454" s="7" t="n"/>
      <c r="D454" s="7" t="inlineStr">
        <is>
          <t>305 B.C.E.</t>
        </is>
      </c>
      <c r="E454" s="7" t="inlineStr">
        <is>
          <t>பொ.ச.மு. 305</t>
        </is>
      </c>
      <c r="F454" s="7" t="inlineStr">
        <is>
          <t>305 BCE</t>
        </is>
      </c>
      <c r="G454" s="7" t="inlineStr">
        <is>
          <t>Exact</t>
        </is>
      </c>
      <c r="H454" s="7" t="n"/>
      <c r="I454" s="7" t="n"/>
      <c r="J454" s="7" t="n"/>
      <c r="K454" s="2" t="inlineStr">
        <is>
          <t>Ptolemy I assumes title of king in Egypt</t>
        </is>
      </c>
      <c r="L454" s="2" t="n"/>
      <c r="M454" s="7" t="inlineStr">
        <is>
          <t>Ptolemy I (Lagus) took the title of king, becoming the first Macedonian Pharaoh; his dynasty ruled Egypt until 30 B.C.E.</t>
        </is>
      </c>
      <c r="N454" s="7" t="inlineStr">
        <is>
          <t>முதலாம் தாலமி பொ.ச.மு. 305-ல் முதல் மக்கெதோனிய ராஜாவாக அல்லது எகிப்திய பார்வோனாக தன்னை பிரகடனப்படுத்திக்கொண்டார்.</t>
        </is>
      </c>
      <c r="O454" s="8" t="inlineStr">
        <is>
          <t>Bible</t>
        </is>
      </c>
      <c r="P454" s="7" t="inlineStr">
        <is>
          <t>bible.intertestament</t>
        </is>
      </c>
      <c r="Q454" s="7" t="inlineStr">
        <is>
          <t>accession</t>
        </is>
      </c>
      <c r="R454" s="7" t="inlineStr">
        <is>
          <t>Ptolemy I</t>
        </is>
      </c>
      <c r="S454" s="7" t="inlineStr">
        <is>
          <t>Egypt</t>
        </is>
      </c>
      <c r="T454" s="7" t="inlineStr">
        <is>
          <t>Dan. 11:5</t>
        </is>
      </c>
      <c r="U454" s="7" t="n"/>
      <c r="V454" s="7" t="n">
        <v>2</v>
      </c>
      <c r="W454" s="7" t="inlineStr">
        <is>
          <t>Who Will Rule the World?</t>
        </is>
      </c>
      <c r="X454" s="9" t="inlineStr">
        <is>
          <t>open</t>
        </is>
      </c>
      <c r="Y454" s="9" t="inlineStr">
        <is>
          <t>open</t>
        </is>
      </c>
      <c r="Z454" s="7" t="inlineStr">
        <is>
          <t>https://wol.jw.org/en/wol/d/r1/lp-e/1101999028
https://wol.jw.org/en/wol/d/r1/lp-e/1101999032</t>
        </is>
      </c>
      <c r="AA454" s="7" t="n">
        <v>0</v>
      </c>
      <c r="AB454" s="7" t="n"/>
      <c r="AC454" s="7" t="n">
        <v>0</v>
      </c>
      <c r="AD454" s="7" t="n"/>
      <c r="AE454" s="7" t="n"/>
      <c r="AF454" s="7" t="n"/>
      <c r="AG454" s="7" t="n"/>
      <c r="AH454" s="7" t="n"/>
      <c r="AI454" s="7" t="n"/>
      <c r="AJ454" s="7" t="n"/>
      <c r="AK454" s="7" t="inlineStr">
        <is>
          <t>kings-north-and-south #10 (ruler)</t>
        </is>
      </c>
      <c r="AL454" s="7" t="n"/>
      <c r="AM454" s="7" t="n">
        <v>-305</v>
      </c>
      <c r="AN454" s="10" t="n"/>
      <c r="AO454" s="10" t="n"/>
      <c r="AP454" s="10" t="n"/>
      <c r="AQ454" s="10" t="n"/>
    </row>
    <row r="455">
      <c r="A455" s="7" t="inlineStr">
        <is>
          <t>b4-0095</t>
        </is>
      </c>
      <c r="B455" s="7" t="inlineStr">
        <is>
          <t>Point</t>
        </is>
      </c>
      <c r="C455" s="7" t="n"/>
      <c r="D455" s="7" t="inlineStr">
        <is>
          <t>301 B.C.E.</t>
        </is>
      </c>
      <c r="E455" s="7" t="inlineStr">
        <is>
          <t>பொ.ச.மு. 301</t>
        </is>
      </c>
      <c r="F455" s="7" t="inlineStr">
        <is>
          <t>301 BCE</t>
        </is>
      </c>
      <c r="G455" s="7" t="inlineStr">
        <is>
          <t>Exact</t>
        </is>
      </c>
      <c r="H455" s="7" t="n"/>
      <c r="I455" s="7" t="n"/>
      <c r="J455" s="7" t="n"/>
      <c r="K455" s="2" t="inlineStr">
        <is>
          <t>Four of Alexander's generals divide the empire</t>
        </is>
      </c>
      <c r="L455" s="2" t="n"/>
      <c r="M455" s="7" t="inlineStr">
        <is>
          <t>By 301 B.C.E., four of Alexander's generals had established themselves in power over his empire, fulfilling Daniel's prophecy of four kingdoms.</t>
        </is>
      </c>
      <c r="N455" s="7" t="inlineStr">
        <is>
          <t>பொ.ச.மு. 301-ல் அலெக்ஸாந்தரின் நான்கு தளபதிகள் தங்கள் தேசாதிபதி உருவாக்கிய மாபெரும் சாம்ராஜ்யத்தை ஆளும் அதிகாரத்தை எடுத்துக்கொண்டனர்.</t>
        </is>
      </c>
      <c r="O455" s="8" t="inlineStr">
        <is>
          <t>Bible</t>
        </is>
      </c>
      <c r="P455" s="7" t="inlineStr">
        <is>
          <t>bible.prophecy_fulfilled</t>
        </is>
      </c>
      <c r="Q455" s="7" t="inlineStr">
        <is>
          <t>division</t>
        </is>
      </c>
      <c r="R455" s="7" t="inlineStr">
        <is>
          <t>Cassander; Lysimachus; Seleucus I Nicator; Ptolemy I</t>
        </is>
      </c>
      <c r="S455" s="7" t="n"/>
      <c r="T455" s="7" t="inlineStr">
        <is>
          <t>Dan. 8:8, 22; Dan. 11:4</t>
        </is>
      </c>
      <c r="U455" s="7" t="n"/>
      <c r="V455" s="7" t="n">
        <v>2</v>
      </c>
      <c r="W455" s="7" t="inlineStr">
        <is>
          <t>Who Will Rule the World?</t>
        </is>
      </c>
      <c r="X455" s="9" t="inlineStr">
        <is>
          <t>open</t>
        </is>
      </c>
      <c r="Y455" s="9" t="inlineStr">
        <is>
          <t>open</t>
        </is>
      </c>
      <c r="Z455" s="7" t="inlineStr">
        <is>
          <t>https://wol.jw.org/en/wol/d/r1/lp-e/1101999028
https://wol.jw.org/en/wol/d/r1/lp-e/1101999032</t>
        </is>
      </c>
      <c r="AA455" s="7" t="n">
        <v>0</v>
      </c>
      <c r="AB455" s="7" t="n"/>
      <c r="AC455" s="7" t="n">
        <v>0</v>
      </c>
      <c r="AD455" s="7" t="n"/>
      <c r="AE455" s="7" t="n"/>
      <c r="AF455" s="7" t="n"/>
      <c r="AG455" s="7" t="n"/>
      <c r="AH455" s="7" t="n"/>
      <c r="AI455" s="7" t="n"/>
      <c r="AJ455" s="7" t="n"/>
      <c r="AK455" s="7" t="inlineStr">
        <is>
          <t>fulfilled-prophecies-nations #57 (fulfillment); kings-north-and-south #8 (fulfillment); world-powers-daniel #14 (step)</t>
        </is>
      </c>
      <c r="AL455" s="7" t="n"/>
      <c r="AM455" s="7" t="n">
        <v>-301</v>
      </c>
      <c r="AN455" s="10" t="n"/>
      <c r="AO455" s="10" t="n"/>
      <c r="AP455" s="10" t="n"/>
      <c r="AQ455" s="10" t="n"/>
    </row>
    <row r="456">
      <c r="A456" s="7" t="inlineStr">
        <is>
          <t>b4-0096</t>
        </is>
      </c>
      <c r="B456" s="7" t="inlineStr">
        <is>
          <t>Point</t>
        </is>
      </c>
      <c r="C456" s="7" t="n"/>
      <c r="D456" s="7" t="inlineStr">
        <is>
          <t>285 B.C.E.</t>
        </is>
      </c>
      <c r="E456" s="7" t="inlineStr">
        <is>
          <t>பொ.ச.மு. 285</t>
        </is>
      </c>
      <c r="F456" s="7" t="inlineStr">
        <is>
          <t>285 BCE</t>
        </is>
      </c>
      <c r="G456" s="7" t="inlineStr">
        <is>
          <t>Exact</t>
        </is>
      </c>
      <c r="H456" s="7" t="n"/>
      <c r="I456" s="7" t="n"/>
      <c r="J456" s="7" t="n"/>
      <c r="K456" s="2" t="inlineStr">
        <is>
          <t>Lysimachus takes the European part of the empire</t>
        </is>
      </c>
      <c r="L456" s="2" t="n"/>
      <c r="M456" s="7" t="inlineStr">
        <is>
          <t>After Cassander's line died out, Lysimachus took possession of the European part of the Greek Empire.</t>
        </is>
      </c>
      <c r="N456" s="7" t="inlineStr">
        <is>
          <t>அதன்பின் பொ.ச.மு. 285-ல் லைசிமாக்கஸ் மக்கெதோனிய ராஜ்யத்தின் ஐரோப்பிய பகுதியைக் கைப்பற்றினார்.</t>
        </is>
      </c>
      <c r="O456" s="8" t="inlineStr">
        <is>
          <t>Bible</t>
        </is>
      </c>
      <c r="P456" s="7" t="inlineStr">
        <is>
          <t>bible.intertestament</t>
        </is>
      </c>
      <c r="Q456" s="7" t="inlineStr">
        <is>
          <t>conquest</t>
        </is>
      </c>
      <c r="R456" s="7" t="inlineStr">
        <is>
          <t>Lysimachus</t>
        </is>
      </c>
      <c r="S456" s="7" t="inlineStr">
        <is>
          <t>Macedonia</t>
        </is>
      </c>
      <c r="T456" s="7" t="n"/>
      <c r="U456" s="7" t="n"/>
      <c r="V456" s="7" t="n">
        <v>2</v>
      </c>
      <c r="W456" s="7" t="inlineStr">
        <is>
          <t>Who Will Rule the World?</t>
        </is>
      </c>
      <c r="X456" s="9" t="inlineStr">
        <is>
          <t>open</t>
        </is>
      </c>
      <c r="Y456" s="9" t="inlineStr">
        <is>
          <t>open</t>
        </is>
      </c>
      <c r="Z456" s="7" t="inlineStr">
        <is>
          <t>https://wol.jw.org/en/wol/d/r1/lp-e/1101999028
https://wol.jw.org/en/wol/d/r1/lp-e/1101999032</t>
        </is>
      </c>
      <c r="AA456" s="7" t="n">
        <v>0</v>
      </c>
      <c r="AB456" s="7" t="n"/>
      <c r="AC456" s="7" t="n">
        <v>0</v>
      </c>
      <c r="AD456" s="7" t="n"/>
      <c r="AE456" s="7" t="n"/>
      <c r="AF456" s="7" t="n"/>
      <c r="AG456" s="7" t="n"/>
      <c r="AH456" s="7" t="n"/>
      <c r="AI456" s="7" t="n"/>
      <c r="AJ456" s="7" t="n"/>
      <c r="AK456" s="7" t="n"/>
      <c r="AL456" s="7" t="n"/>
      <c r="AM456" s="7" t="n">
        <v>-285</v>
      </c>
      <c r="AN456" s="10" t="n"/>
      <c r="AO456" s="10" t="n"/>
      <c r="AP456" s="10" t="n"/>
      <c r="AQ456" s="10" t="n"/>
    </row>
    <row r="457">
      <c r="A457" s="7" t="inlineStr">
        <is>
          <t>b4-0097</t>
        </is>
      </c>
      <c r="B457" s="7" t="inlineStr">
        <is>
          <t>Point</t>
        </is>
      </c>
      <c r="C457" s="7" t="n"/>
      <c r="D457" s="7" t="inlineStr">
        <is>
          <t>281 B.C.E.</t>
        </is>
      </c>
      <c r="E457" s="7" t="inlineStr">
        <is>
          <t>பொ.ச.மு. 281</t>
        </is>
      </c>
      <c r="F457" s="7" t="inlineStr">
        <is>
          <t>281 BCE</t>
        </is>
      </c>
      <c r="G457" s="7" t="inlineStr">
        <is>
          <t>Exact</t>
        </is>
      </c>
      <c r="H457" s="7" t="n"/>
      <c r="I457" s="7" t="n"/>
      <c r="J457" s="7" t="n"/>
      <c r="K457" s="2" t="inlineStr">
        <is>
          <t>Lysimachus falls to Seleucus; Seleucus assassinated</t>
        </is>
      </c>
      <c r="L457" s="2" t="n"/>
      <c r="M457" s="7" t="inlineStr">
        <is>
          <t>Lysimachus fell in battle before Seleucus I Nicator, giving Seleucus most of the Asiatic territories; Seleucus was assassinated the same year, but his dynasty continued until 64 B.C.E.</t>
        </is>
      </c>
      <c r="N457" s="7" t="inlineStr">
        <is>
          <t>பொ.ச.மு. 281-ல், முதலாம் செலூக்கஸ் நிகேட்டாரோடு போரிடுகையில் லைசிமாக்கஸ் கொல்லப்பட்டார்.</t>
        </is>
      </c>
      <c r="O457" s="8" t="inlineStr">
        <is>
          <t>Bible</t>
        </is>
      </c>
      <c r="P457" s="7" t="inlineStr">
        <is>
          <t>bible.intertestament</t>
        </is>
      </c>
      <c r="Q457" s="7" t="inlineStr">
        <is>
          <t>death</t>
        </is>
      </c>
      <c r="R457" s="7" t="inlineStr">
        <is>
          <t>Lysimachus; Seleucus I Nicator</t>
        </is>
      </c>
      <c r="S457" s="7" t="n"/>
      <c r="T457" s="7" t="n"/>
      <c r="U457" s="7" t="n"/>
      <c r="V457" s="7" t="n">
        <v>2</v>
      </c>
      <c r="W457" s="7" t="inlineStr">
        <is>
          <t>Two Kings in Conflict</t>
        </is>
      </c>
      <c r="X457" s="9" t="inlineStr">
        <is>
          <t>open</t>
        </is>
      </c>
      <c r="Y457" s="9" t="inlineStr">
        <is>
          <t>open</t>
        </is>
      </c>
      <c r="Z457" s="7" t="inlineStr">
        <is>
          <t>https://wol.jw.org/en/wol/d/r1/lp-e/1101999032
https://wol.jw.org/en/wol/d/r1/lp-e/1101999028</t>
        </is>
      </c>
      <c r="AA457" s="7" t="n">
        <v>0</v>
      </c>
      <c r="AB457" s="7" t="n"/>
      <c r="AC457" s="7" t="n">
        <v>0</v>
      </c>
      <c r="AD457" s="7" t="n"/>
      <c r="AE457" s="7" t="n"/>
      <c r="AF457" s="7" t="n"/>
      <c r="AG457" s="7" t="n"/>
      <c r="AH457" s="7" t="n"/>
      <c r="AI457" s="7" t="n"/>
      <c r="AJ457" s="7" t="n"/>
      <c r="AK457" s="7" t="inlineStr">
        <is>
          <t>kings-north-and-south #11 (step)</t>
        </is>
      </c>
      <c r="AL457" s="7" t="n"/>
      <c r="AM457" s="7" t="n">
        <v>-281</v>
      </c>
      <c r="AN457" s="10" t="n"/>
      <c r="AO457" s="10" t="n"/>
      <c r="AP457" s="10" t="n"/>
      <c r="AQ457" s="10" t="n"/>
    </row>
    <row r="458">
      <c r="A458" s="7" t="inlineStr">
        <is>
          <t>b4-0098</t>
        </is>
      </c>
      <c r="B458" s="7" t="inlineStr">
        <is>
          <t>Point</t>
        </is>
      </c>
      <c r="C458" s="7" t="n"/>
      <c r="D458" s="7" t="inlineStr">
        <is>
          <t>c. 280 B.C.E.</t>
        </is>
      </c>
      <c r="E458" s="7" t="inlineStr">
        <is>
          <t>ஏ. பொ.ச.மு. 280</t>
        </is>
      </c>
      <c r="F458" s="7" t="inlineStr">
        <is>
          <t>280 BCE</t>
        </is>
      </c>
      <c r="G458" s="7" t="inlineStr">
        <is>
          <t>Approx. (c.)</t>
        </is>
      </c>
      <c r="H458" s="7" t="n"/>
      <c r="I458" s="7" t="n"/>
      <c r="J458" s="7" t="n"/>
      <c r="K458" s="2" t="inlineStr">
        <is>
          <t>Greek Septuagint translation begun</t>
        </is>
      </c>
      <c r="L458" s="2" t="inlineStr">
        <is>
          <t>கிரேக்க செப்டுவஜின்ட் தொடங்குகிறது</t>
        </is>
      </c>
      <c r="M458" s="7" t="inlineStr">
        <is>
          <t>Work on the Greek Septuagint reportedly began in Egypt in the days of Ptolemy Philadelphus (285-246 B.C.E.), starting with the Pentateuch, traditionally translated by 72 Jewish scholars.</t>
        </is>
      </c>
      <c r="N458" s="7" t="n"/>
      <c r="O458" s="12" t="inlineStr">
        <is>
          <t>Bible &amp; church history</t>
        </is>
      </c>
      <c r="P458" s="7" t="inlineStr">
        <is>
          <t>history.bible_translation</t>
        </is>
      </c>
      <c r="Q458" s="7" t="inlineStr">
        <is>
          <t>translation</t>
        </is>
      </c>
      <c r="R458" s="7" t="inlineStr">
        <is>
          <t>Ptolemy II Philadelphus</t>
        </is>
      </c>
      <c r="S458" s="7" t="inlineStr">
        <is>
          <t>Egypt; Alexandria</t>
        </is>
      </c>
      <c r="T458" s="7" t="n"/>
      <c r="U458" s="7" t="n"/>
      <c r="V458" s="7" t="n">
        <v>3</v>
      </c>
      <c r="W458" s="7" t="inlineStr">
        <is>
          <t>Study Number 3—Measuring Events in the Stream of Time</t>
        </is>
      </c>
      <c r="X458" s="9" t="inlineStr">
        <is>
          <t>open</t>
        </is>
      </c>
      <c r="Y458" s="9" t="inlineStr">
        <is>
          <t>open</t>
        </is>
      </c>
      <c r="Z458" s="7" t="inlineStr">
        <is>
          <t>https://wol.jw.org/en/wol/d/r1/lp-e/1101990130
https://wol.jw.org/en/wol/d/r1/lp-e/1200004554
https://wol.jw.org/en/wol/d/r1/lp-e/1200000888</t>
        </is>
      </c>
      <c r="AA458" s="7" t="n">
        <v>0</v>
      </c>
      <c r="AB458" s="7" t="n"/>
      <c r="AC458" s="7" t="n">
        <v>0</v>
      </c>
      <c r="AD458" s="7" t="n"/>
      <c r="AE458" s="7" t="n"/>
      <c r="AF458" s="7" t="n"/>
      <c r="AG458" s="7" t="n"/>
      <c r="AH458" s="7" t="n"/>
      <c r="AI458" s="7" t="n"/>
      <c r="AJ458" s="7" t="n"/>
      <c r="AK458" s="7" t="inlineStr">
        <is>
          <t>how-the-bible-came-to-us #3 (step)</t>
        </is>
      </c>
      <c r="AL458" s="7" t="n"/>
      <c r="AM458" s="7" t="n">
        <v>-280</v>
      </c>
      <c r="AN458" s="10" t="n"/>
      <c r="AO458" s="10" t="n"/>
      <c r="AP458" s="10" t="n"/>
      <c r="AQ458" s="10" t="n"/>
    </row>
    <row r="459">
      <c r="A459" s="7" t="inlineStr">
        <is>
          <t>b4-0099</t>
        </is>
      </c>
      <c r="B459" s="7" t="inlineStr">
        <is>
          <t>Point</t>
        </is>
      </c>
      <c r="C459" s="7" t="n"/>
      <c r="D459" s="7" t="inlineStr">
        <is>
          <t>276 B.C.E.</t>
        </is>
      </c>
      <c r="E459" s="7" t="inlineStr">
        <is>
          <t>பொ.ச.மு. 276</t>
        </is>
      </c>
      <c r="F459" s="7" t="inlineStr">
        <is>
          <t>276 BCE</t>
        </is>
      </c>
      <c r="G459" s="7" t="inlineStr">
        <is>
          <t>Exact</t>
        </is>
      </c>
      <c r="H459" s="7" t="n"/>
      <c r="I459" s="7" t="n"/>
      <c r="J459" s="7" t="n"/>
      <c r="K459" s="2" t="inlineStr">
        <is>
          <t>Antigonus II Gonatas becomes king of Macedonia</t>
        </is>
      </c>
      <c r="L459" s="2" t="n"/>
      <c r="M459" s="7" t="inlineStr">
        <is>
          <t>Antigonus II Gonatas, grandson of one of Alexander's generals, ascended the throne of Macedonia.</t>
        </is>
      </c>
      <c r="N459" s="7" t="inlineStr">
        <is>
          <t>பொ.ச.மு. 276-ல் அலெக்ஸாந்தரின் தளபதிகளில் ஒருவரது பேரனான இரண்டாம் ஆன்டிகோனஸ் கானடஸ், மக்கெதோனிய அரியணையில் ஏறினார்.</t>
        </is>
      </c>
      <c r="O459" s="8" t="inlineStr">
        <is>
          <t>Bible</t>
        </is>
      </c>
      <c r="P459" s="7" t="inlineStr">
        <is>
          <t>bible.intertestament</t>
        </is>
      </c>
      <c r="Q459" s="7" t="inlineStr">
        <is>
          <t>accession</t>
        </is>
      </c>
      <c r="R459" s="7" t="inlineStr">
        <is>
          <t>Antigonus II Gonatas</t>
        </is>
      </c>
      <c r="S459" s="7" t="inlineStr">
        <is>
          <t>Macedonia</t>
        </is>
      </c>
      <c r="T459" s="7" t="n"/>
      <c r="U459" s="7" t="n"/>
      <c r="V459" s="7" t="n">
        <v>1</v>
      </c>
      <c r="W459" s="7" t="inlineStr">
        <is>
          <t>Two Kings in Conflict</t>
        </is>
      </c>
      <c r="X459" s="9" t="inlineStr">
        <is>
          <t>open</t>
        </is>
      </c>
      <c r="Y459" s="9" t="inlineStr">
        <is>
          <t>open</t>
        </is>
      </c>
      <c r="Z459" s="7" t="inlineStr">
        <is>
          <t>https://wol.jw.org/en/wol/d/r1/lp-e/1101999032</t>
        </is>
      </c>
      <c r="AA459" s="7" t="n">
        <v>0</v>
      </c>
      <c r="AB459" s="7" t="n"/>
      <c r="AC459" s="7" t="n">
        <v>0</v>
      </c>
      <c r="AD459" s="7" t="n"/>
      <c r="AE459" s="7" t="n"/>
      <c r="AF459" s="7" t="n"/>
      <c r="AG459" s="7" t="n"/>
      <c r="AH459" s="7" t="n"/>
      <c r="AI459" s="7" t="n"/>
      <c r="AJ459" s="7" t="n"/>
      <c r="AK459" s="7" t="n"/>
      <c r="AL459" s="7" t="n"/>
      <c r="AM459" s="7" t="n">
        <v>-276</v>
      </c>
      <c r="AN459" s="10" t="n"/>
      <c r="AO459" s="10" t="n"/>
      <c r="AP459" s="10" t="n"/>
      <c r="AQ459" s="10" t="n"/>
    </row>
    <row r="460">
      <c r="A460" s="7" t="inlineStr">
        <is>
          <t>b4-0100</t>
        </is>
      </c>
      <c r="B460" s="7" t="inlineStr">
        <is>
          <t>Point</t>
        </is>
      </c>
      <c r="C460" s="7" t="n"/>
      <c r="D460" s="7" t="inlineStr">
        <is>
          <t>250 B.C.E.</t>
        </is>
      </c>
      <c r="E460" s="7" t="inlineStr">
        <is>
          <t>பொ.ச.மு. 250</t>
        </is>
      </c>
      <c r="F460" s="7" t="inlineStr">
        <is>
          <t>250 BCE</t>
        </is>
      </c>
      <c r="G460" s="7" t="inlineStr">
        <is>
          <t>Exact</t>
        </is>
      </c>
      <c r="H460" s="7" t="n"/>
      <c r="I460" s="7" t="n"/>
      <c r="J460" s="7" t="n"/>
      <c r="K460" s="2" t="inlineStr">
        <is>
          <t>Antiochus II and Ptolemy II make an 'equitable arrangement'</t>
        </is>
      </c>
      <c r="L460" s="2" t="n"/>
      <c r="M460" s="7" t="inlineStr">
        <is>
          <t>The king of the north, Antiochus II, and the king of the south, Ptolemy II, made an alliance; Antiochus divorced Laodice and married Ptolemy's daughter Berenice.</t>
        </is>
      </c>
      <c r="N460" s="7" t="inlineStr">
        <is>
          <t>பொ.ச.மு. 250-ல் இந்த இரு ராஜாக்களும் ‘ஒருவரோடொருவர் சம்பந்தம் பண்ணிக்கொண்டார்கள்.’</t>
        </is>
      </c>
      <c r="O460" s="8" t="inlineStr">
        <is>
          <t>Bible</t>
        </is>
      </c>
      <c r="P460" s="7" t="inlineStr">
        <is>
          <t>bible.prophecy_fulfilled</t>
        </is>
      </c>
      <c r="Q460" s="7" t="inlineStr">
        <is>
          <t>treaty</t>
        </is>
      </c>
      <c r="R460" s="7" t="inlineStr">
        <is>
          <t>Antiochus II; Ptolemy II Philadelphus; Berenice; Laodice</t>
        </is>
      </c>
      <c r="S460" s="7" t="n"/>
      <c r="T460" s="7" t="inlineStr">
        <is>
          <t>Dan. 11:6</t>
        </is>
      </c>
      <c r="U460" s="7" t="n"/>
      <c r="V460" s="7" t="n">
        <v>1</v>
      </c>
      <c r="W460" s="7" t="inlineStr">
        <is>
          <t>Two Kings in Conflict</t>
        </is>
      </c>
      <c r="X460" s="9" t="inlineStr">
        <is>
          <t>open</t>
        </is>
      </c>
      <c r="Y460" s="9" t="inlineStr">
        <is>
          <t>open</t>
        </is>
      </c>
      <c r="Z460" s="7" t="inlineStr">
        <is>
          <t>https://wol.jw.org/en/wol/d/r1/lp-e/1101999032</t>
        </is>
      </c>
      <c r="AA460" s="7" t="n">
        <v>0</v>
      </c>
      <c r="AB460" s="7" t="n"/>
      <c r="AC460" s="7" t="n">
        <v>0</v>
      </c>
      <c r="AD460" s="7" t="n"/>
      <c r="AE460" s="7" t="n"/>
      <c r="AF460" s="7" t="n"/>
      <c r="AG460" s="7" t="n"/>
      <c r="AH460" s="7" t="n"/>
      <c r="AI460" s="7" t="n"/>
      <c r="AJ460" s="7" t="n"/>
      <c r="AK460" s="7" t="inlineStr">
        <is>
          <t>kings-north-and-south #12 (fulfillment)</t>
        </is>
      </c>
      <c r="AL460" s="7" t="n"/>
      <c r="AM460" s="7" t="n">
        <v>-250</v>
      </c>
      <c r="AN460" s="10" t="n"/>
      <c r="AO460" s="10" t="n"/>
      <c r="AP460" s="10" t="n"/>
      <c r="AQ460" s="10" t="n"/>
    </row>
    <row r="461">
      <c r="A461" s="7" t="inlineStr">
        <is>
          <t>b4-0101</t>
        </is>
      </c>
      <c r="B461" s="7" t="inlineStr">
        <is>
          <t>Point</t>
        </is>
      </c>
      <c r="C461" s="7" t="n"/>
      <c r="D461" s="7" t="inlineStr">
        <is>
          <t>246 B.C.E.</t>
        </is>
      </c>
      <c r="E461" s="7" t="inlineStr">
        <is>
          <t>பொ.ச.மு. 246</t>
        </is>
      </c>
      <c r="F461" s="7" t="inlineStr">
        <is>
          <t>246 BCE</t>
        </is>
      </c>
      <c r="G461" s="7" t="inlineStr">
        <is>
          <t>Exact</t>
        </is>
      </c>
      <c r="H461" s="7" t="n"/>
      <c r="I461" s="7" t="n"/>
      <c r="J461" s="7" t="n"/>
      <c r="K461" s="2" t="inlineStr">
        <is>
          <t>Death of Antiochus II</t>
        </is>
      </c>
      <c r="L461" s="2" t="n"/>
      <c r="M461" s="7" t="inlineStr">
        <is>
          <t>When Antiochus II died, Berenice did not 'retain the power of her arm.'</t>
        </is>
      </c>
      <c r="N461" s="7" t="inlineStr">
        <is>
          <t>அவர் பொ.ச.மு. 246-ல் இறந்தபோது, பெர்னைஸிக்கு தன் கணவரோடு இருந்த ‘புயபலம் இராமற்போயிற்று.’</t>
        </is>
      </c>
      <c r="O461" s="8" t="inlineStr">
        <is>
          <t>Bible</t>
        </is>
      </c>
      <c r="P461" s="7" t="inlineStr">
        <is>
          <t>bible.prophecy_fulfilled</t>
        </is>
      </c>
      <c r="Q461" s="7" t="inlineStr">
        <is>
          <t>death</t>
        </is>
      </c>
      <c r="R461" s="7" t="inlineStr">
        <is>
          <t>Antiochus II; Berenice</t>
        </is>
      </c>
      <c r="S461" s="7" t="n"/>
      <c r="T461" s="7" t="inlineStr">
        <is>
          <t>Dan. 11:6</t>
        </is>
      </c>
      <c r="U461" s="7" t="n"/>
      <c r="V461" s="7" t="n">
        <v>1</v>
      </c>
      <c r="W461" s="7" t="inlineStr">
        <is>
          <t>Two Kings in Conflict</t>
        </is>
      </c>
      <c r="X461" s="9" t="inlineStr">
        <is>
          <t>open</t>
        </is>
      </c>
      <c r="Y461" s="9" t="inlineStr">
        <is>
          <t>open</t>
        </is>
      </c>
      <c r="Z461" s="7" t="inlineStr">
        <is>
          <t>https://wol.jw.org/en/wol/d/r1/lp-e/1101999032</t>
        </is>
      </c>
      <c r="AA461" s="7" t="n">
        <v>0</v>
      </c>
      <c r="AB461" s="7" t="n"/>
      <c r="AC461" s="7" t="n">
        <v>0</v>
      </c>
      <c r="AD461" s="7" t="n"/>
      <c r="AE461" s="7" t="n"/>
      <c r="AF461" s="7" t="n"/>
      <c r="AG461" s="7" t="n"/>
      <c r="AH461" s="7" t="n"/>
      <c r="AI461" s="7" t="n"/>
      <c r="AJ461" s="7" t="n"/>
      <c r="AK461" s="7" t="inlineStr">
        <is>
          <t>kings-north-and-south #13 (fulfillment)</t>
        </is>
      </c>
      <c r="AL461" s="7" t="n"/>
      <c r="AM461" s="7" t="n">
        <v>-246</v>
      </c>
      <c r="AN461" s="10" t="n"/>
      <c r="AO461" s="10" t="n"/>
      <c r="AP461" s="10" t="n"/>
      <c r="AQ461" s="10" t="n"/>
    </row>
    <row r="462">
      <c r="A462" s="7" t="inlineStr">
        <is>
          <t>b4-0102</t>
        </is>
      </c>
      <c r="B462" s="7" t="inlineStr">
        <is>
          <t>Point</t>
        </is>
      </c>
      <c r="C462" s="7" t="n"/>
      <c r="D462" s="7" t="inlineStr">
        <is>
          <t>c. 242 B.C.E.</t>
        </is>
      </c>
      <c r="E462" s="7" t="n"/>
      <c r="F462" s="7" t="inlineStr">
        <is>
          <t>242 BCE</t>
        </is>
      </c>
      <c r="G462" s="7" t="inlineStr">
        <is>
          <t>Approx. (c.)</t>
        </is>
      </c>
      <c r="H462" s="7" t="n"/>
      <c r="I462" s="7" t="n"/>
      <c r="J462" s="7" t="n"/>
      <c r="K462" s="2" t="inlineStr">
        <is>
          <t>Seleucus II retreats to Antioch</t>
        </is>
      </c>
      <c r="L462" s="2" t="n"/>
      <c r="M462" s="7" t="inlineStr">
        <is>
          <t>With only a small remnant of his army, Seleucus II 'went back to his own soil,' retreating to the Syrian capital, Antioch.</t>
        </is>
      </c>
      <c r="N462" s="7" t="n"/>
      <c r="O462" s="8" t="inlineStr">
        <is>
          <t>Bible</t>
        </is>
      </c>
      <c r="P462" s="7" t="inlineStr">
        <is>
          <t>bible.prophecy_fulfilled</t>
        </is>
      </c>
      <c r="Q462" s="7" t="inlineStr">
        <is>
          <t>battle</t>
        </is>
      </c>
      <c r="R462" s="7" t="inlineStr">
        <is>
          <t>Seleucus II</t>
        </is>
      </c>
      <c r="S462" s="7" t="inlineStr">
        <is>
          <t>Antioch</t>
        </is>
      </c>
      <c r="T462" s="7" t="inlineStr">
        <is>
          <t>Dan. 11:9</t>
        </is>
      </c>
      <c r="U462" s="7" t="n"/>
      <c r="V462" s="7" t="n">
        <v>1</v>
      </c>
      <c r="W462" s="7" t="inlineStr">
        <is>
          <t>Two Kings in Conflict</t>
        </is>
      </c>
      <c r="X462" s="9" t="inlineStr">
        <is>
          <t>open</t>
        </is>
      </c>
      <c r="Y462" s="9" t="inlineStr">
        <is>
          <t>open</t>
        </is>
      </c>
      <c r="Z462" s="7" t="inlineStr">
        <is>
          <t>https://wol.jw.org/en/wol/d/r1/lp-e/1101999032</t>
        </is>
      </c>
      <c r="AA462" s="7" t="n">
        <v>0</v>
      </c>
      <c r="AB462" s="7" t="n"/>
      <c r="AC462" s="7" t="n">
        <v>0</v>
      </c>
      <c r="AD462" s="7" t="n"/>
      <c r="AE462" s="7" t="n"/>
      <c r="AF462" s="7" t="n"/>
      <c r="AG462" s="7" t="n"/>
      <c r="AH462" s="7" t="n"/>
      <c r="AI462" s="7" t="n"/>
      <c r="AJ462" s="7" t="n"/>
      <c r="AK462" s="7" t="inlineStr">
        <is>
          <t>kings-north-and-south #14 (fulfillment)</t>
        </is>
      </c>
      <c r="AL462" s="7" t="n"/>
      <c r="AM462" s="7" t="n">
        <v>-242</v>
      </c>
      <c r="AN462" s="10" t="n"/>
      <c r="AO462" s="10" t="n"/>
      <c r="AP462" s="10" t="n"/>
      <c r="AQ462" s="10" t="n"/>
    </row>
    <row r="463">
      <c r="A463" s="7" t="inlineStr">
        <is>
          <t>b4-0103</t>
        </is>
      </c>
      <c r="B463" s="7" t="inlineStr">
        <is>
          <t>Point</t>
        </is>
      </c>
      <c r="C463" s="7" t="n"/>
      <c r="D463" s="7" t="inlineStr">
        <is>
          <t>217 B.C.E. (spring)</t>
        </is>
      </c>
      <c r="E463" s="7" t="inlineStr">
        <is>
          <t>பொ.ச.மு. 217</t>
        </is>
      </c>
      <c r="F463" s="7" t="inlineStr">
        <is>
          <t>217 BCE</t>
        </is>
      </c>
      <c r="G463" s="7" t="inlineStr">
        <is>
          <t>Exact</t>
        </is>
      </c>
      <c r="H463" s="7" t="n"/>
      <c r="I463" s="7" t="n"/>
      <c r="J463" s="7" t="n"/>
      <c r="K463" s="2" t="inlineStr">
        <is>
          <t>Antiochus III marches against Ptolemy IV</t>
        </is>
      </c>
      <c r="L463" s="2" t="n"/>
      <c r="M463" s="7" t="inlineStr">
        <is>
          <t>In the spring of 217 B.C.E., Antiochus III left Ptolemais and went north 'all the way to his fortress' in Syria after his clash with the king of the south.</t>
        </is>
      </c>
      <c r="N463" s="7" t="inlineStr">
        <is>
          <t>பொ.ச.மு. 217-ன் இளவேனிற்காலத்தில், மூன்றாம் ஆண்டியோகஸ், தாலமேயஸ் நகரை விட்டு வடக்கே சென்று, சிரியாவிலுள்ள தன் ‘அரண்மட்டும் யுத்தங்கலந்து சேர்ந்தான்.’</t>
        </is>
      </c>
      <c r="O463" s="8" t="inlineStr">
        <is>
          <t>Bible</t>
        </is>
      </c>
      <c r="P463" s="7" t="inlineStr">
        <is>
          <t>bible.prophecy_fulfilled</t>
        </is>
      </c>
      <c r="Q463" s="7" t="inlineStr">
        <is>
          <t>battle</t>
        </is>
      </c>
      <c r="R463" s="7" t="inlineStr">
        <is>
          <t>Antiochus III</t>
        </is>
      </c>
      <c r="S463" s="7" t="inlineStr">
        <is>
          <t>Ptolemais; Syria</t>
        </is>
      </c>
      <c r="T463" s="7" t="inlineStr">
        <is>
          <t>Dan. 11:10-12</t>
        </is>
      </c>
      <c r="U463" s="7" t="n"/>
      <c r="V463" s="7" t="n">
        <v>1</v>
      </c>
      <c r="W463" s="7" t="inlineStr">
        <is>
          <t>Two Kings in Conflict</t>
        </is>
      </c>
      <c r="X463" s="9" t="inlineStr">
        <is>
          <t>open</t>
        </is>
      </c>
      <c r="Y463" s="9" t="inlineStr">
        <is>
          <t>open</t>
        </is>
      </c>
      <c r="Z463" s="7" t="inlineStr">
        <is>
          <t>https://wol.jw.org/en/wol/d/r1/lp-e/1101999032</t>
        </is>
      </c>
      <c r="AA463" s="7" t="n">
        <v>0</v>
      </c>
      <c r="AB463" s="7" t="n"/>
      <c r="AC463" s="7" t="n">
        <v>0</v>
      </c>
      <c r="AD463" s="7" t="n"/>
      <c r="AE463" s="7" t="n"/>
      <c r="AF463" s="7" t="n"/>
      <c r="AG463" s="7" t="n"/>
      <c r="AH463" s="7" t="n"/>
      <c r="AI463" s="7" t="n"/>
      <c r="AJ463" s="7" t="n"/>
      <c r="AK463" s="7" t="inlineStr">
        <is>
          <t>kings-north-and-south #15 (fulfillment)</t>
        </is>
      </c>
      <c r="AL463" s="7" t="n"/>
      <c r="AM463" s="7" t="n">
        <v>-216.7</v>
      </c>
      <c r="AN463" s="10" t="n"/>
      <c r="AO463" s="10" t="n"/>
      <c r="AP463" s="10" t="n"/>
      <c r="AQ463" s="10" t="n"/>
    </row>
    <row r="464">
      <c r="A464" s="7" t="inlineStr">
        <is>
          <t>b4-0104</t>
        </is>
      </c>
      <c r="B464" s="7" t="inlineStr">
        <is>
          <t>Point</t>
        </is>
      </c>
      <c r="C464" s="7" t="n"/>
      <c r="D464" s="7" t="inlineStr">
        <is>
          <t>198 B.C.E.</t>
        </is>
      </c>
      <c r="E464" s="7" t="inlineStr">
        <is>
          <t>பொ.ச.மு. 198</t>
        </is>
      </c>
      <c r="F464" s="7" t="inlineStr">
        <is>
          <t>198 BCE</t>
        </is>
      </c>
      <c r="G464" s="7" t="inlineStr">
        <is>
          <t>Exact</t>
        </is>
      </c>
      <c r="H464" s="7" t="n"/>
      <c r="I464" s="7" t="n"/>
      <c r="J464" s="7" t="n"/>
      <c r="K464" s="2" t="inlineStr">
        <is>
          <t>Antiochus III takes Sidon and Jerusalem; Judea passes to the Seleucids</t>
        </is>
      </c>
      <c r="L464" s="2" t="n"/>
      <c r="M464" s="7" t="inlineStr">
        <is>
          <t>After defeating Egypt's General Scopas at Paneas and taking Sidon, Antiochus the Great captured Jerusalem; Judea passed from the Ptolemaic king of the south to the Seleucid king of the north.</t>
        </is>
      </c>
      <c r="N464" s="7" t="inlineStr">
        <is>
          <t>பொ.ச.மு. 198-ல், எருசலேமும் யூதாவும் எகிப்திய தென்றிசை ராஜாவிடமிருந்து சிரியா தேசத்து வடதிசை ராஜாவிடம் கைமாறின.</t>
        </is>
      </c>
      <c r="O464" s="8" t="inlineStr">
        <is>
          <t>Bible</t>
        </is>
      </c>
      <c r="P464" s="7" t="inlineStr">
        <is>
          <t>bible.prophecy_fulfilled</t>
        </is>
      </c>
      <c r="Q464" s="7" t="inlineStr">
        <is>
          <t>conquest</t>
        </is>
      </c>
      <c r="R464" s="7" t="inlineStr">
        <is>
          <t>Antiochus III; Scopas</t>
        </is>
      </c>
      <c r="S464" s="7" t="inlineStr">
        <is>
          <t>Paneas; Sidon; Jerusalem; Judea</t>
        </is>
      </c>
      <c r="T464" s="7" t="inlineStr">
        <is>
          <t>Dan. 11:15, 16</t>
        </is>
      </c>
      <c r="U464" s="7" t="n"/>
      <c r="V464" s="7" t="n">
        <v>3</v>
      </c>
      <c r="W464" s="7" t="inlineStr">
        <is>
          <t>Jerusalem</t>
        </is>
      </c>
      <c r="X464" s="9" t="inlineStr">
        <is>
          <t>open</t>
        </is>
      </c>
      <c r="Y464" s="7" t="n"/>
      <c r="Z464" s="7" t="inlineStr">
        <is>
          <t>https://wol.jw.org/en/wol/d/r1/lp-e/1200002436
https://wol.jw.org/en/wol/d/r1/lp-e/1101999032
https://wol.jw.org/en/wol/d/r1/lp-e/1200001765</t>
        </is>
      </c>
      <c r="AA464" s="7" t="n">
        <v>0</v>
      </c>
      <c r="AB464" s="7" t="n"/>
      <c r="AC464" s="7" t="n">
        <v>0</v>
      </c>
      <c r="AD464" s="7" t="n"/>
      <c r="AE464" s="7" t="n"/>
      <c r="AF464" s="7" t="n"/>
      <c r="AG464" s="7" t="n"/>
      <c r="AH464" s="7" t="n"/>
      <c r="AI464" s="7" t="n"/>
      <c r="AJ464" s="7" t="n"/>
      <c r="AK464" s="7" t="inlineStr">
        <is>
          <t>kings-north-and-south #16 (fulfillment)</t>
        </is>
      </c>
      <c r="AL464" s="7" t="n"/>
      <c r="AM464" s="7" t="n">
        <v>-198</v>
      </c>
      <c r="AN464" s="10" t="n"/>
      <c r="AO464" s="10" t="n"/>
      <c r="AP464" s="10" t="n"/>
      <c r="AQ464" s="10" t="n"/>
    </row>
    <row r="465">
      <c r="A465" s="7" t="inlineStr">
        <is>
          <t>b4-0105</t>
        </is>
      </c>
      <c r="B465" s="7" t="inlineStr">
        <is>
          <t>Point</t>
        </is>
      </c>
      <c r="C465" s="7" t="n"/>
      <c r="D465" s="7" t="inlineStr">
        <is>
          <t>197 B.C.E.</t>
        </is>
      </c>
      <c r="E465" s="7" t="n"/>
      <c r="F465" s="7" t="inlineStr">
        <is>
          <t>197 BCE</t>
        </is>
      </c>
      <c r="G465" s="7" t="inlineStr">
        <is>
          <t>Exact</t>
        </is>
      </c>
      <c r="H465" s="7" t="n"/>
      <c r="I465" s="7" t="n"/>
      <c r="J465" s="7" t="n"/>
      <c r="K465" s="2" t="inlineStr">
        <is>
          <t>Macedonia and Greece fall to the Romans</t>
        </is>
      </c>
      <c r="L465" s="2" t="n"/>
      <c r="M465" s="7" t="inlineStr">
        <is>
          <t>Macedonia and Greece, one of the four divisions of Alexander's empire, fell to the Romans.</t>
        </is>
      </c>
      <c r="N465" s="7" t="n"/>
      <c r="O465" s="8" t="inlineStr">
        <is>
          <t>Bible</t>
        </is>
      </c>
      <c r="P465" s="7" t="inlineStr">
        <is>
          <t>bible.intertestament</t>
        </is>
      </c>
      <c r="Q465" s="7" t="inlineStr">
        <is>
          <t>conquest</t>
        </is>
      </c>
      <c r="R465" s="7" t="n"/>
      <c r="S465" s="7" t="inlineStr">
        <is>
          <t>Macedonia; Greece</t>
        </is>
      </c>
      <c r="T465" s="7" t="n"/>
      <c r="U465" s="7" t="n"/>
      <c r="V465" s="7" t="n">
        <v>1</v>
      </c>
      <c r="W465" s="7" t="inlineStr">
        <is>
          <t>Greece, Greeks</t>
        </is>
      </c>
      <c r="X465" s="9" t="inlineStr">
        <is>
          <t>open</t>
        </is>
      </c>
      <c r="Y465" s="7" t="n"/>
      <c r="Z465" s="7" t="inlineStr">
        <is>
          <t>https://wol.jw.org/en/wol/d/r1/lp-e/1200001765</t>
        </is>
      </c>
      <c r="AA465" s="7" t="n">
        <v>0</v>
      </c>
      <c r="AB465" s="7" t="n"/>
      <c r="AC465" s="7" t="n">
        <v>0</v>
      </c>
      <c r="AD465" s="7" t="n"/>
      <c r="AE465" s="7" t="n"/>
      <c r="AF465" s="7" t="n"/>
      <c r="AG465" s="7" t="n"/>
      <c r="AH465" s="7" t="n"/>
      <c r="AI465" s="7" t="n"/>
      <c r="AJ465" s="7" t="n"/>
      <c r="AK465" s="7" t="n"/>
      <c r="AL465" s="7" t="n"/>
      <c r="AM465" s="7" t="n">
        <v>-197</v>
      </c>
      <c r="AN465" s="10" t="n"/>
      <c r="AO465" s="10" t="n"/>
      <c r="AP465" s="10" t="n"/>
      <c r="AQ465" s="10" t="n"/>
    </row>
    <row r="466">
      <c r="A466" s="7" t="inlineStr">
        <is>
          <t>b4-0106</t>
        </is>
      </c>
      <c r="B466" s="7" t="inlineStr">
        <is>
          <t>Point</t>
        </is>
      </c>
      <c r="C466" s="7" t="n"/>
      <c r="D466" s="7" t="inlineStr">
        <is>
          <t>193 B.C.E.</t>
        </is>
      </c>
      <c r="E466" s="7" t="inlineStr">
        <is>
          <t>பொ.ச.மு. 193</t>
        </is>
      </c>
      <c r="F466" s="7" t="inlineStr">
        <is>
          <t>193 BCE</t>
        </is>
      </c>
      <c r="G466" s="7" t="inlineStr">
        <is>
          <t>Exact</t>
        </is>
      </c>
      <c r="H466" s="7" t="n"/>
      <c r="I466" s="7" t="n"/>
      <c r="J466" s="7" t="n"/>
      <c r="K466" s="2" t="inlineStr">
        <is>
          <t>Antiochus III's daughter marries Ptolemy V</t>
        </is>
      </c>
      <c r="L466" s="2" t="n"/>
      <c r="M466" s="7" t="inlineStr">
        <is>
          <t>At the marriage of Antiochus III's daughter Cleopatra I to Ptolemy V, the Syrian king did not hand over the promised provinces.</t>
        </is>
      </c>
      <c r="N466" s="7" t="inlineStr">
        <is>
          <t>இருந்தாலும் பொ.ச.மு. 193-ல் திருமணம் நடந்தபோது, சிரியா தேசத்து ராஜா இந்த மாகாணங்களை ஐந்தாம் தாலமிக்கு தரவில்லை.</t>
        </is>
      </c>
      <c r="O466" s="8" t="inlineStr">
        <is>
          <t>Bible</t>
        </is>
      </c>
      <c r="P466" s="7" t="inlineStr">
        <is>
          <t>bible.prophecy_fulfilled</t>
        </is>
      </c>
      <c r="Q466" s="7" t="inlineStr">
        <is>
          <t>marriage</t>
        </is>
      </c>
      <c r="R466" s="7" t="inlineStr">
        <is>
          <t>Antiochus III; Ptolemy V; Cleopatra I</t>
        </is>
      </c>
      <c r="S466" s="7" t="n"/>
      <c r="T466" s="7" t="inlineStr">
        <is>
          <t>Dan. 11:17</t>
        </is>
      </c>
      <c r="U466" s="7" t="n"/>
      <c r="V466" s="7" t="n">
        <v>1</v>
      </c>
      <c r="W466" s="7" t="inlineStr">
        <is>
          <t>Two Kings in Conflict</t>
        </is>
      </c>
      <c r="X466" s="9" t="inlineStr">
        <is>
          <t>open</t>
        </is>
      </c>
      <c r="Y466" s="9" t="inlineStr">
        <is>
          <t>open</t>
        </is>
      </c>
      <c r="Z466" s="7" t="inlineStr">
        <is>
          <t>https://wol.jw.org/en/wol/d/r1/lp-e/1101999032</t>
        </is>
      </c>
      <c r="AA466" s="7" t="n">
        <v>0</v>
      </c>
      <c r="AB466" s="7" t="n"/>
      <c r="AC466" s="7" t="n">
        <v>0</v>
      </c>
      <c r="AD466" s="7" t="n"/>
      <c r="AE466" s="7" t="n"/>
      <c r="AF466" s="7" t="n"/>
      <c r="AG466" s="7" t="n"/>
      <c r="AH466" s="7" t="n"/>
      <c r="AI466" s="7" t="n"/>
      <c r="AJ466" s="7" t="n"/>
      <c r="AK466" s="7" t="inlineStr">
        <is>
          <t>kings-north-and-south #17 (fulfillment)</t>
        </is>
      </c>
      <c r="AL466" s="7" t="n"/>
      <c r="AM466" s="7" t="n">
        <v>-193</v>
      </c>
      <c r="AN466" s="10" t="n"/>
      <c r="AO466" s="10" t="n"/>
      <c r="AP466" s="10" t="n"/>
      <c r="AQ466" s="10" t="n"/>
    </row>
    <row r="467">
      <c r="A467" s="7" t="inlineStr">
        <is>
          <t>b4-0107</t>
        </is>
      </c>
      <c r="B467" s="7" t="inlineStr">
        <is>
          <t>Point</t>
        </is>
      </c>
      <c r="C467" s="7" t="n"/>
      <c r="D467" s="7" t="inlineStr">
        <is>
          <t>192 B.C.E.</t>
        </is>
      </c>
      <c r="E467" s="7" t="inlineStr">
        <is>
          <t>பொ.ச.மு. 192</t>
        </is>
      </c>
      <c r="F467" s="7" t="inlineStr">
        <is>
          <t>192 BCE</t>
        </is>
      </c>
      <c r="G467" s="7" t="inlineStr">
        <is>
          <t>Exact</t>
        </is>
      </c>
      <c r="H467" s="7" t="n"/>
      <c r="I467" s="7" t="n"/>
      <c r="J467" s="7" t="n"/>
      <c r="K467" s="2" t="inlineStr">
        <is>
          <t>War in Greece draws in Antiochus III</t>
        </is>
      </c>
      <c r="L467" s="2" t="n"/>
      <c r="M467" s="7" t="inlineStr">
        <is>
          <t>A war broke out in Greece, and Antiochus III was induced to come there, bringing him into conflict with Rome.</t>
        </is>
      </c>
      <c r="N467" s="7" t="inlineStr">
        <is>
          <t>பொ.ச.மு. 192-ல் கிரீஸில் ஒரு யுத்தம் மூண்டது, இதனால் மூன்றாம் ஆண்டியோகஸ் கிரீஸுக்கு வர தூண்டப்பட்டார்.</t>
        </is>
      </c>
      <c r="O467" s="8" t="inlineStr">
        <is>
          <t>Bible</t>
        </is>
      </c>
      <c r="P467" s="7" t="inlineStr">
        <is>
          <t>bible.prophecy_fulfilled</t>
        </is>
      </c>
      <c r="Q467" s="7" t="inlineStr">
        <is>
          <t>battle</t>
        </is>
      </c>
      <c r="R467" s="7" t="inlineStr">
        <is>
          <t>Antiochus III</t>
        </is>
      </c>
      <c r="S467" s="7" t="inlineStr">
        <is>
          <t>Greece</t>
        </is>
      </c>
      <c r="T467" s="7" t="inlineStr">
        <is>
          <t>Dan. 11:18</t>
        </is>
      </c>
      <c r="U467" s="7" t="n"/>
      <c r="V467" s="7" t="n">
        <v>1</v>
      </c>
      <c r="W467" s="7" t="inlineStr">
        <is>
          <t>Two Kings in Conflict</t>
        </is>
      </c>
      <c r="X467" s="9" t="inlineStr">
        <is>
          <t>open</t>
        </is>
      </c>
      <c r="Y467" s="9" t="inlineStr">
        <is>
          <t>open</t>
        </is>
      </c>
      <c r="Z467" s="7" t="inlineStr">
        <is>
          <t>https://wol.jw.org/en/wol/d/r1/lp-e/1101999032</t>
        </is>
      </c>
      <c r="AA467" s="7" t="n">
        <v>0</v>
      </c>
      <c r="AB467" s="7" t="n"/>
      <c r="AC467" s="7" t="n">
        <v>0</v>
      </c>
      <c r="AD467" s="7" t="n"/>
      <c r="AE467" s="7" t="n"/>
      <c r="AF467" s="7" t="n"/>
      <c r="AG467" s="7" t="n"/>
      <c r="AH467" s="7" t="n"/>
      <c r="AI467" s="7" t="n"/>
      <c r="AJ467" s="7" t="n"/>
      <c r="AK467" s="7" t="inlineStr">
        <is>
          <t>kings-north-and-south #18 (step)</t>
        </is>
      </c>
      <c r="AL467" s="7" t="n"/>
      <c r="AM467" s="7" t="n">
        <v>-192</v>
      </c>
      <c r="AN467" s="10" t="n"/>
      <c r="AO467" s="10" t="n"/>
      <c r="AP467" s="10" t="n"/>
      <c r="AQ467" s="10" t="n"/>
    </row>
    <row r="468">
      <c r="A468" s="7" t="inlineStr">
        <is>
          <t>b4-0108</t>
        </is>
      </c>
      <c r="B468" s="7" t="inlineStr">
        <is>
          <t>Point</t>
        </is>
      </c>
      <c r="C468" s="7" t="n"/>
      <c r="D468" s="7" t="inlineStr">
        <is>
          <t>190 B.C.E.</t>
        </is>
      </c>
      <c r="E468" s="7" t="n"/>
      <c r="F468" s="7" t="inlineStr">
        <is>
          <t>190 BCE</t>
        </is>
      </c>
      <c r="G468" s="7" t="inlineStr">
        <is>
          <t>Exact</t>
        </is>
      </c>
      <c r="H468" s="7" t="n"/>
      <c r="I468" s="7" t="n"/>
      <c r="J468" s="7" t="n"/>
      <c r="K468" s="2" t="inlineStr">
        <is>
          <t>Antiochus III defeated by Rome at Magnesia</t>
        </is>
      </c>
      <c r="L468" s="2" t="n"/>
      <c r="M468" s="7" t="inlineStr">
        <is>
          <t>After losing the battle of Magnesia, Antiochus III had to give up everything in Greece, Asia Minor, and west of the Taurus Mountains.</t>
        </is>
      </c>
      <c r="N468" s="7" t="n"/>
      <c r="O468" s="8" t="inlineStr">
        <is>
          <t>Bible</t>
        </is>
      </c>
      <c r="P468" s="7" t="inlineStr">
        <is>
          <t>bible.prophecy_fulfilled</t>
        </is>
      </c>
      <c r="Q468" s="7" t="inlineStr">
        <is>
          <t>battle</t>
        </is>
      </c>
      <c r="R468" s="7" t="inlineStr">
        <is>
          <t>Antiochus III</t>
        </is>
      </c>
      <c r="S468" s="7" t="inlineStr">
        <is>
          <t>Magnesia</t>
        </is>
      </c>
      <c r="T468" s="7" t="inlineStr">
        <is>
          <t>Dan. 11:18</t>
        </is>
      </c>
      <c r="U468" s="7" t="n"/>
      <c r="V468" s="7" t="n">
        <v>1</v>
      </c>
      <c r="W468" s="7" t="inlineStr">
        <is>
          <t>Two Kings in Conflict</t>
        </is>
      </c>
      <c r="X468" s="9" t="inlineStr">
        <is>
          <t>open</t>
        </is>
      </c>
      <c r="Y468" s="9" t="inlineStr">
        <is>
          <t>open</t>
        </is>
      </c>
      <c r="Z468" s="7" t="inlineStr">
        <is>
          <t>https://wol.jw.org/en/wol/d/r1/lp-e/1101999032</t>
        </is>
      </c>
      <c r="AA468" s="7" t="n">
        <v>0</v>
      </c>
      <c r="AB468" s="7" t="n"/>
      <c r="AC468" s="7" t="n">
        <v>0</v>
      </c>
      <c r="AD468" s="7" t="n"/>
      <c r="AE468" s="7" t="n"/>
      <c r="AF468" s="7" t="n"/>
      <c r="AG468" s="7" t="n"/>
      <c r="AH468" s="7" t="n"/>
      <c r="AI468" s="7" t="n"/>
      <c r="AJ468" s="7" t="n"/>
      <c r="AK468" s="7" t="inlineStr">
        <is>
          <t>kings-north-and-south #19 (fulfillment)</t>
        </is>
      </c>
      <c r="AL468" s="7" t="n"/>
      <c r="AM468" s="7" t="n">
        <v>-190</v>
      </c>
      <c r="AN468" s="10" t="n"/>
      <c r="AO468" s="10" t="n"/>
      <c r="AP468" s="10" t="n"/>
      <c r="AQ468" s="10" t="n"/>
    </row>
    <row r="469">
      <c r="A469" s="7" t="inlineStr">
        <is>
          <t>b4-0109</t>
        </is>
      </c>
      <c r="B469" s="7" t="inlineStr">
        <is>
          <t>Point</t>
        </is>
      </c>
      <c r="C469" s="7" t="n"/>
      <c r="D469" s="7" t="inlineStr">
        <is>
          <t>187 B.C.E.</t>
        </is>
      </c>
      <c r="E469" s="7" t="n"/>
      <c r="F469" s="7" t="inlineStr">
        <is>
          <t>187 BCE</t>
        </is>
      </c>
      <c r="G469" s="7" t="inlineStr">
        <is>
          <t>Exact</t>
        </is>
      </c>
      <c r="H469" s="7" t="n"/>
      <c r="I469" s="7" t="n"/>
      <c r="J469" s="7" t="n"/>
      <c r="K469" s="2" t="inlineStr">
        <is>
          <t>Death of Antiochus III</t>
        </is>
      </c>
      <c r="L469" s="2" t="n"/>
      <c r="M469" s="7" t="inlineStr">
        <is>
          <t>Antiochus III died while trying to rob a temple at Elymais, Persia.</t>
        </is>
      </c>
      <c r="N469" s="7" t="n"/>
      <c r="O469" s="8" t="inlineStr">
        <is>
          <t>Bible</t>
        </is>
      </c>
      <c r="P469" s="7" t="inlineStr">
        <is>
          <t>bible.prophecy_fulfilled</t>
        </is>
      </c>
      <c r="Q469" s="7" t="inlineStr">
        <is>
          <t>death</t>
        </is>
      </c>
      <c r="R469" s="7" t="inlineStr">
        <is>
          <t>Antiochus III</t>
        </is>
      </c>
      <c r="S469" s="7" t="inlineStr">
        <is>
          <t>Elymais</t>
        </is>
      </c>
      <c r="T469" s="7" t="inlineStr">
        <is>
          <t>Dan. 11:19</t>
        </is>
      </c>
      <c r="U469" s="7" t="n"/>
      <c r="V469" s="7" t="n">
        <v>1</v>
      </c>
      <c r="W469" s="7" t="inlineStr">
        <is>
          <t>Two Kings in Conflict</t>
        </is>
      </c>
      <c r="X469" s="9" t="inlineStr">
        <is>
          <t>open</t>
        </is>
      </c>
      <c r="Y469" s="9" t="inlineStr">
        <is>
          <t>open</t>
        </is>
      </c>
      <c r="Z469" s="7" t="inlineStr">
        <is>
          <t>https://wol.jw.org/en/wol/d/r1/lp-e/1101999032</t>
        </is>
      </c>
      <c r="AA469" s="7" t="n">
        <v>0</v>
      </c>
      <c r="AB469" s="7" t="n"/>
      <c r="AC469" s="7" t="n">
        <v>0</v>
      </c>
      <c r="AD469" s="7" t="n"/>
      <c r="AE469" s="7" t="n"/>
      <c r="AF469" s="7" t="n"/>
      <c r="AG469" s="7" t="n"/>
      <c r="AH469" s="7" t="n"/>
      <c r="AI469" s="7" t="n"/>
      <c r="AJ469" s="7" t="n"/>
      <c r="AK469" s="7" t="inlineStr">
        <is>
          <t>kings-north-and-south #20 (fulfillment)</t>
        </is>
      </c>
      <c r="AL469" s="7" t="n"/>
      <c r="AM469" s="7" t="n">
        <v>-187</v>
      </c>
      <c r="AN469" s="10" t="n"/>
      <c r="AO469" s="10" t="n"/>
      <c r="AP469" s="10" t="n"/>
      <c r="AQ469" s="10" t="n"/>
    </row>
    <row r="470">
      <c r="A470" s="7" t="inlineStr">
        <is>
          <t>b4-0110</t>
        </is>
      </c>
      <c r="B470" s="7" t="inlineStr">
        <is>
          <t>Point</t>
        </is>
      </c>
      <c r="C470" s="7" t="n"/>
      <c r="D470" s="7" t="inlineStr">
        <is>
          <t>175 B.C.E.</t>
        </is>
      </c>
      <c r="E470" s="7" t="n"/>
      <c r="F470" s="7" t="inlineStr">
        <is>
          <t>175 BCE</t>
        </is>
      </c>
      <c r="G470" s="7" t="inlineStr">
        <is>
          <t>Exact</t>
        </is>
      </c>
      <c r="H470" s="7" t="n"/>
      <c r="I470" s="7" t="n"/>
      <c r="J470" s="7" t="n"/>
      <c r="K470" s="2" t="inlineStr">
        <is>
          <t>High priest Onias deposed by Antiochus Epiphanes</t>
        </is>
      </c>
      <c r="L470" s="2" t="n"/>
      <c r="M470" s="7" t="inlineStr">
        <is>
          <t>Antiochus IV Epiphanes deposed the Jewish high priest Onias; some Jewish commentators wrongly applied Daniel 9:26 to him.</t>
        </is>
      </c>
      <c r="N470" s="7" t="n"/>
      <c r="O470" s="8" t="inlineStr">
        <is>
          <t>Bible</t>
        </is>
      </c>
      <c r="P470" s="7" t="inlineStr">
        <is>
          <t>bible.intertestament</t>
        </is>
      </c>
      <c r="Q470" s="7" t="inlineStr">
        <is>
          <t>deposition</t>
        </is>
      </c>
      <c r="R470" s="7" t="inlineStr">
        <is>
          <t>Onias; Antiochus IV Epiphanes</t>
        </is>
      </c>
      <c r="S470" s="7" t="inlineStr">
        <is>
          <t>Jerusalem</t>
        </is>
      </c>
      <c r="T470" s="7" t="n"/>
      <c r="U470" s="7" t="n"/>
      <c r="V470" s="7" t="n">
        <v>1</v>
      </c>
      <c r="W470" s="7" t="inlineStr">
        <is>
          <t>Seventy Weeks</t>
        </is>
      </c>
      <c r="X470" s="9" t="inlineStr">
        <is>
          <t>open</t>
        </is>
      </c>
      <c r="Y470" s="7" t="n"/>
      <c r="Z470" s="7" t="inlineStr">
        <is>
          <t>https://wol.jw.org/en/wol/d/r1/lp-e/1200003915</t>
        </is>
      </c>
      <c r="AA470" s="7" t="n">
        <v>0</v>
      </c>
      <c r="AB470" s="7" t="n"/>
      <c r="AC470" s="7" t="n">
        <v>0</v>
      </c>
      <c r="AD470" s="7" t="n"/>
      <c r="AE470" s="7" t="n"/>
      <c r="AF470" s="7" t="n"/>
      <c r="AG470" s="7" t="n"/>
      <c r="AH470" s="7" t="n"/>
      <c r="AI470" s="7" t="n"/>
      <c r="AJ470" s="7" t="n"/>
      <c r="AK470" s="7" t="n"/>
      <c r="AL470" s="7" t="n"/>
      <c r="AM470" s="7" t="n">
        <v>-175</v>
      </c>
      <c r="AN470" s="10" t="n"/>
      <c r="AO470" s="10" t="n"/>
      <c r="AP470" s="10" t="n"/>
      <c r="AQ470" s="10" t="n"/>
    </row>
    <row r="471">
      <c r="A471" s="7" t="inlineStr">
        <is>
          <t>b4-0111</t>
        </is>
      </c>
      <c r="B471" s="7" t="inlineStr">
        <is>
          <t>Point</t>
        </is>
      </c>
      <c r="C471" s="7" t="n"/>
      <c r="D471" s="7" t="inlineStr">
        <is>
          <t>168 B.C.E.</t>
        </is>
      </c>
      <c r="E471" s="7" t="inlineStr">
        <is>
          <t>பொ.ச.மு. 168</t>
        </is>
      </c>
      <c r="F471" s="7" t="inlineStr">
        <is>
          <t>168 BCE</t>
        </is>
      </c>
      <c r="G471" s="7" t="inlineStr">
        <is>
          <t>Exact</t>
        </is>
      </c>
      <c r="H471" s="7" t="n"/>
      <c r="I471" s="7" t="n"/>
      <c r="J471" s="7" t="n"/>
      <c r="K471" s="2" t="inlineStr">
        <is>
          <t>Antiochus IV humiliated by Rome; Macedonia defeated</t>
        </is>
      </c>
      <c r="L471" s="2" t="n"/>
      <c r="M471" s="7" t="inlineStr">
        <is>
          <t>Antiochus IV complied with Roman demands to withdraw from Egypt and returned to Syria; the same year Rome again defeated Macedonia.</t>
        </is>
      </c>
      <c r="N471" s="7" t="inlineStr">
        <is>
          <t>பொ.ச.மு. 168-ல் அவர் சிரியாவுக்குத் திரும்புகிறார்.</t>
        </is>
      </c>
      <c r="O471" s="8" t="inlineStr">
        <is>
          <t>Bible</t>
        </is>
      </c>
      <c r="P471" s="7" t="inlineStr">
        <is>
          <t>bible.prophecy_fulfilled</t>
        </is>
      </c>
      <c r="Q471" s="7" t="inlineStr">
        <is>
          <t>politics</t>
        </is>
      </c>
      <c r="R471" s="7" t="inlineStr">
        <is>
          <t>Antiochus IV Epiphanes</t>
        </is>
      </c>
      <c r="S471" s="7" t="inlineStr">
        <is>
          <t>Egypt; Syria; Macedonia</t>
        </is>
      </c>
      <c r="T471" s="7" t="inlineStr">
        <is>
          <t>Dan. 11:30</t>
        </is>
      </c>
      <c r="U471" s="7" t="n"/>
      <c r="V471" s="7" t="n">
        <v>3</v>
      </c>
      <c r="W471" s="7" t="inlineStr">
        <is>
          <t>The Two Kings Change Identities</t>
        </is>
      </c>
      <c r="X471" s="9" t="inlineStr">
        <is>
          <t>open</t>
        </is>
      </c>
      <c r="Y471" s="9" t="inlineStr">
        <is>
          <t>open</t>
        </is>
      </c>
      <c r="Z471" s="7" t="inlineStr">
        <is>
          <t>https://wol.jw.org/en/wol/d/r1/lp-e/1101999034
https://wol.jw.org/en/wol/d/r1/lp-e/1200001765
https://wol.jw.org/en/wol/d/r1/lp-e/1200003763</t>
        </is>
      </c>
      <c r="AA471" s="7" t="n">
        <v>0</v>
      </c>
      <c r="AB471" s="7" t="n"/>
      <c r="AC471" s="7" t="n">
        <v>0</v>
      </c>
      <c r="AD471" s="7" t="n"/>
      <c r="AE471" s="7" t="n"/>
      <c r="AF471" s="7" t="n"/>
      <c r="AG471" s="7" t="n"/>
      <c r="AH471" s="7" t="n"/>
      <c r="AI471" s="7" t="n"/>
      <c r="AJ471" s="7" t="n"/>
      <c r="AK471" s="7" t="inlineStr">
        <is>
          <t>kings-north-and-south #21 (context)</t>
        </is>
      </c>
      <c r="AL471" s="7" t="n"/>
      <c r="AM471" s="7" t="n">
        <v>-167.5</v>
      </c>
      <c r="AN471" s="10" t="n"/>
      <c r="AO471" s="10" t="n"/>
      <c r="AP471" s="10" t="n"/>
      <c r="AQ471" s="10" t="n"/>
    </row>
    <row r="472">
      <c r="A472" s="7" t="inlineStr">
        <is>
          <t>b4-0112</t>
        </is>
      </c>
      <c r="B472" s="7" t="inlineStr">
        <is>
          <t>Point</t>
        </is>
      </c>
      <c r="C472" s="7" t="n"/>
      <c r="D472" s="7" t="inlineStr">
        <is>
          <t>168 B.C.E., Chislev 25</t>
        </is>
      </c>
      <c r="E472" s="7" t="inlineStr">
        <is>
          <t>பொ.ச.மு. 167 டிசம்பர் (dp)</t>
        </is>
      </c>
      <c r="F472" s="7" t="inlineStr">
        <is>
          <t>168 BCE</t>
        </is>
      </c>
      <c r="G472" s="7" t="inlineStr">
        <is>
          <t>Exact</t>
        </is>
      </c>
      <c r="H472" s="7" t="n"/>
      <c r="I472" s="7" t="n"/>
      <c r="J472" s="7" t="n"/>
      <c r="K472" s="2" t="inlineStr">
        <is>
          <t>Antiochus IV desecrates the temple</t>
        </is>
      </c>
      <c r="L472" s="2" t="n"/>
      <c r="M472" s="7" t="inlineStr">
        <is>
          <t>Seeking to Hellenize the Jews, Antiochus IV Epiphanes dedicated Jerusalem's temple to Zeus, built an altar on the great altar, and sacrificed swine there. This led to the Maccabean (Hasmonaean) revolt.</t>
        </is>
      </c>
      <c r="N472" s="7" t="inlineStr">
        <is>
          <t>பொ.ச.மு. 167 டிசம்பரில், ஆலய பிரகாரத்தில் புறமத கடவுளுக்கு பலிபீடம் அமைக்கப்பட்டது.</t>
        </is>
      </c>
      <c r="O472" s="8" t="inlineStr">
        <is>
          <t>Bible</t>
        </is>
      </c>
      <c r="P472" s="7" t="inlineStr">
        <is>
          <t>bible.intertestament</t>
        </is>
      </c>
      <c r="Q472" s="7" t="inlineStr">
        <is>
          <t>desecration</t>
        </is>
      </c>
      <c r="R472" s="7" t="inlineStr">
        <is>
          <t>Antiochus IV Epiphanes</t>
        </is>
      </c>
      <c r="S472" s="7" t="inlineStr">
        <is>
          <t>Jerusalem</t>
        </is>
      </c>
      <c r="T472" s="7" t="inlineStr">
        <is>
          <t>Dan. 11:31</t>
        </is>
      </c>
      <c r="U472" s="7" t="n"/>
      <c r="V472" s="7" t="n">
        <v>5</v>
      </c>
      <c r="W472" s="7" t="inlineStr">
        <is>
          <t>Festival of Dedication</t>
        </is>
      </c>
      <c r="X472" s="9" t="inlineStr">
        <is>
          <t>open</t>
        </is>
      </c>
      <c r="Y472" s="7" t="n"/>
      <c r="Z472" s="7" t="inlineStr">
        <is>
          <t>https://wol.jw.org/en/wol/d/r1/lp-e/1200001506
https://wol.jw.org/en/wol/d/r1/lp-e/1200002436
https://wol.jw.org/en/wol/d/r1/lp-e/1200001765
https://wol.jw.org/en/wol/d/r1/lp-e/1200004359
https://wol.jw.org/en/wol/d/r1/lp-e/1101999032</t>
        </is>
      </c>
      <c r="AA472" s="7" t="n">
        <v>1</v>
      </c>
      <c r="AB472" s="9" t="inlineStr">
        <is>
          <t>open</t>
        </is>
      </c>
      <c r="AC472" s="7" t="n">
        <v>1</v>
      </c>
      <c r="AD472" s="7" t="inlineStr">
        <is>
          <t>dp ch. 13 dates the pagan altar to December 167 B.C.E.; Insight 'Festival of Dedication', 'Jerusalem', 'Greece' and 'Temple' give 168 B.C.E. (Chislev 25). Insight value used as primary.</t>
        </is>
      </c>
      <c r="AE472" s="7" t="n"/>
      <c r="AF472" s="7" t="n"/>
      <c r="AG472" s="7" t="n"/>
      <c r="AH472" s="7" t="n"/>
      <c r="AI472" s="7" t="n"/>
      <c r="AJ472" s="7" t="n"/>
      <c r="AK472" s="7" t="n"/>
      <c r="AL472" s="7" t="inlineStr">
        <is>
          <t>display_ta/description_ta are from dp Tamil, which uses 167 (see conflicts).</t>
        </is>
      </c>
      <c r="AM472" s="7" t="n">
        <v>-167.08</v>
      </c>
      <c r="AN472" s="10" t="n"/>
      <c r="AO472" s="10" t="n"/>
      <c r="AP472" s="10" t="n"/>
      <c r="AQ472" s="10" t="n"/>
    </row>
    <row r="473">
      <c r="A473" s="7" t="inlineStr">
        <is>
          <t>b4-0113</t>
        </is>
      </c>
      <c r="B473" s="7" t="inlineStr">
        <is>
          <t>Point</t>
        </is>
      </c>
      <c r="C473" s="7" t="n"/>
      <c r="D473" s="7" t="inlineStr">
        <is>
          <t>165 B.C.E., Chislev 25</t>
        </is>
      </c>
      <c r="E473" s="7" t="inlineStr">
        <is>
          <t>பொ.ச.மு. 165</t>
        </is>
      </c>
      <c r="F473" s="7" t="inlineStr">
        <is>
          <t>165 BCE</t>
        </is>
      </c>
      <c r="G473" s="7" t="inlineStr">
        <is>
          <t>Exact</t>
        </is>
      </c>
      <c r="H473" s="7" t="n"/>
      <c r="I473" s="7" t="n"/>
      <c r="J473" s="7" t="n"/>
      <c r="K473" s="2" t="inlineStr">
        <is>
          <t>Judas Maccabaeus rededicates the temple; Festival of Dedication</t>
        </is>
      </c>
      <c r="L473" s="2" t="inlineStr">
        <is>
          <t>கிரேக்க விக்கிரகாராதனையால் தீட்டுப்படுத்தப்பட்டபின் ஆலய மறுபிரதிஷ்டை; பிரதிஷ்டை பண்டிகை</t>
        </is>
      </c>
      <c r="M473" s="7" t="inlineStr">
        <is>
          <t>After a three-year struggle, Judas Maccabaeus recaptured the city and temple, built a new altar, and rededicated it on Chislev 25, exactly three years after its profanation; the eight-day Festival of Dedication commemorates it.</t>
        </is>
      </c>
      <c r="N473" s="7" t="n"/>
      <c r="O473" s="8" t="inlineStr">
        <is>
          <t>Bible</t>
        </is>
      </c>
      <c r="P473" s="7" t="inlineStr">
        <is>
          <t>bible.intertestament</t>
        </is>
      </c>
      <c r="Q473" s="7" t="inlineStr">
        <is>
          <t>dedication</t>
        </is>
      </c>
      <c r="R473" s="7" t="inlineStr">
        <is>
          <t>Judas Maccabaeus</t>
        </is>
      </c>
      <c r="S473" s="7" t="inlineStr">
        <is>
          <t>Jerusalem</t>
        </is>
      </c>
      <c r="T473" s="7" t="inlineStr">
        <is>
          <t>John 10:22</t>
        </is>
      </c>
      <c r="U473" s="7" t="inlineStr">
        <is>
          <t>யோவா. 10:22</t>
        </is>
      </c>
      <c r="V473" s="7" t="n">
        <v>4</v>
      </c>
      <c r="W473" s="7" t="inlineStr">
        <is>
          <t>Study Number 3—Measuring Events in the Stream of Time</t>
        </is>
      </c>
      <c r="X473" s="9" t="inlineStr">
        <is>
          <t>open</t>
        </is>
      </c>
      <c r="Y473" s="9" t="inlineStr">
        <is>
          <t>open</t>
        </is>
      </c>
      <c r="Z473" s="7" t="inlineStr">
        <is>
          <t>https://wol.jw.org/en/wol/d/r1/lp-e/1101990130
https://wol.jw.org/en/wol/d/r1/lp-e/1200001506
https://wol.jw.org/en/wol/d/r1/lp-e/1200002436
https://wol.jw.org/en/wol/d/r1/lp-e/1101999032</t>
        </is>
      </c>
      <c r="AA473" s="7" t="n">
        <v>0</v>
      </c>
      <c r="AB473" s="7" t="n"/>
      <c r="AC473" s="7" t="n">
        <v>1</v>
      </c>
      <c r="AD473" s="7" t="inlineStr">
        <is>
          <t>dp ch. 13 dates the rededication to 164 B.C.E.; si and Insight give Chislev 25, 165 B.C.E.</t>
        </is>
      </c>
      <c r="AE473" s="7" t="n"/>
      <c r="AF473" s="7" t="n"/>
      <c r="AG473" s="7" t="n"/>
      <c r="AH473" s="7" t="n"/>
      <c r="AI473" s="7" t="n"/>
      <c r="AJ473" s="7" t="n"/>
      <c r="AK473" s="7" t="n"/>
      <c r="AL473" s="7" t="n"/>
      <c r="AM473" s="7" t="n">
        <v>-164.08</v>
      </c>
      <c r="AN473" s="10" t="n"/>
      <c r="AO473" s="10" t="n"/>
      <c r="AP473" s="10" t="n"/>
      <c r="AQ473" s="10" t="n"/>
    </row>
    <row r="474">
      <c r="A474" s="7" t="inlineStr">
        <is>
          <t>b4-0114</t>
        </is>
      </c>
      <c r="B474" s="7" t="inlineStr">
        <is>
          <t>Point</t>
        </is>
      </c>
      <c r="C474" s="7" t="n"/>
      <c r="D474" s="7" t="inlineStr">
        <is>
          <t>163 B.C.E.</t>
        </is>
      </c>
      <c r="E474" s="7" t="n"/>
      <c r="F474" s="7" t="inlineStr">
        <is>
          <t>163 BCE</t>
        </is>
      </c>
      <c r="G474" s="7" t="inlineStr">
        <is>
          <t>Exact</t>
        </is>
      </c>
      <c r="H474" s="7" t="n"/>
      <c r="I474" s="7" t="n"/>
      <c r="J474" s="7" t="n"/>
      <c r="K474" s="2" t="inlineStr">
        <is>
          <t>Death of Antiochus IV</t>
        </is>
      </c>
      <c r="L474" s="2" t="n"/>
      <c r="M474" s="7" t="inlineStr">
        <is>
          <t>Antiochus IV died in 163 B.C.E.; later Seleucid kings did not occupy the position of 'the king of the north.'</t>
        </is>
      </c>
      <c r="N474" s="7" t="n"/>
      <c r="O474" s="8" t="inlineStr">
        <is>
          <t>Bible</t>
        </is>
      </c>
      <c r="P474" s="7" t="inlineStr">
        <is>
          <t>bible.intertestament</t>
        </is>
      </c>
      <c r="Q474" s="7" t="inlineStr">
        <is>
          <t>death</t>
        </is>
      </c>
      <c r="R474" s="7" t="inlineStr">
        <is>
          <t>Antiochus IV Epiphanes</t>
        </is>
      </c>
      <c r="S474" s="7" t="inlineStr">
        <is>
          <t>Syria</t>
        </is>
      </c>
      <c r="T474" s="7" t="n"/>
      <c r="U474" s="7" t="n"/>
      <c r="V474" s="7" t="n">
        <v>1</v>
      </c>
      <c r="W474" s="7" t="inlineStr">
        <is>
          <t>The Two Kings Change Identities</t>
        </is>
      </c>
      <c r="X474" s="9" t="inlineStr">
        <is>
          <t>open</t>
        </is>
      </c>
      <c r="Y474" s="9" t="inlineStr">
        <is>
          <t>open</t>
        </is>
      </c>
      <c r="Z474" s="7" t="inlineStr">
        <is>
          <t>https://wol.jw.org/en/wol/d/r1/lp-e/1101999034</t>
        </is>
      </c>
      <c r="AA474" s="7" t="n">
        <v>0</v>
      </c>
      <c r="AB474" s="7" t="n"/>
      <c r="AC474" s="7" t="n">
        <v>0</v>
      </c>
      <c r="AD474" s="7" t="n"/>
      <c r="AE474" s="7" t="n"/>
      <c r="AF474" s="7" t="n"/>
      <c r="AG474" s="7" t="n"/>
      <c r="AH474" s="7" t="n"/>
      <c r="AI474" s="7" t="n"/>
      <c r="AJ474" s="7" t="n"/>
      <c r="AK474" s="7" t="inlineStr">
        <is>
          <t>kings-north-and-south #22 (context)</t>
        </is>
      </c>
      <c r="AL474" s="7" t="n"/>
      <c r="AM474" s="7" t="n">
        <v>-163</v>
      </c>
      <c r="AN474" s="10" t="n"/>
      <c r="AO474" s="10" t="n"/>
      <c r="AP474" s="10" t="n"/>
      <c r="AQ474" s="10" t="n"/>
    </row>
    <row r="475">
      <c r="A475" s="7" t="inlineStr">
        <is>
          <t>b4-0115</t>
        </is>
      </c>
      <c r="B475" s="7" t="inlineStr">
        <is>
          <t>Point</t>
        </is>
      </c>
      <c r="C475" s="7" t="n"/>
      <c r="D475" s="7" t="inlineStr">
        <is>
          <t>c. 160 B.C.E.</t>
        </is>
      </c>
      <c r="E475" s="7" t="n"/>
      <c r="F475" s="7" t="inlineStr">
        <is>
          <t>160 BCE</t>
        </is>
      </c>
      <c r="G475" s="7" t="inlineStr">
        <is>
          <t>Approx. (c.)</t>
        </is>
      </c>
      <c r="H475" s="7" t="n"/>
      <c r="I475" s="7" t="n"/>
      <c r="J475" s="7" t="n"/>
      <c r="K475" s="2" t="inlineStr">
        <is>
          <t>Maccabean Jews appeal to Rome</t>
        </is>
      </c>
      <c r="L475" s="2" t="n"/>
      <c r="M475" s="7" t="inlineStr">
        <is>
          <t>With the war against the Seleucids continuing, the Jews appealed to Rome for help, bringing Roman influence onto the Jerusalem scene.</t>
        </is>
      </c>
      <c r="N475" s="7" t="n"/>
      <c r="O475" s="8" t="inlineStr">
        <is>
          <t>Bible</t>
        </is>
      </c>
      <c r="P475" s="7" t="inlineStr">
        <is>
          <t>bible.intertestament</t>
        </is>
      </c>
      <c r="Q475" s="7" t="inlineStr">
        <is>
          <t>treaty</t>
        </is>
      </c>
      <c r="R475" s="7" t="n"/>
      <c r="S475" s="7" t="inlineStr">
        <is>
          <t>Jerusalem; Rome</t>
        </is>
      </c>
      <c r="T475" s="7" t="n"/>
      <c r="U475" s="7" t="n"/>
      <c r="V475" s="7" t="n">
        <v>2</v>
      </c>
      <c r="W475" s="7" t="inlineStr">
        <is>
          <t>Jerusalem</t>
        </is>
      </c>
      <c r="X475" s="9" t="inlineStr">
        <is>
          <t>open</t>
        </is>
      </c>
      <c r="Y475" s="7" t="n"/>
      <c r="Z475" s="7" t="inlineStr">
        <is>
          <t>https://wol.jw.org/en/wol/d/r1/lp-e/1200002436
https://wol.jw.org/en/wol/d/r1/lp-e/1101999032</t>
        </is>
      </c>
      <c r="AA475" s="7" t="n">
        <v>0</v>
      </c>
      <c r="AB475" s="7" t="n"/>
      <c r="AC475" s="7" t="n">
        <v>1</v>
      </c>
      <c r="AD475" s="7" t="inlineStr">
        <is>
          <t>dp ch. 13 says the Maccabees probably made a treaty with Rome in 161 B.C.E.</t>
        </is>
      </c>
      <c r="AE475" s="7" t="n"/>
      <c r="AF475" s="7" t="n"/>
      <c r="AG475" s="7" t="n"/>
      <c r="AH475" s="7" t="n"/>
      <c r="AI475" s="7" t="n"/>
      <c r="AJ475" s="7" t="n"/>
      <c r="AK475" s="7" t="n"/>
      <c r="AL475" s="7" t="n"/>
      <c r="AM475" s="7" t="n">
        <v>-160</v>
      </c>
      <c r="AN475" s="10" t="n"/>
      <c r="AO475" s="10" t="n"/>
      <c r="AP475" s="10" t="n"/>
      <c r="AQ475" s="10" t="n"/>
    </row>
    <row r="476">
      <c r="A476" s="7" t="inlineStr">
        <is>
          <t>b4-0116</t>
        </is>
      </c>
      <c r="B476" s="7" t="inlineStr">
        <is>
          <t>Point</t>
        </is>
      </c>
      <c r="C476" s="7" t="n"/>
      <c r="D476" s="7" t="inlineStr">
        <is>
          <t>c. 150 B.C.E. (2nd century B.C.E.)</t>
        </is>
      </c>
      <c r="E476" s="7" t="n"/>
      <c r="F476" s="7" t="inlineStr">
        <is>
          <t>150 BCE</t>
        </is>
      </c>
      <c r="G476" s="7" t="inlineStr">
        <is>
          <t>Approx. (c.)</t>
        </is>
      </c>
      <c r="H476" s="7" t="n"/>
      <c r="I476" s="7" t="n"/>
      <c r="J476" s="7" t="n"/>
      <c r="K476" s="2" t="inlineStr">
        <is>
          <t>Septuagint translation completed</t>
        </is>
      </c>
      <c r="L476" s="2" t="n"/>
      <c r="M476" s="7" t="inlineStr">
        <is>
          <t>Translation of the entire Hebrew Scriptures into Greek was finally completed during the second century B.C.E., perhaps by 150 B.C.E.</t>
        </is>
      </c>
      <c r="N476" s="7" t="n"/>
      <c r="O476" s="12" t="inlineStr">
        <is>
          <t>Bible &amp; church history</t>
        </is>
      </c>
      <c r="P476" s="7" t="inlineStr">
        <is>
          <t>history.bible_translation</t>
        </is>
      </c>
      <c r="Q476" s="7" t="inlineStr">
        <is>
          <t>translation</t>
        </is>
      </c>
      <c r="R476" s="7" t="n"/>
      <c r="S476" s="7" t="inlineStr">
        <is>
          <t>Egypt</t>
        </is>
      </c>
      <c r="T476" s="7" t="n"/>
      <c r="U476" s="7" t="n"/>
      <c r="V476" s="7" t="n">
        <v>1</v>
      </c>
      <c r="W476" s="7" t="inlineStr">
        <is>
          <t>Versions</t>
        </is>
      </c>
      <c r="X476" s="9" t="inlineStr">
        <is>
          <t>open</t>
        </is>
      </c>
      <c r="Y476" s="7" t="n"/>
      <c r="Z476" s="7" t="inlineStr">
        <is>
          <t>https://wol.jw.org/en/wol/d/r1/lp-e/1200004554</t>
        </is>
      </c>
      <c r="AA476" s="7" t="n">
        <v>0</v>
      </c>
      <c r="AB476" s="7" t="n"/>
      <c r="AC476" s="7" t="n">
        <v>0</v>
      </c>
      <c r="AD476" s="7" t="n"/>
      <c r="AE476" s="7" t="n"/>
      <c r="AF476" s="7" t="n"/>
      <c r="AG476" s="7" t="n"/>
      <c r="AH476" s="7" t="n"/>
      <c r="AI476" s="7" t="n"/>
      <c r="AJ476" s="7" t="n"/>
      <c r="AK476" s="7" t="inlineStr">
        <is>
          <t>how-the-bible-came-to-us #4 (step)</t>
        </is>
      </c>
      <c r="AL476" s="7" t="n"/>
      <c r="AM476" s="7" t="n">
        <v>-150</v>
      </c>
      <c r="AN476" s="10" t="n"/>
      <c r="AO476" s="10" t="n"/>
      <c r="AP476" s="10" t="n"/>
      <c r="AQ476" s="10" t="n"/>
    </row>
    <row r="477">
      <c r="A477" s="7" t="inlineStr">
        <is>
          <t>b4-0117</t>
        </is>
      </c>
      <c r="B477" s="7" t="inlineStr">
        <is>
          <t>Point</t>
        </is>
      </c>
      <c r="C477" s="7" t="n"/>
      <c r="D477" s="7" t="inlineStr">
        <is>
          <t>146 B.C.E.</t>
        </is>
      </c>
      <c r="E477" s="7" t="inlineStr">
        <is>
          <t>பொ.ச.மு. 146</t>
        </is>
      </c>
      <c r="F477" s="7" t="inlineStr">
        <is>
          <t>146 BCE</t>
        </is>
      </c>
      <c r="G477" s="7" t="inlineStr">
        <is>
          <t>Exact</t>
        </is>
      </c>
      <c r="H477" s="7" t="n"/>
      <c r="I477" s="7" t="n"/>
      <c r="J477" s="7" t="n"/>
      <c r="K477" s="2" t="inlineStr">
        <is>
          <t>Rome destroys Corinth; Achaia and Macedonia become provinces</t>
        </is>
      </c>
      <c r="L477" s="2" t="n"/>
      <c r="M477" s="7" t="inlineStr">
        <is>
          <t>After the Achaean League rebelled, Rome's armies destroyed Corinth and formed the province of Achaia; Macedonia also became a Roman province.</t>
        </is>
      </c>
      <c r="N477" s="7" t="inlineStr">
        <is>
          <t>காலப்போக்கில் மக்கெதோனியா ரோமைச் சார்ந்திருக்கலாயிற்று, இறுதியாக பொ.ச.மு. 146-ல் ரோமோடு இணைந்துவிட்டது.</t>
        </is>
      </c>
      <c r="O477" s="8" t="inlineStr">
        <is>
          <t>Bible</t>
        </is>
      </c>
      <c r="P477" s="7" t="inlineStr">
        <is>
          <t>bible.intertestament</t>
        </is>
      </c>
      <c r="Q477" s="7" t="inlineStr">
        <is>
          <t>conquest</t>
        </is>
      </c>
      <c r="R477" s="7" t="n"/>
      <c r="S477" s="7" t="inlineStr">
        <is>
          <t>Corinth; Achaia; Macedonia</t>
        </is>
      </c>
      <c r="T477" s="7" t="n"/>
      <c r="U477" s="7" t="n"/>
      <c r="V477" s="7" t="n">
        <v>2</v>
      </c>
      <c r="W477" s="7" t="inlineStr">
        <is>
          <t>Greece, Greeks</t>
        </is>
      </c>
      <c r="X477" s="9" t="inlineStr">
        <is>
          <t>open</t>
        </is>
      </c>
      <c r="Y477" s="7" t="n"/>
      <c r="Z477" s="7" t="inlineStr">
        <is>
          <t>https://wol.jw.org/en/wol/d/r1/lp-e/1200001765
https://wol.jw.org/en/wol/d/r1/lp-e/1101999032</t>
        </is>
      </c>
      <c r="AA477" s="7" t="n">
        <v>0</v>
      </c>
      <c r="AB477" s="7" t="n"/>
      <c r="AC477" s="7" t="n">
        <v>0</v>
      </c>
      <c r="AD477" s="7" t="n"/>
      <c r="AE477" s="7" t="n"/>
      <c r="AF477" s="7" t="n"/>
      <c r="AG477" s="7" t="n"/>
      <c r="AH477" s="7" t="n"/>
      <c r="AI477" s="7" t="n"/>
      <c r="AJ477" s="7" t="n"/>
      <c r="AK477" s="7" t="n"/>
      <c r="AL477" s="7" t="n"/>
      <c r="AM477" s="7" t="n">
        <v>-146</v>
      </c>
      <c r="AN477" s="10" t="n"/>
      <c r="AO477" s="10" t="n"/>
      <c r="AP477" s="10" t="n"/>
      <c r="AQ477" s="10" t="n"/>
    </row>
    <row r="478">
      <c r="A478" s="7" t="inlineStr">
        <is>
          <t>b4-0118</t>
        </is>
      </c>
      <c r="B478" s="7" t="inlineStr">
        <is>
          <t>Point</t>
        </is>
      </c>
      <c r="C478" s="7" t="n"/>
      <c r="D478" s="7" t="inlineStr">
        <is>
          <t>c. 142 B.C.E.</t>
        </is>
      </c>
      <c r="E478" s="7" t="n"/>
      <c r="F478" s="7" t="inlineStr">
        <is>
          <t>142 BCE</t>
        </is>
      </c>
      <c r="G478" s="7" t="inlineStr">
        <is>
          <t>Approx. (c.)</t>
        </is>
      </c>
      <c r="H478" s="7" t="n"/>
      <c r="I478" s="7" t="n"/>
      <c r="J478" s="7" t="n"/>
      <c r="K478" s="2" t="inlineStr">
        <is>
          <t>Simon Maccabaeus makes Jerusalem capital of a free region</t>
        </is>
      </c>
      <c r="L478" s="2" t="n"/>
      <c r="M478" s="7" t="inlineStr">
        <is>
          <t>Simon Maccabaeus made Jerusalem the capital of a region ostensibly free from subservience or taxation to Gentile nations.</t>
        </is>
      </c>
      <c r="N478" s="7" t="n"/>
      <c r="O478" s="8" t="inlineStr">
        <is>
          <t>Bible</t>
        </is>
      </c>
      <c r="P478" s="7" t="inlineStr">
        <is>
          <t>bible.intertestament</t>
        </is>
      </c>
      <c r="Q478" s="7" t="inlineStr">
        <is>
          <t>politics</t>
        </is>
      </c>
      <c r="R478" s="7" t="inlineStr">
        <is>
          <t>Simon Maccabaeus</t>
        </is>
      </c>
      <c r="S478" s="7" t="inlineStr">
        <is>
          <t>Jerusalem</t>
        </is>
      </c>
      <c r="T478" s="7" t="n"/>
      <c r="U478" s="7" t="n"/>
      <c r="V478" s="7" t="n">
        <v>1</v>
      </c>
      <c r="W478" s="7" t="inlineStr">
        <is>
          <t>Jerusalem</t>
        </is>
      </c>
      <c r="X478" s="9" t="inlineStr">
        <is>
          <t>open</t>
        </is>
      </c>
      <c r="Y478" s="7" t="n"/>
      <c r="Z478" s="7" t="inlineStr">
        <is>
          <t>https://wol.jw.org/en/wol/d/r1/lp-e/1200002436</t>
        </is>
      </c>
      <c r="AA478" s="7" t="n">
        <v>0</v>
      </c>
      <c r="AB478" s="7" t="n"/>
      <c r="AC478" s="7" t="n">
        <v>0</v>
      </c>
      <c r="AD478" s="7" t="n"/>
      <c r="AE478" s="7" t="n"/>
      <c r="AF478" s="7" t="n"/>
      <c r="AG478" s="7" t="n"/>
      <c r="AH478" s="7" t="n"/>
      <c r="AI478" s="7" t="n"/>
      <c r="AJ478" s="7" t="n"/>
      <c r="AK478" s="7" t="n"/>
      <c r="AL478" s="7" t="n"/>
      <c r="AM478" s="7" t="n">
        <v>-142</v>
      </c>
      <c r="AN478" s="10" t="n"/>
      <c r="AO478" s="10" t="n"/>
      <c r="AP478" s="10" t="n"/>
      <c r="AQ478" s="10" t="n"/>
    </row>
    <row r="479">
      <c r="A479" s="7" t="inlineStr">
        <is>
          <t>b17-0001</t>
        </is>
      </c>
      <c r="B479" s="7" t="inlineStr">
        <is>
          <t>Point</t>
        </is>
      </c>
      <c r="C479" s="7" t="n"/>
      <c r="D479" s="7" t="inlineStr">
        <is>
          <t>125–100 B.C.E.</t>
        </is>
      </c>
      <c r="E479" s="7" t="inlineStr">
        <is>
          <t>கி.மு. 125-100</t>
        </is>
      </c>
      <c r="F479" s="7" t="inlineStr">
        <is>
          <t>125 BCE</t>
        </is>
      </c>
      <c r="G479" s="7" t="inlineStr">
        <is>
          <t>Between (one moment in a window)</t>
        </is>
      </c>
      <c r="H479" s="7" t="n"/>
      <c r="I479" s="7" t="n"/>
      <c r="J479" s="7" t="n"/>
      <c r="K479" s="2" t="inlineStr">
        <is>
          <t>Dead Sea Scroll of Isaiah copied (125–100 B.C.E.)</t>
        </is>
      </c>
      <c r="L479" s="2" t="inlineStr">
        <is>
          <t>சவக்கடல் சுருள்களில் இருக்கும் ஏசாயா புத்தகத்தின் 40-வது அதிகாரம் (கி.மு. 125-100 வரையான காலப்பகுதி)</t>
        </is>
      </c>
      <c r="M479" s="7" t="inlineStr">
        <is>
          <t>NWT Appendix A3 shows chapter 40 of Isaiah in the Dead Sea Scrolls, dated from 125 to 100 B.C.E. Compared with Hebrew manuscripts from about a thousand years later, it shows only minor differences, mostly in spelling. “All Scripture” Study 5 dates this Isaiah scroll (1QIsa) toward the end of the second century B.C.E.</t>
        </is>
      </c>
      <c r="N479" s="7" t="inlineStr">
        <is>
          <t>சவக்கடல் சுருள்களில் இருக்கும் ஏசாயா புத்தகத்தின் 40-வது அதிகாரம் (கி.மு. 125-100 வரையான காலப்பகுதி). ஆயிரம் வருஷங்களுக்குப் பின்பு கண்டுபிடிக்கப்பட்ட எபிரெய கையெழுத்துப் பிரதிகளோடு ஒப்பிட்டுப் பார்க்கும்போது சின்னச் சின்ன வித்தியாசங்கள்தான் இருக்கின்றன, அதுவும் பெரும்பாலும் வார்த்தைகளிலுள்ள எழுத்துக்களில்தான்!</t>
        </is>
      </c>
      <c r="O479" s="12" t="inlineStr">
        <is>
          <t>Bible &amp; church history</t>
        </is>
      </c>
      <c r="P479" s="7" t="inlineStr">
        <is>
          <t>history.bible_preservation</t>
        </is>
      </c>
      <c r="Q479" s="7" t="inlineStr">
        <is>
          <t>manuscript</t>
        </is>
      </c>
      <c r="R479" s="7" t="n"/>
      <c r="S479" s="7" t="inlineStr">
        <is>
          <t>Qumran</t>
        </is>
      </c>
      <c r="T479" s="7" t="inlineStr">
        <is>
          <t>Isa. 40</t>
        </is>
      </c>
      <c r="U479" s="7" t="inlineStr">
        <is>
          <t>ஏசா. 40</t>
        </is>
      </c>
      <c r="V479" s="7" t="n">
        <v>2</v>
      </c>
      <c r="W479" s="7" t="inlineStr">
        <is>
          <t>A3 How the Bible Came to Us</t>
        </is>
      </c>
      <c r="X479" s="9" t="inlineStr">
        <is>
          <t>open</t>
        </is>
      </c>
      <c r="Y479" s="9" t="inlineStr">
        <is>
          <t>open</t>
        </is>
      </c>
      <c r="Z479" s="7" t="inlineStr">
        <is>
          <t>https://wol.jw.org/en/wol/d/r1/lp-e/1001070203
https://wol.jw.org/en/wol/d/r1/lp-e/1101990132</t>
        </is>
      </c>
      <c r="AA479" s="7" t="n">
        <v>1</v>
      </c>
      <c r="AB479" s="9" t="inlineStr">
        <is>
          <t>open</t>
        </is>
      </c>
      <c r="AC479" s="7" t="n">
        <v>0</v>
      </c>
      <c r="AD479" s="7" t="n"/>
      <c r="AE479" s="7" t="n"/>
      <c r="AF479" s="7" t="n"/>
      <c r="AG479" s="7" t="n"/>
      <c r="AH479" s="7" t="n"/>
      <c r="AI479" s="7" t="n"/>
      <c r="AJ479" s="7" t="n"/>
      <c r="AK479" s="7" t="inlineStr">
        <is>
          <t>how-the-bible-came-to-us #5 (item)</t>
        </is>
      </c>
      <c r="AL479" s="7" t="inlineStr">
        <is>
          <t>A3 prints the window 125–100 B.C.E. (one copying, so a 'between' point); si Study 5 par. 23 says 'toward the end of the second century B.C.E.' The Isaiah scroll was found in 1947 (b17-0010).</t>
        </is>
      </c>
      <c r="AM479" s="7" t="n">
        <v>-125</v>
      </c>
      <c r="AN479" s="10" t="n"/>
      <c r="AO479" s="10" t="n"/>
      <c r="AP479" s="10" t="n"/>
      <c r="AQ479" s="10" t="n"/>
    </row>
    <row r="480">
      <c r="A480" s="7" t="inlineStr">
        <is>
          <t>b4-0119</t>
        </is>
      </c>
      <c r="B480" s="7" t="inlineStr">
        <is>
          <t>Point</t>
        </is>
      </c>
      <c r="C480" s="7" t="n"/>
      <c r="D480" s="7" t="inlineStr">
        <is>
          <t>c. 125 B.C.E.</t>
        </is>
      </c>
      <c r="E480" s="7" t="n"/>
      <c r="F480" s="7" t="inlineStr">
        <is>
          <t>125 BCE</t>
        </is>
      </c>
      <c r="G480" s="7" t="inlineStr">
        <is>
          <t>Approx. (c.)</t>
        </is>
      </c>
      <c r="H480" s="7" t="n"/>
      <c r="I480" s="7" t="n"/>
      <c r="J480" s="7" t="n"/>
      <c r="K480" s="2" t="inlineStr">
        <is>
          <t>John Hyrcanus I forces circumcision on the Idumeans</t>
        </is>
      </c>
      <c r="L480" s="2" t="n"/>
      <c r="M480" s="7" t="inlineStr">
        <is>
          <t>According to Josephus, the Maccabean ruler John Hyrcanus I subjugated the Idumeans (Edomites) and forced circumcision on them; Herod's family were therefore nominally Jews.</t>
        </is>
      </c>
      <c r="N480" s="7" t="n"/>
      <c r="O480" s="8" t="inlineStr">
        <is>
          <t>Bible</t>
        </is>
      </c>
      <c r="P480" s="7" t="inlineStr">
        <is>
          <t>bible.intertestament</t>
        </is>
      </c>
      <c r="Q480" s="7" t="inlineStr">
        <is>
          <t>conquest</t>
        </is>
      </c>
      <c r="R480" s="7" t="inlineStr">
        <is>
          <t>John Hyrcanus I</t>
        </is>
      </c>
      <c r="S480" s="7" t="inlineStr">
        <is>
          <t>Idumea</t>
        </is>
      </c>
      <c r="T480" s="7" t="inlineStr">
        <is>
          <t>Obad. 18</t>
        </is>
      </c>
      <c r="U480" s="7" t="n"/>
      <c r="V480" s="7" t="n">
        <v>2</v>
      </c>
      <c r="W480" s="7" t="inlineStr">
        <is>
          <t>Herod</t>
        </is>
      </c>
      <c r="X480" s="9" t="inlineStr">
        <is>
          <t>open</t>
        </is>
      </c>
      <c r="Y480" s="7" t="n"/>
      <c r="Z480" s="7" t="inlineStr">
        <is>
          <t>https://wol.jw.org/en/wol/d/r1/lp-e/1200002000
https://wol.jw.org/en/wol/d/r1/lp-e/1101990092</t>
        </is>
      </c>
      <c r="AA480" s="7" t="n">
        <v>0</v>
      </c>
      <c r="AB480" s="7" t="n"/>
      <c r="AC480" s="7" t="n">
        <v>0</v>
      </c>
      <c r="AD480" s="7" t="n"/>
      <c r="AE480" s="7" t="n"/>
      <c r="AF480" s="7" t="n"/>
      <c r="AG480" s="7" t="n"/>
      <c r="AH480" s="7" t="n"/>
      <c r="AI480" s="7" t="n"/>
      <c r="AJ480" s="7" t="n"/>
      <c r="AK480" s="7" t="inlineStr">
        <is>
          <t>fulfilled-prophecies-nations #34 (partial_fulfillment)</t>
        </is>
      </c>
      <c r="AL480" s="7" t="n"/>
      <c r="AM480" s="7" t="n">
        <v>-125</v>
      </c>
      <c r="AN480" s="10" t="n"/>
      <c r="AO480" s="10" t="n"/>
      <c r="AP480" s="10" t="n"/>
      <c r="AQ480" s="10" t="n"/>
    </row>
    <row r="481">
      <c r="A481" s="7" t="inlineStr">
        <is>
          <t>b4-0120</t>
        </is>
      </c>
      <c r="B481" s="7" t="inlineStr">
        <is>
          <t>Point</t>
        </is>
      </c>
      <c r="C481" s="7" t="n"/>
      <c r="D481" s="7" t="inlineStr">
        <is>
          <t>104 B.C.E.</t>
        </is>
      </c>
      <c r="E481" s="7" t="inlineStr">
        <is>
          <t>பொ.ச.மு. 104</t>
        </is>
      </c>
      <c r="F481" s="7" t="inlineStr">
        <is>
          <t>104 BCE</t>
        </is>
      </c>
      <c r="G481" s="7" t="inlineStr">
        <is>
          <t>Exact</t>
        </is>
      </c>
      <c r="H481" s="7" t="n"/>
      <c r="I481" s="7" t="n"/>
      <c r="J481" s="7" t="n"/>
      <c r="K481" s="2" t="inlineStr">
        <is>
          <t>Aristobulus I takes the title of king</t>
        </is>
      </c>
      <c r="L481" s="2" t="n"/>
      <c r="M481" s="7" t="inlineStr">
        <is>
          <t>Aristobulus I, Jerusalem's high priest and not of David's line, assumed the title of king, establishing a Maccabean kingdom.</t>
        </is>
      </c>
      <c r="N481" s="7" t="inlineStr">
        <is>
          <t>38 மக்கபேயர்கள் பொ.ச.மு. 161-ல் ரோமோடு சமாதான ஒப்பந்தம் செய்து, பொ.ச.மு. 104-ல் ஒரு ராஜ்யத்தை ஏற்படுத்தியிருக்க வேண்டும்.</t>
        </is>
      </c>
      <c r="O481" s="8" t="inlineStr">
        <is>
          <t>Bible</t>
        </is>
      </c>
      <c r="P481" s="7" t="inlineStr">
        <is>
          <t>bible.intertestament</t>
        </is>
      </c>
      <c r="Q481" s="7" t="inlineStr">
        <is>
          <t>accession</t>
        </is>
      </c>
      <c r="R481" s="7" t="inlineStr">
        <is>
          <t>Aristobulus I</t>
        </is>
      </c>
      <c r="S481" s="7" t="inlineStr">
        <is>
          <t>Jerusalem</t>
        </is>
      </c>
      <c r="T481" s="7" t="n"/>
      <c r="U481" s="7" t="n"/>
      <c r="V481" s="7" t="n">
        <v>2</v>
      </c>
      <c r="W481" s="7" t="inlineStr">
        <is>
          <t>Jerusalem</t>
        </is>
      </c>
      <c r="X481" s="9" t="inlineStr">
        <is>
          <t>open</t>
        </is>
      </c>
      <c r="Y481" s="7" t="n"/>
      <c r="Z481" s="7" t="inlineStr">
        <is>
          <t>https://wol.jw.org/en/wol/d/r1/lp-e/1200002436
https://wol.jw.org/en/wol/d/r1/lp-e/1101999032</t>
        </is>
      </c>
      <c r="AA481" s="7" t="n">
        <v>0</v>
      </c>
      <c r="AB481" s="7" t="n"/>
      <c r="AC481" s="7" t="n">
        <v>0</v>
      </c>
      <c r="AD481" s="7" t="n"/>
      <c r="AE481" s="7" t="n"/>
      <c r="AF481" s="7" t="n"/>
      <c r="AG481" s="7" t="n"/>
      <c r="AH481" s="7" t="n"/>
      <c r="AI481" s="7" t="n"/>
      <c r="AJ481" s="7" t="n"/>
      <c r="AK481" s="7" t="n"/>
      <c r="AL481" s="7" t="n"/>
      <c r="AM481" s="7" t="n">
        <v>-104</v>
      </c>
      <c r="AN481" s="10" t="n"/>
      <c r="AO481" s="10" t="n"/>
      <c r="AP481" s="10" t="n"/>
      <c r="AQ481" s="10" t="n"/>
    </row>
    <row r="482">
      <c r="A482" s="7" t="inlineStr">
        <is>
          <t>b4-0121</t>
        </is>
      </c>
      <c r="B482" s="7" t="inlineStr">
        <is>
          <t>Point</t>
        </is>
      </c>
      <c r="C482" s="7" t="n"/>
      <c r="D482" s="7" t="inlineStr">
        <is>
          <t>64 B.C.E.</t>
        </is>
      </c>
      <c r="E482" s="7" t="inlineStr">
        <is>
          <t>பொ.ச.மு. 64</t>
        </is>
      </c>
      <c r="F482" s="7" t="inlineStr">
        <is>
          <t>64 BCE</t>
        </is>
      </c>
      <c r="G482" s="7" t="inlineStr">
        <is>
          <t>Exact</t>
        </is>
      </c>
      <c r="H482" s="7" t="n"/>
      <c r="I482" s="7" t="n"/>
      <c r="J482" s="7" t="n"/>
      <c r="K482" s="2" t="inlineStr">
        <is>
          <t>Pompey makes Syria a Roman province</t>
        </is>
      </c>
      <c r="L482" s="2" t="n"/>
      <c r="M482" s="7" t="inlineStr">
        <is>
          <t>Roman General Pompey made Syria a Roman province, ending the Seleucid dynasty.</t>
        </is>
      </c>
      <c r="N482" s="7" t="inlineStr">
        <is>
          <t>இறுதியாக பொ.ச.மு. 64-ல் சிரியா ரோம மாகாணமானது.</t>
        </is>
      </c>
      <c r="O482" s="8" t="inlineStr">
        <is>
          <t>Bible</t>
        </is>
      </c>
      <c r="P482" s="7" t="inlineStr">
        <is>
          <t>bible.intertestament</t>
        </is>
      </c>
      <c r="Q482" s="7" t="inlineStr">
        <is>
          <t>conquest</t>
        </is>
      </c>
      <c r="R482" s="7" t="inlineStr">
        <is>
          <t>Pompey</t>
        </is>
      </c>
      <c r="S482" s="7" t="inlineStr">
        <is>
          <t>Syria</t>
        </is>
      </c>
      <c r="T482" s="7" t="n"/>
      <c r="U482" s="7" t="n"/>
      <c r="V482" s="7" t="n">
        <v>3</v>
      </c>
      <c r="W482" s="7" t="inlineStr">
        <is>
          <t>Two Kings in Conflict</t>
        </is>
      </c>
      <c r="X482" s="9" t="inlineStr">
        <is>
          <t>open</t>
        </is>
      </c>
      <c r="Y482" s="9" t="inlineStr">
        <is>
          <t>open</t>
        </is>
      </c>
      <c r="Z482" s="7" t="inlineStr">
        <is>
          <t>https://wol.jw.org/en/wol/d/r1/lp-e/1101999032
https://wol.jw.org/en/wol/d/r1/lp-e/1101999034
https://wol.jw.org/en/wol/d/r1/lp-e/1200003447</t>
        </is>
      </c>
      <c r="AA482" s="7" t="n">
        <v>0</v>
      </c>
      <c r="AB482" s="7" t="n"/>
      <c r="AC482" s="7" t="n">
        <v>0</v>
      </c>
      <c r="AD482" s="7" t="n"/>
      <c r="AE482" s="7" t="n"/>
      <c r="AF482" s="7" t="n"/>
      <c r="AG482" s="7" t="n"/>
      <c r="AH482" s="7" t="n"/>
      <c r="AI482" s="7" t="n"/>
      <c r="AJ482" s="7" t="n"/>
      <c r="AK482" s="7" t="n"/>
      <c r="AL482" s="7" t="n"/>
      <c r="AM482" s="7" t="n">
        <v>-64</v>
      </c>
      <c r="AN482" s="10" t="n"/>
      <c r="AO482" s="10" t="n"/>
      <c r="AP482" s="10" t="n"/>
      <c r="AQ482" s="10" t="n"/>
    </row>
    <row r="483">
      <c r="A483" s="7" t="inlineStr">
        <is>
          <t>b4-0122</t>
        </is>
      </c>
      <c r="B483" s="7" t="inlineStr">
        <is>
          <t>Point</t>
        </is>
      </c>
      <c r="C483" s="7" t="n"/>
      <c r="D483" s="7" t="inlineStr">
        <is>
          <t>63 B.C.E.</t>
        </is>
      </c>
      <c r="E483" s="7" t="inlineStr">
        <is>
          <t>பொ.ச.மு. 63</t>
        </is>
      </c>
      <c r="F483" s="7" t="inlineStr">
        <is>
          <t>63 BCE</t>
        </is>
      </c>
      <c r="G483" s="7" t="inlineStr">
        <is>
          <t>Exact</t>
        </is>
      </c>
      <c r="H483" s="7" t="n"/>
      <c r="I483" s="7" t="n"/>
      <c r="J483" s="7" t="n"/>
      <c r="K483" s="2" t="inlineStr">
        <is>
          <t>Pompey takes Jerusalem; Rome rules</t>
        </is>
      </c>
      <c r="L483" s="2" t="inlineStr">
        <is>
          <t>ரோம், ஆறாவது உலக வல்லரசு, எருசலேமை ஆளுகிறது</t>
        </is>
      </c>
      <c r="M483" s="7" t="inlineStr">
        <is>
          <t>Called in to settle the quarrel between Aristobulus II and Hyrcanus, Roman forces under Pompey besieged Jerusalem for three months and took it; Rome, the sixth world power, now ruled Jerusalem.</t>
        </is>
      </c>
      <c r="N483" s="7" t="inlineStr">
        <is>
          <t>பொ.ச.மு. 63-ல் ரோம தளபதியான நேயஸ் பாம்பி, எருசலேமை மூன்று மாதம் முற்றுகையிட்டுக் கைப்பற்றினார்.</t>
        </is>
      </c>
      <c r="O483" s="8" t="inlineStr">
        <is>
          <t>Bible</t>
        </is>
      </c>
      <c r="P483" s="7" t="inlineStr">
        <is>
          <t>bible.intertestament</t>
        </is>
      </c>
      <c r="Q483" s="7" t="inlineStr">
        <is>
          <t>conquest</t>
        </is>
      </c>
      <c r="R483" s="7" t="inlineStr">
        <is>
          <t>Pompey; Aristobulus II; Hyrcanus II</t>
        </is>
      </c>
      <c r="S483" s="7" t="inlineStr">
        <is>
          <t>Jerusalem</t>
        </is>
      </c>
      <c r="T483" s="7" t="inlineStr">
        <is>
          <t>John 19:15; Rev. 17:10</t>
        </is>
      </c>
      <c r="U483" s="7" t="inlineStr">
        <is>
          <t>யோவா. 19:15; வெளி. 17:10</t>
        </is>
      </c>
      <c r="V483" s="7" t="n">
        <v>5</v>
      </c>
      <c r="W483" s="7" t="inlineStr">
        <is>
          <t>Study Number 3—Measuring Events in the Stream of Time</t>
        </is>
      </c>
      <c r="X483" s="9" t="inlineStr">
        <is>
          <t>open</t>
        </is>
      </c>
      <c r="Y483" s="9" t="inlineStr">
        <is>
          <t>open</t>
        </is>
      </c>
      <c r="Z483" s="7" t="inlineStr">
        <is>
          <t>https://wol.jw.org/en/wol/d/r1/lp-e/1101990130
https://wol.jw.org/en/wol/d/r1/lp-e/1200002436
https://wol.jw.org/en/wol/d/r1/lp-e/1101999032
https://wol.jw.org/en/wol/d/r1/lp-e/1200002000
https://wol.jw.org/en/wol/d/r1/lp-e/1200000888</t>
        </is>
      </c>
      <c r="AA483" s="7" t="n">
        <v>1</v>
      </c>
      <c r="AB483" s="9" t="inlineStr">
        <is>
          <t>open</t>
        </is>
      </c>
      <c r="AC483" s="7" t="n">
        <v>1</v>
      </c>
      <c r="AD483" s="7" t="inlineStr">
        <is>
          <t>dp chs. 4, 9, 10 date Rome as world power 'from 30 B.C.E.' (fall of Ptolemaic Egypt); si says Rome rules Jerusalem from 63 B.C.E. Different reference points.</t>
        </is>
      </c>
      <c r="AE483" s="7" t="n"/>
      <c r="AF483" s="7" t="n"/>
      <c r="AG483" s="7" t="n"/>
      <c r="AH483" s="7" t="n"/>
      <c r="AI483" s="7" t="n"/>
      <c r="AJ483" s="7" t="n"/>
      <c r="AK483" s="7" t="inlineStr">
        <is>
          <t>seven-heads-of-the-beast #16 (rise); world-powers-daniel #17 (rise)</t>
        </is>
      </c>
      <c r="AL483" s="7" t="n"/>
      <c r="AM483" s="7" t="n">
        <v>-63</v>
      </c>
      <c r="AN483" s="10" t="n"/>
      <c r="AO483" s="10" t="n"/>
      <c r="AP483" s="10" t="n"/>
      <c r="AQ483" s="10" t="n"/>
    </row>
    <row r="484">
      <c r="A484" s="7" t="inlineStr">
        <is>
          <t>b4-0123</t>
        </is>
      </c>
      <c r="B484" s="7" t="inlineStr">
        <is>
          <t>Point</t>
        </is>
      </c>
      <c r="C484" s="7" t="n"/>
      <c r="D484" s="7" t="inlineStr">
        <is>
          <t>55 B.C.E.</t>
        </is>
      </c>
      <c r="E484" s="7" t="inlineStr">
        <is>
          <t>பொ.ச.மு. 55</t>
        </is>
      </c>
      <c r="F484" s="7" t="inlineStr">
        <is>
          <t>55 BCE</t>
        </is>
      </c>
      <c r="G484" s="7" t="inlineStr">
        <is>
          <t>Exact</t>
        </is>
      </c>
      <c r="H484" s="7" t="n"/>
      <c r="I484" s="7" t="n"/>
      <c r="J484" s="7" t="n"/>
      <c r="K484" s="2" t="inlineStr">
        <is>
          <t>Julius Caesar invades Britannia</t>
        </is>
      </c>
      <c r="L484" s="2" t="n"/>
      <c r="M484" s="7" t="inlineStr">
        <is>
          <t>Roman General Julius Caesar invaded Britannia but failed to establish a permanent settlement.</t>
        </is>
      </c>
      <c r="N484" s="7" t="inlineStr">
        <is>
          <t>பொ.ச.மு. 55-ல் ரோம தளபதி ஜூலியஸ் சீசர் பிரிட்டானியாமீது படையெடுத்தார், ஆனால் அவரால் ஒரு நிரந்தரமான குடியிருப்பை ஏற்படுத்த முடியவில்லை.</t>
        </is>
      </c>
      <c r="O484" s="8" t="inlineStr">
        <is>
          <t>Bible</t>
        </is>
      </c>
      <c r="P484" s="7" t="inlineStr">
        <is>
          <t>bible.intertestament</t>
        </is>
      </c>
      <c r="Q484" s="7" t="inlineStr">
        <is>
          <t>battle</t>
        </is>
      </c>
      <c r="R484" s="7" t="inlineStr">
        <is>
          <t>Julius Caesar</t>
        </is>
      </c>
      <c r="S484" s="7" t="inlineStr">
        <is>
          <t>Britannia</t>
        </is>
      </c>
      <c r="T484" s="7" t="n"/>
      <c r="U484" s="7" t="n"/>
      <c r="V484" s="7" t="n">
        <v>1</v>
      </c>
      <c r="W484" s="7" t="inlineStr">
        <is>
          <t>Who Will Rule the World?</t>
        </is>
      </c>
      <c r="X484" s="9" t="inlineStr">
        <is>
          <t>open</t>
        </is>
      </c>
      <c r="Y484" s="9" t="inlineStr">
        <is>
          <t>open</t>
        </is>
      </c>
      <c r="Z484" s="7" t="inlineStr">
        <is>
          <t>https://wol.jw.org/en/wol/d/r1/lp-e/1101999028</t>
        </is>
      </c>
      <c r="AA484" s="7" t="n">
        <v>0</v>
      </c>
      <c r="AB484" s="7" t="n"/>
      <c r="AC484" s="7" t="n">
        <v>0</v>
      </c>
      <c r="AD484" s="7" t="n"/>
      <c r="AE484" s="7" t="n"/>
      <c r="AF484" s="7" t="n"/>
      <c r="AG484" s="7" t="n"/>
      <c r="AH484" s="7" t="n"/>
      <c r="AI484" s="7" t="n"/>
      <c r="AJ484" s="7" t="n"/>
      <c r="AK484" s="7" t="n"/>
      <c r="AL484" s="7" t="n"/>
      <c r="AM484" s="7" t="n">
        <v>-55</v>
      </c>
      <c r="AN484" s="10" t="n"/>
      <c r="AO484" s="10" t="n"/>
      <c r="AP484" s="10" t="n"/>
      <c r="AQ484" s="10" t="n"/>
    </row>
    <row r="485">
      <c r="A485" s="7" t="inlineStr">
        <is>
          <t>b4-0124</t>
        </is>
      </c>
      <c r="B485" s="7" t="inlineStr">
        <is>
          <t>Point</t>
        </is>
      </c>
      <c r="C485" s="7" t="n"/>
      <c r="D485" s="7" t="inlineStr">
        <is>
          <t>48 B.C.E.</t>
        </is>
      </c>
      <c r="E485" s="7" t="n"/>
      <c r="F485" s="7" t="inlineStr">
        <is>
          <t>48 BCE</t>
        </is>
      </c>
      <c r="G485" s="7" t="inlineStr">
        <is>
          <t>Exact</t>
        </is>
      </c>
      <c r="H485" s="7" t="n"/>
      <c r="I485" s="7" t="n"/>
      <c r="J485" s="7" t="n"/>
      <c r="K485" s="2" t="inlineStr">
        <is>
          <t>Lex Julia majestatis enacted</t>
        </is>
      </c>
      <c r="L485" s="2" t="n"/>
      <c r="M485" s="7" t="inlineStr">
        <is>
          <t>The law called lex Julia majestatis made it an offense to engage in any activity against the sovereign power of Rome, a background to the charges later brought against Jesus.</t>
        </is>
      </c>
      <c r="N485" s="7" t="n"/>
      <c r="O485" s="8" t="inlineStr">
        <is>
          <t>Bible</t>
        </is>
      </c>
      <c r="P485" s="7" t="inlineStr">
        <is>
          <t>bible.intertestament</t>
        </is>
      </c>
      <c r="Q485" s="7" t="inlineStr">
        <is>
          <t>law</t>
        </is>
      </c>
      <c r="R485" s="7" t="n"/>
      <c r="S485" s="7" t="inlineStr">
        <is>
          <t>Rome</t>
        </is>
      </c>
      <c r="T485" s="7" t="inlineStr">
        <is>
          <t>Luke 23:2, 13, 14</t>
        </is>
      </c>
      <c r="U485" s="7" t="n"/>
      <c r="V485" s="7" t="n">
        <v>1</v>
      </c>
      <c r="W485" s="7" t="inlineStr">
        <is>
          <t>Caesar</t>
        </is>
      </c>
      <c r="X485" s="9" t="inlineStr">
        <is>
          <t>open</t>
        </is>
      </c>
      <c r="Y485" s="7" t="n"/>
      <c r="Z485" s="7" t="inlineStr">
        <is>
          <t>https://wol.jw.org/en/wol/d/r1/lp-e/1200000852</t>
        </is>
      </c>
      <c r="AA485" s="7" t="n">
        <v>0</v>
      </c>
      <c r="AB485" s="7" t="n"/>
      <c r="AC485" s="7" t="n">
        <v>0</v>
      </c>
      <c r="AD485" s="7" t="n"/>
      <c r="AE485" s="7" t="n"/>
      <c r="AF485" s="7" t="n"/>
      <c r="AG485" s="7" t="n"/>
      <c r="AH485" s="7" t="n"/>
      <c r="AI485" s="7" t="n"/>
      <c r="AJ485" s="7" t="n"/>
      <c r="AK485" s="7" t="n"/>
      <c r="AL485" s="7" t="n"/>
      <c r="AM485" s="7" t="n">
        <v>-48</v>
      </c>
      <c r="AN485" s="10" t="n"/>
      <c r="AO485" s="10" t="n"/>
      <c r="AP485" s="10" t="n"/>
      <c r="AQ485" s="10" t="n"/>
    </row>
    <row r="486">
      <c r="A486" s="7" t="inlineStr">
        <is>
          <t>b4-0125</t>
        </is>
      </c>
      <c r="B486" s="7" t="inlineStr">
        <is>
          <t>Point</t>
        </is>
      </c>
      <c r="C486" s="7" t="n"/>
      <c r="D486" s="7" t="inlineStr">
        <is>
          <t>c. 47 B.C.E.</t>
        </is>
      </c>
      <c r="E486" s="7" t="n"/>
      <c r="F486" s="7" t="inlineStr">
        <is>
          <t>47 BCE</t>
        </is>
      </c>
      <c r="G486" s="7" t="inlineStr">
        <is>
          <t>Approx. (c.)</t>
        </is>
      </c>
      <c r="H486" s="7" t="n"/>
      <c r="I486" s="7" t="n"/>
      <c r="J486" s="7" t="n"/>
      <c r="K486" s="2" t="inlineStr">
        <is>
          <t>Herod made governor of Galilee</t>
        </is>
      </c>
      <c r="L486" s="2" t="n"/>
      <c r="M486" s="7" t="inlineStr">
        <is>
          <t>Antipater II appointed his son Herod governor of Galilee, where Herod distinguished himself by ridding the territory of robber bands.</t>
        </is>
      </c>
      <c r="N486" s="7" t="n"/>
      <c r="O486" s="8" t="inlineStr">
        <is>
          <t>Bible</t>
        </is>
      </c>
      <c r="P486" s="7" t="inlineStr">
        <is>
          <t>bible.intertestament</t>
        </is>
      </c>
      <c r="Q486" s="7" t="inlineStr">
        <is>
          <t>appointment</t>
        </is>
      </c>
      <c r="R486" s="7" t="inlineStr">
        <is>
          <t>Herod the Great; Antipater II</t>
        </is>
      </c>
      <c r="S486" s="7" t="inlineStr">
        <is>
          <t>Galilee</t>
        </is>
      </c>
      <c r="T486" s="7" t="n"/>
      <c r="U486" s="7" t="n"/>
      <c r="V486" s="7" t="n">
        <v>1</v>
      </c>
      <c r="W486" s="7" t="inlineStr">
        <is>
          <t>Herod</t>
        </is>
      </c>
      <c r="X486" s="9" t="inlineStr">
        <is>
          <t>open</t>
        </is>
      </c>
      <c r="Y486" s="7" t="n"/>
      <c r="Z486" s="7" t="inlineStr">
        <is>
          <t>https://wol.jw.org/en/wol/d/r1/lp-e/1200002000</t>
        </is>
      </c>
      <c r="AA486" s="7" t="n">
        <v>0</v>
      </c>
      <c r="AB486" s="7" t="n"/>
      <c r="AC486" s="7" t="n">
        <v>0</v>
      </c>
      <c r="AD486" s="7" t="n"/>
      <c r="AE486" s="7" t="n"/>
      <c r="AF486" s="7" t="n"/>
      <c r="AG486" s="7" t="n"/>
      <c r="AH486" s="7" t="n"/>
      <c r="AI486" s="7" t="n"/>
      <c r="AJ486" s="7" t="n"/>
      <c r="AK486" s="7" t="n"/>
      <c r="AL486" s="7" t="n"/>
      <c r="AM486" s="7" t="n">
        <v>-47</v>
      </c>
      <c r="AN486" s="10" t="n"/>
      <c r="AO486" s="10" t="n"/>
      <c r="AP486" s="10" t="n"/>
      <c r="AQ486" s="10" t="n"/>
    </row>
    <row r="487">
      <c r="A487" s="7" t="inlineStr">
        <is>
          <t>b4-0126</t>
        </is>
      </c>
      <c r="B487" s="7" t="inlineStr">
        <is>
          <t>Point</t>
        </is>
      </c>
      <c r="C487" s="7" t="n"/>
      <c r="D487" s="7" t="inlineStr">
        <is>
          <t>46 B.C.E.</t>
        </is>
      </c>
      <c r="E487" s="7" t="n"/>
      <c r="F487" s="7" t="inlineStr">
        <is>
          <t>46 BCE</t>
        </is>
      </c>
      <c r="G487" s="7" t="inlineStr">
        <is>
          <t>Exact</t>
        </is>
      </c>
      <c r="H487" s="7" t="n"/>
      <c r="I487" s="7" t="n"/>
      <c r="J487" s="7" t="n"/>
      <c r="K487" s="2" t="inlineStr">
        <is>
          <t>Julius Caesar appointed dictator</t>
        </is>
      </c>
      <c r="L487" s="2" t="n"/>
      <c r="M487" s="7" t="inlineStr">
        <is>
          <t>Gaius Julius Caesar was appointed dictator of Rome for ten years.</t>
        </is>
      </c>
      <c r="N487" s="7" t="n"/>
      <c r="O487" s="8" t="inlineStr">
        <is>
          <t>Bible</t>
        </is>
      </c>
      <c r="P487" s="7" t="inlineStr">
        <is>
          <t>bible.intertestament</t>
        </is>
      </c>
      <c r="Q487" s="7" t="inlineStr">
        <is>
          <t>appointment</t>
        </is>
      </c>
      <c r="R487" s="7" t="inlineStr">
        <is>
          <t>Julius Caesar</t>
        </is>
      </c>
      <c r="S487" s="7" t="inlineStr">
        <is>
          <t>Rome</t>
        </is>
      </c>
      <c r="T487" s="7" t="n"/>
      <c r="U487" s="7" t="n"/>
      <c r="V487" s="7" t="n">
        <v>2</v>
      </c>
      <c r="W487" s="7" t="inlineStr">
        <is>
          <t>Caesar</t>
        </is>
      </c>
      <c r="X487" s="9" t="inlineStr">
        <is>
          <t>open</t>
        </is>
      </c>
      <c r="Y487" s="7" t="n"/>
      <c r="Z487" s="7" t="inlineStr">
        <is>
          <t>https://wol.jw.org/en/wol/d/r1/lp-e/1200000852
https://wol.jw.org/en/wol/d/r1/lp-e/1200003763</t>
        </is>
      </c>
      <c r="AA487" s="7" t="n">
        <v>0</v>
      </c>
      <c r="AB487" s="7" t="n"/>
      <c r="AC487" s="7" t="n">
        <v>0</v>
      </c>
      <c r="AD487" s="7" t="n"/>
      <c r="AE487" s="7" t="n"/>
      <c r="AF487" s="7" t="n"/>
      <c r="AG487" s="7" t="n"/>
      <c r="AH487" s="7" t="n"/>
      <c r="AI487" s="7" t="n"/>
      <c r="AJ487" s="7" t="n"/>
      <c r="AK487" s="7" t="n"/>
      <c r="AL487" s="7" t="n"/>
      <c r="AM487" s="7" t="n">
        <v>-46</v>
      </c>
      <c r="AN487" s="10" t="n"/>
      <c r="AO487" s="10" t="n"/>
      <c r="AP487" s="10" t="n"/>
      <c r="AQ487" s="10" t="n"/>
    </row>
    <row r="488">
      <c r="A488" s="7" t="inlineStr">
        <is>
          <t>b4-0127</t>
        </is>
      </c>
      <c r="B488" s="7" t="inlineStr">
        <is>
          <t>Point</t>
        </is>
      </c>
      <c r="C488" s="7" t="n"/>
      <c r="D488" s="7" t="inlineStr">
        <is>
          <t>44 B.C.E.</t>
        </is>
      </c>
      <c r="E488" s="7" t="inlineStr">
        <is>
          <t>பொ.ச.மு. 44</t>
        </is>
      </c>
      <c r="F488" s="7" t="inlineStr">
        <is>
          <t>44 BCE</t>
        </is>
      </c>
      <c r="G488" s="7" t="inlineStr">
        <is>
          <t>Exact</t>
        </is>
      </c>
      <c r="H488" s="7" t="n"/>
      <c r="I488" s="7" t="n"/>
      <c r="J488" s="7" t="n"/>
      <c r="K488" s="2" t="inlineStr">
        <is>
          <t>Julius Caesar assassinated</t>
        </is>
      </c>
      <c r="L488" s="2" t="n"/>
      <c r="M488" s="7" t="inlineStr">
        <is>
          <t>Julius Caesar was murdered by conspirators; his great-nephew Octavian was then only 18.</t>
        </is>
      </c>
      <c r="N488" s="7" t="inlineStr">
        <is>
          <t>பொ.ச.மு. 44-ல் ஜூலியஸ் சீசர் கொலைசெய்யப்பட்ட போது, அவரது சகோதரியின் பேரனான கயஸ் ஆக்டேவியனுக்கு 18 வயதுதான்.</t>
        </is>
      </c>
      <c r="O488" s="8" t="inlineStr">
        <is>
          <t>Bible</t>
        </is>
      </c>
      <c r="P488" s="7" t="inlineStr">
        <is>
          <t>bible.intertestament</t>
        </is>
      </c>
      <c r="Q488" s="7" t="inlineStr">
        <is>
          <t>death</t>
        </is>
      </c>
      <c r="R488" s="7" t="inlineStr">
        <is>
          <t>Julius Caesar; Octavian</t>
        </is>
      </c>
      <c r="S488" s="7" t="inlineStr">
        <is>
          <t>Rome</t>
        </is>
      </c>
      <c r="T488" s="7" t="n"/>
      <c r="U488" s="7" t="n"/>
      <c r="V488" s="7" t="n">
        <v>3</v>
      </c>
      <c r="W488" s="7" t="inlineStr">
        <is>
          <t>Caesar</t>
        </is>
      </c>
      <c r="X488" s="9" t="inlineStr">
        <is>
          <t>open</t>
        </is>
      </c>
      <c r="Y488" s="7" t="n"/>
      <c r="Z488" s="7" t="inlineStr">
        <is>
          <t>https://wol.jw.org/en/wol/d/r1/lp-e/1200000852
https://wol.jw.org/en/wol/d/r1/lp-e/1200003763
https://wol.jw.org/en/wol/d/r1/lp-e/1101999034</t>
        </is>
      </c>
      <c r="AA488" s="7" t="n">
        <v>0</v>
      </c>
      <c r="AB488" s="7" t="n"/>
      <c r="AC488" s="7" t="n">
        <v>0</v>
      </c>
      <c r="AD488" s="7" t="n"/>
      <c r="AE488" s="7" t="n"/>
      <c r="AF488" s="7" t="n"/>
      <c r="AG488" s="7" t="n"/>
      <c r="AH488" s="7" t="n"/>
      <c r="AI488" s="7" t="n"/>
      <c r="AJ488" s="7" t="n"/>
      <c r="AK488" s="7" t="n"/>
      <c r="AL488" s="7" t="n"/>
      <c r="AM488" s="7" t="n">
        <v>-44</v>
      </c>
      <c r="AN488" s="10" t="n"/>
      <c r="AO488" s="10" t="n"/>
      <c r="AP488" s="10" t="n"/>
      <c r="AQ488" s="10" t="n"/>
    </row>
    <row r="489">
      <c r="A489" s="7" t="inlineStr">
        <is>
          <t>b4-0128</t>
        </is>
      </c>
      <c r="B489" s="7" t="inlineStr">
        <is>
          <t>Point</t>
        </is>
      </c>
      <c r="C489" s="7" t="n"/>
      <c r="D489" s="7" t="inlineStr">
        <is>
          <t>c. 39 B.C.E.</t>
        </is>
      </c>
      <c r="E489" s="7" t="inlineStr">
        <is>
          <t>பொ.ச.மு. 39</t>
        </is>
      </c>
      <c r="F489" s="7" t="inlineStr">
        <is>
          <t>39 BCE</t>
        </is>
      </c>
      <c r="G489" s="7" t="inlineStr">
        <is>
          <t>Approx. (c.)</t>
        </is>
      </c>
      <c r="H489" s="7" t="n"/>
      <c r="I489" s="7" t="n"/>
      <c r="J489" s="7" t="n"/>
      <c r="K489" s="2" t="inlineStr">
        <is>
          <t>Herod appointed king of Judea by the Roman Senate</t>
        </is>
      </c>
      <c r="L489" s="2" t="n"/>
      <c r="M489" s="7" t="inlineStr">
        <is>
          <t>On Mark Antony's recommendation, the Roman senate appointed the Edomite Herod king of greater Judea, though he could not establish himself in Jerusalem until about three years later.</t>
        </is>
      </c>
      <c r="N489" s="7" t="inlineStr">
        <is>
          <t>பொ.ச.மு. 39-ல், ரோம பேரவை ஏதோமியரான ஏரோதை யூதேயாவின் ராஜாவாக்கியது.</t>
        </is>
      </c>
      <c r="O489" s="8" t="inlineStr">
        <is>
          <t>Bible</t>
        </is>
      </c>
      <c r="P489" s="7" t="inlineStr">
        <is>
          <t>bible.intertestament</t>
        </is>
      </c>
      <c r="Q489" s="7" t="inlineStr">
        <is>
          <t>appointment</t>
        </is>
      </c>
      <c r="R489" s="7" t="inlineStr">
        <is>
          <t>Herod the Great; Mark Antony</t>
        </is>
      </c>
      <c r="S489" s="7" t="inlineStr">
        <is>
          <t>Rome; Judea</t>
        </is>
      </c>
      <c r="T489" s="7" t="n"/>
      <c r="U489" s="7" t="n"/>
      <c r="V489" s="7" t="n">
        <v>2</v>
      </c>
      <c r="W489" s="7" t="inlineStr">
        <is>
          <t>Herod</t>
        </is>
      </c>
      <c r="X489" s="9" t="inlineStr">
        <is>
          <t>open</t>
        </is>
      </c>
      <c r="Y489" s="7" t="n"/>
      <c r="Z489" s="7" t="inlineStr">
        <is>
          <t>https://wol.jw.org/en/wol/d/r1/lp-e/1200002000
https://wol.jw.org/en/wol/d/r1/lp-e/1101999032</t>
        </is>
      </c>
      <c r="AA489" s="7" t="n">
        <v>1</v>
      </c>
      <c r="AB489" s="9" t="inlineStr">
        <is>
          <t>open</t>
        </is>
      </c>
      <c r="AC489" s="7" t="n">
        <v>1</v>
      </c>
      <c r="AD489" s="7" t="inlineStr">
        <is>
          <t>Insight 'Herod' notes Josephus' method would place the appointment in 40 B.C.E., while Appianos' data place it in 39 B.C.E.</t>
        </is>
      </c>
      <c r="AE489" s="7" t="n"/>
      <c r="AF489" s="7" t="n"/>
      <c r="AG489" s="7" t="n"/>
      <c r="AH489" s="7" t="n"/>
      <c r="AI489" s="7" t="inlineStr">
        <is>
          <t>Covered by span – hide on chart</t>
        </is>
      </c>
      <c r="AJ489" s="7" t="inlineStr">
        <is>
          <t>start of Reign of Herod the Great over Judea (b12-0038)</t>
        </is>
      </c>
      <c r="AK489" s="7" t="n"/>
      <c r="AL489" s="7" t="n"/>
      <c r="AM489" s="7" t="n">
        <v>-39</v>
      </c>
      <c r="AN489" s="10" t="n"/>
      <c r="AO489" s="10" t="n"/>
      <c r="AP489" s="10" t="n"/>
      <c r="AQ489" s="10" t="n"/>
    </row>
    <row r="490">
      <c r="A490" s="7" t="inlineStr">
        <is>
          <t>b12-0038</t>
        </is>
      </c>
      <c r="B490" s="11" t="inlineStr">
        <is>
          <t>Span</t>
        </is>
      </c>
      <c r="C490" s="7" t="inlineStr">
        <is>
          <t>reign</t>
        </is>
      </c>
      <c r="D490" s="7" t="inlineStr">
        <is>
          <t>c. 39 B.C.E.–1 B.C.E.</t>
        </is>
      </c>
      <c r="E490" s="7" t="n"/>
      <c r="F490" s="7" t="inlineStr">
        <is>
          <t>39 BCE</t>
        </is>
      </c>
      <c r="G490" s="7" t="inlineStr">
        <is>
          <t>Approx. (c.)</t>
        </is>
      </c>
      <c r="H490" s="7" t="inlineStr">
        <is>
          <t>1 BCE</t>
        </is>
      </c>
      <c r="I490" s="7" t="inlineStr">
        <is>
          <t>Exact</t>
        </is>
      </c>
      <c r="J490" s="7" t="n"/>
      <c r="K490" s="2" t="inlineStr">
        <is>
          <t>Reign of Herod the Great over Judea</t>
        </is>
      </c>
      <c r="L490" s="2" t="n"/>
      <c r="M490" s="7" t="inlineStr">
        <is>
          <t>The Roman Senate made the Edomite Herod king of Judea about 39 B.C.E.; three years later he took Jerusalem. He rebuilt the temple and ordered the killing of the boys of Bethlehem, and he likely died in 1 B.C.E.</t>
        </is>
      </c>
      <c r="N490" s="7" t="n"/>
      <c r="O490" s="8" t="inlineStr">
        <is>
          <t>Bible</t>
        </is>
      </c>
      <c r="P490" s="7" t="inlineStr">
        <is>
          <t>bible.intertestament</t>
        </is>
      </c>
      <c r="Q490" s="7" t="n"/>
      <c r="R490" s="7" t="inlineStr">
        <is>
          <t>Herod the Great</t>
        </is>
      </c>
      <c r="S490" s="7" t="inlineStr">
        <is>
          <t>Judea; Jerusalem</t>
        </is>
      </c>
      <c r="T490" s="7" t="inlineStr">
        <is>
          <t>Matt. 2:1-19; Luke 1:5</t>
        </is>
      </c>
      <c r="U490" s="7" t="inlineStr">
        <is>
          <t>மத். 2:1-19; லூக். 1:5</t>
        </is>
      </c>
      <c r="V490" s="7" t="n">
        <v>2</v>
      </c>
      <c r="W490" s="7" t="inlineStr">
        <is>
          <t>Herod</t>
        </is>
      </c>
      <c r="X490" s="9" t="inlineStr">
        <is>
          <t>open</t>
        </is>
      </c>
      <c r="Y490" s="7" t="n"/>
      <c r="Z490" s="7" t="inlineStr">
        <is>
          <t>https://wol.jw.org/en/wol/d/r1/lp-e/1200002000
https://wol.jw.org/en/wol/d/r1/lp-e/1200002000</t>
        </is>
      </c>
      <c r="AA490" s="7" t="n">
        <v>0</v>
      </c>
      <c r="AB490" s="7" t="n"/>
      <c r="AC490" s="7" t="n">
        <v>1</v>
      </c>
      <c r="AD490" s="7" t="inlineStr">
        <is>
          <t>Insight “Jerusalem” says Herod “did not get control of Jerusalem until 37 or 36 B.C.E., from which date his rule effectively began.”</t>
        </is>
      </c>
      <c r="AE490" s="7" t="n"/>
      <c r="AF490" s="7" t="inlineStr">
        <is>
          <t>b4-0128</t>
        </is>
      </c>
      <c r="AG490" s="7" t="inlineStr">
        <is>
          <t>b4-0138</t>
        </is>
      </c>
      <c r="AH490" s="7" t="n"/>
      <c r="AI490" s="7" t="n"/>
      <c r="AJ490" s="7" t="n"/>
      <c r="AK490" s="7" t="n"/>
      <c r="AL490" s="7" t="n"/>
      <c r="AM490" s="7" t="n">
        <v>-39</v>
      </c>
      <c r="AN490" s="10" t="n"/>
      <c r="AO490" s="10" t="n"/>
      <c r="AP490" s="10" t="n"/>
      <c r="AQ490" s="10" t="n"/>
    </row>
    <row r="491">
      <c r="A491" s="7" t="inlineStr">
        <is>
          <t>b4-0129</t>
        </is>
      </c>
      <c r="B491" s="7" t="inlineStr">
        <is>
          <t>Point</t>
        </is>
      </c>
      <c r="C491" s="7" t="n"/>
      <c r="D491" s="7" t="inlineStr">
        <is>
          <t>c. 37 B.C.E.</t>
        </is>
      </c>
      <c r="E491" s="7" t="inlineStr">
        <is>
          <t>ஏ. பொ.ச.மு. 37</t>
        </is>
      </c>
      <c r="F491" s="7" t="inlineStr">
        <is>
          <t>37 BCE</t>
        </is>
      </c>
      <c r="G491" s="7" t="inlineStr">
        <is>
          <t>Approx. (c.)</t>
        </is>
      </c>
      <c r="H491" s="7" t="n"/>
      <c r="I491" s="7" t="n"/>
      <c r="J491" s="7" t="n"/>
      <c r="K491" s="2" t="inlineStr">
        <is>
          <t>Herod takes Jerusalem by storm</t>
        </is>
      </c>
      <c r="L491" s="2" t="inlineStr">
        <is>
          <t>ஏரோது (ரோம் நியமித்த அரசன்) மூர்க்கத் தாக்குதலால் எருசலேமைக் கைப்பற்றுகிறார்</t>
        </is>
      </c>
      <c r="M491" s="7" t="inlineStr">
        <is>
          <t>Herod, appointed king by Rome, took Jerusalem and deposed Antigonus, ending Maccabean rule; his rule effectively began from this date.</t>
        </is>
      </c>
      <c r="N491" s="7" t="inlineStr">
        <is>
          <t>பொ.ச.மு. 37-ல் எருசலேமை இவர் கைப்பற்றவே, மக்கபேயர்களின் ஆட்சி முடிவுக்கு வந்தது.</t>
        </is>
      </c>
      <c r="O491" s="8" t="inlineStr">
        <is>
          <t>Bible</t>
        </is>
      </c>
      <c r="P491" s="7" t="inlineStr">
        <is>
          <t>bible.intertestament</t>
        </is>
      </c>
      <c r="Q491" s="7" t="inlineStr">
        <is>
          <t>conquest</t>
        </is>
      </c>
      <c r="R491" s="7" t="inlineStr">
        <is>
          <t>Herod the Great; Antigonus</t>
        </is>
      </c>
      <c r="S491" s="7" t="inlineStr">
        <is>
          <t>Jerusalem</t>
        </is>
      </c>
      <c r="T491" s="7" t="n"/>
      <c r="U491" s="7" t="n"/>
      <c r="V491" s="7" t="n">
        <v>4</v>
      </c>
      <c r="W491" s="7" t="inlineStr">
        <is>
          <t>Study Number 3—Measuring Events in the Stream of Time</t>
        </is>
      </c>
      <c r="X491" s="9" t="inlineStr">
        <is>
          <t>open</t>
        </is>
      </c>
      <c r="Y491" s="9" t="inlineStr">
        <is>
          <t>open</t>
        </is>
      </c>
      <c r="Z491" s="7" t="inlineStr">
        <is>
          <t>https://wol.jw.org/en/wol/d/r1/lp-e/1101990130
https://wol.jw.org/en/wol/d/r1/lp-e/1101999032
https://wol.jw.org/en/wol/d/r1/lp-e/1200002436
https://wol.jw.org/en/wol/d/r1/lp-e/1200002000</t>
        </is>
      </c>
      <c r="AA491" s="7" t="n">
        <v>0</v>
      </c>
      <c r="AB491" s="7" t="n"/>
      <c r="AC491" s="7" t="n">
        <v>1</v>
      </c>
      <c r="AD491" s="7" t="inlineStr">
        <is>
          <t>Insight 'Herod' notes Josephus also says it was 27 years after Pompey's capture (63), which would make it 36 B.C.E.; Insight 'Jerusalem' says '37 or 36'.</t>
        </is>
      </c>
      <c r="AE491" s="7" t="n"/>
      <c r="AF491" s="7" t="n"/>
      <c r="AG491" s="7" t="n"/>
      <c r="AH491" s="7" t="n"/>
      <c r="AI491" s="7" t="n"/>
      <c r="AJ491" s="7" t="n"/>
      <c r="AK491" s="7" t="n"/>
      <c r="AL491" s="7" t="n"/>
      <c r="AM491" s="7" t="n">
        <v>-37</v>
      </c>
      <c r="AN491" s="10" t="n"/>
      <c r="AO491" s="10" t="n"/>
      <c r="AP491" s="10" t="n"/>
      <c r="AQ491" s="10" t="n"/>
    </row>
    <row r="492">
      <c r="A492" s="7" t="inlineStr">
        <is>
          <t>b4-0130</t>
        </is>
      </c>
      <c r="B492" s="7" t="inlineStr">
        <is>
          <t>Point</t>
        </is>
      </c>
      <c r="C492" s="7" t="n"/>
      <c r="D492" s="7" t="inlineStr">
        <is>
          <t>31 B.C.E. (September)</t>
        </is>
      </c>
      <c r="E492" s="7" t="inlineStr">
        <is>
          <t>பொ.ச.மு. 31</t>
        </is>
      </c>
      <c r="F492" s="7" t="inlineStr">
        <is>
          <t>31 BCE</t>
        </is>
      </c>
      <c r="G492" s="7" t="inlineStr">
        <is>
          <t>Exact</t>
        </is>
      </c>
      <c r="H492" s="7" t="n"/>
      <c r="I492" s="7" t="n"/>
      <c r="J492" s="7" t="n"/>
      <c r="K492" s="2" t="inlineStr">
        <is>
          <t>Octavian defeats Antony and Cleopatra at Actium</t>
        </is>
      </c>
      <c r="L492" s="2" t="n"/>
      <c r="M492" s="7" t="inlineStr">
        <is>
          <t>At the battle of Actium, Octavian defeated the combined forces of Cleopatra VII and Mark Antony and emerged as the undisputed ruler of the Roman Empire.</t>
        </is>
      </c>
      <c r="N492" s="7" t="inlineStr">
        <is>
          <t>(தானியேல் 11:14) பொ.ச.மு. 31-ல், ஆக்டியம் யுத்தத்தின்போது, தாலமிய வம்சத்தின் கடைசி ராணியான ஏழாம் க்ளியோபாட்ரா, அவளது ரோம காதலன் மார்க் ஆன்டனி ஆகிய இருவரது ஒன்றிணைந்த படைகளையும் ரோம அரசரான ஆக்டேவியன் வீழ்த்தினார்.</t>
        </is>
      </c>
      <c r="O492" s="8" t="inlineStr">
        <is>
          <t>Bible</t>
        </is>
      </c>
      <c r="P492" s="7" t="inlineStr">
        <is>
          <t>bible.prophecy_fulfilled</t>
        </is>
      </c>
      <c r="Q492" s="7" t="inlineStr">
        <is>
          <t>battle</t>
        </is>
      </c>
      <c r="R492" s="7" t="inlineStr">
        <is>
          <t>Octavian; Mark Antony; Cleopatra VII</t>
        </is>
      </c>
      <c r="S492" s="7" t="inlineStr">
        <is>
          <t>Actium</t>
        </is>
      </c>
      <c r="T492" s="7" t="inlineStr">
        <is>
          <t>Dan. 11:14</t>
        </is>
      </c>
      <c r="U492" s="7" t="n"/>
      <c r="V492" s="7" t="n">
        <v>4</v>
      </c>
      <c r="W492" s="7" t="inlineStr">
        <is>
          <t>Augustus</t>
        </is>
      </c>
      <c r="X492" s="9" t="inlineStr">
        <is>
          <t>open</t>
        </is>
      </c>
      <c r="Y492" s="7" t="n"/>
      <c r="Z492" s="7" t="inlineStr">
        <is>
          <t>https://wol.jw.org/en/wol/d/r1/lp-e/1200000468
https://wol.jw.org/en/wol/d/r1/lp-e/1101999034
https://wol.jw.org/en/wol/d/r1/lp-e/1200000852
https://wol.jw.org/en/wol/d/r1/lp-e/1200003763</t>
        </is>
      </c>
      <c r="AA492" s="7" t="n">
        <v>0</v>
      </c>
      <c r="AB492" s="7" t="n"/>
      <c r="AC492" s="7" t="n">
        <v>0</v>
      </c>
      <c r="AD492" s="7" t="n"/>
      <c r="AE492" s="7" t="n"/>
      <c r="AF492" s="7" t="n"/>
      <c r="AG492" s="7" t="n"/>
      <c r="AH492" s="7" t="n"/>
      <c r="AI492" s="7" t="inlineStr">
        <is>
          <t>Span endpoint – keep</t>
        </is>
      </c>
      <c r="AJ492" s="7" t="inlineStr">
        <is>
          <t>start of Reign of Augustus (Octavian), Roman emperor (b12-0039)</t>
        </is>
      </c>
      <c r="AK492" s="7" t="inlineStr">
        <is>
          <t>kings-north-and-south #23 (context)</t>
        </is>
      </c>
      <c r="AL492" s="7" t="n"/>
      <c r="AM492" s="7" t="n">
        <v>-30.3</v>
      </c>
      <c r="AN492" s="10" t="n"/>
      <c r="AO492" s="10" t="n"/>
      <c r="AP492" s="10" t="n"/>
      <c r="AQ492" s="10" t="n"/>
    </row>
    <row r="493">
      <c r="A493" s="7" t="inlineStr">
        <is>
          <t>b12-0039</t>
        </is>
      </c>
      <c r="B493" s="11" t="inlineStr">
        <is>
          <t>Span</t>
        </is>
      </c>
      <c r="C493" s="7" t="inlineStr">
        <is>
          <t>reign</t>
        </is>
      </c>
      <c r="D493" s="7" t="inlineStr">
        <is>
          <t>31 B.C.E.–14 C.E.</t>
        </is>
      </c>
      <c r="E493" s="7" t="n"/>
      <c r="F493" s="7" t="inlineStr">
        <is>
          <t>31 BCE</t>
        </is>
      </c>
      <c r="G493" s="7" t="inlineStr">
        <is>
          <t>Exact</t>
        </is>
      </c>
      <c r="H493" s="7" t="inlineStr">
        <is>
          <t>14 CE</t>
        </is>
      </c>
      <c r="I493" s="7" t="inlineStr">
        <is>
          <t>Exact</t>
        </is>
      </c>
      <c r="J493" s="7" t="n"/>
      <c r="K493" s="2" t="inlineStr">
        <is>
          <t>Reign of Augustus (Octavian), Roman emperor</t>
        </is>
      </c>
      <c r="L493" s="2" t="n"/>
      <c r="M493" s="7" t="inlineStr">
        <is>
          <t>Octavian became undisputed ruler of the Roman Empire after Actium in 31 B.C.E. and received the title Augustus in 27 B.C.E.; his registration decree brought Jesus’ birth at Bethlehem. He died in 14 C.E.</t>
        </is>
      </c>
      <c r="N493" s="7" t="n"/>
      <c r="O493" s="8" t="inlineStr">
        <is>
          <t>Bible</t>
        </is>
      </c>
      <c r="P493" s="7" t="inlineStr">
        <is>
          <t>bible.jesus</t>
        </is>
      </c>
      <c r="Q493" s="7" t="n"/>
      <c r="R493" s="7" t="inlineStr">
        <is>
          <t>Augustus (Octavian)</t>
        </is>
      </c>
      <c r="S493" s="7" t="inlineStr">
        <is>
          <t>Rome</t>
        </is>
      </c>
      <c r="T493" s="7" t="inlineStr">
        <is>
          <t>Luke 2:1</t>
        </is>
      </c>
      <c r="U493" s="7" t="inlineStr">
        <is>
          <t>லூக். 2:1</t>
        </is>
      </c>
      <c r="V493" s="7" t="n">
        <v>3</v>
      </c>
      <c r="W493" s="7" t="inlineStr">
        <is>
          <t>Caesar</t>
        </is>
      </c>
      <c r="X493" s="9" t="inlineStr">
        <is>
          <t>open</t>
        </is>
      </c>
      <c r="Y493" s="7" t="n"/>
      <c r="Z493" s="7" t="inlineStr">
        <is>
          <t>https://wol.jw.org/en/wol/d/r1/lp-e/1200000852
https://wol.jw.org/en/wol/d/r1/lp-e/1200000468
https://wol.jw.org/en/wol/d/r1/lp-e/1200000468</t>
        </is>
      </c>
      <c r="AA493" s="7" t="n">
        <v>0</v>
      </c>
      <c r="AB493" s="7" t="n"/>
      <c r="AC493" s="7" t="n">
        <v>1</v>
      </c>
      <c r="AD493" s="7" t="inlineStr">
        <is>
          <t>Insight “Chronology” counts “Augustus’ rule ran from 27 B.C.E. to 14 C.E.” (from his title Augustus); the Insight “Caesar” table starts it in 31 B.C.E.</t>
        </is>
      </c>
      <c r="AE493" s="7" t="n"/>
      <c r="AF493" s="7" t="inlineStr">
        <is>
          <t>b4-0130</t>
        </is>
      </c>
      <c r="AG493" s="7" t="n"/>
      <c r="AH493" s="7" t="n"/>
      <c r="AI493" s="7" t="n"/>
      <c r="AJ493" s="7" t="n"/>
      <c r="AK493" s="7" t="inlineStr">
        <is>
          <t>roman-emperors #1 (ruler); kings-north-and-south #25 (ruler)</t>
        </is>
      </c>
      <c r="AL493" s="7" t="n"/>
      <c r="AM493" s="7" t="n">
        <v>-30.3</v>
      </c>
      <c r="AN493" s="10" t="n"/>
      <c r="AO493" s="10" t="n"/>
      <c r="AP493" s="10" t="n"/>
      <c r="AQ493" s="10" t="n"/>
    </row>
    <row r="494">
      <c r="A494" s="7" t="inlineStr">
        <is>
          <t>b4-0131</t>
        </is>
      </c>
      <c r="B494" s="7" t="inlineStr">
        <is>
          <t>Point</t>
        </is>
      </c>
      <c r="C494" s="7" t="n"/>
      <c r="D494" s="7" t="inlineStr">
        <is>
          <t>30 B.C.E.</t>
        </is>
      </c>
      <c r="E494" s="7" t="inlineStr">
        <is>
          <t>பொ.ச.மு. 30</t>
        </is>
      </c>
      <c r="F494" s="7" t="inlineStr">
        <is>
          <t>30 BCE</t>
        </is>
      </c>
      <c r="G494" s="7" t="inlineStr">
        <is>
          <t>Exact</t>
        </is>
      </c>
      <c r="H494" s="7" t="n"/>
      <c r="I494" s="7" t="n"/>
      <c r="J494" s="7" t="n"/>
      <c r="K494" s="2" t="inlineStr">
        <is>
          <t>Ptolemaic Egypt falls to Rome</t>
        </is>
      </c>
      <c r="L494" s="2" t="n"/>
      <c r="M494" s="7" t="inlineStr">
        <is>
          <t>The Ptolemaic dynasty, last of the four Hellenistic kingdoms, fell to Rome; by 30 B.C.E. Rome had supremacy over Syria and Egypt and emerged as the world power of Bible prophecy.</t>
        </is>
      </c>
      <c r="N494" s="7" t="inlineStr">
        <is>
          <t>தாலமியின் ராஜ வம்சம், பொ.ச.மு. 30-ல் எகிப்தை ரோம் கைப்பற்றியது வரை ஆட்சியில் இருந்தது.</t>
        </is>
      </c>
      <c r="O494" s="8" t="inlineStr">
        <is>
          <t>Bible</t>
        </is>
      </c>
      <c r="P494" s="7" t="inlineStr">
        <is>
          <t>bible.prophecy_fulfilled</t>
        </is>
      </c>
      <c r="Q494" s="7" t="inlineStr">
        <is>
          <t>conquest</t>
        </is>
      </c>
      <c r="R494" s="7" t="n"/>
      <c r="S494" s="7" t="inlineStr">
        <is>
          <t>Egypt; Rome</t>
        </is>
      </c>
      <c r="T494" s="7" t="inlineStr">
        <is>
          <t>Dan. 7:7; Rev. 17:10</t>
        </is>
      </c>
      <c r="U494" s="7" t="n"/>
      <c r="V494" s="7" t="n">
        <v>4</v>
      </c>
      <c r="W494" s="7" t="inlineStr">
        <is>
          <t>Who Will Rule the World?</t>
        </is>
      </c>
      <c r="X494" s="9" t="inlineStr">
        <is>
          <t>open</t>
        </is>
      </c>
      <c r="Y494" s="9" t="inlineStr">
        <is>
          <t>open</t>
        </is>
      </c>
      <c r="Z494" s="7" t="inlineStr">
        <is>
          <t>https://wol.jw.org/en/wol/d/r1/lp-e/1101999028
https://wol.jw.org/en/wol/d/r1/lp-e/1101999034
https://wol.jw.org/en/wol/d/r1/lp-e/1101999023
https://wol.jw.org/en/wol/d/r1/lp-e/1101999029</t>
        </is>
      </c>
      <c r="AA494" s="7" t="n">
        <v>0</v>
      </c>
      <c r="AB494" s="7" t="n"/>
      <c r="AC494" s="7" t="n">
        <v>0</v>
      </c>
      <c r="AD494" s="7" t="n"/>
      <c r="AE494" s="7" t="n"/>
      <c r="AF494" s="7" t="n"/>
      <c r="AG494" s="7" t="n"/>
      <c r="AH494" s="7" t="n"/>
      <c r="AI494" s="7" t="inlineStr">
        <is>
          <t>Span endpoint – keep</t>
        </is>
      </c>
      <c r="AJ494" s="7" t="inlineStr">
        <is>
          <t>end of Greece, fifth world power (b12-0037); start of Rome, sixth world power (b12-0040)</t>
        </is>
      </c>
      <c r="AK494" s="7" t="inlineStr">
        <is>
          <t>kings-north-and-south #24 (fall); seven-heads-of-the-beast #14 (fall); world-powers-daniel #15 (fall)</t>
        </is>
      </c>
      <c r="AL494" s="7" t="n"/>
      <c r="AM494" s="7" t="n">
        <v>-30</v>
      </c>
      <c r="AN494" s="10" t="n"/>
      <c r="AO494" s="10" t="n"/>
      <c r="AP494" s="10" t="n"/>
      <c r="AQ494" s="10" t="n"/>
    </row>
    <row r="495">
      <c r="A495" s="7" t="inlineStr">
        <is>
          <t>b12-0040</t>
        </is>
      </c>
      <c r="B495" s="11" t="inlineStr">
        <is>
          <t>Span</t>
        </is>
      </c>
      <c r="C495" s="7" t="inlineStr">
        <is>
          <t>world power</t>
        </is>
      </c>
      <c r="D495" s="7" t="inlineStr">
        <is>
          <t>30 B.C.E.–(end not dated)</t>
        </is>
      </c>
      <c r="E495" s="7" t="inlineStr">
        <is>
          <t>பொ.ச.மு. 30 முதற்கொண்டு</t>
        </is>
      </c>
      <c r="F495" s="7" t="inlineStr">
        <is>
          <t>30 BCE</t>
        </is>
      </c>
      <c r="G495" s="7" t="inlineStr">
        <is>
          <t>Exact</t>
        </is>
      </c>
      <c r="H495" s="7" t="n"/>
      <c r="I495" s="7" t="inlineStr">
        <is>
          <t>Not stated</t>
        </is>
      </c>
      <c r="J495" s="7" t="n"/>
      <c r="K495" s="2" t="inlineStr">
        <is>
          <t>Rome, sixth world power</t>
        </is>
      </c>
      <c r="L495" s="2" t="inlineStr">
        <is>
          <t>ரோம்</t>
        </is>
      </c>
      <c r="M495" s="7" t="inlineStr">
        <is>
          <t>By 30 B.C.E. Rome had taken over all the Hellenistic kingdoms and become the sixth world power; it executed Jesus, persecuted his disciples, and destroyed Jerusalem in 70 C.E.</t>
        </is>
      </c>
      <c r="N495" s="7" t="inlineStr">
        <is>
          <t>பொ.ச.மு. 30-ம் ஆண்டிற்குள், ரோம் எல்லா கிரேக்க ராஜ்யங்களையும் வென்று, பைபிள் சரித்திரத்தின் ஆறாம் உலக வல்லரசானது.</t>
        </is>
      </c>
      <c r="O495" s="8" t="inlineStr">
        <is>
          <t>Bible</t>
        </is>
      </c>
      <c r="P495" s="7" t="inlineStr">
        <is>
          <t>bible.prophecy_fulfilled</t>
        </is>
      </c>
      <c r="Q495" s="7" t="n"/>
      <c r="R495" s="7" t="n"/>
      <c r="S495" s="7" t="inlineStr">
        <is>
          <t>Rome</t>
        </is>
      </c>
      <c r="T495" s="7" t="inlineStr">
        <is>
          <t>Dan. 2:40; Rev. 17:10</t>
        </is>
      </c>
      <c r="U495" s="7" t="inlineStr">
        <is>
          <t>தானி. 2:40; வெளி. 17:10</t>
        </is>
      </c>
      <c r="V495" s="7" t="n">
        <v>4</v>
      </c>
      <c r="W495" s="7" t="inlineStr">
        <is>
          <t>Who Can Stand Against the Prince of Princes?</t>
        </is>
      </c>
      <c r="X495" s="9" t="inlineStr">
        <is>
          <t>open</t>
        </is>
      </c>
      <c r="Y495" s="9" t="inlineStr">
        <is>
          <t>open</t>
        </is>
      </c>
      <c r="Z495" s="7" t="inlineStr">
        <is>
          <t>https://wol.jw.org/en/wol/d/r1/lp-e/1101999029
https://wol.jw.org/en/wol/d/r1/lp-e/1101999023
https://wol.jw.org/en/wol/d/r1/lp-e/1001061229
https://wol.jw.org/en/wol/d/r1/lp-e/1101999023</t>
        </is>
      </c>
      <c r="AA495" s="7" t="n">
        <v>0</v>
      </c>
      <c r="AB495" s="7" t="n"/>
      <c r="AC495" s="7" t="n">
        <v>0</v>
      </c>
      <c r="AD495" s="7" t="n"/>
      <c r="AE495" s="7" t="n"/>
      <c r="AF495" s="7" t="inlineStr">
        <is>
          <t>b4-0131</t>
        </is>
      </c>
      <c r="AG495" s="7" t="n"/>
      <c r="AH495" s="7" t="n"/>
      <c r="AI495" s="7" t="n"/>
      <c r="AJ495" s="7" t="n"/>
      <c r="AK495" s="7" t="inlineStr">
        <is>
          <t>seven-heads-of-the-beast #15 (item); world-powers-daniel #16 (item)</t>
        </is>
      </c>
      <c r="AL495" s="7" t="inlineStr">
        <is>
          <t>jw.org gives no single end date for the Roman World Power. End sort_key 1763 is an ordering estimate only: dp chap. 10 says that by 1763 the British Empire had become the seventh world power.</t>
        </is>
      </c>
      <c r="AM495" s="7" t="n">
        <v>-30</v>
      </c>
      <c r="AN495" s="10" t="n"/>
      <c r="AO495" s="10" t="n"/>
      <c r="AP495" s="10" t="n"/>
      <c r="AQ495" s="10" t="n"/>
    </row>
    <row r="496">
      <c r="A496" s="7" t="inlineStr">
        <is>
          <t>b4-0132</t>
        </is>
      </c>
      <c r="B496" s="7" t="inlineStr">
        <is>
          <t>Point</t>
        </is>
      </c>
      <c r="C496" s="7" t="n"/>
      <c r="D496" s="7" t="inlineStr">
        <is>
          <t>27 B.C.E., January 16</t>
        </is>
      </c>
      <c r="E496" s="7" t="inlineStr">
        <is>
          <t>பொ.ச.மு. 27, ஜனவரி 16</t>
        </is>
      </c>
      <c r="F496" s="7" t="inlineStr">
        <is>
          <t>27 BCE</t>
        </is>
      </c>
      <c r="G496" s="7" t="inlineStr">
        <is>
          <t>Exact</t>
        </is>
      </c>
      <c r="H496" s="7" t="n"/>
      <c r="I496" s="7" t="n"/>
      <c r="J496" s="7" t="n"/>
      <c r="K496" s="2" t="inlineStr">
        <is>
          <t>Octavian given the title Augustus</t>
        </is>
      </c>
      <c r="L496" s="2" t="n"/>
      <c r="M496" s="7" t="inlineStr">
        <is>
          <t>The Roman Senate bestowed on Octavian the title 'Augustus'; he became the first emperor of Rome, known as Caesar Augustus, whose rule ran from 27 B.C.E. to 14 C.E.</t>
        </is>
      </c>
      <c r="N496" s="7" t="inlineStr">
        <is>
          <t>மேலும், பொ.ச.மு. 27, ஜனவரி 16 அன்று, பேரவை ஆக்டேவியனுக்கு “அகஸ்டஸ்” என்ற பட்டப்பெயர் சூட்டியது.</t>
        </is>
      </c>
      <c r="O496" s="8" t="inlineStr">
        <is>
          <t>Bible</t>
        </is>
      </c>
      <c r="P496" s="7" t="inlineStr">
        <is>
          <t>bible.intertestament</t>
        </is>
      </c>
      <c r="Q496" s="7" t="inlineStr">
        <is>
          <t>accession</t>
        </is>
      </c>
      <c r="R496" s="7" t="inlineStr">
        <is>
          <t>Augustus</t>
        </is>
      </c>
      <c r="S496" s="7" t="inlineStr">
        <is>
          <t>Rome</t>
        </is>
      </c>
      <c r="T496" s="7" t="inlineStr">
        <is>
          <t>Luke 2:1</t>
        </is>
      </c>
      <c r="U496" s="7" t="n"/>
      <c r="V496" s="7" t="n">
        <v>5</v>
      </c>
      <c r="W496" s="7" t="inlineStr">
        <is>
          <t>Augustus</t>
        </is>
      </c>
      <c r="X496" s="9" t="inlineStr">
        <is>
          <t>open</t>
        </is>
      </c>
      <c r="Y496" s="7" t="n"/>
      <c r="Z496" s="7" t="inlineStr">
        <is>
          <t>https://wol.jw.org/en/wol/d/r1/lp-e/1200000468
https://wol.jw.org/en/wol/d/r1/lp-e/1101999034
https://wol.jw.org/en/wol/d/r1/lp-e/1200000970
https://wol.jw.org/en/wol/d/r1/lp-e/1200003763
https://wol.jw.org/en/wol/d/r1/lp-e/1200000852</t>
        </is>
      </c>
      <c r="AA496" s="7" t="n">
        <v>0</v>
      </c>
      <c r="AB496" s="7" t="n"/>
      <c r="AC496" s="7" t="n">
        <v>1</v>
      </c>
      <c r="AD496" s="7" t="inlineStr">
        <is>
          <t>Insight 'Rome' gives Octavian's sole rule as 31 B.C.E.-14 C.E.; Insight 'Chronology' counts Augustus' rule from 27 B.C.E.</t>
        </is>
      </c>
      <c r="AE496" s="7" t="n"/>
      <c r="AF496" s="7" t="n"/>
      <c r="AG496" s="7" t="n"/>
      <c r="AH496" s="7" t="n"/>
      <c r="AI496" s="7" t="n"/>
      <c r="AJ496" s="7" t="n"/>
      <c r="AK496" s="7" t="n"/>
      <c r="AL496" s="7" t="n"/>
      <c r="AM496" s="7" t="n">
        <v>-26.96</v>
      </c>
      <c r="AN496" s="10" t="n"/>
      <c r="AO496" s="10" t="n"/>
      <c r="AP496" s="10" t="n"/>
      <c r="AQ496" s="10" t="n"/>
    </row>
    <row r="497">
      <c r="A497" s="7" t="inlineStr">
        <is>
          <t>b4-0133</t>
        </is>
      </c>
      <c r="B497" s="7" t="inlineStr">
        <is>
          <t>Point</t>
        </is>
      </c>
      <c r="C497" s="7" t="n"/>
      <c r="D497" s="7" t="inlineStr">
        <is>
          <t>27 B.C.E.</t>
        </is>
      </c>
      <c r="E497" s="7" t="n"/>
      <c r="F497" s="7" t="inlineStr">
        <is>
          <t>27 BCE</t>
        </is>
      </c>
      <c r="G497" s="7" t="inlineStr">
        <is>
          <t>Exact</t>
        </is>
      </c>
      <c r="H497" s="7" t="n"/>
      <c r="I497" s="7" t="n"/>
      <c r="J497" s="7" t="n"/>
      <c r="K497" s="2" t="inlineStr">
        <is>
          <t>Province of Achaia includes all southern and central Greece</t>
        </is>
      </c>
      <c r="L497" s="2" t="n"/>
      <c r="M497" s="7" t="inlineStr">
        <is>
          <t>By 27 B.C.E. the Roman province of Achaia came to include all of southern and central Greece.</t>
        </is>
      </c>
      <c r="N497" s="7" t="n"/>
      <c r="O497" s="8" t="inlineStr">
        <is>
          <t>Bible</t>
        </is>
      </c>
      <c r="P497" s="7" t="inlineStr">
        <is>
          <t>bible.intertestament</t>
        </is>
      </c>
      <c r="Q497" s="7" t="inlineStr">
        <is>
          <t>politics</t>
        </is>
      </c>
      <c r="R497" s="7" t="n"/>
      <c r="S497" s="7" t="inlineStr">
        <is>
          <t>Achaia; Greece</t>
        </is>
      </c>
      <c r="T497" s="7" t="inlineStr">
        <is>
          <t>Acts 19:21</t>
        </is>
      </c>
      <c r="U497" s="7" t="n"/>
      <c r="V497" s="7" t="n">
        <v>1</v>
      </c>
      <c r="W497" s="7" t="inlineStr">
        <is>
          <t>Greece, Greeks</t>
        </is>
      </c>
      <c r="X497" s="9" t="inlineStr">
        <is>
          <t>open</t>
        </is>
      </c>
      <c r="Y497" s="7" t="n"/>
      <c r="Z497" s="7" t="inlineStr">
        <is>
          <t>https://wol.jw.org/en/wol/d/r1/lp-e/1200001765</t>
        </is>
      </c>
      <c r="AA497" s="7" t="n">
        <v>0</v>
      </c>
      <c r="AB497" s="7" t="n"/>
      <c r="AC497" s="7" t="n">
        <v>0</v>
      </c>
      <c r="AD497" s="7" t="n"/>
      <c r="AE497" s="7" t="n"/>
      <c r="AF497" s="7" t="n"/>
      <c r="AG497" s="7" t="n"/>
      <c r="AH497" s="7" t="n"/>
      <c r="AI497" s="7" t="n"/>
      <c r="AJ497" s="7" t="n"/>
      <c r="AK497" s="7" t="n"/>
      <c r="AL497" s="7" t="n"/>
      <c r="AM497" s="7" t="n">
        <v>-26.95</v>
      </c>
      <c r="AN497" s="10" t="n"/>
      <c r="AO497" s="10" t="n"/>
      <c r="AP497" s="10" t="n"/>
      <c r="AQ497" s="10" t="n"/>
    </row>
    <row r="498">
      <c r="A498" s="7" t="inlineStr">
        <is>
          <t>b4-0134</t>
        </is>
      </c>
      <c r="B498" s="7" t="inlineStr">
        <is>
          <t>Point</t>
        </is>
      </c>
      <c r="C498" s="7" t="n"/>
      <c r="D498" s="7" t="inlineStr">
        <is>
          <t>18/17 B.C.E.</t>
        </is>
      </c>
      <c r="E498" s="7" t="n"/>
      <c r="F498" s="7" t="inlineStr">
        <is>
          <t>18 BCE</t>
        </is>
      </c>
      <c r="G498" s="7" t="inlineStr">
        <is>
          <t>Approx. (c.)</t>
        </is>
      </c>
      <c r="H498" s="7" t="n"/>
      <c r="I498" s="7" t="n"/>
      <c r="J498" s="7" t="n"/>
      <c r="K498" s="2" t="inlineStr">
        <is>
          <t>Herod begins rebuilding the temple</t>
        </is>
      </c>
      <c r="L498" s="2" t="n"/>
      <c r="M498" s="7" t="inlineStr">
        <is>
          <t>According to Josephus, Herod began rebuilding Zerubbabel's temple in the 18th year of his reign, which could mean 18/17 B.C.E. The sanctuary took 18 months and other main structures eight years, but work continued long after.</t>
        </is>
      </c>
      <c r="N498" s="7" t="n"/>
      <c r="O498" s="8" t="inlineStr">
        <is>
          <t>Bible</t>
        </is>
      </c>
      <c r="P498" s="7" t="inlineStr">
        <is>
          <t>bible.temple</t>
        </is>
      </c>
      <c r="Q498" s="7" t="inlineStr">
        <is>
          <t>construction</t>
        </is>
      </c>
      <c r="R498" s="7" t="inlineStr">
        <is>
          <t>Herod the Great</t>
        </is>
      </c>
      <c r="S498" s="7" t="inlineStr">
        <is>
          <t>Jerusalem</t>
        </is>
      </c>
      <c r="T498" s="7" t="inlineStr">
        <is>
          <t>John 2:20</t>
        </is>
      </c>
      <c r="U498" s="7" t="n"/>
      <c r="V498" s="7" t="n">
        <v>2</v>
      </c>
      <c r="W498" s="7" t="inlineStr">
        <is>
          <t>Herod</t>
        </is>
      </c>
      <c r="X498" s="9" t="inlineStr">
        <is>
          <t>open</t>
        </is>
      </c>
      <c r="Y498" s="7" t="n"/>
      <c r="Z498" s="7" t="inlineStr">
        <is>
          <t>https://wol.jw.org/en/wol/d/r1/lp-e/1200002000
https://wol.jw.org/en/wol/d/r1/lp-e/1200004359</t>
        </is>
      </c>
      <c r="AA498" s="7" t="n">
        <v>1</v>
      </c>
      <c r="AB498" s="9" t="inlineStr">
        <is>
          <t>open</t>
        </is>
      </c>
      <c r="AC498" s="7" t="n">
        <v>1</v>
      </c>
      <c r="AD498" s="7" t="inlineStr">
        <is>
          <t>Insight 'Temple' notes Josephus' Jewish War says the 15th year, while Jewish Antiquities says the 18th (the generally accepted figure).</t>
        </is>
      </c>
      <c r="AE498" s="7" t="n"/>
      <c r="AF498" s="7" t="n"/>
      <c r="AG498" s="7" t="n"/>
      <c r="AH498" s="7" t="n"/>
      <c r="AI498" s="7" t="inlineStr">
        <is>
          <t>Span endpoint – keep</t>
        </is>
      </c>
      <c r="AJ498" s="7" t="inlineStr">
        <is>
          <t>start of Herod’s rebuilding of the temple (b12-0041)</t>
        </is>
      </c>
      <c r="AK498" s="7" t="n"/>
      <c r="AL498" s="7" t="n"/>
      <c r="AM498" s="7" t="n">
        <v>-17.5</v>
      </c>
      <c r="AN498" s="10" t="n"/>
      <c r="AO498" s="10" t="n"/>
      <c r="AP498" s="10" t="n"/>
      <c r="AQ498" s="10" t="n"/>
    </row>
    <row r="499">
      <c r="A499" s="7" t="inlineStr">
        <is>
          <t>b12-0041</t>
        </is>
      </c>
      <c r="B499" s="11" t="inlineStr">
        <is>
          <t>Span</t>
        </is>
      </c>
      <c r="C499" s="7" t="inlineStr">
        <is>
          <t>construction</t>
        </is>
      </c>
      <c r="D499" s="7" t="inlineStr">
        <is>
          <t>18/17 B.C.E.–c. 64 C.E.</t>
        </is>
      </c>
      <c r="E499" s="7" t="n"/>
      <c r="F499" s="7" t="inlineStr">
        <is>
          <t>18 BCE</t>
        </is>
      </c>
      <c r="G499" s="7" t="inlineStr">
        <is>
          <t>Between (one moment in a window)</t>
        </is>
      </c>
      <c r="H499" s="7" t="inlineStr">
        <is>
          <t>64 CE</t>
        </is>
      </c>
      <c r="I499" s="7" t="inlineStr">
        <is>
          <t>Approx. (c.)</t>
        </is>
      </c>
      <c r="J499" s="7" t="inlineStr">
        <is>
          <t>46 years by 30 C.E. (John 2:20)</t>
        </is>
      </c>
      <c r="K499" s="2" t="inlineStr">
        <is>
          <t>Herod’s rebuilding of the temple</t>
        </is>
      </c>
      <c r="L499" s="2" t="n"/>
      <c r="M499" s="7" t="inlineStr">
        <is>
          <t>Herod began rebuilding Zerubbabel’s temple in the 18th year of his reign; the sanctuary took 18 months, but work on the courts and buildings went on for decades and was finished only a few years before the Romans destroyed the temple.</t>
        </is>
      </c>
      <c r="N499" s="7" t="n"/>
      <c r="O499" s="8" t="inlineStr">
        <is>
          <t>Bible</t>
        </is>
      </c>
      <c r="P499" s="7" t="inlineStr">
        <is>
          <t>bible.temple</t>
        </is>
      </c>
      <c r="Q499" s="7" t="n"/>
      <c r="R499" s="7" t="inlineStr">
        <is>
          <t>Herod the Great</t>
        </is>
      </c>
      <c r="S499" s="7" t="inlineStr">
        <is>
          <t>Jerusalem</t>
        </is>
      </c>
      <c r="T499" s="7" t="inlineStr">
        <is>
          <t>John 2:20</t>
        </is>
      </c>
      <c r="U499" s="7" t="inlineStr">
        <is>
          <t>யோவா. 2:20</t>
        </is>
      </c>
      <c r="V499" s="7" t="n">
        <v>3</v>
      </c>
      <c r="W499" s="7" t="inlineStr">
        <is>
          <t>Herod</t>
        </is>
      </c>
      <c r="X499" s="9" t="inlineStr">
        <is>
          <t>open</t>
        </is>
      </c>
      <c r="Y499" s="7" t="n"/>
      <c r="Z499" s="7" t="inlineStr">
        <is>
          <t>https://wol.jw.org/en/wol/d/r1/lp-e/1200002000
https://wol.jw.org/en/wol/d/r1/lp-e/1200004359
https://wol.jw.org/en/wol/d/r1/lp-e/1200004359</t>
        </is>
      </c>
      <c r="AA499" s="7" t="n">
        <v>0</v>
      </c>
      <c r="AB499" s="7" t="n"/>
      <c r="AC499" s="7" t="n">
        <v>0</v>
      </c>
      <c r="AD499" s="7" t="n"/>
      <c r="AE499" s="7" t="inlineStr">
        <is>
          <t>Insight “Temple” says the work “was not finished until about six years before the destruction of the temple in 70 C.E.”; the end is shown as c. 64 C.E. (70 − 6). No jw.org page prints 64.</t>
        </is>
      </c>
      <c r="AF499" s="7" t="inlineStr">
        <is>
          <t>b4-0134</t>
        </is>
      </c>
      <c r="AG499" s="7" t="n"/>
      <c r="AH499" s="7" t="n"/>
      <c r="AI499" s="7" t="n"/>
      <c r="AJ499" s="7" t="n"/>
      <c r="AK499" s="7" t="n"/>
      <c r="AL499" s="7" t="n"/>
      <c r="AM499" s="7" t="n">
        <v>-17.5</v>
      </c>
      <c r="AN499" s="10" t="n"/>
      <c r="AO499" s="10" t="n"/>
      <c r="AP499" s="10" t="n"/>
      <c r="AQ499" s="10" t="n"/>
    </row>
    <row r="500">
      <c r="A500" s="7" t="inlineStr">
        <is>
          <t>b4-0135</t>
        </is>
      </c>
      <c r="B500" s="7" t="inlineStr">
        <is>
          <t>Point</t>
        </is>
      </c>
      <c r="C500" s="7" t="n"/>
      <c r="D500" s="7" t="inlineStr">
        <is>
          <t>12 B.C.E.</t>
        </is>
      </c>
      <c r="E500" s="7" t="n"/>
      <c r="F500" s="7" t="inlineStr">
        <is>
          <t>12 BCE</t>
        </is>
      </c>
      <c r="G500" s="7" t="inlineStr">
        <is>
          <t>Exact</t>
        </is>
      </c>
      <c r="H500" s="7" t="n"/>
      <c r="I500" s="7" t="n"/>
      <c r="J500" s="7" t="n"/>
      <c r="K500" s="2" t="inlineStr">
        <is>
          <t>Augustus becomes Pontifex Maximus</t>
        </is>
      </c>
      <c r="L500" s="2" t="n"/>
      <c r="M500" s="7" t="inlineStr">
        <is>
          <t>After the death of Lepidus, Augustus assumed the title 'Pontifex Maximus' (high priest).</t>
        </is>
      </c>
      <c r="N500" s="7" t="n"/>
      <c r="O500" s="8" t="inlineStr">
        <is>
          <t>Bible</t>
        </is>
      </c>
      <c r="P500" s="7" t="inlineStr">
        <is>
          <t>bible.intertestament</t>
        </is>
      </c>
      <c r="Q500" s="7" t="inlineStr">
        <is>
          <t>title</t>
        </is>
      </c>
      <c r="R500" s="7" t="inlineStr">
        <is>
          <t>Augustus; Lepidus</t>
        </is>
      </c>
      <c r="S500" s="7" t="inlineStr">
        <is>
          <t>Rome</t>
        </is>
      </c>
      <c r="T500" s="7" t="n"/>
      <c r="U500" s="7" t="n"/>
      <c r="V500" s="7" t="n">
        <v>1</v>
      </c>
      <c r="W500" s="7" t="inlineStr">
        <is>
          <t>Augustus</t>
        </is>
      </c>
      <c r="X500" s="9" t="inlineStr">
        <is>
          <t>open</t>
        </is>
      </c>
      <c r="Y500" s="7" t="n"/>
      <c r="Z500" s="7" t="inlineStr">
        <is>
          <t>https://wol.jw.org/en/wol/d/r1/lp-e/1200000468</t>
        </is>
      </c>
      <c r="AA500" s="7" t="n">
        <v>0</v>
      </c>
      <c r="AB500" s="7" t="n"/>
      <c r="AC500" s="7" t="n">
        <v>0</v>
      </c>
      <c r="AD500" s="7" t="n"/>
      <c r="AE500" s="7" t="n"/>
      <c r="AF500" s="7" t="n"/>
      <c r="AG500" s="7" t="n"/>
      <c r="AH500" s="7" t="n"/>
      <c r="AI500" s="7" t="n"/>
      <c r="AJ500" s="7" t="n"/>
      <c r="AK500" s="7" t="n"/>
      <c r="AL500" s="7" t="n"/>
      <c r="AM500" s="7" t="n">
        <v>-12</v>
      </c>
      <c r="AN500" s="10" t="n"/>
      <c r="AO500" s="10" t="n"/>
      <c r="AP500" s="10" t="n"/>
      <c r="AQ500" s="10" t="n"/>
    </row>
    <row r="501">
      <c r="A501" s="7" t="inlineStr">
        <is>
          <t>b5-0001</t>
        </is>
      </c>
      <c r="B501" s="7" t="inlineStr">
        <is>
          <t>Point</t>
        </is>
      </c>
      <c r="C501" s="7" t="n"/>
      <c r="D501" s="7" t="inlineStr">
        <is>
          <t>3 B.C.E.</t>
        </is>
      </c>
      <c r="E501" s="7" t="inlineStr">
        <is>
          <t>கி.மு. 3</t>
        </is>
      </c>
      <c r="F501" s="7" t="inlineStr">
        <is>
          <t>3 BCE</t>
        </is>
      </c>
      <c r="G501" s="7" t="inlineStr">
        <is>
          <t>Exact</t>
        </is>
      </c>
      <c r="H501" s="7" t="n"/>
      <c r="I501" s="7" t="n"/>
      <c r="J501" s="7" t="n"/>
      <c r="K501" s="2" t="inlineStr">
        <is>
          <t>Angel Gabriel foretells the birth of John the Baptist to Zechariah</t>
        </is>
      </c>
      <c r="L501" s="2" t="inlineStr">
        <is>
          <t>யோவான் ஸ்நானகருடைய பிறப்பைப் பற்றி காபிரியேல் தூதர் சகரியாவிடம் முன்னறிவிக்கிறார்</t>
        </is>
      </c>
      <c r="M501" s="7" t="inlineStr">
        <is>
          <t>Angel Gabriel foretells the birth of John the Baptist to Zechariah. The place is given as Jerusalem, temple. NWT Study Edition Appendix A7-A (“Leading Up to Jesus’ Ministry”) dates this to 3 B.C.E..</t>
        </is>
      </c>
      <c r="N501" s="7" t="inlineStr">
        <is>
          <t>யோவான் ஸ்நானகருடைய பிறப்பைப் பற்றி காபிரியேல் தூதர் சகரியாவிடம் முன்னறிவிக்கிறார் — எருசலேம், ஆலயம்</t>
        </is>
      </c>
      <c r="O501" s="8" t="inlineStr">
        <is>
          <t>Bible</t>
        </is>
      </c>
      <c r="P501" s="7" t="inlineStr">
        <is>
          <t>bible.jesus</t>
        </is>
      </c>
      <c r="Q501" s="7" t="inlineStr">
        <is>
          <t>annunciation</t>
        </is>
      </c>
      <c r="R501" s="7" t="inlineStr">
        <is>
          <t>Gabriel; Zechariah; John the Baptist</t>
        </is>
      </c>
      <c r="S501" s="7" t="inlineStr">
        <is>
          <t>Jerusalem (temple)</t>
        </is>
      </c>
      <c r="T501" s="7" t="inlineStr">
        <is>
          <t>Luke 1:5-25</t>
        </is>
      </c>
      <c r="U501" s="7" t="inlineStr">
        <is>
          <t>லூக் 1:5-25</t>
        </is>
      </c>
      <c r="V501" s="7" t="n">
        <v>5</v>
      </c>
      <c r="W501" s="7" t="inlineStr">
        <is>
          <t>A7-A Main Events of Jesus’ Earthly Life—Leading Up to Jesus’ Ministry</t>
        </is>
      </c>
      <c r="X501" s="9" t="inlineStr">
        <is>
          <t>open</t>
        </is>
      </c>
      <c r="Y501" s="9" t="inlineStr">
        <is>
          <t>open</t>
        </is>
      </c>
      <c r="Z501" s="7" t="inlineStr">
        <is>
          <t>https://wol.jw.org/en/wol/d/r1/lp-e/1001070207
https://wol.jw.org/en/wol/d/r1/lp-e/1001061207
https://wol.jw.org/en/wol/d/r1/lp-e/1200002451
https://wol.jw.org/en/wol/d/r1/lp-e/1101990130
https://wol.jw.org/en/wol/d/r1/lp-e/1200004681</t>
        </is>
      </c>
      <c r="AA501" s="7" t="n">
        <v>2</v>
      </c>
      <c r="AB501" s="9" t="inlineStr">
        <is>
          <t>open</t>
        </is>
      </c>
      <c r="AC501" s="7" t="n">
        <v>1</v>
      </c>
      <c r="AD501" s="7" t="inlineStr">
        <is>
          <t>Wording in pre-2013 Insight chart (it-2 'Jesus Christ', par 124): “Birth of John the Baptizer foretold to Zechariah”.</t>
        </is>
      </c>
      <c r="AE501" s="7" t="n"/>
      <c r="AF501" s="7" t="n"/>
      <c r="AG501" s="7" t="n"/>
      <c r="AH501" s="7" t="n"/>
      <c r="AI501" s="7" t="n"/>
      <c r="AJ501" s="7" t="n"/>
      <c r="AK501" s="7" t="n"/>
      <c r="AL501" s="7" t="n"/>
      <c r="AM501" s="7" t="n">
        <v>-2.5</v>
      </c>
      <c r="AN501" s="10" t="n"/>
      <c r="AO501" s="10" t="n"/>
      <c r="AP501" s="10" t="n"/>
      <c r="AQ501" s="10" t="n"/>
    </row>
    <row r="502">
      <c r="A502" s="7" t="inlineStr">
        <is>
          <t>b4-0137</t>
        </is>
      </c>
      <c r="B502" s="7" t="inlineStr">
        <is>
          <t>Point</t>
        </is>
      </c>
      <c r="C502" s="7" t="n"/>
      <c r="D502" s="7" t="inlineStr">
        <is>
          <t>2 B.C.E.</t>
        </is>
      </c>
      <c r="E502" s="7" t="inlineStr">
        <is>
          <t>பொ.ச.மு. 2</t>
        </is>
      </c>
      <c r="F502" s="7" t="inlineStr">
        <is>
          <t>2 BCE</t>
        </is>
      </c>
      <c r="G502" s="7" t="inlineStr">
        <is>
          <t>Exact</t>
        </is>
      </c>
      <c r="H502" s="7" t="n"/>
      <c r="I502" s="7" t="n"/>
      <c r="J502" s="7" t="n"/>
      <c r="K502" s="2" t="inlineStr">
        <is>
          <t>Augustus given the title 'Father of His Country'</t>
        </is>
      </c>
      <c r="L502" s="2" t="n"/>
      <c r="M502" s="7" t="inlineStr">
        <is>
          <t>In 2 B.C.E., the year of Jesus' birth, the Roman Senate gave Augustus the title Pater Patriae.</t>
        </is>
      </c>
      <c r="N502" s="7" t="inlineStr">
        <is>
          <t>பொ.ச.மு. 2-ல், அதாவது இயேசு பிறந்த வருடத்தில், பேரவை அவருக்கு “தன் நாட்டின் தந்தை” என அர்த்தப்படுத்தும் பாடர் பாட்ரியை என்ற பட்டம் சூட்டியது.</t>
        </is>
      </c>
      <c r="O502" s="8" t="inlineStr">
        <is>
          <t>Bible</t>
        </is>
      </c>
      <c r="P502" s="7" t="inlineStr">
        <is>
          <t>bible.intertestament</t>
        </is>
      </c>
      <c r="Q502" s="7" t="inlineStr">
        <is>
          <t>title</t>
        </is>
      </c>
      <c r="R502" s="7" t="inlineStr">
        <is>
          <t>Augustus</t>
        </is>
      </c>
      <c r="S502" s="7" t="inlineStr">
        <is>
          <t>Rome</t>
        </is>
      </c>
      <c r="T502" s="7" t="n"/>
      <c r="U502" s="7" t="n"/>
      <c r="V502" s="7" t="n">
        <v>1</v>
      </c>
      <c r="W502" s="7" t="inlineStr">
        <is>
          <t>The Two Kings Change Identities</t>
        </is>
      </c>
      <c r="X502" s="9" t="inlineStr">
        <is>
          <t>open</t>
        </is>
      </c>
      <c r="Y502" s="9" t="inlineStr">
        <is>
          <t>open</t>
        </is>
      </c>
      <c r="Z502" s="7" t="inlineStr">
        <is>
          <t>https://wol.jw.org/en/wol/d/r1/lp-e/1101999034</t>
        </is>
      </c>
      <c r="AA502" s="7" t="n">
        <v>0</v>
      </c>
      <c r="AB502" s="7" t="n"/>
      <c r="AC502" s="7" t="n">
        <v>0</v>
      </c>
      <c r="AD502" s="7" t="n"/>
      <c r="AE502" s="7" t="n"/>
      <c r="AF502" s="7" t="n"/>
      <c r="AG502" s="7" t="n"/>
      <c r="AH502" s="7" t="n"/>
      <c r="AI502" s="7" t="n"/>
      <c r="AJ502" s="7" t="n"/>
      <c r="AK502" s="7" t="n"/>
      <c r="AL502" s="7" t="inlineStr">
        <is>
          <t>Outside strict 3 B.C.E. scope; included as Roman emperor event dated on jw.org.</t>
        </is>
      </c>
      <c r="AM502" s="7" t="n">
        <v>-2</v>
      </c>
      <c r="AN502" s="10" t="n"/>
      <c r="AO502" s="10" t="n"/>
      <c r="AP502" s="10" t="n"/>
      <c r="AQ502" s="10" t="n"/>
    </row>
    <row r="503">
      <c r="A503" s="7" t="inlineStr">
        <is>
          <t>b5-0002</t>
        </is>
      </c>
      <c r="B503" s="7" t="inlineStr">
        <is>
          <t>Point</t>
        </is>
      </c>
      <c r="C503" s="7" t="n"/>
      <c r="D503" s="7" t="inlineStr">
        <is>
          <t>c. 2 B.C.E.</t>
        </is>
      </c>
      <c r="E503" s="7" t="inlineStr">
        <is>
          <t>சுமார் கி.மு. 2</t>
        </is>
      </c>
      <c r="F503" s="7" t="inlineStr">
        <is>
          <t>2 BCE</t>
        </is>
      </c>
      <c r="G503" s="7" t="inlineStr">
        <is>
          <t>Approx. (c.)</t>
        </is>
      </c>
      <c r="H503" s="7" t="n"/>
      <c r="I503" s="7" t="n"/>
      <c r="J503" s="7" t="n"/>
      <c r="K503" s="2" t="inlineStr">
        <is>
          <t>Angel Gabriel foretells the birth of Jesus to Mary</t>
        </is>
      </c>
      <c r="L503" s="2" t="inlineStr">
        <is>
          <t>இயேசுவின் பிறப்பைப் பற்றி காபிரியேல் தூதர் மரியாளிடம் முன்னறிவிக்கிறார்</t>
        </is>
      </c>
      <c r="M503" s="7" t="inlineStr">
        <is>
          <t>Angel Gabriel foretells the birth of Jesus to Mary. The place is given as Nazareth; Judea. NWT Study Edition Appendix A7-A (“Leading Up to Jesus’ Ministry”) dates this to c. 2 B.C.E.; the source row combines it with related events (“Angel Gabriel foretells the birth of Jesus to Mary; she visits her relative Elizabeth”).</t>
        </is>
      </c>
      <c r="N503" s="7" t="inlineStr">
        <is>
          <t>இயேசுவின் பிறப்பைப் பற்றி காபிரியேல் தூதர் மரியாளிடம் முன்னறிவிக்கிறார்; மரியாள் தன் சொந்தக்காரப் பெண்ணாகிய எலிசபெத்தைச் சந்திக்கிறாள் — நாசரேத்; யூதேயா</t>
        </is>
      </c>
      <c r="O503" s="8" t="inlineStr">
        <is>
          <t>Bible</t>
        </is>
      </c>
      <c r="P503" s="7" t="inlineStr">
        <is>
          <t>bible.jesus</t>
        </is>
      </c>
      <c r="Q503" s="7" t="inlineStr">
        <is>
          <t>annunciation</t>
        </is>
      </c>
      <c r="R503" s="7" t="inlineStr">
        <is>
          <t>Jesus; Gabriel; Mary</t>
        </is>
      </c>
      <c r="S503" s="7" t="inlineStr">
        <is>
          <t>Nazareth</t>
        </is>
      </c>
      <c r="T503" s="7" t="inlineStr">
        <is>
          <t>Luke 1:26-56</t>
        </is>
      </c>
      <c r="U503" s="7" t="inlineStr">
        <is>
          <t>லூக் 1:26-56</t>
        </is>
      </c>
      <c r="V503" s="7" t="n">
        <v>3</v>
      </c>
      <c r="W503" s="7" t="inlineStr">
        <is>
          <t>A7-A Main Events of Jesus’ Earthly Life—Leading Up to Jesus’ Ministry</t>
        </is>
      </c>
      <c r="X503" s="9" t="inlineStr">
        <is>
          <t>open</t>
        </is>
      </c>
      <c r="Y503" s="9" t="inlineStr">
        <is>
          <t>open</t>
        </is>
      </c>
      <c r="Z503" s="7" t="inlineStr">
        <is>
          <t>https://wol.jw.org/en/wol/d/r1/lp-e/1001070207
https://wol.jw.org/en/wol/d/r1/lp-e/1001061207
https://wol.jw.org/en/wol/d/r1/lp-e/1200002451</t>
        </is>
      </c>
      <c r="AA503" s="7" t="n">
        <v>1</v>
      </c>
      <c r="AB503" s="9" t="inlineStr">
        <is>
          <t>open</t>
        </is>
      </c>
      <c r="AC503" s="7" t="n">
        <v>1</v>
      </c>
      <c r="AD503" s="7" t="inlineStr">
        <is>
          <t>Wording in pre-2013 Insight chart (it-2 'Jesus Christ', par 131): “Birth of Jesus foretold to Mary, who visits Elizabeth”.</t>
        </is>
      </c>
      <c r="AE503" s="7" t="n"/>
      <c r="AF503" s="7" t="n"/>
      <c r="AG503" s="7" t="n"/>
      <c r="AH503" s="7" t="n"/>
      <c r="AI503" s="7" t="n"/>
      <c r="AJ503" s="7" t="n"/>
      <c r="AK503" s="7" t="inlineStr">
        <is>
          <t>covenants #12 (context)</t>
        </is>
      </c>
      <c r="AL503" s="7" t="inlineStr">
        <is>
          <t>A7 row #2 split into 2 events; scripture references cover the whole source row.</t>
        </is>
      </c>
      <c r="AM503" s="7" t="n">
        <v>-1.95</v>
      </c>
      <c r="AN503" s="10" t="n"/>
      <c r="AO503" s="10" t="n"/>
      <c r="AP503" s="10" t="n"/>
      <c r="AQ503" s="10" t="n"/>
    </row>
    <row r="504">
      <c r="A504" s="7" t="inlineStr">
        <is>
          <t>b5-0003</t>
        </is>
      </c>
      <c r="B504" s="7" t="inlineStr">
        <is>
          <t>Point</t>
        </is>
      </c>
      <c r="C504" s="7" t="n"/>
      <c r="D504" s="7" t="inlineStr">
        <is>
          <t>c. 2 B.C.E.</t>
        </is>
      </c>
      <c r="E504" s="7" t="inlineStr">
        <is>
          <t>சுமார் கி.மு. 2</t>
        </is>
      </c>
      <c r="F504" s="7" t="inlineStr">
        <is>
          <t>2 BCE</t>
        </is>
      </c>
      <c r="G504" s="7" t="inlineStr">
        <is>
          <t>Approx. (c.)</t>
        </is>
      </c>
      <c r="H504" s="7" t="n"/>
      <c r="I504" s="7" t="n"/>
      <c r="J504" s="7" t="n"/>
      <c r="K504" s="2" t="inlineStr">
        <is>
          <t>Mary visits her relative Elizabeth</t>
        </is>
      </c>
      <c r="L504" s="2" t="inlineStr">
        <is>
          <t>மரியாள் தன் சொந்தக்காரப் பெண்ணாகிய எலிசபெத்தைச் சந்திக்கிறாள்</t>
        </is>
      </c>
      <c r="M504" s="7" t="inlineStr">
        <is>
          <t>Mary visits her relative Elizabeth. The place is given as Nazareth; Judea. NWT Study Edition Appendix A7-A (“Leading Up to Jesus’ Ministry”) dates this to c. 2 B.C.E.; the source row combines it with related events (“Angel Gabriel foretells the birth of Jesus to Mary; she visits her relative Elizabeth”).</t>
        </is>
      </c>
      <c r="N504" s="7" t="inlineStr">
        <is>
          <t>இயேசுவின் பிறப்பைப் பற்றி காபிரியேல் தூதர் மரியாளிடம் முன்னறிவிக்கிறார்; மரியாள் தன் சொந்தக்காரப் பெண்ணாகிய எலிசபெத்தைச் சந்திக்கிறாள் — நாசரேத்; யூதேயா</t>
        </is>
      </c>
      <c r="O504" s="8" t="inlineStr">
        <is>
          <t>Bible</t>
        </is>
      </c>
      <c r="P504" s="7" t="inlineStr">
        <is>
          <t>bible.jesus</t>
        </is>
      </c>
      <c r="Q504" s="7" t="inlineStr">
        <is>
          <t>visit</t>
        </is>
      </c>
      <c r="R504" s="7" t="inlineStr">
        <is>
          <t>Jesus; Mary; Elizabeth</t>
        </is>
      </c>
      <c r="S504" s="7" t="inlineStr">
        <is>
          <t>Judea</t>
        </is>
      </c>
      <c r="T504" s="7" t="inlineStr">
        <is>
          <t>Luke 1:26-56</t>
        </is>
      </c>
      <c r="U504" s="7" t="inlineStr">
        <is>
          <t>லூக் 1:26-56</t>
        </is>
      </c>
      <c r="V504" s="7" t="n">
        <v>3</v>
      </c>
      <c r="W504" s="7" t="inlineStr">
        <is>
          <t>A7-A Main Events of Jesus’ Earthly Life—Leading Up to Jesus’ Ministry</t>
        </is>
      </c>
      <c r="X504" s="9" t="inlineStr">
        <is>
          <t>open</t>
        </is>
      </c>
      <c r="Y504" s="9" t="inlineStr">
        <is>
          <t>open</t>
        </is>
      </c>
      <c r="Z504" s="7" t="inlineStr">
        <is>
          <t>https://wol.jw.org/en/wol/d/r1/lp-e/1001070207
https://wol.jw.org/en/wol/d/r1/lp-e/1001061207
https://wol.jw.org/en/wol/d/r1/lp-e/1200002451</t>
        </is>
      </c>
      <c r="AA504" s="7" t="n">
        <v>1</v>
      </c>
      <c r="AB504" s="9" t="inlineStr">
        <is>
          <t>open</t>
        </is>
      </c>
      <c r="AC504" s="7" t="n">
        <v>1</v>
      </c>
      <c r="AD504" s="7" t="inlineStr">
        <is>
          <t>Wording in pre-2013 Insight chart (it-2 'Jesus Christ', par 131): “Birth of Jesus foretold to Mary, who visits Elizabeth”.</t>
        </is>
      </c>
      <c r="AE504" s="7" t="n"/>
      <c r="AF504" s="7" t="n"/>
      <c r="AG504" s="7" t="n"/>
      <c r="AH504" s="7" t="n"/>
      <c r="AI504" s="7" t="n"/>
      <c r="AJ504" s="7" t="n"/>
      <c r="AK504" s="7" t="n"/>
      <c r="AL504" s="7" t="inlineStr">
        <is>
          <t>A7 row #2 split into 2 events; scripture references cover the whole source row.</t>
        </is>
      </c>
      <c r="AM504" s="7" t="n">
        <v>-1.949</v>
      </c>
      <c r="AN504" s="10" t="n"/>
      <c r="AO504" s="10" t="n"/>
      <c r="AP504" s="10" t="n"/>
      <c r="AQ504" s="10" t="n"/>
    </row>
    <row r="505">
      <c r="A505" s="7" t="inlineStr">
        <is>
          <t>b5-0004</t>
        </is>
      </c>
      <c r="B505" s="7" t="inlineStr">
        <is>
          <t>Point</t>
        </is>
      </c>
      <c r="C505" s="7" t="n"/>
      <c r="D505" s="7" t="inlineStr">
        <is>
          <t>2 B.C.E.</t>
        </is>
      </c>
      <c r="E505" s="7" t="inlineStr">
        <is>
          <t>கி.மு. 2</t>
        </is>
      </c>
      <c r="F505" s="7" t="inlineStr">
        <is>
          <t>2 BCE</t>
        </is>
      </c>
      <c r="G505" s="7" t="inlineStr">
        <is>
          <t>Exact</t>
        </is>
      </c>
      <c r="H505" s="7" t="n"/>
      <c r="I505" s="7" t="n"/>
      <c r="J505" s="7" t="n"/>
      <c r="K505" s="2" t="inlineStr">
        <is>
          <t>John the Baptist born and named</t>
        </is>
      </c>
      <c r="L505" s="2" t="inlineStr">
        <is>
          <t>யோவான் ஸ்நானகர் பிறக்கிறார், அவருக்குப் பெயர் வைக்கப்படுகிறது</t>
        </is>
      </c>
      <c r="M505" s="7" t="inlineStr">
        <is>
          <t>John the Baptist born and named. The place is given as Judean hill country. NWT Study Edition Appendix A7-A (“Leading Up to Jesus’ Ministry”) dates this to 2 B.C.E.; the source row combines it with related events (“John the Baptist born and named; Zechariah prophesies; John to be in desert”).</t>
        </is>
      </c>
      <c r="N505" s="7" t="inlineStr">
        <is>
          <t>யோவான் ஸ்நானகர் பிறக்கிறார், அவருக்குப் பெயர் வைக்கப்படுகிறது; சகரியா தீர்க்கதரிசனம் சொல்கிறார்; யோவான் வனாந்தரத்தில் வாழ்வார் — யூதேய மலைப்பிரதேசம்</t>
        </is>
      </c>
      <c r="O505" s="8" t="inlineStr">
        <is>
          <t>Bible</t>
        </is>
      </c>
      <c r="P505" s="7" t="inlineStr">
        <is>
          <t>bible.jesus</t>
        </is>
      </c>
      <c r="Q505" s="7" t="inlineStr">
        <is>
          <t>birth</t>
        </is>
      </c>
      <c r="R505" s="7" t="inlineStr">
        <is>
          <t>John the Baptist</t>
        </is>
      </c>
      <c r="S505" s="7" t="inlineStr">
        <is>
          <t>Judean hill country</t>
        </is>
      </c>
      <c r="T505" s="7" t="inlineStr">
        <is>
          <t>Luke 1:57-80</t>
        </is>
      </c>
      <c r="U505" s="7" t="inlineStr">
        <is>
          <t>லூக் 1:57-80</t>
        </is>
      </c>
      <c r="V505" s="7" t="n">
        <v>5</v>
      </c>
      <c r="W505" s="7" t="inlineStr">
        <is>
          <t>A7-A Main Events of Jesus’ Earthly Life—Leading Up to Jesus’ Ministry</t>
        </is>
      </c>
      <c r="X505" s="9" t="inlineStr">
        <is>
          <t>open</t>
        </is>
      </c>
      <c r="Y505" s="9" t="inlineStr">
        <is>
          <t>open</t>
        </is>
      </c>
      <c r="Z505" s="7" t="inlineStr">
        <is>
          <t>https://wol.jw.org/en/wol/d/r1/lp-e/1001070207
https://wol.jw.org/en/wol/d/r1/lp-e/1001061207
https://wol.jw.org/en/wol/d/r1/lp-e/1200002451
https://wol.jw.org/en/wol/d/r1/lp-e/1200002451
https://wol.jw.org/en/wol/d/r1/lp-e/1101990130</t>
        </is>
      </c>
      <c r="AA505" s="7" t="n">
        <v>1</v>
      </c>
      <c r="AB505" s="9" t="inlineStr">
        <is>
          <t>open</t>
        </is>
      </c>
      <c r="AC505" s="7" t="n">
        <v>2</v>
      </c>
      <c r="AD505" s="7" t="inlineStr">
        <is>
          <t>Wording in pre-2013 Insight chart (it-2 'Jesus Christ', par 138): “Birth of John the Baptizer; later, his desert life”. | Insight “Jesus Christ” (par 39, 45) narrows John’s birth to spring 2 B.C.E. (A7-A gives only “2 B.C.E.”); par 39 gives the window latter half of 3 B.C.E. to Aug./Sept. 2 B.C.E.</t>
        </is>
      </c>
      <c r="AE505" s="7" t="n"/>
      <c r="AF505" s="7" t="n"/>
      <c r="AG505" s="7" t="n"/>
      <c r="AH505" s="7" t="n"/>
      <c r="AI505" s="7" t="inlineStr">
        <is>
          <t>Span endpoint – keep</t>
        </is>
      </c>
      <c r="AJ505" s="7" t="inlineStr">
        <is>
          <t>start of Life of John the Baptist (d1-0023)</t>
        </is>
      </c>
      <c r="AK505" s="7" t="n"/>
      <c r="AL505" s="7" t="inlineStr">
        <is>
          <t>A7 row #3 split into 2 events; scripture references cover the whole source row.</t>
        </is>
      </c>
      <c r="AM505" s="7" t="n">
        <v>-1.7</v>
      </c>
      <c r="AN505" s="10" t="n"/>
      <c r="AO505" s="10" t="n"/>
      <c r="AP505" s="10" t="n"/>
      <c r="AQ505" s="10" t="n"/>
    </row>
    <row r="506">
      <c r="A506" s="7" t="inlineStr">
        <is>
          <t>d1-0023</t>
        </is>
      </c>
      <c r="B506" s="11" t="inlineStr">
        <is>
          <t>Span</t>
        </is>
      </c>
      <c r="C506" s="7" t="inlineStr">
        <is>
          <t>lifespan</t>
        </is>
      </c>
      <c r="D506" s="7" t="inlineStr">
        <is>
          <t>2 B.C.E. – 31 or 32 C.E.</t>
        </is>
      </c>
      <c r="E506" s="7" t="inlineStr">
        <is>
          <t>கி.மு. 2 – கி.பி. 31 அல்லது 32</t>
        </is>
      </c>
      <c r="F506" s="7" t="inlineStr">
        <is>
          <t>2 BCE</t>
        </is>
      </c>
      <c r="G506" s="7" t="inlineStr">
        <is>
          <t>Exact</t>
        </is>
      </c>
      <c r="H506" s="7" t="inlineStr">
        <is>
          <t>31 CE</t>
        </is>
      </c>
      <c r="I506" s="7" t="inlineStr">
        <is>
          <t>Between (one moment in a window)</t>
        </is>
      </c>
      <c r="J506" s="7" t="inlineStr">
        <is>
          <t>c. 32 years</t>
        </is>
      </c>
      <c r="K506" s="2" t="inlineStr">
        <is>
          <t>Life of John the Baptist</t>
        </is>
      </c>
      <c r="L506" s="2" t="n"/>
      <c r="M506" s="7" t="inlineStr">
        <is>
          <t>John the Baptist: from John the Baptist born and named (2 B.C.E.) to Herod beheads John the Baptist (31 or 32 C.E.). Dates as given in the cited jw.org publications.</t>
        </is>
      </c>
      <c r="N506" s="7" t="n"/>
      <c r="O506" s="8" t="inlineStr">
        <is>
          <t>Bible</t>
        </is>
      </c>
      <c r="P506" s="7" t="inlineStr">
        <is>
          <t>bible.jesus</t>
        </is>
      </c>
      <c r="Q506" s="7" t="inlineStr">
        <is>
          <t>lifespan</t>
        </is>
      </c>
      <c r="R506" s="7" t="inlineStr">
        <is>
          <t>John the Baptist</t>
        </is>
      </c>
      <c r="S506" s="7" t="inlineStr">
        <is>
          <t>Judean hill country; Tiberias</t>
        </is>
      </c>
      <c r="T506" s="7" t="inlineStr">
        <is>
          <t>Luke 1:57-80; Matt. 14:1-12; Mark 6:14-29; Luke 9:7-9</t>
        </is>
      </c>
      <c r="U506" s="7" t="inlineStr">
        <is>
          <t>லூக் 1:57-80; மத் 14:1-12; மாற் 6:14-29; லூக் 9:7-9</t>
        </is>
      </c>
      <c r="V506" s="7" t="n">
        <v>6</v>
      </c>
      <c r="W506" s="7" t="inlineStr">
        <is>
          <t>A7-A Main Events of Jesus’ Earthly Life—Leading Up to Jesus’ Ministry</t>
        </is>
      </c>
      <c r="X506" s="9" t="inlineStr">
        <is>
          <t>open</t>
        </is>
      </c>
      <c r="Y506" s="9" t="inlineStr">
        <is>
          <t>open</t>
        </is>
      </c>
      <c r="Z506" s="7" t="inlineStr">
        <is>
          <t>https://wol.jw.org/en/wol/d/r1/lp-e/1001070207
https://wol.jw.org/en/wol/d/r1/lp-e/1001061207
https://wol.jw.org/en/wol/d/r1/lp-e/1200002451
https://wol.jw.org/en/wol/d/r1/lp-e/1101990130
https://wol.jw.org/en/wol/d/r1/lp-e/1001070210
https://wol.jw.org/en/wol/d/r1/lp-e/1001061210</t>
        </is>
      </c>
      <c r="AA506" s="7" t="n">
        <v>0</v>
      </c>
      <c r="AB506" s="7" t="n"/>
      <c r="AC506" s="7" t="n">
        <v>4</v>
      </c>
      <c r="AD506" s="7" t="inlineStr">
        <is>
          <t>Wording in pre-2013 Insight chart (it-2 'Jesus Christ', par 138): “Birth of John the Baptizer; later, his desert life”. | Insight “Jesus Christ” (par 39, 45) narrows John’s birth to spring 2 B.C.E. (A7-A gives only “2 B.C.E.”); par 39 gives the window latter half of 3 B.C.E. to Aug./Sept. 2 B.C.E. | Dating differs: pre-2013 Insight chart (it-2 'Jesus Christ', par 483) places this under “31, Passover”; NWT Study Edition A7-D has “31 or 32”. (The pre-2013 chart has no “31 or 32” bracket; these rows fall under “31, Passover” there.) (The pre-2013 chart has no “31 or 32” bracket; these rows fall under “31, Passover” there.) | Wording in pre-2013 Insight chart (it-2 'Jesus Christ', par 483): “John the Baptizer beheaded; Herod’s guilty fears”.</t>
        </is>
      </c>
      <c r="AE506" s="7" t="inlineStr">
        <is>
          <t>Built from b5-0004 (start) and b5-0066 (end).</t>
        </is>
      </c>
      <c r="AF506" s="7" t="inlineStr">
        <is>
          <t>b5-0004</t>
        </is>
      </c>
      <c r="AG506" s="7" t="inlineStr">
        <is>
          <t>b5-0066</t>
        </is>
      </c>
      <c r="AH506" s="7" t="n"/>
      <c r="AI506" s="7" t="n"/>
      <c r="AJ506" s="7" t="n"/>
      <c r="AK506" s="7" t="n"/>
      <c r="AL506" s="7" t="n"/>
      <c r="AM506" s="7" t="n">
        <v>-1.7</v>
      </c>
      <c r="AN506" s="10" t="n"/>
      <c r="AO506" s="10" t="n"/>
      <c r="AP506" s="10" t="n"/>
      <c r="AQ506" s="10" t="n"/>
    </row>
    <row r="507">
      <c r="A507" s="7" t="inlineStr">
        <is>
          <t>b5-0005</t>
        </is>
      </c>
      <c r="B507" s="7" t="inlineStr">
        <is>
          <t>Point</t>
        </is>
      </c>
      <c r="C507" s="7" t="n"/>
      <c r="D507" s="7" t="inlineStr">
        <is>
          <t>2 B.C.E.</t>
        </is>
      </c>
      <c r="E507" s="7" t="inlineStr">
        <is>
          <t>கி.மு. 2</t>
        </is>
      </c>
      <c r="F507" s="7" t="inlineStr">
        <is>
          <t>2 BCE</t>
        </is>
      </c>
      <c r="G507" s="7" t="inlineStr">
        <is>
          <t>Exact</t>
        </is>
      </c>
      <c r="H507" s="7" t="n"/>
      <c r="I507" s="7" t="n"/>
      <c r="J507" s="7" t="n"/>
      <c r="K507" s="2" t="inlineStr">
        <is>
          <t>Zechariah prophesies; John to be in desert</t>
        </is>
      </c>
      <c r="L507" s="2" t="inlineStr">
        <is>
          <t>சகரியா தீர்க்கதரிசனம் சொல்கிறார்; யோவான் வனாந்தரத்தில் வாழ்வார்</t>
        </is>
      </c>
      <c r="M507" s="7" t="inlineStr">
        <is>
          <t>Zechariah prophesies; John to be in desert. The place is given as Judean hill country. NWT Study Edition Appendix A7-A (“Leading Up to Jesus’ Ministry”) dates this to 2 B.C.E.; the source row combines it with related events (“John the Baptist born and named; Zechariah prophesies; John to be in desert”).</t>
        </is>
      </c>
      <c r="N507" s="7" t="inlineStr">
        <is>
          <t>யோவான் ஸ்நானகர் பிறக்கிறார், அவருக்குப் பெயர் வைக்கப்படுகிறது; சகரியா தீர்க்கதரிசனம் சொல்கிறார்; யோவான் வனாந்தரத்தில் வாழ்வார் — யூதேய மலைப்பிரதேசம்</t>
        </is>
      </c>
      <c r="O507" s="8" t="inlineStr">
        <is>
          <t>Bible</t>
        </is>
      </c>
      <c r="P507" s="7" t="inlineStr">
        <is>
          <t>bible.jesus</t>
        </is>
      </c>
      <c r="Q507" s="7" t="inlineStr">
        <is>
          <t>prophecy</t>
        </is>
      </c>
      <c r="R507" s="7" t="inlineStr">
        <is>
          <t>Zechariah; John the Baptist</t>
        </is>
      </c>
      <c r="S507" s="7" t="inlineStr">
        <is>
          <t>Judean hill country</t>
        </is>
      </c>
      <c r="T507" s="7" t="inlineStr">
        <is>
          <t>Luke 1:57-80</t>
        </is>
      </c>
      <c r="U507" s="7" t="inlineStr">
        <is>
          <t>லூக் 1:57-80</t>
        </is>
      </c>
      <c r="V507" s="7" t="n">
        <v>3</v>
      </c>
      <c r="W507" s="7" t="inlineStr">
        <is>
          <t>A7-A Main Events of Jesus’ Earthly Life—Leading Up to Jesus’ Ministry</t>
        </is>
      </c>
      <c r="X507" s="9" t="inlineStr">
        <is>
          <t>open</t>
        </is>
      </c>
      <c r="Y507" s="9" t="inlineStr">
        <is>
          <t>open</t>
        </is>
      </c>
      <c r="Z507" s="7" t="inlineStr">
        <is>
          <t>https://wol.jw.org/en/wol/d/r1/lp-e/1001070207
https://wol.jw.org/en/wol/d/r1/lp-e/1001061207
https://wol.jw.org/en/wol/d/r1/lp-e/1200002451</t>
        </is>
      </c>
      <c r="AA507" s="7" t="n">
        <v>1</v>
      </c>
      <c r="AB507" s="9" t="inlineStr">
        <is>
          <t>open</t>
        </is>
      </c>
      <c r="AC507" s="7" t="n">
        <v>1</v>
      </c>
      <c r="AD507" s="7" t="inlineStr">
        <is>
          <t>Wording in pre-2013 Insight chart (it-2 'Jesus Christ', par 138): “Birth of John the Baptizer; later, his desert life”.</t>
        </is>
      </c>
      <c r="AE507" s="7" t="n"/>
      <c r="AF507" s="7" t="n"/>
      <c r="AG507" s="7" t="n"/>
      <c r="AH507" s="7" t="n"/>
      <c r="AI507" s="7" t="n"/>
      <c r="AJ507" s="7" t="n"/>
      <c r="AK507" s="7" t="n"/>
      <c r="AL507" s="7" t="inlineStr">
        <is>
          <t>A7 row #3 split into 2 events; scripture references cover the whole source row.</t>
        </is>
      </c>
      <c r="AM507" s="7" t="n">
        <v>-1.699</v>
      </c>
      <c r="AN507" s="10" t="n"/>
      <c r="AO507" s="10" t="n"/>
      <c r="AP507" s="10" t="n"/>
      <c r="AQ507" s="10" t="n"/>
    </row>
    <row r="508">
      <c r="A508" s="7" t="inlineStr">
        <is>
          <t>b14-0001</t>
        </is>
      </c>
      <c r="B508" s="7" t="inlineStr">
        <is>
          <t>Point</t>
        </is>
      </c>
      <c r="C508" s="7" t="n"/>
      <c r="D508" s="7" t="inlineStr">
        <is>
          <t>2 B.C.E.</t>
        </is>
      </c>
      <c r="E508" s="7" t="inlineStr">
        <is>
          <t>பொ.ச.மு. 2</t>
        </is>
      </c>
      <c r="F508" s="7" t="inlineStr">
        <is>
          <t>2 BCE</t>
        </is>
      </c>
      <c r="G508" s="7" t="inlineStr">
        <is>
          <t>Exact</t>
        </is>
      </c>
      <c r="H508" s="7" t="n"/>
      <c r="I508" s="7" t="n"/>
      <c r="J508" s="7" t="n"/>
      <c r="K508" s="2" t="inlineStr">
        <is>
          <t>Augustus sends out “an exactor” by ordering a registration</t>
        </is>
      </c>
      <c r="L508" s="2" t="inlineStr">
        <is>
          <t>அகஸ்டஸ் ‘வரிவசூலிப்பவனை’ அனுப்பி, குடிமதிப்பு எழுதும்படி ஆணையிட்டார்</t>
        </is>
      </c>
      <c r="M508" s="7" t="inlineStr">
        <is>
          <t>In 2 B.C.E. Augustus, the king of the north of Daniel 11:20, ordered a registration, or census, that included the province of Judea. Because of this decree Joseph and Mary traveled to Bethlehem, where Jesus was born.</t>
        </is>
      </c>
      <c r="N508" s="7" t="inlineStr">
        <is>
          <t>பொ.ச.மு. 2-ல் அகஸ்டஸ் ‘வரிவசூலிப்பவனை’ அனுப்பி, குடிமதிப்பு எழுதும்படி ஆணையிட்டார்.</t>
        </is>
      </c>
      <c r="O508" s="8" t="inlineStr">
        <is>
          <t>Bible</t>
        </is>
      </c>
      <c r="P508" s="7" t="inlineStr">
        <is>
          <t>bible.prophecy_fulfilled</t>
        </is>
      </c>
      <c r="Q508" s="7" t="inlineStr">
        <is>
          <t>decree</t>
        </is>
      </c>
      <c r="R508" s="7" t="inlineStr">
        <is>
          <t>Augustus</t>
        </is>
      </c>
      <c r="S508" s="7" t="inlineStr">
        <is>
          <t>Judea; Bethlehem</t>
        </is>
      </c>
      <c r="T508" s="7" t="inlineStr">
        <is>
          <t>Dan. 11:20; Luke 2:1</t>
        </is>
      </c>
      <c r="U508" s="7" t="inlineStr">
        <is>
          <t>தானி. 11:20; லூக். 2:1</t>
        </is>
      </c>
      <c r="V508" s="7" t="n">
        <v>1</v>
      </c>
      <c r="W508" s="7" t="inlineStr">
        <is>
          <t>The Two Kings Change Identities</t>
        </is>
      </c>
      <c r="X508" s="9" t="inlineStr">
        <is>
          <t>open</t>
        </is>
      </c>
      <c r="Y508" s="9" t="inlineStr">
        <is>
          <t>open</t>
        </is>
      </c>
      <c r="Z508" s="7" t="inlineStr">
        <is>
          <t>https://wol.jw.org/en/wol/d/r1/lp-e/1101999034</t>
        </is>
      </c>
      <c r="AA508" s="7" t="n">
        <v>0</v>
      </c>
      <c r="AB508" s="7" t="n"/>
      <c r="AC508" s="7" t="n">
        <v>0</v>
      </c>
      <c r="AD508" s="7" t="n"/>
      <c r="AE508" s="7" t="n"/>
      <c r="AF508" s="7" t="n"/>
      <c r="AG508" s="7" t="n"/>
      <c r="AH508" s="7" t="n"/>
      <c r="AI508" s="7" t="n"/>
      <c r="AJ508" s="7" t="n"/>
      <c r="AK508" s="7" t="inlineStr">
        <is>
          <t>kings-north-and-south #26 (fulfillment)</t>
        </is>
      </c>
      <c r="AL508" s="7" t="n"/>
      <c r="AM508" s="7" t="n">
        <v>-1.4</v>
      </c>
      <c r="AN508" s="10" t="n"/>
      <c r="AO508" s="10" t="n"/>
      <c r="AP508" s="10" t="n"/>
      <c r="AQ508" s="10" t="n"/>
    </row>
    <row r="509">
      <c r="A509" s="7" t="inlineStr">
        <is>
          <t>b5-0006</t>
        </is>
      </c>
      <c r="B509" s="7" t="inlineStr">
        <is>
          <t>Point</t>
        </is>
      </c>
      <c r="C509" s="7" t="n"/>
      <c r="D509" s="7" t="inlineStr">
        <is>
          <t>2 B.C.E., c. Oct. 1</t>
        </is>
      </c>
      <c r="E509" s="7" t="inlineStr">
        <is>
          <t>கி.மு. 2, சுமார் அக். 1</t>
        </is>
      </c>
      <c r="F509" s="7" t="inlineStr">
        <is>
          <t>2 BCE</t>
        </is>
      </c>
      <c r="G509" s="7" t="inlineStr">
        <is>
          <t>Approx. (c.)</t>
        </is>
      </c>
      <c r="H509" s="7" t="n"/>
      <c r="I509" s="7" t="n"/>
      <c r="J509" s="7" t="n"/>
      <c r="K509" s="2" t="inlineStr">
        <is>
          <t>Jesus born; “the Word became flesh”</t>
        </is>
      </c>
      <c r="L509" s="2" t="inlineStr">
        <is>
          <t>இயேசுவின் பிறப்பு; ‘அந்த வார்த்தை ஒரு மனிதரானார்’</t>
        </is>
      </c>
      <c r="M509" s="7" t="inlineStr">
        <is>
          <t>Jesus born; “the Word became flesh”. The place is given as Bethlehem. NWT Study Edition Appendix A7-A (“Leading Up to Jesus’ Ministry”) dates this to 2 B.C.E., c. Oct. 1.</t>
        </is>
      </c>
      <c r="N509" s="7" t="inlineStr">
        <is>
          <t>இயேசுவின் பிறப்பு; ‘அந்த வார்த்தை ஒரு மனிதரானார்’ — பெத்லகேம்</t>
        </is>
      </c>
      <c r="O509" s="8" t="inlineStr">
        <is>
          <t>Bible</t>
        </is>
      </c>
      <c r="P509" s="7" t="inlineStr">
        <is>
          <t>bible.jesus</t>
        </is>
      </c>
      <c r="Q509" s="7" t="inlineStr">
        <is>
          <t>birth</t>
        </is>
      </c>
      <c r="R509" s="7" t="inlineStr">
        <is>
          <t>Jesus</t>
        </is>
      </c>
      <c r="S509" s="7" t="inlineStr">
        <is>
          <t>Bethlehem</t>
        </is>
      </c>
      <c r="T509" s="7" t="inlineStr">
        <is>
          <t>Matt. 1:1-25; Luke 2:1-7; John 1:14</t>
        </is>
      </c>
      <c r="U509" s="7" t="inlineStr">
        <is>
          <t>மத் 1:1-25; லூக் 2:1-7; யோவா 1:14</t>
        </is>
      </c>
      <c r="V509" s="7" t="n">
        <v>5</v>
      </c>
      <c r="W509" s="7" t="inlineStr">
        <is>
          <t>A7-A Main Events of Jesus’ Earthly Life—Leading Up to Jesus’ Ministry</t>
        </is>
      </c>
      <c r="X509" s="9" t="inlineStr">
        <is>
          <t>open</t>
        </is>
      </c>
      <c r="Y509" s="9" t="inlineStr">
        <is>
          <t>open</t>
        </is>
      </c>
      <c r="Z509" s="7" t="inlineStr">
        <is>
          <t>https://wol.jw.org/en/wol/d/r1/lp-e/1001070207
https://wol.jw.org/en/wol/d/r1/lp-e/1001061207
https://wol.jw.org/en/wol/d/r1/lp-e/1200002451
https://wol.jw.org/en/wol/d/r1/lp-e/1200002451
https://wol.jw.org/en/wol/d/r1/lp-e/1101990130</t>
        </is>
      </c>
      <c r="AA509" s="7" t="n">
        <v>1</v>
      </c>
      <c r="AB509" s="9" t="inlineStr">
        <is>
          <t>open</t>
        </is>
      </c>
      <c r="AC509" s="7" t="n">
        <v>2</v>
      </c>
      <c r="AD509" s="7" t="inlineStr">
        <is>
          <t>Gospel references differ: Insight chart lists “Mt 1:1-25; Lu 2:1-7; Joh 1:1-5, 9-14”; A7-A lists “Mt 1:1-25; Lu 2:1-7; Joh 1:14”. | Wording in pre-2013 Insight chart (it-2 'Jesus Christ', par 145): “Birth of Jesus (the Word, through whom all other things had come into existence) as descendant of Abraham and of David”.</t>
        </is>
      </c>
      <c r="AE509" s="7" t="n"/>
      <c r="AF509" s="7" t="n"/>
      <c r="AG509" s="7" t="n"/>
      <c r="AH509" s="7" t="n"/>
      <c r="AI509" s="7" t="inlineStr">
        <is>
          <t>Span endpoint – keep</t>
        </is>
      </c>
      <c r="AJ509" s="7" t="inlineStr">
        <is>
          <t>start of Jesus' earthly life (d1-0024)</t>
        </is>
      </c>
      <c r="AK509" s="7" t="inlineStr">
        <is>
          <t>jesus-ministry-places #1 (item); messianic-prophecies #15 (fulfillment); messianic-prophecies #25 (fulfillment); messianic-prophecies #35 (fulfillment); messianic-prophecies #45 (fulfillment)</t>
        </is>
      </c>
      <c r="AL509" s="7" t="n"/>
      <c r="AM509" s="7" t="n">
        <v>-1.25</v>
      </c>
      <c r="AN509" s="10" t="n"/>
      <c r="AO509" s="10" t="n"/>
      <c r="AP509" s="10" t="n"/>
      <c r="AQ509" s="10" t="n"/>
    </row>
    <row r="510">
      <c r="A510" s="7" t="inlineStr">
        <is>
          <t>d1-0024</t>
        </is>
      </c>
      <c r="B510" s="11" t="inlineStr">
        <is>
          <t>Span</t>
        </is>
      </c>
      <c r="C510" s="7" t="inlineStr">
        <is>
          <t>lifespan</t>
        </is>
      </c>
      <c r="D510" s="7" t="inlineStr">
        <is>
          <t>2 B.C.E., c. Oct. 1 – 33 C.E., Nisan 14 (c. 3:00 p.m., Friday)</t>
        </is>
      </c>
      <c r="E510" s="7" t="inlineStr">
        <is>
          <t>கி.மு. 2, சுமார் அக். 1 – கி.பி. 33, நிசான் 14 (மதியம் சுமார் 3 மணி, வெள்ளி)</t>
        </is>
      </c>
      <c r="F510" s="7" t="inlineStr">
        <is>
          <t>2 BCE</t>
        </is>
      </c>
      <c r="G510" s="7" t="inlineStr">
        <is>
          <t>Approx. (c.)</t>
        </is>
      </c>
      <c r="H510" s="7" t="inlineStr">
        <is>
          <t>33 CE</t>
        </is>
      </c>
      <c r="I510" s="7" t="inlineStr">
        <is>
          <t>Approx. (c.)</t>
        </is>
      </c>
      <c r="J510" s="7" t="inlineStr">
        <is>
          <t>c. 33½ years</t>
        </is>
      </c>
      <c r="K510" s="2" t="inlineStr">
        <is>
          <t>Jesus' earthly life</t>
        </is>
      </c>
      <c r="L510" s="2" t="n"/>
      <c r="M510" s="7" t="inlineStr">
        <is>
          <t>Jesus: from Jesus born; “the Word became flesh” (2 B.C.E., c. Oct. 1) to Dies on torture stake (33 C.E., Nisan 14 (c. 3:00 p.m., Friday)). Dates as given in the cited jw.org publications.</t>
        </is>
      </c>
      <c r="N510" s="7" t="n"/>
      <c r="O510" s="8" t="inlineStr">
        <is>
          <t>Bible</t>
        </is>
      </c>
      <c r="P510" s="7" t="inlineStr">
        <is>
          <t>bible.jesus</t>
        </is>
      </c>
      <c r="Q510" s="7" t="inlineStr">
        <is>
          <t>lifespan</t>
        </is>
      </c>
      <c r="R510" s="7" t="inlineStr">
        <is>
          <t>Jesus</t>
        </is>
      </c>
      <c r="S510" s="7" t="inlineStr">
        <is>
          <t>Bethlehem; Golgotha</t>
        </is>
      </c>
      <c r="T510" s="7" t="inlineStr">
        <is>
          <t>Matt. 1:1-25; Luke 2:1-7; John 1:14; Matt. 27:31-56; Mark 15:20-41; Luke 23:26-49; John 19:16-30</t>
        </is>
      </c>
      <c r="U510" s="7" t="inlineStr">
        <is>
          <t>மத் 1:1-25; லூக் 2:1-7; யோவா 1:14; மத் 27:31-56; மாற் 15:20-41; லூக் 23:26-49; யோவா 19:16-30</t>
        </is>
      </c>
      <c r="V510" s="7" t="n">
        <v>7</v>
      </c>
      <c r="W510" s="7" t="inlineStr">
        <is>
          <t>A7-A Main Events of Jesus’ Earthly Life—Leading Up to Jesus’ Ministry</t>
        </is>
      </c>
      <c r="X510" s="9" t="inlineStr">
        <is>
          <t>open</t>
        </is>
      </c>
      <c r="Y510" s="9" t="inlineStr">
        <is>
          <t>open</t>
        </is>
      </c>
      <c r="Z510" s="7" t="inlineStr">
        <is>
          <t>https://wol.jw.org/en/wol/d/r1/lp-e/1001070207
https://wol.jw.org/en/wol/d/r1/lp-e/1001061207
https://wol.jw.org/en/wol/d/r1/lp-e/1200002451
https://wol.jw.org/en/wol/d/r1/lp-e/1101990130
https://wol.jw.org/en/wol/d/r1/lp-e/1001070214
https://wol.jw.org/en/wol/d/r1/lp-e/1001061214
https://wol.jw.org/en/wol/d/r1/lp-e/1200002773</t>
        </is>
      </c>
      <c r="AA510" s="7" t="n">
        <v>0</v>
      </c>
      <c r="AB510" s="7" t="n"/>
      <c r="AC510" s="7" t="n">
        <v>4</v>
      </c>
      <c r="AD510" s="7" t="inlineStr">
        <is>
          <t>Gospel references differ: Insight chart lists “Mt 1:1-25; Lu 2:1-7; Joh 1:1-5, 9-14”; A7-A lists “Mt 1:1-25; Lu 2:1-7; Joh 1:14”. | Wording in pre-2013 Insight chart (it-2 'Jesus Christ', par 145): “Birth of Jesus (the Word, through whom all other things had come into existence) as descendant of Abraham and of David”. | Place wording differs: Insight chart has “Golgotha, Jerusalem”; A7-H has “Golgotha”. | Wording in pre-2013 Insight chart (it-2 'Jesus Christ', par 1011): “Jesus’ death on a torture stake, and accompanying events”.</t>
        </is>
      </c>
      <c r="AE510" s="7" t="inlineStr">
        <is>
          <t>Built from b5-0006 (start) and b5-0163 (end).</t>
        </is>
      </c>
      <c r="AF510" s="7" t="inlineStr">
        <is>
          <t>b5-0006</t>
        </is>
      </c>
      <c r="AG510" s="7" t="inlineStr">
        <is>
          <t>b5-0163</t>
        </is>
      </c>
      <c r="AH510" s="7" t="n"/>
      <c r="AI510" s="7" t="n"/>
      <c r="AJ510" s="7" t="n"/>
      <c r="AK510" s="7" t="inlineStr">
        <is>
          <t>jesus-ministry-places #2 (context); messianic-line #64 (item)</t>
        </is>
      </c>
      <c r="AL510" s="7" t="n"/>
      <c r="AM510" s="7" t="n">
        <v>-1.25</v>
      </c>
      <c r="AN510" s="10" t="n"/>
      <c r="AO510" s="10" t="n"/>
      <c r="AP510" s="10" t="n"/>
      <c r="AQ510" s="10" t="n"/>
    </row>
    <row r="511">
      <c r="A511" s="7" t="inlineStr">
        <is>
          <t>b5-0007</t>
        </is>
      </c>
      <c r="B511" s="7" t="inlineStr">
        <is>
          <t>Point</t>
        </is>
      </c>
      <c r="C511" s="7" t="n"/>
      <c r="D511" s="7" t="inlineStr">
        <is>
          <t>2 B.C.E., c. Oct. 1</t>
        </is>
      </c>
      <c r="E511" s="7" t="inlineStr">
        <is>
          <t>கி.மு. 2, சுமார் அக். 1</t>
        </is>
      </c>
      <c r="F511" s="7" t="inlineStr">
        <is>
          <t>2 BCE</t>
        </is>
      </c>
      <c r="G511" s="7" t="inlineStr">
        <is>
          <t>Approx. (c.)</t>
        </is>
      </c>
      <c r="H511" s="7" t="n"/>
      <c r="I511" s="7" t="n"/>
      <c r="J511" s="7" t="n"/>
      <c r="K511" s="2" t="inlineStr">
        <is>
          <t>Angel announces good news to shepherds; angels praise God; shepherds visit infant</t>
        </is>
      </c>
      <c r="L511" s="2" t="inlineStr">
        <is>
          <t>மேய்ப்பர்களுக்குத் தேவதூதர் நல்ல செய்தி சொல்கிறார்; தேவதூதர்கள் கடவுளைப் புகழ்கிறார்கள்; மேய்ப்பர்கள் போய் குழந்தையைப் பார்க்கிறார்கள்</t>
        </is>
      </c>
      <c r="M511" s="7" t="inlineStr">
        <is>
          <t>Angel announces good news to shepherds; angels praise God; shepherds visit infant. The place is given as Near Bethlehem; Bethlehem. NWT Study Edition Appendix A7-A (“Leading Up to Jesus’ Ministry”) dates this to 2 B.C.E., c. Oct. 1.</t>
        </is>
      </c>
      <c r="N511" s="7" t="inlineStr">
        <is>
          <t>மேய்ப்பர்களுக்குத் தேவதூதர் நல்ல செய்தி சொல்கிறார்; தேவதூதர்கள் கடவுளைப் புகழ்கிறார்கள்; மேய்ப்பர்கள் போய் குழந்தையைப் பார்க்கிறார்கள் — பெத்லகேம் பக்கத்தில்; பெத்லகேம்</t>
        </is>
      </c>
      <c r="O511" s="8" t="inlineStr">
        <is>
          <t>Bible</t>
        </is>
      </c>
      <c r="P511" s="7" t="inlineStr">
        <is>
          <t>bible.jesus</t>
        </is>
      </c>
      <c r="Q511" s="7" t="inlineStr">
        <is>
          <t>announcement</t>
        </is>
      </c>
      <c r="R511" s="7" t="inlineStr">
        <is>
          <t>Jesus</t>
        </is>
      </c>
      <c r="S511" s="7" t="inlineStr">
        <is>
          <t>Bethlehem</t>
        </is>
      </c>
      <c r="T511" s="7" t="inlineStr">
        <is>
          <t>Luke 2:8-20</t>
        </is>
      </c>
      <c r="U511" s="7" t="inlineStr">
        <is>
          <t>லூக் 2:8-20</t>
        </is>
      </c>
      <c r="V511" s="7" t="n">
        <v>3</v>
      </c>
      <c r="W511" s="7" t="inlineStr">
        <is>
          <t>A7-A Main Events of Jesus’ Earthly Life—Leading Up to Jesus’ Ministry</t>
        </is>
      </c>
      <c r="X511" s="9" t="inlineStr">
        <is>
          <t>open</t>
        </is>
      </c>
      <c r="Y511" s="9" t="inlineStr">
        <is>
          <t>open</t>
        </is>
      </c>
      <c r="Z511" s="7" t="inlineStr">
        <is>
          <t>https://wol.jw.org/en/wol/d/r1/lp-e/1001070207
https://wol.jw.org/en/wol/d/r1/lp-e/1001061207
https://wol.jw.org/en/wol/d/r1/lp-e/1200002451</t>
        </is>
      </c>
      <c r="AA511" s="7" t="n">
        <v>1</v>
      </c>
      <c r="AB511" s="9" t="inlineStr">
        <is>
          <t>open</t>
        </is>
      </c>
      <c r="AC511" s="7" t="n">
        <v>2</v>
      </c>
      <c r="AD511" s="7" t="inlineStr">
        <is>
          <t>Place wording differs: Insight chart has “Near Bethlehem”; A7-A has “Near Bethlehem; Bethlehem”. | Wording in pre-2013 Insight chart (it-2 'Jesus Christ', par 152): “Angel announces good news; shepherds visit babe”.</t>
        </is>
      </c>
      <c r="AE511" s="7" t="n"/>
      <c r="AF511" s="7" t="n"/>
      <c r="AG511" s="7" t="n"/>
      <c r="AH511" s="7" t="n"/>
      <c r="AI511" s="7" t="n"/>
      <c r="AJ511" s="7" t="n"/>
      <c r="AK511" s="7" t="n"/>
      <c r="AL511" s="7" t="n"/>
      <c r="AM511" s="7" t="n">
        <v>-1.249</v>
      </c>
      <c r="AN511" s="10" t="n"/>
      <c r="AO511" s="10" t="n"/>
      <c r="AP511" s="10" t="n"/>
      <c r="AQ511" s="10" t="n"/>
    </row>
    <row r="512">
      <c r="A512" s="7" t="inlineStr">
        <is>
          <t>b5-0008</t>
        </is>
      </c>
      <c r="B512" s="7" t="inlineStr">
        <is>
          <t>Point</t>
        </is>
      </c>
      <c r="C512" s="7" t="n"/>
      <c r="D512" s="7" t="inlineStr">
        <is>
          <t>2 B.C.E., c. Oct. 1</t>
        </is>
      </c>
      <c r="E512" s="7" t="inlineStr">
        <is>
          <t>கி.மு. 2, சுமார் அக். 1</t>
        </is>
      </c>
      <c r="F512" s="7" t="inlineStr">
        <is>
          <t>2 BCE</t>
        </is>
      </c>
      <c r="G512" s="7" t="inlineStr">
        <is>
          <t>Approx. (c.)</t>
        </is>
      </c>
      <c r="H512" s="7" t="n"/>
      <c r="I512" s="7" t="n"/>
      <c r="J512" s="7" t="n"/>
      <c r="K512" s="2" t="inlineStr">
        <is>
          <t>Jesus circumcised (8th day)</t>
        </is>
      </c>
      <c r="L512" s="2" t="inlineStr">
        <is>
          <t>இயேசுவுக்கு விருத்தசேதனம் செய்யப்படுகிறது (8-ஆம் நாள்)</t>
        </is>
      </c>
      <c r="M512" s="7" t="inlineStr">
        <is>
          <t>Jesus circumcised (8th day). The place is given as Bethlehem; Jerusalem. NWT Study Edition Appendix A7-A (“Leading Up to Jesus’ Ministry”) dates this to 2 B.C.E., c. Oct. 1; the source row combines it with related events (“Jesus circumcised (8th day); presented in temple by parents (after 40th day)”).</t>
        </is>
      </c>
      <c r="N512" s="7" t="inlineStr">
        <is>
          <t>இயேசுவுக்கு விருத்தசேதனம் செய்யப்படுகிறது (8-ஆம் நாள்); பெற்றோர் அவரை ஆலயத்துக்குக் கொண்டுபோகிறார்கள் (40-ஆம் நாளுக்குப் பின்பு) — பெத்லகேம்; எருசலேம்</t>
        </is>
      </c>
      <c r="O512" s="8" t="inlineStr">
        <is>
          <t>Bible</t>
        </is>
      </c>
      <c r="P512" s="7" t="inlineStr">
        <is>
          <t>bible.jesus</t>
        </is>
      </c>
      <c r="Q512" s="7" t="inlineStr">
        <is>
          <t>circumcision</t>
        </is>
      </c>
      <c r="R512" s="7" t="inlineStr">
        <is>
          <t>Jesus</t>
        </is>
      </c>
      <c r="S512" s="7" t="inlineStr">
        <is>
          <t>Bethlehem; Jerusalem</t>
        </is>
      </c>
      <c r="T512" s="7" t="inlineStr">
        <is>
          <t>Luke 2:21-38</t>
        </is>
      </c>
      <c r="U512" s="7" t="inlineStr">
        <is>
          <t>லூக் 2:21-38</t>
        </is>
      </c>
      <c r="V512" s="7" t="n">
        <v>3</v>
      </c>
      <c r="W512" s="7" t="inlineStr">
        <is>
          <t>A7-A Main Events of Jesus’ Earthly Life—Leading Up to Jesus’ Ministry</t>
        </is>
      </c>
      <c r="X512" s="9" t="inlineStr">
        <is>
          <t>open</t>
        </is>
      </c>
      <c r="Y512" s="9" t="inlineStr">
        <is>
          <t>open</t>
        </is>
      </c>
      <c r="Z512" s="7" t="inlineStr">
        <is>
          <t>https://wol.jw.org/en/wol/d/r1/lp-e/1001070207
https://wol.jw.org/en/wol/d/r1/lp-e/1001061207
https://wol.jw.org/en/wol/d/r1/lp-e/1200002451</t>
        </is>
      </c>
      <c r="AA512" s="7" t="n">
        <v>1</v>
      </c>
      <c r="AB512" s="9" t="inlineStr">
        <is>
          <t>open</t>
        </is>
      </c>
      <c r="AC512" s="7" t="n">
        <v>1</v>
      </c>
      <c r="AD512" s="7" t="inlineStr">
        <is>
          <t>Wording in pre-2013 Insight chart (it-2 'Jesus Christ', par 159): “Jesus circumcised (8th day), presented in temple (after 40th day)”.</t>
        </is>
      </c>
      <c r="AE512" s="7" t="n"/>
      <c r="AF512" s="7" t="n"/>
      <c r="AG512" s="7" t="n"/>
      <c r="AH512" s="7" t="n"/>
      <c r="AI512" s="7" t="n"/>
      <c r="AJ512" s="7" t="n"/>
      <c r="AK512" s="7" t="n"/>
      <c r="AL512" s="7" t="inlineStr">
        <is>
          <t>A7 row #6 split into 2 events; scripture references cover the whole source row.</t>
        </is>
      </c>
      <c r="AM512" s="7" t="n">
        <v>-1.248</v>
      </c>
      <c r="AN512" s="10" t="n"/>
      <c r="AO512" s="10" t="n"/>
      <c r="AP512" s="10" t="n"/>
      <c r="AQ512" s="10" t="n"/>
    </row>
    <row r="513">
      <c r="A513" s="7" t="inlineStr">
        <is>
          <t>b5-0009</t>
        </is>
      </c>
      <c r="B513" s="7" t="inlineStr">
        <is>
          <t>Point</t>
        </is>
      </c>
      <c r="C513" s="7" t="n"/>
      <c r="D513" s="7" t="inlineStr">
        <is>
          <t>2 B.C.E., c. Oct. 1</t>
        </is>
      </c>
      <c r="E513" s="7" t="inlineStr">
        <is>
          <t>கி.மு. 2, சுமார் அக். 1</t>
        </is>
      </c>
      <c r="F513" s="7" t="inlineStr">
        <is>
          <t>2 BCE</t>
        </is>
      </c>
      <c r="G513" s="7" t="inlineStr">
        <is>
          <t>Approx. (c.)</t>
        </is>
      </c>
      <c r="H513" s="7" t="n"/>
      <c r="I513" s="7" t="n"/>
      <c r="J513" s="7" t="n"/>
      <c r="K513" s="2" t="inlineStr">
        <is>
          <t>Jesus presented in temple by parents (after 40th day)</t>
        </is>
      </c>
      <c r="L513" s="2" t="inlineStr">
        <is>
          <t>பெற்றோர் அவரை ஆலயத்துக்குக் கொண்டுபோகிறார்கள் (40-ஆம் நாளுக்குப் பின்பு)</t>
        </is>
      </c>
      <c r="M513" s="7" t="inlineStr">
        <is>
          <t>Jesus presented in temple by parents (after 40th day). The place is given as Bethlehem; Jerusalem. NWT Study Edition Appendix A7-A (“Leading Up to Jesus’ Ministry”) dates this to 2 B.C.E., c. Oct. 1; the source row combines it with related events (“Jesus circumcised (8th day); presented in temple by parents (after 40th day)”).</t>
        </is>
      </c>
      <c r="N513" s="7" t="inlineStr">
        <is>
          <t>இயேசுவுக்கு விருத்தசேதனம் செய்யப்படுகிறது (8-ஆம் நாள்); பெற்றோர் அவரை ஆலயத்துக்குக் கொண்டுபோகிறார்கள் (40-ஆம் நாளுக்குப் பின்பு) — பெத்லகேம்; எருசலேம்</t>
        </is>
      </c>
      <c r="O513" s="8" t="inlineStr">
        <is>
          <t>Bible</t>
        </is>
      </c>
      <c r="P513" s="7" t="inlineStr">
        <is>
          <t>bible.jesus</t>
        </is>
      </c>
      <c r="Q513" s="7" t="inlineStr">
        <is>
          <t>presentation</t>
        </is>
      </c>
      <c r="R513" s="7" t="inlineStr">
        <is>
          <t>Jesus; Mary</t>
        </is>
      </c>
      <c r="S513" s="7" t="inlineStr">
        <is>
          <t>Bethlehem; Jerusalem</t>
        </is>
      </c>
      <c r="T513" s="7" t="inlineStr">
        <is>
          <t>Luke 2:21-38</t>
        </is>
      </c>
      <c r="U513" s="7" t="inlineStr">
        <is>
          <t>லூக் 2:21-38</t>
        </is>
      </c>
      <c r="V513" s="7" t="n">
        <v>3</v>
      </c>
      <c r="W513" s="7" t="inlineStr">
        <is>
          <t>A7-A Main Events of Jesus’ Earthly Life—Leading Up to Jesus’ Ministry</t>
        </is>
      </c>
      <c r="X513" s="9" t="inlineStr">
        <is>
          <t>open</t>
        </is>
      </c>
      <c r="Y513" s="9" t="inlineStr">
        <is>
          <t>open</t>
        </is>
      </c>
      <c r="Z513" s="7" t="inlineStr">
        <is>
          <t>https://wol.jw.org/en/wol/d/r1/lp-e/1001070207
https://wol.jw.org/en/wol/d/r1/lp-e/1001061207
https://wol.jw.org/en/wol/d/r1/lp-e/1200002451</t>
        </is>
      </c>
      <c r="AA513" s="7" t="n">
        <v>1</v>
      </c>
      <c r="AB513" s="9" t="inlineStr">
        <is>
          <t>open</t>
        </is>
      </c>
      <c r="AC513" s="7" t="n">
        <v>1</v>
      </c>
      <c r="AD513" s="7" t="inlineStr">
        <is>
          <t>Wording in pre-2013 Insight chart (it-2 'Jesus Christ', par 159): “Jesus circumcised (8th day), presented in temple (after 40th day)”.</t>
        </is>
      </c>
      <c r="AE513" s="7" t="n"/>
      <c r="AF513" s="7" t="n"/>
      <c r="AG513" s="7" t="n"/>
      <c r="AH513" s="7" t="n"/>
      <c r="AI513" s="7" t="n"/>
      <c r="AJ513" s="7" t="n"/>
      <c r="AK513" s="7" t="n"/>
      <c r="AL513" s="7" t="inlineStr">
        <is>
          <t>A7 row #6 split into 2 events; scripture references cover the whole source row.</t>
        </is>
      </c>
      <c r="AM513" s="7" t="n">
        <v>-1.247</v>
      </c>
      <c r="AN513" s="10" t="n"/>
      <c r="AO513" s="10" t="n"/>
      <c r="AP513" s="10" t="n"/>
      <c r="AQ513" s="10" t="n"/>
    </row>
    <row r="514">
      <c r="A514" s="7" t="inlineStr">
        <is>
          <t>b4-0138</t>
        </is>
      </c>
      <c r="B514" s="7" t="inlineStr">
        <is>
          <t>Point</t>
        </is>
      </c>
      <c r="C514" s="7" t="n"/>
      <c r="D514" s="7" t="inlineStr">
        <is>
          <t>1 B.C.E.</t>
        </is>
      </c>
      <c r="E514" s="7" t="n"/>
      <c r="F514" s="7" t="inlineStr">
        <is>
          <t>1 BCE</t>
        </is>
      </c>
      <c r="G514" s="7" t="inlineStr">
        <is>
          <t>Approx. (c.)</t>
        </is>
      </c>
      <c r="H514" s="7" t="n"/>
      <c r="I514" s="7" t="n"/>
      <c r="J514" s="7" t="n"/>
      <c r="K514" s="2" t="inlineStr">
        <is>
          <t>Death of Herod the Great</t>
        </is>
      </c>
      <c r="L514" s="2" t="n"/>
      <c r="M514" s="7" t="inlineStr">
        <is>
          <t>Bible chronology, astronomical data, and historical records point to 1 B.C.E. (or possibly early 1 C.E.) for Herod's death, shortly after his decree to kill Bethlehem's babes; a total lunar eclipse occurred on January 8, 1 B.C.E.</t>
        </is>
      </c>
      <c r="N514" s="7" t="n"/>
      <c r="O514" s="8" t="inlineStr">
        <is>
          <t>Bible</t>
        </is>
      </c>
      <c r="P514" s="7" t="inlineStr">
        <is>
          <t>bible.intertestament</t>
        </is>
      </c>
      <c r="Q514" s="7" t="inlineStr">
        <is>
          <t>death</t>
        </is>
      </c>
      <c r="R514" s="7" t="inlineStr">
        <is>
          <t>Herod the Great</t>
        </is>
      </c>
      <c r="S514" s="7" t="inlineStr">
        <is>
          <t>Jericho; Judea</t>
        </is>
      </c>
      <c r="T514" s="7" t="inlineStr">
        <is>
          <t>Matt. 2:16-19</t>
        </is>
      </c>
      <c r="U514" s="7" t="n"/>
      <c r="V514" s="7" t="n">
        <v>3</v>
      </c>
      <c r="W514" s="7" t="inlineStr">
        <is>
          <t>Herod</t>
        </is>
      </c>
      <c r="X514" s="9" t="inlineStr">
        <is>
          <t>open</t>
        </is>
      </c>
      <c r="Y514" s="7" t="n"/>
      <c r="Z514" s="7" t="inlineStr">
        <is>
          <t>https://wol.jw.org/en/wol/d/r1/lp-e/1200002000
https://wol.jw.org/en/wol/d/r1/lp-e/1200000970
https://wol.jw.org/en/wol/d/r1/lp-e/1200002436</t>
        </is>
      </c>
      <c r="AA514" s="7" t="n">
        <v>0</v>
      </c>
      <c r="AB514" s="7" t="n"/>
      <c r="AC514" s="7" t="n">
        <v>1</v>
      </c>
      <c r="AD514" s="7" t="inlineStr">
        <is>
          <t>Insight notes some chronologers hold 5 or 4 B.C.E. based on the partial eclipse of March 11, 4 B.C.E.; jw.org favors 1 B.C.E.</t>
        </is>
      </c>
      <c r="AE514" s="7" t="n"/>
      <c r="AF514" s="7" t="n"/>
      <c r="AG514" s="7" t="n"/>
      <c r="AH514" s="7" t="n"/>
      <c r="AI514" s="7" t="inlineStr">
        <is>
          <t>Covered by span – hide on chart</t>
        </is>
      </c>
      <c r="AJ514" s="7" t="inlineStr">
        <is>
          <t>end of Reign of Herod the Great over Judea (b12-0038)</t>
        </is>
      </c>
      <c r="AK514" s="7" t="n"/>
      <c r="AL514" s="7" t="inlineStr">
        <is>
          <t>Outside strict 3 B.C.E. scope; included per orchestrator instruction.</t>
        </is>
      </c>
      <c r="AM514" s="7" t="n">
        <v>-0.9</v>
      </c>
      <c r="AN514" s="10" t="n"/>
      <c r="AO514" s="10" t="n"/>
      <c r="AP514" s="10" t="n"/>
      <c r="AQ514" s="10" t="n"/>
    </row>
    <row r="515">
      <c r="A515" s="7" t="inlineStr">
        <is>
          <t>b5-0010</t>
        </is>
      </c>
      <c r="B515" s="7" t="inlineStr">
        <is>
          <t>Point</t>
        </is>
      </c>
      <c r="C515" s="7" t="n"/>
      <c r="D515" s="7" t="inlineStr">
        <is>
          <t>1 B.C.E. or 1 C.E.</t>
        </is>
      </c>
      <c r="E515" s="7" t="inlineStr">
        <is>
          <t>கி.மு. 1 அல்லது கி.பி. 1</t>
        </is>
      </c>
      <c r="F515" s="7" t="inlineStr">
        <is>
          <t>1 BCE</t>
        </is>
      </c>
      <c r="G515" s="7" t="inlineStr">
        <is>
          <t>Between (one moment in a window)</t>
        </is>
      </c>
      <c r="H515" s="7" t="n"/>
      <c r="I515" s="7" t="n"/>
      <c r="J515" s="7" t="n"/>
      <c r="K515" s="2" t="inlineStr">
        <is>
          <t>Astrologers visit</t>
        </is>
      </c>
      <c r="L515" s="2" t="inlineStr">
        <is>
          <t>ஜோதிடர்கள் சந்திக்கிறார்கள்</t>
        </is>
      </c>
      <c r="M515" s="7" t="inlineStr">
        <is>
          <t>Astrologers visit. The place is given as Jerusalem; Bethlehem; Egypt; Nazareth. NWT Study Edition Appendix A7-A (“Leading Up to Jesus’ Ministry”) dates this to 1 B.C.E. or 1 C.E.; the source row combines it with related events (“Astrologers visit; family flees to Egypt; Herod kills young boys; family returns from Egypt and settles in Nazareth”).</t>
        </is>
      </c>
      <c r="N515" s="7" t="inlineStr">
        <is>
          <t>ஜோதிடர்கள் சந்திக்கிறார்கள்; குடும்பம் எகிப்துக்குத் தப்பியோடுகிறது; சிறு பையன்களை ஏரோது கொல்கிறான்; குடும்பம் எகிப்திலிருந்து திரும்பிவந்து நாசரேத்தில் குடியேறுகிறது — எருசலேம்; பெத்லகேம்; எகிப்து; நாசரேத்</t>
        </is>
      </c>
      <c r="O515" s="8" t="inlineStr">
        <is>
          <t>Bible</t>
        </is>
      </c>
      <c r="P515" s="7" t="inlineStr">
        <is>
          <t>bible.jesus</t>
        </is>
      </c>
      <c r="Q515" s="7" t="inlineStr">
        <is>
          <t>visit</t>
        </is>
      </c>
      <c r="R515" s="7" t="inlineStr">
        <is>
          <t>Jesus</t>
        </is>
      </c>
      <c r="S515" s="7" t="inlineStr">
        <is>
          <t>Jerusalem; Bethlehem</t>
        </is>
      </c>
      <c r="T515" s="7" t="inlineStr">
        <is>
          <t>Matt. 2:1-23; Luke 2:39, 40</t>
        </is>
      </c>
      <c r="U515" s="7" t="inlineStr">
        <is>
          <t>மத் 2:1-23; லூக் 2:39, 40</t>
        </is>
      </c>
      <c r="V515" s="7" t="n">
        <v>3</v>
      </c>
      <c r="W515" s="7" t="inlineStr">
        <is>
          <t>A7-A Main Events of Jesus’ Earthly Life—Leading Up to Jesus’ Ministry</t>
        </is>
      </c>
      <c r="X515" s="9" t="inlineStr">
        <is>
          <t>open</t>
        </is>
      </c>
      <c r="Y515" s="9" t="inlineStr">
        <is>
          <t>open</t>
        </is>
      </c>
      <c r="Z515" s="7" t="inlineStr">
        <is>
          <t>https://wol.jw.org/en/wol/d/r1/lp-e/1001070207
https://wol.jw.org/en/wol/d/r1/lp-e/1001061207
https://wol.jw.org/en/wol/d/r1/lp-e/1200002451</t>
        </is>
      </c>
      <c r="AA515" s="7" t="n">
        <v>1</v>
      </c>
      <c r="AB515" s="9" t="inlineStr">
        <is>
          <t>open</t>
        </is>
      </c>
      <c r="AC515" s="7" t="n">
        <v>2</v>
      </c>
      <c r="AD515" s="7" t="inlineStr">
        <is>
          <t>Place wording differs: Insight chart has “Jerusalem; Bethlehem; Nazareth”; A7-A has “Jerusalem; Bethlehem; Egypt; Nazareth”. | Wording in pre-2013 Insight chart (it-2 'Jesus Christ', par 166): “Astrologers; flight to Egypt; babes killed; Jesus’ return”.</t>
        </is>
      </c>
      <c r="AE515" s="7" t="n"/>
      <c r="AF515" s="7" t="n"/>
      <c r="AG515" s="7" t="n"/>
      <c r="AH515" s="7" t="n"/>
      <c r="AI515" s="7" t="n"/>
      <c r="AJ515" s="7" t="n"/>
      <c r="AK515" s="7" t="n"/>
      <c r="AL515" s="7" t="inlineStr">
        <is>
          <t>A7 row #7 split into 4 events; scripture references cover the whole source row.</t>
        </is>
      </c>
      <c r="AM515" s="7" t="n">
        <v>-0.5</v>
      </c>
      <c r="AN515" s="10" t="n"/>
      <c r="AO515" s="10" t="n"/>
      <c r="AP515" s="10" t="n"/>
      <c r="AQ515" s="10" t="n"/>
    </row>
    <row r="516">
      <c r="A516" s="7" t="inlineStr">
        <is>
          <t>b5-0011</t>
        </is>
      </c>
      <c r="B516" s="7" t="inlineStr">
        <is>
          <t>Point</t>
        </is>
      </c>
      <c r="C516" s="7" t="n"/>
      <c r="D516" s="7" t="inlineStr">
        <is>
          <t>1 B.C.E. or 1 C.E.</t>
        </is>
      </c>
      <c r="E516" s="7" t="inlineStr">
        <is>
          <t>கி.மு. 1 அல்லது கி.பி. 1</t>
        </is>
      </c>
      <c r="F516" s="7" t="inlineStr">
        <is>
          <t>1 BCE</t>
        </is>
      </c>
      <c r="G516" s="7" t="inlineStr">
        <is>
          <t>Between (one moment in a window)</t>
        </is>
      </c>
      <c r="H516" s="7" t="n"/>
      <c r="I516" s="7" t="n"/>
      <c r="J516" s="7" t="n"/>
      <c r="K516" s="2" t="inlineStr">
        <is>
          <t>Family flees to Egypt</t>
        </is>
      </c>
      <c r="L516" s="2" t="inlineStr">
        <is>
          <t>குடும்பம் எகிப்துக்குத் தப்பியோடுகிறது</t>
        </is>
      </c>
      <c r="M516" s="7" t="inlineStr">
        <is>
          <t>Family flees to Egypt. The place is given as Jerusalem; Bethlehem; Egypt; Nazareth. NWT Study Edition Appendix A7-A (“Leading Up to Jesus’ Ministry”) dates this to 1 B.C.E. or 1 C.E.; the source row combines it with related events (“Astrologers visit; family flees to Egypt; Herod kills young boys; family returns from Egypt and settles in Nazareth”).</t>
        </is>
      </c>
      <c r="N516" s="7" t="inlineStr">
        <is>
          <t>ஜோதிடர்கள் சந்திக்கிறார்கள்; குடும்பம் எகிப்துக்குத் தப்பியோடுகிறது; சிறு பையன்களை ஏரோது கொல்கிறான்; குடும்பம் எகிப்திலிருந்து திரும்பிவந்து நாசரேத்தில் குடியேறுகிறது — எருசலேம்; பெத்லகேம்; எகிப்து; நாசரேத்</t>
        </is>
      </c>
      <c r="O516" s="8" t="inlineStr">
        <is>
          <t>Bible</t>
        </is>
      </c>
      <c r="P516" s="7" t="inlineStr">
        <is>
          <t>bible.jesus</t>
        </is>
      </c>
      <c r="Q516" s="7" t="inlineStr">
        <is>
          <t>journey</t>
        </is>
      </c>
      <c r="R516" s="7" t="inlineStr">
        <is>
          <t>Jesus</t>
        </is>
      </c>
      <c r="S516" s="7" t="inlineStr">
        <is>
          <t>Egypt</t>
        </is>
      </c>
      <c r="T516" s="7" t="inlineStr">
        <is>
          <t>Matt. 2:1-23; Luke 2:39, 40</t>
        </is>
      </c>
      <c r="U516" s="7" t="inlineStr">
        <is>
          <t>மத் 2:1-23; லூக் 2:39, 40</t>
        </is>
      </c>
      <c r="V516" s="7" t="n">
        <v>3</v>
      </c>
      <c r="W516" s="7" t="inlineStr">
        <is>
          <t>A7-A Main Events of Jesus’ Earthly Life—Leading Up to Jesus’ Ministry</t>
        </is>
      </c>
      <c r="X516" s="9" t="inlineStr">
        <is>
          <t>open</t>
        </is>
      </c>
      <c r="Y516" s="9" t="inlineStr">
        <is>
          <t>open</t>
        </is>
      </c>
      <c r="Z516" s="7" t="inlineStr">
        <is>
          <t>https://wol.jw.org/en/wol/d/r1/lp-e/1001070207
https://wol.jw.org/en/wol/d/r1/lp-e/1001061207
https://wol.jw.org/en/wol/d/r1/lp-e/1200002451</t>
        </is>
      </c>
      <c r="AA516" s="7" t="n">
        <v>1</v>
      </c>
      <c r="AB516" s="9" t="inlineStr">
        <is>
          <t>open</t>
        </is>
      </c>
      <c r="AC516" s="7" t="n">
        <v>2</v>
      </c>
      <c r="AD516" s="7" t="inlineStr">
        <is>
          <t>Place wording differs: Insight chart has “Jerusalem; Bethlehem; Nazareth”; A7-A has “Jerusalem; Bethlehem; Egypt; Nazareth”. | Wording in pre-2013 Insight chart (it-2 'Jesus Christ', par 166): “Astrologers; flight to Egypt; babes killed; Jesus’ return”.</t>
        </is>
      </c>
      <c r="AE516" s="7" t="n"/>
      <c r="AF516" s="7" t="n"/>
      <c r="AG516" s="7" t="n"/>
      <c r="AH516" s="7" t="n"/>
      <c r="AI516" s="7" t="n"/>
      <c r="AJ516" s="7" t="n"/>
      <c r="AK516" s="7" t="inlineStr">
        <is>
          <t>messianic-prophecies #55 (fulfillment)</t>
        </is>
      </c>
      <c r="AL516" s="7" t="inlineStr">
        <is>
          <t>A7 row #7 split into 4 events; scripture references cover the whole source row.</t>
        </is>
      </c>
      <c r="AM516" s="7" t="n">
        <v>-0.499</v>
      </c>
      <c r="AN516" s="10" t="n"/>
      <c r="AO516" s="10" t="n"/>
      <c r="AP516" s="10" t="n"/>
      <c r="AQ516" s="10" t="n"/>
    </row>
    <row r="517">
      <c r="A517" s="7" t="inlineStr">
        <is>
          <t>b5-0012</t>
        </is>
      </c>
      <c r="B517" s="7" t="inlineStr">
        <is>
          <t>Point</t>
        </is>
      </c>
      <c r="C517" s="7" t="n"/>
      <c r="D517" s="7" t="inlineStr">
        <is>
          <t>1 B.C.E. or 1 C.E.</t>
        </is>
      </c>
      <c r="E517" s="7" t="inlineStr">
        <is>
          <t>கி.மு. 1 அல்லது கி.பி. 1</t>
        </is>
      </c>
      <c r="F517" s="7" t="inlineStr">
        <is>
          <t>1 BCE</t>
        </is>
      </c>
      <c r="G517" s="7" t="inlineStr">
        <is>
          <t>Between (one moment in a window)</t>
        </is>
      </c>
      <c r="H517" s="7" t="n"/>
      <c r="I517" s="7" t="n"/>
      <c r="J517" s="7" t="n"/>
      <c r="K517" s="2" t="inlineStr">
        <is>
          <t>Herod kills young boys</t>
        </is>
      </c>
      <c r="L517" s="2" t="inlineStr">
        <is>
          <t>சிறு பையன்களை ஏரோது கொல்கிறான்</t>
        </is>
      </c>
      <c r="M517" s="7" t="inlineStr">
        <is>
          <t>Herod kills young boys. The place is given as Jerusalem; Bethlehem; Egypt; Nazareth. NWT Study Edition Appendix A7-A (“Leading Up to Jesus’ Ministry”) dates this to 1 B.C.E. or 1 C.E.; the source row combines it with related events (“Astrologers visit; family flees to Egypt; Herod kills young boys; family returns from Egypt and settles in Nazareth”).</t>
        </is>
      </c>
      <c r="N517" s="7" t="inlineStr">
        <is>
          <t>ஜோதிடர்கள் சந்திக்கிறார்கள்; குடும்பம் எகிப்துக்குத் தப்பியோடுகிறது; சிறு பையன்களை ஏரோது கொல்கிறான்; குடும்பம் எகிப்திலிருந்து திரும்பிவந்து நாசரேத்தில் குடியேறுகிறது — எருசலேம்; பெத்லகேம்; எகிப்து; நாசரேத்</t>
        </is>
      </c>
      <c r="O517" s="8" t="inlineStr">
        <is>
          <t>Bible</t>
        </is>
      </c>
      <c r="P517" s="7" t="inlineStr">
        <is>
          <t>bible.jesus</t>
        </is>
      </c>
      <c r="Q517" s="7" t="inlineStr">
        <is>
          <t>massacre</t>
        </is>
      </c>
      <c r="R517" s="7" t="inlineStr">
        <is>
          <t>Herod the Great</t>
        </is>
      </c>
      <c r="S517" s="7" t="inlineStr">
        <is>
          <t>Bethlehem</t>
        </is>
      </c>
      <c r="T517" s="7" t="inlineStr">
        <is>
          <t>Matt. 2:1-23; Luke 2:39, 40</t>
        </is>
      </c>
      <c r="U517" s="7" t="inlineStr">
        <is>
          <t>மத் 2:1-23; லூக் 2:39, 40</t>
        </is>
      </c>
      <c r="V517" s="7" t="n">
        <v>3</v>
      </c>
      <c r="W517" s="7" t="inlineStr">
        <is>
          <t>A7-A Main Events of Jesus’ Earthly Life—Leading Up to Jesus’ Ministry</t>
        </is>
      </c>
      <c r="X517" s="9" t="inlineStr">
        <is>
          <t>open</t>
        </is>
      </c>
      <c r="Y517" s="9" t="inlineStr">
        <is>
          <t>open</t>
        </is>
      </c>
      <c r="Z517" s="7" t="inlineStr">
        <is>
          <t>https://wol.jw.org/en/wol/d/r1/lp-e/1001070207
https://wol.jw.org/en/wol/d/r1/lp-e/1001061207
https://wol.jw.org/en/wol/d/r1/lp-e/1200002451</t>
        </is>
      </c>
      <c r="AA517" s="7" t="n">
        <v>1</v>
      </c>
      <c r="AB517" s="9" t="inlineStr">
        <is>
          <t>open</t>
        </is>
      </c>
      <c r="AC517" s="7" t="n">
        <v>2</v>
      </c>
      <c r="AD517" s="7" t="inlineStr">
        <is>
          <t>Place wording differs: Insight chart has “Jerusalem; Bethlehem; Nazareth”; A7-A has “Jerusalem; Bethlehem; Egypt; Nazareth”. | Wording in pre-2013 Insight chart (it-2 'Jesus Christ', par 166): “Astrologers; flight to Egypt; babes killed; Jesus’ return”.</t>
        </is>
      </c>
      <c r="AE517" s="7" t="n"/>
      <c r="AF517" s="7" t="n"/>
      <c r="AG517" s="7" t="n"/>
      <c r="AH517" s="7" t="n"/>
      <c r="AI517" s="7" t="n"/>
      <c r="AJ517" s="7" t="n"/>
      <c r="AK517" s="7" t="inlineStr">
        <is>
          <t>messianic-prophecies #65 (fulfillment)</t>
        </is>
      </c>
      <c r="AL517" s="7" t="inlineStr">
        <is>
          <t>A7 row #7 split into 4 events; scripture references cover the whole source row.</t>
        </is>
      </c>
      <c r="AM517" s="7" t="n">
        <v>-0.498</v>
      </c>
      <c r="AN517" s="10" t="n"/>
      <c r="AO517" s="10" t="n"/>
      <c r="AP517" s="10" t="n"/>
      <c r="AQ517" s="10" t="n"/>
    </row>
    <row r="518">
      <c r="A518" s="7" t="inlineStr">
        <is>
          <t>b5-0013</t>
        </is>
      </c>
      <c r="B518" s="7" t="inlineStr">
        <is>
          <t>Point</t>
        </is>
      </c>
      <c r="C518" s="7" t="n"/>
      <c r="D518" s="7" t="inlineStr">
        <is>
          <t>1 B.C.E. or 1 C.E.</t>
        </is>
      </c>
      <c r="E518" s="7" t="inlineStr">
        <is>
          <t>கி.மு. 1 அல்லது கி.பி. 1</t>
        </is>
      </c>
      <c r="F518" s="7" t="inlineStr">
        <is>
          <t>1 BCE</t>
        </is>
      </c>
      <c r="G518" s="7" t="inlineStr">
        <is>
          <t>Between (one moment in a window)</t>
        </is>
      </c>
      <c r="H518" s="7" t="n"/>
      <c r="I518" s="7" t="n"/>
      <c r="J518" s="7" t="n"/>
      <c r="K518" s="2" t="inlineStr">
        <is>
          <t>Family returns from Egypt and settles in Nazareth</t>
        </is>
      </c>
      <c r="L518" s="2" t="inlineStr">
        <is>
          <t>குடும்பம் எகிப்திலிருந்து திரும்பிவந்து நாசரேத்தில் குடியேறுகிறது</t>
        </is>
      </c>
      <c r="M518" s="7" t="inlineStr">
        <is>
          <t>Family returns from Egypt and settles in Nazareth. The place is given as Jerusalem; Bethlehem; Egypt; Nazareth. NWT Study Edition Appendix A7-A (“Leading Up to Jesus’ Ministry”) dates this to 1 B.C.E. or 1 C.E.; the source row combines it with related events (“Astrologers visit; family flees to Egypt; Herod kills young boys; family returns from Egypt and settles in Nazareth”).</t>
        </is>
      </c>
      <c r="N518" s="7" t="inlineStr">
        <is>
          <t>ஜோதிடர்கள் சந்திக்கிறார்கள்; குடும்பம் எகிப்துக்குத் தப்பியோடுகிறது; சிறு பையன்களை ஏரோது கொல்கிறான்; குடும்பம் எகிப்திலிருந்து திரும்பிவந்து நாசரேத்தில் குடியேறுகிறது — எருசலேம்; பெத்லகேம்; எகிப்து; நாசரேத்</t>
        </is>
      </c>
      <c r="O518" s="8" t="inlineStr">
        <is>
          <t>Bible</t>
        </is>
      </c>
      <c r="P518" s="7" t="inlineStr">
        <is>
          <t>bible.jesus</t>
        </is>
      </c>
      <c r="Q518" s="7" t="inlineStr">
        <is>
          <t>journey</t>
        </is>
      </c>
      <c r="R518" s="7" t="inlineStr">
        <is>
          <t>Jesus</t>
        </is>
      </c>
      <c r="S518" s="7" t="inlineStr">
        <is>
          <t>Egypt; Nazareth</t>
        </is>
      </c>
      <c r="T518" s="7" t="inlineStr">
        <is>
          <t>Matt. 2:1-23; Luke 2:39, 40</t>
        </is>
      </c>
      <c r="U518" s="7" t="inlineStr">
        <is>
          <t>மத் 2:1-23; லூக் 2:39, 40</t>
        </is>
      </c>
      <c r="V518" s="7" t="n">
        <v>3</v>
      </c>
      <c r="W518" s="7" t="inlineStr">
        <is>
          <t>A7-A Main Events of Jesus’ Earthly Life—Leading Up to Jesus’ Ministry</t>
        </is>
      </c>
      <c r="X518" s="9" t="inlineStr">
        <is>
          <t>open</t>
        </is>
      </c>
      <c r="Y518" s="9" t="inlineStr">
        <is>
          <t>open</t>
        </is>
      </c>
      <c r="Z518" s="7" t="inlineStr">
        <is>
          <t>https://wol.jw.org/en/wol/d/r1/lp-e/1001070207
https://wol.jw.org/en/wol/d/r1/lp-e/1001061207
https://wol.jw.org/en/wol/d/r1/lp-e/1200002451</t>
        </is>
      </c>
      <c r="AA518" s="7" t="n">
        <v>1</v>
      </c>
      <c r="AB518" s="9" t="inlineStr">
        <is>
          <t>open</t>
        </is>
      </c>
      <c r="AC518" s="7" t="n">
        <v>2</v>
      </c>
      <c r="AD518" s="7" t="inlineStr">
        <is>
          <t>Place wording differs: Insight chart has “Jerusalem; Bethlehem; Nazareth”; A7-A has “Jerusalem; Bethlehem; Egypt; Nazareth”. | Wording in pre-2013 Insight chart (it-2 'Jesus Christ', par 166): “Astrologers; flight to Egypt; babes killed; Jesus’ return”.</t>
        </is>
      </c>
      <c r="AE518" s="7" t="n"/>
      <c r="AF518" s="7" t="n"/>
      <c r="AG518" s="7" t="n"/>
      <c r="AH518" s="7" t="n"/>
      <c r="AI518" s="7" t="n"/>
      <c r="AJ518" s="7" t="n"/>
      <c r="AK518" s="7" t="inlineStr">
        <is>
          <t>messianic-prophecies #55.1 (fulfillment)</t>
        </is>
      </c>
      <c r="AL518" s="7" t="inlineStr">
        <is>
          <t>A7 row #7 split into 4 events; scripture references cover the whole source row.</t>
        </is>
      </c>
      <c r="AM518" s="7" t="n">
        <v>-0.497</v>
      </c>
      <c r="AN518" s="10" t="n"/>
      <c r="AO518" s="10" t="n"/>
      <c r="AP518" s="10" t="n"/>
      <c r="AQ518" s="10" t="n"/>
    </row>
    <row r="519">
      <c r="A519" s="7" t="inlineStr">
        <is>
          <t>b5-0014</t>
        </is>
      </c>
      <c r="B519" s="7" t="inlineStr">
        <is>
          <t>Point</t>
        </is>
      </c>
      <c r="C519" s="7" t="n"/>
      <c r="D519" s="7" t="inlineStr">
        <is>
          <t>12 C.E., Passover</t>
        </is>
      </c>
      <c r="E519" s="7" t="inlineStr">
        <is>
          <t>கி.பி. 12, பஸ்கா</t>
        </is>
      </c>
      <c r="F519" s="7" t="inlineStr">
        <is>
          <t>12 CE</t>
        </is>
      </c>
      <c r="G519" s="7" t="inlineStr">
        <is>
          <t>Exact</t>
        </is>
      </c>
      <c r="H519" s="7" t="n"/>
      <c r="I519" s="7" t="n"/>
      <c r="J519" s="7" t="n"/>
      <c r="K519" s="2" t="inlineStr">
        <is>
          <t>Twelve-year-old Jesus at the temple questions teachers</t>
        </is>
      </c>
      <c r="L519" s="2" t="inlineStr">
        <is>
          <t>12 வயது இயேசு ஆலயத்தில் போதகர்களிடம் கேள்வி கேட்கிறார்</t>
        </is>
      </c>
      <c r="M519" s="7" t="inlineStr">
        <is>
          <t>Twelve-year-old Jesus at the temple questions teachers. The place is given as Jerusalem. NWT Study Edition Appendix A7-A (“Leading Up to Jesus’ Ministry”) dates this to 12 C.E., Passover.</t>
        </is>
      </c>
      <c r="N519" s="7" t="inlineStr">
        <is>
          <t>12 வயது இயேசு ஆலயத்தில் போதகர்களிடம் கேள்வி கேட்கிறார் — எருசலேம்</t>
        </is>
      </c>
      <c r="O519" s="8" t="inlineStr">
        <is>
          <t>Bible</t>
        </is>
      </c>
      <c r="P519" s="7" t="inlineStr">
        <is>
          <t>bible.jesus</t>
        </is>
      </c>
      <c r="Q519" s="7" t="inlineStr">
        <is>
          <t>passover</t>
        </is>
      </c>
      <c r="R519" s="7" t="inlineStr">
        <is>
          <t>Jesus</t>
        </is>
      </c>
      <c r="S519" s="7" t="inlineStr">
        <is>
          <t>Jerusalem</t>
        </is>
      </c>
      <c r="T519" s="7" t="inlineStr">
        <is>
          <t>Luke 2:41-50</t>
        </is>
      </c>
      <c r="U519" s="7" t="inlineStr">
        <is>
          <t>லூக் 2:41-50</t>
        </is>
      </c>
      <c r="V519" s="7" t="n">
        <v>3</v>
      </c>
      <c r="W519" s="7" t="inlineStr">
        <is>
          <t>A7-A Main Events of Jesus’ Earthly Life—Leading Up to Jesus’ Ministry</t>
        </is>
      </c>
      <c r="X519" s="9" t="inlineStr">
        <is>
          <t>open</t>
        </is>
      </c>
      <c r="Y519" s="9" t="inlineStr">
        <is>
          <t>open</t>
        </is>
      </c>
      <c r="Z519" s="7" t="inlineStr">
        <is>
          <t>https://wol.jw.org/en/wol/d/r1/lp-e/1001070207
https://wol.jw.org/en/wol/d/r1/lp-e/1001061207
https://wol.jw.org/en/wol/d/r1/lp-e/1200002451</t>
        </is>
      </c>
      <c r="AA519" s="7" t="n">
        <v>1</v>
      </c>
      <c r="AB519" s="9" t="inlineStr">
        <is>
          <t>open</t>
        </is>
      </c>
      <c r="AC519" s="7" t="n">
        <v>2</v>
      </c>
      <c r="AD519" s="7" t="inlineStr">
        <is>
          <t>Gospel references differ: Insight chart lists “Lu 2:41-52”; A7-A lists “Lu 2:41-50”. | Wording in pre-2013 Insight chart (it-2 'Jesus Christ', par 173): “Twelve-year-old Jesus at the Passover; goes home”.</t>
        </is>
      </c>
      <c r="AE519" s="7" t="n"/>
      <c r="AF519" s="7" t="n"/>
      <c r="AG519" s="7" t="n"/>
      <c r="AH519" s="7" t="n"/>
      <c r="AI519" s="7" t="n"/>
      <c r="AJ519" s="7" t="n"/>
      <c r="AK519" s="7" t="n"/>
      <c r="AL519" s="7" t="n"/>
      <c r="AM519" s="7" t="n">
        <v>12.25</v>
      </c>
      <c r="AN519" s="10" t="n"/>
      <c r="AO519" s="10" t="n"/>
      <c r="AP519" s="10" t="n"/>
      <c r="AQ519" s="10" t="n"/>
    </row>
    <row r="520">
      <c r="A520" s="7" t="inlineStr">
        <is>
          <t>b5-0015</t>
        </is>
      </c>
      <c r="B520" s="7" t="inlineStr">
        <is>
          <t>Point</t>
        </is>
      </c>
      <c r="C520" s="7" t="n"/>
      <c r="D520" s="7" t="inlineStr">
        <is>
          <t>c. 12 C.E. (after the Passover of 12 C.E.; no time given in source)</t>
        </is>
      </c>
      <c r="E520" s="7" t="inlineStr">
        <is>
          <t>சுமார் கி.பி. 12</t>
        </is>
      </c>
      <c r="F520" s="7" t="inlineStr">
        <is>
          <t>12 CE</t>
        </is>
      </c>
      <c r="G520" s="7" t="inlineStr">
        <is>
          <t>Approx. (c.)</t>
        </is>
      </c>
      <c r="H520" s="7" t="n"/>
      <c r="I520" s="7" t="n"/>
      <c r="J520" s="7" t="n"/>
      <c r="K520" s="2" t="inlineStr">
        <is>
          <t>Returns to Nazareth; continues subject to parents; learns carpentry; Mary raises four more sons, as well as daughters</t>
        </is>
      </c>
      <c r="L520" s="2" t="inlineStr">
        <is>
          <t>நாசரேத்துக்குத் திரும்பிப்போகிறார்; பெற்றோருக்குக் கீழ்ப்படிந்திருக்கிறார்; தச்சுத்தொழில் கற்றுக்கொள்கிறார்; மரியாளுக்கு இன்னும் நான்கு மகன்களும் சில மகள்களும் இருக்கிறார்கள்</t>
        </is>
      </c>
      <c r="M520" s="7" t="inlineStr">
        <is>
          <t>Returns to Nazareth; continues subject to parents; learns carpentry; Mary raises four more sons, as well as daughters. The place is given as Nazareth. NWT Study Edition Appendix A7-A (“Leading Up to Jesus’ Ministry”) dates this to c. 12 C.E. (after the Passover of 12 C.E.; no time given in source).</t>
        </is>
      </c>
      <c r="N520" s="7" t="inlineStr">
        <is>
          <t>நாசரேத்துக்குத் திரும்பிப்போகிறார்; பெற்றோருக்குக் கீழ்ப்படிந்திருக்கிறார்; தச்சுத்தொழில் கற்றுக்கொள்கிறார்; மரியாளுக்கு இன்னும் நான்கு மகன்களும் சில மகள்களும் இருக்கிறார்கள் — நாசரேத்</t>
        </is>
      </c>
      <c r="O520" s="8" t="inlineStr">
        <is>
          <t>Bible</t>
        </is>
      </c>
      <c r="P520" s="7" t="inlineStr">
        <is>
          <t>bible.jesus</t>
        </is>
      </c>
      <c r="Q520" s="7" t="inlineStr">
        <is>
          <t>youth</t>
        </is>
      </c>
      <c r="R520" s="7" t="inlineStr">
        <is>
          <t>Jesus; Mary</t>
        </is>
      </c>
      <c r="S520" s="7" t="inlineStr">
        <is>
          <t>Nazareth</t>
        </is>
      </c>
      <c r="T520" s="7" t="inlineStr">
        <is>
          <t>Luke 2:51, 52; Matt. 13:55, 56; Mark 6:3</t>
        </is>
      </c>
      <c r="U520" s="7" t="inlineStr">
        <is>
          <t>லூக் 2:51, 52; மத் 13:55, 56; மாற் 6:3</t>
        </is>
      </c>
      <c r="V520" s="7" t="n">
        <v>3</v>
      </c>
      <c r="W520" s="7" t="inlineStr">
        <is>
          <t>A7-A Main Events of Jesus’ Earthly Life—Leading Up to Jesus’ Ministry</t>
        </is>
      </c>
      <c r="X520" s="9" t="inlineStr">
        <is>
          <t>open</t>
        </is>
      </c>
      <c r="Y520" s="9" t="inlineStr">
        <is>
          <t>open</t>
        </is>
      </c>
      <c r="Z520" s="7" t="inlineStr">
        <is>
          <t>https://wol.jw.org/en/wol/d/r1/lp-e/1001070207
https://wol.jw.org/en/wol/d/r1/lp-e/1001061207
https://wol.jw.org/en/wol/d/r1/lp-e/1200002451</t>
        </is>
      </c>
      <c r="AA520" s="7" t="n">
        <v>1</v>
      </c>
      <c r="AB520" s="9" t="inlineStr">
        <is>
          <t>open</t>
        </is>
      </c>
      <c r="AC520" s="7" t="n">
        <v>3</v>
      </c>
      <c r="AD520" s="7" t="inlineStr">
        <is>
          <t>Place wording differs: Insight chart has “Jerusalem”; A7-A has “Nazareth”. | Gospel references differ: Insight chart lists “Lu 2:41-52”; A7-A lists “Lu 2:51, 52”. | Wording in pre-2013 Insight chart (it-2 'Jesus Christ', par 173): “Twelve-year-old Jesus at the Passover; goes home”.</t>
        </is>
      </c>
      <c r="AE520" s="7" t="n"/>
      <c r="AF520" s="7" t="n"/>
      <c r="AG520" s="7" t="n"/>
      <c r="AH520" s="7" t="n"/>
      <c r="AI520" s="7" t="n"/>
      <c r="AJ520" s="7" t="n"/>
      <c r="AK520" s="7" t="n"/>
      <c r="AL520" s="7" t="n"/>
      <c r="AM520" s="7" t="n">
        <v>12.3</v>
      </c>
      <c r="AN520" s="10" t="n"/>
      <c r="AO520" s="10" t="n"/>
      <c r="AP520" s="10" t="n"/>
      <c r="AQ520" s="10" t="n"/>
    </row>
    <row r="521">
      <c r="A521" s="7" t="inlineStr">
        <is>
          <t>b12-0042</t>
        </is>
      </c>
      <c r="B521" s="11" t="inlineStr">
        <is>
          <t>Span</t>
        </is>
      </c>
      <c r="C521" s="7" t="inlineStr">
        <is>
          <t>reign</t>
        </is>
      </c>
      <c r="D521" s="7" t="inlineStr">
        <is>
          <t>14-37 C.E.</t>
        </is>
      </c>
      <c r="E521" s="7" t="n"/>
      <c r="F521" s="7" t="inlineStr">
        <is>
          <t>14 CE</t>
        </is>
      </c>
      <c r="G521" s="7" t="inlineStr">
        <is>
          <t>Exact</t>
        </is>
      </c>
      <c r="H521" s="7" t="inlineStr">
        <is>
          <t>37 CE</t>
        </is>
      </c>
      <c r="I521" s="7" t="inlineStr">
        <is>
          <t>Exact</t>
        </is>
      </c>
      <c r="J521" s="7" t="n"/>
      <c r="K521" s="2" t="inlineStr">
        <is>
          <t>Reign of Tiberius, Roman emperor</t>
        </is>
      </c>
      <c r="L521" s="2" t="n"/>
      <c r="M521" s="7" t="inlineStr">
        <is>
          <t>Tiberius ruled during the ministries and deaths of John the Baptizer and Jesus, Pentecost 33 C.E., and the conversion of Saul.</t>
        </is>
      </c>
      <c r="N521" s="7" t="n"/>
      <c r="O521" s="8" t="inlineStr">
        <is>
          <t>Bible</t>
        </is>
      </c>
      <c r="P521" s="7" t="inlineStr">
        <is>
          <t>bible.jesus</t>
        </is>
      </c>
      <c r="Q521" s="7" t="n"/>
      <c r="R521" s="7" t="inlineStr">
        <is>
          <t>Tiberius</t>
        </is>
      </c>
      <c r="S521" s="7" t="inlineStr">
        <is>
          <t>Rome</t>
        </is>
      </c>
      <c r="T521" s="7" t="inlineStr">
        <is>
          <t>Luke 3:1</t>
        </is>
      </c>
      <c r="U521" s="7" t="inlineStr">
        <is>
          <t>லூக். 3:1</t>
        </is>
      </c>
      <c r="V521" s="7" t="n">
        <v>1</v>
      </c>
      <c r="W521" s="7" t="inlineStr">
        <is>
          <t>Caesar</t>
        </is>
      </c>
      <c r="X521" s="9" t="inlineStr">
        <is>
          <t>open</t>
        </is>
      </c>
      <c r="Y521" s="7" t="n"/>
      <c r="Z521" s="7" t="inlineStr">
        <is>
          <t>https://wol.jw.org/en/wol/d/r1/lp-e/1200000852</t>
        </is>
      </c>
      <c r="AA521" s="7" t="n">
        <v>0</v>
      </c>
      <c r="AB521" s="7" t="n"/>
      <c r="AC521" s="7" t="n">
        <v>0</v>
      </c>
      <c r="AD521" s="7" t="n"/>
      <c r="AE521" s="7" t="n"/>
      <c r="AF521" s="7" t="n"/>
      <c r="AG521" s="7" t="n"/>
      <c r="AH521" s="7" t="n"/>
      <c r="AI521" s="7" t="n"/>
      <c r="AJ521" s="7" t="n"/>
      <c r="AK521" s="7" t="inlineStr">
        <is>
          <t>roman-emperors #2 (ruler); kings-north-and-south #27 (ruler)</t>
        </is>
      </c>
      <c r="AL521" s="7" t="n"/>
      <c r="AM521" s="7" t="n">
        <v>14</v>
      </c>
      <c r="AN521" s="10" t="n"/>
      <c r="AO521" s="10" t="n"/>
      <c r="AP521" s="10" t="n"/>
      <c r="AQ521" s="10" t="n"/>
    </row>
    <row r="522">
      <c r="A522" s="7" t="inlineStr">
        <is>
          <t>b5-0016</t>
        </is>
      </c>
      <c r="B522" s="7" t="inlineStr">
        <is>
          <t>Point</t>
        </is>
      </c>
      <c r="C522" s="7" t="n"/>
      <c r="D522" s="7" t="inlineStr">
        <is>
          <t>29 C.E., spring</t>
        </is>
      </c>
      <c r="E522" s="7" t="inlineStr">
        <is>
          <t>கி.பி. 29, வசந்த காலம்</t>
        </is>
      </c>
      <c r="F522" s="7" t="inlineStr">
        <is>
          <t>29 CE</t>
        </is>
      </c>
      <c r="G522" s="7" t="inlineStr">
        <is>
          <t>Exact</t>
        </is>
      </c>
      <c r="H522" s="7" t="n"/>
      <c r="I522" s="7" t="n"/>
      <c r="J522" s="7" t="n"/>
      <c r="K522" s="2" t="inlineStr">
        <is>
          <t>John the Baptist begins his ministry</t>
        </is>
      </c>
      <c r="L522" s="2" t="inlineStr">
        <is>
          <t>யோவான் ஸ்நானகர் ஊழியத்தை ஆரம்பிக்கிறார்</t>
        </is>
      </c>
      <c r="M522" s="7" t="inlineStr">
        <is>
          <t>John the Baptist begins his ministry. The place is given as Wilderness, Jordan River. NWT Study Edition Appendix A7-A (“Leading Up to Jesus’ Ministry”) dates this to 29 C.E., spring.</t>
        </is>
      </c>
      <c r="N522" s="7" t="inlineStr">
        <is>
          <t>யோவான் ஸ்நானகர் ஊழியத்தை ஆரம்பிக்கிறார் — வனாந்தரம், யோர்தான் ஆறு</t>
        </is>
      </c>
      <c r="O522" s="8" t="inlineStr">
        <is>
          <t>Bible</t>
        </is>
      </c>
      <c r="P522" s="7" t="inlineStr">
        <is>
          <t>bible.jesus</t>
        </is>
      </c>
      <c r="Q522" s="7" t="inlineStr">
        <is>
          <t>ministry_start</t>
        </is>
      </c>
      <c r="R522" s="7" t="inlineStr">
        <is>
          <t>John the Baptist</t>
        </is>
      </c>
      <c r="S522" s="7" t="inlineStr">
        <is>
          <t>Wilderness; Jordan River</t>
        </is>
      </c>
      <c r="T522" s="7" t="inlineStr">
        <is>
          <t>Matt. 3:1-12; Mark 1:1-8; Luke 3:1-18; John 1:6-8</t>
        </is>
      </c>
      <c r="U522" s="7" t="inlineStr">
        <is>
          <t>மத் 3:1-12; மாற் 1:1-8; லூக் 3:1-18; யோவா 1:6-8</t>
        </is>
      </c>
      <c r="V522" s="7" t="n">
        <v>5</v>
      </c>
      <c r="W522" s="7" t="inlineStr">
        <is>
          <t>A7-A Main Events of Jesus’ Earthly Life—Leading Up to Jesus’ Ministry</t>
        </is>
      </c>
      <c r="X522" s="9" t="inlineStr">
        <is>
          <t>open</t>
        </is>
      </c>
      <c r="Y522" s="9" t="inlineStr">
        <is>
          <t>open</t>
        </is>
      </c>
      <c r="Z522" s="7" t="inlineStr">
        <is>
          <t>https://wol.jw.org/en/wol/d/r1/lp-e/1001070207
https://wol.jw.org/en/wol/d/r1/lp-e/1001061207
https://wol.jw.org/en/wol/d/r1/lp-e/1200002451
https://wol.jw.org/en/wol/d/r1/lp-e/1200002451
https://wol.jw.org/en/wol/d/r1/lp-e/1101990130</t>
        </is>
      </c>
      <c r="AA522" s="7" t="n">
        <v>1</v>
      </c>
      <c r="AB522" s="9" t="inlineStr">
        <is>
          <t>open</t>
        </is>
      </c>
      <c r="AC522" s="7" t="n">
        <v>3</v>
      </c>
      <c r="AD522" s="7" t="inlineStr">
        <is>
          <t>Place wording differs: Insight chart has “Wilderness, Jordan”; A7-A has “Wilderness, Jordan River”. | Gospel references differ: Insight chart lists “Mt 3:1-12; Mr 1:1-8; Lu 3:1-18; Joh 1:6-8, 15-28”; A7-A lists “Mt 3:1-12; Mr 1:1-8; Lu 3:1-18; Joh 1:6-8”. | Wording in pre-2013 Insight chart (it-2 'Jesus Christ', par 180): “Ministry of John the Baptizer”.</t>
        </is>
      </c>
      <c r="AE522" s="7" t="n"/>
      <c r="AF522" s="7" t="n"/>
      <c r="AG522" s="7" t="n"/>
      <c r="AH522" s="7" t="n"/>
      <c r="AI522" s="7" t="inlineStr">
        <is>
          <t>Span endpoint – keep</t>
        </is>
      </c>
      <c r="AJ522" s="7" t="inlineStr">
        <is>
          <t>start of Ministry of John the Baptizer (b12-0043)</t>
        </is>
      </c>
      <c r="AK522" s="7" t="inlineStr">
        <is>
          <t>wheat-and-weeds #2 (fulfillment)</t>
        </is>
      </c>
      <c r="AL522" s="7" t="n"/>
      <c r="AM522" s="7" t="n">
        <v>29.2</v>
      </c>
      <c r="AN522" s="10" t="n"/>
      <c r="AO522" s="10" t="n"/>
      <c r="AP522" s="10" t="n"/>
      <c r="AQ522" s="10" t="n"/>
    </row>
    <row r="523">
      <c r="A523" s="7" t="inlineStr">
        <is>
          <t>b12-0043</t>
        </is>
      </c>
      <c r="B523" s="11" t="inlineStr">
        <is>
          <t>Span</t>
        </is>
      </c>
      <c r="C523" s="7" t="inlineStr">
        <is>
          <t>ministry</t>
        </is>
      </c>
      <c r="D523" s="7" t="inlineStr">
        <is>
          <t>29, spring–30, Passover</t>
        </is>
      </c>
      <c r="E523" s="7" t="n"/>
      <c r="F523" s="7" t="inlineStr">
        <is>
          <t>29 CE</t>
        </is>
      </c>
      <c r="G523" s="7" t="inlineStr">
        <is>
          <t>Exact</t>
        </is>
      </c>
      <c r="H523" s="7" t="inlineStr">
        <is>
          <t>30 CE</t>
        </is>
      </c>
      <c r="I523" s="7" t="inlineStr">
        <is>
          <t>Exact</t>
        </is>
      </c>
      <c r="J523" s="7" t="n"/>
      <c r="K523" s="2" t="inlineStr">
        <is>
          <t>Ministry of John the Baptizer</t>
        </is>
      </c>
      <c r="L523" s="2" t="n"/>
      <c r="M523" s="7" t="inlineStr">
        <is>
          <t>John began preaching and baptizing in the Jordan region in the spring of 29 C.E., about six months before Jesus’ baptism; his public ministry ended when Herod Antipas imprisoned him.</t>
        </is>
      </c>
      <c r="N523" s="7" t="inlineStr">
        <is>
          <t>யோவான் ஸ்நானகர் ஊழியத்தை ஆரம்பிக்கிறார்</t>
        </is>
      </c>
      <c r="O523" s="8" t="inlineStr">
        <is>
          <t>Bible</t>
        </is>
      </c>
      <c r="P523" s="7" t="inlineStr">
        <is>
          <t>bible.jesus</t>
        </is>
      </c>
      <c r="Q523" s="7" t="n"/>
      <c r="R523" s="7" t="inlineStr">
        <is>
          <t>John the Baptizer</t>
        </is>
      </c>
      <c r="S523" s="7" t="inlineStr">
        <is>
          <t>Jordan River; Wilderness of Judea</t>
        </is>
      </c>
      <c r="T523" s="7" t="inlineStr">
        <is>
          <t>Luke 3:1-3; Matt. 14:3-5</t>
        </is>
      </c>
      <c r="U523" s="7" t="inlineStr">
        <is>
          <t>லூக். 3:1-3; மத். 14:3-5</t>
        </is>
      </c>
      <c r="V523" s="7" t="n">
        <v>3</v>
      </c>
      <c r="W523" s="7" t="inlineStr">
        <is>
          <t>A7-A Main Events of Jesus’ Earthly Life—Leading Up to Jesus’ Ministry</t>
        </is>
      </c>
      <c r="X523" s="9" t="inlineStr">
        <is>
          <t>open</t>
        </is>
      </c>
      <c r="Y523" s="9" t="inlineStr">
        <is>
          <t>open</t>
        </is>
      </c>
      <c r="Z523" s="7" t="inlineStr">
        <is>
          <t>https://wol.jw.org/en/wol/d/r1/lp-e/1001070207
https://wol.jw.org/en/wol/d/r1/lp-e/1001070208
https://wol.jw.org/en/wol/d/r1/lp-e/1200003915</t>
        </is>
      </c>
      <c r="AA523" s="7" t="n">
        <v>0</v>
      </c>
      <c r="AB523" s="7" t="n"/>
      <c r="AC523" s="7" t="n">
        <v>0</v>
      </c>
      <c r="AD523" s="7" t="n"/>
      <c r="AE523" s="7" t="n"/>
      <c r="AF523" s="7" t="inlineStr">
        <is>
          <t>b5-0016</t>
        </is>
      </c>
      <c r="AG523" s="7" t="inlineStr">
        <is>
          <t>b5-0027</t>
        </is>
      </c>
      <c r="AH523" s="7" t="n"/>
      <c r="AI523" s="7" t="n"/>
      <c r="AJ523" s="7" t="n"/>
      <c r="AK523" s="7" t="n"/>
      <c r="AL523" s="7" t="inlineStr">
        <is>
          <t>The NWT App. A7-B row placing John’s imprisonment is in the section dated “30, Passover” (time of the event after that Passover not stated).</t>
        </is>
      </c>
      <c r="AM523" s="7" t="n">
        <v>29.2</v>
      </c>
      <c r="AN523" s="10" t="n"/>
      <c r="AO523" s="10" t="n"/>
      <c r="AP523" s="10" t="n"/>
      <c r="AQ523" s="10" t="n"/>
    </row>
    <row r="524">
      <c r="A524" s="7" t="inlineStr">
        <is>
          <t>b5-0017</t>
        </is>
      </c>
      <c r="B524" s="7" t="inlineStr">
        <is>
          <t>Point</t>
        </is>
      </c>
      <c r="C524" s="7" t="n"/>
      <c r="D524" s="7" t="inlineStr">
        <is>
          <t>29 C.E., fall</t>
        </is>
      </c>
      <c r="E524" s="7" t="inlineStr">
        <is>
          <t>கி.பி. 29, இலையுதிர் காலம்</t>
        </is>
      </c>
      <c r="F524" s="7" t="inlineStr">
        <is>
          <t>29 CE</t>
        </is>
      </c>
      <c r="G524" s="7" t="inlineStr">
        <is>
          <t>Exact</t>
        </is>
      </c>
      <c r="H524" s="7" t="n"/>
      <c r="I524" s="7" t="n"/>
      <c r="J524" s="7" t="n"/>
      <c r="K524" s="2" t="inlineStr">
        <is>
          <t>Jesus baptized and anointed; Jehovah declares him his Son and approves him</t>
        </is>
      </c>
      <c r="L524" s="2" t="inlineStr">
        <is>
          <t>ஞானஸ்நானம் எடுக்கிறார், அபிஷேகம் செய்யப்படுகிறார்; அவர் தன் மகன் என்று யெகோவா அறிவிக்கிறார், ஏற்றுக்கொள்கிறார்</t>
        </is>
      </c>
      <c r="M524" s="7" t="inlineStr">
        <is>
          <t>Jesus baptized and anointed; Jehovah declares him his Son and approves him. The place is given as Jordan River, possibly at or near Bethany across Jordan. NWT Study Edition Appendix A7-B (“The Beginning of Jesus’ Ministry”) dates this to 29 C.E., fall.</t>
        </is>
      </c>
      <c r="N524" s="7" t="inlineStr">
        <is>
          <t>ஞானஸ்நானம் எடுக்கிறார், அபிஷேகம் செய்யப்படுகிறார்; அவர் தன் மகன் என்று யெகோவா அறிவிக்கிறார், ஏற்றுக்கொள்கிறார் — யோர்தான் ஆறு, யோர்தானுக்கு அக்கரையிலே பெத்தானியாவில் அல்லது அதற்குப் பக்கத்தில்</t>
        </is>
      </c>
      <c r="O524" s="8" t="inlineStr">
        <is>
          <t>Bible</t>
        </is>
      </c>
      <c r="P524" s="7" t="inlineStr">
        <is>
          <t>bible.jesus</t>
        </is>
      </c>
      <c r="Q524" s="7" t="inlineStr">
        <is>
          <t>baptism</t>
        </is>
      </c>
      <c r="R524" s="7" t="inlineStr">
        <is>
          <t>Jesus</t>
        </is>
      </c>
      <c r="S524" s="7" t="inlineStr">
        <is>
          <t>Jordan River; Bethany across Jordan</t>
        </is>
      </c>
      <c r="T524" s="7" t="inlineStr">
        <is>
          <t>Matt. 3:13-17; Mark 1:9-11; Luke 3:21-38</t>
        </is>
      </c>
      <c r="U524" s="7" t="inlineStr">
        <is>
          <t>மத் 3:13-17; மாற் 1:9-11; லூக் 3:21-38</t>
        </is>
      </c>
      <c r="V524" s="7" t="n">
        <v>6</v>
      </c>
      <c r="W524" s="7" t="inlineStr">
        <is>
          <t>A7-B Main Events of Jesus’ Earthly Life—The Beginning of Jesus’ Ministry</t>
        </is>
      </c>
      <c r="X524" s="9" t="inlineStr">
        <is>
          <t>open</t>
        </is>
      </c>
      <c r="Y524" s="9" t="inlineStr">
        <is>
          <t>open</t>
        </is>
      </c>
      <c r="Z524" s="7" t="inlineStr">
        <is>
          <t>https://wol.jw.org/en/wol/d/r1/lp-e/1001070208
https://wol.jw.org/en/wol/d/r1/lp-e/1001061208
https://wol.jw.org/en/wol/d/r1/lp-e/1200002451
https://wol.jw.org/en/wol/d/r1/lp-e/1200002451
https://wol.jw.org/en/wol/d/r1/lp-e/1101990130
https://wol.jw.org/en/wol/d/r1/lp-e/1101990130</t>
        </is>
      </c>
      <c r="AA524" s="7" t="n">
        <v>3</v>
      </c>
      <c r="AB524" s="9" t="inlineStr">
        <is>
          <t>open</t>
        </is>
      </c>
      <c r="AC524" s="7" t="n">
        <v>3</v>
      </c>
      <c r="AD524" s="7" t="inlineStr">
        <is>
          <t>Place wording differs: Insight chart has “Jordan River”; A7-B has “Jordan River, possibly at or near Bethany across Jordan”. | Gospel references differ: Insight chart lists “Mt 3:13-17; Mr 1:9-11; Lu 3:21-38; Joh 1:32-34”; A7-B lists “Mt 3:13-17; Mr 1:9-11; Lu 3:21-38”. | Wording in pre-2013 Insight chart (it-2 'Jesus Christ', par 195): “Baptism and anointing of Jesus, born as a human in David’s line but declared to be the Son of God”.</t>
        </is>
      </c>
      <c r="AE524" s="7" t="n"/>
      <c r="AF524" s="7" t="n"/>
      <c r="AG524" s="7" t="n"/>
      <c r="AH524" s="7" t="n"/>
      <c r="AI524" s="7" t="inlineStr">
        <is>
          <t>Span endpoint – keep</t>
        </is>
      </c>
      <c r="AJ524" s="7" t="inlineStr">
        <is>
          <t>end of The 69 weeks to “Messiah the Leader” (b12-0034); start of Jesus’ earthly ministry (b12-0044); start of The 70th week of years (b12-0045)</t>
        </is>
      </c>
      <c r="AK524" s="7" t="inlineStr">
        <is>
          <t>covenants #14 (step); daniel-time-prophecies #11 (fulfillment); messianic-prophecies #75 (fulfillment); promised-offspring #4 (fulfillment)</t>
        </is>
      </c>
      <c r="AL524" s="7" t="n"/>
      <c r="AM524" s="7" t="n">
        <v>29.75</v>
      </c>
      <c r="AN524" s="10" t="n"/>
      <c r="AO524" s="10" t="n"/>
      <c r="AP524" s="10" t="n"/>
      <c r="AQ524" s="10" t="n"/>
    </row>
    <row r="525">
      <c r="A525" s="7" t="inlineStr">
        <is>
          <t>b12-0044</t>
        </is>
      </c>
      <c r="B525" s="11" t="inlineStr">
        <is>
          <t>Span</t>
        </is>
      </c>
      <c r="C525" s="7" t="inlineStr">
        <is>
          <t>ministry</t>
        </is>
      </c>
      <c r="D525" s="7" t="inlineStr">
        <is>
          <t>29 C.E.–33 C.E.</t>
        </is>
      </c>
      <c r="E525" s="7" t="n"/>
      <c r="F525" s="7" t="inlineStr">
        <is>
          <t>29 CE</t>
        </is>
      </c>
      <c r="G525" s="7" t="inlineStr">
        <is>
          <t>Exact</t>
        </is>
      </c>
      <c r="H525" s="7" t="inlineStr">
        <is>
          <t>33 CE</t>
        </is>
      </c>
      <c r="I525" s="7" t="inlineStr">
        <is>
          <t>Exact</t>
        </is>
      </c>
      <c r="J525" s="7" t="inlineStr">
        <is>
          <t>three and a half years</t>
        </is>
      </c>
      <c r="K525" s="2" t="inlineStr">
        <is>
          <t>Jesus’ earthly ministry</t>
        </is>
      </c>
      <c r="L525" s="2" t="n"/>
      <c r="M525" s="7" t="inlineStr">
        <is>
          <t>From his baptism and anointing in the fall of 29 C.E. until his death on Nisan 14, 33 C.E., Jesus preached the Kingdom for three and a half years, a period including four Passovers.</t>
        </is>
      </c>
      <c r="N525" s="7" t="inlineStr">
        <is>
          <t>ஆகவே பூமியில் இயேசுவின் தனிச்சிறப்புக்குரிய ஊழியம் தொடங்கிய காலம் பொ.ச. 29 என்று முந்தின அதிகாரத்தில் பார்த்தோம்.</t>
        </is>
      </c>
      <c r="O525" s="8" t="inlineStr">
        <is>
          <t>Bible</t>
        </is>
      </c>
      <c r="P525" s="7" t="inlineStr">
        <is>
          <t>bible.jesus</t>
        </is>
      </c>
      <c r="Q525" s="7" t="n"/>
      <c r="R525" s="7" t="inlineStr">
        <is>
          <t>Jesus</t>
        </is>
      </c>
      <c r="S525" s="7" t="inlineStr">
        <is>
          <t>Galilee; Judea; Jerusalem</t>
        </is>
      </c>
      <c r="T525" s="7" t="inlineStr">
        <is>
          <t>Luke 3:21-23; Dan. 9:27; John 19:31</t>
        </is>
      </c>
      <c r="U525" s="7" t="inlineStr">
        <is>
          <t>லூக். 3:21-23; தானி. 9:27; யோவா. 19:31</t>
        </is>
      </c>
      <c r="V525" s="7" t="n">
        <v>3</v>
      </c>
      <c r="W525" s="7" t="inlineStr">
        <is>
          <t>Study Number 3—Measuring Events in the Stream of Time</t>
        </is>
      </c>
      <c r="X525" s="9" t="inlineStr">
        <is>
          <t>open</t>
        </is>
      </c>
      <c r="Y525" s="9" t="inlineStr">
        <is>
          <t>open</t>
        </is>
      </c>
      <c r="Z525" s="7" t="inlineStr">
        <is>
          <t>https://wol.jw.org/en/wol/d/r1/lp-e/1101990130
https://wol.jw.org/en/wol/d/r1/lp-e/1101990130
https://wol.jw.org/en/wol/d/r1/lp-e/1200002451</t>
        </is>
      </c>
      <c r="AA525" s="7" t="n">
        <v>0</v>
      </c>
      <c r="AB525" s="7" t="n"/>
      <c r="AC525" s="7" t="n">
        <v>0</v>
      </c>
      <c r="AD525" s="7" t="n"/>
      <c r="AE525" s="7" t="n"/>
      <c r="AF525" s="7" t="inlineStr">
        <is>
          <t>b5-0017</t>
        </is>
      </c>
      <c r="AG525" s="7" t="inlineStr">
        <is>
          <t>b5-0163</t>
        </is>
      </c>
      <c r="AH525" s="7" t="inlineStr">
        <is>
          <t>b12-0045</t>
        </is>
      </c>
      <c r="AI525" s="7" t="n"/>
      <c r="AJ525" s="7" t="n"/>
      <c r="AK525" s="7" t="inlineStr">
        <is>
          <t>jesus-ministry-places #3 (context)</t>
        </is>
      </c>
      <c r="AL525" s="7" t="n"/>
      <c r="AM525" s="7" t="n">
        <v>29.75</v>
      </c>
      <c r="AN525" s="10" t="n"/>
      <c r="AO525" s="10" t="n"/>
      <c r="AP525" s="10" t="n"/>
      <c r="AQ525" s="10" t="n"/>
    </row>
    <row r="526">
      <c r="A526" s="7" t="inlineStr">
        <is>
          <t>b12-0045</t>
        </is>
      </c>
      <c r="B526" s="11" t="inlineStr">
        <is>
          <t>Span</t>
        </is>
      </c>
      <c r="C526" s="7" t="inlineStr">
        <is>
          <t>prophetic period</t>
        </is>
      </c>
      <c r="D526" s="7" t="inlineStr">
        <is>
          <t>29-36 C.E.</t>
        </is>
      </c>
      <c r="E526" s="7" t="n"/>
      <c r="F526" s="7" t="inlineStr">
        <is>
          <t>29 CE</t>
        </is>
      </c>
      <c r="G526" s="7" t="inlineStr">
        <is>
          <t>Exact</t>
        </is>
      </c>
      <c r="H526" s="7" t="inlineStr">
        <is>
          <t>36 CE</t>
        </is>
      </c>
      <c r="I526" s="7" t="inlineStr">
        <is>
          <t>Exact</t>
        </is>
      </c>
      <c r="J526" s="7" t="inlineStr">
        <is>
          <t>7 years</t>
        </is>
      </c>
      <c r="K526" s="2" t="inlineStr">
        <is>
          <t>The 70th week of years</t>
        </is>
      </c>
      <c r="L526" s="2" t="n"/>
      <c r="M526" s="7" t="inlineStr">
        <is>
          <t>The last “week” of seven years ran from Jesus’ anointing as Messiah to the opening of the way for uncircumcised Gentiles; at its half (33 C.E.) Jesus’ sacrifice ended the validity of the Law’s sacrifices.</t>
        </is>
      </c>
      <c r="N526" s="7" t="inlineStr">
        <is>
          <t>எழுபதாவது “வாரம்,” பொ.ச. 29-36.</t>
        </is>
      </c>
      <c r="O526" s="8" t="inlineStr">
        <is>
          <t>Bible</t>
        </is>
      </c>
      <c r="P526" s="7" t="inlineStr">
        <is>
          <t>bible.prophecy_fulfilled</t>
        </is>
      </c>
      <c r="Q526" s="7" t="n"/>
      <c r="R526" s="7" t="inlineStr">
        <is>
          <t>Jesus; Cornelius</t>
        </is>
      </c>
      <c r="S526" s="7" t="n"/>
      <c r="T526" s="7" t="inlineStr">
        <is>
          <t>Dan. 9:27</t>
        </is>
      </c>
      <c r="U526" s="7" t="inlineStr">
        <is>
          <t>தானி. 9:27</t>
        </is>
      </c>
      <c r="V526" s="7" t="n">
        <v>2</v>
      </c>
      <c r="W526" s="7" t="inlineStr">
        <is>
          <t>Study Number 3—Measuring Events in the Stream of Time</t>
        </is>
      </c>
      <c r="X526" s="9" t="inlineStr">
        <is>
          <t>open</t>
        </is>
      </c>
      <c r="Y526" s="9" t="inlineStr">
        <is>
          <t>open</t>
        </is>
      </c>
      <c r="Z526" s="7" t="inlineStr">
        <is>
          <t>https://wol.jw.org/en/wol/d/r1/lp-e/1101990130
https://wol.jw.org/en/wol/d/r1/lp-e/1200003915</t>
        </is>
      </c>
      <c r="AA526" s="7" t="n">
        <v>0</v>
      </c>
      <c r="AB526" s="7" t="n"/>
      <c r="AC526" s="7" t="n">
        <v>0</v>
      </c>
      <c r="AD526" s="7" t="n"/>
      <c r="AE526" s="7" t="n"/>
      <c r="AF526" s="7" t="inlineStr">
        <is>
          <t>b5-0017</t>
        </is>
      </c>
      <c r="AG526" s="7" t="inlineStr">
        <is>
          <t>b6-0011</t>
        </is>
      </c>
      <c r="AH526" s="7" t="inlineStr">
        <is>
          <t>b12-0035</t>
        </is>
      </c>
      <c r="AI526" s="7" t="n"/>
      <c r="AJ526" s="7" t="n"/>
      <c r="AK526" s="7" t="inlineStr">
        <is>
          <t>daniel-time-prophecies #12 (item)</t>
        </is>
      </c>
      <c r="AL526" s="7" t="n"/>
      <c r="AM526" s="7" t="n">
        <v>29.75</v>
      </c>
      <c r="AN526" s="10" t="n"/>
      <c r="AO526" s="10" t="n"/>
      <c r="AP526" s="10" t="n"/>
      <c r="AQ526" s="10" t="n"/>
    </row>
    <row r="527">
      <c r="A527" s="7" t="inlineStr">
        <is>
          <t>b5-0018</t>
        </is>
      </c>
      <c r="B527" s="7" t="inlineStr">
        <is>
          <t>Point</t>
        </is>
      </c>
      <c r="C527" s="7" t="n"/>
      <c r="D527" s="7" t="inlineStr">
        <is>
          <t>29 C.E., fall</t>
        </is>
      </c>
      <c r="E527" s="7" t="inlineStr">
        <is>
          <t>கி.பி. 29, இலையுதிர் காலம்</t>
        </is>
      </c>
      <c r="F527" s="7" t="inlineStr">
        <is>
          <t>29 CE</t>
        </is>
      </c>
      <c r="G527" s="7" t="inlineStr">
        <is>
          <t>Exact</t>
        </is>
      </c>
      <c r="H527" s="7" t="n"/>
      <c r="I527" s="7" t="n"/>
      <c r="J527" s="7" t="n"/>
      <c r="K527" s="2" t="inlineStr">
        <is>
          <t>Tempted by the Devil</t>
        </is>
      </c>
      <c r="L527" s="2" t="inlineStr">
        <is>
          <t>பிசாசால் சோதிக்கப்படுகிறார்</t>
        </is>
      </c>
      <c r="M527" s="7" t="inlineStr">
        <is>
          <t>Tempted by the Devil. The place is given as Judean Wilderness. NWT Study Edition Appendix A7-B (“The Beginning of Jesus’ Ministry”) dates this to 29 C.E., fall.</t>
        </is>
      </c>
      <c r="N527" s="7" t="inlineStr">
        <is>
          <t>பிசாசால் சோதிக்கப்படுகிறார் — யூதேயா வனாந்தரம்</t>
        </is>
      </c>
      <c r="O527" s="8" t="inlineStr">
        <is>
          <t>Bible</t>
        </is>
      </c>
      <c r="P527" s="7" t="inlineStr">
        <is>
          <t>bible.jesus</t>
        </is>
      </c>
      <c r="Q527" s="7" t="inlineStr">
        <is>
          <t>temptation</t>
        </is>
      </c>
      <c r="R527" s="7" t="inlineStr">
        <is>
          <t>Jesus</t>
        </is>
      </c>
      <c r="S527" s="7" t="inlineStr">
        <is>
          <t>Wilderness of Judea</t>
        </is>
      </c>
      <c r="T527" s="7" t="inlineStr">
        <is>
          <t>Matt. 4:1-11; Mark 1:12, 13; Luke 4:1-13</t>
        </is>
      </c>
      <c r="U527" s="7" t="inlineStr">
        <is>
          <t>மத் 4:1-11; மாற் 1:12, 13; லூக் 4:1-13</t>
        </is>
      </c>
      <c r="V527" s="7" t="n">
        <v>3</v>
      </c>
      <c r="W527" s="7" t="inlineStr">
        <is>
          <t>A7-B Main Events of Jesus’ Earthly Life—The Beginning of Jesus’ Ministry</t>
        </is>
      </c>
      <c r="X527" s="9" t="inlineStr">
        <is>
          <t>open</t>
        </is>
      </c>
      <c r="Y527" s="9" t="inlineStr">
        <is>
          <t>open</t>
        </is>
      </c>
      <c r="Z527" s="7" t="inlineStr">
        <is>
          <t>https://wol.jw.org/en/wol/d/r1/lp-e/1001070208
https://wol.jw.org/en/wol/d/r1/lp-e/1001061208
https://wol.jw.org/en/wol/d/r1/lp-e/1200002451</t>
        </is>
      </c>
      <c r="AA527" s="7" t="n">
        <v>2</v>
      </c>
      <c r="AB527" s="9" t="inlineStr">
        <is>
          <t>open</t>
        </is>
      </c>
      <c r="AC527" s="7" t="n">
        <v>1</v>
      </c>
      <c r="AD527" s="7" t="inlineStr">
        <is>
          <t>Wording in pre-2013 Insight chart (it-2 'Jesus Christ', par 202): “Fasting and temptation of Jesus”.</t>
        </is>
      </c>
      <c r="AE527" s="7" t="n"/>
      <c r="AF527" s="7" t="n"/>
      <c r="AG527" s="7" t="n"/>
      <c r="AH527" s="7" t="n"/>
      <c r="AI527" s="7" t="n"/>
      <c r="AJ527" s="7" t="n"/>
      <c r="AK527" s="7" t="n"/>
      <c r="AL527" s="7" t="n"/>
      <c r="AM527" s="7" t="n">
        <v>29.751</v>
      </c>
      <c r="AN527" s="10" t="n"/>
      <c r="AO527" s="10" t="n"/>
      <c r="AP527" s="10" t="n"/>
      <c r="AQ527" s="10" t="n"/>
    </row>
    <row r="528">
      <c r="A528" s="7" t="inlineStr">
        <is>
          <t>b5-0019</t>
        </is>
      </c>
      <c r="B528" s="7" t="inlineStr">
        <is>
          <t>Point</t>
        </is>
      </c>
      <c r="C528" s="7" t="n"/>
      <c r="D528" s="7" t="inlineStr">
        <is>
          <t>29 C.E., fall</t>
        </is>
      </c>
      <c r="E528" s="7" t="inlineStr">
        <is>
          <t>கி.பி. 29, இலையுதிர் காலம்</t>
        </is>
      </c>
      <c r="F528" s="7" t="inlineStr">
        <is>
          <t>29 CE</t>
        </is>
      </c>
      <c r="G528" s="7" t="inlineStr">
        <is>
          <t>Exact</t>
        </is>
      </c>
      <c r="H528" s="7" t="n"/>
      <c r="I528" s="7" t="n"/>
      <c r="J528" s="7" t="n"/>
      <c r="K528" s="2" t="inlineStr">
        <is>
          <t>John the Baptist identifies Jesus as the Lamb of God</t>
        </is>
      </c>
      <c r="L528" s="2" t="inlineStr">
        <is>
          <t>இயேசுவைக் கடவுளுடைய ஆட்டுக்குட்டி என்று யோவான் ஸ்நானகர் அடையாளம் காட்டுகிறார்</t>
        </is>
      </c>
      <c r="M528" s="7" t="inlineStr">
        <is>
          <t>John the Baptist identifies Jesus as the Lamb of God. The place is given as Bethany across Jordan. NWT Study Edition Appendix A7-B (“The Beginning of Jesus’ Ministry”) dates this to 29 C.E., fall; the source row combines it with related events (“John the Baptist identifies Jesus as the Lamb of God; first disciples join Jesus”).</t>
        </is>
      </c>
      <c r="N528" s="7" t="inlineStr">
        <is>
          <t>இயேசுவைக் கடவுளுடைய ஆட்டுக்குட்டி என்று யோவான் ஸ்நானகர் அடையாளம் காட்டுகிறார்; முதல் சீஷர்கள் இயேசுவோடு சேர்ந்துகொள்கிறார்கள் — யோர்தானுக்கு அக்கரையிலே பெத்தானியா</t>
        </is>
      </c>
      <c r="O528" s="8" t="inlineStr">
        <is>
          <t>Bible</t>
        </is>
      </c>
      <c r="P528" s="7" t="inlineStr">
        <is>
          <t>bible.jesus</t>
        </is>
      </c>
      <c r="Q528" s="7" t="inlineStr">
        <is>
          <t>witness</t>
        </is>
      </c>
      <c r="R528" s="7" t="inlineStr">
        <is>
          <t>Jesus; John the Baptist</t>
        </is>
      </c>
      <c r="S528" s="7" t="inlineStr">
        <is>
          <t>Bethany across Jordan</t>
        </is>
      </c>
      <c r="T528" s="7" t="inlineStr">
        <is>
          <t>John 1:15, 19-51</t>
        </is>
      </c>
      <c r="U528" s="7" t="inlineStr">
        <is>
          <t>யோவா 1:15, 19-51</t>
        </is>
      </c>
      <c r="V528" s="7" t="n">
        <v>4</v>
      </c>
      <c r="W528" s="7" t="inlineStr">
        <is>
          <t>A7-B Main Events of Jesus’ Earthly Life—The Beginning of Jesus’ Ministry</t>
        </is>
      </c>
      <c r="X528" s="9" t="inlineStr">
        <is>
          <t>open</t>
        </is>
      </c>
      <c r="Y528" s="9" t="inlineStr">
        <is>
          <t>open</t>
        </is>
      </c>
      <c r="Z528" s="7" t="inlineStr">
        <is>
          <t>https://wol.jw.org/en/wol/d/r1/lp-e/1001070208
https://wol.jw.org/en/wol/d/r1/lp-e/1001061208
https://wol.jw.org/en/wol/d/r1/lp-e/1200002451
https://wol.jw.org/en/wol/d/r1/lp-e/1200002451</t>
        </is>
      </c>
      <c r="AA528" s="7" t="n">
        <v>2</v>
      </c>
      <c r="AB528" s="9" t="inlineStr">
        <is>
          <t>open</t>
        </is>
      </c>
      <c r="AC528" s="7" t="n">
        <v>6</v>
      </c>
      <c r="AD528" s="7" t="inlineStr">
        <is>
          <t>Place wording differs: Insight chart has “Bethany beyond Jordan”; A7-B has “Bethany across Jordan”. | Gospel references differ: Insight chart lists “Joh 1:15, 29-34”; A7-B lists “Joh 1:15, 19-51”. | Wording in pre-2013 Insight chart (it-2 'Jesus Christ', par 209): “John the Baptizer’s testimony concerning Jesus”. | Place wording differs: Insight chart has “Upper Jordan Valley”; A7-B has “Bethany across Jordan”. | Gospel references differ: Insight chart lists “Joh 1:35-51”; A7-B lists “Joh 1:15, 19-51”. | Wording in pre-2013 Insight chart (it-2 'Jesus Christ', par 216): “First disciples of Jesus”.</t>
        </is>
      </c>
      <c r="AE528" s="7" t="n"/>
      <c r="AF528" s="7" t="n"/>
      <c r="AG528" s="7" t="n"/>
      <c r="AH528" s="7" t="n"/>
      <c r="AI528" s="7" t="n"/>
      <c r="AJ528" s="7" t="n"/>
      <c r="AK528" s="7" t="n"/>
      <c r="AL528" s="7" t="inlineStr">
        <is>
          <t>A7 row #13 split into 2 events; scripture references cover the whole source row.</t>
        </is>
      </c>
      <c r="AM528" s="7" t="n">
        <v>29.752</v>
      </c>
      <c r="AN528" s="10" t="n"/>
      <c r="AO528" s="10" t="n"/>
      <c r="AP528" s="10" t="n"/>
      <c r="AQ528" s="10" t="n"/>
    </row>
    <row r="529">
      <c r="A529" s="7" t="inlineStr">
        <is>
          <t>b5-0020</t>
        </is>
      </c>
      <c r="B529" s="7" t="inlineStr">
        <is>
          <t>Point</t>
        </is>
      </c>
      <c r="C529" s="7" t="n"/>
      <c r="D529" s="7" t="inlineStr">
        <is>
          <t>29 C.E., fall</t>
        </is>
      </c>
      <c r="E529" s="7" t="inlineStr">
        <is>
          <t>கி.பி. 29, இலையுதிர் காலம்</t>
        </is>
      </c>
      <c r="F529" s="7" t="inlineStr">
        <is>
          <t>29 CE</t>
        </is>
      </c>
      <c r="G529" s="7" t="inlineStr">
        <is>
          <t>Exact</t>
        </is>
      </c>
      <c r="H529" s="7" t="n"/>
      <c r="I529" s="7" t="n"/>
      <c r="J529" s="7" t="n"/>
      <c r="K529" s="2" t="inlineStr">
        <is>
          <t>First disciples join Jesus</t>
        </is>
      </c>
      <c r="L529" s="2" t="inlineStr">
        <is>
          <t>முதல் சீஷர்கள் இயேசுவோடு சேர்ந்துகொள்கிறார்கள்</t>
        </is>
      </c>
      <c r="M529" s="7" t="inlineStr">
        <is>
          <t>First disciples join Jesus. The place is given as Bethany across Jordan. NWT Study Edition Appendix A7-B (“The Beginning of Jesus’ Ministry”) dates this to 29 C.E., fall; the source row combines it with related events (“John the Baptist identifies Jesus as the Lamb of God; first disciples join Jesus”).</t>
        </is>
      </c>
      <c r="N529" s="7" t="inlineStr">
        <is>
          <t>இயேசுவைக் கடவுளுடைய ஆட்டுக்குட்டி என்று யோவான் ஸ்நானகர் அடையாளம் காட்டுகிறார்; முதல் சீஷர்கள் இயேசுவோடு சேர்ந்துகொள்கிறார்கள் — யோர்தானுக்கு அக்கரையிலே பெத்தானியா</t>
        </is>
      </c>
      <c r="O529" s="8" t="inlineStr">
        <is>
          <t>Bible</t>
        </is>
      </c>
      <c r="P529" s="7" t="inlineStr">
        <is>
          <t>bible.jesus</t>
        </is>
      </c>
      <c r="Q529" s="7" t="inlineStr">
        <is>
          <t>calling</t>
        </is>
      </c>
      <c r="R529" s="7" t="inlineStr">
        <is>
          <t>Jesus</t>
        </is>
      </c>
      <c r="S529" s="7" t="inlineStr">
        <is>
          <t>Bethany across Jordan</t>
        </is>
      </c>
      <c r="T529" s="7" t="inlineStr">
        <is>
          <t>John 1:15, 19-51</t>
        </is>
      </c>
      <c r="U529" s="7" t="inlineStr">
        <is>
          <t>யோவா 1:15, 19-51</t>
        </is>
      </c>
      <c r="V529" s="7" t="n">
        <v>4</v>
      </c>
      <c r="W529" s="7" t="inlineStr">
        <is>
          <t>A7-B Main Events of Jesus’ Earthly Life—The Beginning of Jesus’ Ministry</t>
        </is>
      </c>
      <c r="X529" s="9" t="inlineStr">
        <is>
          <t>open</t>
        </is>
      </c>
      <c r="Y529" s="9" t="inlineStr">
        <is>
          <t>open</t>
        </is>
      </c>
      <c r="Z529" s="7" t="inlineStr">
        <is>
          <t>https://wol.jw.org/en/wol/d/r1/lp-e/1001070208
https://wol.jw.org/en/wol/d/r1/lp-e/1001061208
https://wol.jw.org/en/wol/d/r1/lp-e/1200002451
https://wol.jw.org/en/wol/d/r1/lp-e/1200002451</t>
        </is>
      </c>
      <c r="AA529" s="7" t="n">
        <v>2</v>
      </c>
      <c r="AB529" s="9" t="inlineStr">
        <is>
          <t>open</t>
        </is>
      </c>
      <c r="AC529" s="7" t="n">
        <v>6</v>
      </c>
      <c r="AD529" s="7" t="inlineStr">
        <is>
          <t>Place wording differs: Insight chart has “Bethany beyond Jordan”; A7-B has “Bethany across Jordan”. | Gospel references differ: Insight chart lists “Joh 1:15, 29-34”; A7-B lists “Joh 1:15, 19-51”. | Wording in pre-2013 Insight chart (it-2 'Jesus Christ', par 209): “John the Baptizer’s testimony concerning Jesus”. | Place wording differs: Insight chart has “Upper Jordan Valley”; A7-B has “Bethany across Jordan”. | Gospel references differ: Insight chart lists “Joh 1:35-51”; A7-B lists “Joh 1:15, 19-51”. | Wording in pre-2013 Insight chart (it-2 'Jesus Christ', par 216): “First disciples of Jesus”.</t>
        </is>
      </c>
      <c r="AE529" s="7" t="n"/>
      <c r="AF529" s="7" t="n"/>
      <c r="AG529" s="7" t="n"/>
      <c r="AH529" s="7" t="n"/>
      <c r="AI529" s="7" t="n"/>
      <c r="AJ529" s="7" t="n"/>
      <c r="AK529" s="7" t="n"/>
      <c r="AL529" s="7" t="inlineStr">
        <is>
          <t>A7 row #13 split into 2 events; scripture references cover the whole source row.</t>
        </is>
      </c>
      <c r="AM529" s="7" t="n">
        <v>29.753</v>
      </c>
      <c r="AN529" s="10" t="n"/>
      <c r="AO529" s="10" t="n"/>
      <c r="AP529" s="10" t="n"/>
      <c r="AQ529" s="10" t="n"/>
    </row>
    <row r="530">
      <c r="A530" s="7" t="inlineStr">
        <is>
          <t>b5-0021</t>
        </is>
      </c>
      <c r="B530" s="7" t="inlineStr">
        <is>
          <t>Point</t>
        </is>
      </c>
      <c r="C530" s="7" t="n"/>
      <c r="D530" s="7" t="inlineStr">
        <is>
          <t>29 C.E., fall</t>
        </is>
      </c>
      <c r="E530" s="7" t="inlineStr">
        <is>
          <t>கி.பி. 29, இலையுதிர் காலம்</t>
        </is>
      </c>
      <c r="F530" s="7" t="inlineStr">
        <is>
          <t>29 CE</t>
        </is>
      </c>
      <c r="G530" s="7" t="inlineStr">
        <is>
          <t>Exact</t>
        </is>
      </c>
      <c r="H530" s="7" t="n"/>
      <c r="I530" s="7" t="n"/>
      <c r="J530" s="7" t="n"/>
      <c r="K530" s="2" t="inlineStr">
        <is>
          <t>First miracle at wedding: Jesus turns water into wine</t>
        </is>
      </c>
      <c r="L530" s="2" t="inlineStr">
        <is>
          <t>கல்யாணத்தில் செய்த முதல் அற்புதம், தண்ணீரைத் திராட்சமதுவாக மாற்றுகிறார்</t>
        </is>
      </c>
      <c r="M530" s="7" t="inlineStr">
        <is>
          <t>First miracle at wedding: Jesus turns water into wine. The place is given as Cana of Galilee; Capernaum. NWT Study Edition Appendix A7-B (“The Beginning of Jesus’ Ministry”) dates this to 29 C.E., fall; the source row combines it with related events (“First miracle at wedding, turns water into wine; visits Capernaum”).</t>
        </is>
      </c>
      <c r="N530" s="7" t="inlineStr">
        <is>
          <t>கல்யாணத்தில் செய்த முதல் அற்புதம், தண்ணீரைத் திராட்சமதுவாக மாற்றுகிறார்; கப்பர்நகூமுக்குப் போகிறார் — கலிலேயாவிலுள்ள கானா;</t>
        </is>
      </c>
      <c r="O530" s="8" t="inlineStr">
        <is>
          <t>Bible</t>
        </is>
      </c>
      <c r="P530" s="7" t="inlineStr">
        <is>
          <t>bible.jesus</t>
        </is>
      </c>
      <c r="Q530" s="7" t="inlineStr">
        <is>
          <t>miracle</t>
        </is>
      </c>
      <c r="R530" s="7" t="inlineStr">
        <is>
          <t>Jesus</t>
        </is>
      </c>
      <c r="S530" s="7" t="inlineStr">
        <is>
          <t>Cana of Galilee; Capernaum</t>
        </is>
      </c>
      <c r="T530" s="7" t="inlineStr">
        <is>
          <t>John 2:1-12</t>
        </is>
      </c>
      <c r="U530" s="7" t="inlineStr">
        <is>
          <t>யோவா 2:1-12</t>
        </is>
      </c>
      <c r="V530" s="7" t="n">
        <v>3</v>
      </c>
      <c r="W530" s="7" t="inlineStr">
        <is>
          <t>A7-B Main Events of Jesus’ Earthly Life—The Beginning of Jesus’ Ministry</t>
        </is>
      </c>
      <c r="X530" s="9" t="inlineStr">
        <is>
          <t>open</t>
        </is>
      </c>
      <c r="Y530" s="9" t="inlineStr">
        <is>
          <t>open</t>
        </is>
      </c>
      <c r="Z530" s="7" t="inlineStr">
        <is>
          <t>https://wol.jw.org/en/wol/d/r1/lp-e/1001070208
https://wol.jw.org/en/wol/d/r1/lp-e/1001061208
https://wol.jw.org/en/wol/d/r1/lp-e/1200002451</t>
        </is>
      </c>
      <c r="AA530" s="7" t="n">
        <v>2</v>
      </c>
      <c r="AB530" s="9" t="inlineStr">
        <is>
          <t>open</t>
        </is>
      </c>
      <c r="AC530" s="7" t="n">
        <v>1</v>
      </c>
      <c r="AD530" s="7" t="inlineStr">
        <is>
          <t>Wording in pre-2013 Insight chart (it-2 'Jesus Christ', par 223): “Jesus’ first miracle; he visits Capernaum”.</t>
        </is>
      </c>
      <c r="AE530" s="7" t="n"/>
      <c r="AF530" s="7" t="n"/>
      <c r="AG530" s="7" t="n"/>
      <c r="AH530" s="7" t="n"/>
      <c r="AI530" s="7" t="n"/>
      <c r="AJ530" s="7" t="n"/>
      <c r="AK530" s="7" t="n"/>
      <c r="AL530" s="7" t="inlineStr">
        <is>
          <t>A7 row #14 split into 2 events; scripture references cover the whole source row. [orchestrator: Tamil title corrected to verbatim A7-B event cell; Capernaum is in the place cell only]</t>
        </is>
      </c>
      <c r="AM530" s="7" t="n">
        <v>29.754</v>
      </c>
      <c r="AN530" s="10" t="n"/>
      <c r="AO530" s="10" t="n"/>
      <c r="AP530" s="10" t="n"/>
      <c r="AQ530" s="10" t="n"/>
    </row>
    <row r="531">
      <c r="A531" s="7" t="inlineStr">
        <is>
          <t>b5-0022</t>
        </is>
      </c>
      <c r="B531" s="7" t="inlineStr">
        <is>
          <t>Point</t>
        </is>
      </c>
      <c r="C531" s="7" t="n"/>
      <c r="D531" s="7" t="inlineStr">
        <is>
          <t>29 C.E., fall</t>
        </is>
      </c>
      <c r="E531" s="7" t="inlineStr">
        <is>
          <t>கி.பி. 29, இலையுதிர் காலம்</t>
        </is>
      </c>
      <c r="F531" s="7" t="inlineStr">
        <is>
          <t>29 CE</t>
        </is>
      </c>
      <c r="G531" s="7" t="inlineStr">
        <is>
          <t>Exact</t>
        </is>
      </c>
      <c r="H531" s="7" t="n"/>
      <c r="I531" s="7" t="n"/>
      <c r="J531" s="7" t="n"/>
      <c r="K531" s="2" t="inlineStr">
        <is>
          <t>Jesus visits Capernaum</t>
        </is>
      </c>
      <c r="L531" s="2" t="inlineStr">
        <is>
          <t>கப்பர்நகூமுக்குப் போகிறார்</t>
        </is>
      </c>
      <c r="M531" s="7" t="inlineStr">
        <is>
          <t>Jesus visits Capernaum. The place is given as Cana of Galilee; Capernaum. NWT Study Edition Appendix A7-B (“The Beginning of Jesus’ Ministry”) dates this to 29 C.E., fall; the source row combines it with related events (“First miracle at wedding, turns water into wine; visits Capernaum”).</t>
        </is>
      </c>
      <c r="N531" s="7" t="inlineStr">
        <is>
          <t>கப்பர்நகூம் கல்யாணத்தில் செய்த முதல் அற்புதம், தண்ணீரைத் திராட்சமதுவாக மாற்றுகிறார்; கப்பர்நகூமுக்குப் போகிறார் — கலிலேயாவிலுள்ள கானா;</t>
        </is>
      </c>
      <c r="O531" s="8" t="inlineStr">
        <is>
          <t>Bible</t>
        </is>
      </c>
      <c r="P531" s="7" t="inlineStr">
        <is>
          <t>bible.jesus</t>
        </is>
      </c>
      <c r="Q531" s="7" t="inlineStr">
        <is>
          <t>journey</t>
        </is>
      </c>
      <c r="R531" s="7" t="inlineStr">
        <is>
          <t>Jesus</t>
        </is>
      </c>
      <c r="S531" s="7" t="inlineStr">
        <is>
          <t>Capernaum</t>
        </is>
      </c>
      <c r="T531" s="7" t="inlineStr">
        <is>
          <t>John 2:1-12</t>
        </is>
      </c>
      <c r="U531" s="7" t="inlineStr">
        <is>
          <t>யோவா 2:1-12</t>
        </is>
      </c>
      <c r="V531" s="7" t="n">
        <v>3</v>
      </c>
      <c r="W531" s="7" t="inlineStr">
        <is>
          <t>A7-B Main Events of Jesus’ Earthly Life—The Beginning of Jesus’ Ministry</t>
        </is>
      </c>
      <c r="X531" s="9" t="inlineStr">
        <is>
          <t>open</t>
        </is>
      </c>
      <c r="Y531" s="9" t="inlineStr">
        <is>
          <t>open</t>
        </is>
      </c>
      <c r="Z531" s="7" t="inlineStr">
        <is>
          <t>https://wol.jw.org/en/wol/d/r1/lp-e/1001070208
https://wol.jw.org/en/wol/d/r1/lp-e/1001061208
https://wol.jw.org/en/wol/d/r1/lp-e/1200002451</t>
        </is>
      </c>
      <c r="AA531" s="7" t="n">
        <v>2</v>
      </c>
      <c r="AB531" s="9" t="inlineStr">
        <is>
          <t>open</t>
        </is>
      </c>
      <c r="AC531" s="7" t="n">
        <v>1</v>
      </c>
      <c r="AD531" s="7" t="inlineStr">
        <is>
          <t>Wording in pre-2013 Insight chart (it-2 'Jesus Christ', par 223): “Jesus’ first miracle; he visits Capernaum”.</t>
        </is>
      </c>
      <c r="AE531" s="7" t="n"/>
      <c r="AF531" s="7" t="n"/>
      <c r="AG531" s="7" t="n"/>
      <c r="AH531" s="7" t="n"/>
      <c r="AI531" s="7" t="n"/>
      <c r="AJ531" s="7" t="n"/>
      <c r="AK531" s="7" t="n"/>
      <c r="AL531" s="7" t="inlineStr">
        <is>
          <t>A7 row #14 split into 2 events; scripture references cover the whole source row.</t>
        </is>
      </c>
      <c r="AM531" s="7" t="n">
        <v>29.755</v>
      </c>
      <c r="AN531" s="10" t="n"/>
      <c r="AO531" s="10" t="n"/>
      <c r="AP531" s="10" t="n"/>
      <c r="AQ531" s="10" t="n"/>
    </row>
    <row r="532">
      <c r="A532" s="7" t="inlineStr">
        <is>
          <t>b5-0023</t>
        </is>
      </c>
      <c r="B532" s="7" t="inlineStr">
        <is>
          <t>Point</t>
        </is>
      </c>
      <c r="C532" s="7" t="n"/>
      <c r="D532" s="7" t="inlineStr">
        <is>
          <t>30 C.E., Passover</t>
        </is>
      </c>
      <c r="E532" s="7" t="inlineStr">
        <is>
          <t>கி.பி. 30, பஸ்கா</t>
        </is>
      </c>
      <c r="F532" s="7" t="inlineStr">
        <is>
          <t>30 CE</t>
        </is>
      </c>
      <c r="G532" s="7" t="inlineStr">
        <is>
          <t>Exact</t>
        </is>
      </c>
      <c r="H532" s="7" t="n"/>
      <c r="I532" s="7" t="n"/>
      <c r="J532" s="7" t="n"/>
      <c r="K532" s="2" t="inlineStr">
        <is>
          <t>Cleanses the temple</t>
        </is>
      </c>
      <c r="L532" s="2" t="inlineStr">
        <is>
          <t>ஆலயத்தைச் சுத்தப்படுத்துகிறார்</t>
        </is>
      </c>
      <c r="M532" s="7" t="inlineStr">
        <is>
          <t>Cleanses the temple. The place is given as Jerusalem. NWT Study Edition Appendix A7-B (“The Beginning of Jesus’ Ministry”) dates this to 30 C.E., Passover.</t>
        </is>
      </c>
      <c r="N532" s="7" t="inlineStr">
        <is>
          <t>ஆலயத்தைச் சுத்தப்படுத்துகிறார் — எருசலேம்</t>
        </is>
      </c>
      <c r="O532" s="8" t="inlineStr">
        <is>
          <t>Bible</t>
        </is>
      </c>
      <c r="P532" s="7" t="inlineStr">
        <is>
          <t>bible.jesus</t>
        </is>
      </c>
      <c r="Q532" s="7" t="inlineStr">
        <is>
          <t>temple_cleansing</t>
        </is>
      </c>
      <c r="R532" s="7" t="inlineStr">
        <is>
          <t>Jesus</t>
        </is>
      </c>
      <c r="S532" s="7" t="inlineStr">
        <is>
          <t>Jerusalem</t>
        </is>
      </c>
      <c r="T532" s="7" t="inlineStr">
        <is>
          <t>John 2:13-25</t>
        </is>
      </c>
      <c r="U532" s="7" t="inlineStr">
        <is>
          <t>யோவா 2:13-25</t>
        </is>
      </c>
      <c r="V532" s="7" t="n">
        <v>5</v>
      </c>
      <c r="W532" s="7" t="inlineStr">
        <is>
          <t>A7-B Main Events of Jesus’ Earthly Life—The Beginning of Jesus’ Ministry</t>
        </is>
      </c>
      <c r="X532" s="9" t="inlineStr">
        <is>
          <t>open</t>
        </is>
      </c>
      <c r="Y532" s="9" t="inlineStr">
        <is>
          <t>open</t>
        </is>
      </c>
      <c r="Z532" s="7" t="inlineStr">
        <is>
          <t>https://wol.jw.org/en/wol/d/r1/lp-e/1001070208
https://wol.jw.org/en/wol/d/r1/lp-e/1001061208
https://wol.jw.org/en/wol/d/r1/lp-e/1200002451
https://wol.jw.org/en/wol/d/r1/lp-e/1200002451
https://wol.jw.org/en/wol/d/r1/lp-e/1101990130</t>
        </is>
      </c>
      <c r="AA532" s="7" t="n">
        <v>2</v>
      </c>
      <c r="AB532" s="9" t="inlineStr">
        <is>
          <t>open</t>
        </is>
      </c>
      <c r="AC532" s="7" t="n">
        <v>1</v>
      </c>
      <c r="AD532" s="7" t="inlineStr">
        <is>
          <t>Wording in pre-2013 Insight chart (it-2 'Jesus Christ', par 230): “Passover celebration; drives traders from temple”.</t>
        </is>
      </c>
      <c r="AE532" s="7" t="n"/>
      <c r="AF532" s="7" t="n"/>
      <c r="AG532" s="7" t="n"/>
      <c r="AH532" s="7" t="n"/>
      <c r="AI532" s="7" t="n"/>
      <c r="AJ532" s="7" t="n"/>
      <c r="AK532" s="7" t="n"/>
      <c r="AL532" s="7" t="n"/>
      <c r="AM532" s="7" t="n">
        <v>30.25</v>
      </c>
      <c r="AN532" s="10" t="n"/>
      <c r="AO532" s="10" t="n"/>
      <c r="AP532" s="10" t="n"/>
      <c r="AQ532" s="10" t="n"/>
    </row>
    <row r="533">
      <c r="A533" s="7" t="inlineStr">
        <is>
          <t>b5-0024</t>
        </is>
      </c>
      <c r="B533" s="7" t="inlineStr">
        <is>
          <t>Point</t>
        </is>
      </c>
      <c r="C533" s="7" t="n"/>
      <c r="D533" s="7" t="inlineStr">
        <is>
          <t>30 C.E., Passover</t>
        </is>
      </c>
      <c r="E533" s="7" t="inlineStr">
        <is>
          <t>கி.பி. 30, பஸ்கா</t>
        </is>
      </c>
      <c r="F533" s="7" t="inlineStr">
        <is>
          <t>30 CE</t>
        </is>
      </c>
      <c r="G533" s="7" t="inlineStr">
        <is>
          <t>Exact</t>
        </is>
      </c>
      <c r="H533" s="7" t="n"/>
      <c r="I533" s="7" t="n"/>
      <c r="J533" s="7" t="n"/>
      <c r="K533" s="2" t="inlineStr">
        <is>
          <t>Talks with Nicodemus</t>
        </is>
      </c>
      <c r="L533" s="2" t="inlineStr">
        <is>
          <t>நிக்கொதேமுவிடம் பேசுகிறார்</t>
        </is>
      </c>
      <c r="M533" s="7" t="inlineStr">
        <is>
          <t>Talks with Nicodemus. The place is given as Jerusalem. NWT Study Edition Appendix A7-B (“The Beginning of Jesus’ Ministry”) dates this to 30 C.E., Passover.</t>
        </is>
      </c>
      <c r="N533" s="7" t="inlineStr">
        <is>
          <t>நிக்கொதேமுவிடம் பேசுகிறார் — எருசலேம்</t>
        </is>
      </c>
      <c r="O533" s="8" t="inlineStr">
        <is>
          <t>Bible</t>
        </is>
      </c>
      <c r="P533" s="7" t="inlineStr">
        <is>
          <t>bible.jesus</t>
        </is>
      </c>
      <c r="Q533" s="7" t="inlineStr">
        <is>
          <t>teaching</t>
        </is>
      </c>
      <c r="R533" s="7" t="inlineStr">
        <is>
          <t>Jesus; Nicodemus</t>
        </is>
      </c>
      <c r="S533" s="7" t="inlineStr">
        <is>
          <t>Jerusalem</t>
        </is>
      </c>
      <c r="T533" s="7" t="inlineStr">
        <is>
          <t>John 3:1-21</t>
        </is>
      </c>
      <c r="U533" s="7" t="inlineStr">
        <is>
          <t>யோவா 3:1-21</t>
        </is>
      </c>
      <c r="V533" s="7" t="n">
        <v>3</v>
      </c>
      <c r="W533" s="7" t="inlineStr">
        <is>
          <t>A7-B Main Events of Jesus’ Earthly Life—The Beginning of Jesus’ Ministry</t>
        </is>
      </c>
      <c r="X533" s="9" t="inlineStr">
        <is>
          <t>open</t>
        </is>
      </c>
      <c r="Y533" s="9" t="inlineStr">
        <is>
          <t>open</t>
        </is>
      </c>
      <c r="Z533" s="7" t="inlineStr">
        <is>
          <t>https://wol.jw.org/en/wol/d/r1/lp-e/1001070208
https://wol.jw.org/en/wol/d/r1/lp-e/1001061208
https://wol.jw.org/en/wol/d/r1/lp-e/1200002451</t>
        </is>
      </c>
      <c r="AA533" s="7" t="n">
        <v>2</v>
      </c>
      <c r="AB533" s="9" t="inlineStr">
        <is>
          <t>open</t>
        </is>
      </c>
      <c r="AC533" s="7" t="n">
        <v>1</v>
      </c>
      <c r="AD533" s="7" t="inlineStr">
        <is>
          <t>Wording in pre-2013 Insight chart (it-2 'Jesus Christ', par 237): “Jesus’ discussion with Nicodemus”.</t>
        </is>
      </c>
      <c r="AE533" s="7" t="n"/>
      <c r="AF533" s="7" t="n"/>
      <c r="AG533" s="7" t="n"/>
      <c r="AH533" s="7" t="n"/>
      <c r="AI533" s="7" t="n"/>
      <c r="AJ533" s="7" t="n"/>
      <c r="AK533" s="7" t="n"/>
      <c r="AL533" s="7" t="n"/>
      <c r="AM533" s="7" t="n">
        <v>30.251</v>
      </c>
      <c r="AN533" s="10" t="n"/>
      <c r="AO533" s="10" t="n"/>
      <c r="AP533" s="10" t="n"/>
      <c r="AQ533" s="10" t="n"/>
    </row>
    <row r="534">
      <c r="A534" s="7" t="inlineStr">
        <is>
          <t>b5-0025</t>
        </is>
      </c>
      <c r="B534" s="7" t="inlineStr">
        <is>
          <t>Point</t>
        </is>
      </c>
      <c r="C534" s="7" t="n"/>
      <c r="D534" s="7" t="inlineStr">
        <is>
          <t>30 C.E., Passover</t>
        </is>
      </c>
      <c r="E534" s="7" t="inlineStr">
        <is>
          <t>கி.பி. 30, பஸ்கா</t>
        </is>
      </c>
      <c r="F534" s="7" t="inlineStr">
        <is>
          <t>30 CE</t>
        </is>
      </c>
      <c r="G534" s="7" t="inlineStr">
        <is>
          <t>Exact</t>
        </is>
      </c>
      <c r="H534" s="7" t="n"/>
      <c r="I534" s="7" t="n"/>
      <c r="J534" s="7" t="n"/>
      <c r="K534" s="2" t="inlineStr">
        <is>
          <t>Jesus goes to Judean countryside; his disciples baptize</t>
        </is>
      </c>
      <c r="L534" s="2" t="inlineStr">
        <is>
          <t>யூதேயாவின் கிராமப்புறங்களுக்குப் போகிறார், சீஷர்கள் ஞானஸ்நானம் கொடுக்கிறார்கள்</t>
        </is>
      </c>
      <c r="M534" s="7" t="inlineStr">
        <is>
          <t>Jesus goes to Judean countryside; his disciples baptize. The place is given as Judea; Aenon. NWT Study Edition Appendix A7-B (“The Beginning of Jesus’ Ministry”) dates this to 30 C.E., Passover; the source row combines it with related events (“Goes to Judean countryside, his disciples baptize; John’s final witness about Jesus”).</t>
        </is>
      </c>
      <c r="N534" s="7" t="inlineStr">
        <is>
          <t>யூதேயாவின் கிராமப்புறங்களுக்குப் போகிறார், சீஷர்கள் ஞானஸ்நானம் கொடுக்கிறார்கள்; இயேசுவைப் பற்றி யோவான் கொடுக்கும் கடைசி சாட்சி — யூதேயா; அயினோன்</t>
        </is>
      </c>
      <c r="O534" s="8" t="inlineStr">
        <is>
          <t>Bible</t>
        </is>
      </c>
      <c r="P534" s="7" t="inlineStr">
        <is>
          <t>bible.jesus</t>
        </is>
      </c>
      <c r="Q534" s="7" t="inlineStr">
        <is>
          <t>baptizing</t>
        </is>
      </c>
      <c r="R534" s="7" t="inlineStr">
        <is>
          <t>Jesus</t>
        </is>
      </c>
      <c r="S534" s="7" t="inlineStr">
        <is>
          <t>Judea</t>
        </is>
      </c>
      <c r="T534" s="7" t="inlineStr">
        <is>
          <t>John 3:22-36</t>
        </is>
      </c>
      <c r="U534" s="7" t="inlineStr">
        <is>
          <t>யோவா 3:22-36</t>
        </is>
      </c>
      <c r="V534" s="7" t="n">
        <v>3</v>
      </c>
      <c r="W534" s="7" t="inlineStr">
        <is>
          <t>A7-B Main Events of Jesus’ Earthly Life—The Beginning of Jesus’ Ministry</t>
        </is>
      </c>
      <c r="X534" s="9" t="inlineStr">
        <is>
          <t>open</t>
        </is>
      </c>
      <c r="Y534" s="9" t="inlineStr">
        <is>
          <t>open</t>
        </is>
      </c>
      <c r="Z534" s="7" t="inlineStr">
        <is>
          <t>https://wol.jw.org/en/wol/d/r1/lp-e/1001070208
https://wol.jw.org/en/wol/d/r1/lp-e/1001061208
https://wol.jw.org/en/wol/d/r1/lp-e/1200002451</t>
        </is>
      </c>
      <c r="AA534" s="7" t="n">
        <v>2</v>
      </c>
      <c r="AB534" s="9" t="inlineStr">
        <is>
          <t>open</t>
        </is>
      </c>
      <c r="AC534" s="7" t="n">
        <v>1</v>
      </c>
      <c r="AD534" s="7" t="inlineStr">
        <is>
          <t>Wording in pre-2013 Insight chart (it-2 'Jesus Christ', par 244): “Jesus’ disciples baptize; John to decrease”.</t>
        </is>
      </c>
      <c r="AE534" s="7" t="n"/>
      <c r="AF534" s="7" t="n"/>
      <c r="AG534" s="7" t="n"/>
      <c r="AH534" s="7" t="n"/>
      <c r="AI534" s="7" t="n"/>
      <c r="AJ534" s="7" t="n"/>
      <c r="AK534" s="7" t="n"/>
      <c r="AL534" s="7" t="inlineStr">
        <is>
          <t>A7 row #17 split into 2 events; scripture references cover the whole source row.</t>
        </is>
      </c>
      <c r="AM534" s="7" t="n">
        <v>30.252</v>
      </c>
      <c r="AN534" s="10" t="n"/>
      <c r="AO534" s="10" t="n"/>
      <c r="AP534" s="10" t="n"/>
      <c r="AQ534" s="10" t="n"/>
    </row>
    <row r="535">
      <c r="A535" s="7" t="inlineStr">
        <is>
          <t>b5-0026</t>
        </is>
      </c>
      <c r="B535" s="7" t="inlineStr">
        <is>
          <t>Point</t>
        </is>
      </c>
      <c r="C535" s="7" t="n"/>
      <c r="D535" s="7" t="inlineStr">
        <is>
          <t>30 C.E., Passover</t>
        </is>
      </c>
      <c r="E535" s="7" t="inlineStr">
        <is>
          <t>கி.பி. 30, பஸ்கா</t>
        </is>
      </c>
      <c r="F535" s="7" t="inlineStr">
        <is>
          <t>30 CE</t>
        </is>
      </c>
      <c r="G535" s="7" t="inlineStr">
        <is>
          <t>Exact</t>
        </is>
      </c>
      <c r="H535" s="7" t="n"/>
      <c r="I535" s="7" t="n"/>
      <c r="J535" s="7" t="n"/>
      <c r="K535" s="2" t="inlineStr">
        <is>
          <t>John’s final witness about Jesus</t>
        </is>
      </c>
      <c r="L535" s="2" t="inlineStr">
        <is>
          <t>இயேசுவைப் பற்றி யோவான் கொடுக்கும் கடைசி சாட்சி</t>
        </is>
      </c>
      <c r="M535" s="7" t="inlineStr">
        <is>
          <t>John’s final witness about Jesus. The place is given as Judea; Aenon. NWT Study Edition Appendix A7-B (“The Beginning of Jesus’ Ministry”) dates this to 30 C.E., Passover; the source row combines it with related events (“Goes to Judean countryside, his disciples baptize; John’s final witness about Jesus”).</t>
        </is>
      </c>
      <c r="N535" s="7" t="inlineStr">
        <is>
          <t>யூதேயாவின் கிராமப்புறங்களுக்குப் போகிறார், சீஷர்கள் ஞானஸ்நானம் கொடுக்கிறார்கள்; இயேசுவைப் பற்றி யோவான் கொடுக்கும் கடைசி சாட்சி — யூதேயா; அயினோன்</t>
        </is>
      </c>
      <c r="O535" s="8" t="inlineStr">
        <is>
          <t>Bible</t>
        </is>
      </c>
      <c r="P535" s="7" t="inlineStr">
        <is>
          <t>bible.jesus</t>
        </is>
      </c>
      <c r="Q535" s="7" t="inlineStr">
        <is>
          <t>witness</t>
        </is>
      </c>
      <c r="R535" s="7" t="inlineStr">
        <is>
          <t>Jesus; John the Baptist</t>
        </is>
      </c>
      <c r="S535" s="7" t="inlineStr">
        <is>
          <t>Aenon</t>
        </is>
      </c>
      <c r="T535" s="7" t="inlineStr">
        <is>
          <t>John 3:22-36</t>
        </is>
      </c>
      <c r="U535" s="7" t="inlineStr">
        <is>
          <t>யோவா 3:22-36</t>
        </is>
      </c>
      <c r="V535" s="7" t="n">
        <v>3</v>
      </c>
      <c r="W535" s="7" t="inlineStr">
        <is>
          <t>A7-B Main Events of Jesus’ Earthly Life—The Beginning of Jesus’ Ministry</t>
        </is>
      </c>
      <c r="X535" s="9" t="inlineStr">
        <is>
          <t>open</t>
        </is>
      </c>
      <c r="Y535" s="9" t="inlineStr">
        <is>
          <t>open</t>
        </is>
      </c>
      <c r="Z535" s="7" t="inlineStr">
        <is>
          <t>https://wol.jw.org/en/wol/d/r1/lp-e/1001070208
https://wol.jw.org/en/wol/d/r1/lp-e/1001061208
https://wol.jw.org/en/wol/d/r1/lp-e/1200002451</t>
        </is>
      </c>
      <c r="AA535" s="7" t="n">
        <v>2</v>
      </c>
      <c r="AB535" s="9" t="inlineStr">
        <is>
          <t>open</t>
        </is>
      </c>
      <c r="AC535" s="7" t="n">
        <v>1</v>
      </c>
      <c r="AD535" s="7" t="inlineStr">
        <is>
          <t>Wording in pre-2013 Insight chart (it-2 'Jesus Christ', par 244): “Jesus’ disciples baptize; John to decrease”.</t>
        </is>
      </c>
      <c r="AE535" s="7" t="n"/>
      <c r="AF535" s="7" t="n"/>
      <c r="AG535" s="7" t="n"/>
      <c r="AH535" s="7" t="n"/>
      <c r="AI535" s="7" t="n"/>
      <c r="AJ535" s="7" t="n"/>
      <c r="AK535" s="7" t="n"/>
      <c r="AL535" s="7" t="inlineStr">
        <is>
          <t>A7 row #17 split into 2 events; scripture references cover the whole source row.</t>
        </is>
      </c>
      <c r="AM535" s="7" t="n">
        <v>30.253</v>
      </c>
      <c r="AN535" s="10" t="n"/>
      <c r="AO535" s="10" t="n"/>
      <c r="AP535" s="10" t="n"/>
      <c r="AQ535" s="10" t="n"/>
    </row>
    <row r="536">
      <c r="A536" s="7" t="inlineStr">
        <is>
          <t>b5-0027</t>
        </is>
      </c>
      <c r="B536" s="7" t="inlineStr">
        <is>
          <t>Point</t>
        </is>
      </c>
      <c r="C536" s="7" t="n"/>
      <c r="D536" s="7" t="inlineStr">
        <is>
          <t>30 C.E., Passover</t>
        </is>
      </c>
      <c r="E536" s="7" t="inlineStr">
        <is>
          <t>கி.பி. 30, பஸ்கா</t>
        </is>
      </c>
      <c r="F536" s="7" t="inlineStr">
        <is>
          <t>30 CE</t>
        </is>
      </c>
      <c r="G536" s="7" t="inlineStr">
        <is>
          <t>Exact</t>
        </is>
      </c>
      <c r="H536" s="7" t="n"/>
      <c r="I536" s="7" t="n"/>
      <c r="J536" s="7" t="n"/>
      <c r="K536" s="2" t="inlineStr">
        <is>
          <t>John imprisoned</t>
        </is>
      </c>
      <c r="L536" s="2" t="inlineStr">
        <is>
          <t>யோவான் சிறையில் தள்ளப்படுகிறார்</t>
        </is>
      </c>
      <c r="M536" s="7" t="inlineStr">
        <is>
          <t>John imprisoned. The place is given as Tiberias; Judea. NWT Study Edition Appendix A7-B (“The Beginning of Jesus’ Ministry”) dates this to 30 C.E., Passover; the source row combines it with related events (“John imprisoned; Jesus leaves for Galilee”).</t>
        </is>
      </c>
      <c r="N536" s="7" t="inlineStr">
        <is>
          <t>யோவான் சிறையில் தள்ளப்படுகிறார்; இயேசு கலிலேயாவுக்குப் புறப்படுகிறார் — திபேரியு; யூதேயா</t>
        </is>
      </c>
      <c r="O536" s="8" t="inlineStr">
        <is>
          <t>Bible</t>
        </is>
      </c>
      <c r="P536" s="7" t="inlineStr">
        <is>
          <t>bible.jesus</t>
        </is>
      </c>
      <c r="Q536" s="7" t="inlineStr">
        <is>
          <t>imprisonment</t>
        </is>
      </c>
      <c r="R536" s="7" t="inlineStr">
        <is>
          <t>John the Baptist</t>
        </is>
      </c>
      <c r="S536" s="7" t="inlineStr">
        <is>
          <t>Tiberias</t>
        </is>
      </c>
      <c r="T536" s="7" t="inlineStr">
        <is>
          <t>Matt. 4:12; Matt. 14:3-5; Mark 6:17-20; Luke 3:19, 20; John 4:1-3</t>
        </is>
      </c>
      <c r="U536" s="7" t="inlineStr">
        <is>
          <t>மத் 4:12; மத் 14:3-5; மாற் 6:17-20; லூக் 3:19, 20; யோவா 4:1-3</t>
        </is>
      </c>
      <c r="V536" s="7" t="n">
        <v>3</v>
      </c>
      <c r="W536" s="7" t="inlineStr">
        <is>
          <t>A7-B Main Events of Jesus’ Earthly Life—The Beginning of Jesus’ Ministry</t>
        </is>
      </c>
      <c r="X536" s="9" t="inlineStr">
        <is>
          <t>open</t>
        </is>
      </c>
      <c r="Y536" s="9" t="inlineStr">
        <is>
          <t>open</t>
        </is>
      </c>
      <c r="Z536" s="7" t="inlineStr">
        <is>
          <t>https://wol.jw.org/en/wol/d/r1/lp-e/1001070208
https://wol.jw.org/en/wol/d/r1/lp-e/1001061208
https://wol.jw.org/en/wol/d/r1/lp-e/1200002451</t>
        </is>
      </c>
      <c r="AA536" s="7" t="n">
        <v>2</v>
      </c>
      <c r="AB536" s="9" t="inlineStr">
        <is>
          <t>open</t>
        </is>
      </c>
      <c r="AC536" s="7" t="n">
        <v>3</v>
      </c>
      <c r="AD536" s="7" t="inlineStr">
        <is>
          <t>Place wording differs: Insight chart has “Tiberias”; A7-B has “Tiberias; Judea”. | Gospel references differ: Insight chart lists “Mt 4:12; 14:3-5; Mr 1:14; 6:17-20; Lu 3:19, 20; 4:14; Joh 4:1-3”; A7-B lists “Mt 4:12; 14:3-5; Mr 6:17-20; Lu 3:19, 20; Joh 4:1-3”. | Wording in pre-2013 Insight chart (it-2 'Jesus Christ', par 251): “John imprisoned; Jesus leaves for Galilee”.</t>
        </is>
      </c>
      <c r="AE536" s="7" t="n"/>
      <c r="AF536" s="7" t="n"/>
      <c r="AG536" s="7" t="n"/>
      <c r="AH536" s="7" t="n"/>
      <c r="AI536" s="7" t="inlineStr">
        <is>
          <t>Span endpoint – keep</t>
        </is>
      </c>
      <c r="AJ536" s="7" t="inlineStr">
        <is>
          <t>end of Ministry of John the Baptizer (b12-0043)</t>
        </is>
      </c>
      <c r="AK536" s="7" t="n"/>
      <c r="AL536" s="7" t="inlineStr">
        <is>
          <t>A7 row #18 split into 2 events; scripture references cover the whole source row.</t>
        </is>
      </c>
      <c r="AM536" s="7" t="n">
        <v>30.254</v>
      </c>
      <c r="AN536" s="10" t="n"/>
      <c r="AO536" s="10" t="n"/>
      <c r="AP536" s="10" t="n"/>
      <c r="AQ536" s="10" t="n"/>
    </row>
    <row r="537">
      <c r="A537" s="7" t="inlineStr">
        <is>
          <t>b5-0028</t>
        </is>
      </c>
      <c r="B537" s="7" t="inlineStr">
        <is>
          <t>Point</t>
        </is>
      </c>
      <c r="C537" s="7" t="n"/>
      <c r="D537" s="7" t="inlineStr">
        <is>
          <t>30 C.E., Passover</t>
        </is>
      </c>
      <c r="E537" s="7" t="inlineStr">
        <is>
          <t>கி.பி. 30, பஸ்கா</t>
        </is>
      </c>
      <c r="F537" s="7" t="inlineStr">
        <is>
          <t>30 CE</t>
        </is>
      </c>
      <c r="G537" s="7" t="inlineStr">
        <is>
          <t>Exact</t>
        </is>
      </c>
      <c r="H537" s="7" t="n"/>
      <c r="I537" s="7" t="n"/>
      <c r="J537" s="7" t="n"/>
      <c r="K537" s="2" t="inlineStr">
        <is>
          <t>Jesus leaves for Galilee</t>
        </is>
      </c>
      <c r="L537" s="2" t="inlineStr">
        <is>
          <t>இயேசு கலிலேயாவுக்குப் புறப்படுகிறார்</t>
        </is>
      </c>
      <c r="M537" s="7" t="inlineStr">
        <is>
          <t>Jesus leaves for Galilee. The place is given as Tiberias; Judea. NWT Study Edition Appendix A7-B (“The Beginning of Jesus’ Ministry”) dates this to 30 C.E., Passover; the source row combines it with related events (“John imprisoned; Jesus leaves for Galilee”).</t>
        </is>
      </c>
      <c r="N537" s="7" t="inlineStr">
        <is>
          <t>யோவான் சிறையில் தள்ளப்படுகிறார்; இயேசு கலிலேயாவுக்குப் புறப்படுகிறார் — திபேரியு; யூதேயா</t>
        </is>
      </c>
      <c r="O537" s="8" t="inlineStr">
        <is>
          <t>Bible</t>
        </is>
      </c>
      <c r="P537" s="7" t="inlineStr">
        <is>
          <t>bible.jesus</t>
        </is>
      </c>
      <c r="Q537" s="7" t="inlineStr">
        <is>
          <t>journey</t>
        </is>
      </c>
      <c r="R537" s="7" t="inlineStr">
        <is>
          <t>Jesus</t>
        </is>
      </c>
      <c r="S537" s="7" t="inlineStr">
        <is>
          <t>Judea; Galilee</t>
        </is>
      </c>
      <c r="T537" s="7" t="inlineStr">
        <is>
          <t>Matt. 4:12; Matt. 14:3-5; Mark 6:17-20; Luke 3:19, 20; John 4:1-3</t>
        </is>
      </c>
      <c r="U537" s="7" t="inlineStr">
        <is>
          <t>மத் 4:12; மத் 14:3-5; மாற் 6:17-20; லூக் 3:19, 20; யோவா 4:1-3</t>
        </is>
      </c>
      <c r="V537" s="7" t="n">
        <v>3</v>
      </c>
      <c r="W537" s="7" t="inlineStr">
        <is>
          <t>A7-B Main Events of Jesus’ Earthly Life—The Beginning of Jesus’ Ministry</t>
        </is>
      </c>
      <c r="X537" s="9" t="inlineStr">
        <is>
          <t>open</t>
        </is>
      </c>
      <c r="Y537" s="9" t="inlineStr">
        <is>
          <t>open</t>
        </is>
      </c>
      <c r="Z537" s="7" t="inlineStr">
        <is>
          <t>https://wol.jw.org/en/wol/d/r1/lp-e/1001070208
https://wol.jw.org/en/wol/d/r1/lp-e/1001061208
https://wol.jw.org/en/wol/d/r1/lp-e/1200002451</t>
        </is>
      </c>
      <c r="AA537" s="7" t="n">
        <v>2</v>
      </c>
      <c r="AB537" s="9" t="inlineStr">
        <is>
          <t>open</t>
        </is>
      </c>
      <c r="AC537" s="7" t="n">
        <v>3</v>
      </c>
      <c r="AD537" s="7" t="inlineStr">
        <is>
          <t>Place wording differs: Insight chart has “Tiberias”; A7-B has “Tiberias; Judea”. | Gospel references differ: Insight chart lists “Mt 4:12; 14:3-5; Mr 1:14; 6:17-20; Lu 3:19, 20; 4:14; Joh 4:1-3”; A7-B lists “Mt 4:12; 14:3-5; Mr 6:17-20; Lu 3:19, 20; Joh 4:1-3”. | Wording in pre-2013 Insight chart (it-2 'Jesus Christ', par 251): “John imprisoned; Jesus leaves for Galilee”.</t>
        </is>
      </c>
      <c r="AE537" s="7" t="n"/>
      <c r="AF537" s="7" t="n"/>
      <c r="AG537" s="7" t="n"/>
      <c r="AH537" s="7" t="n"/>
      <c r="AI537" s="7" t="n"/>
      <c r="AJ537" s="7" t="n"/>
      <c r="AK537" s="7" t="n"/>
      <c r="AL537" s="7" t="inlineStr">
        <is>
          <t>A7 row #18 split into 2 events; scripture references cover the whole source row.</t>
        </is>
      </c>
      <c r="AM537" s="7" t="n">
        <v>30.255</v>
      </c>
      <c r="AN537" s="10" t="n"/>
      <c r="AO537" s="10" t="n"/>
      <c r="AP537" s="10" t="n"/>
      <c r="AQ537" s="10" t="n"/>
    </row>
    <row r="538">
      <c r="A538" s="7" t="inlineStr">
        <is>
          <t>b5-0029</t>
        </is>
      </c>
      <c r="B538" s="7" t="inlineStr">
        <is>
          <t>Point</t>
        </is>
      </c>
      <c r="C538" s="7" t="n"/>
      <c r="D538" s="7" t="inlineStr">
        <is>
          <t>30 C.E., Passover</t>
        </is>
      </c>
      <c r="E538" s="7" t="inlineStr">
        <is>
          <t>கி.பி. 30, பஸ்கா</t>
        </is>
      </c>
      <c r="F538" s="7" t="inlineStr">
        <is>
          <t>30 CE</t>
        </is>
      </c>
      <c r="G538" s="7" t="inlineStr">
        <is>
          <t>Exact</t>
        </is>
      </c>
      <c r="H538" s="7" t="n"/>
      <c r="I538" s="7" t="n"/>
      <c r="J538" s="7" t="n"/>
      <c r="K538" s="2" t="inlineStr">
        <is>
          <t>En route to Galilee, teaches the Samaritans</t>
        </is>
      </c>
      <c r="L538" s="2" t="inlineStr">
        <is>
          <t>கலிலேயாவுக்குப் போகும் வழியில், சமாரியர்களுக்குக் கற்றுக்கொடுக்கிறார்</t>
        </is>
      </c>
      <c r="M538" s="7" t="inlineStr">
        <is>
          <t>En route to Galilee, teaches the Samaritans. The place is given as Sychar, in Samaria. NWT Study Edition Appendix A7-B (“The Beginning of Jesus’ Ministry”) dates this to 30 C.E., Passover.</t>
        </is>
      </c>
      <c r="N538" s="7" t="inlineStr">
        <is>
          <t>கலிலேயாவுக்குப் போகும் வழியில், சமாரியர்களுக்குக் கற்றுக்கொடுக்கிறார் — சமாரியாவிலுள்ள சீகார்</t>
        </is>
      </c>
      <c r="O538" s="8" t="inlineStr">
        <is>
          <t>Bible</t>
        </is>
      </c>
      <c r="P538" s="7" t="inlineStr">
        <is>
          <t>bible.jesus</t>
        </is>
      </c>
      <c r="Q538" s="7" t="inlineStr">
        <is>
          <t>journey</t>
        </is>
      </c>
      <c r="R538" s="7" t="inlineStr">
        <is>
          <t>Jesus</t>
        </is>
      </c>
      <c r="S538" s="7" t="inlineStr">
        <is>
          <t>Sychar; Samaria</t>
        </is>
      </c>
      <c r="T538" s="7" t="inlineStr">
        <is>
          <t>John 4:4-43</t>
        </is>
      </c>
      <c r="U538" s="7" t="inlineStr">
        <is>
          <t>யோவா 4:4-43</t>
        </is>
      </c>
      <c r="V538" s="7" t="n">
        <v>3</v>
      </c>
      <c r="W538" s="7" t="inlineStr">
        <is>
          <t>A7-B Main Events of Jesus’ Earthly Life—The Beginning of Jesus’ Ministry</t>
        </is>
      </c>
      <c r="X538" s="9" t="inlineStr">
        <is>
          <t>open</t>
        </is>
      </c>
      <c r="Y538" s="9" t="inlineStr">
        <is>
          <t>open</t>
        </is>
      </c>
      <c r="Z538" s="7" t="inlineStr">
        <is>
          <t>https://wol.jw.org/en/wol/d/r1/lp-e/1001070208
https://wol.jw.org/en/wol/d/r1/lp-e/1001061208
https://wol.jw.org/en/wol/d/r1/lp-e/1200002451</t>
        </is>
      </c>
      <c r="AA538" s="7" t="n">
        <v>2</v>
      </c>
      <c r="AB538" s="9" t="inlineStr">
        <is>
          <t>open</t>
        </is>
      </c>
      <c r="AC538" s="7" t="n">
        <v>1</v>
      </c>
      <c r="AD538" s="7" t="inlineStr">
        <is>
          <t>Wording in pre-2013 Insight chart (it-2 'Jesus Christ', par 258): “En route to Galilee, Jesus teaches the Samaritans”.</t>
        </is>
      </c>
      <c r="AE538" s="7" t="n"/>
      <c r="AF538" s="7" t="n"/>
      <c r="AG538" s="7" t="n"/>
      <c r="AH538" s="7" t="n"/>
      <c r="AI538" s="7" t="n"/>
      <c r="AJ538" s="7" t="n"/>
      <c r="AK538" s="7" t="n"/>
      <c r="AL538" s="7" t="n"/>
      <c r="AM538" s="7" t="n">
        <v>30.256</v>
      </c>
      <c r="AN538" s="10" t="n"/>
      <c r="AO538" s="10" t="n"/>
      <c r="AP538" s="10" t="n"/>
      <c r="AQ538" s="10" t="n"/>
    </row>
    <row r="539">
      <c r="A539" s="7" t="inlineStr">
        <is>
          <t>b5-0030</t>
        </is>
      </c>
      <c r="B539" s="7" t="inlineStr">
        <is>
          <t>Point</t>
        </is>
      </c>
      <c r="C539" s="7" t="n"/>
      <c r="D539" s="7" t="inlineStr">
        <is>
          <t>30 C.E.</t>
        </is>
      </c>
      <c r="E539" s="7" t="inlineStr">
        <is>
          <t>கி.பி. 30</t>
        </is>
      </c>
      <c r="F539" s="7" t="inlineStr">
        <is>
          <t>30 CE</t>
        </is>
      </c>
      <c r="G539" s="7" t="inlineStr">
        <is>
          <t>Exact</t>
        </is>
      </c>
      <c r="H539" s="7" t="n"/>
      <c r="I539" s="7" t="n"/>
      <c r="J539" s="7" t="n"/>
      <c r="K539" s="2" t="inlineStr">
        <is>
          <t>Jesus first announces that “the Kingdom of the heavens has drawn near”</t>
        </is>
      </c>
      <c r="L539" s="2" t="inlineStr">
        <is>
          <t>“பரலோக அரசாங்கம் நெருங்கி வந்துவிட்டது” என்று இயேசு முதன்முதலில் அறிவிக்கிறார்</t>
        </is>
      </c>
      <c r="M539" s="7" t="inlineStr">
        <is>
          <t>Jesus first announces that “the Kingdom of the heavens has drawn near”. The place is given as Galilee. NWT Study Edition Appendix A7-C (“Jesus’ Great Ministry in Galilee (Part 1)”) dates this to 30 C.E..</t>
        </is>
      </c>
      <c r="N539" s="7" t="inlineStr">
        <is>
          <t>“பரலோக அரசாங்கம் நெருங்கி வந்துவிட்டது” என்று இயேசு முதன்முதலில் அறிவிக்கிறார் — கலிலேயா</t>
        </is>
      </c>
      <c r="O539" s="8" t="inlineStr">
        <is>
          <t>Bible</t>
        </is>
      </c>
      <c r="P539" s="7" t="inlineStr">
        <is>
          <t>bible.jesus</t>
        </is>
      </c>
      <c r="Q539" s="7" t="inlineStr">
        <is>
          <t>proclamation</t>
        </is>
      </c>
      <c r="R539" s="7" t="inlineStr">
        <is>
          <t>Jesus</t>
        </is>
      </c>
      <c r="S539" s="7" t="inlineStr">
        <is>
          <t>Galilee</t>
        </is>
      </c>
      <c r="T539" s="7" t="inlineStr">
        <is>
          <t>Matt. 4:17; Mark 1:14, 15; Luke 4:14, 15; John 4:44, 45</t>
        </is>
      </c>
      <c r="U539" s="7" t="inlineStr">
        <is>
          <t>மத் 4:17; மாற் 1:14, 15; லூக் 4:14, 15; யோவா 4:44, 45</t>
        </is>
      </c>
      <c r="V539" s="7" t="n">
        <v>3</v>
      </c>
      <c r="W539" s="7" t="inlineStr">
        <is>
          <t>A7-C Main Events of Jesus’ Earthly Life—Jesus’ Great Ministry in Galilee (Part 1)</t>
        </is>
      </c>
      <c r="X539" s="9" t="inlineStr">
        <is>
          <t>open</t>
        </is>
      </c>
      <c r="Y539" s="9" t="inlineStr">
        <is>
          <t>open</t>
        </is>
      </c>
      <c r="Z539" s="7" t="inlineStr">
        <is>
          <t>https://wol.jw.org/en/wol/d/r1/lp-e/1001070209
https://wol.jw.org/en/wol/d/r1/lp-e/1001061209
https://wol.jw.org/en/wol/d/r1/lp-e/1200002451</t>
        </is>
      </c>
      <c r="AA539" s="7" t="n">
        <v>2</v>
      </c>
      <c r="AB539" s="9" t="inlineStr">
        <is>
          <t>open</t>
        </is>
      </c>
      <c r="AC539" s="7" t="n">
        <v>2</v>
      </c>
      <c r="AD539" s="7" t="inlineStr">
        <is>
          <t>Dating differs: pre-2013 Insight chart (it-2 'Jesus Christ', par 273) places this under “30, Passover”; NWT Study Edition A7-C has “30”. (Insight’s Galilee section opens without a time, so its rows fall under the preceding “30, Passover”.) | Wording in pre-2013 Insight chart (it-2 'Jesus Christ', par 273): “First announces, “The kingdom of the heavens has drawn near””.</t>
        </is>
      </c>
      <c r="AE539" s="7" t="n"/>
      <c r="AF539" s="7" t="n"/>
      <c r="AG539" s="7" t="n"/>
      <c r="AH539" s="7" t="n"/>
      <c r="AI539" s="7" t="n"/>
      <c r="AJ539" s="7" t="n"/>
      <c r="AK539" s="7" t="n"/>
      <c r="AL539" s="7" t="n"/>
      <c r="AM539" s="7" t="n">
        <v>30.4</v>
      </c>
      <c r="AN539" s="10" t="n"/>
      <c r="AO539" s="10" t="n"/>
      <c r="AP539" s="10" t="n"/>
      <c r="AQ539" s="10" t="n"/>
    </row>
    <row r="540">
      <c r="A540" s="7" t="inlineStr">
        <is>
          <t>b5-0031</t>
        </is>
      </c>
      <c r="B540" s="7" t="inlineStr">
        <is>
          <t>Point</t>
        </is>
      </c>
      <c r="C540" s="7" t="n"/>
      <c r="D540" s="7" t="inlineStr">
        <is>
          <t>30 C.E.</t>
        </is>
      </c>
      <c r="E540" s="7" t="inlineStr">
        <is>
          <t>கி.பி. 30</t>
        </is>
      </c>
      <c r="F540" s="7" t="inlineStr">
        <is>
          <t>30 CE</t>
        </is>
      </c>
      <c r="G540" s="7" t="inlineStr">
        <is>
          <t>Exact</t>
        </is>
      </c>
      <c r="H540" s="7" t="n"/>
      <c r="I540" s="7" t="n"/>
      <c r="J540" s="7" t="n"/>
      <c r="K540" s="2" t="inlineStr">
        <is>
          <t>Jesus heals official’s son</t>
        </is>
      </c>
      <c r="L540" s="2" t="inlineStr">
        <is>
          <t>அதிகாரியின் மகனைக் குணப்படுத்துகிறார்</t>
        </is>
      </c>
      <c r="M540" s="7" t="inlineStr">
        <is>
          <t>Jesus heals official’s son. The place is given as Cana; Nazareth; Capernaum. NWT Study Edition Appendix A7-C (“Jesus’ Great Ministry in Galilee (Part 1)”) dates this to 30 C.E.; the source row combines it with related events (“Heals official’s son; reads from Isaiah scroll; goes to Capernaum”).</t>
        </is>
      </c>
      <c r="N540" s="7" t="inlineStr">
        <is>
          <t>அதிகாரியின் மகனைக் குணப்படுத்துகிறார்; ஏசாயா சுருளிலிருந்து வாசிக்கிறார்; கப்பர்நகூமுக்குப் போகிறார் — கானா; நாசரேத்; கப்பர்நகூம்</t>
        </is>
      </c>
      <c r="O540" s="8" t="inlineStr">
        <is>
          <t>Bible</t>
        </is>
      </c>
      <c r="P540" s="7" t="inlineStr">
        <is>
          <t>bible.jesus</t>
        </is>
      </c>
      <c r="Q540" s="7" t="inlineStr">
        <is>
          <t>miracle</t>
        </is>
      </c>
      <c r="R540" s="7" t="inlineStr">
        <is>
          <t>Jesus</t>
        </is>
      </c>
      <c r="S540" s="7" t="inlineStr">
        <is>
          <t>Cana</t>
        </is>
      </c>
      <c r="T540" s="7" t="inlineStr">
        <is>
          <t>Matt. 4:13-16; Luke 4:16-31; John 4:46-54</t>
        </is>
      </c>
      <c r="U540" s="7" t="inlineStr">
        <is>
          <t>மத் 4:13-16; லூக் 4:16-31; யோவா 4:46-54</t>
        </is>
      </c>
      <c r="V540" s="7" t="n">
        <v>3</v>
      </c>
      <c r="W540" s="7" t="inlineStr">
        <is>
          <t>A7-C Main Events of Jesus’ Earthly Life—Jesus’ Great Ministry in Galilee (Part 1)</t>
        </is>
      </c>
      <c r="X540" s="9" t="inlineStr">
        <is>
          <t>open</t>
        </is>
      </c>
      <c r="Y540" s="9" t="inlineStr">
        <is>
          <t>open</t>
        </is>
      </c>
      <c r="Z540" s="7" t="inlineStr">
        <is>
          <t>https://wol.jw.org/en/wol/d/r1/lp-e/1001070209
https://wol.jw.org/en/wol/d/r1/lp-e/1001061209
https://wol.jw.org/en/wol/d/r1/lp-e/1200002451</t>
        </is>
      </c>
      <c r="AA540" s="7" t="n">
        <v>1</v>
      </c>
      <c r="AB540" s="9" t="inlineStr">
        <is>
          <t>open</t>
        </is>
      </c>
      <c r="AC540" s="7" t="n">
        <v>2</v>
      </c>
      <c r="AD540" s="7" t="inlineStr">
        <is>
          <t>Dating differs: pre-2013 Insight chart (it-2 'Jesus Christ', par 280) places this under “30, Passover”; NWT Study Edition A7-C has “30”. (Insight’s Galilee section opens without a time, so its rows fall under the preceding “30, Passover”.) (Insight’s Galilee section opens without a time, so its rows fall under the preceding “30, Passover”.) (Insight’s Galilee section opens without a time, so its rows fall under the preceding “30, Passover”.) | Wording in pre-2013 Insight chart (it-2 'Jesus Christ', par 280): “Heals boy; reads commission; rejected; moves to Capernaum”.</t>
        </is>
      </c>
      <c r="AE540" s="7" t="n"/>
      <c r="AF540" s="7" t="n"/>
      <c r="AG540" s="7" t="n"/>
      <c r="AH540" s="7" t="n"/>
      <c r="AI540" s="7" t="n"/>
      <c r="AJ540" s="7" t="n"/>
      <c r="AK540" s="7" t="n"/>
      <c r="AL540" s="7" t="inlineStr">
        <is>
          <t>A7 row #21 split into 3 events; scripture references cover the whole source row.</t>
        </is>
      </c>
      <c r="AM540" s="7" t="n">
        <v>30.401</v>
      </c>
      <c r="AN540" s="10" t="n"/>
      <c r="AO540" s="10" t="n"/>
      <c r="AP540" s="10" t="n"/>
      <c r="AQ540" s="10" t="n"/>
    </row>
    <row r="541">
      <c r="A541" s="7" t="inlineStr">
        <is>
          <t>b5-0032</t>
        </is>
      </c>
      <c r="B541" s="7" t="inlineStr">
        <is>
          <t>Point</t>
        </is>
      </c>
      <c r="C541" s="7" t="n"/>
      <c r="D541" s="7" t="inlineStr">
        <is>
          <t>30 C.E.</t>
        </is>
      </c>
      <c r="E541" s="7" t="inlineStr">
        <is>
          <t>கி.பி. 30</t>
        </is>
      </c>
      <c r="F541" s="7" t="inlineStr">
        <is>
          <t>30 CE</t>
        </is>
      </c>
      <c r="G541" s="7" t="inlineStr">
        <is>
          <t>Exact</t>
        </is>
      </c>
      <c r="H541" s="7" t="n"/>
      <c r="I541" s="7" t="n"/>
      <c r="J541" s="7" t="n"/>
      <c r="K541" s="2" t="inlineStr">
        <is>
          <t>Jesus reads from Isaiah scroll</t>
        </is>
      </c>
      <c r="L541" s="2" t="inlineStr">
        <is>
          <t>ஏசாயா சுருளிலிருந்து வாசிக்கிறார்</t>
        </is>
      </c>
      <c r="M541" s="7" t="inlineStr">
        <is>
          <t>Jesus reads from Isaiah scroll. The place is given as Cana; Nazareth; Capernaum. NWT Study Edition Appendix A7-C (“Jesus’ Great Ministry in Galilee (Part 1)”) dates this to 30 C.E.; the source row combines it with related events (“Heals official’s son; reads from Isaiah scroll; goes to Capernaum”).</t>
        </is>
      </c>
      <c r="N541" s="7" t="inlineStr">
        <is>
          <t>அதிகாரியின் மகனைக் குணப்படுத்துகிறார்; ஏசாயா சுருளிலிருந்து வாசிக்கிறார்; கப்பர்நகூமுக்குப் போகிறார் — கானா; நாசரேத்; கப்பர்நகூம்</t>
        </is>
      </c>
      <c r="O541" s="8" t="inlineStr">
        <is>
          <t>Bible</t>
        </is>
      </c>
      <c r="P541" s="7" t="inlineStr">
        <is>
          <t>bible.jesus</t>
        </is>
      </c>
      <c r="Q541" s="7" t="inlineStr">
        <is>
          <t>teaching</t>
        </is>
      </c>
      <c r="R541" s="7" t="inlineStr">
        <is>
          <t>Jesus; Isaiah</t>
        </is>
      </c>
      <c r="S541" s="7" t="inlineStr">
        <is>
          <t>Nazareth</t>
        </is>
      </c>
      <c r="T541" s="7" t="inlineStr">
        <is>
          <t>Matt. 4:13-16; Luke 4:16-31; John 4:46-54</t>
        </is>
      </c>
      <c r="U541" s="7" t="inlineStr">
        <is>
          <t>மத் 4:13-16; லூக் 4:16-31; யோவா 4:46-54</t>
        </is>
      </c>
      <c r="V541" s="7" t="n">
        <v>3</v>
      </c>
      <c r="W541" s="7" t="inlineStr">
        <is>
          <t>A7-C Main Events of Jesus’ Earthly Life—Jesus’ Great Ministry in Galilee (Part 1)</t>
        </is>
      </c>
      <c r="X541" s="9" t="inlineStr">
        <is>
          <t>open</t>
        </is>
      </c>
      <c r="Y541" s="9" t="inlineStr">
        <is>
          <t>open</t>
        </is>
      </c>
      <c r="Z541" s="7" t="inlineStr">
        <is>
          <t>https://wol.jw.org/en/wol/d/r1/lp-e/1001070209
https://wol.jw.org/en/wol/d/r1/lp-e/1001061209
https://wol.jw.org/en/wol/d/r1/lp-e/1200002451</t>
        </is>
      </c>
      <c r="AA541" s="7" t="n">
        <v>1</v>
      </c>
      <c r="AB541" s="9" t="inlineStr">
        <is>
          <t>open</t>
        </is>
      </c>
      <c r="AC541" s="7" t="n">
        <v>2</v>
      </c>
      <c r="AD541" s="7" t="inlineStr">
        <is>
          <t>Dating differs: pre-2013 Insight chart (it-2 'Jesus Christ', par 280) places this under “30, Passover”; NWT Study Edition A7-C has “30”. (Insight’s Galilee section opens without a time, so its rows fall under the preceding “30, Passover”.) (Insight’s Galilee section opens without a time, so its rows fall under the preceding “30, Passover”.) (Insight’s Galilee section opens without a time, so its rows fall under the preceding “30, Passover”.) | Wording in pre-2013 Insight chart (it-2 'Jesus Christ', par 280): “Heals boy; reads commission; rejected; moves to Capernaum”.</t>
        </is>
      </c>
      <c r="AE541" s="7" t="n"/>
      <c r="AF541" s="7" t="n"/>
      <c r="AG541" s="7" t="n"/>
      <c r="AH541" s="7" t="n"/>
      <c r="AI541" s="7" t="n"/>
      <c r="AJ541" s="7" t="n"/>
      <c r="AK541" s="7" t="inlineStr">
        <is>
          <t>messianic-prophecies #85 (fulfillment)</t>
        </is>
      </c>
      <c r="AL541" s="7" t="inlineStr">
        <is>
          <t>A7 row #21 split into 3 events; scripture references cover the whole source row.</t>
        </is>
      </c>
      <c r="AM541" s="7" t="n">
        <v>30.402</v>
      </c>
      <c r="AN541" s="10" t="n"/>
      <c r="AO541" s="10" t="n"/>
      <c r="AP541" s="10" t="n"/>
      <c r="AQ541" s="10" t="n"/>
    </row>
    <row r="542">
      <c r="A542" s="7" t="inlineStr">
        <is>
          <t>b5-0033</t>
        </is>
      </c>
      <c r="B542" s="7" t="inlineStr">
        <is>
          <t>Point</t>
        </is>
      </c>
      <c r="C542" s="7" t="n"/>
      <c r="D542" s="7" t="inlineStr">
        <is>
          <t>30 C.E.</t>
        </is>
      </c>
      <c r="E542" s="7" t="inlineStr">
        <is>
          <t>கி.பி. 30</t>
        </is>
      </c>
      <c r="F542" s="7" t="inlineStr">
        <is>
          <t>30 CE</t>
        </is>
      </c>
      <c r="G542" s="7" t="inlineStr">
        <is>
          <t>Exact</t>
        </is>
      </c>
      <c r="H542" s="7" t="n"/>
      <c r="I542" s="7" t="n"/>
      <c r="J542" s="7" t="n"/>
      <c r="K542" s="2" t="inlineStr">
        <is>
          <t>Jesus goes to Capernaum</t>
        </is>
      </c>
      <c r="L542" s="2" t="inlineStr">
        <is>
          <t>கப்பர்நகூமுக்குப் போகிறார்</t>
        </is>
      </c>
      <c r="M542" s="7" t="inlineStr">
        <is>
          <t>Jesus goes to Capernaum. The place is given as Cana; Nazareth; Capernaum. NWT Study Edition Appendix A7-C (“Jesus’ Great Ministry in Galilee (Part 1)”) dates this to 30 C.E.; the source row combines it with related events (“Heals official’s son; reads from Isaiah scroll; goes to Capernaum”).</t>
        </is>
      </c>
      <c r="N542" s="7" t="inlineStr">
        <is>
          <t>அதிகாரியின் மகனைக் குணப்படுத்துகிறார்; ஏசாயா சுருளிலிருந்து வாசிக்கிறார்; கப்பர்நகூமுக்குப் போகிறார் — கானா; நாசரேத்; கப்பர்நகூம்</t>
        </is>
      </c>
      <c r="O542" s="8" t="inlineStr">
        <is>
          <t>Bible</t>
        </is>
      </c>
      <c r="P542" s="7" t="inlineStr">
        <is>
          <t>bible.jesus</t>
        </is>
      </c>
      <c r="Q542" s="7" t="inlineStr">
        <is>
          <t>journey</t>
        </is>
      </c>
      <c r="R542" s="7" t="inlineStr">
        <is>
          <t>Jesus</t>
        </is>
      </c>
      <c r="S542" s="7" t="inlineStr">
        <is>
          <t>Capernaum</t>
        </is>
      </c>
      <c r="T542" s="7" t="inlineStr">
        <is>
          <t>Matt. 4:13-16; Luke 4:16-31; John 4:46-54</t>
        </is>
      </c>
      <c r="U542" s="7" t="inlineStr">
        <is>
          <t>மத் 4:13-16; லூக் 4:16-31; யோவா 4:46-54</t>
        </is>
      </c>
      <c r="V542" s="7" t="n">
        <v>3</v>
      </c>
      <c r="W542" s="7" t="inlineStr">
        <is>
          <t>A7-C Main Events of Jesus’ Earthly Life—Jesus’ Great Ministry in Galilee (Part 1)</t>
        </is>
      </c>
      <c r="X542" s="9" t="inlineStr">
        <is>
          <t>open</t>
        </is>
      </c>
      <c r="Y542" s="9" t="inlineStr">
        <is>
          <t>open</t>
        </is>
      </c>
      <c r="Z542" s="7" t="inlineStr">
        <is>
          <t>https://wol.jw.org/en/wol/d/r1/lp-e/1001070209
https://wol.jw.org/en/wol/d/r1/lp-e/1001061209
https://wol.jw.org/en/wol/d/r1/lp-e/1200002451</t>
        </is>
      </c>
      <c r="AA542" s="7" t="n">
        <v>1</v>
      </c>
      <c r="AB542" s="9" t="inlineStr">
        <is>
          <t>open</t>
        </is>
      </c>
      <c r="AC542" s="7" t="n">
        <v>2</v>
      </c>
      <c r="AD542" s="7" t="inlineStr">
        <is>
          <t>Dating differs: pre-2013 Insight chart (it-2 'Jesus Christ', par 280) places this under “30, Passover”; NWT Study Edition A7-C has “30”. (Insight’s Galilee section opens without a time, so its rows fall under the preceding “30, Passover”.) (Insight’s Galilee section opens without a time, so its rows fall under the preceding “30, Passover”.) (Insight’s Galilee section opens without a time, so its rows fall under the preceding “30, Passover”.) | Wording in pre-2013 Insight chart (it-2 'Jesus Christ', par 280): “Heals boy; reads commission; rejected; moves to Capernaum”.</t>
        </is>
      </c>
      <c r="AE542" s="7" t="n"/>
      <c r="AF542" s="7" t="n"/>
      <c r="AG542" s="7" t="n"/>
      <c r="AH542" s="7" t="n"/>
      <c r="AI542" s="7" t="n"/>
      <c r="AJ542" s="7" t="n"/>
      <c r="AK542" s="7" t="inlineStr">
        <is>
          <t>messianic-prophecies #95 (fulfillment)</t>
        </is>
      </c>
      <c r="AL542" s="7" t="inlineStr">
        <is>
          <t>A7 row #21 split into 3 events; scripture references cover the whole source row.</t>
        </is>
      </c>
      <c r="AM542" s="7" t="n">
        <v>30.403</v>
      </c>
      <c r="AN542" s="10" t="n"/>
      <c r="AO542" s="10" t="n"/>
      <c r="AP542" s="10" t="n"/>
      <c r="AQ542" s="10" t="n"/>
    </row>
    <row r="543">
      <c r="A543" s="7" t="inlineStr">
        <is>
          <t>b5-0034</t>
        </is>
      </c>
      <c r="B543" s="7" t="inlineStr">
        <is>
          <t>Point</t>
        </is>
      </c>
      <c r="C543" s="7" t="n"/>
      <c r="D543" s="7" t="inlineStr">
        <is>
          <t>30 C.E.</t>
        </is>
      </c>
      <c r="E543" s="7" t="inlineStr">
        <is>
          <t>கி.பி. 30</t>
        </is>
      </c>
      <c r="F543" s="7" t="inlineStr">
        <is>
          <t>30 CE</t>
        </is>
      </c>
      <c r="G543" s="7" t="inlineStr">
        <is>
          <t>Exact</t>
        </is>
      </c>
      <c r="H543" s="7" t="n"/>
      <c r="I543" s="7" t="n"/>
      <c r="J543" s="7" t="n"/>
      <c r="K543" s="2" t="inlineStr">
        <is>
          <t>Calls four disciples: Simon and Andrew, James and John</t>
        </is>
      </c>
      <c r="L543" s="2" t="inlineStr">
        <is>
          <t>நான்கு சீஷர்களைக் கூப்பிடுகிறார்: சீமோன், அந்திரேயா யாக்கோபு, யோவான்</t>
        </is>
      </c>
      <c r="M543" s="7" t="inlineStr">
        <is>
          <t>Calls four disciples: Simon and Andrew, James and John. The place is given as Sea of Galilee, near Capernaum. NWT Study Edition Appendix A7-C (“Jesus’ Great Ministry in Galilee (Part 1)”) dates this to 30 C.E..</t>
        </is>
      </c>
      <c r="N543" s="7" t="inlineStr">
        <is>
          <t>நான்கு சீஷர்களைக் கூப்பிடுகிறார்: சீமோன், அந்திரேயா யாக்கோபு, யோவான் — கலிலேயா கடல், கப்பர்நகூம் பக்கத்தில்</t>
        </is>
      </c>
      <c r="O543" s="8" t="inlineStr">
        <is>
          <t>Bible</t>
        </is>
      </c>
      <c r="P543" s="7" t="inlineStr">
        <is>
          <t>bible.jesus</t>
        </is>
      </c>
      <c r="Q543" s="7" t="inlineStr">
        <is>
          <t>calling</t>
        </is>
      </c>
      <c r="R543" s="7" t="inlineStr">
        <is>
          <t>Jesus; Peter; Andrew; James; John (apostle)</t>
        </is>
      </c>
      <c r="S543" s="7" t="inlineStr">
        <is>
          <t>Sea of Galilee; Capernaum</t>
        </is>
      </c>
      <c r="T543" s="7" t="inlineStr">
        <is>
          <t>Matt. 4:18-22; Mark 1:16-20; Luke 5:1-11</t>
        </is>
      </c>
      <c r="U543" s="7" t="inlineStr">
        <is>
          <t>மத் 4:18-22; மாற் 1:16-20; லூக் 5:1-11</t>
        </is>
      </c>
      <c r="V543" s="7" t="n">
        <v>3</v>
      </c>
      <c r="W543" s="7" t="inlineStr">
        <is>
          <t>A7-C Main Events of Jesus’ Earthly Life—Jesus’ Great Ministry in Galilee (Part 1)</t>
        </is>
      </c>
      <c r="X543" s="9" t="inlineStr">
        <is>
          <t>open</t>
        </is>
      </c>
      <c r="Y543" s="9" t="inlineStr">
        <is>
          <t>open</t>
        </is>
      </c>
      <c r="Z543" s="7" t="inlineStr">
        <is>
          <t>https://wol.jw.org/en/wol/d/r1/lp-e/1001070209
https://wol.jw.org/en/wol/d/r1/lp-e/1001061209
https://wol.jw.org/en/wol/d/r1/lp-e/1200002451</t>
        </is>
      </c>
      <c r="AA543" s="7" t="n">
        <v>1</v>
      </c>
      <c r="AB543" s="9" t="inlineStr">
        <is>
          <t>open</t>
        </is>
      </c>
      <c r="AC543" s="7" t="n">
        <v>2</v>
      </c>
      <c r="AD543" s="7" t="inlineStr">
        <is>
          <t>Dating differs: pre-2013 Insight chart (it-2 'Jesus Christ', par 287) places this under “30, Passover”; NWT Study Edition A7-C has “30”. (Insight’s Galilee section opens without a time, so its rows fall under the preceding “30, Passover”.) | Wording in pre-2013 Insight chart (it-2 'Jesus Christ', par 287): “Call of Simon and Andrew, James and John”.</t>
        </is>
      </c>
      <c r="AE543" s="7" t="n"/>
      <c r="AF543" s="7" t="n"/>
      <c r="AG543" s="7" t="n"/>
      <c r="AH543" s="7" t="n"/>
      <c r="AI543" s="7" t="n"/>
      <c r="AJ543" s="7" t="n"/>
      <c r="AK543" s="7" t="n"/>
      <c r="AL543" s="7" t="n"/>
      <c r="AM543" s="7" t="n">
        <v>30.404</v>
      </c>
      <c r="AN543" s="10" t="n"/>
      <c r="AO543" s="10" t="n"/>
      <c r="AP543" s="10" t="n"/>
      <c r="AQ543" s="10" t="n"/>
    </row>
    <row r="544">
      <c r="A544" s="7" t="inlineStr">
        <is>
          <t>b5-0035</t>
        </is>
      </c>
      <c r="B544" s="7" t="inlineStr">
        <is>
          <t>Point</t>
        </is>
      </c>
      <c r="C544" s="7" t="n"/>
      <c r="D544" s="7" t="inlineStr">
        <is>
          <t>30 C.E.</t>
        </is>
      </c>
      <c r="E544" s="7" t="inlineStr">
        <is>
          <t>கி.பி. 30</t>
        </is>
      </c>
      <c r="F544" s="7" t="inlineStr">
        <is>
          <t>30 CE</t>
        </is>
      </c>
      <c r="G544" s="7" t="inlineStr">
        <is>
          <t>Exact</t>
        </is>
      </c>
      <c r="H544" s="7" t="n"/>
      <c r="I544" s="7" t="n"/>
      <c r="J544" s="7" t="n"/>
      <c r="K544" s="2" t="inlineStr">
        <is>
          <t>Heals Simon’s mother-in-law and others</t>
        </is>
      </c>
      <c r="L544" s="2" t="inlineStr">
        <is>
          <t>சீமோனின் மாமியாரையும் மற்றவர்களையும் குணப்படுத்துகிறார்</t>
        </is>
      </c>
      <c r="M544" s="7" t="inlineStr">
        <is>
          <t>Heals Simon’s mother-in-law and others. The place is given as Capernaum. NWT Study Edition Appendix A7-C (“Jesus’ Great Ministry in Galilee (Part 1)”) dates this to 30 C.E..</t>
        </is>
      </c>
      <c r="N544" s="7" t="inlineStr">
        <is>
          <t>சீமோனின் மாமியாரையும் மற்றவர்களையும் குணப்படுத்துகிறார் — கப்பர்நகூம்</t>
        </is>
      </c>
      <c r="O544" s="8" t="inlineStr">
        <is>
          <t>Bible</t>
        </is>
      </c>
      <c r="P544" s="7" t="inlineStr">
        <is>
          <t>bible.jesus</t>
        </is>
      </c>
      <c r="Q544" s="7" t="inlineStr">
        <is>
          <t>miracle</t>
        </is>
      </c>
      <c r="R544" s="7" t="inlineStr">
        <is>
          <t>Jesus; Peter</t>
        </is>
      </c>
      <c r="S544" s="7" t="inlineStr">
        <is>
          <t>Capernaum</t>
        </is>
      </c>
      <c r="T544" s="7" t="inlineStr">
        <is>
          <t>Matt. 8:14-17; Mark 1:21-34; Luke 4:31-41</t>
        </is>
      </c>
      <c r="U544" s="7" t="inlineStr">
        <is>
          <t>மத் 8:14-17; மாற் 1:21-34; லூக் 4:31-41</t>
        </is>
      </c>
      <c r="V544" s="7" t="n">
        <v>3</v>
      </c>
      <c r="W544" s="7" t="inlineStr">
        <is>
          <t>A7-C Main Events of Jesus’ Earthly Life—Jesus’ Great Ministry in Galilee (Part 1)</t>
        </is>
      </c>
      <c r="X544" s="9" t="inlineStr">
        <is>
          <t>open</t>
        </is>
      </c>
      <c r="Y544" s="9" t="inlineStr">
        <is>
          <t>open</t>
        </is>
      </c>
      <c r="Z544" s="7" t="inlineStr">
        <is>
          <t>https://wol.jw.org/en/wol/d/r1/lp-e/1001070209
https://wol.jw.org/en/wol/d/r1/lp-e/1001061209
https://wol.jw.org/en/wol/d/r1/lp-e/1200002451</t>
        </is>
      </c>
      <c r="AA544" s="7" t="n">
        <v>1</v>
      </c>
      <c r="AB544" s="9" t="inlineStr">
        <is>
          <t>open</t>
        </is>
      </c>
      <c r="AC544" s="7" t="n">
        <v>2</v>
      </c>
      <c r="AD544" s="7" t="inlineStr">
        <is>
          <t>Dating differs: pre-2013 Insight chart (it-2 'Jesus Christ', par 294) places this under “30, Passover”; NWT Study Edition A7-C has “30”. (Insight’s Galilee section opens without a time, so its rows fall under the preceding “30, Passover”.) | Wording in pre-2013 Insight chart (it-2 'Jesus Christ', par 294): “Heals demoniac, also Peter’s mother-in-law and many others”.</t>
        </is>
      </c>
      <c r="AE544" s="7" t="n"/>
      <c r="AF544" s="7" t="n"/>
      <c r="AG544" s="7" t="n"/>
      <c r="AH544" s="7" t="n"/>
      <c r="AI544" s="7" t="n"/>
      <c r="AJ544" s="7" t="n"/>
      <c r="AK544" s="7" t="inlineStr">
        <is>
          <t>messianic-prophecies #105 (fulfillment)</t>
        </is>
      </c>
      <c r="AL544" s="7" t="n"/>
      <c r="AM544" s="7" t="n">
        <v>30.405</v>
      </c>
      <c r="AN544" s="10" t="n"/>
      <c r="AO544" s="10" t="n"/>
      <c r="AP544" s="10" t="n"/>
      <c r="AQ544" s="10" t="n"/>
    </row>
    <row r="545">
      <c r="A545" s="7" t="inlineStr">
        <is>
          <t>b5-0036</t>
        </is>
      </c>
      <c r="B545" s="7" t="inlineStr">
        <is>
          <t>Point</t>
        </is>
      </c>
      <c r="C545" s="7" t="n"/>
      <c r="D545" s="7" t="inlineStr">
        <is>
          <t>30 C.E.</t>
        </is>
      </c>
      <c r="E545" s="7" t="inlineStr">
        <is>
          <t>கி.பி. 30</t>
        </is>
      </c>
      <c r="F545" s="7" t="inlineStr">
        <is>
          <t>30 CE</t>
        </is>
      </c>
      <c r="G545" s="7" t="inlineStr">
        <is>
          <t>Exact</t>
        </is>
      </c>
      <c r="H545" s="7" t="n"/>
      <c r="I545" s="7" t="n"/>
      <c r="J545" s="7" t="n"/>
      <c r="K545" s="2" t="inlineStr">
        <is>
          <t>First tour of Galilee, with the four</t>
        </is>
      </c>
      <c r="L545" s="2" t="inlineStr">
        <is>
          <t>நான்கு சீஷர்களோடு கலிலேயாவில் செய்த முதல் பயணம்</t>
        </is>
      </c>
      <c r="M545" s="7" t="inlineStr">
        <is>
          <t>First tour of Galilee, with the four. The place is given as Galilee. NWT Study Edition Appendix A7-C (“Jesus’ Great Ministry in Galilee (Part 1)”) dates this to 30 C.E..</t>
        </is>
      </c>
      <c r="N545" s="7" t="inlineStr">
        <is>
          <t>நான்கு சீஷர்களோடு கலிலேயாவில் செய்த முதல் பயணம் — கலிலேயா</t>
        </is>
      </c>
      <c r="O545" s="8" t="inlineStr">
        <is>
          <t>Bible</t>
        </is>
      </c>
      <c r="P545" s="7" t="inlineStr">
        <is>
          <t>bible.jesus</t>
        </is>
      </c>
      <c r="Q545" s="7" t="inlineStr">
        <is>
          <t>preaching_tour</t>
        </is>
      </c>
      <c r="R545" s="7" t="inlineStr">
        <is>
          <t>Jesus</t>
        </is>
      </c>
      <c r="S545" s="7" t="inlineStr">
        <is>
          <t>Galilee</t>
        </is>
      </c>
      <c r="T545" s="7" t="inlineStr">
        <is>
          <t>Matt. 4:23-25; Mark 1:35-39; Luke 4:42, 43</t>
        </is>
      </c>
      <c r="U545" s="7" t="inlineStr">
        <is>
          <t>மத் 4:23-25; மாற் 1:35-39; லூக் 4:42, 43</t>
        </is>
      </c>
      <c r="V545" s="7" t="n">
        <v>3</v>
      </c>
      <c r="W545" s="7" t="inlineStr">
        <is>
          <t>A7-C Main Events of Jesus’ Earthly Life—Jesus’ Great Ministry in Galilee (Part 1)</t>
        </is>
      </c>
      <c r="X545" s="9" t="inlineStr">
        <is>
          <t>open</t>
        </is>
      </c>
      <c r="Y545" s="9" t="inlineStr">
        <is>
          <t>open</t>
        </is>
      </c>
      <c r="Z545" s="7" t="inlineStr">
        <is>
          <t>https://wol.jw.org/en/wol/d/r1/lp-e/1001070209
https://wol.jw.org/en/wol/d/r1/lp-e/1001061209
https://wol.jw.org/en/wol/d/r1/lp-e/1200002451</t>
        </is>
      </c>
      <c r="AA545" s="7" t="n">
        <v>1</v>
      </c>
      <c r="AB545" s="9" t="inlineStr">
        <is>
          <t>open</t>
        </is>
      </c>
      <c r="AC545" s="7" t="n">
        <v>2</v>
      </c>
      <c r="AD545" s="7" t="inlineStr">
        <is>
          <t>Dating differs: pre-2013 Insight chart (it-2 'Jesus Christ', par 301) places this under “30, Passover”; NWT Study Edition A7-C has “30”. (Insight’s Galilee section opens without a time, so its rows fall under the preceding “30, Passover”.) | Wording in pre-2013 Insight chart (it-2 'Jesus Christ', par 301): “First tour of Galilee, with the four now called”.</t>
        </is>
      </c>
      <c r="AE545" s="7" t="n"/>
      <c r="AF545" s="7" t="n"/>
      <c r="AG545" s="7" t="n"/>
      <c r="AH545" s="7" t="n"/>
      <c r="AI545" s="7" t="n"/>
      <c r="AJ545" s="7" t="n"/>
      <c r="AK545" s="7" t="n"/>
      <c r="AL545" s="7" t="n"/>
      <c r="AM545" s="7" t="n">
        <v>30.406</v>
      </c>
      <c r="AN545" s="10" t="n"/>
      <c r="AO545" s="10" t="n"/>
      <c r="AP545" s="10" t="n"/>
      <c r="AQ545" s="10" t="n"/>
    </row>
    <row r="546">
      <c r="A546" s="7" t="inlineStr">
        <is>
          <t>b5-0037</t>
        </is>
      </c>
      <c r="B546" s="7" t="inlineStr">
        <is>
          <t>Point</t>
        </is>
      </c>
      <c r="C546" s="7" t="n"/>
      <c r="D546" s="7" t="inlineStr">
        <is>
          <t>30 C.E.</t>
        </is>
      </c>
      <c r="E546" s="7" t="inlineStr">
        <is>
          <t>கி.பி. 30</t>
        </is>
      </c>
      <c r="F546" s="7" t="inlineStr">
        <is>
          <t>30 CE</t>
        </is>
      </c>
      <c r="G546" s="7" t="inlineStr">
        <is>
          <t>Exact</t>
        </is>
      </c>
      <c r="H546" s="7" t="n"/>
      <c r="I546" s="7" t="n"/>
      <c r="J546" s="7" t="n"/>
      <c r="K546" s="2" t="inlineStr">
        <is>
          <t>Heals leper; crowds follow</t>
        </is>
      </c>
      <c r="L546" s="2" t="inlineStr">
        <is>
          <t>தொழுநோயாளி குணமாகிறார்; கூட்டம் பின்தொடர்கிறது</t>
        </is>
      </c>
      <c r="M546" s="7" t="inlineStr">
        <is>
          <t>Heals leper; crowds follow. The place is given as Galilee. NWT Study Edition Appendix A7-C (“Jesus’ Great Ministry in Galilee (Part 1)”) dates this to 30 C.E..</t>
        </is>
      </c>
      <c r="N546" s="7" t="inlineStr">
        <is>
          <t>தொழுநோயாளி குணமாகிறார்; கூட்டம் பின்தொடர்கிறது — கலிலேயா</t>
        </is>
      </c>
      <c r="O546" s="8" t="inlineStr">
        <is>
          <t>Bible</t>
        </is>
      </c>
      <c r="P546" s="7" t="inlineStr">
        <is>
          <t>bible.jesus</t>
        </is>
      </c>
      <c r="Q546" s="7" t="inlineStr">
        <is>
          <t>miracle</t>
        </is>
      </c>
      <c r="R546" s="7" t="inlineStr">
        <is>
          <t>Jesus</t>
        </is>
      </c>
      <c r="S546" s="7" t="inlineStr">
        <is>
          <t>Galilee</t>
        </is>
      </c>
      <c r="T546" s="7" t="inlineStr">
        <is>
          <t>Matt. 8:1-4; Mark 1:40-45; Luke 5:12-16</t>
        </is>
      </c>
      <c r="U546" s="7" t="inlineStr">
        <is>
          <t>மத் 8:1-4; மாற் 1:40-45; லூக் 5:12-16</t>
        </is>
      </c>
      <c r="V546" s="7" t="n">
        <v>3</v>
      </c>
      <c r="W546" s="7" t="inlineStr">
        <is>
          <t>A7-C Main Events of Jesus’ Earthly Life—Jesus’ Great Ministry in Galilee (Part 1)</t>
        </is>
      </c>
      <c r="X546" s="9" t="inlineStr">
        <is>
          <t>open</t>
        </is>
      </c>
      <c r="Y546" s="9" t="inlineStr">
        <is>
          <t>open</t>
        </is>
      </c>
      <c r="Z546" s="7" t="inlineStr">
        <is>
          <t>https://wol.jw.org/en/wol/d/r1/lp-e/1001070209
https://wol.jw.org/en/wol/d/r1/lp-e/1001061209
https://wol.jw.org/en/wol/d/r1/lp-e/1200002451</t>
        </is>
      </c>
      <c r="AA546" s="7" t="n">
        <v>1</v>
      </c>
      <c r="AB546" s="9" t="inlineStr">
        <is>
          <t>open</t>
        </is>
      </c>
      <c r="AC546" s="7" t="n">
        <v>2</v>
      </c>
      <c r="AD546" s="7" t="inlineStr">
        <is>
          <t>Dating differs: pre-2013 Insight chart (it-2 'Jesus Christ', par 308) places this under “30, Passover”; NWT Study Edition A7-C has “30”. (Insight’s Galilee section opens without a time, so its rows fall under the preceding “30, Passover”.) | Wording in pre-2013 Insight chart (it-2 'Jesus Christ', par 308): “Leper healed; multitudes flock to Jesus”.</t>
        </is>
      </c>
      <c r="AE546" s="7" t="n"/>
      <c r="AF546" s="7" t="n"/>
      <c r="AG546" s="7" t="n"/>
      <c r="AH546" s="7" t="n"/>
      <c r="AI546" s="7" t="n"/>
      <c r="AJ546" s="7" t="n"/>
      <c r="AK546" s="7" t="n"/>
      <c r="AL546" s="7" t="n"/>
      <c r="AM546" s="7" t="n">
        <v>30.407</v>
      </c>
      <c r="AN546" s="10" t="n"/>
      <c r="AO546" s="10" t="n"/>
      <c r="AP546" s="10" t="n"/>
      <c r="AQ546" s="10" t="n"/>
    </row>
    <row r="547">
      <c r="A547" s="7" t="inlineStr">
        <is>
          <t>b5-0038</t>
        </is>
      </c>
      <c r="B547" s="7" t="inlineStr">
        <is>
          <t>Point</t>
        </is>
      </c>
      <c r="C547" s="7" t="n"/>
      <c r="D547" s="7" t="inlineStr">
        <is>
          <t>30 C.E.</t>
        </is>
      </c>
      <c r="E547" s="7" t="inlineStr">
        <is>
          <t>கி.பி. 30</t>
        </is>
      </c>
      <c r="F547" s="7" t="inlineStr">
        <is>
          <t>30 CE</t>
        </is>
      </c>
      <c r="G547" s="7" t="inlineStr">
        <is>
          <t>Exact</t>
        </is>
      </c>
      <c r="H547" s="7" t="n"/>
      <c r="I547" s="7" t="n"/>
      <c r="J547" s="7" t="n"/>
      <c r="K547" s="2" t="inlineStr">
        <is>
          <t>Heals a paralytic</t>
        </is>
      </c>
      <c r="L547" s="2" t="inlineStr">
        <is>
          <t>பக்கவாத நோயாளியைக் குணப்படுத்துகிறார்</t>
        </is>
      </c>
      <c r="M547" s="7" t="inlineStr">
        <is>
          <t>Heals a paralytic. The place is given as Capernaum. NWT Study Edition Appendix A7-C (“Jesus’ Great Ministry in Galilee (Part 1)”) dates this to 30 C.E..</t>
        </is>
      </c>
      <c r="N547" s="7" t="inlineStr">
        <is>
          <t>பக்கவாத நோயாளியைக் குணப்படுத்துகிறார் — கப்பர்நகூம்</t>
        </is>
      </c>
      <c r="O547" s="8" t="inlineStr">
        <is>
          <t>Bible</t>
        </is>
      </c>
      <c r="P547" s="7" t="inlineStr">
        <is>
          <t>bible.jesus</t>
        </is>
      </c>
      <c r="Q547" s="7" t="inlineStr">
        <is>
          <t>miracle</t>
        </is>
      </c>
      <c r="R547" s="7" t="inlineStr">
        <is>
          <t>Jesus</t>
        </is>
      </c>
      <c r="S547" s="7" t="inlineStr">
        <is>
          <t>Capernaum</t>
        </is>
      </c>
      <c r="T547" s="7" t="inlineStr">
        <is>
          <t>Matt. 9:1-8; Mark 2:1-12; Luke 5:17-26</t>
        </is>
      </c>
      <c r="U547" s="7" t="inlineStr">
        <is>
          <t>மத் 9:1-8; மாற் 2:1-12; லூக் 5:17-26</t>
        </is>
      </c>
      <c r="V547" s="7" t="n">
        <v>3</v>
      </c>
      <c r="W547" s="7" t="inlineStr">
        <is>
          <t>A7-C Main Events of Jesus’ Earthly Life—Jesus’ Great Ministry in Galilee (Part 1)</t>
        </is>
      </c>
      <c r="X547" s="9" t="inlineStr">
        <is>
          <t>open</t>
        </is>
      </c>
      <c r="Y547" s="9" t="inlineStr">
        <is>
          <t>open</t>
        </is>
      </c>
      <c r="Z547" s="7" t="inlineStr">
        <is>
          <t>https://wol.jw.org/en/wol/d/r1/lp-e/1001070209
https://wol.jw.org/en/wol/d/r1/lp-e/1001061209
https://wol.jw.org/en/wol/d/r1/lp-e/1200002451</t>
        </is>
      </c>
      <c r="AA547" s="7" t="n">
        <v>1</v>
      </c>
      <c r="AB547" s="9" t="inlineStr">
        <is>
          <t>open</t>
        </is>
      </c>
      <c r="AC547" s="7" t="n">
        <v>2</v>
      </c>
      <c r="AD547" s="7" t="inlineStr">
        <is>
          <t>Dating differs: pre-2013 Insight chart (it-2 'Jesus Christ', par 315) places this under “30, Passover”; NWT Study Edition A7-C has “30”. (Insight’s Galilee section opens without a time, so its rows fall under the preceding “30, Passover”.) | Wording in pre-2013 Insight chart (it-2 'Jesus Christ', par 315): “Heals paralytic”.</t>
        </is>
      </c>
      <c r="AE547" s="7" t="n"/>
      <c r="AF547" s="7" t="n"/>
      <c r="AG547" s="7" t="n"/>
      <c r="AH547" s="7" t="n"/>
      <c r="AI547" s="7" t="n"/>
      <c r="AJ547" s="7" t="n"/>
      <c r="AK547" s="7" t="n"/>
      <c r="AL547" s="7" t="n"/>
      <c r="AM547" s="7" t="n">
        <v>30.408</v>
      </c>
      <c r="AN547" s="10" t="n"/>
      <c r="AO547" s="10" t="n"/>
      <c r="AP547" s="10" t="n"/>
      <c r="AQ547" s="10" t="n"/>
    </row>
    <row r="548">
      <c r="A548" s="7" t="inlineStr">
        <is>
          <t>b5-0039</t>
        </is>
      </c>
      <c r="B548" s="7" t="inlineStr">
        <is>
          <t>Point</t>
        </is>
      </c>
      <c r="C548" s="7" t="n"/>
      <c r="D548" s="7" t="inlineStr">
        <is>
          <t>30 C.E.</t>
        </is>
      </c>
      <c r="E548" s="7" t="inlineStr">
        <is>
          <t>கி.பி. 30</t>
        </is>
      </c>
      <c r="F548" s="7" t="inlineStr">
        <is>
          <t>30 CE</t>
        </is>
      </c>
      <c r="G548" s="7" t="inlineStr">
        <is>
          <t>Exact</t>
        </is>
      </c>
      <c r="H548" s="7" t="n"/>
      <c r="I548" s="7" t="n"/>
      <c r="J548" s="7" t="n"/>
      <c r="K548" s="2" t="inlineStr">
        <is>
          <t>Jesus calls Matthew</t>
        </is>
      </c>
      <c r="L548" s="2" t="inlineStr">
        <is>
          <t>மத்தேயுவைக் கூப்பிடுகிறார்</t>
        </is>
      </c>
      <c r="M548" s="7" t="inlineStr">
        <is>
          <t>Jesus calls Matthew. The place is given as Capernaum. NWT Study Edition Appendix A7-C (“Jesus’ Great Ministry in Galilee (Part 1)”) dates this to 30 C.E.; the source row combines it with related events (“Calls Matthew; dines with tax collectors; fasting question”).</t>
        </is>
      </c>
      <c r="N548" s="7" t="inlineStr">
        <is>
          <t>மத்தேயுவைக் கூப்பிடுகிறார்; வரி வசூலிப்பவர்களோடு சாப்பிடுகிறார்; விரதத்தைப் பற்றிய கேள்வி — கப்பர்நகூம்</t>
        </is>
      </c>
      <c r="O548" s="8" t="inlineStr">
        <is>
          <t>Bible</t>
        </is>
      </c>
      <c r="P548" s="7" t="inlineStr">
        <is>
          <t>bible.jesus</t>
        </is>
      </c>
      <c r="Q548" s="7" t="inlineStr">
        <is>
          <t>calling</t>
        </is>
      </c>
      <c r="R548" s="7" t="inlineStr">
        <is>
          <t>Jesus; Matthew</t>
        </is>
      </c>
      <c r="S548" s="7" t="inlineStr">
        <is>
          <t>Capernaum</t>
        </is>
      </c>
      <c r="T548" s="7" t="inlineStr">
        <is>
          <t>Matt. 9:9-17; Mark 2:13-22; Luke 5:27-39</t>
        </is>
      </c>
      <c r="U548" s="7" t="inlineStr">
        <is>
          <t>மத் 9:9-17; மாற் 2:13-22; லூக் 5:27-39</t>
        </is>
      </c>
      <c r="V548" s="7" t="n">
        <v>3</v>
      </c>
      <c r="W548" s="7" t="inlineStr">
        <is>
          <t>A7-C Main Events of Jesus’ Earthly Life—Jesus’ Great Ministry in Galilee (Part 1)</t>
        </is>
      </c>
      <c r="X548" s="9" t="inlineStr">
        <is>
          <t>open</t>
        </is>
      </c>
      <c r="Y548" s="9" t="inlineStr">
        <is>
          <t>open</t>
        </is>
      </c>
      <c r="Z548" s="7" t="inlineStr">
        <is>
          <t>https://wol.jw.org/en/wol/d/r1/lp-e/1001070209
https://wol.jw.org/en/wol/d/r1/lp-e/1001061209
https://wol.jw.org/en/wol/d/r1/lp-e/1200002451</t>
        </is>
      </c>
      <c r="AA548" s="7" t="n">
        <v>1</v>
      </c>
      <c r="AB548" s="9" t="inlineStr">
        <is>
          <t>open</t>
        </is>
      </c>
      <c r="AC548" s="7" t="n">
        <v>2</v>
      </c>
      <c r="AD548" s="7" t="inlineStr">
        <is>
          <t>Dating differs: pre-2013 Insight chart (it-2 'Jesus Christ', par 322) places this under “30, Passover”; NWT Study Edition A7-C has “30”. (Insight’s Galilee section opens without a time, so its rows fall under the preceding “30, Passover”.) (Insight’s Galilee section opens without a time, so its rows fall under the preceding “30, Passover”.) | Wording in pre-2013 Insight chart (it-2 'Jesus Christ', par 322): “Call of Matthew; feast with tax collectors”.</t>
        </is>
      </c>
      <c r="AE548" s="7" t="n"/>
      <c r="AF548" s="7" t="n"/>
      <c r="AG548" s="7" t="n"/>
      <c r="AH548" s="7" t="n"/>
      <c r="AI548" s="7" t="n"/>
      <c r="AJ548" s="7" t="n"/>
      <c r="AK548" s="7" t="n"/>
      <c r="AL548" s="7" t="inlineStr">
        <is>
          <t>A7 row #27 split into 2 events; scripture references cover the whole source row.</t>
        </is>
      </c>
      <c r="AM548" s="7" t="n">
        <v>30.409</v>
      </c>
      <c r="AN548" s="10" t="n"/>
      <c r="AO548" s="10" t="n"/>
      <c r="AP548" s="10" t="n"/>
      <c r="AQ548" s="10" t="n"/>
    </row>
    <row r="549">
      <c r="A549" s="7" t="inlineStr">
        <is>
          <t>b5-0040</t>
        </is>
      </c>
      <c r="B549" s="7" t="inlineStr">
        <is>
          <t>Point</t>
        </is>
      </c>
      <c r="C549" s="7" t="n"/>
      <c r="D549" s="7" t="inlineStr">
        <is>
          <t>30 C.E.</t>
        </is>
      </c>
      <c r="E549" s="7" t="inlineStr">
        <is>
          <t>கி.பி. 30</t>
        </is>
      </c>
      <c r="F549" s="7" t="inlineStr">
        <is>
          <t>30 CE</t>
        </is>
      </c>
      <c r="G549" s="7" t="inlineStr">
        <is>
          <t>Exact</t>
        </is>
      </c>
      <c r="H549" s="7" t="n"/>
      <c r="I549" s="7" t="n"/>
      <c r="J549" s="7" t="n"/>
      <c r="K549" s="2" t="inlineStr">
        <is>
          <t>Jesus dines with tax collectors; fasting question</t>
        </is>
      </c>
      <c r="L549" s="2" t="inlineStr">
        <is>
          <t>வரி வசூலிப்பவர்களோடு சாப்பிடுகிறார்; விரதத்தைப் பற்றிய கேள்வி</t>
        </is>
      </c>
      <c r="M549" s="7" t="inlineStr">
        <is>
          <t>Jesus dines with tax collectors; fasting question. The place is given as Capernaum. NWT Study Edition Appendix A7-C (“Jesus’ Great Ministry in Galilee (Part 1)”) dates this to 30 C.E.; the source row combines it with related events (“Calls Matthew; dines with tax collectors; fasting question”).</t>
        </is>
      </c>
      <c r="N549" s="7" t="inlineStr">
        <is>
          <t>மத்தேயுவைக் கூப்பிடுகிறார்; வரி வசூலிப்பவர்களோடு சாப்பிடுகிறார்; விரதத்தைப் பற்றிய கேள்வி — கப்பர்நகூம்</t>
        </is>
      </c>
      <c r="O549" s="8" t="inlineStr">
        <is>
          <t>Bible</t>
        </is>
      </c>
      <c r="P549" s="7" t="inlineStr">
        <is>
          <t>bible.jesus</t>
        </is>
      </c>
      <c r="Q549" s="7" t="inlineStr">
        <is>
          <t>teaching</t>
        </is>
      </c>
      <c r="R549" s="7" t="inlineStr">
        <is>
          <t>Jesus</t>
        </is>
      </c>
      <c r="S549" s="7" t="inlineStr">
        <is>
          <t>Capernaum</t>
        </is>
      </c>
      <c r="T549" s="7" t="inlineStr">
        <is>
          <t>Matt. 9:9-17; Mark 2:13-22; Luke 5:27-39</t>
        </is>
      </c>
      <c r="U549" s="7" t="inlineStr">
        <is>
          <t>மத் 9:9-17; மாற் 2:13-22; லூக் 5:27-39</t>
        </is>
      </c>
      <c r="V549" s="7" t="n">
        <v>3</v>
      </c>
      <c r="W549" s="7" t="inlineStr">
        <is>
          <t>A7-C Main Events of Jesus’ Earthly Life—Jesus’ Great Ministry in Galilee (Part 1)</t>
        </is>
      </c>
      <c r="X549" s="9" t="inlineStr">
        <is>
          <t>open</t>
        </is>
      </c>
      <c r="Y549" s="9" t="inlineStr">
        <is>
          <t>open</t>
        </is>
      </c>
      <c r="Z549" s="7" t="inlineStr">
        <is>
          <t>https://wol.jw.org/en/wol/d/r1/lp-e/1001070209
https://wol.jw.org/en/wol/d/r1/lp-e/1001061209
https://wol.jw.org/en/wol/d/r1/lp-e/1200002451</t>
        </is>
      </c>
      <c r="AA549" s="7" t="n">
        <v>1</v>
      </c>
      <c r="AB549" s="9" t="inlineStr">
        <is>
          <t>open</t>
        </is>
      </c>
      <c r="AC549" s="7" t="n">
        <v>2</v>
      </c>
      <c r="AD549" s="7" t="inlineStr">
        <is>
          <t>Dating differs: pre-2013 Insight chart (it-2 'Jesus Christ', par 322) places this under “30, Passover”; NWT Study Edition A7-C has “30”. (Insight’s Galilee section opens without a time, so its rows fall under the preceding “30, Passover”.) (Insight’s Galilee section opens without a time, so its rows fall under the preceding “30, Passover”.) | Wording in pre-2013 Insight chart (it-2 'Jesus Christ', par 322): “Call of Matthew; feast with tax collectors”.</t>
        </is>
      </c>
      <c r="AE549" s="7" t="n"/>
      <c r="AF549" s="7" t="n"/>
      <c r="AG549" s="7" t="n"/>
      <c r="AH549" s="7" t="n"/>
      <c r="AI549" s="7" t="n"/>
      <c r="AJ549" s="7" t="n"/>
      <c r="AK549" s="7" t="n"/>
      <c r="AL549" s="7" t="inlineStr">
        <is>
          <t>A7 row #27 split into 2 events; scripture references cover the whole source row.</t>
        </is>
      </c>
      <c r="AM549" s="7" t="n">
        <v>30.41</v>
      </c>
      <c r="AN549" s="10" t="n"/>
      <c r="AO549" s="10" t="n"/>
      <c r="AP549" s="10" t="n"/>
      <c r="AQ549" s="10" t="n"/>
    </row>
    <row r="550">
      <c r="A550" s="7" t="inlineStr">
        <is>
          <t>b5-0041</t>
        </is>
      </c>
      <c r="B550" s="7" t="inlineStr">
        <is>
          <t>Point</t>
        </is>
      </c>
      <c r="C550" s="7" t="n"/>
      <c r="D550" s="7" t="inlineStr">
        <is>
          <t>30 C.E.</t>
        </is>
      </c>
      <c r="E550" s="7" t="inlineStr">
        <is>
          <t>கி.பி. 30</t>
        </is>
      </c>
      <c r="F550" s="7" t="inlineStr">
        <is>
          <t>30 CE</t>
        </is>
      </c>
      <c r="G550" s="7" t="inlineStr">
        <is>
          <t>Exact</t>
        </is>
      </c>
      <c r="H550" s="7" t="n"/>
      <c r="I550" s="7" t="n"/>
      <c r="J550" s="7" t="n"/>
      <c r="K550" s="2" t="inlineStr">
        <is>
          <t>Preaches in synagogues</t>
        </is>
      </c>
      <c r="L550" s="2" t="inlineStr">
        <is>
          <t>ஜெபக்கூடங்களில் பிரசங்கிக்கிறார்</t>
        </is>
      </c>
      <c r="M550" s="7" t="inlineStr">
        <is>
          <t>Preaches in synagogues. The place is given as Judea. NWT Study Edition Appendix A7-C (“Jesus’ Great Ministry in Galilee (Part 1)”) dates this to 30 C.E..</t>
        </is>
      </c>
      <c r="N550" s="7" t="inlineStr">
        <is>
          <t>ஜெபக்கூடங்களில் பிரசங்கிக்கிறார் — யூதேயா</t>
        </is>
      </c>
      <c r="O550" s="8" t="inlineStr">
        <is>
          <t>Bible</t>
        </is>
      </c>
      <c r="P550" s="7" t="inlineStr">
        <is>
          <t>bible.jesus</t>
        </is>
      </c>
      <c r="Q550" s="7" t="inlineStr">
        <is>
          <t>preaching</t>
        </is>
      </c>
      <c r="R550" s="7" t="inlineStr">
        <is>
          <t>Jesus</t>
        </is>
      </c>
      <c r="S550" s="7" t="inlineStr">
        <is>
          <t>Judea</t>
        </is>
      </c>
      <c r="T550" s="7" t="inlineStr">
        <is>
          <t>Luke 4:44</t>
        </is>
      </c>
      <c r="U550" s="7" t="inlineStr">
        <is>
          <t>லூக் 4:44</t>
        </is>
      </c>
      <c r="V550" s="7" t="n">
        <v>3</v>
      </c>
      <c r="W550" s="7" t="inlineStr">
        <is>
          <t>A7-C Main Events of Jesus’ Earthly Life—Jesus’ Great Ministry in Galilee (Part 1)</t>
        </is>
      </c>
      <c r="X550" s="9" t="inlineStr">
        <is>
          <t>open</t>
        </is>
      </c>
      <c r="Y550" s="9" t="inlineStr">
        <is>
          <t>open</t>
        </is>
      </c>
      <c r="Z550" s="7" t="inlineStr">
        <is>
          <t>https://wol.jw.org/en/wol/d/r1/lp-e/1001070209
https://wol.jw.org/en/wol/d/r1/lp-e/1001061209
https://wol.jw.org/en/wol/d/r1/lp-e/1200002451</t>
        </is>
      </c>
      <c r="AA550" s="7" t="n">
        <v>1</v>
      </c>
      <c r="AB550" s="9" t="inlineStr">
        <is>
          <t>open</t>
        </is>
      </c>
      <c r="AC550" s="7" t="n">
        <v>2</v>
      </c>
      <c r="AD550" s="7" t="inlineStr">
        <is>
          <t>Dating differs: pre-2013 Insight chart (it-2 'Jesus Christ', par 329) places this under “30, Passover”; NWT Study Edition A7-C has “30”. (Insight’s Galilee section opens without a time, so its rows fall under the preceding “30, Passover”.) | Wording in pre-2013 Insight chart (it-2 'Jesus Christ', par 329): “Preaches in Judean synagogues”.</t>
        </is>
      </c>
      <c r="AE550" s="7" t="n"/>
      <c r="AF550" s="7" t="n"/>
      <c r="AG550" s="7" t="n"/>
      <c r="AH550" s="7" t="n"/>
      <c r="AI550" s="7" t="n"/>
      <c r="AJ550" s="7" t="n"/>
      <c r="AK550" s="7" t="n"/>
      <c r="AL550" s="7" t="n"/>
      <c r="AM550" s="7" t="n">
        <v>30.411</v>
      </c>
      <c r="AN550" s="10" t="n"/>
      <c r="AO550" s="10" t="n"/>
      <c r="AP550" s="10" t="n"/>
      <c r="AQ550" s="10" t="n"/>
    </row>
    <row r="551">
      <c r="A551" s="7" t="inlineStr">
        <is>
          <t>b5-0042</t>
        </is>
      </c>
      <c r="B551" s="7" t="inlineStr">
        <is>
          <t>Point</t>
        </is>
      </c>
      <c r="C551" s="7" t="n"/>
      <c r="D551" s="7" t="inlineStr">
        <is>
          <t>31 C.E., Passover</t>
        </is>
      </c>
      <c r="E551" s="7" t="inlineStr">
        <is>
          <t>கி.பி. 31, பஸ்கா</t>
        </is>
      </c>
      <c r="F551" s="7" t="inlineStr">
        <is>
          <t>31 CE</t>
        </is>
      </c>
      <c r="G551" s="7" t="inlineStr">
        <is>
          <t>Exact</t>
        </is>
      </c>
      <c r="H551" s="7" t="n"/>
      <c r="I551" s="7" t="n"/>
      <c r="J551" s="7" t="n"/>
      <c r="K551" s="2" t="inlineStr">
        <is>
          <t>Jesus heals sick man at Bethzatha</t>
        </is>
      </c>
      <c r="L551" s="2" t="inlineStr">
        <is>
          <t>பெத்சதாவில் நோயாளியைக் குணப்படுத்துகிறார்</t>
        </is>
      </c>
      <c r="M551" s="7" t="inlineStr">
        <is>
          <t>Jesus heals sick man at Bethzatha. The place is given as Jerusalem. NWT Study Edition Appendix A7-C (“Jesus’ Great Ministry in Galilee (Part 1)”) dates this to 31 C.E., Passover; the source row combines it with related events (“Heals sick man at Bethzatha; Jews seek to kill him”).</t>
        </is>
      </c>
      <c r="N551" s="7" t="inlineStr">
        <is>
          <t>பெத்சதாவில் நோயாளியைக் குணப்படுத்துகிறார்; யூதர்கள் அவரைக் கொல்லப் பார்க்கிறார்கள் — எருசலேம்</t>
        </is>
      </c>
      <c r="O551" s="8" t="inlineStr">
        <is>
          <t>Bible</t>
        </is>
      </c>
      <c r="P551" s="7" t="inlineStr">
        <is>
          <t>bible.jesus</t>
        </is>
      </c>
      <c r="Q551" s="7" t="inlineStr">
        <is>
          <t>miracle</t>
        </is>
      </c>
      <c r="R551" s="7" t="inlineStr">
        <is>
          <t>Jesus</t>
        </is>
      </c>
      <c r="S551" s="7" t="inlineStr">
        <is>
          <t>Jerusalem</t>
        </is>
      </c>
      <c r="T551" s="7" t="inlineStr">
        <is>
          <t>John 5:1-47</t>
        </is>
      </c>
      <c r="U551" s="7" t="inlineStr">
        <is>
          <t>யோவா 5:1-47</t>
        </is>
      </c>
      <c r="V551" s="7" t="n">
        <v>5</v>
      </c>
      <c r="W551" s="7" t="inlineStr">
        <is>
          <t>A7-C Main Events of Jesus’ Earthly Life—Jesus’ Great Ministry in Galilee (Part 1)</t>
        </is>
      </c>
      <c r="X551" s="9" t="inlineStr">
        <is>
          <t>open</t>
        </is>
      </c>
      <c r="Y551" s="9" t="inlineStr">
        <is>
          <t>open</t>
        </is>
      </c>
      <c r="Z551" s="7" t="inlineStr">
        <is>
          <t>https://wol.jw.org/en/wol/d/r1/lp-e/1001070209
https://wol.jw.org/en/wol/d/r1/lp-e/1001061209
https://wol.jw.org/en/wol/d/r1/lp-e/1200002451
https://wol.jw.org/en/wol/d/r1/lp-e/1200002451
https://wol.jw.org/en/wol/d/r1/lp-e/1101990130</t>
        </is>
      </c>
      <c r="AA551" s="7" t="n">
        <v>1</v>
      </c>
      <c r="AB551" s="9" t="inlineStr">
        <is>
          <t>open</t>
        </is>
      </c>
      <c r="AC551" s="7" t="n">
        <v>1</v>
      </c>
      <c r="AD551" s="7" t="inlineStr">
        <is>
          <t>Wording in pre-2013 Insight chart (it-2 'Jesus Christ', par 336): “Attends feast; heals man; rebukes Pharisees”.</t>
        </is>
      </c>
      <c r="AE551" s="7" t="n"/>
      <c r="AF551" s="7" t="n"/>
      <c r="AG551" s="7" t="n"/>
      <c r="AH551" s="7" t="n"/>
      <c r="AI551" s="7" t="n"/>
      <c r="AJ551" s="7" t="n"/>
      <c r="AK551" s="7" t="n"/>
      <c r="AL551" s="7" t="inlineStr">
        <is>
          <t>A7 row #29 split into 2 events; scripture references cover the whole source row.</t>
        </is>
      </c>
      <c r="AM551" s="7" t="n">
        <v>31.25</v>
      </c>
      <c r="AN551" s="10" t="n"/>
      <c r="AO551" s="10" t="n"/>
      <c r="AP551" s="10" t="n"/>
      <c r="AQ551" s="10" t="n"/>
    </row>
    <row r="552">
      <c r="A552" s="7" t="inlineStr">
        <is>
          <t>b5-0043</t>
        </is>
      </c>
      <c r="B552" s="7" t="inlineStr">
        <is>
          <t>Point</t>
        </is>
      </c>
      <c r="C552" s="7" t="n"/>
      <c r="D552" s="7" t="inlineStr">
        <is>
          <t>31 C.E., Passover</t>
        </is>
      </c>
      <c r="E552" s="7" t="inlineStr">
        <is>
          <t>கி.பி. 31, பஸ்கா</t>
        </is>
      </c>
      <c r="F552" s="7" t="inlineStr">
        <is>
          <t>31 CE</t>
        </is>
      </c>
      <c r="G552" s="7" t="inlineStr">
        <is>
          <t>Exact</t>
        </is>
      </c>
      <c r="H552" s="7" t="n"/>
      <c r="I552" s="7" t="n"/>
      <c r="J552" s="7" t="n"/>
      <c r="K552" s="2" t="inlineStr">
        <is>
          <t>Jews seek to kill Jesus</t>
        </is>
      </c>
      <c r="L552" s="2" t="inlineStr">
        <is>
          <t>யூதர்கள் அவரைக் கொல்லப் பார்க்கிறார்கள்</t>
        </is>
      </c>
      <c r="M552" s="7" t="inlineStr">
        <is>
          <t>Jews seek to kill Jesus. The place is given as Jerusalem. NWT Study Edition Appendix A7-C (“Jesus’ Great Ministry in Galilee (Part 1)”) dates this to 31 C.E., Passover; the source row combines it with related events (“Heals sick man at Bethzatha; Jews seek to kill him”).</t>
        </is>
      </c>
      <c r="N552" s="7" t="inlineStr">
        <is>
          <t>பெத்சதாவில் நோயாளியைக் குணப்படுத்துகிறார்; யூதர்கள் அவரைக் கொல்லப் பார்க்கிறார்கள் — எருசலேம்</t>
        </is>
      </c>
      <c r="O552" s="8" t="inlineStr">
        <is>
          <t>Bible</t>
        </is>
      </c>
      <c r="P552" s="7" t="inlineStr">
        <is>
          <t>bible.jesus</t>
        </is>
      </c>
      <c r="Q552" s="7" t="inlineStr">
        <is>
          <t>plot</t>
        </is>
      </c>
      <c r="R552" s="7" t="n"/>
      <c r="S552" s="7" t="inlineStr">
        <is>
          <t>Jerusalem</t>
        </is>
      </c>
      <c r="T552" s="7" t="inlineStr">
        <is>
          <t>John 5:1-47</t>
        </is>
      </c>
      <c r="U552" s="7" t="inlineStr">
        <is>
          <t>யோவா 5:1-47</t>
        </is>
      </c>
      <c r="V552" s="7" t="n">
        <v>3</v>
      </c>
      <c r="W552" s="7" t="inlineStr">
        <is>
          <t>A7-C Main Events of Jesus’ Earthly Life—Jesus’ Great Ministry in Galilee (Part 1)</t>
        </is>
      </c>
      <c r="X552" s="9" t="inlineStr">
        <is>
          <t>open</t>
        </is>
      </c>
      <c r="Y552" s="9" t="inlineStr">
        <is>
          <t>open</t>
        </is>
      </c>
      <c r="Z552" s="7" t="inlineStr">
        <is>
          <t>https://wol.jw.org/en/wol/d/r1/lp-e/1001070209
https://wol.jw.org/en/wol/d/r1/lp-e/1001061209
https://wol.jw.org/en/wol/d/r1/lp-e/1200002451</t>
        </is>
      </c>
      <c r="AA552" s="7" t="n">
        <v>1</v>
      </c>
      <c r="AB552" s="9" t="inlineStr">
        <is>
          <t>open</t>
        </is>
      </c>
      <c r="AC552" s="7" t="n">
        <v>1</v>
      </c>
      <c r="AD552" s="7" t="inlineStr">
        <is>
          <t>Wording in pre-2013 Insight chart (it-2 'Jesus Christ', par 336): “Attends feast; heals man; rebukes Pharisees”.</t>
        </is>
      </c>
      <c r="AE552" s="7" t="n"/>
      <c r="AF552" s="7" t="n"/>
      <c r="AG552" s="7" t="n"/>
      <c r="AH552" s="7" t="n"/>
      <c r="AI552" s="7" t="n"/>
      <c r="AJ552" s="7" t="n"/>
      <c r="AK552" s="7" t="n"/>
      <c r="AL552" s="7" t="inlineStr">
        <is>
          <t>A7 row #29 split into 2 events; scripture references cover the whole source row.</t>
        </is>
      </c>
      <c r="AM552" s="7" t="n">
        <v>31.251</v>
      </c>
      <c r="AN552" s="10" t="n"/>
      <c r="AO552" s="10" t="n"/>
      <c r="AP552" s="10" t="n"/>
      <c r="AQ552" s="10" t="n"/>
    </row>
    <row r="553">
      <c r="A553" s="7" t="inlineStr">
        <is>
          <t>b5-0044</t>
        </is>
      </c>
      <c r="B553" s="7" t="inlineStr">
        <is>
          <t>Point</t>
        </is>
      </c>
      <c r="C553" s="7" t="n"/>
      <c r="D553" s="7" t="inlineStr">
        <is>
          <t>31 C.E., Passover</t>
        </is>
      </c>
      <c r="E553" s="7" t="inlineStr">
        <is>
          <t>கி.பி. 31, பஸ்கா</t>
        </is>
      </c>
      <c r="F553" s="7" t="inlineStr">
        <is>
          <t>31 CE</t>
        </is>
      </c>
      <c r="G553" s="7" t="inlineStr">
        <is>
          <t>Exact</t>
        </is>
      </c>
      <c r="H553" s="7" t="n"/>
      <c r="I553" s="7" t="n"/>
      <c r="J553" s="7" t="n"/>
      <c r="K553" s="2" t="inlineStr">
        <is>
          <t>Disciples pluck grain on the Sabbath; Jesus “Lord of the Sabbath”</t>
        </is>
      </c>
      <c r="L553" s="2" t="inlineStr">
        <is>
          <t>சீஷர்கள் ஓய்வுநாளில் கதிர்களைப் பறிக்கிறார்கள்; இயேசு “ஓய்வுநாளுக்கு எஜமானாக” இருக்கிறார்</t>
        </is>
      </c>
      <c r="M553" s="7" t="inlineStr">
        <is>
          <t>Disciples pluck grain on the Sabbath; Jesus “Lord of the Sabbath”. The place is given as Returning from Jerusalem (?). NWT Study Edition Appendix A7-C (“Jesus’ Great Ministry in Galilee (Part 1)”) dates this to 31 C.E., Passover.</t>
        </is>
      </c>
      <c r="N553" s="7" t="inlineStr">
        <is>
          <t>சீஷர்கள் ஓய்வுநாளில் கதிர்களைப் பறிக்கிறார்கள்; இயேசு “ஓய்வுநாளுக்கு எஜமானாக” இருக்கிறார் — எருசலேமிலிருந்து (?) திரும்புகிறார்</t>
        </is>
      </c>
      <c r="O553" s="8" t="inlineStr">
        <is>
          <t>Bible</t>
        </is>
      </c>
      <c r="P553" s="7" t="inlineStr">
        <is>
          <t>bible.jesus</t>
        </is>
      </c>
      <c r="Q553" s="7" t="inlineStr">
        <is>
          <t>teaching</t>
        </is>
      </c>
      <c r="R553" s="7" t="inlineStr">
        <is>
          <t>Jesus</t>
        </is>
      </c>
      <c r="S553" s="7" t="inlineStr">
        <is>
          <t>Jerusalem</t>
        </is>
      </c>
      <c r="T553" s="7" t="inlineStr">
        <is>
          <t>Matt. 12:1-8; Mark 2:23-28; Luke 6:1-5</t>
        </is>
      </c>
      <c r="U553" s="7" t="inlineStr">
        <is>
          <t>மத் 12:1-8; மாற் 2:23-28; லூக் 6:1-5</t>
        </is>
      </c>
      <c r="V553" s="7" t="n">
        <v>3</v>
      </c>
      <c r="W553" s="7" t="inlineStr">
        <is>
          <t>A7-C Main Events of Jesus’ Earthly Life—Jesus’ Great Ministry in Galilee (Part 1)</t>
        </is>
      </c>
      <c r="X553" s="9" t="inlineStr">
        <is>
          <t>open</t>
        </is>
      </c>
      <c r="Y553" s="9" t="inlineStr">
        <is>
          <t>open</t>
        </is>
      </c>
      <c r="Z553" s="7" t="inlineStr">
        <is>
          <t>https://wol.jw.org/en/wol/d/r1/lp-e/1001070209
https://wol.jw.org/en/wol/d/r1/lp-e/1001061209
https://wol.jw.org/en/wol/d/r1/lp-e/1200002451</t>
        </is>
      </c>
      <c r="AA553" s="7" t="n">
        <v>1</v>
      </c>
      <c r="AB553" s="9" t="inlineStr">
        <is>
          <t>open</t>
        </is>
      </c>
      <c r="AC553" s="7" t="n">
        <v>2</v>
      </c>
      <c r="AD553" s="7" t="inlineStr">
        <is>
          <t>Place wording differs: Insight chart has “Returning from Jerusalem(?)”; A7-C has “Returning from Jerusalem (?)”. | Wording in pre-2013 Insight chart (it-2 'Jesus Christ', par 343): “Disciples pluck ears of grain on the Sabbath”.</t>
        </is>
      </c>
      <c r="AE553" s="7" t="n"/>
      <c r="AF553" s="7" t="n"/>
      <c r="AG553" s="7" t="n"/>
      <c r="AH553" s="7" t="n"/>
      <c r="AI553" s="7" t="n"/>
      <c r="AJ553" s="7" t="n"/>
      <c r="AK553" s="7" t="n"/>
      <c r="AL553" s="7" t="n"/>
      <c r="AM553" s="7" t="n">
        <v>31.252</v>
      </c>
      <c r="AN553" s="10" t="n"/>
      <c r="AO553" s="10" t="n"/>
      <c r="AP553" s="10" t="n"/>
      <c r="AQ553" s="10" t="n"/>
    </row>
    <row r="554">
      <c r="A554" s="7" t="inlineStr">
        <is>
          <t>b5-0045</t>
        </is>
      </c>
      <c r="B554" s="7" t="inlineStr">
        <is>
          <t>Point</t>
        </is>
      </c>
      <c r="C554" s="7" t="n"/>
      <c r="D554" s="7" t="inlineStr">
        <is>
          <t>31 C.E., Passover</t>
        </is>
      </c>
      <c r="E554" s="7" t="inlineStr">
        <is>
          <t>கி.பி. 31, பஸ்கா</t>
        </is>
      </c>
      <c r="F554" s="7" t="inlineStr">
        <is>
          <t>31 CE</t>
        </is>
      </c>
      <c r="G554" s="7" t="inlineStr">
        <is>
          <t>Exact</t>
        </is>
      </c>
      <c r="H554" s="7" t="n"/>
      <c r="I554" s="7" t="n"/>
      <c r="J554" s="7" t="n"/>
      <c r="K554" s="2" t="inlineStr">
        <is>
          <t>Heals man’s hand on the Sabbath; crowds follow; heals many more</t>
        </is>
      </c>
      <c r="L554" s="2" t="inlineStr">
        <is>
          <t>ஓய்வுநாளில் ஒருவனின் கையைக் குணப்படுத்துகிறார்; மக்கள் பின்தொடர்கிறார்கள்; நிறைய பேர் குணமாகிறார்கள்</t>
        </is>
      </c>
      <c r="M554" s="7" t="inlineStr">
        <is>
          <t>Heals man’s hand on the Sabbath; crowds follow; heals many more. The place is given as Galilee; Sea of Galilee. NWT Study Edition Appendix A7-C (“Jesus’ Great Ministry in Galilee (Part 1)”) dates this to 31 C.E., Passover.</t>
        </is>
      </c>
      <c r="N554" s="7" t="inlineStr">
        <is>
          <t>ஓய்வுநாளில் ஒருவனின் கையைக் குணப்படுத்துகிறார்; மக்கள் பின்தொடர்கிறார்கள்; நிறைய பேர் குணமாகிறார்கள் — கலிலேயா; கலிலேயா கடல்</t>
        </is>
      </c>
      <c r="O554" s="8" t="inlineStr">
        <is>
          <t>Bible</t>
        </is>
      </c>
      <c r="P554" s="7" t="inlineStr">
        <is>
          <t>bible.jesus</t>
        </is>
      </c>
      <c r="Q554" s="7" t="inlineStr">
        <is>
          <t>miracle</t>
        </is>
      </c>
      <c r="R554" s="7" t="inlineStr">
        <is>
          <t>Jesus</t>
        </is>
      </c>
      <c r="S554" s="7" t="inlineStr">
        <is>
          <t>Galilee; Sea of Galilee</t>
        </is>
      </c>
      <c r="T554" s="7" t="inlineStr">
        <is>
          <t>Matt. 12:9-21; Mark 3:1-12; Luke 6:6-11</t>
        </is>
      </c>
      <c r="U554" s="7" t="inlineStr">
        <is>
          <t>மத் 12:9-21; மாற் 3:1-12; லூக் 6:6-11</t>
        </is>
      </c>
      <c r="V554" s="7" t="n">
        <v>3</v>
      </c>
      <c r="W554" s="7" t="inlineStr">
        <is>
          <t>A7-C Main Events of Jesus’ Earthly Life—Jesus’ Great Ministry in Galilee (Part 1)</t>
        </is>
      </c>
      <c r="X554" s="9" t="inlineStr">
        <is>
          <t>open</t>
        </is>
      </c>
      <c r="Y554" s="9" t="inlineStr">
        <is>
          <t>open</t>
        </is>
      </c>
      <c r="Z554" s="7" t="inlineStr">
        <is>
          <t>https://wol.jw.org/en/wol/d/r1/lp-e/1001070209
https://wol.jw.org/en/wol/d/r1/lp-e/1001061209
https://wol.jw.org/en/wol/d/r1/lp-e/1200002451</t>
        </is>
      </c>
      <c r="AA554" s="7" t="n">
        <v>1</v>
      </c>
      <c r="AB554" s="9" t="inlineStr">
        <is>
          <t>open</t>
        </is>
      </c>
      <c r="AC554" s="7" t="n">
        <v>1</v>
      </c>
      <c r="AD554" s="7" t="inlineStr">
        <is>
          <t>Wording in pre-2013 Insight chart (it-2 'Jesus Christ', par 350): “Heals hand on Sabbath; retires to seashore; heals”.</t>
        </is>
      </c>
      <c r="AE554" s="7" t="n"/>
      <c r="AF554" s="7" t="n"/>
      <c r="AG554" s="7" t="n"/>
      <c r="AH554" s="7" t="n"/>
      <c r="AI554" s="7" t="n"/>
      <c r="AJ554" s="7" t="n"/>
      <c r="AK554" s="7" t="inlineStr">
        <is>
          <t>messianic-prophecies #115 (fulfillment)</t>
        </is>
      </c>
      <c r="AL554" s="7" t="n"/>
      <c r="AM554" s="7" t="n">
        <v>31.253</v>
      </c>
      <c r="AN554" s="10" t="n"/>
      <c r="AO554" s="10" t="n"/>
      <c r="AP554" s="10" t="n"/>
      <c r="AQ554" s="10" t="n"/>
    </row>
    <row r="555">
      <c r="A555" s="7" t="inlineStr">
        <is>
          <t>b5-0046</t>
        </is>
      </c>
      <c r="B555" s="7" t="inlineStr">
        <is>
          <t>Point</t>
        </is>
      </c>
      <c r="C555" s="7" t="n"/>
      <c r="D555" s="7" t="inlineStr">
        <is>
          <t>31 C.E., Passover</t>
        </is>
      </c>
      <c r="E555" s="7" t="inlineStr">
        <is>
          <t>கி.பி. 31, பஸ்கா</t>
        </is>
      </c>
      <c r="F555" s="7" t="inlineStr">
        <is>
          <t>31 CE</t>
        </is>
      </c>
      <c r="G555" s="7" t="inlineStr">
        <is>
          <t>Exact</t>
        </is>
      </c>
      <c r="H555" s="7" t="n"/>
      <c r="I555" s="7" t="n"/>
      <c r="J555" s="7" t="n"/>
      <c r="K555" s="2" t="inlineStr">
        <is>
          <t>Chooses 12 apostles</t>
        </is>
      </c>
      <c r="L555" s="2" t="inlineStr">
        <is>
          <t>12 அப்போஸ்தலர்களைத் தேர்ந்தெடுக்கிறார்</t>
        </is>
      </c>
      <c r="M555" s="7" t="inlineStr">
        <is>
          <t>Chooses 12 apostles. The place is given as Mt. near Capernaum. NWT Study Edition Appendix A7-C (“Jesus’ Great Ministry in Galilee (Part 1)”) dates this to 31 C.E., Passover.</t>
        </is>
      </c>
      <c r="N555" s="7" t="inlineStr">
        <is>
          <t>12 அப்போஸ்தலர்களைத் தேர்ந்தெடுக்கிறார் — கப்பர்நகூம் பக்கத்திலுள்ள மலை</t>
        </is>
      </c>
      <c r="O555" s="8" t="inlineStr">
        <is>
          <t>Bible</t>
        </is>
      </c>
      <c r="P555" s="7" t="inlineStr">
        <is>
          <t>bible.jesus</t>
        </is>
      </c>
      <c r="Q555" s="7" t="inlineStr">
        <is>
          <t>appointment</t>
        </is>
      </c>
      <c r="R555" s="7" t="inlineStr">
        <is>
          <t>Jesus</t>
        </is>
      </c>
      <c r="S555" s="7" t="inlineStr">
        <is>
          <t>Mountain near Capernaum</t>
        </is>
      </c>
      <c r="T555" s="7" t="inlineStr">
        <is>
          <t>Mark 3:13-19; Luke 6:12-16</t>
        </is>
      </c>
      <c r="U555" s="7" t="inlineStr">
        <is>
          <t>மாற் 3:13-19; லூக் 6:12-16</t>
        </is>
      </c>
      <c r="V555" s="7" t="n">
        <v>3</v>
      </c>
      <c r="W555" s="7" t="inlineStr">
        <is>
          <t>A7-C Main Events of Jesus’ Earthly Life—Jesus’ Great Ministry in Galilee (Part 1)</t>
        </is>
      </c>
      <c r="X555" s="9" t="inlineStr">
        <is>
          <t>open</t>
        </is>
      </c>
      <c r="Y555" s="9" t="inlineStr">
        <is>
          <t>open</t>
        </is>
      </c>
      <c r="Z555" s="7" t="inlineStr">
        <is>
          <t>https://wol.jw.org/en/wol/d/r1/lp-e/1001070209
https://wol.jw.org/en/wol/d/r1/lp-e/1001061209
https://wol.jw.org/en/wol/d/r1/lp-e/1200002451</t>
        </is>
      </c>
      <c r="AA555" s="7" t="n">
        <v>1</v>
      </c>
      <c r="AB555" s="9" t="inlineStr">
        <is>
          <t>open</t>
        </is>
      </c>
      <c r="AC555" s="7" t="n">
        <v>2</v>
      </c>
      <c r="AD555" s="7" t="inlineStr">
        <is>
          <t>Place wording differs: Insight chart has “Mountain near Capernaum”; A7-C has “Mt. near Capernaum”. | Wording in pre-2013 Insight chart (it-2 'Jesus Christ', par 357): “The 12 are chosen as apostles”.</t>
        </is>
      </c>
      <c r="AE555" s="7" t="n"/>
      <c r="AF555" s="7" t="n"/>
      <c r="AG555" s="7" t="n"/>
      <c r="AH555" s="7" t="n"/>
      <c r="AI555" s="7" t="n"/>
      <c r="AJ555" s="7" t="n"/>
      <c r="AK555" s="7" t="n"/>
      <c r="AL555" s="7" t="n"/>
      <c r="AM555" s="7" t="n">
        <v>31.254</v>
      </c>
      <c r="AN555" s="10" t="n"/>
      <c r="AO555" s="10" t="n"/>
      <c r="AP555" s="10" t="n"/>
      <c r="AQ555" s="10" t="n"/>
    </row>
    <row r="556">
      <c r="A556" s="7" t="inlineStr">
        <is>
          <t>b5-0047</t>
        </is>
      </c>
      <c r="B556" s="7" t="inlineStr">
        <is>
          <t>Point</t>
        </is>
      </c>
      <c r="C556" s="7" t="n"/>
      <c r="D556" s="7" t="inlineStr">
        <is>
          <t>31 C.E., Passover</t>
        </is>
      </c>
      <c r="E556" s="7" t="inlineStr">
        <is>
          <t>கி.பி. 31, பஸ்கா</t>
        </is>
      </c>
      <c r="F556" s="7" t="inlineStr">
        <is>
          <t>31 CE</t>
        </is>
      </c>
      <c r="G556" s="7" t="inlineStr">
        <is>
          <t>Exact</t>
        </is>
      </c>
      <c r="H556" s="7" t="n"/>
      <c r="I556" s="7" t="n"/>
      <c r="J556" s="7" t="n"/>
      <c r="K556" s="2" t="inlineStr">
        <is>
          <t>Gives Sermon on the Mount</t>
        </is>
      </c>
      <c r="L556" s="2" t="inlineStr">
        <is>
          <t>மலைப்பிரசங்கம்</t>
        </is>
      </c>
      <c r="M556" s="7" t="inlineStr">
        <is>
          <t>Gives Sermon on the Mount. The place is given as Near Capernaum. NWT Study Edition Appendix A7-C (“Jesus’ Great Ministry in Galilee (Part 1)”) dates this to 31 C.E., Passover.</t>
        </is>
      </c>
      <c r="N556" s="7" t="inlineStr">
        <is>
          <t>மலைப்பிரசங்கம் — கப்பர்நகூமுக்குப் பக்கத்தில்</t>
        </is>
      </c>
      <c r="O556" s="8" t="inlineStr">
        <is>
          <t>Bible</t>
        </is>
      </c>
      <c r="P556" s="7" t="inlineStr">
        <is>
          <t>bible.jesus</t>
        </is>
      </c>
      <c r="Q556" s="7" t="inlineStr">
        <is>
          <t>teaching</t>
        </is>
      </c>
      <c r="R556" s="7" t="inlineStr">
        <is>
          <t>Jesus</t>
        </is>
      </c>
      <c r="S556" s="7" t="inlineStr">
        <is>
          <t>Capernaum</t>
        </is>
      </c>
      <c r="T556" s="7" t="inlineStr">
        <is>
          <t>Matt. 5:1–7:29; Luke 6:17-49</t>
        </is>
      </c>
      <c r="U556" s="7" t="inlineStr">
        <is>
          <t>மத் 5:1–7:29; லூக் 6:17-49</t>
        </is>
      </c>
      <c r="V556" s="7" t="n">
        <v>3</v>
      </c>
      <c r="W556" s="7" t="inlineStr">
        <is>
          <t>A7-C Main Events of Jesus’ Earthly Life—Jesus’ Great Ministry in Galilee (Part 1)</t>
        </is>
      </c>
      <c r="X556" s="9" t="inlineStr">
        <is>
          <t>open</t>
        </is>
      </c>
      <c r="Y556" s="9" t="inlineStr">
        <is>
          <t>open</t>
        </is>
      </c>
      <c r="Z556" s="7" t="inlineStr">
        <is>
          <t>https://wol.jw.org/en/wol/d/r1/lp-e/1001070209
https://wol.jw.org/en/wol/d/r1/lp-e/1001061209
https://wol.jw.org/en/wol/d/r1/lp-e/1200002451</t>
        </is>
      </c>
      <c r="AA556" s="7" t="n">
        <v>1</v>
      </c>
      <c r="AB556" s="9" t="inlineStr">
        <is>
          <t>open</t>
        </is>
      </c>
      <c r="AC556" s="7" t="n">
        <v>1</v>
      </c>
      <c r="AD556" s="7" t="inlineStr">
        <is>
          <t>Wording in pre-2013 Insight chart (it-2 'Jesus Christ', par 364): “The Sermon on the Mount”.</t>
        </is>
      </c>
      <c r="AE556" s="7" t="n"/>
      <c r="AF556" s="7" t="n"/>
      <c r="AG556" s="7" t="n"/>
      <c r="AH556" s="7" t="n"/>
      <c r="AI556" s="7" t="n"/>
      <c r="AJ556" s="7" t="n"/>
      <c r="AK556" s="7" t="n"/>
      <c r="AL556" s="7" t="n"/>
      <c r="AM556" s="7" t="n">
        <v>31.255</v>
      </c>
      <c r="AN556" s="10" t="n"/>
      <c r="AO556" s="10" t="n"/>
      <c r="AP556" s="10" t="n"/>
      <c r="AQ556" s="10" t="n"/>
    </row>
    <row r="557">
      <c r="A557" s="7" t="inlineStr">
        <is>
          <t>b5-0048</t>
        </is>
      </c>
      <c r="B557" s="7" t="inlineStr">
        <is>
          <t>Point</t>
        </is>
      </c>
      <c r="C557" s="7" t="n"/>
      <c r="D557" s="7" t="inlineStr">
        <is>
          <t>31 C.E., Passover</t>
        </is>
      </c>
      <c r="E557" s="7" t="inlineStr">
        <is>
          <t>கி.பி. 31, பஸ்கா</t>
        </is>
      </c>
      <c r="F557" s="7" t="inlineStr">
        <is>
          <t>31 CE</t>
        </is>
      </c>
      <c r="G557" s="7" t="inlineStr">
        <is>
          <t>Exact</t>
        </is>
      </c>
      <c r="H557" s="7" t="n"/>
      <c r="I557" s="7" t="n"/>
      <c r="J557" s="7" t="n"/>
      <c r="K557" s="2" t="inlineStr">
        <is>
          <t>Heals army officer’s servant</t>
        </is>
      </c>
      <c r="L557" s="2" t="inlineStr">
        <is>
          <t>படை அதிகாரியின் வேலைக்காரன் குணமடைகிறான்</t>
        </is>
      </c>
      <c r="M557" s="7" t="inlineStr">
        <is>
          <t>Heals army officer’s servant. The place is given as Capernaum. NWT Study Edition Appendix A7-C (“Jesus’ Great Ministry in Galilee (Part 1)”) dates this to 31 C.E., Passover.</t>
        </is>
      </c>
      <c r="N557" s="7" t="inlineStr">
        <is>
          <t>படை அதிகாரியின் வேலைக்காரன் குணமடைகிறான் — கப்பர்நகூம்</t>
        </is>
      </c>
      <c r="O557" s="8" t="inlineStr">
        <is>
          <t>Bible</t>
        </is>
      </c>
      <c r="P557" s="7" t="inlineStr">
        <is>
          <t>bible.jesus</t>
        </is>
      </c>
      <c r="Q557" s="7" t="inlineStr">
        <is>
          <t>miracle</t>
        </is>
      </c>
      <c r="R557" s="7" t="inlineStr">
        <is>
          <t>Jesus</t>
        </is>
      </c>
      <c r="S557" s="7" t="inlineStr">
        <is>
          <t>Capernaum</t>
        </is>
      </c>
      <c r="T557" s="7" t="inlineStr">
        <is>
          <t>Matt. 8:5-13; Luke 7:1-10</t>
        </is>
      </c>
      <c r="U557" s="7" t="inlineStr">
        <is>
          <t>மத் 8:5-13; லூக் 7:1-10</t>
        </is>
      </c>
      <c r="V557" s="7" t="n">
        <v>3</v>
      </c>
      <c r="W557" s="7" t="inlineStr">
        <is>
          <t>A7-C Main Events of Jesus’ Earthly Life—Jesus’ Great Ministry in Galilee (Part 1)</t>
        </is>
      </c>
      <c r="X557" s="9" t="inlineStr">
        <is>
          <t>open</t>
        </is>
      </c>
      <c r="Y557" s="9" t="inlineStr">
        <is>
          <t>open</t>
        </is>
      </c>
      <c r="Z557" s="7" t="inlineStr">
        <is>
          <t>https://wol.jw.org/en/wol/d/r1/lp-e/1001070209
https://wol.jw.org/en/wol/d/r1/lp-e/1001061209
https://wol.jw.org/en/wol/d/r1/lp-e/1200002451</t>
        </is>
      </c>
      <c r="AA557" s="7" t="n">
        <v>1</v>
      </c>
      <c r="AB557" s="9" t="inlineStr">
        <is>
          <t>open</t>
        </is>
      </c>
      <c r="AC557" s="7" t="n">
        <v>1</v>
      </c>
      <c r="AD557" s="7" t="inlineStr">
        <is>
          <t>Wording in pre-2013 Insight chart (it-2 'Jesus Christ', par 371): “Heals army officer’s servant”.</t>
        </is>
      </c>
      <c r="AE557" s="7" t="n"/>
      <c r="AF557" s="7" t="n"/>
      <c r="AG557" s="7" t="n"/>
      <c r="AH557" s="7" t="n"/>
      <c r="AI557" s="7" t="n"/>
      <c r="AJ557" s="7" t="n"/>
      <c r="AK557" s="7" t="n"/>
      <c r="AL557" s="7" t="n"/>
      <c r="AM557" s="7" t="n">
        <v>31.256</v>
      </c>
      <c r="AN557" s="10" t="n"/>
      <c r="AO557" s="10" t="n"/>
      <c r="AP557" s="10" t="n"/>
      <c r="AQ557" s="10" t="n"/>
    </row>
    <row r="558">
      <c r="A558" s="7" t="inlineStr">
        <is>
          <t>b5-0049</t>
        </is>
      </c>
      <c r="B558" s="7" t="inlineStr">
        <is>
          <t>Point</t>
        </is>
      </c>
      <c r="C558" s="7" t="n"/>
      <c r="D558" s="7" t="inlineStr">
        <is>
          <t>31 C.E., Passover</t>
        </is>
      </c>
      <c r="E558" s="7" t="inlineStr">
        <is>
          <t>கி.பி. 31, பஸ்கா</t>
        </is>
      </c>
      <c r="F558" s="7" t="inlineStr">
        <is>
          <t>31 CE</t>
        </is>
      </c>
      <c r="G558" s="7" t="inlineStr">
        <is>
          <t>Exact</t>
        </is>
      </c>
      <c r="H558" s="7" t="n"/>
      <c r="I558" s="7" t="n"/>
      <c r="J558" s="7" t="n"/>
      <c r="K558" s="2" t="inlineStr">
        <is>
          <t>Resurrects widow’s son</t>
        </is>
      </c>
      <c r="L558" s="2" t="inlineStr">
        <is>
          <t>விதவையின் மகனை உயிரோடு எழுப்புகிறார்</t>
        </is>
      </c>
      <c r="M558" s="7" t="inlineStr">
        <is>
          <t>Resurrects widow’s son. The place is given as Nain. NWT Study Edition Appendix A7-C (“Jesus’ Great Ministry in Galilee (Part 1)”) dates this to 31 C.E., Passover.</t>
        </is>
      </c>
      <c r="N558" s="7" t="inlineStr">
        <is>
          <t>விதவையின் மகனை உயிரோடு எழுப்புகிறார் — நாயீன்</t>
        </is>
      </c>
      <c r="O558" s="8" t="inlineStr">
        <is>
          <t>Bible</t>
        </is>
      </c>
      <c r="P558" s="7" t="inlineStr">
        <is>
          <t>bible.jesus</t>
        </is>
      </c>
      <c r="Q558" s="7" t="inlineStr">
        <is>
          <t>miracle</t>
        </is>
      </c>
      <c r="R558" s="7" t="inlineStr">
        <is>
          <t>Jesus</t>
        </is>
      </c>
      <c r="S558" s="7" t="inlineStr">
        <is>
          <t>Nain</t>
        </is>
      </c>
      <c r="T558" s="7" t="inlineStr">
        <is>
          <t>Luke 7:11-17</t>
        </is>
      </c>
      <c r="U558" s="7" t="inlineStr">
        <is>
          <t>லூக் 7:11-17</t>
        </is>
      </c>
      <c r="V558" s="7" t="n">
        <v>3</v>
      </c>
      <c r="W558" s="7" t="inlineStr">
        <is>
          <t>A7-C Main Events of Jesus’ Earthly Life—Jesus’ Great Ministry in Galilee (Part 1)</t>
        </is>
      </c>
      <c r="X558" s="9" t="inlineStr">
        <is>
          <t>open</t>
        </is>
      </c>
      <c r="Y558" s="9" t="inlineStr">
        <is>
          <t>open</t>
        </is>
      </c>
      <c r="Z558" s="7" t="inlineStr">
        <is>
          <t>https://wol.jw.org/en/wol/d/r1/lp-e/1001070209
https://wol.jw.org/en/wol/d/r1/lp-e/1001061209
https://wol.jw.org/en/wol/d/r1/lp-e/1200002451</t>
        </is>
      </c>
      <c r="AA558" s="7" t="n">
        <v>1</v>
      </c>
      <c r="AB558" s="9" t="inlineStr">
        <is>
          <t>open</t>
        </is>
      </c>
      <c r="AC558" s="7" t="n">
        <v>1</v>
      </c>
      <c r="AD558" s="7" t="inlineStr">
        <is>
          <t>Wording in pre-2013 Insight chart (it-2 'Jesus Christ', par 378): “Raises widow’s son”.</t>
        </is>
      </c>
      <c r="AE558" s="7" t="n"/>
      <c r="AF558" s="7" t="n"/>
      <c r="AG558" s="7" t="n"/>
      <c r="AH558" s="7" t="n"/>
      <c r="AI558" s="7" t="n"/>
      <c r="AJ558" s="7" t="n"/>
      <c r="AK558" s="7" t="n"/>
      <c r="AL558" s="7" t="n"/>
      <c r="AM558" s="7" t="n">
        <v>31.257</v>
      </c>
      <c r="AN558" s="10" t="n"/>
      <c r="AO558" s="10" t="n"/>
      <c r="AP558" s="10" t="n"/>
      <c r="AQ558" s="10" t="n"/>
    </row>
    <row r="559">
      <c r="A559" s="7" t="inlineStr">
        <is>
          <t>b5-0050</t>
        </is>
      </c>
      <c r="B559" s="7" t="inlineStr">
        <is>
          <t>Point</t>
        </is>
      </c>
      <c r="C559" s="7" t="n"/>
      <c r="D559" s="7" t="inlineStr">
        <is>
          <t>31 C.E., Passover</t>
        </is>
      </c>
      <c r="E559" s="7" t="inlineStr">
        <is>
          <t>கி.பி. 31, பஸ்கா</t>
        </is>
      </c>
      <c r="F559" s="7" t="inlineStr">
        <is>
          <t>31 CE</t>
        </is>
      </c>
      <c r="G559" s="7" t="inlineStr">
        <is>
          <t>Exact</t>
        </is>
      </c>
      <c r="H559" s="7" t="n"/>
      <c r="I559" s="7" t="n"/>
      <c r="J559" s="7" t="n"/>
      <c r="K559" s="2" t="inlineStr">
        <is>
          <t>John sends disciples to Jesus</t>
        </is>
      </c>
      <c r="L559" s="2" t="inlineStr">
        <is>
          <t>யோவான், இயேசுவிடம் சீஷர்களை அனுப்புகிறார்</t>
        </is>
      </c>
      <c r="M559" s="7" t="inlineStr">
        <is>
          <t>John sends disciples to Jesus. The place is given as Tiberias; Galilee (Nain or nearby). NWT Study Edition Appendix A7-C (“Jesus’ Great Ministry in Galilee (Part 1)”) dates this to 31 C.E., Passover; the source row combines it with related events (“John sends disciples to Jesus; truth revealed to young children; yoke kindly”).</t>
        </is>
      </c>
      <c r="N559" s="7" t="inlineStr">
        <is>
          <t>யோவான், இயேசுவிடம் சீஷர்களை அனுப்புகிறார்; சிறுபிள்ளைகளுக்குச் சத்தியம் வெளிப்படுத்தப்படுகிறது; மென்மையான நுகத்தடி — திபேரியா; கலிலேயா (நாயீன் அல்லது அதற்குப் பக்கத்தில்)</t>
        </is>
      </c>
      <c r="O559" s="8" t="inlineStr">
        <is>
          <t>Bible</t>
        </is>
      </c>
      <c r="P559" s="7" t="inlineStr">
        <is>
          <t>bible.jesus</t>
        </is>
      </c>
      <c r="Q559" s="7" t="inlineStr">
        <is>
          <t>visit</t>
        </is>
      </c>
      <c r="R559" s="7" t="inlineStr">
        <is>
          <t>Jesus; John the Baptist</t>
        </is>
      </c>
      <c r="S559" s="7" t="inlineStr">
        <is>
          <t>Tiberias; Galilee; Nain</t>
        </is>
      </c>
      <c r="T559" s="7" t="inlineStr">
        <is>
          <t>Matt. 11:2-30; Luke 7:18-35</t>
        </is>
      </c>
      <c r="U559" s="7" t="inlineStr">
        <is>
          <t>மத் 11:2-30; லூக் 7:18-35</t>
        </is>
      </c>
      <c r="V559" s="7" t="n">
        <v>4</v>
      </c>
      <c r="W559" s="7" t="inlineStr">
        <is>
          <t>A7-C Main Events of Jesus’ Earthly Life—Jesus’ Great Ministry in Galilee (Part 1)</t>
        </is>
      </c>
      <c r="X559" s="9" t="inlineStr">
        <is>
          <t>open</t>
        </is>
      </c>
      <c r="Y559" s="9" t="inlineStr">
        <is>
          <t>open</t>
        </is>
      </c>
      <c r="Z559" s="7" t="inlineStr">
        <is>
          <t>https://wol.jw.org/en/wol/d/r1/lp-e/1001070209
https://wol.jw.org/en/wol/d/r1/lp-e/1001061209
https://wol.jw.org/en/wol/d/r1/lp-e/1200002451
https://wol.jw.org/en/wol/d/r1/lp-e/1200002451</t>
        </is>
      </c>
      <c r="AA559" s="7" t="n">
        <v>1</v>
      </c>
      <c r="AB559" s="9" t="inlineStr">
        <is>
          <t>open</t>
        </is>
      </c>
      <c r="AC559" s="7" t="n">
        <v>6</v>
      </c>
      <c r="AD559" s="7" t="inlineStr">
        <is>
          <t>Place wording differs: Insight chart has “Galilee”; A7-C has “Tiberias; Galilee (Nain or nearby)”. | Gospel references differ: Insight chart lists “Mt 11:2-19; Lu 7:18-35”; A7-C lists “Mt 11:2-30; Lu 7:18-35”. | Wording in pre-2013 Insight chart (it-2 'Jesus Christ', par 385): “John in prison sends disciples to Jesus”. | Place wording differs: Insight chart has “Galilee”; A7-C has “Tiberias; Galilee (Nain or nearby)”. | Gospel references differ: Insight chart lists “Mt 11:20-30”; A7-C lists “Mt 11:2-30; Lu 7:18-35”. | Wording in pre-2013 Insight chart (it-2 'Jesus Christ', par 392): “Cities reproached; revelation to babes; yoke kindly”.</t>
        </is>
      </c>
      <c r="AE559" s="7" t="n"/>
      <c r="AF559" s="7" t="n"/>
      <c r="AG559" s="7" t="n"/>
      <c r="AH559" s="7" t="n"/>
      <c r="AI559" s="7" t="n"/>
      <c r="AJ559" s="7" t="n"/>
      <c r="AK559" s="7" t="n"/>
      <c r="AL559" s="7" t="inlineStr">
        <is>
          <t>A7 row #36 split into 2 events; scripture references cover the whole source row.</t>
        </is>
      </c>
      <c r="AM559" s="7" t="n">
        <v>31.258</v>
      </c>
      <c r="AN559" s="10" t="n"/>
      <c r="AO559" s="10" t="n"/>
      <c r="AP559" s="10" t="n"/>
      <c r="AQ559" s="10" t="n"/>
    </row>
    <row r="560">
      <c r="A560" s="7" t="inlineStr">
        <is>
          <t>b5-0051</t>
        </is>
      </c>
      <c r="B560" s="7" t="inlineStr">
        <is>
          <t>Point</t>
        </is>
      </c>
      <c r="C560" s="7" t="n"/>
      <c r="D560" s="7" t="inlineStr">
        <is>
          <t>31 C.E., Passover</t>
        </is>
      </c>
      <c r="E560" s="7" t="inlineStr">
        <is>
          <t>கி.பி. 31, பஸ்கா</t>
        </is>
      </c>
      <c r="F560" s="7" t="inlineStr">
        <is>
          <t>31 CE</t>
        </is>
      </c>
      <c r="G560" s="7" t="inlineStr">
        <is>
          <t>Exact</t>
        </is>
      </c>
      <c r="H560" s="7" t="n"/>
      <c r="I560" s="7" t="n"/>
      <c r="J560" s="7" t="n"/>
      <c r="K560" s="2" t="inlineStr">
        <is>
          <t>Truth revealed to young children; yoke kindly</t>
        </is>
      </c>
      <c r="L560" s="2" t="inlineStr">
        <is>
          <t>சிறுபிள்ளைகளுக்குச் சத்தியம் வெளிப்படுத்தப்படுகிறது; மென்மையான நுகத்தடி</t>
        </is>
      </c>
      <c r="M560" s="7" t="inlineStr">
        <is>
          <t>Truth revealed to young children; yoke kindly. The place is given as Tiberias; Galilee (Nain or nearby). NWT Study Edition Appendix A7-C (“Jesus’ Great Ministry in Galilee (Part 1)”) dates this to 31 C.E., Passover; the source row combines it with related events (“John sends disciples to Jesus; truth revealed to young children; yoke kindly”).</t>
        </is>
      </c>
      <c r="N560" s="7" t="inlineStr">
        <is>
          <t>யோவான், இயேசுவிடம் சீஷர்களை அனுப்புகிறார்; சிறுபிள்ளைகளுக்குச் சத்தியம் வெளிப்படுத்தப்படுகிறது; மென்மையான நுகத்தடி — திபேரியா; கலிலேயா (நாயீன் அல்லது அதற்குப் பக்கத்தில்)</t>
        </is>
      </c>
      <c r="O560" s="8" t="inlineStr">
        <is>
          <t>Bible</t>
        </is>
      </c>
      <c r="P560" s="7" t="inlineStr">
        <is>
          <t>bible.jesus</t>
        </is>
      </c>
      <c r="Q560" s="7" t="inlineStr">
        <is>
          <t>teaching</t>
        </is>
      </c>
      <c r="R560" s="7" t="inlineStr">
        <is>
          <t>Jesus</t>
        </is>
      </c>
      <c r="S560" s="7" t="inlineStr">
        <is>
          <t>Tiberias; Galilee; Nain</t>
        </is>
      </c>
      <c r="T560" s="7" t="inlineStr">
        <is>
          <t>Matt. 11:2-30; Luke 7:18-35</t>
        </is>
      </c>
      <c r="U560" s="7" t="inlineStr">
        <is>
          <t>மத் 11:2-30; லூக் 7:18-35</t>
        </is>
      </c>
      <c r="V560" s="7" t="n">
        <v>4</v>
      </c>
      <c r="W560" s="7" t="inlineStr">
        <is>
          <t>A7-C Main Events of Jesus’ Earthly Life—Jesus’ Great Ministry in Galilee (Part 1)</t>
        </is>
      </c>
      <c r="X560" s="9" t="inlineStr">
        <is>
          <t>open</t>
        </is>
      </c>
      <c r="Y560" s="9" t="inlineStr">
        <is>
          <t>open</t>
        </is>
      </c>
      <c r="Z560" s="7" t="inlineStr">
        <is>
          <t>https://wol.jw.org/en/wol/d/r1/lp-e/1001070209
https://wol.jw.org/en/wol/d/r1/lp-e/1001061209
https://wol.jw.org/en/wol/d/r1/lp-e/1200002451
https://wol.jw.org/en/wol/d/r1/lp-e/1200002451</t>
        </is>
      </c>
      <c r="AA560" s="7" t="n">
        <v>1</v>
      </c>
      <c r="AB560" s="9" t="inlineStr">
        <is>
          <t>open</t>
        </is>
      </c>
      <c r="AC560" s="7" t="n">
        <v>6</v>
      </c>
      <c r="AD560" s="7" t="inlineStr">
        <is>
          <t>Place wording differs: Insight chart has “Galilee”; A7-C has “Tiberias; Galilee (Nain or nearby)”. | Gospel references differ: Insight chart lists “Mt 11:2-19; Lu 7:18-35”; A7-C lists “Mt 11:2-30; Lu 7:18-35”. | Wording in pre-2013 Insight chart (it-2 'Jesus Christ', par 385): “John in prison sends disciples to Jesus”. | Place wording differs: Insight chart has “Galilee”; A7-C has “Tiberias; Galilee (Nain or nearby)”. | Gospel references differ: Insight chart lists “Mt 11:20-30”; A7-C lists “Mt 11:2-30; Lu 7:18-35”. | Wording in pre-2013 Insight chart (it-2 'Jesus Christ', par 392): “Cities reproached; revelation to babes; yoke kindly”.</t>
        </is>
      </c>
      <c r="AE560" s="7" t="n"/>
      <c r="AF560" s="7" t="n"/>
      <c r="AG560" s="7" t="n"/>
      <c r="AH560" s="7" t="n"/>
      <c r="AI560" s="7" t="n"/>
      <c r="AJ560" s="7" t="n"/>
      <c r="AK560" s="7" t="n"/>
      <c r="AL560" s="7" t="inlineStr">
        <is>
          <t>A7 row #36 split into 2 events; scripture references cover the whole source row.</t>
        </is>
      </c>
      <c r="AM560" s="7" t="n">
        <v>31.259</v>
      </c>
      <c r="AN560" s="10" t="n"/>
      <c r="AO560" s="10" t="n"/>
      <c r="AP560" s="10" t="n"/>
      <c r="AQ560" s="10" t="n"/>
    </row>
    <row r="561">
      <c r="A561" s="7" t="inlineStr">
        <is>
          <t>b5-0052</t>
        </is>
      </c>
      <c r="B561" s="7" t="inlineStr">
        <is>
          <t>Point</t>
        </is>
      </c>
      <c r="C561" s="7" t="n"/>
      <c r="D561" s="7" t="inlineStr">
        <is>
          <t>31 C.E., Passover</t>
        </is>
      </c>
      <c r="E561" s="7" t="inlineStr">
        <is>
          <t>கி.பி. 31, பஸ்கா</t>
        </is>
      </c>
      <c r="F561" s="7" t="inlineStr">
        <is>
          <t>31 CE</t>
        </is>
      </c>
      <c r="G561" s="7" t="inlineStr">
        <is>
          <t>Exact</t>
        </is>
      </c>
      <c r="H561" s="7" t="n"/>
      <c r="I561" s="7" t="n"/>
      <c r="J561" s="7" t="n"/>
      <c r="K561" s="2" t="inlineStr">
        <is>
          <t>Sinful woman pours oil on his feet</t>
        </is>
      </c>
      <c r="L561" s="2" t="inlineStr">
        <is>
          <t>பாவியான பெண் அவர் பாதங்களில் வாசனை எண்ணெய் ஊற்றுகிறாள்</t>
        </is>
      </c>
      <c r="M561" s="7" t="inlineStr">
        <is>
          <t>Sinful woman pours oil on his feet. The place is given as Galilee (Nain or nearby). NWT Study Edition Appendix A7-C (“Jesus’ Great Ministry in Galilee (Part 1)”) dates this to 31 C.E., Passover; the source row combines it with related events (“Sinful woman pours oil on his feet; debtors illustration”).</t>
        </is>
      </c>
      <c r="N561" s="7" t="inlineStr">
        <is>
          <t>பாவியான பெண் அவர் பாதங்களில் வாசனை எண்ணெய் ஊற்றுகிறாள்; கடனாளிகள் உவமை — கலிலேயா (நாயீன் அல்லது அதற்குப் பக்கத்தில்)</t>
        </is>
      </c>
      <c r="O561" s="8" t="inlineStr">
        <is>
          <t>Bible</t>
        </is>
      </c>
      <c r="P561" s="7" t="inlineStr">
        <is>
          <t>bible.jesus</t>
        </is>
      </c>
      <c r="Q561" s="7" t="inlineStr">
        <is>
          <t>anointing</t>
        </is>
      </c>
      <c r="R561" s="7" t="inlineStr">
        <is>
          <t>Jesus</t>
        </is>
      </c>
      <c r="S561" s="7" t="inlineStr">
        <is>
          <t>Galilee; Nain</t>
        </is>
      </c>
      <c r="T561" s="7" t="inlineStr">
        <is>
          <t>Luke 7:36-50</t>
        </is>
      </c>
      <c r="U561" s="7" t="inlineStr">
        <is>
          <t>லூக் 7:36-50</t>
        </is>
      </c>
      <c r="V561" s="7" t="n">
        <v>3</v>
      </c>
      <c r="W561" s="7" t="inlineStr">
        <is>
          <t>A7-C Main Events of Jesus’ Earthly Life—Jesus’ Great Ministry in Galilee (Part 1)</t>
        </is>
      </c>
      <c r="X561" s="9" t="inlineStr">
        <is>
          <t>open</t>
        </is>
      </c>
      <c r="Y561" s="9" t="inlineStr">
        <is>
          <t>open</t>
        </is>
      </c>
      <c r="Z561" s="7" t="inlineStr">
        <is>
          <t>https://wol.jw.org/en/wol/d/r1/lp-e/1001070209
https://wol.jw.org/en/wol/d/r1/lp-e/1001061209
https://wol.jw.org/en/wol/d/r1/lp-e/1200002451</t>
        </is>
      </c>
      <c r="AA561" s="7" t="n">
        <v>1</v>
      </c>
      <c r="AB561" s="9" t="inlineStr">
        <is>
          <t>open</t>
        </is>
      </c>
      <c r="AC561" s="7" t="n">
        <v>2</v>
      </c>
      <c r="AD561" s="7" t="inlineStr">
        <is>
          <t>Place wording differs: Insight chart has “Galilee”; A7-C has “Galilee (Nain or nearby)”. | Wording in pre-2013 Insight chart (it-2 'Jesus Christ', par 399): “Feet anointed by sinful woman; illustration of debtors”.</t>
        </is>
      </c>
      <c r="AE561" s="7" t="n"/>
      <c r="AF561" s="7" t="n"/>
      <c r="AG561" s="7" t="n"/>
      <c r="AH561" s="7" t="n"/>
      <c r="AI561" s="7" t="n"/>
      <c r="AJ561" s="7" t="n"/>
      <c r="AK561" s="7" t="n"/>
      <c r="AL561" s="7" t="inlineStr">
        <is>
          <t>A7 row #37 split into 2 events; scripture references cover the whole source row.</t>
        </is>
      </c>
      <c r="AM561" s="7" t="n">
        <v>31.26</v>
      </c>
      <c r="AN561" s="10" t="n"/>
      <c r="AO561" s="10" t="n"/>
      <c r="AP561" s="10" t="n"/>
      <c r="AQ561" s="10" t="n"/>
    </row>
    <row r="562">
      <c r="A562" s="7" t="inlineStr">
        <is>
          <t>b5-0053</t>
        </is>
      </c>
      <c r="B562" s="7" t="inlineStr">
        <is>
          <t>Point</t>
        </is>
      </c>
      <c r="C562" s="7" t="n"/>
      <c r="D562" s="7" t="inlineStr">
        <is>
          <t>31 C.E., Passover</t>
        </is>
      </c>
      <c r="E562" s="7" t="inlineStr">
        <is>
          <t>கி.பி. 31, பஸ்கா</t>
        </is>
      </c>
      <c r="F562" s="7" t="inlineStr">
        <is>
          <t>31 CE</t>
        </is>
      </c>
      <c r="G562" s="7" t="inlineStr">
        <is>
          <t>Exact</t>
        </is>
      </c>
      <c r="H562" s="7" t="n"/>
      <c r="I562" s="7" t="n"/>
      <c r="J562" s="7" t="n"/>
      <c r="K562" s="2" t="inlineStr">
        <is>
          <t>Debtors illustration</t>
        </is>
      </c>
      <c r="L562" s="2" t="inlineStr">
        <is>
          <t>கடனாளிகள் உவமை</t>
        </is>
      </c>
      <c r="M562" s="7" t="inlineStr">
        <is>
          <t>Debtors illustration. The place is given as Galilee (Nain or nearby). NWT Study Edition Appendix A7-C (“Jesus’ Great Ministry in Galilee (Part 1)”) dates this to 31 C.E., Passover; the source row combines it with related events (“Sinful woman pours oil on his feet; debtors illustration”).</t>
        </is>
      </c>
      <c r="N562" s="7" t="inlineStr">
        <is>
          <t>பாவியான பெண் அவர் பாதங்களில் வாசனை எண்ணெய் ஊற்றுகிறாள்; கடனாளிகள் உவமை — கலிலேயா (நாயீன் அல்லது அதற்குப் பக்கத்தில்)</t>
        </is>
      </c>
      <c r="O562" s="8" t="inlineStr">
        <is>
          <t>Bible</t>
        </is>
      </c>
      <c r="P562" s="7" t="inlineStr">
        <is>
          <t>bible.jesus</t>
        </is>
      </c>
      <c r="Q562" s="7" t="inlineStr">
        <is>
          <t>parable</t>
        </is>
      </c>
      <c r="R562" s="7" t="inlineStr">
        <is>
          <t>Jesus</t>
        </is>
      </c>
      <c r="S562" s="7" t="inlineStr">
        <is>
          <t>Galilee; Nain</t>
        </is>
      </c>
      <c r="T562" s="7" t="inlineStr">
        <is>
          <t>Luke 7:36-50</t>
        </is>
      </c>
      <c r="U562" s="7" t="inlineStr">
        <is>
          <t>லூக் 7:36-50</t>
        </is>
      </c>
      <c r="V562" s="7" t="n">
        <v>3</v>
      </c>
      <c r="W562" s="7" t="inlineStr">
        <is>
          <t>A7-C Main Events of Jesus’ Earthly Life—Jesus’ Great Ministry in Galilee (Part 1)</t>
        </is>
      </c>
      <c r="X562" s="9" t="inlineStr">
        <is>
          <t>open</t>
        </is>
      </c>
      <c r="Y562" s="9" t="inlineStr">
        <is>
          <t>open</t>
        </is>
      </c>
      <c r="Z562" s="7" t="inlineStr">
        <is>
          <t>https://wol.jw.org/en/wol/d/r1/lp-e/1001070209
https://wol.jw.org/en/wol/d/r1/lp-e/1001061209
https://wol.jw.org/en/wol/d/r1/lp-e/1200002451</t>
        </is>
      </c>
      <c r="AA562" s="7" t="n">
        <v>1</v>
      </c>
      <c r="AB562" s="9" t="inlineStr">
        <is>
          <t>open</t>
        </is>
      </c>
      <c r="AC562" s="7" t="n">
        <v>2</v>
      </c>
      <c r="AD562" s="7" t="inlineStr">
        <is>
          <t>Place wording differs: Insight chart has “Galilee”; A7-C has “Galilee (Nain or nearby)”. | Wording in pre-2013 Insight chart (it-2 'Jesus Christ', par 399): “Feet anointed by sinful woman; illustration of debtors”.</t>
        </is>
      </c>
      <c r="AE562" s="7" t="n"/>
      <c r="AF562" s="7" t="n"/>
      <c r="AG562" s="7" t="n"/>
      <c r="AH562" s="7" t="n"/>
      <c r="AI562" s="7" t="n"/>
      <c r="AJ562" s="7" t="n"/>
      <c r="AK562" s="7" t="n"/>
      <c r="AL562" s="7" t="inlineStr">
        <is>
          <t>A7 row #37 split into 2 events; scripture references cover the whole source row.</t>
        </is>
      </c>
      <c r="AM562" s="7" t="n">
        <v>31.261</v>
      </c>
      <c r="AN562" s="10" t="n"/>
      <c r="AO562" s="10" t="n"/>
      <c r="AP562" s="10" t="n"/>
      <c r="AQ562" s="10" t="n"/>
    </row>
    <row r="563">
      <c r="A563" s="7" t="inlineStr">
        <is>
          <t>b5-0054</t>
        </is>
      </c>
      <c r="B563" s="7" t="inlineStr">
        <is>
          <t>Point</t>
        </is>
      </c>
      <c r="C563" s="7" t="n"/>
      <c r="D563" s="7" t="inlineStr">
        <is>
          <t>31 C.E., Passover</t>
        </is>
      </c>
      <c r="E563" s="7" t="inlineStr">
        <is>
          <t>கி.பி. 31, பஸ்கா</t>
        </is>
      </c>
      <c r="F563" s="7" t="inlineStr">
        <is>
          <t>31 CE</t>
        </is>
      </c>
      <c r="G563" s="7" t="inlineStr">
        <is>
          <t>Exact</t>
        </is>
      </c>
      <c r="H563" s="7" t="n"/>
      <c r="I563" s="7" t="n"/>
      <c r="J563" s="7" t="n"/>
      <c r="K563" s="2" t="inlineStr">
        <is>
          <t>Second preaching tour, with the 12</t>
        </is>
      </c>
      <c r="L563" s="2" t="inlineStr">
        <is>
          <t>12 பேருடன், இரண்டாவது ஊழியப் பயணம்</t>
        </is>
      </c>
      <c r="M563" s="7" t="inlineStr">
        <is>
          <t>Second preaching tour, with the 12. The place is given as Galilee. NWT Study Edition Appendix A7-C (“Jesus’ Great Ministry in Galilee (Part 1)”) dates this to 31 C.E., Passover.</t>
        </is>
      </c>
      <c r="N563" s="7" t="inlineStr">
        <is>
          <t>12 பேருடன், இரண்டாவது ஊழியப் பயணம் — கலிலேயா</t>
        </is>
      </c>
      <c r="O563" s="8" t="inlineStr">
        <is>
          <t>Bible</t>
        </is>
      </c>
      <c r="P563" s="7" t="inlineStr">
        <is>
          <t>bible.jesus</t>
        </is>
      </c>
      <c r="Q563" s="7" t="inlineStr">
        <is>
          <t>preaching_tour</t>
        </is>
      </c>
      <c r="R563" s="7" t="inlineStr">
        <is>
          <t>Jesus</t>
        </is>
      </c>
      <c r="S563" s="7" t="inlineStr">
        <is>
          <t>Galilee</t>
        </is>
      </c>
      <c r="T563" s="7" t="inlineStr">
        <is>
          <t>Luke 8:1-3</t>
        </is>
      </c>
      <c r="U563" s="7" t="inlineStr">
        <is>
          <t>லூக் 8:1-3</t>
        </is>
      </c>
      <c r="V563" s="7" t="n">
        <v>3</v>
      </c>
      <c r="W563" s="7" t="inlineStr">
        <is>
          <t>A7-C Main Events of Jesus’ Earthly Life—Jesus’ Great Ministry in Galilee (Part 1)</t>
        </is>
      </c>
      <c r="X563" s="9" t="inlineStr">
        <is>
          <t>open</t>
        </is>
      </c>
      <c r="Y563" s="9" t="inlineStr">
        <is>
          <t>open</t>
        </is>
      </c>
      <c r="Z563" s="7" t="inlineStr">
        <is>
          <t>https://wol.jw.org/en/wol/d/r1/lp-e/1001070209
https://wol.jw.org/en/wol/d/r1/lp-e/1001061209
https://wol.jw.org/en/wol/d/r1/lp-e/1200002451</t>
        </is>
      </c>
      <c r="AA563" s="7" t="n">
        <v>1</v>
      </c>
      <c r="AB563" s="9" t="inlineStr">
        <is>
          <t>open</t>
        </is>
      </c>
      <c r="AC563" s="7" t="n">
        <v>1</v>
      </c>
      <c r="AD563" s="7" t="inlineStr">
        <is>
          <t>Wording in pre-2013 Insight chart (it-2 'Jesus Christ', par 406): “Second preaching tour of Galilee, with the 12”.</t>
        </is>
      </c>
      <c r="AE563" s="7" t="n"/>
      <c r="AF563" s="7" t="n"/>
      <c r="AG563" s="7" t="n"/>
      <c r="AH563" s="7" t="n"/>
      <c r="AI563" s="7" t="n"/>
      <c r="AJ563" s="7" t="n"/>
      <c r="AK563" s="7" t="n"/>
      <c r="AL563" s="7" t="n"/>
      <c r="AM563" s="7" t="n">
        <v>31.262</v>
      </c>
      <c r="AN563" s="10" t="n"/>
      <c r="AO563" s="10" t="n"/>
      <c r="AP563" s="10" t="n"/>
      <c r="AQ563" s="10" t="n"/>
    </row>
    <row r="564">
      <c r="A564" s="7" t="inlineStr">
        <is>
          <t>b5-0055</t>
        </is>
      </c>
      <c r="B564" s="7" t="inlineStr">
        <is>
          <t>Point</t>
        </is>
      </c>
      <c r="C564" s="7" t="n"/>
      <c r="D564" s="7" t="inlineStr">
        <is>
          <t>31 C.E., Passover</t>
        </is>
      </c>
      <c r="E564" s="7" t="inlineStr">
        <is>
          <t>கி.பி. 31, பஸ்கா</t>
        </is>
      </c>
      <c r="F564" s="7" t="inlineStr">
        <is>
          <t>31 CE</t>
        </is>
      </c>
      <c r="G564" s="7" t="inlineStr">
        <is>
          <t>Exact</t>
        </is>
      </c>
      <c r="H564" s="7" t="n"/>
      <c r="I564" s="7" t="n"/>
      <c r="J564" s="7" t="n"/>
      <c r="K564" s="2" t="inlineStr">
        <is>
          <t>Expels demons; unforgivable sin</t>
        </is>
      </c>
      <c r="L564" s="2" t="inlineStr">
        <is>
          <t>பேய்களைத் துரத்துகிறார்; மன்னிக்க முடியாத பாவம்</t>
        </is>
      </c>
      <c r="M564" s="7" t="inlineStr">
        <is>
          <t>Expels demons; unforgivable sin. The place is given as Galilee. NWT Study Edition Appendix A7-C (“Jesus’ Great Ministry in Galilee (Part 1)”) dates this to 31 C.E., Passover.</t>
        </is>
      </c>
      <c r="N564" s="7" t="inlineStr">
        <is>
          <t>பேய்களைத் துரத்துகிறார்; மன்னிக்க முடியாத பாவம் — கலிலேயா</t>
        </is>
      </c>
      <c r="O564" s="8" t="inlineStr">
        <is>
          <t>Bible</t>
        </is>
      </c>
      <c r="P564" s="7" t="inlineStr">
        <is>
          <t>bible.jesus</t>
        </is>
      </c>
      <c r="Q564" s="7" t="inlineStr">
        <is>
          <t>miracle</t>
        </is>
      </c>
      <c r="R564" s="7" t="inlineStr">
        <is>
          <t>Jesus</t>
        </is>
      </c>
      <c r="S564" s="7" t="inlineStr">
        <is>
          <t>Galilee</t>
        </is>
      </c>
      <c r="T564" s="7" t="inlineStr">
        <is>
          <t>Matt. 12:22-37; Mark 3:19-30</t>
        </is>
      </c>
      <c r="U564" s="7" t="inlineStr">
        <is>
          <t>மத் 12:22-37; மாற் 3:19-30</t>
        </is>
      </c>
      <c r="V564" s="7" t="n">
        <v>3</v>
      </c>
      <c r="W564" s="7" t="inlineStr">
        <is>
          <t>A7-C Main Events of Jesus’ Earthly Life—Jesus’ Great Ministry in Galilee (Part 1)</t>
        </is>
      </c>
      <c r="X564" s="9" t="inlineStr">
        <is>
          <t>open</t>
        </is>
      </c>
      <c r="Y564" s="9" t="inlineStr">
        <is>
          <t>open</t>
        </is>
      </c>
      <c r="Z564" s="7" t="inlineStr">
        <is>
          <t>https://wol.jw.org/en/wol/d/r1/lp-e/1001070209
https://wol.jw.org/en/wol/d/r1/lp-e/1001061209
https://wol.jw.org/en/wol/d/r1/lp-e/1200002451</t>
        </is>
      </c>
      <c r="AA564" s="7" t="n">
        <v>1</v>
      </c>
      <c r="AB564" s="9" t="inlineStr">
        <is>
          <t>open</t>
        </is>
      </c>
      <c r="AC564" s="7" t="n">
        <v>1</v>
      </c>
      <c r="AD564" s="7" t="inlineStr">
        <is>
          <t>Wording in pre-2013 Insight chart (it-2 'Jesus Christ', par 413): “Demoniac healed; league with Beelzebub charged”.</t>
        </is>
      </c>
      <c r="AE564" s="7" t="n"/>
      <c r="AF564" s="7" t="n"/>
      <c r="AG564" s="7" t="n"/>
      <c r="AH564" s="7" t="n"/>
      <c r="AI564" s="7" t="n"/>
      <c r="AJ564" s="7" t="n"/>
      <c r="AK564" s="7" t="n"/>
      <c r="AL564" s="7" t="n"/>
      <c r="AM564" s="7" t="n">
        <v>31.263</v>
      </c>
      <c r="AN564" s="10" t="n"/>
      <c r="AO564" s="10" t="n"/>
      <c r="AP564" s="10" t="n"/>
      <c r="AQ564" s="10" t="n"/>
    </row>
    <row r="565">
      <c r="A565" s="7" t="inlineStr">
        <is>
          <t>b5-0056</t>
        </is>
      </c>
      <c r="B565" s="7" t="inlineStr">
        <is>
          <t>Point</t>
        </is>
      </c>
      <c r="C565" s="7" t="n"/>
      <c r="D565" s="7" t="inlineStr">
        <is>
          <t>31 C.E., Passover</t>
        </is>
      </c>
      <c r="E565" s="7" t="inlineStr">
        <is>
          <t>கி.பி. 31, பஸ்கா</t>
        </is>
      </c>
      <c r="F565" s="7" t="inlineStr">
        <is>
          <t>31 CE</t>
        </is>
      </c>
      <c r="G565" s="7" t="inlineStr">
        <is>
          <t>Exact</t>
        </is>
      </c>
      <c r="H565" s="7" t="n"/>
      <c r="I565" s="7" t="n"/>
      <c r="J565" s="7" t="n"/>
      <c r="K565" s="2" t="inlineStr">
        <is>
          <t>Gives no sign but sign of Jonah</t>
        </is>
      </c>
      <c r="L565" s="2" t="inlineStr">
        <is>
          <t>யோனாவின் அடையாளத்தை மட்டும் தருகிறார்</t>
        </is>
      </c>
      <c r="M565" s="7" t="inlineStr">
        <is>
          <t>Gives no sign but sign of Jonah. The place is given as Galilee. NWT Study Edition Appendix A7-C (“Jesus’ Great Ministry in Galilee (Part 1)”) dates this to 31 C.E., Passover.</t>
        </is>
      </c>
      <c r="N565" s="7" t="inlineStr">
        <is>
          <t>யோனாவின் அடையாளத்தை மட்டும் தருகிறார் — கலிலேயா</t>
        </is>
      </c>
      <c r="O565" s="8" t="inlineStr">
        <is>
          <t>Bible</t>
        </is>
      </c>
      <c r="P565" s="7" t="inlineStr">
        <is>
          <t>bible.jesus</t>
        </is>
      </c>
      <c r="Q565" s="7" t="inlineStr">
        <is>
          <t>teaching</t>
        </is>
      </c>
      <c r="R565" s="7" t="inlineStr">
        <is>
          <t>Jesus</t>
        </is>
      </c>
      <c r="S565" s="7" t="inlineStr">
        <is>
          <t>Galilee</t>
        </is>
      </c>
      <c r="T565" s="7" t="inlineStr">
        <is>
          <t>Matt. 12:38-45</t>
        </is>
      </c>
      <c r="U565" s="7" t="inlineStr">
        <is>
          <t>மத் 12:38-45</t>
        </is>
      </c>
      <c r="V565" s="7" t="n">
        <v>3</v>
      </c>
      <c r="W565" s="7" t="inlineStr">
        <is>
          <t>A7-C Main Events of Jesus’ Earthly Life—Jesus’ Great Ministry in Galilee (Part 1)</t>
        </is>
      </c>
      <c r="X565" s="9" t="inlineStr">
        <is>
          <t>open</t>
        </is>
      </c>
      <c r="Y565" s="9" t="inlineStr">
        <is>
          <t>open</t>
        </is>
      </c>
      <c r="Z565" s="7" t="inlineStr">
        <is>
          <t>https://wol.jw.org/en/wol/d/r1/lp-e/1001070209
https://wol.jw.org/en/wol/d/r1/lp-e/1001061209
https://wol.jw.org/en/wol/d/r1/lp-e/1200002451</t>
        </is>
      </c>
      <c r="AA565" s="7" t="n">
        <v>1</v>
      </c>
      <c r="AB565" s="9" t="inlineStr">
        <is>
          <t>open</t>
        </is>
      </c>
      <c r="AC565" s="7" t="n">
        <v>1</v>
      </c>
      <c r="AD565" s="7" t="inlineStr">
        <is>
          <t>Wording in pre-2013 Insight chart (it-2 'Jesus Christ', par 420): “Scribes and Pharisees seek a sign”.</t>
        </is>
      </c>
      <c r="AE565" s="7" t="n"/>
      <c r="AF565" s="7" t="n"/>
      <c r="AG565" s="7" t="n"/>
      <c r="AH565" s="7" t="n"/>
      <c r="AI565" s="7" t="n"/>
      <c r="AJ565" s="7" t="n"/>
      <c r="AK565" s="7" t="n"/>
      <c r="AL565" s="7" t="n"/>
      <c r="AM565" s="7" t="n">
        <v>31.264</v>
      </c>
      <c r="AN565" s="10" t="n"/>
      <c r="AO565" s="10" t="n"/>
      <c r="AP565" s="10" t="n"/>
      <c r="AQ565" s="10" t="n"/>
    </row>
    <row r="566">
      <c r="A566" s="7" t="inlineStr">
        <is>
          <t>b5-0057</t>
        </is>
      </c>
      <c r="B566" s="7" t="inlineStr">
        <is>
          <t>Point</t>
        </is>
      </c>
      <c r="C566" s="7" t="n"/>
      <c r="D566" s="7" t="inlineStr">
        <is>
          <t>31 C.E., Passover</t>
        </is>
      </c>
      <c r="E566" s="7" t="inlineStr">
        <is>
          <t>கி.பி. 31, பஸ்கா</t>
        </is>
      </c>
      <c r="F566" s="7" t="inlineStr">
        <is>
          <t>31 CE</t>
        </is>
      </c>
      <c r="G566" s="7" t="inlineStr">
        <is>
          <t>Exact</t>
        </is>
      </c>
      <c r="H566" s="7" t="n"/>
      <c r="I566" s="7" t="n"/>
      <c r="J566" s="7" t="n"/>
      <c r="K566" s="2" t="inlineStr">
        <is>
          <t>His mother and brothers come; says disciples are his relatives</t>
        </is>
      </c>
      <c r="L566" s="2" t="inlineStr">
        <is>
          <t>அவருடைய அம்மாவும் சகோதரர்களும் வருகிறார்கள்; சீஷர்கள்தான் தன் சொந்தக்காரர்கள் என்று சொல்கிறார்</t>
        </is>
      </c>
      <c r="M566" s="7" t="inlineStr">
        <is>
          <t>His mother and brothers come; says disciples are his relatives. The place is given as Galilee. NWT Study Edition Appendix A7-C (“Jesus’ Great Ministry in Galilee (Part 1)”) dates this to 31 C.E., Passover.</t>
        </is>
      </c>
      <c r="N566" s="7" t="inlineStr">
        <is>
          <t>அவருடைய அம்மாவும் சகோதரர்களும் வருகிறார்கள்; சீஷர்கள்தான் தன் சொந்தக்காரர்கள் என்று சொல்கிறார் — கலிலேயா</t>
        </is>
      </c>
      <c r="O566" s="8" t="inlineStr">
        <is>
          <t>Bible</t>
        </is>
      </c>
      <c r="P566" s="7" t="inlineStr">
        <is>
          <t>bible.jesus</t>
        </is>
      </c>
      <c r="Q566" s="7" t="inlineStr">
        <is>
          <t>teaching</t>
        </is>
      </c>
      <c r="R566" s="7" t="inlineStr">
        <is>
          <t>Jesus</t>
        </is>
      </c>
      <c r="S566" s="7" t="inlineStr">
        <is>
          <t>Galilee</t>
        </is>
      </c>
      <c r="T566" s="7" t="inlineStr">
        <is>
          <t>Matt. 12:46-50; Mark 3:31-35; Luke 8:19-21</t>
        </is>
      </c>
      <c r="U566" s="7" t="inlineStr">
        <is>
          <t>மத் 12:46-50; மாற் 3:31-35; லூக் 8:19-21</t>
        </is>
      </c>
      <c r="V566" s="7" t="n">
        <v>3</v>
      </c>
      <c r="W566" s="7" t="inlineStr">
        <is>
          <t>A7-C Main Events of Jesus’ Earthly Life—Jesus’ Great Ministry in Galilee (Part 1)</t>
        </is>
      </c>
      <c r="X566" s="9" t="inlineStr">
        <is>
          <t>open</t>
        </is>
      </c>
      <c r="Y566" s="9" t="inlineStr">
        <is>
          <t>open</t>
        </is>
      </c>
      <c r="Z566" s="7" t="inlineStr">
        <is>
          <t>https://wol.jw.org/en/wol/d/r1/lp-e/1001070209
https://wol.jw.org/en/wol/d/r1/lp-e/1001061209
https://wol.jw.org/en/wol/d/r1/lp-e/1200002451</t>
        </is>
      </c>
      <c r="AA566" s="7" t="n">
        <v>1</v>
      </c>
      <c r="AB566" s="9" t="inlineStr">
        <is>
          <t>open</t>
        </is>
      </c>
      <c r="AC566" s="7" t="n">
        <v>1</v>
      </c>
      <c r="AD566" s="7" t="inlineStr">
        <is>
          <t>Wording in pre-2013 Insight chart (it-2 'Jesus Christ', par 427): “Christ’s disciples his close relatives”.</t>
        </is>
      </c>
      <c r="AE566" s="7" t="n"/>
      <c r="AF566" s="7" t="n"/>
      <c r="AG566" s="7" t="n"/>
      <c r="AH566" s="7" t="n"/>
      <c r="AI566" s="7" t="n"/>
      <c r="AJ566" s="7" t="n"/>
      <c r="AK566" s="7" t="n"/>
      <c r="AL566" s="7" t="n"/>
      <c r="AM566" s="7" t="n">
        <v>31.265</v>
      </c>
      <c r="AN566" s="10" t="n"/>
      <c r="AO566" s="10" t="n"/>
      <c r="AP566" s="10" t="n"/>
      <c r="AQ566" s="10" t="n"/>
    </row>
    <row r="567">
      <c r="A567" s="7" t="inlineStr">
        <is>
          <t>b5-0058</t>
        </is>
      </c>
      <c r="B567" s="7" t="inlineStr">
        <is>
          <t>Point</t>
        </is>
      </c>
      <c r="C567" s="7" t="n"/>
      <c r="D567" s="7" t="inlineStr">
        <is>
          <t>31 or 32 C.E.</t>
        </is>
      </c>
      <c r="E567" s="7" t="inlineStr">
        <is>
          <t>கி.பி. 31 அல்லது 32</t>
        </is>
      </c>
      <c r="F567" s="7" t="inlineStr">
        <is>
          <t>31 CE</t>
        </is>
      </c>
      <c r="G567" s="7" t="inlineStr">
        <is>
          <t>Between (one moment in a window)</t>
        </is>
      </c>
      <c r="H567" s="7" t="n"/>
      <c r="I567" s="7" t="n"/>
      <c r="J567" s="7" t="n"/>
      <c r="K567" s="2" t="inlineStr">
        <is>
          <t>Jesus gives Kingdom illustrations</t>
        </is>
      </c>
      <c r="L567" s="2" t="inlineStr">
        <is>
          <t>கடவுளுடைய அரசாங்கம் பற்றிய உவமைகளை இயேசு சொல்கிறார்</t>
        </is>
      </c>
      <c r="M567" s="7" t="inlineStr">
        <is>
          <t>Jesus gives Kingdom illustrations. The place is given as Capernaum area. NWT Study Edition Appendix A7-D (“Jesus’ Great Ministry in Galilee (Part 2)”) dates this to 31 or 32 C.E..</t>
        </is>
      </c>
      <c r="N567" s="7" t="inlineStr">
        <is>
          <t>கடவுளுடைய அரசாங்கம் பற்றிய உவமைகளை இயேசு சொல்கிறார் — கப்பர்நகூம் பகுதி</t>
        </is>
      </c>
      <c r="O567" s="8" t="inlineStr">
        <is>
          <t>Bible</t>
        </is>
      </c>
      <c r="P567" s="7" t="inlineStr">
        <is>
          <t>bible.jesus</t>
        </is>
      </c>
      <c r="Q567" s="7" t="inlineStr">
        <is>
          <t>parable</t>
        </is>
      </c>
      <c r="R567" s="7" t="inlineStr">
        <is>
          <t>Jesus</t>
        </is>
      </c>
      <c r="S567" s="7" t="inlineStr">
        <is>
          <t>Capernaum</t>
        </is>
      </c>
      <c r="T567" s="7" t="inlineStr">
        <is>
          <t>Matt. 13:1-53; Mark 4:1-34; Luke 8:4-18</t>
        </is>
      </c>
      <c r="U567" s="7" t="inlineStr">
        <is>
          <t>மத் 13:1-53; மாற் 4:1-34; லூக் 8:4-18</t>
        </is>
      </c>
      <c r="V567" s="7" t="n">
        <v>3</v>
      </c>
      <c r="W567" s="7" t="inlineStr">
        <is>
          <t>A7-D Main Events of Jesus’ Earthly Life—Jesus’ Great Ministry in Galilee (Part 2)</t>
        </is>
      </c>
      <c r="X567" s="9" t="inlineStr">
        <is>
          <t>open</t>
        </is>
      </c>
      <c r="Y567" s="9" t="inlineStr">
        <is>
          <t>open</t>
        </is>
      </c>
      <c r="Z567" s="7" t="inlineStr">
        <is>
          <t>https://wol.jw.org/en/wol/d/r1/lp-e/1001070210
https://wol.jw.org/en/wol/d/r1/lp-e/1001061210
https://wol.jw.org/en/wol/d/r1/lp-e/1200002451</t>
        </is>
      </c>
      <c r="AA567" s="7" t="n">
        <v>3</v>
      </c>
      <c r="AB567" s="9" t="inlineStr">
        <is>
          <t>open</t>
        </is>
      </c>
      <c r="AC567" s="7" t="n">
        <v>3</v>
      </c>
      <c r="AD567" s="7" t="inlineStr">
        <is>
          <t>Dating differs: pre-2013 Insight chart (it-2 'Jesus Christ', par 434) places this under “31, Passover”; NWT Study Edition A7-D has “31 or 32”. (The pre-2013 chart has no “31 or 32” bracket; these rows fall under “31, Passover” there.) | Place wording differs: Insight chart has “Sea of Galilee”; A7-D has “Capernaum area”. | Wording in pre-2013 Insight chart (it-2 'Jesus Christ', par 434): “Illustrations of sower, weeds, others; explanations”.</t>
        </is>
      </c>
      <c r="AE567" s="7" t="n"/>
      <c r="AF567" s="7" t="n"/>
      <c r="AG567" s="7" t="n"/>
      <c r="AH567" s="7" t="n"/>
      <c r="AI567" s="7" t="n"/>
      <c r="AJ567" s="7" t="n"/>
      <c r="AK567" s="7" t="inlineStr">
        <is>
          <t>messianic-prophecies #125 (fulfillment); wheat-and-weeds #3 (prophecy)</t>
        </is>
      </c>
      <c r="AL567" s="7" t="n"/>
      <c r="AM567" s="7" t="n">
        <v>31.8</v>
      </c>
      <c r="AN567" s="10" t="n"/>
      <c r="AO567" s="10" t="n"/>
      <c r="AP567" s="10" t="n"/>
      <c r="AQ567" s="10" t="n"/>
    </row>
    <row r="568">
      <c r="A568" s="7" t="inlineStr">
        <is>
          <t>b5-0059</t>
        </is>
      </c>
      <c r="B568" s="7" t="inlineStr">
        <is>
          <t>Point</t>
        </is>
      </c>
      <c r="C568" s="7" t="n"/>
      <c r="D568" s="7" t="inlineStr">
        <is>
          <t>31 or 32 C.E.</t>
        </is>
      </c>
      <c r="E568" s="7" t="inlineStr">
        <is>
          <t>கி.பி. 31 அல்லது 32</t>
        </is>
      </c>
      <c r="F568" s="7" t="inlineStr">
        <is>
          <t>31 CE</t>
        </is>
      </c>
      <c r="G568" s="7" t="inlineStr">
        <is>
          <t>Between (one moment in a window)</t>
        </is>
      </c>
      <c r="H568" s="7" t="n"/>
      <c r="I568" s="7" t="n"/>
      <c r="J568" s="7" t="n"/>
      <c r="K568" s="2" t="inlineStr">
        <is>
          <t>Calms a storm from the boat</t>
        </is>
      </c>
      <c r="L568" s="2" t="inlineStr">
        <is>
          <t>படகிலிருந்து புயலை அடக்குகிறார்</t>
        </is>
      </c>
      <c r="M568" s="7" t="inlineStr">
        <is>
          <t>Calms a storm from the boat. The place is given as Sea of Galilee. NWT Study Edition Appendix A7-D (“Jesus’ Great Ministry in Galilee (Part 2)”) dates this to 31 or 32 C.E..</t>
        </is>
      </c>
      <c r="N568" s="7" t="inlineStr">
        <is>
          <t>படகிலிருந்து புயலை அடக்குகிறார் — கலிலேயா கடல்</t>
        </is>
      </c>
      <c r="O568" s="8" t="inlineStr">
        <is>
          <t>Bible</t>
        </is>
      </c>
      <c r="P568" s="7" t="inlineStr">
        <is>
          <t>bible.jesus</t>
        </is>
      </c>
      <c r="Q568" s="7" t="inlineStr">
        <is>
          <t>miracle</t>
        </is>
      </c>
      <c r="R568" s="7" t="inlineStr">
        <is>
          <t>Jesus</t>
        </is>
      </c>
      <c r="S568" s="7" t="inlineStr">
        <is>
          <t>Sea of Galilee</t>
        </is>
      </c>
      <c r="T568" s="7" t="inlineStr">
        <is>
          <t>Matt. 8:18, 23-27; Mark 4:35-41; Luke 8:22-25</t>
        </is>
      </c>
      <c r="U568" s="7" t="inlineStr">
        <is>
          <t>மத் 8:18, 23-27; மாற் 4:35-41; லூக் 8:22-25</t>
        </is>
      </c>
      <c r="V568" s="7" t="n">
        <v>3</v>
      </c>
      <c r="W568" s="7" t="inlineStr">
        <is>
          <t>A7-D Main Events of Jesus’ Earthly Life—Jesus’ Great Ministry in Galilee (Part 2)</t>
        </is>
      </c>
      <c r="X568" s="9" t="inlineStr">
        <is>
          <t>open</t>
        </is>
      </c>
      <c r="Y568" s="9" t="inlineStr">
        <is>
          <t>open</t>
        </is>
      </c>
      <c r="Z568" s="7" t="inlineStr">
        <is>
          <t>https://wol.jw.org/en/wol/d/r1/lp-e/1001070210
https://wol.jw.org/en/wol/d/r1/lp-e/1001061210
https://wol.jw.org/en/wol/d/r1/lp-e/1200002451</t>
        </is>
      </c>
      <c r="AA568" s="7" t="n">
        <v>2</v>
      </c>
      <c r="AB568" s="9" t="inlineStr">
        <is>
          <t>open</t>
        </is>
      </c>
      <c r="AC568" s="7" t="n">
        <v>2</v>
      </c>
      <c r="AD568" s="7" t="inlineStr">
        <is>
          <t>Dating differs: pre-2013 Insight chart (it-2 'Jesus Christ', par 441) places this under “31, Passover”; NWT Study Edition A7-D has “31 or 32”. (The pre-2013 chart has no “31 or 32” bracket; these rows fall under “31, Passover” there.) | Wording in pre-2013 Insight chart (it-2 'Jesus Christ', par 441): “Windstorm stilled in the crossing of the lake”.</t>
        </is>
      </c>
      <c r="AE568" s="7" t="n"/>
      <c r="AF568" s="7" t="n"/>
      <c r="AG568" s="7" t="n"/>
      <c r="AH568" s="7" t="n"/>
      <c r="AI568" s="7" t="n"/>
      <c r="AJ568" s="7" t="n"/>
      <c r="AK568" s="7" t="n"/>
      <c r="AL568" s="7" t="n"/>
      <c r="AM568" s="7" t="n">
        <v>31.801</v>
      </c>
      <c r="AN568" s="10" t="n"/>
      <c r="AO568" s="10" t="n"/>
      <c r="AP568" s="10" t="n"/>
      <c r="AQ568" s="10" t="n"/>
    </row>
    <row r="569">
      <c r="A569" s="7" t="inlineStr">
        <is>
          <t>b5-0060</t>
        </is>
      </c>
      <c r="B569" s="7" t="inlineStr">
        <is>
          <t>Point</t>
        </is>
      </c>
      <c r="C569" s="7" t="n"/>
      <c r="D569" s="7" t="inlineStr">
        <is>
          <t>31 or 32 C.E.</t>
        </is>
      </c>
      <c r="E569" s="7" t="inlineStr">
        <is>
          <t>கி.பி. 31 அல்லது 32</t>
        </is>
      </c>
      <c r="F569" s="7" t="inlineStr">
        <is>
          <t>31 CE</t>
        </is>
      </c>
      <c r="G569" s="7" t="inlineStr">
        <is>
          <t>Between (one moment in a window)</t>
        </is>
      </c>
      <c r="H569" s="7" t="n"/>
      <c r="I569" s="7" t="n"/>
      <c r="J569" s="7" t="n"/>
      <c r="K569" s="2" t="inlineStr">
        <is>
          <t>Sends demons into swine</t>
        </is>
      </c>
      <c r="L569" s="2" t="inlineStr">
        <is>
          <t>பேய்களைப் பன்றிகளுக்குள் அனுப்புகிறார்</t>
        </is>
      </c>
      <c r="M569" s="7" t="inlineStr">
        <is>
          <t>Sends demons into swine. The place is given as Gadara region. NWT Study Edition Appendix A7-D (“Jesus’ Great Ministry in Galilee (Part 2)”) dates this to 31 or 32 C.E..</t>
        </is>
      </c>
      <c r="N569" s="7" t="inlineStr">
        <is>
          <t>பேய்களைப் பன்றிகளுக்குள் அனுப்புகிறார் — கதரா பகுதி</t>
        </is>
      </c>
      <c r="O569" s="8" t="inlineStr">
        <is>
          <t>Bible</t>
        </is>
      </c>
      <c r="P569" s="7" t="inlineStr">
        <is>
          <t>bible.jesus</t>
        </is>
      </c>
      <c r="Q569" s="7" t="inlineStr">
        <is>
          <t>miracle</t>
        </is>
      </c>
      <c r="R569" s="7" t="inlineStr">
        <is>
          <t>Jesus</t>
        </is>
      </c>
      <c r="S569" s="7" t="inlineStr">
        <is>
          <t>Gadara</t>
        </is>
      </c>
      <c r="T569" s="7" t="inlineStr">
        <is>
          <t>Matt. 8:28-34; Mark 5:1-20; Luke 8:26-39</t>
        </is>
      </c>
      <c r="U569" s="7" t="inlineStr">
        <is>
          <t>மத் 8:28-34; மாற் 5:1-20; லூக் 8:26-39</t>
        </is>
      </c>
      <c r="V569" s="7" t="n">
        <v>3</v>
      </c>
      <c r="W569" s="7" t="inlineStr">
        <is>
          <t>A7-D Main Events of Jesus’ Earthly Life—Jesus’ Great Ministry in Galilee (Part 2)</t>
        </is>
      </c>
      <c r="X569" s="9" t="inlineStr">
        <is>
          <t>open</t>
        </is>
      </c>
      <c r="Y569" s="9" t="inlineStr">
        <is>
          <t>open</t>
        </is>
      </c>
      <c r="Z569" s="7" t="inlineStr">
        <is>
          <t>https://wol.jw.org/en/wol/d/r1/lp-e/1001070210
https://wol.jw.org/en/wol/d/r1/lp-e/1001061210
https://wol.jw.org/en/wol/d/r1/lp-e/1200002451</t>
        </is>
      </c>
      <c r="AA569" s="7" t="n">
        <v>2</v>
      </c>
      <c r="AB569" s="9" t="inlineStr">
        <is>
          <t>open</t>
        </is>
      </c>
      <c r="AC569" s="7" t="n">
        <v>3</v>
      </c>
      <c r="AD569" s="7" t="inlineStr">
        <is>
          <t>Dating differs: pre-2013 Insight chart (it-2 'Jesus Christ', par 448) places this under “31, Passover”; NWT Study Edition A7-D has “31 or 32”. (The pre-2013 chart has no “31 or 32” bracket; these rows fall under “31, Passover” there.) | Place wording differs: Insight chart has “Gadara, SE of Sea of Galilee”; A7-D has “Gadara region”. | Wording in pre-2013 Insight chart (it-2 'Jesus Christ', par 448): “Two demoniacs healed; swine possessed by demons”.</t>
        </is>
      </c>
      <c r="AE569" s="7" t="n"/>
      <c r="AF569" s="7" t="n"/>
      <c r="AG569" s="7" t="n"/>
      <c r="AH569" s="7" t="n"/>
      <c r="AI569" s="7" t="n"/>
      <c r="AJ569" s="7" t="n"/>
      <c r="AK569" s="7" t="n"/>
      <c r="AL569" s="7" t="n"/>
      <c r="AM569" s="7" t="n">
        <v>31.802</v>
      </c>
      <c r="AN569" s="10" t="n"/>
      <c r="AO569" s="10" t="n"/>
      <c r="AP569" s="10" t="n"/>
      <c r="AQ569" s="10" t="n"/>
    </row>
    <row r="570">
      <c r="A570" s="7" t="inlineStr">
        <is>
          <t>b5-0061</t>
        </is>
      </c>
      <c r="B570" s="7" t="inlineStr">
        <is>
          <t>Point</t>
        </is>
      </c>
      <c r="C570" s="7" t="n"/>
      <c r="D570" s="7" t="inlineStr">
        <is>
          <t>31 or 32 C.E.</t>
        </is>
      </c>
      <c r="E570" s="7" t="inlineStr">
        <is>
          <t>கி.பி. 31 அல்லது 32</t>
        </is>
      </c>
      <c r="F570" s="7" t="inlineStr">
        <is>
          <t>31 CE</t>
        </is>
      </c>
      <c r="G570" s="7" t="inlineStr">
        <is>
          <t>Between (one moment in a window)</t>
        </is>
      </c>
      <c r="H570" s="7" t="n"/>
      <c r="I570" s="7" t="n"/>
      <c r="J570" s="7" t="n"/>
      <c r="K570" s="2" t="inlineStr">
        <is>
          <t>Jesus heals woman’s flow of blood</t>
        </is>
      </c>
      <c r="L570" s="2" t="inlineStr">
        <is>
          <t>இரத்தப்போக்கால் அவதிப்படும் பெண்ணைக் குணப்படுத்துகிறார்</t>
        </is>
      </c>
      <c r="M570" s="7" t="inlineStr">
        <is>
          <t>Jesus heals woman’s flow of blood. The place is given as Probably Capernaum. NWT Study Edition Appendix A7-D (“Jesus’ Great Ministry in Galilee (Part 2)”) dates this to 31 or 32 C.E.; the source row combines it with related events (“Heals woman’s flow of blood; resurrects Jairus’ daughter”).</t>
        </is>
      </c>
      <c r="N570" s="7" t="inlineStr">
        <is>
          <t>இரத்தப்போக்கால் அவதிப்படும் பெண்ணைக் குணப்படுத்துகிறார்; யவீருவின் மகளை உயிரோடு எழுப்புகிறார் — ஒருவேளை கப்பர்நகூம்</t>
        </is>
      </c>
      <c r="O570" s="8" t="inlineStr">
        <is>
          <t>Bible</t>
        </is>
      </c>
      <c r="P570" s="7" t="inlineStr">
        <is>
          <t>bible.jesus</t>
        </is>
      </c>
      <c r="Q570" s="7" t="inlineStr">
        <is>
          <t>miracle</t>
        </is>
      </c>
      <c r="R570" s="7" t="inlineStr">
        <is>
          <t>Jesus</t>
        </is>
      </c>
      <c r="S570" s="7" t="inlineStr">
        <is>
          <t>Capernaum</t>
        </is>
      </c>
      <c r="T570" s="7" t="inlineStr">
        <is>
          <t>Matt. 9:18-26; Mark 5:21-43; Luke 8:40-56</t>
        </is>
      </c>
      <c r="U570" s="7" t="inlineStr">
        <is>
          <t>மத் 9:18-26; மாற் 5:21-43; லூக் 8:40-56</t>
        </is>
      </c>
      <c r="V570" s="7" t="n">
        <v>3</v>
      </c>
      <c r="W570" s="7" t="inlineStr">
        <is>
          <t>A7-D Main Events of Jesus’ Earthly Life—Jesus’ Great Ministry in Galilee (Part 2)</t>
        </is>
      </c>
      <c r="X570" s="9" t="inlineStr">
        <is>
          <t>open</t>
        </is>
      </c>
      <c r="Y570" s="9" t="inlineStr">
        <is>
          <t>open</t>
        </is>
      </c>
      <c r="Z570" s="7" t="inlineStr">
        <is>
          <t>https://wol.jw.org/en/wol/d/r1/lp-e/1001070210
https://wol.jw.org/en/wol/d/r1/lp-e/1001061210
https://wol.jw.org/en/wol/d/r1/lp-e/1200002451</t>
        </is>
      </c>
      <c r="AA570" s="7" t="n">
        <v>2</v>
      </c>
      <c r="AB570" s="9" t="inlineStr">
        <is>
          <t>open</t>
        </is>
      </c>
      <c r="AC570" s="7" t="n">
        <v>2</v>
      </c>
      <c r="AD570" s="7" t="inlineStr">
        <is>
          <t>Dating differs: pre-2013 Insight chart (it-2 'Jesus Christ', par 455) places this under “31, Passover”; NWT Study Edition A7-D has “31 or 32”. (The pre-2013 chart has no “31 or 32” bracket; these rows fall under “31, Passover” there.) (The pre-2013 chart has no “31 or 32” bracket; these rows fall under “31, Passover” there.) | Wording in pre-2013 Insight chart (it-2 'Jesus Christ', par 455): “Woman healed; Jairus’ daughter raised”.</t>
        </is>
      </c>
      <c r="AE570" s="7" t="n"/>
      <c r="AF570" s="7" t="n"/>
      <c r="AG570" s="7" t="n"/>
      <c r="AH570" s="7" t="n"/>
      <c r="AI570" s="7" t="n"/>
      <c r="AJ570" s="7" t="n"/>
      <c r="AK570" s="7" t="n"/>
      <c r="AL570" s="7" t="inlineStr">
        <is>
          <t>A7 row #45 split into 2 events; scripture references cover the whole source row.</t>
        </is>
      </c>
      <c r="AM570" s="7" t="n">
        <v>31.803</v>
      </c>
      <c r="AN570" s="10" t="n"/>
      <c r="AO570" s="10" t="n"/>
      <c r="AP570" s="10" t="n"/>
      <c r="AQ570" s="10" t="n"/>
    </row>
    <row r="571">
      <c r="A571" s="7" t="inlineStr">
        <is>
          <t>b5-0062</t>
        </is>
      </c>
      <c r="B571" s="7" t="inlineStr">
        <is>
          <t>Point</t>
        </is>
      </c>
      <c r="C571" s="7" t="n"/>
      <c r="D571" s="7" t="inlineStr">
        <is>
          <t>31 or 32 C.E.</t>
        </is>
      </c>
      <c r="E571" s="7" t="inlineStr">
        <is>
          <t>கி.பி. 31 அல்லது 32</t>
        </is>
      </c>
      <c r="F571" s="7" t="inlineStr">
        <is>
          <t>31 CE</t>
        </is>
      </c>
      <c r="G571" s="7" t="inlineStr">
        <is>
          <t>Between (one moment in a window)</t>
        </is>
      </c>
      <c r="H571" s="7" t="n"/>
      <c r="I571" s="7" t="n"/>
      <c r="J571" s="7" t="n"/>
      <c r="K571" s="2" t="inlineStr">
        <is>
          <t>Jesus resurrects Jairus’ daughter</t>
        </is>
      </c>
      <c r="L571" s="2" t="inlineStr">
        <is>
          <t>யவீருவின் மகளை உயிரோடு எழுப்புகிறார்</t>
        </is>
      </c>
      <c r="M571" s="7" t="inlineStr">
        <is>
          <t>Jesus resurrects Jairus’ daughter. The place is given as Probably Capernaum. NWT Study Edition Appendix A7-D (“Jesus’ Great Ministry in Galilee (Part 2)”) dates this to 31 or 32 C.E.; the source row combines it with related events (“Heals woman’s flow of blood; resurrects Jairus’ daughter”).</t>
        </is>
      </c>
      <c r="N571" s="7" t="inlineStr">
        <is>
          <t>இரத்தப்போக்கால் அவதிப்படும் பெண்ணைக் குணப்படுத்துகிறார்; யவீருவின் மகளை உயிரோடு எழுப்புகிறார் — ஒருவேளை கப்பர்நகூம்</t>
        </is>
      </c>
      <c r="O571" s="8" t="inlineStr">
        <is>
          <t>Bible</t>
        </is>
      </c>
      <c r="P571" s="7" t="inlineStr">
        <is>
          <t>bible.jesus</t>
        </is>
      </c>
      <c r="Q571" s="7" t="inlineStr">
        <is>
          <t>miracle</t>
        </is>
      </c>
      <c r="R571" s="7" t="inlineStr">
        <is>
          <t>Jesus; Jairus</t>
        </is>
      </c>
      <c r="S571" s="7" t="inlineStr">
        <is>
          <t>Capernaum</t>
        </is>
      </c>
      <c r="T571" s="7" t="inlineStr">
        <is>
          <t>Matt. 9:18-26; Mark 5:21-43; Luke 8:40-56</t>
        </is>
      </c>
      <c r="U571" s="7" t="inlineStr">
        <is>
          <t>மத் 9:18-26; மாற் 5:21-43; லூக் 8:40-56</t>
        </is>
      </c>
      <c r="V571" s="7" t="n">
        <v>3</v>
      </c>
      <c r="W571" s="7" t="inlineStr">
        <is>
          <t>A7-D Main Events of Jesus’ Earthly Life—Jesus’ Great Ministry in Galilee (Part 2)</t>
        </is>
      </c>
      <c r="X571" s="9" t="inlineStr">
        <is>
          <t>open</t>
        </is>
      </c>
      <c r="Y571" s="9" t="inlineStr">
        <is>
          <t>open</t>
        </is>
      </c>
      <c r="Z571" s="7" t="inlineStr">
        <is>
          <t>https://wol.jw.org/en/wol/d/r1/lp-e/1001070210
https://wol.jw.org/en/wol/d/r1/lp-e/1001061210
https://wol.jw.org/en/wol/d/r1/lp-e/1200002451</t>
        </is>
      </c>
      <c r="AA571" s="7" t="n">
        <v>2</v>
      </c>
      <c r="AB571" s="9" t="inlineStr">
        <is>
          <t>open</t>
        </is>
      </c>
      <c r="AC571" s="7" t="n">
        <v>2</v>
      </c>
      <c r="AD571" s="7" t="inlineStr">
        <is>
          <t>Dating differs: pre-2013 Insight chart (it-2 'Jesus Christ', par 455) places this under “31, Passover”; NWT Study Edition A7-D has “31 or 32”. (The pre-2013 chart has no “31 or 32” bracket; these rows fall under “31, Passover” there.) (The pre-2013 chart has no “31 or 32” bracket; these rows fall under “31, Passover” there.) | Wording in pre-2013 Insight chart (it-2 'Jesus Christ', par 455): “Woman healed; Jairus’ daughter raised”.</t>
        </is>
      </c>
      <c r="AE571" s="7" t="n"/>
      <c r="AF571" s="7" t="n"/>
      <c r="AG571" s="7" t="n"/>
      <c r="AH571" s="7" t="n"/>
      <c r="AI571" s="7" t="n"/>
      <c r="AJ571" s="7" t="n"/>
      <c r="AK571" s="7" t="n"/>
      <c r="AL571" s="7" t="inlineStr">
        <is>
          <t>A7 row #45 split into 2 events; scripture references cover the whole source row.</t>
        </is>
      </c>
      <c r="AM571" s="7" t="n">
        <v>31.804</v>
      </c>
      <c r="AN571" s="10" t="n"/>
      <c r="AO571" s="10" t="n"/>
      <c r="AP571" s="10" t="n"/>
      <c r="AQ571" s="10" t="n"/>
    </row>
    <row r="572">
      <c r="A572" s="7" t="inlineStr">
        <is>
          <t>b5-0063</t>
        </is>
      </c>
      <c r="B572" s="7" t="inlineStr">
        <is>
          <t>Point</t>
        </is>
      </c>
      <c r="C572" s="7" t="n"/>
      <c r="D572" s="7" t="inlineStr">
        <is>
          <t>31 or 32 C.E.</t>
        </is>
      </c>
      <c r="E572" s="7" t="inlineStr">
        <is>
          <t>கி.பி. 31 அல்லது 32</t>
        </is>
      </c>
      <c r="F572" s="7" t="inlineStr">
        <is>
          <t>31 CE</t>
        </is>
      </c>
      <c r="G572" s="7" t="inlineStr">
        <is>
          <t>Between (one moment in a window)</t>
        </is>
      </c>
      <c r="H572" s="7" t="n"/>
      <c r="I572" s="7" t="n"/>
      <c r="J572" s="7" t="n"/>
      <c r="K572" s="2" t="inlineStr">
        <is>
          <t>Heals the blind and speechless</t>
        </is>
      </c>
      <c r="L572" s="2" t="inlineStr">
        <is>
          <t>பார்வை இல்லாதவர்களையும், பேச முடியாதவர்களையும் குணப்படுத்துகிறார்</t>
        </is>
      </c>
      <c r="M572" s="7" t="inlineStr">
        <is>
          <t>Heals the blind and speechless. The place is given as Capernaum (?). NWT Study Edition Appendix A7-D (“Jesus’ Great Ministry in Galilee (Part 2)”) dates this to 31 or 32 C.E..</t>
        </is>
      </c>
      <c r="N572" s="7" t="inlineStr">
        <is>
          <t>பார்வை இல்லாதவர்களையும், பேச முடியாதவர்களையும் குணப்படுத்துகிறார் — கப்பர்நகூம் (?)</t>
        </is>
      </c>
      <c r="O572" s="8" t="inlineStr">
        <is>
          <t>Bible</t>
        </is>
      </c>
      <c r="P572" s="7" t="inlineStr">
        <is>
          <t>bible.jesus</t>
        </is>
      </c>
      <c r="Q572" s="7" t="inlineStr">
        <is>
          <t>miracle</t>
        </is>
      </c>
      <c r="R572" s="7" t="inlineStr">
        <is>
          <t>Jesus</t>
        </is>
      </c>
      <c r="S572" s="7" t="inlineStr">
        <is>
          <t>Capernaum</t>
        </is>
      </c>
      <c r="T572" s="7" t="inlineStr">
        <is>
          <t>Matt. 9:27-34</t>
        </is>
      </c>
      <c r="U572" s="7" t="inlineStr">
        <is>
          <t>மத் 9:27-34</t>
        </is>
      </c>
      <c r="V572" s="7" t="n">
        <v>3</v>
      </c>
      <c r="W572" s="7" t="inlineStr">
        <is>
          <t>A7-D Main Events of Jesus’ Earthly Life—Jesus’ Great Ministry in Galilee (Part 2)</t>
        </is>
      </c>
      <c r="X572" s="9" t="inlineStr">
        <is>
          <t>open</t>
        </is>
      </c>
      <c r="Y572" s="9" t="inlineStr">
        <is>
          <t>open</t>
        </is>
      </c>
      <c r="Z572" s="7" t="inlineStr">
        <is>
          <t>https://wol.jw.org/en/wol/d/r1/lp-e/1001070210
https://wol.jw.org/en/wol/d/r1/lp-e/1001061210
https://wol.jw.org/en/wol/d/r1/lp-e/1200002451</t>
        </is>
      </c>
      <c r="AA572" s="7" t="n">
        <v>2</v>
      </c>
      <c r="AB572" s="9" t="inlineStr">
        <is>
          <t>open</t>
        </is>
      </c>
      <c r="AC572" s="7" t="n">
        <v>3</v>
      </c>
      <c r="AD572" s="7" t="inlineStr">
        <is>
          <t>Dating differs: pre-2013 Insight chart (it-2 'Jesus Christ', par 462) places this under “31, Passover”; NWT Study Edition A7-D has “31 or 32”. (The pre-2013 chart has no “31 or 32” bracket; these rows fall under “31, Passover” there.) | Place wording differs: Insight chart has “Capernaum(?)”; A7-D has “Capernaum (?)”. | Wording in pre-2013 Insight chart (it-2 'Jesus Christ', par 462): “Heals two blind men and a mute demoniac”.</t>
        </is>
      </c>
      <c r="AE572" s="7" t="n"/>
      <c r="AF572" s="7" t="n"/>
      <c r="AG572" s="7" t="n"/>
      <c r="AH572" s="7" t="n"/>
      <c r="AI572" s="7" t="n"/>
      <c r="AJ572" s="7" t="n"/>
      <c r="AK572" s="7" t="n"/>
      <c r="AL572" s="7" t="n"/>
      <c r="AM572" s="7" t="n">
        <v>31.805</v>
      </c>
      <c r="AN572" s="10" t="n"/>
      <c r="AO572" s="10" t="n"/>
      <c r="AP572" s="10" t="n"/>
      <c r="AQ572" s="10" t="n"/>
    </row>
    <row r="573">
      <c r="A573" s="7" t="inlineStr">
        <is>
          <t>b5-0064</t>
        </is>
      </c>
      <c r="B573" s="7" t="inlineStr">
        <is>
          <t>Point</t>
        </is>
      </c>
      <c r="C573" s="7" t="n"/>
      <c r="D573" s="7" t="inlineStr">
        <is>
          <t>31 or 32 C.E.</t>
        </is>
      </c>
      <c r="E573" s="7" t="inlineStr">
        <is>
          <t>கி.பி. 31 அல்லது 32</t>
        </is>
      </c>
      <c r="F573" s="7" t="inlineStr">
        <is>
          <t>31 CE</t>
        </is>
      </c>
      <c r="G573" s="7" t="inlineStr">
        <is>
          <t>Between (one moment in a window)</t>
        </is>
      </c>
      <c r="H573" s="7" t="n"/>
      <c r="I573" s="7" t="n"/>
      <c r="J573" s="7" t="n"/>
      <c r="K573" s="2" t="inlineStr">
        <is>
          <t>Rejected again in his hometown</t>
        </is>
      </c>
      <c r="L573" s="2" t="inlineStr">
        <is>
          <t>சொந்த ஊரில் மறுபடியும் நிராகரிக்கப்படுகிறார்</t>
        </is>
      </c>
      <c r="M573" s="7" t="inlineStr">
        <is>
          <t>Rejected again in his hometown. The place is given as Nazareth. NWT Study Edition Appendix A7-D (“Jesus’ Great Ministry in Galilee (Part 2)”) dates this to 31 or 32 C.E..</t>
        </is>
      </c>
      <c r="N573" s="7" t="inlineStr">
        <is>
          <t>சொந்த ஊரில் மறுபடியும் நிராகரிக்கப்படுகிறார் — நாசரேத்</t>
        </is>
      </c>
      <c r="O573" s="8" t="inlineStr">
        <is>
          <t>Bible</t>
        </is>
      </c>
      <c r="P573" s="7" t="inlineStr">
        <is>
          <t>bible.jesus</t>
        </is>
      </c>
      <c r="Q573" s="7" t="inlineStr">
        <is>
          <t>rejection</t>
        </is>
      </c>
      <c r="R573" s="7" t="inlineStr">
        <is>
          <t>Jesus</t>
        </is>
      </c>
      <c r="S573" s="7" t="inlineStr">
        <is>
          <t>Nazareth</t>
        </is>
      </c>
      <c r="T573" s="7" t="inlineStr">
        <is>
          <t>Matt. 13:54-58; Mark 6:1-5</t>
        </is>
      </c>
      <c r="U573" s="7" t="inlineStr">
        <is>
          <t>மத் 13:54-58; மாற் 6:1-5</t>
        </is>
      </c>
      <c r="V573" s="7" t="n">
        <v>3</v>
      </c>
      <c r="W573" s="7" t="inlineStr">
        <is>
          <t>A7-D Main Events of Jesus’ Earthly Life—Jesus’ Great Ministry in Galilee (Part 2)</t>
        </is>
      </c>
      <c r="X573" s="9" t="inlineStr">
        <is>
          <t>open</t>
        </is>
      </c>
      <c r="Y573" s="9" t="inlineStr">
        <is>
          <t>open</t>
        </is>
      </c>
      <c r="Z573" s="7" t="inlineStr">
        <is>
          <t>https://wol.jw.org/en/wol/d/r1/lp-e/1001070210
https://wol.jw.org/en/wol/d/r1/lp-e/1001061210
https://wol.jw.org/en/wol/d/r1/lp-e/1200002451</t>
        </is>
      </c>
      <c r="AA573" s="7" t="n">
        <v>2</v>
      </c>
      <c r="AB573" s="9" t="inlineStr">
        <is>
          <t>open</t>
        </is>
      </c>
      <c r="AC573" s="7" t="n">
        <v>3</v>
      </c>
      <c r="AD573" s="7" t="inlineStr">
        <is>
          <t>Dating differs: pre-2013 Insight chart (it-2 'Jesus Christ', par 469) places this under “31, Passover”; NWT Study Edition A7-D has “31 or 32”. (The pre-2013 chart has no “31 or 32” bracket; these rows fall under “31, Passover” there.) | Gospel references differ: Insight chart lists “Mt 13:54-58; Mr 6:1-6”; A7-D lists “Mt 13:54-58; Mr 6:1-5”. | Wording in pre-2013 Insight chart (it-2 'Jesus Christ', par 469): “Revisits city where reared, and is again rejected”.</t>
        </is>
      </c>
      <c r="AE573" s="7" t="n"/>
      <c r="AF573" s="7" t="n"/>
      <c r="AG573" s="7" t="n"/>
      <c r="AH573" s="7" t="n"/>
      <c r="AI573" s="7" t="n"/>
      <c r="AJ573" s="7" t="n"/>
      <c r="AK573" s="7" t="n"/>
      <c r="AL573" s="7" t="n"/>
      <c r="AM573" s="7" t="n">
        <v>31.806</v>
      </c>
      <c r="AN573" s="10" t="n"/>
      <c r="AO573" s="10" t="n"/>
      <c r="AP573" s="10" t="n"/>
      <c r="AQ573" s="10" t="n"/>
    </row>
    <row r="574">
      <c r="A574" s="7" t="inlineStr">
        <is>
          <t>b5-0065</t>
        </is>
      </c>
      <c r="B574" s="7" t="inlineStr">
        <is>
          <t>Point</t>
        </is>
      </c>
      <c r="C574" s="7" t="n"/>
      <c r="D574" s="7" t="inlineStr">
        <is>
          <t>31 or 32 C.E.</t>
        </is>
      </c>
      <c r="E574" s="7" t="inlineStr">
        <is>
          <t>கி.பி. 31 அல்லது 32</t>
        </is>
      </c>
      <c r="F574" s="7" t="inlineStr">
        <is>
          <t>31 CE</t>
        </is>
      </c>
      <c r="G574" s="7" t="inlineStr">
        <is>
          <t>Between (one moment in a window)</t>
        </is>
      </c>
      <c r="H574" s="7" t="n"/>
      <c r="I574" s="7" t="n"/>
      <c r="J574" s="7" t="n"/>
      <c r="K574" s="2" t="inlineStr">
        <is>
          <t>Third tour of Galilee; expands work by sending out apostles</t>
        </is>
      </c>
      <c r="L574" s="2" t="inlineStr">
        <is>
          <t>கலிலேயாவில் மூன்றாம் பயணம்; அப்போஸ்தலர்களை அனுப்பி ஊழியத்தை விரிவுபடுத்துகிறார்</t>
        </is>
      </c>
      <c r="M574" s="7" t="inlineStr">
        <is>
          <t>Third tour of Galilee; expands work by sending out apostles. The place is given as Galilee. NWT Study Edition Appendix A7-D (“Jesus’ Great Ministry in Galilee (Part 2)”) dates this to 31 or 32 C.E..</t>
        </is>
      </c>
      <c r="N574" s="7" t="inlineStr">
        <is>
          <t>கலிலேயாவில் மூன்றாம் பயணம்; அப்போஸ்தலர்களை அனுப்பி ஊழியத்தை விரிவுபடுத்துகிறார் — கலிலேயா</t>
        </is>
      </c>
      <c r="O574" s="8" t="inlineStr">
        <is>
          <t>Bible</t>
        </is>
      </c>
      <c r="P574" s="7" t="inlineStr">
        <is>
          <t>bible.jesus</t>
        </is>
      </c>
      <c r="Q574" s="7" t="inlineStr">
        <is>
          <t>preaching_tour</t>
        </is>
      </c>
      <c r="R574" s="7" t="inlineStr">
        <is>
          <t>Jesus</t>
        </is>
      </c>
      <c r="S574" s="7" t="inlineStr">
        <is>
          <t>Galilee</t>
        </is>
      </c>
      <c r="T574" s="7" t="inlineStr">
        <is>
          <t>Matt. 9:35–11:1; Mark 6:6-13; Luke 9:1-6</t>
        </is>
      </c>
      <c r="U574" s="7" t="inlineStr">
        <is>
          <t>மத் 9:35–11:1; மாற் 6:6-13; லூக் 9:1-6</t>
        </is>
      </c>
      <c r="V574" s="7" t="n">
        <v>3</v>
      </c>
      <c r="W574" s="7" t="inlineStr">
        <is>
          <t>A7-D Main Events of Jesus’ Earthly Life—Jesus’ Great Ministry in Galilee (Part 2)</t>
        </is>
      </c>
      <c r="X574" s="9" t="inlineStr">
        <is>
          <t>open</t>
        </is>
      </c>
      <c r="Y574" s="9" t="inlineStr">
        <is>
          <t>open</t>
        </is>
      </c>
      <c r="Z574" s="7" t="inlineStr">
        <is>
          <t>https://wol.jw.org/en/wol/d/r1/lp-e/1001070210
https://wol.jw.org/en/wol/d/r1/lp-e/1001061210
https://wol.jw.org/en/wol/d/r1/lp-e/1200002451</t>
        </is>
      </c>
      <c r="AA574" s="7" t="n">
        <v>2</v>
      </c>
      <c r="AB574" s="9" t="inlineStr">
        <is>
          <t>open</t>
        </is>
      </c>
      <c r="AC574" s="7" t="n">
        <v>2</v>
      </c>
      <c r="AD574" s="7" t="inlineStr">
        <is>
          <t>Dating differs: pre-2013 Insight chart (it-2 'Jesus Christ', par 476) places this under “31, Passover”; NWT Study Edition A7-D has “31 or 32”. (The pre-2013 chart has no “31 or 32” bracket; these rows fall under “31, Passover” there.) | Wording in pre-2013 Insight chart (it-2 'Jesus Christ', par 476): “Third tour of Galilee, expanded as apostles sent”.</t>
        </is>
      </c>
      <c r="AE574" s="7" t="n"/>
      <c r="AF574" s="7" t="n"/>
      <c r="AG574" s="7" t="n"/>
      <c r="AH574" s="7" t="n"/>
      <c r="AI574" s="7" t="n"/>
      <c r="AJ574" s="7" t="n"/>
      <c r="AK574" s="7" t="n"/>
      <c r="AL574" s="7" t="n"/>
      <c r="AM574" s="7" t="n">
        <v>31.807</v>
      </c>
      <c r="AN574" s="10" t="n"/>
      <c r="AO574" s="10" t="n"/>
      <c r="AP574" s="10" t="n"/>
      <c r="AQ574" s="10" t="n"/>
    </row>
    <row r="575">
      <c r="A575" s="7" t="inlineStr">
        <is>
          <t>b5-0066</t>
        </is>
      </c>
      <c r="B575" s="7" t="inlineStr">
        <is>
          <t>Point</t>
        </is>
      </c>
      <c r="C575" s="7" t="n"/>
      <c r="D575" s="7" t="inlineStr">
        <is>
          <t>31 or 32 C.E.</t>
        </is>
      </c>
      <c r="E575" s="7" t="inlineStr">
        <is>
          <t>கி.பி. 31 அல்லது 32</t>
        </is>
      </c>
      <c r="F575" s="7" t="inlineStr">
        <is>
          <t>31 CE</t>
        </is>
      </c>
      <c r="G575" s="7" t="inlineStr">
        <is>
          <t>Between (one moment in a window)</t>
        </is>
      </c>
      <c r="H575" s="7" t="n"/>
      <c r="I575" s="7" t="n"/>
      <c r="J575" s="7" t="n"/>
      <c r="K575" s="2" t="inlineStr">
        <is>
          <t>Herod beheads John the Baptist</t>
        </is>
      </c>
      <c r="L575" s="2" t="inlineStr">
        <is>
          <t>யோவான் ஸ்நானகருடைய தலை வெட்டப்படுகிறது</t>
        </is>
      </c>
      <c r="M575" s="7" t="inlineStr">
        <is>
          <t>Herod beheads John the Baptist. The place is given as Tiberias. NWT Study Edition Appendix A7-D (“Jesus’ Great Ministry in Galilee (Part 2)”) dates this to 31 or 32 C.E.; the source row combines it with related events (“Herod beheads John the Baptist; Herod perplexed by Jesus”).</t>
        </is>
      </c>
      <c r="N575" s="7" t="inlineStr">
        <is>
          <t>யோவான் ஸ்நானகருடைய தலை வெட்டப்படுகிறது; இயேசுவை நினைத்து ஏரோது குழப்பமடைகிறான் — திபேரியா</t>
        </is>
      </c>
      <c r="O575" s="8" t="inlineStr">
        <is>
          <t>Bible</t>
        </is>
      </c>
      <c r="P575" s="7" t="inlineStr">
        <is>
          <t>bible.jesus</t>
        </is>
      </c>
      <c r="Q575" s="7" t="inlineStr">
        <is>
          <t>death</t>
        </is>
      </c>
      <c r="R575" s="7" t="inlineStr">
        <is>
          <t>John the Baptist; Herod Antipas</t>
        </is>
      </c>
      <c r="S575" s="7" t="inlineStr">
        <is>
          <t>Tiberias</t>
        </is>
      </c>
      <c r="T575" s="7" t="inlineStr">
        <is>
          <t>Matt. 14:1-12; Mark 6:14-29; Luke 9:7-9</t>
        </is>
      </c>
      <c r="U575" s="7" t="inlineStr">
        <is>
          <t>மத் 14:1-12; மாற் 6:14-29; லூக் 9:7-9</t>
        </is>
      </c>
      <c r="V575" s="7" t="n">
        <v>3</v>
      </c>
      <c r="W575" s="7" t="inlineStr">
        <is>
          <t>A7-D Main Events of Jesus’ Earthly Life—Jesus’ Great Ministry in Galilee (Part 2)</t>
        </is>
      </c>
      <c r="X575" s="9" t="inlineStr">
        <is>
          <t>open</t>
        </is>
      </c>
      <c r="Y575" s="9" t="inlineStr">
        <is>
          <t>open</t>
        </is>
      </c>
      <c r="Z575" s="7" t="inlineStr">
        <is>
          <t>https://wol.jw.org/en/wol/d/r1/lp-e/1001070210
https://wol.jw.org/en/wol/d/r1/lp-e/1001061210
https://wol.jw.org/en/wol/d/r1/lp-e/1200002451</t>
        </is>
      </c>
      <c r="AA575" s="7" t="n">
        <v>2</v>
      </c>
      <c r="AB575" s="9" t="inlineStr">
        <is>
          <t>open</t>
        </is>
      </c>
      <c r="AC575" s="7" t="n">
        <v>2</v>
      </c>
      <c r="AD575" s="7" t="inlineStr">
        <is>
          <t>Dating differs: pre-2013 Insight chart (it-2 'Jesus Christ', par 483) places this under “31, Passover”; NWT Study Edition A7-D has “31 or 32”. (The pre-2013 chart has no “31 or 32” bracket; these rows fall under “31, Passover” there.) (The pre-2013 chart has no “31 or 32” bracket; these rows fall under “31, Passover” there.) | Wording in pre-2013 Insight chart (it-2 'Jesus Christ', par 483): “John the Baptizer beheaded; Herod’s guilty fears”.</t>
        </is>
      </c>
      <c r="AE575" s="7" t="n"/>
      <c r="AF575" s="7" t="n"/>
      <c r="AG575" s="7" t="n"/>
      <c r="AH575" s="7" t="n"/>
      <c r="AI575" s="7" t="inlineStr">
        <is>
          <t>Span endpoint – keep</t>
        </is>
      </c>
      <c r="AJ575" s="7" t="inlineStr">
        <is>
          <t>end of Life of John the Baptist (d1-0023)</t>
        </is>
      </c>
      <c r="AK575" s="7" t="n"/>
      <c r="AL575" s="7" t="inlineStr">
        <is>
          <t>A7 row #49 split into 2 events; scripture references cover the whole source row.</t>
        </is>
      </c>
      <c r="AM575" s="7" t="n">
        <v>31.808</v>
      </c>
      <c r="AN575" s="10" t="n"/>
      <c r="AO575" s="10" t="n"/>
      <c r="AP575" s="10" t="n"/>
      <c r="AQ575" s="10" t="n"/>
    </row>
    <row r="576">
      <c r="A576" s="7" t="inlineStr">
        <is>
          <t>b5-0067</t>
        </is>
      </c>
      <c r="B576" s="7" t="inlineStr">
        <is>
          <t>Point</t>
        </is>
      </c>
      <c r="C576" s="7" t="n"/>
      <c r="D576" s="7" t="inlineStr">
        <is>
          <t>31 or 32 C.E.</t>
        </is>
      </c>
      <c r="E576" s="7" t="inlineStr">
        <is>
          <t>கி.பி. 31 அல்லது 32</t>
        </is>
      </c>
      <c r="F576" s="7" t="inlineStr">
        <is>
          <t>31 CE</t>
        </is>
      </c>
      <c r="G576" s="7" t="inlineStr">
        <is>
          <t>Between (one moment in a window)</t>
        </is>
      </c>
      <c r="H576" s="7" t="n"/>
      <c r="I576" s="7" t="n"/>
      <c r="J576" s="7" t="n"/>
      <c r="K576" s="2" t="inlineStr">
        <is>
          <t>Herod perplexed by Jesus</t>
        </is>
      </c>
      <c r="L576" s="2" t="inlineStr">
        <is>
          <t>இயேசுவை நினைத்து ஏரோது குழப்பமடைகிறான்</t>
        </is>
      </c>
      <c r="M576" s="7" t="inlineStr">
        <is>
          <t>Herod perplexed by Jesus. The place is given as Tiberias. NWT Study Edition Appendix A7-D (“Jesus’ Great Ministry in Galilee (Part 2)”) dates this to 31 or 32 C.E.; the source row combines it with related events (“Herod beheads John the Baptist; Herod perplexed by Jesus”).</t>
        </is>
      </c>
      <c r="N576" s="7" t="inlineStr">
        <is>
          <t>யோவான் ஸ்நானகருடைய தலை வெட்டப்படுகிறது; இயேசுவை நினைத்து ஏரோது குழப்பமடைகிறான் — திபேரியா</t>
        </is>
      </c>
      <c r="O576" s="8" t="inlineStr">
        <is>
          <t>Bible</t>
        </is>
      </c>
      <c r="P576" s="7" t="inlineStr">
        <is>
          <t>bible.jesus</t>
        </is>
      </c>
      <c r="Q576" s="7" t="inlineStr">
        <is>
          <t>teaching</t>
        </is>
      </c>
      <c r="R576" s="7" t="inlineStr">
        <is>
          <t>Jesus; Herod Antipas</t>
        </is>
      </c>
      <c r="S576" s="7" t="inlineStr">
        <is>
          <t>Tiberias</t>
        </is>
      </c>
      <c r="T576" s="7" t="inlineStr">
        <is>
          <t>Matt. 14:1-12; Mark 6:14-29; Luke 9:7-9</t>
        </is>
      </c>
      <c r="U576" s="7" t="inlineStr">
        <is>
          <t>மத் 14:1-12; மாற் 6:14-29; லூக் 9:7-9</t>
        </is>
      </c>
      <c r="V576" s="7" t="n">
        <v>3</v>
      </c>
      <c r="W576" s="7" t="inlineStr">
        <is>
          <t>A7-D Main Events of Jesus’ Earthly Life—Jesus’ Great Ministry in Galilee (Part 2)</t>
        </is>
      </c>
      <c r="X576" s="9" t="inlineStr">
        <is>
          <t>open</t>
        </is>
      </c>
      <c r="Y576" s="9" t="inlineStr">
        <is>
          <t>open</t>
        </is>
      </c>
      <c r="Z576" s="7" t="inlineStr">
        <is>
          <t>https://wol.jw.org/en/wol/d/r1/lp-e/1001070210
https://wol.jw.org/en/wol/d/r1/lp-e/1001061210
https://wol.jw.org/en/wol/d/r1/lp-e/1200002451</t>
        </is>
      </c>
      <c r="AA576" s="7" t="n">
        <v>2</v>
      </c>
      <c r="AB576" s="9" t="inlineStr">
        <is>
          <t>open</t>
        </is>
      </c>
      <c r="AC576" s="7" t="n">
        <v>2</v>
      </c>
      <c r="AD576" s="7" t="inlineStr">
        <is>
          <t>Dating differs: pre-2013 Insight chart (it-2 'Jesus Christ', par 483) places this under “31, Passover”; NWT Study Edition A7-D has “31 or 32”. (The pre-2013 chart has no “31 or 32” bracket; these rows fall under “31, Passover” there.) (The pre-2013 chart has no “31 or 32” bracket; these rows fall under “31, Passover” there.) | Wording in pre-2013 Insight chart (it-2 'Jesus Christ', par 483): “John the Baptizer beheaded; Herod’s guilty fears”.</t>
        </is>
      </c>
      <c r="AE576" s="7" t="n"/>
      <c r="AF576" s="7" t="n"/>
      <c r="AG576" s="7" t="n"/>
      <c r="AH576" s="7" t="n"/>
      <c r="AI576" s="7" t="n"/>
      <c r="AJ576" s="7" t="n"/>
      <c r="AK576" s="7" t="n"/>
      <c r="AL576" s="7" t="inlineStr">
        <is>
          <t>A7 row #49 split into 2 events; scripture references cover the whole source row.</t>
        </is>
      </c>
      <c r="AM576" s="7" t="n">
        <v>31.809</v>
      </c>
      <c r="AN576" s="10" t="n"/>
      <c r="AO576" s="10" t="n"/>
      <c r="AP576" s="10" t="n"/>
      <c r="AQ576" s="10" t="n"/>
    </row>
    <row r="577">
      <c r="A577" s="7" t="inlineStr">
        <is>
          <t>b5-0068</t>
        </is>
      </c>
      <c r="B577" s="7" t="inlineStr">
        <is>
          <t>Point</t>
        </is>
      </c>
      <c r="C577" s="7" t="n"/>
      <c r="D577" s="7" t="inlineStr">
        <is>
          <t>32 C.E., near Passover (Joh 6:4)</t>
        </is>
      </c>
      <c r="E577" s="7" t="inlineStr">
        <is>
          <t>கி.பி. 32, பஸ்கா நெருங்குகிறது (யோவா 6:4)</t>
        </is>
      </c>
      <c r="F577" s="7" t="inlineStr">
        <is>
          <t>32 CE</t>
        </is>
      </c>
      <c r="G577" s="7" t="inlineStr">
        <is>
          <t>Approx. (c.)</t>
        </is>
      </c>
      <c r="H577" s="7" t="n"/>
      <c r="I577" s="7" t="n"/>
      <c r="J577" s="7" t="n"/>
      <c r="K577" s="2" t="inlineStr">
        <is>
          <t>Apostles return from preaching tour</t>
        </is>
      </c>
      <c r="L577" s="2" t="inlineStr">
        <is>
          <t>ஊழியம் முடிந்து அப்போஸ்தலர்கள் திரும்பி வருகிறார்கள்</t>
        </is>
      </c>
      <c r="M577" s="7" t="inlineStr">
        <is>
          <t>Apostles return from preaching tour. The place is given as Capernaum (?); NE side Sea of Galilee. NWT Study Edition Appendix A7-D (“Jesus’ Great Ministry in Galilee (Part 2)”) dates this to 32 C.E., near Passover (Joh 6:4); the source row combines it with related events (“Apostles return from preaching tour; Jesus feeds 5,000 men”).</t>
        </is>
      </c>
      <c r="N577" s="7" t="inlineStr">
        <is>
          <t>ஊழியம் முடிந்து அப்போஸ்தலர்கள் திரும்பி வருகிறார்கள்; 5,000 ஆண்களுக்கு இயேசு உணவளிக்கிறார் — கப்பர்நகூம் (?); கலிலேயா கடலின் வடகிழக்கு</t>
        </is>
      </c>
      <c r="O577" s="8" t="inlineStr">
        <is>
          <t>Bible</t>
        </is>
      </c>
      <c r="P577" s="7" t="inlineStr">
        <is>
          <t>bible.jesus</t>
        </is>
      </c>
      <c r="Q577" s="7" t="inlineStr">
        <is>
          <t>report</t>
        </is>
      </c>
      <c r="R577" s="7" t="inlineStr">
        <is>
          <t>Jesus</t>
        </is>
      </c>
      <c r="S577" s="7" t="inlineStr">
        <is>
          <t>Capernaum; Sea of Galilee (NE side)</t>
        </is>
      </c>
      <c r="T577" s="7" t="inlineStr">
        <is>
          <t>Matt. 14:13-21; Mark 6:30-44; Luke 9:10-17; John 6:1-13; John 6:4</t>
        </is>
      </c>
      <c r="U577" s="7" t="inlineStr">
        <is>
          <t>மத் 14:13-21; மாற் 6:30-44; லூக் 9:10-17; யோவா 6:1-13; யோவா 6:4</t>
        </is>
      </c>
      <c r="V577" s="7" t="n">
        <v>5</v>
      </c>
      <c r="W577" s="7" t="inlineStr">
        <is>
          <t>A7-D Main Events of Jesus’ Earthly Life—Jesus’ Great Ministry in Galilee (Part 2)</t>
        </is>
      </c>
      <c r="X577" s="9" t="inlineStr">
        <is>
          <t>open</t>
        </is>
      </c>
      <c r="Y577" s="9" t="inlineStr">
        <is>
          <t>open</t>
        </is>
      </c>
      <c r="Z577" s="7" t="inlineStr">
        <is>
          <t>https://wol.jw.org/en/wol/d/r1/lp-e/1001070210
https://wol.jw.org/en/wol/d/r1/lp-e/1001061210
https://wol.jw.org/en/wol/d/r1/lp-e/1200002451
https://wol.jw.org/en/wol/d/r1/lp-e/1200002451
https://wol.jw.org/en/wol/d/r1/lp-e/1101990130</t>
        </is>
      </c>
      <c r="AA577" s="7" t="n">
        <v>2</v>
      </c>
      <c r="AB577" s="9" t="inlineStr">
        <is>
          <t>open</t>
        </is>
      </c>
      <c r="AC577" s="7" t="n">
        <v>2</v>
      </c>
      <c r="AD577" s="7" t="inlineStr">
        <is>
          <t>Place wording differs: Insight chart has “Capernaum(?); NE side Sea of Galilee”; A7-D has “Capernaum (?); NE side Sea of Galilee”. | Wording in pre-2013 Insight chart (it-2 'Jesus Christ', par 490): “Apostles return from preaching tour; 5,000 fed”.</t>
        </is>
      </c>
      <c r="AE577" s="7" t="n"/>
      <c r="AF577" s="7" t="n"/>
      <c r="AG577" s="7" t="n"/>
      <c r="AH577" s="7" t="n"/>
      <c r="AI577" s="7" t="n"/>
      <c r="AJ577" s="7" t="n"/>
      <c r="AK577" s="7" t="n"/>
      <c r="AL577" s="7" t="inlineStr">
        <is>
          <t>A7 row #50 split into 2 events; scripture references cover the whole source row.</t>
        </is>
      </c>
      <c r="AM577" s="7" t="n">
        <v>32.24</v>
      </c>
      <c r="AN577" s="10" t="n"/>
      <c r="AO577" s="10" t="n"/>
      <c r="AP577" s="10" t="n"/>
      <c r="AQ577" s="10" t="n"/>
    </row>
    <row r="578">
      <c r="A578" s="7" t="inlineStr">
        <is>
          <t>b5-0069</t>
        </is>
      </c>
      <c r="B578" s="7" t="inlineStr">
        <is>
          <t>Point</t>
        </is>
      </c>
      <c r="C578" s="7" t="n"/>
      <c r="D578" s="7" t="inlineStr">
        <is>
          <t>32 C.E., near Passover (Joh 6:4)</t>
        </is>
      </c>
      <c r="E578" s="7" t="inlineStr">
        <is>
          <t>கி.பி. 32, பஸ்கா நெருங்குகிறது (யோவா 6:4)</t>
        </is>
      </c>
      <c r="F578" s="7" t="inlineStr">
        <is>
          <t>32 CE</t>
        </is>
      </c>
      <c r="G578" s="7" t="inlineStr">
        <is>
          <t>Approx. (c.)</t>
        </is>
      </c>
      <c r="H578" s="7" t="n"/>
      <c r="I578" s="7" t="n"/>
      <c r="J578" s="7" t="n"/>
      <c r="K578" s="2" t="inlineStr">
        <is>
          <t>Jesus feeds 5,000 men</t>
        </is>
      </c>
      <c r="L578" s="2" t="inlineStr">
        <is>
          <t>5,000 ஆண்களுக்கு இயேசு உணவளிக்கிறார்</t>
        </is>
      </c>
      <c r="M578" s="7" t="inlineStr">
        <is>
          <t>Jesus feeds 5,000 men. The place is given as Capernaum (?); NE side Sea of Galilee. NWT Study Edition Appendix A7-D (“Jesus’ Great Ministry in Galilee (Part 2)”) dates this to 32 C.E., near Passover (Joh 6:4); the source row combines it with related events (“Apostles return from preaching tour; Jesus feeds 5,000 men”).</t>
        </is>
      </c>
      <c r="N578" s="7" t="inlineStr">
        <is>
          <t>ஊழியம் முடிந்து அப்போஸ்தலர்கள் திரும்பி வருகிறார்கள்; 5,000 ஆண்களுக்கு இயேசு உணவளிக்கிறார் — கப்பர்நகூம் (?); கலிலேயா கடலின் வடகிழக்கு</t>
        </is>
      </c>
      <c r="O578" s="8" t="inlineStr">
        <is>
          <t>Bible</t>
        </is>
      </c>
      <c r="P578" s="7" t="inlineStr">
        <is>
          <t>bible.jesus</t>
        </is>
      </c>
      <c r="Q578" s="7" t="inlineStr">
        <is>
          <t>miracle</t>
        </is>
      </c>
      <c r="R578" s="7" t="inlineStr">
        <is>
          <t>Jesus</t>
        </is>
      </c>
      <c r="S578" s="7" t="inlineStr">
        <is>
          <t>Capernaum; Sea of Galilee (NE side)</t>
        </is>
      </c>
      <c r="T578" s="7" t="inlineStr">
        <is>
          <t>Matt. 14:13-21; Mark 6:30-44; Luke 9:10-17; John 6:1-13; John 6:4</t>
        </is>
      </c>
      <c r="U578" s="7" t="inlineStr">
        <is>
          <t>மத் 14:13-21; மாற் 6:30-44; லூக் 9:10-17; யோவா 6:1-13; யோவா 6:4</t>
        </is>
      </c>
      <c r="V578" s="7" t="n">
        <v>3</v>
      </c>
      <c r="W578" s="7" t="inlineStr">
        <is>
          <t>A7-D Main Events of Jesus’ Earthly Life—Jesus’ Great Ministry in Galilee (Part 2)</t>
        </is>
      </c>
      <c r="X578" s="9" t="inlineStr">
        <is>
          <t>open</t>
        </is>
      </c>
      <c r="Y578" s="9" t="inlineStr">
        <is>
          <t>open</t>
        </is>
      </c>
      <c r="Z578" s="7" t="inlineStr">
        <is>
          <t>https://wol.jw.org/en/wol/d/r1/lp-e/1001070210
https://wol.jw.org/en/wol/d/r1/lp-e/1001061210
https://wol.jw.org/en/wol/d/r1/lp-e/1200002451</t>
        </is>
      </c>
      <c r="AA578" s="7" t="n">
        <v>2</v>
      </c>
      <c r="AB578" s="9" t="inlineStr">
        <is>
          <t>open</t>
        </is>
      </c>
      <c r="AC578" s="7" t="n">
        <v>2</v>
      </c>
      <c r="AD578" s="7" t="inlineStr">
        <is>
          <t>Place wording differs: Insight chart has “Capernaum(?); NE side Sea of Galilee”; A7-D has “Capernaum (?); NE side Sea of Galilee”. | Wording in pre-2013 Insight chart (it-2 'Jesus Christ', par 490): “Apostles return from preaching tour; 5,000 fed”.</t>
        </is>
      </c>
      <c r="AE578" s="7" t="n"/>
      <c r="AF578" s="7" t="n"/>
      <c r="AG578" s="7" t="n"/>
      <c r="AH578" s="7" t="n"/>
      <c r="AI578" s="7" t="n"/>
      <c r="AJ578" s="7" t="n"/>
      <c r="AK578" s="7" t="n"/>
      <c r="AL578" s="7" t="inlineStr">
        <is>
          <t>A7 row #50 split into 2 events; scripture references cover the whole source row.</t>
        </is>
      </c>
      <c r="AM578" s="7" t="n">
        <v>32.241</v>
      </c>
      <c r="AN578" s="10" t="n"/>
      <c r="AO578" s="10" t="n"/>
      <c r="AP578" s="10" t="n"/>
      <c r="AQ578" s="10" t="n"/>
    </row>
    <row r="579">
      <c r="A579" s="7" t="inlineStr">
        <is>
          <t>b5-0070</t>
        </is>
      </c>
      <c r="B579" s="7" t="inlineStr">
        <is>
          <t>Point</t>
        </is>
      </c>
      <c r="C579" s="7" t="n"/>
      <c r="D579" s="7" t="inlineStr">
        <is>
          <t>32 C.E., near Passover (Joh 6:4)</t>
        </is>
      </c>
      <c r="E579" s="7" t="inlineStr">
        <is>
          <t>கி.பி. 32, பஸ்கா நெருங்குகிறது (யோவா 6:4)</t>
        </is>
      </c>
      <c r="F579" s="7" t="inlineStr">
        <is>
          <t>32 CE</t>
        </is>
      </c>
      <c r="G579" s="7" t="inlineStr">
        <is>
          <t>Approx. (c.)</t>
        </is>
      </c>
      <c r="H579" s="7" t="n"/>
      <c r="I579" s="7" t="n"/>
      <c r="J579" s="7" t="n"/>
      <c r="K579" s="2" t="inlineStr">
        <is>
          <t>People try to make Jesus king</t>
        </is>
      </c>
      <c r="L579" s="2" t="inlineStr">
        <is>
          <t>இயேசுவை ராஜாவாக்க மக்கள் முயற்சி செய்கிறார்கள்</t>
        </is>
      </c>
      <c r="M579" s="7" t="inlineStr">
        <is>
          <t>People try to make Jesus king. The place is given as NE side Sea of Galilee; Gennesaret. NWT Study Edition Appendix A7-D (“Jesus’ Great Ministry in Galilee (Part 2)”) dates this to 32 C.E., near Passover (Joh 6:4); the source row combines it with related events (“People try to make Jesus king; he walks on sea; heals many”).</t>
        </is>
      </c>
      <c r="N579" s="7" t="inlineStr">
        <is>
          <t>இயேசுவை ராஜாவாக்க மக்கள் முயற்சி செய்கிறார்கள்; கடல்மேல் நடக்கிறார்; நிறைய பேரைக் குணப்படுத்துகிறார் — கலிலேயா கடலின் வடகிழக்கு; கெனேசரேத்</t>
        </is>
      </c>
      <c r="O579" s="8" t="inlineStr">
        <is>
          <t>Bible</t>
        </is>
      </c>
      <c r="P579" s="7" t="inlineStr">
        <is>
          <t>bible.jesus</t>
        </is>
      </c>
      <c r="Q579" s="7" t="inlineStr">
        <is>
          <t>attempt_to_crown</t>
        </is>
      </c>
      <c r="R579" s="7" t="inlineStr">
        <is>
          <t>Jesus</t>
        </is>
      </c>
      <c r="S579" s="7" t="inlineStr">
        <is>
          <t>Sea of Galilee (NE side)</t>
        </is>
      </c>
      <c r="T579" s="7" t="inlineStr">
        <is>
          <t>Matt. 14:22-36; Mark 6:45-56; John 6:14-21; John 6:4</t>
        </is>
      </c>
      <c r="U579" s="7" t="inlineStr">
        <is>
          <t>மத் 14:22-36; மாற் 6:45-56; யோவா 6:14-21; யோவா 6:4</t>
        </is>
      </c>
      <c r="V579" s="7" t="n">
        <v>3</v>
      </c>
      <c r="W579" s="7" t="inlineStr">
        <is>
          <t>A7-D Main Events of Jesus’ Earthly Life—Jesus’ Great Ministry in Galilee (Part 2)</t>
        </is>
      </c>
      <c r="X579" s="9" t="inlineStr">
        <is>
          <t>open</t>
        </is>
      </c>
      <c r="Y579" s="9" t="inlineStr">
        <is>
          <t>open</t>
        </is>
      </c>
      <c r="Z579" s="7" t="inlineStr">
        <is>
          <t>https://wol.jw.org/en/wol/d/r1/lp-e/1001070210
https://wol.jw.org/en/wol/d/r1/lp-e/1001061210
https://wol.jw.org/en/wol/d/r1/lp-e/1200002451</t>
        </is>
      </c>
      <c r="AA579" s="7" t="n">
        <v>2</v>
      </c>
      <c r="AB579" s="9" t="inlineStr">
        <is>
          <t>open</t>
        </is>
      </c>
      <c r="AC579" s="7" t="n">
        <v>1</v>
      </c>
      <c r="AD579" s="7" t="inlineStr">
        <is>
          <t>Wording in pre-2013 Insight chart (it-2 'Jesus Christ', par 497): “Attempt to crown Jesus; he walks on sea; cures”.</t>
        </is>
      </c>
      <c r="AE579" s="7" t="n"/>
      <c r="AF579" s="7" t="n"/>
      <c r="AG579" s="7" t="n"/>
      <c r="AH579" s="7" t="n"/>
      <c r="AI579" s="7" t="n"/>
      <c r="AJ579" s="7" t="n"/>
      <c r="AK579" s="7" t="n"/>
      <c r="AL579" s="7" t="inlineStr">
        <is>
          <t>A7 row #51 split into 3 events; scripture references cover the whole source row.</t>
        </is>
      </c>
      <c r="AM579" s="7" t="n">
        <v>32.242</v>
      </c>
      <c r="AN579" s="10" t="n"/>
      <c r="AO579" s="10" t="n"/>
      <c r="AP579" s="10" t="n"/>
      <c r="AQ579" s="10" t="n"/>
    </row>
    <row r="580">
      <c r="A580" s="7" t="inlineStr">
        <is>
          <t>b5-0071</t>
        </is>
      </c>
      <c r="B580" s="7" t="inlineStr">
        <is>
          <t>Point</t>
        </is>
      </c>
      <c r="C580" s="7" t="n"/>
      <c r="D580" s="7" t="inlineStr">
        <is>
          <t>32 C.E., near Passover (Joh 6:4)</t>
        </is>
      </c>
      <c r="E580" s="7" t="inlineStr">
        <is>
          <t>கி.பி. 32, பஸ்கா நெருங்குகிறது (யோவா 6:4)</t>
        </is>
      </c>
      <c r="F580" s="7" t="inlineStr">
        <is>
          <t>32 CE</t>
        </is>
      </c>
      <c r="G580" s="7" t="inlineStr">
        <is>
          <t>Approx. (c.)</t>
        </is>
      </c>
      <c r="H580" s="7" t="n"/>
      <c r="I580" s="7" t="n"/>
      <c r="J580" s="7" t="n"/>
      <c r="K580" s="2" t="inlineStr">
        <is>
          <t>Jesus walks on sea</t>
        </is>
      </c>
      <c r="L580" s="2" t="inlineStr">
        <is>
          <t>கடல்மேல் நடக்கிறார்</t>
        </is>
      </c>
      <c r="M580" s="7" t="inlineStr">
        <is>
          <t>Jesus walks on sea. The place is given as NE side Sea of Galilee; Gennesaret. NWT Study Edition Appendix A7-D (“Jesus’ Great Ministry in Galilee (Part 2)”) dates this to 32 C.E., near Passover (Joh 6:4); the source row combines it with related events (“People try to make Jesus king; he walks on sea; heals many”).</t>
        </is>
      </c>
      <c r="N580" s="7" t="inlineStr">
        <is>
          <t>இயேசுவை ராஜாவாக்க மக்கள் முயற்சி செய்கிறார்கள்; கடல்மேல் நடக்கிறார்; நிறைய பேரைக் குணப்படுத்துகிறார் — கலிலேயா கடலின் வடகிழக்கு; கெனேசரேத்</t>
        </is>
      </c>
      <c r="O580" s="8" t="inlineStr">
        <is>
          <t>Bible</t>
        </is>
      </c>
      <c r="P580" s="7" t="inlineStr">
        <is>
          <t>bible.jesus</t>
        </is>
      </c>
      <c r="Q580" s="7" t="inlineStr">
        <is>
          <t>miracle</t>
        </is>
      </c>
      <c r="R580" s="7" t="inlineStr">
        <is>
          <t>Jesus</t>
        </is>
      </c>
      <c r="S580" s="7" t="inlineStr">
        <is>
          <t>Sea of Galilee (NE side); Gennesaret</t>
        </is>
      </c>
      <c r="T580" s="7" t="inlineStr">
        <is>
          <t>Matt. 14:22-36; Mark 6:45-56; John 6:14-21; John 6:4</t>
        </is>
      </c>
      <c r="U580" s="7" t="inlineStr">
        <is>
          <t>மத் 14:22-36; மாற் 6:45-56; யோவா 6:14-21; யோவா 6:4</t>
        </is>
      </c>
      <c r="V580" s="7" t="n">
        <v>3</v>
      </c>
      <c r="W580" s="7" t="inlineStr">
        <is>
          <t>A7-D Main Events of Jesus’ Earthly Life—Jesus’ Great Ministry in Galilee (Part 2)</t>
        </is>
      </c>
      <c r="X580" s="9" t="inlineStr">
        <is>
          <t>open</t>
        </is>
      </c>
      <c r="Y580" s="9" t="inlineStr">
        <is>
          <t>open</t>
        </is>
      </c>
      <c r="Z580" s="7" t="inlineStr">
        <is>
          <t>https://wol.jw.org/en/wol/d/r1/lp-e/1001070210
https://wol.jw.org/en/wol/d/r1/lp-e/1001061210
https://wol.jw.org/en/wol/d/r1/lp-e/1200002451</t>
        </is>
      </c>
      <c r="AA580" s="7" t="n">
        <v>2</v>
      </c>
      <c r="AB580" s="9" t="inlineStr">
        <is>
          <t>open</t>
        </is>
      </c>
      <c r="AC580" s="7" t="n">
        <v>1</v>
      </c>
      <c r="AD580" s="7" t="inlineStr">
        <is>
          <t>Wording in pre-2013 Insight chart (it-2 'Jesus Christ', par 497): “Attempt to crown Jesus; he walks on sea; cures”.</t>
        </is>
      </c>
      <c r="AE580" s="7" t="n"/>
      <c r="AF580" s="7" t="n"/>
      <c r="AG580" s="7" t="n"/>
      <c r="AH580" s="7" t="n"/>
      <c r="AI580" s="7" t="n"/>
      <c r="AJ580" s="7" t="n"/>
      <c r="AK580" s="7" t="n"/>
      <c r="AL580" s="7" t="inlineStr">
        <is>
          <t>A7 row #51 split into 3 events; scripture references cover the whole source row.</t>
        </is>
      </c>
      <c r="AM580" s="7" t="n">
        <v>32.243</v>
      </c>
      <c r="AN580" s="10" t="n"/>
      <c r="AO580" s="10" t="n"/>
      <c r="AP580" s="10" t="n"/>
      <c r="AQ580" s="10" t="n"/>
    </row>
    <row r="581">
      <c r="A581" s="7" t="inlineStr">
        <is>
          <t>b5-0072</t>
        </is>
      </c>
      <c r="B581" s="7" t="inlineStr">
        <is>
          <t>Point</t>
        </is>
      </c>
      <c r="C581" s="7" t="n"/>
      <c r="D581" s="7" t="inlineStr">
        <is>
          <t>32 C.E., near Passover (Joh 6:4)</t>
        </is>
      </c>
      <c r="E581" s="7" t="inlineStr">
        <is>
          <t>கி.பி. 32, பஸ்கா நெருங்குகிறது (யோவா 6:4)</t>
        </is>
      </c>
      <c r="F581" s="7" t="inlineStr">
        <is>
          <t>32 CE</t>
        </is>
      </c>
      <c r="G581" s="7" t="inlineStr">
        <is>
          <t>Approx. (c.)</t>
        </is>
      </c>
      <c r="H581" s="7" t="n"/>
      <c r="I581" s="7" t="n"/>
      <c r="J581" s="7" t="n"/>
      <c r="K581" s="2" t="inlineStr">
        <is>
          <t>Jesus heals many</t>
        </is>
      </c>
      <c r="L581" s="2" t="inlineStr">
        <is>
          <t>நிறைய பேரைக் குணப்படுத்துகிறார்</t>
        </is>
      </c>
      <c r="M581" s="7" t="inlineStr">
        <is>
          <t>Jesus heals many. The place is given as NE side Sea of Galilee; Gennesaret. NWT Study Edition Appendix A7-D (“Jesus’ Great Ministry in Galilee (Part 2)”) dates this to 32 C.E., near Passover (Joh 6:4); the source row combines it with related events (“People try to make Jesus king; he walks on sea; heals many”).</t>
        </is>
      </c>
      <c r="N581" s="7" t="inlineStr">
        <is>
          <t>இயேசுவை ராஜாவாக்க மக்கள் முயற்சி செய்கிறார்கள்; கடல்மேல் நடக்கிறார்; நிறைய பேரைக் குணப்படுத்துகிறார் — கலிலேயா கடலின் வடகிழக்கு; கெனேசரேத்</t>
        </is>
      </c>
      <c r="O581" s="8" t="inlineStr">
        <is>
          <t>Bible</t>
        </is>
      </c>
      <c r="P581" s="7" t="inlineStr">
        <is>
          <t>bible.jesus</t>
        </is>
      </c>
      <c r="Q581" s="7" t="inlineStr">
        <is>
          <t>miracle</t>
        </is>
      </c>
      <c r="R581" s="7" t="inlineStr">
        <is>
          <t>Jesus</t>
        </is>
      </c>
      <c r="S581" s="7" t="inlineStr">
        <is>
          <t>Gennesaret</t>
        </is>
      </c>
      <c r="T581" s="7" t="inlineStr">
        <is>
          <t>Matt. 14:22-36; Mark 6:45-56; John 6:14-21; John 6:4</t>
        </is>
      </c>
      <c r="U581" s="7" t="inlineStr">
        <is>
          <t>மத் 14:22-36; மாற் 6:45-56; யோவா 6:14-21; யோவா 6:4</t>
        </is>
      </c>
      <c r="V581" s="7" t="n">
        <v>3</v>
      </c>
      <c r="W581" s="7" t="inlineStr">
        <is>
          <t>A7-D Main Events of Jesus’ Earthly Life—Jesus’ Great Ministry in Galilee (Part 2)</t>
        </is>
      </c>
      <c r="X581" s="9" t="inlineStr">
        <is>
          <t>open</t>
        </is>
      </c>
      <c r="Y581" s="9" t="inlineStr">
        <is>
          <t>open</t>
        </is>
      </c>
      <c r="Z581" s="7" t="inlineStr">
        <is>
          <t>https://wol.jw.org/en/wol/d/r1/lp-e/1001070210
https://wol.jw.org/en/wol/d/r1/lp-e/1001061210
https://wol.jw.org/en/wol/d/r1/lp-e/1200002451</t>
        </is>
      </c>
      <c r="AA581" s="7" t="n">
        <v>2</v>
      </c>
      <c r="AB581" s="9" t="inlineStr">
        <is>
          <t>open</t>
        </is>
      </c>
      <c r="AC581" s="7" t="n">
        <v>1</v>
      </c>
      <c r="AD581" s="7" t="inlineStr">
        <is>
          <t>Wording in pre-2013 Insight chart (it-2 'Jesus Christ', par 497): “Attempt to crown Jesus; he walks on sea; cures”.</t>
        </is>
      </c>
      <c r="AE581" s="7" t="n"/>
      <c r="AF581" s="7" t="n"/>
      <c r="AG581" s="7" t="n"/>
      <c r="AH581" s="7" t="n"/>
      <c r="AI581" s="7" t="n"/>
      <c r="AJ581" s="7" t="n"/>
      <c r="AK581" s="7" t="n"/>
      <c r="AL581" s="7" t="inlineStr">
        <is>
          <t>A7 row #51 split into 3 events; scripture references cover the whole source row.</t>
        </is>
      </c>
      <c r="AM581" s="7" t="n">
        <v>32.244</v>
      </c>
      <c r="AN581" s="10" t="n"/>
      <c r="AO581" s="10" t="n"/>
      <c r="AP581" s="10" t="n"/>
      <c r="AQ581" s="10" t="n"/>
    </row>
    <row r="582">
      <c r="A582" s="7" t="inlineStr">
        <is>
          <t>b5-0073</t>
        </is>
      </c>
      <c r="B582" s="7" t="inlineStr">
        <is>
          <t>Point</t>
        </is>
      </c>
      <c r="C582" s="7" t="n"/>
      <c r="D582" s="7" t="inlineStr">
        <is>
          <t>32 C.E., near Passover (Joh 6:4)</t>
        </is>
      </c>
      <c r="E582" s="7" t="inlineStr">
        <is>
          <t>கி.பி. 32, பஸ்கா நெருங்குகிறது (யோவா 6:4)</t>
        </is>
      </c>
      <c r="F582" s="7" t="inlineStr">
        <is>
          <t>32 CE</t>
        </is>
      </c>
      <c r="G582" s="7" t="inlineStr">
        <is>
          <t>Approx. (c.)</t>
        </is>
      </c>
      <c r="H582" s="7" t="n"/>
      <c r="I582" s="7" t="n"/>
      <c r="J582" s="7" t="n"/>
      <c r="K582" s="2" t="inlineStr">
        <is>
          <t>Says he is “the bread of life”; many are stumbled and leave</t>
        </is>
      </c>
      <c r="L582" s="2" t="inlineStr">
        <is>
          <t>“வாழ்வு தரும் உணவு நான்தான்” என்று சொல்கிறார்; நிறைய பேர் அதிர்ச்சியடைந்து விலகிப்போகிறார்கள்</t>
        </is>
      </c>
      <c r="M582" s="7" t="inlineStr">
        <is>
          <t>Says he is “the bread of life”; many are stumbled and leave. The place is given as Capernaum. NWT Study Edition Appendix A7-D (“Jesus’ Great Ministry in Galilee (Part 2)”) dates this to 32 C.E., near Passover (Joh 6:4).</t>
        </is>
      </c>
      <c r="N582" s="7" t="inlineStr">
        <is>
          <t>“வாழ்வு தரும் உணவு நான்தான்” என்று சொல்கிறார்; நிறைய பேர் அதிர்ச்சியடைந்து விலகிப்போகிறார்கள் — கப்பர்நகூம்</t>
        </is>
      </c>
      <c r="O582" s="8" t="inlineStr">
        <is>
          <t>Bible</t>
        </is>
      </c>
      <c r="P582" s="7" t="inlineStr">
        <is>
          <t>bible.jesus</t>
        </is>
      </c>
      <c r="Q582" s="7" t="inlineStr">
        <is>
          <t>teaching</t>
        </is>
      </c>
      <c r="R582" s="7" t="inlineStr">
        <is>
          <t>Jesus</t>
        </is>
      </c>
      <c r="S582" s="7" t="inlineStr">
        <is>
          <t>Capernaum</t>
        </is>
      </c>
      <c r="T582" s="7" t="inlineStr">
        <is>
          <t>John 6:22-71; John 6:4</t>
        </is>
      </c>
      <c r="U582" s="7" t="inlineStr">
        <is>
          <t>யோவா 6:22-71; யோவா 6:4</t>
        </is>
      </c>
      <c r="V582" s="7" t="n">
        <v>3</v>
      </c>
      <c r="W582" s="7" t="inlineStr">
        <is>
          <t>A7-D Main Events of Jesus’ Earthly Life—Jesus’ Great Ministry in Galilee (Part 2)</t>
        </is>
      </c>
      <c r="X582" s="9" t="inlineStr">
        <is>
          <t>open</t>
        </is>
      </c>
      <c r="Y582" s="9" t="inlineStr">
        <is>
          <t>open</t>
        </is>
      </c>
      <c r="Z582" s="7" t="inlineStr">
        <is>
          <t>https://wol.jw.org/en/wol/d/r1/lp-e/1001070210
https://wol.jw.org/en/wol/d/r1/lp-e/1001061210
https://wol.jw.org/en/wol/d/r1/lp-e/1200002451</t>
        </is>
      </c>
      <c r="AA582" s="7" t="n">
        <v>2</v>
      </c>
      <c r="AB582" s="9" t="inlineStr">
        <is>
          <t>open</t>
        </is>
      </c>
      <c r="AC582" s="7" t="n">
        <v>1</v>
      </c>
      <c r="AD582" s="7" t="inlineStr">
        <is>
          <t>Wording in pre-2013 Insight chart (it-2 'Jesus Christ', par 504): “Identifies “bread of life”; many disciples fall away”.</t>
        </is>
      </c>
      <c r="AE582" s="7" t="n"/>
      <c r="AF582" s="7" t="n"/>
      <c r="AG582" s="7" t="n"/>
      <c r="AH582" s="7" t="n"/>
      <c r="AI582" s="7" t="n"/>
      <c r="AJ582" s="7" t="n"/>
      <c r="AK582" s="7" t="n"/>
      <c r="AL582" s="7" t="n"/>
      <c r="AM582" s="7" t="n">
        <v>32.245</v>
      </c>
      <c r="AN582" s="10" t="n"/>
      <c r="AO582" s="10" t="n"/>
      <c r="AP582" s="10" t="n"/>
      <c r="AQ582" s="10" t="n"/>
    </row>
    <row r="583">
      <c r="A583" s="7" t="inlineStr">
        <is>
          <t>b5-0074</t>
        </is>
      </c>
      <c r="B583" s="7" t="inlineStr">
        <is>
          <t>Point</t>
        </is>
      </c>
      <c r="C583" s="7" t="n"/>
      <c r="D583" s="7" t="inlineStr">
        <is>
          <t>32 C.E., after Passover</t>
        </is>
      </c>
      <c r="E583" s="7" t="inlineStr">
        <is>
          <t>கி.பி. 32, பஸ்காவுக்குப் பின்பு</t>
        </is>
      </c>
      <c r="F583" s="7" t="inlineStr">
        <is>
          <t>32 CE</t>
        </is>
      </c>
      <c r="G583" s="7" t="inlineStr">
        <is>
          <t>After (a.)</t>
        </is>
      </c>
      <c r="H583" s="7" t="n"/>
      <c r="I583" s="7" t="n"/>
      <c r="J583" s="7" t="n"/>
      <c r="K583" s="2" t="inlineStr">
        <is>
          <t>Exposes human traditions</t>
        </is>
      </c>
      <c r="L583" s="2" t="inlineStr">
        <is>
          <t>மனித பாரம்பரியங்களை அம்பலமாக்குகிறார்</t>
        </is>
      </c>
      <c r="M583" s="7" t="inlineStr">
        <is>
          <t>Exposes human traditions. The place is given as Probably Capernaum. NWT Study Edition Appendix A7-D (“Jesus’ Great Ministry in Galilee (Part 2)”) dates this to 32 C.E., after Passover.</t>
        </is>
      </c>
      <c r="N583" s="7" t="inlineStr">
        <is>
          <t>மனித பாரம்பரியங்களை அம்பலமாக்குகிறார் — ஒருவேளை கப்பர்நகூம்</t>
        </is>
      </c>
      <c r="O583" s="8" t="inlineStr">
        <is>
          <t>Bible</t>
        </is>
      </c>
      <c r="P583" s="7" t="inlineStr">
        <is>
          <t>bible.jesus</t>
        </is>
      </c>
      <c r="Q583" s="7" t="inlineStr">
        <is>
          <t>teaching</t>
        </is>
      </c>
      <c r="R583" s="7" t="inlineStr">
        <is>
          <t>Jesus</t>
        </is>
      </c>
      <c r="S583" s="7" t="inlineStr">
        <is>
          <t>Capernaum</t>
        </is>
      </c>
      <c r="T583" s="7" t="inlineStr">
        <is>
          <t>Matt. 15:1-20; Mark 7:1-23; John 7:1</t>
        </is>
      </c>
      <c r="U583" s="7" t="inlineStr">
        <is>
          <t>மத் 15:1-20; மாற் 7:1-23; யோவா 7:1</t>
        </is>
      </c>
      <c r="V583" s="7" t="n">
        <v>3</v>
      </c>
      <c r="W583" s="7" t="inlineStr">
        <is>
          <t>A7-D Main Events of Jesus’ Earthly Life—Jesus’ Great Ministry in Galilee (Part 2)</t>
        </is>
      </c>
      <c r="X583" s="9" t="inlineStr">
        <is>
          <t>open</t>
        </is>
      </c>
      <c r="Y583" s="9" t="inlineStr">
        <is>
          <t>open</t>
        </is>
      </c>
      <c r="Z583" s="7" t="inlineStr">
        <is>
          <t>https://wol.jw.org/en/wol/d/r1/lp-e/1001070210
https://wol.jw.org/en/wol/d/r1/lp-e/1001061210
https://wol.jw.org/en/wol/d/r1/lp-e/1200002451</t>
        </is>
      </c>
      <c r="AA583" s="7" t="n">
        <v>2</v>
      </c>
      <c r="AB583" s="9" t="inlineStr">
        <is>
          <t>open</t>
        </is>
      </c>
      <c r="AC583" s="7" t="n">
        <v>1</v>
      </c>
      <c r="AD583" s="7" t="inlineStr">
        <is>
          <t>Wording in pre-2013 Insight chart (it-2 'Jesus Christ', par 511): “Traditions that make void God’s Word”.</t>
        </is>
      </c>
      <c r="AE583" s="7" t="n"/>
      <c r="AF583" s="7" t="n"/>
      <c r="AG583" s="7" t="n"/>
      <c r="AH583" s="7" t="n"/>
      <c r="AI583" s="7" t="n"/>
      <c r="AJ583" s="7" t="n"/>
      <c r="AK583" s="7" t="n"/>
      <c r="AL583" s="7" t="n"/>
      <c r="AM583" s="7" t="n">
        <v>32.26</v>
      </c>
      <c r="AN583" s="10" t="n"/>
      <c r="AO583" s="10" t="n"/>
      <c r="AP583" s="10" t="n"/>
      <c r="AQ583" s="10" t="n"/>
    </row>
    <row r="584">
      <c r="A584" s="7" t="inlineStr">
        <is>
          <t>b5-0075</t>
        </is>
      </c>
      <c r="B584" s="7" t="inlineStr">
        <is>
          <t>Point</t>
        </is>
      </c>
      <c r="C584" s="7" t="n"/>
      <c r="D584" s="7" t="inlineStr">
        <is>
          <t>32 C.E., after Passover</t>
        </is>
      </c>
      <c r="E584" s="7" t="inlineStr">
        <is>
          <t>கி.பி. 32, பஸ்காவுக்குப் பின்பு</t>
        </is>
      </c>
      <c r="F584" s="7" t="inlineStr">
        <is>
          <t>32 CE</t>
        </is>
      </c>
      <c r="G584" s="7" t="inlineStr">
        <is>
          <t>After (a.)</t>
        </is>
      </c>
      <c r="H584" s="7" t="n"/>
      <c r="I584" s="7" t="n"/>
      <c r="J584" s="7" t="n"/>
      <c r="K584" s="2" t="inlineStr">
        <is>
          <t>Jesus heals Syrophoenician woman’s daughter</t>
        </is>
      </c>
      <c r="L584" s="2" t="inlineStr">
        <is>
          <t>சீரியாவிலுள்ள பெனிக்கேயைச் சேர்ந்த பெண்ணின் மகளைக் குணப்படுத்துகிறார்</t>
        </is>
      </c>
      <c r="M584" s="7" t="inlineStr">
        <is>
          <t>Jesus heals Syrophoenician woman’s daughter. The place is given as Phoenicia; Decapolis. NWT Study Edition Appendix A7-D (“Jesus’ Great Ministry in Galilee (Part 2)”) dates this to 32 C.E., after Passover; the source row combines it with related events (“Heals Syrophoenician woman’s daughter; feeds 4,000 men”).</t>
        </is>
      </c>
      <c r="N584" s="7" t="inlineStr">
        <is>
          <t>சீரியாவிலுள்ள பெனிக்கேயைச் சேர்ந்த பெண்ணின் மகளைக் குணப்படுத்துகிறார்; 4,000 ஆண்களுக்கு உணவு தருகிறார் — பெனிக்கே; தெக்கப்போலி</t>
        </is>
      </c>
      <c r="O584" s="8" t="inlineStr">
        <is>
          <t>Bible</t>
        </is>
      </c>
      <c r="P584" s="7" t="inlineStr">
        <is>
          <t>bible.jesus</t>
        </is>
      </c>
      <c r="Q584" s="7" t="inlineStr">
        <is>
          <t>miracle</t>
        </is>
      </c>
      <c r="R584" s="7" t="inlineStr">
        <is>
          <t>Jesus</t>
        </is>
      </c>
      <c r="S584" s="7" t="inlineStr">
        <is>
          <t>Phoenicia</t>
        </is>
      </c>
      <c r="T584" s="7" t="inlineStr">
        <is>
          <t>Matt. 15:21-38; Mark 7:24–8:9</t>
        </is>
      </c>
      <c r="U584" s="7" t="inlineStr">
        <is>
          <t>மத் 15:21-38; மாற் 7:24–8:9</t>
        </is>
      </c>
      <c r="V584" s="7" t="n">
        <v>3</v>
      </c>
      <c r="W584" s="7" t="inlineStr">
        <is>
          <t>A7-D Main Events of Jesus’ Earthly Life—Jesus’ Great Ministry in Galilee (Part 2)</t>
        </is>
      </c>
      <c r="X584" s="9" t="inlineStr">
        <is>
          <t>open</t>
        </is>
      </c>
      <c r="Y584" s="9" t="inlineStr">
        <is>
          <t>open</t>
        </is>
      </c>
      <c r="Z584" s="7" t="inlineStr">
        <is>
          <t>https://wol.jw.org/en/wol/d/r1/lp-e/1001070210
https://wol.jw.org/en/wol/d/r1/lp-e/1001061210
https://wol.jw.org/en/wol/d/r1/lp-e/1200002451</t>
        </is>
      </c>
      <c r="AA584" s="7" t="n">
        <v>2</v>
      </c>
      <c r="AB584" s="9" t="inlineStr">
        <is>
          <t>open</t>
        </is>
      </c>
      <c r="AC584" s="7" t="n">
        <v>1</v>
      </c>
      <c r="AD584" s="7" t="inlineStr">
        <is>
          <t>Wording in pre-2013 Insight chart (it-2 'Jesus Christ', par 518): “Near Tyre, Sidon; then to Decapolis; 4,000 fed”.</t>
        </is>
      </c>
      <c r="AE584" s="7" t="n"/>
      <c r="AF584" s="7" t="n"/>
      <c r="AG584" s="7" t="n"/>
      <c r="AH584" s="7" t="n"/>
      <c r="AI584" s="7" t="n"/>
      <c r="AJ584" s="7" t="n"/>
      <c r="AK584" s="7" t="n"/>
      <c r="AL584" s="7" t="inlineStr">
        <is>
          <t>A7 row #54 split into 2 events; scripture references cover the whole source row.</t>
        </is>
      </c>
      <c r="AM584" s="7" t="n">
        <v>32.261</v>
      </c>
      <c r="AN584" s="10" t="n"/>
      <c r="AO584" s="10" t="n"/>
      <c r="AP584" s="10" t="n"/>
      <c r="AQ584" s="10" t="n"/>
    </row>
    <row r="585">
      <c r="A585" s="7" t="inlineStr">
        <is>
          <t>b5-0076</t>
        </is>
      </c>
      <c r="B585" s="7" t="inlineStr">
        <is>
          <t>Point</t>
        </is>
      </c>
      <c r="C585" s="7" t="n"/>
      <c r="D585" s="7" t="inlineStr">
        <is>
          <t>32 C.E., after Passover</t>
        </is>
      </c>
      <c r="E585" s="7" t="inlineStr">
        <is>
          <t>கி.பி. 32, பஸ்காவுக்குப் பின்பு</t>
        </is>
      </c>
      <c r="F585" s="7" t="inlineStr">
        <is>
          <t>32 CE</t>
        </is>
      </c>
      <c r="G585" s="7" t="inlineStr">
        <is>
          <t>After (a.)</t>
        </is>
      </c>
      <c r="H585" s="7" t="n"/>
      <c r="I585" s="7" t="n"/>
      <c r="J585" s="7" t="n"/>
      <c r="K585" s="2" t="inlineStr">
        <is>
          <t>Jesus feeds 4,000 men</t>
        </is>
      </c>
      <c r="L585" s="2" t="inlineStr">
        <is>
          <t>4,000 ஆண்களுக்கு உணவு தருகிறார்</t>
        </is>
      </c>
      <c r="M585" s="7" t="inlineStr">
        <is>
          <t>Jesus feeds 4,000 men. The place is given as Phoenicia; Decapolis. NWT Study Edition Appendix A7-D (“Jesus’ Great Ministry in Galilee (Part 2)”) dates this to 32 C.E., after Passover; the source row combines it with related events (“Heals Syrophoenician woman’s daughter; feeds 4,000 men”).</t>
        </is>
      </c>
      <c r="N585" s="7" t="inlineStr">
        <is>
          <t>சீரியாவிலுள்ள பெனிக்கேயைச் சேர்ந்த பெண்ணின் மகளைக் குணப்படுத்துகிறார்; 4,000 ஆண்களுக்கு உணவு தருகிறார் — பெனிக்கே; தெக்கப்போலி</t>
        </is>
      </c>
      <c r="O585" s="8" t="inlineStr">
        <is>
          <t>Bible</t>
        </is>
      </c>
      <c r="P585" s="7" t="inlineStr">
        <is>
          <t>bible.jesus</t>
        </is>
      </c>
      <c r="Q585" s="7" t="inlineStr">
        <is>
          <t>miracle</t>
        </is>
      </c>
      <c r="R585" s="7" t="inlineStr">
        <is>
          <t>Jesus</t>
        </is>
      </c>
      <c r="S585" s="7" t="inlineStr">
        <is>
          <t>Decapolis</t>
        </is>
      </c>
      <c r="T585" s="7" t="inlineStr">
        <is>
          <t>Matt. 15:21-38; Mark 7:24–8:9</t>
        </is>
      </c>
      <c r="U585" s="7" t="inlineStr">
        <is>
          <t>மத் 15:21-38; மாற் 7:24–8:9</t>
        </is>
      </c>
      <c r="V585" s="7" t="n">
        <v>3</v>
      </c>
      <c r="W585" s="7" t="inlineStr">
        <is>
          <t>A7-D Main Events of Jesus’ Earthly Life—Jesus’ Great Ministry in Galilee (Part 2)</t>
        </is>
      </c>
      <c r="X585" s="9" t="inlineStr">
        <is>
          <t>open</t>
        </is>
      </c>
      <c r="Y585" s="9" t="inlineStr">
        <is>
          <t>open</t>
        </is>
      </c>
      <c r="Z585" s="7" t="inlineStr">
        <is>
          <t>https://wol.jw.org/en/wol/d/r1/lp-e/1001070210
https://wol.jw.org/en/wol/d/r1/lp-e/1001061210
https://wol.jw.org/en/wol/d/r1/lp-e/1200002451</t>
        </is>
      </c>
      <c r="AA585" s="7" t="n">
        <v>2</v>
      </c>
      <c r="AB585" s="9" t="inlineStr">
        <is>
          <t>open</t>
        </is>
      </c>
      <c r="AC585" s="7" t="n">
        <v>1</v>
      </c>
      <c r="AD585" s="7" t="inlineStr">
        <is>
          <t>Wording in pre-2013 Insight chart (it-2 'Jesus Christ', par 518): “Near Tyre, Sidon; then to Decapolis; 4,000 fed”.</t>
        </is>
      </c>
      <c r="AE585" s="7" t="n"/>
      <c r="AF585" s="7" t="n"/>
      <c r="AG585" s="7" t="n"/>
      <c r="AH585" s="7" t="n"/>
      <c r="AI585" s="7" t="n"/>
      <c r="AJ585" s="7" t="n"/>
      <c r="AK585" s="7" t="n"/>
      <c r="AL585" s="7" t="inlineStr">
        <is>
          <t>A7 row #54 split into 2 events; scripture references cover the whole source row.</t>
        </is>
      </c>
      <c r="AM585" s="7" t="n">
        <v>32.262</v>
      </c>
      <c r="AN585" s="10" t="n"/>
      <c r="AO585" s="10" t="n"/>
      <c r="AP585" s="10" t="n"/>
      <c r="AQ585" s="10" t="n"/>
    </row>
    <row r="586">
      <c r="A586" s="7" t="inlineStr">
        <is>
          <t>b5-0077</t>
        </is>
      </c>
      <c r="B586" s="7" t="inlineStr">
        <is>
          <t>Point</t>
        </is>
      </c>
      <c r="C586" s="7" t="n"/>
      <c r="D586" s="7" t="inlineStr">
        <is>
          <t>32 C.E., after Passover</t>
        </is>
      </c>
      <c r="E586" s="7" t="inlineStr">
        <is>
          <t>கி.பி. 32, பஸ்காவுக்குப் பின்பு</t>
        </is>
      </c>
      <c r="F586" s="7" t="inlineStr">
        <is>
          <t>32 CE</t>
        </is>
      </c>
      <c r="G586" s="7" t="inlineStr">
        <is>
          <t>After (a.)</t>
        </is>
      </c>
      <c r="H586" s="7" t="n"/>
      <c r="I586" s="7" t="n"/>
      <c r="J586" s="7" t="n"/>
      <c r="K586" s="2" t="inlineStr">
        <is>
          <t>Gives no sign but sign of Jonah</t>
        </is>
      </c>
      <c r="L586" s="2" t="inlineStr">
        <is>
          <t>யோனாவின் அடையாளத்தை மட்டும் தருகிறார்</t>
        </is>
      </c>
      <c r="M586" s="7" t="inlineStr">
        <is>
          <t>Gives no sign but sign of Jonah. The place is given as Magadan. NWT Study Edition Appendix A7-D (“Jesus’ Great Ministry in Galilee (Part 2)”) dates this to 32 C.E., after Passover.</t>
        </is>
      </c>
      <c r="N586" s="7" t="inlineStr">
        <is>
          <t>யோனாவின் அடையாளத்தை மட்டும் தருகிறார் — மக்தலா</t>
        </is>
      </c>
      <c r="O586" s="8" t="inlineStr">
        <is>
          <t>Bible</t>
        </is>
      </c>
      <c r="P586" s="7" t="inlineStr">
        <is>
          <t>bible.jesus</t>
        </is>
      </c>
      <c r="Q586" s="7" t="inlineStr">
        <is>
          <t>teaching</t>
        </is>
      </c>
      <c r="R586" s="7" t="inlineStr">
        <is>
          <t>Jesus</t>
        </is>
      </c>
      <c r="S586" s="7" t="inlineStr">
        <is>
          <t>Magadan</t>
        </is>
      </c>
      <c r="T586" s="7" t="inlineStr">
        <is>
          <t>Matt. 15:39–16:4; Mark 8:10-12</t>
        </is>
      </c>
      <c r="U586" s="7" t="inlineStr">
        <is>
          <t>மத் 15:39–16:4; மாற் 8:10-12</t>
        </is>
      </c>
      <c r="V586" s="7" t="n">
        <v>3</v>
      </c>
      <c r="W586" s="7" t="inlineStr">
        <is>
          <t>A7-D Main Events of Jesus’ Earthly Life—Jesus’ Great Ministry in Galilee (Part 2)</t>
        </is>
      </c>
      <c r="X586" s="9" t="inlineStr">
        <is>
          <t>open</t>
        </is>
      </c>
      <c r="Y586" s="9" t="inlineStr">
        <is>
          <t>open</t>
        </is>
      </c>
      <c r="Z586" s="7" t="inlineStr">
        <is>
          <t>https://wol.jw.org/en/wol/d/r1/lp-e/1001070210
https://wol.jw.org/en/wol/d/r1/lp-e/1001061210
https://wol.jw.org/en/wol/d/r1/lp-e/1200002451</t>
        </is>
      </c>
      <c r="AA586" s="7" t="n">
        <v>2</v>
      </c>
      <c r="AB586" s="9" t="inlineStr">
        <is>
          <t>open</t>
        </is>
      </c>
      <c r="AC586" s="7" t="n">
        <v>1</v>
      </c>
      <c r="AD586" s="7" t="inlineStr">
        <is>
          <t>Wording in pre-2013 Insight chart (it-2 'Jesus Christ', par 525): “Sadducees and Pharisees again seek a sign”.</t>
        </is>
      </c>
      <c r="AE586" s="7" t="n"/>
      <c r="AF586" s="7" t="n"/>
      <c r="AG586" s="7" t="n"/>
      <c r="AH586" s="7" t="n"/>
      <c r="AI586" s="7" t="n"/>
      <c r="AJ586" s="7" t="n"/>
      <c r="AK586" s="7" t="n"/>
      <c r="AL586" s="7" t="n"/>
      <c r="AM586" s="7" t="n">
        <v>32.263</v>
      </c>
      <c r="AN586" s="10" t="n"/>
      <c r="AO586" s="10" t="n"/>
      <c r="AP586" s="10" t="n"/>
      <c r="AQ586" s="10" t="n"/>
    </row>
    <row r="587">
      <c r="A587" s="7" t="inlineStr">
        <is>
          <t>b5-0078</t>
        </is>
      </c>
      <c r="B587" s="7" t="inlineStr">
        <is>
          <t>Point</t>
        </is>
      </c>
      <c r="C587" s="7" t="n"/>
      <c r="D587" s="7" t="inlineStr">
        <is>
          <t>32 C.E., after Passover</t>
        </is>
      </c>
      <c r="E587" s="7" t="inlineStr">
        <is>
          <t>கி.பி. 32, பஸ்காவுக்குப் பின்பு</t>
        </is>
      </c>
      <c r="F587" s="7" t="inlineStr">
        <is>
          <t>32 CE</t>
        </is>
      </c>
      <c r="G587" s="7" t="inlineStr">
        <is>
          <t>After (a.)</t>
        </is>
      </c>
      <c r="H587" s="7" t="n"/>
      <c r="I587" s="7" t="n"/>
      <c r="J587" s="7" t="n"/>
      <c r="K587" s="2" t="inlineStr">
        <is>
          <t>On boat to Bethsaida, Jesus warns against leaven of Pharisees</t>
        </is>
      </c>
      <c r="L587" s="2" t="inlineStr">
        <is>
          <t>பெத்சாயிதாவுக்குப் படகில் போகிறார்கள், பரிசேயர்களின் புளித்த மாவைப் பற்றி இயேசு எச்சரிக்கிறார்</t>
        </is>
      </c>
      <c r="M587" s="7" t="inlineStr">
        <is>
          <t>On boat to Bethsaida, Jesus warns against leaven of Pharisees. The place is given as Sea of Galilee; Bethsaida. NWT Study Edition Appendix A7-E (“Jesus’ Great Ministry in Galilee (Part 3)”) dates this to 32 C.E., after Passover; the source row combines it with related events (“On boat to Bethsaida, Jesus warns against leaven of Pharisees; heals blind man”).</t>
        </is>
      </c>
      <c r="N587" s="7" t="inlineStr">
        <is>
          <t>பெத்சாயிதாவுக்குப் படகில் போகிறார்கள், பரிசேயர்களின் புளித்த மாவைப் பற்றி இயேசு எச்சரிக்கிறார்; பார்வை இல்லாதவனைக் குணப்படுத்துகிறார் — கலிலேயா கடல்; பெத்சாயிதா</t>
        </is>
      </c>
      <c r="O587" s="8" t="inlineStr">
        <is>
          <t>Bible</t>
        </is>
      </c>
      <c r="P587" s="7" t="inlineStr">
        <is>
          <t>bible.jesus</t>
        </is>
      </c>
      <c r="Q587" s="7" t="inlineStr">
        <is>
          <t>teaching</t>
        </is>
      </c>
      <c r="R587" s="7" t="inlineStr">
        <is>
          <t>Jesus</t>
        </is>
      </c>
      <c r="S587" s="7" t="inlineStr">
        <is>
          <t>Sea of Galilee</t>
        </is>
      </c>
      <c r="T587" s="7" t="inlineStr">
        <is>
          <t>Matt. 16:5-12; Mark 8:13-26</t>
        </is>
      </c>
      <c r="U587" s="7" t="inlineStr">
        <is>
          <t>மத் 16:5-12; மாற் 8:13-26</t>
        </is>
      </c>
      <c r="V587" s="7" t="n">
        <v>3</v>
      </c>
      <c r="W587" s="7" t="inlineStr">
        <is>
          <t>A7-E Main Events of Jesus’ Earthly Life—Jesus’ Great Ministry in Galilee (Part 3) and in Judea</t>
        </is>
      </c>
      <c r="X587" s="9" t="inlineStr">
        <is>
          <t>open</t>
        </is>
      </c>
      <c r="Y587" s="9" t="inlineStr">
        <is>
          <t>open</t>
        </is>
      </c>
      <c r="Z587" s="7" t="inlineStr">
        <is>
          <t>https://wol.jw.org/en/wol/d/r1/lp-e/1001070211
https://wol.jw.org/en/wol/d/r1/lp-e/1001061211
https://wol.jw.org/en/wol/d/r1/lp-e/1200002451</t>
        </is>
      </c>
      <c r="AA587" s="7" t="n">
        <v>2</v>
      </c>
      <c r="AB587" s="9" t="inlineStr">
        <is>
          <t>open</t>
        </is>
      </c>
      <c r="AC587" s="7" t="n">
        <v>2</v>
      </c>
      <c r="AD587" s="7" t="inlineStr">
        <is>
          <t>Place wording differs: Insight chart has “NE side Sea of Galilee; Bethsaida”; A7-E has “Sea of Galilee; Bethsaida”. | Wording in pre-2013 Insight chart (it-2 'Jesus Christ', par 532): “Warns against leaven of Pharisees; heals blind”.</t>
        </is>
      </c>
      <c r="AE587" s="7" t="n"/>
      <c r="AF587" s="7" t="n"/>
      <c r="AG587" s="7" t="n"/>
      <c r="AH587" s="7" t="n"/>
      <c r="AI587" s="7" t="n"/>
      <c r="AJ587" s="7" t="n"/>
      <c r="AK587" s="7" t="n"/>
      <c r="AL587" s="7" t="inlineStr">
        <is>
          <t>A7 row #56 split into 2 events; scripture references cover the whole source row.</t>
        </is>
      </c>
      <c r="AM587" s="7" t="n">
        <v>32.264</v>
      </c>
      <c r="AN587" s="10" t="n"/>
      <c r="AO587" s="10" t="n"/>
      <c r="AP587" s="10" t="n"/>
      <c r="AQ587" s="10" t="n"/>
    </row>
    <row r="588">
      <c r="A588" s="7" t="inlineStr">
        <is>
          <t>b5-0079</t>
        </is>
      </c>
      <c r="B588" s="7" t="inlineStr">
        <is>
          <t>Point</t>
        </is>
      </c>
      <c r="C588" s="7" t="n"/>
      <c r="D588" s="7" t="inlineStr">
        <is>
          <t>32 C.E., after Passover</t>
        </is>
      </c>
      <c r="E588" s="7" t="inlineStr">
        <is>
          <t>கி.பி. 32, பஸ்காவுக்குப் பின்பு</t>
        </is>
      </c>
      <c r="F588" s="7" t="inlineStr">
        <is>
          <t>32 CE</t>
        </is>
      </c>
      <c r="G588" s="7" t="inlineStr">
        <is>
          <t>After (a.)</t>
        </is>
      </c>
      <c r="H588" s="7" t="n"/>
      <c r="I588" s="7" t="n"/>
      <c r="J588" s="7" t="n"/>
      <c r="K588" s="2" t="inlineStr">
        <is>
          <t>Jesus heals blind man</t>
        </is>
      </c>
      <c r="L588" s="2" t="inlineStr">
        <is>
          <t>பார்வை இல்லாதவனைக் குணப்படுத்துகிறார்</t>
        </is>
      </c>
      <c r="M588" s="7" t="inlineStr">
        <is>
          <t>Jesus heals blind man. The place is given as Sea of Galilee; Bethsaida. NWT Study Edition Appendix A7-E (“Jesus’ Great Ministry in Galilee (Part 3)”) dates this to 32 C.E., after Passover; the source row combines it with related events (“On boat to Bethsaida, Jesus warns against leaven of Pharisees; heals blind man”).</t>
        </is>
      </c>
      <c r="N588" s="7" t="inlineStr">
        <is>
          <t>பெத்சாயிதாவுக்குப் படகில் போகிறார்கள், பரிசேயர்களின் புளித்த மாவைப் பற்றி இயேசு எச்சரிக்கிறார்; பார்வை இல்லாதவனைக் குணப்படுத்துகிறார் — கலிலேயா கடல்; பெத்சாயிதா</t>
        </is>
      </c>
      <c r="O588" s="8" t="inlineStr">
        <is>
          <t>Bible</t>
        </is>
      </c>
      <c r="P588" s="7" t="inlineStr">
        <is>
          <t>bible.jesus</t>
        </is>
      </c>
      <c r="Q588" s="7" t="inlineStr">
        <is>
          <t>miracle</t>
        </is>
      </c>
      <c r="R588" s="7" t="inlineStr">
        <is>
          <t>Jesus</t>
        </is>
      </c>
      <c r="S588" s="7" t="inlineStr">
        <is>
          <t>Bethsaida</t>
        </is>
      </c>
      <c r="T588" s="7" t="inlineStr">
        <is>
          <t>Matt. 16:5-12; Mark 8:13-26</t>
        </is>
      </c>
      <c r="U588" s="7" t="inlineStr">
        <is>
          <t>மத் 16:5-12; மாற் 8:13-26</t>
        </is>
      </c>
      <c r="V588" s="7" t="n">
        <v>3</v>
      </c>
      <c r="W588" s="7" t="inlineStr">
        <is>
          <t>A7-E Main Events of Jesus’ Earthly Life—Jesus’ Great Ministry in Galilee (Part 3) and in Judea</t>
        </is>
      </c>
      <c r="X588" s="9" t="inlineStr">
        <is>
          <t>open</t>
        </is>
      </c>
      <c r="Y588" s="9" t="inlineStr">
        <is>
          <t>open</t>
        </is>
      </c>
      <c r="Z588" s="7" t="inlineStr">
        <is>
          <t>https://wol.jw.org/en/wol/d/r1/lp-e/1001070211
https://wol.jw.org/en/wol/d/r1/lp-e/1001061211
https://wol.jw.org/en/wol/d/r1/lp-e/1200002451</t>
        </is>
      </c>
      <c r="AA588" s="7" t="n">
        <v>1</v>
      </c>
      <c r="AB588" s="9" t="inlineStr">
        <is>
          <t>open</t>
        </is>
      </c>
      <c r="AC588" s="7" t="n">
        <v>2</v>
      </c>
      <c r="AD588" s="7" t="inlineStr">
        <is>
          <t>Place wording differs: Insight chart has “NE side Sea of Galilee; Bethsaida”; A7-E has “Sea of Galilee; Bethsaida”. | Wording in pre-2013 Insight chart (it-2 'Jesus Christ', par 532): “Warns against leaven of Pharisees; heals blind”.</t>
        </is>
      </c>
      <c r="AE588" s="7" t="n"/>
      <c r="AF588" s="7" t="n"/>
      <c r="AG588" s="7" t="n"/>
      <c r="AH588" s="7" t="n"/>
      <c r="AI588" s="7" t="n"/>
      <c r="AJ588" s="7" t="n"/>
      <c r="AK588" s="7" t="n"/>
      <c r="AL588" s="7" t="inlineStr">
        <is>
          <t>A7 row #56 split into 2 events; scripture references cover the whole source row.</t>
        </is>
      </c>
      <c r="AM588" s="7" t="n">
        <v>32.265</v>
      </c>
      <c r="AN588" s="10" t="n"/>
      <c r="AO588" s="10" t="n"/>
      <c r="AP588" s="10" t="n"/>
      <c r="AQ588" s="10" t="n"/>
    </row>
    <row r="589">
      <c r="A589" s="7" t="inlineStr">
        <is>
          <t>b5-0080</t>
        </is>
      </c>
      <c r="B589" s="7" t="inlineStr">
        <is>
          <t>Point</t>
        </is>
      </c>
      <c r="C589" s="7" t="n"/>
      <c r="D589" s="7" t="inlineStr">
        <is>
          <t>32 C.E., after Passover</t>
        </is>
      </c>
      <c r="E589" s="7" t="inlineStr">
        <is>
          <t>கி.பி. 32, பஸ்காவுக்குப் பின்பு</t>
        </is>
      </c>
      <c r="F589" s="7" t="inlineStr">
        <is>
          <t>32 CE</t>
        </is>
      </c>
      <c r="G589" s="7" t="inlineStr">
        <is>
          <t>After (a.)</t>
        </is>
      </c>
      <c r="H589" s="7" t="n"/>
      <c r="I589" s="7" t="n"/>
      <c r="J589" s="7" t="n"/>
      <c r="K589" s="2" t="inlineStr">
        <is>
          <t>Keys of the Kingdom</t>
        </is>
      </c>
      <c r="L589" s="2" t="inlineStr">
        <is>
          <t>பரலோக அரசாங்கத்தின் சாவிகள்</t>
        </is>
      </c>
      <c r="M589" s="7" t="inlineStr">
        <is>
          <t>Keys of the Kingdom. The place is given as Caesarea Philippi area. NWT Study Edition Appendix A7-E (“Jesus’ Great Ministry in Galilee (Part 3)”) dates this to 32 C.E., after Passover; the source row combines it with related events (“Keys of the Kingdom; foretells his death and resurrection”).</t>
        </is>
      </c>
      <c r="N589" s="7" t="inlineStr">
        <is>
          <t>பரலோக அரசாங்கத்தின் சாவிகள்; தன்னுடைய மரணத்தையும் உயிர்த்தெழுதலையும் பற்றி முன்னறிவிக்கிறார் — பிலிப்புச் செசரியா பகுதி</t>
        </is>
      </c>
      <c r="O589" s="8" t="inlineStr">
        <is>
          <t>Bible</t>
        </is>
      </c>
      <c r="P589" s="7" t="inlineStr">
        <is>
          <t>bible.jesus</t>
        </is>
      </c>
      <c r="Q589" s="7" t="inlineStr">
        <is>
          <t>teaching</t>
        </is>
      </c>
      <c r="R589" s="7" t="inlineStr">
        <is>
          <t>Jesus</t>
        </is>
      </c>
      <c r="S589" s="7" t="inlineStr">
        <is>
          <t>Caesarea Philippi</t>
        </is>
      </c>
      <c r="T589" s="7" t="inlineStr">
        <is>
          <t>Matt. 16:13-28; Mark 8:27–9:1; Luke 9:18-27</t>
        </is>
      </c>
      <c r="U589" s="7" t="inlineStr">
        <is>
          <t>மத் 16:13-28; மாற் 8:27–9:1; லூக் 9:18-27</t>
        </is>
      </c>
      <c r="V589" s="7" t="n">
        <v>3</v>
      </c>
      <c r="W589" s="7" t="inlineStr">
        <is>
          <t>A7-E Main Events of Jesus’ Earthly Life—Jesus’ Great Ministry in Galilee (Part 3) and in Judea</t>
        </is>
      </c>
      <c r="X589" s="9" t="inlineStr">
        <is>
          <t>open</t>
        </is>
      </c>
      <c r="Y589" s="9" t="inlineStr">
        <is>
          <t>open</t>
        </is>
      </c>
      <c r="Z589" s="7" t="inlineStr">
        <is>
          <t>https://wol.jw.org/en/wol/d/r1/lp-e/1001070211
https://wol.jw.org/en/wol/d/r1/lp-e/1001061211
https://wol.jw.org/en/wol/d/r1/lp-e/1200002451</t>
        </is>
      </c>
      <c r="AA589" s="7" t="n">
        <v>1</v>
      </c>
      <c r="AB589" s="9" t="inlineStr">
        <is>
          <t>open</t>
        </is>
      </c>
      <c r="AC589" s="7" t="n">
        <v>2</v>
      </c>
      <c r="AD589" s="7" t="inlineStr">
        <is>
          <t>Place wording differs: Insight chart has “Caesarea Philippi”; A7-E has “Caesarea Philippi area”. | Wording in pre-2013 Insight chart (it-2 'Jesus Christ', par 539): “Jesus the Messiah; foretells death, resurrection”.</t>
        </is>
      </c>
      <c r="AE589" s="7" t="n"/>
      <c r="AF589" s="7" t="n"/>
      <c r="AG589" s="7" t="n"/>
      <c r="AH589" s="7" t="n"/>
      <c r="AI589" s="7" t="n"/>
      <c r="AJ589" s="7" t="n"/>
      <c r="AK589" s="7" t="n"/>
      <c r="AL589" s="7" t="inlineStr">
        <is>
          <t>A7 row #57 split into 2 events; scripture references cover the whole source row.</t>
        </is>
      </c>
      <c r="AM589" s="7" t="n">
        <v>32.266</v>
      </c>
      <c r="AN589" s="10" t="n"/>
      <c r="AO589" s="10" t="n"/>
      <c r="AP589" s="10" t="n"/>
      <c r="AQ589" s="10" t="n"/>
    </row>
    <row r="590">
      <c r="A590" s="7" t="inlineStr">
        <is>
          <t>b5-0081</t>
        </is>
      </c>
      <c r="B590" s="7" t="inlineStr">
        <is>
          <t>Point</t>
        </is>
      </c>
      <c r="C590" s="7" t="n"/>
      <c r="D590" s="7" t="inlineStr">
        <is>
          <t>32 C.E., after Passover</t>
        </is>
      </c>
      <c r="E590" s="7" t="inlineStr">
        <is>
          <t>கி.பி. 32, பஸ்காவுக்குப் பின்பு</t>
        </is>
      </c>
      <c r="F590" s="7" t="inlineStr">
        <is>
          <t>32 CE</t>
        </is>
      </c>
      <c r="G590" s="7" t="inlineStr">
        <is>
          <t>After (a.)</t>
        </is>
      </c>
      <c r="H590" s="7" t="n"/>
      <c r="I590" s="7" t="n"/>
      <c r="J590" s="7" t="n"/>
      <c r="K590" s="2" t="inlineStr">
        <is>
          <t>Jesus foretells his death and resurrection</t>
        </is>
      </c>
      <c r="L590" s="2" t="inlineStr">
        <is>
          <t>தன்னுடைய மரணத்தையும் உயிர்த்தெழுதலையும் பற்றி முன்னறிவிக்கிறார்</t>
        </is>
      </c>
      <c r="M590" s="7" t="inlineStr">
        <is>
          <t>Jesus foretells his death and resurrection. The place is given as Caesarea Philippi area. NWT Study Edition Appendix A7-E (“Jesus’ Great Ministry in Galilee (Part 3)”) dates this to 32 C.E., after Passover; the source row combines it with related events (“Keys of the Kingdom; foretells his death and resurrection”).</t>
        </is>
      </c>
      <c r="N590" s="7" t="inlineStr">
        <is>
          <t>பரலோக அரசாங்கத்தின் சாவிகள்; தன்னுடைய மரணத்தையும் உயிர்த்தெழுதலையும் பற்றி முன்னறிவிக்கிறார் — பிலிப்புச் செசரியா பகுதி</t>
        </is>
      </c>
      <c r="O590" s="8" t="inlineStr">
        <is>
          <t>Bible</t>
        </is>
      </c>
      <c r="P590" s="7" t="inlineStr">
        <is>
          <t>bible.jesus</t>
        </is>
      </c>
      <c r="Q590" s="7" t="inlineStr">
        <is>
          <t>prophecy</t>
        </is>
      </c>
      <c r="R590" s="7" t="inlineStr">
        <is>
          <t>Jesus</t>
        </is>
      </c>
      <c r="S590" s="7" t="inlineStr">
        <is>
          <t>Caesarea Philippi</t>
        </is>
      </c>
      <c r="T590" s="7" t="inlineStr">
        <is>
          <t>Matt. 16:13-28; Mark 8:27–9:1; Luke 9:18-27</t>
        </is>
      </c>
      <c r="U590" s="7" t="inlineStr">
        <is>
          <t>மத் 16:13-28; மாற் 8:27–9:1; லூக் 9:18-27</t>
        </is>
      </c>
      <c r="V590" s="7" t="n">
        <v>3</v>
      </c>
      <c r="W590" s="7" t="inlineStr">
        <is>
          <t>A7-E Main Events of Jesus’ Earthly Life—Jesus’ Great Ministry in Galilee (Part 3) and in Judea</t>
        </is>
      </c>
      <c r="X590" s="9" t="inlineStr">
        <is>
          <t>open</t>
        </is>
      </c>
      <c r="Y590" s="9" t="inlineStr">
        <is>
          <t>open</t>
        </is>
      </c>
      <c r="Z590" s="7" t="inlineStr">
        <is>
          <t>https://wol.jw.org/en/wol/d/r1/lp-e/1001070211
https://wol.jw.org/en/wol/d/r1/lp-e/1001061211
https://wol.jw.org/en/wol/d/r1/lp-e/1200002451</t>
        </is>
      </c>
      <c r="AA590" s="7" t="n">
        <v>1</v>
      </c>
      <c r="AB590" s="9" t="inlineStr">
        <is>
          <t>open</t>
        </is>
      </c>
      <c r="AC590" s="7" t="n">
        <v>2</v>
      </c>
      <c r="AD590" s="7" t="inlineStr">
        <is>
          <t>Place wording differs: Insight chart has “Caesarea Philippi”; A7-E has “Caesarea Philippi area”. | Wording in pre-2013 Insight chart (it-2 'Jesus Christ', par 539): “Jesus the Messiah; foretells death, resurrection”.</t>
        </is>
      </c>
      <c r="AE590" s="7" t="n"/>
      <c r="AF590" s="7" t="n"/>
      <c r="AG590" s="7" t="n"/>
      <c r="AH590" s="7" t="n"/>
      <c r="AI590" s="7" t="n"/>
      <c r="AJ590" s="7" t="n"/>
      <c r="AK590" s="7" t="n"/>
      <c r="AL590" s="7" t="inlineStr">
        <is>
          <t>A7 row #57 split into 2 events; scripture references cover the whole source row.</t>
        </is>
      </c>
      <c r="AM590" s="7" t="n">
        <v>32.267</v>
      </c>
      <c r="AN590" s="10" t="n"/>
      <c r="AO590" s="10" t="n"/>
      <c r="AP590" s="10" t="n"/>
      <c r="AQ590" s="10" t="n"/>
    </row>
    <row r="591">
      <c r="A591" s="7" t="inlineStr">
        <is>
          <t>b5-0082</t>
        </is>
      </c>
      <c r="B591" s="7" t="inlineStr">
        <is>
          <t>Point</t>
        </is>
      </c>
      <c r="C591" s="7" t="n"/>
      <c r="D591" s="7" t="inlineStr">
        <is>
          <t>32 C.E., after Passover</t>
        </is>
      </c>
      <c r="E591" s="7" t="inlineStr">
        <is>
          <t>கி.பி. 32, பஸ்காவுக்குப் பின்பு</t>
        </is>
      </c>
      <c r="F591" s="7" t="inlineStr">
        <is>
          <t>32 CE</t>
        </is>
      </c>
      <c r="G591" s="7" t="inlineStr">
        <is>
          <t>After (a.)</t>
        </is>
      </c>
      <c r="H591" s="7" t="n"/>
      <c r="I591" s="7" t="n"/>
      <c r="J591" s="7" t="n"/>
      <c r="K591" s="2" t="inlineStr">
        <is>
          <t>Transfiguration; Jehovah speaks</t>
        </is>
      </c>
      <c r="L591" s="2" t="inlineStr">
        <is>
          <t>தோற்றம் மாறுகிறார்; யெகோவா பேசுகிறார்</t>
        </is>
      </c>
      <c r="M591" s="7" t="inlineStr">
        <is>
          <t>Transfiguration; Jehovah speaks. The place is given as Probably Mt. Hermon. NWT Study Edition Appendix A7-E (“Jesus’ Great Ministry in Galilee (Part 3)”) dates this to 32 C.E., after Passover.</t>
        </is>
      </c>
      <c r="N591" s="7" t="inlineStr">
        <is>
          <t>தோற்றம் மாறுகிறார்; யெகோவா பேசுகிறார் — ஒருவேளை எர்மோன் மலை</t>
        </is>
      </c>
      <c r="O591" s="8" t="inlineStr">
        <is>
          <t>Bible</t>
        </is>
      </c>
      <c r="P591" s="7" t="inlineStr">
        <is>
          <t>bible.jesus</t>
        </is>
      </c>
      <c r="Q591" s="7" t="inlineStr">
        <is>
          <t>transfiguration</t>
        </is>
      </c>
      <c r="R591" s="7" t="inlineStr">
        <is>
          <t>Jesus</t>
        </is>
      </c>
      <c r="S591" s="7" t="inlineStr">
        <is>
          <t>Mount Hermon</t>
        </is>
      </c>
      <c r="T591" s="7" t="inlineStr">
        <is>
          <t>Matt. 17:1-13; Mark 9:2-13; Luke 9:28-36</t>
        </is>
      </c>
      <c r="U591" s="7" t="inlineStr">
        <is>
          <t>மத் 17:1-13; மாற் 9:2-13; லூக் 9:28-36</t>
        </is>
      </c>
      <c r="V591" s="7" t="n">
        <v>3</v>
      </c>
      <c r="W591" s="7" t="inlineStr">
        <is>
          <t>A7-E Main Events of Jesus’ Earthly Life—Jesus’ Great Ministry in Galilee (Part 3) and in Judea</t>
        </is>
      </c>
      <c r="X591" s="9" t="inlineStr">
        <is>
          <t>open</t>
        </is>
      </c>
      <c r="Y591" s="9" t="inlineStr">
        <is>
          <t>open</t>
        </is>
      </c>
      <c r="Z591" s="7" t="inlineStr">
        <is>
          <t>https://wol.jw.org/en/wol/d/r1/lp-e/1001070211
https://wol.jw.org/en/wol/d/r1/lp-e/1001061211
https://wol.jw.org/en/wol/d/r1/lp-e/1200002451</t>
        </is>
      </c>
      <c r="AA591" s="7" t="n">
        <v>1</v>
      </c>
      <c r="AB591" s="9" t="inlineStr">
        <is>
          <t>open</t>
        </is>
      </c>
      <c r="AC591" s="7" t="n">
        <v>1</v>
      </c>
      <c r="AD591" s="7" t="inlineStr">
        <is>
          <t>Wording in pre-2013 Insight chart (it-2 'Jesus Christ', par 546): “Transfiguration before Peter, James, and John”.</t>
        </is>
      </c>
      <c r="AE591" s="7" t="n"/>
      <c r="AF591" s="7" t="n"/>
      <c r="AG591" s="7" t="n"/>
      <c r="AH591" s="7" t="n"/>
      <c r="AI591" s="7" t="n"/>
      <c r="AJ591" s="7" t="n"/>
      <c r="AK591" s="7" t="n"/>
      <c r="AL591" s="7" t="n"/>
      <c r="AM591" s="7" t="n">
        <v>32.268</v>
      </c>
      <c r="AN591" s="10" t="n"/>
      <c r="AO591" s="10" t="n"/>
      <c r="AP591" s="10" t="n"/>
      <c r="AQ591" s="10" t="n"/>
    </row>
    <row r="592">
      <c r="A592" s="7" t="inlineStr">
        <is>
          <t>b5-0083</t>
        </is>
      </c>
      <c r="B592" s="7" t="inlineStr">
        <is>
          <t>Point</t>
        </is>
      </c>
      <c r="C592" s="7" t="n"/>
      <c r="D592" s="7" t="inlineStr">
        <is>
          <t>32 C.E., after Passover</t>
        </is>
      </c>
      <c r="E592" s="7" t="inlineStr">
        <is>
          <t>கி.பி. 32, பஸ்காவுக்குப் பின்பு</t>
        </is>
      </c>
      <c r="F592" s="7" t="inlineStr">
        <is>
          <t>32 CE</t>
        </is>
      </c>
      <c r="G592" s="7" t="inlineStr">
        <is>
          <t>After (a.)</t>
        </is>
      </c>
      <c r="H592" s="7" t="n"/>
      <c r="I592" s="7" t="n"/>
      <c r="J592" s="7" t="n"/>
      <c r="K592" s="2" t="inlineStr">
        <is>
          <t>Heals demon-possessed boy</t>
        </is>
      </c>
      <c r="L592" s="2" t="inlineStr">
        <is>
          <t>பேய்பிடித்த பையனைக் குணப்படுத்துகிறார்</t>
        </is>
      </c>
      <c r="M592" s="7" t="inlineStr">
        <is>
          <t>Heals demon-possessed boy. The place is given as Caesarea Philippi area. NWT Study Edition Appendix A7-E (“Jesus’ Great Ministry in Galilee (Part 3)”) dates this to 32 C.E., after Passover.</t>
        </is>
      </c>
      <c r="N592" s="7" t="inlineStr">
        <is>
          <t>பேய்பிடித்த பையனைக் குணப்படுத்துகிறார் — பிலிப்புச் செசரியா பகுதி</t>
        </is>
      </c>
      <c r="O592" s="8" t="inlineStr">
        <is>
          <t>Bible</t>
        </is>
      </c>
      <c r="P592" s="7" t="inlineStr">
        <is>
          <t>bible.jesus</t>
        </is>
      </c>
      <c r="Q592" s="7" t="inlineStr">
        <is>
          <t>miracle</t>
        </is>
      </c>
      <c r="R592" s="7" t="inlineStr">
        <is>
          <t>Jesus</t>
        </is>
      </c>
      <c r="S592" s="7" t="inlineStr">
        <is>
          <t>Caesarea Philippi</t>
        </is>
      </c>
      <c r="T592" s="7" t="inlineStr">
        <is>
          <t>Matt. 17:14-20; Mark 9:14-29; Luke 9:37-43</t>
        </is>
      </c>
      <c r="U592" s="7" t="inlineStr">
        <is>
          <t>மத் 17:14-20; மாற் 9:14-29; லூக் 9:37-43</t>
        </is>
      </c>
      <c r="V592" s="7" t="n">
        <v>3</v>
      </c>
      <c r="W592" s="7" t="inlineStr">
        <is>
          <t>A7-E Main Events of Jesus’ Earthly Life—Jesus’ Great Ministry in Galilee (Part 3) and in Judea</t>
        </is>
      </c>
      <c r="X592" s="9" t="inlineStr">
        <is>
          <t>open</t>
        </is>
      </c>
      <c r="Y592" s="9" t="inlineStr">
        <is>
          <t>open</t>
        </is>
      </c>
      <c r="Z592" s="7" t="inlineStr">
        <is>
          <t>https://wol.jw.org/en/wol/d/r1/lp-e/1001070211
https://wol.jw.org/en/wol/d/r1/lp-e/1001061211
https://wol.jw.org/en/wol/d/r1/lp-e/1200002451</t>
        </is>
      </c>
      <c r="AA592" s="7" t="n">
        <v>1</v>
      </c>
      <c r="AB592" s="9" t="inlineStr">
        <is>
          <t>open</t>
        </is>
      </c>
      <c r="AC592" s="7" t="n">
        <v>2</v>
      </c>
      <c r="AD592" s="7" t="inlineStr">
        <is>
          <t>Place wording differs: Insight chart has “Caesarea Philippi”; A7-E has “Caesarea Philippi area”. | Wording in pre-2013 Insight chart (it-2 'Jesus Christ', par 553): “Heals demoniac that disciples could not heal”.</t>
        </is>
      </c>
      <c r="AE592" s="7" t="n"/>
      <c r="AF592" s="7" t="n"/>
      <c r="AG592" s="7" t="n"/>
      <c r="AH592" s="7" t="n"/>
      <c r="AI592" s="7" t="n"/>
      <c r="AJ592" s="7" t="n"/>
      <c r="AK592" s="7" t="n"/>
      <c r="AL592" s="7" t="n"/>
      <c r="AM592" s="7" t="n">
        <v>32.269</v>
      </c>
      <c r="AN592" s="10" t="n"/>
      <c r="AO592" s="10" t="n"/>
      <c r="AP592" s="10" t="n"/>
      <c r="AQ592" s="10" t="n"/>
    </row>
    <row r="593">
      <c r="A593" s="7" t="inlineStr">
        <is>
          <t>b5-0084</t>
        </is>
      </c>
      <c r="B593" s="7" t="inlineStr">
        <is>
          <t>Point</t>
        </is>
      </c>
      <c r="C593" s="7" t="n"/>
      <c r="D593" s="7" t="inlineStr">
        <is>
          <t>32 C.E., after Passover</t>
        </is>
      </c>
      <c r="E593" s="7" t="inlineStr">
        <is>
          <t>கி.பி. 32, பஸ்காவுக்குப் பின்பு</t>
        </is>
      </c>
      <c r="F593" s="7" t="inlineStr">
        <is>
          <t>32 CE</t>
        </is>
      </c>
      <c r="G593" s="7" t="inlineStr">
        <is>
          <t>After (a.)</t>
        </is>
      </c>
      <c r="H593" s="7" t="n"/>
      <c r="I593" s="7" t="n"/>
      <c r="J593" s="7" t="n"/>
      <c r="K593" s="2" t="inlineStr">
        <is>
          <t>Again foretells his death</t>
        </is>
      </c>
      <c r="L593" s="2" t="inlineStr">
        <is>
          <t>தன் மரணத்தைப் பற்றி மறுபடியும் முன்னறிவிக்கிறார்</t>
        </is>
      </c>
      <c r="M593" s="7" t="inlineStr">
        <is>
          <t>Again foretells his death. The place is given as Galilee. NWT Study Edition Appendix A7-E (“Jesus’ Great Ministry in Galilee (Part 3)”) dates this to 32 C.E., after Passover.</t>
        </is>
      </c>
      <c r="N593" s="7" t="inlineStr">
        <is>
          <t>தன் மரணத்தைப் பற்றி மறுபடியும் முன்னறிவிக்கிறார் — கலிலேயா</t>
        </is>
      </c>
      <c r="O593" s="8" t="inlineStr">
        <is>
          <t>Bible</t>
        </is>
      </c>
      <c r="P593" s="7" t="inlineStr">
        <is>
          <t>bible.jesus</t>
        </is>
      </c>
      <c r="Q593" s="7" t="inlineStr">
        <is>
          <t>prophecy</t>
        </is>
      </c>
      <c r="R593" s="7" t="inlineStr">
        <is>
          <t>Jesus</t>
        </is>
      </c>
      <c r="S593" s="7" t="inlineStr">
        <is>
          <t>Galilee</t>
        </is>
      </c>
      <c r="T593" s="7" t="inlineStr">
        <is>
          <t>Matt. 17:22, 23; Mark 9:30-32; Luke 9:43-45</t>
        </is>
      </c>
      <c r="U593" s="7" t="inlineStr">
        <is>
          <t>மத் 17:22, 23; மாற் 9:30-32; லூக் 9:43-45</t>
        </is>
      </c>
      <c r="V593" s="7" t="n">
        <v>3</v>
      </c>
      <c r="W593" s="7" t="inlineStr">
        <is>
          <t>A7-E Main Events of Jesus’ Earthly Life—Jesus’ Great Ministry in Galilee (Part 3) and in Judea</t>
        </is>
      </c>
      <c r="X593" s="9" t="inlineStr">
        <is>
          <t>open</t>
        </is>
      </c>
      <c r="Y593" s="9" t="inlineStr">
        <is>
          <t>open</t>
        </is>
      </c>
      <c r="Z593" s="7" t="inlineStr">
        <is>
          <t>https://wol.jw.org/en/wol/d/r1/lp-e/1001070211
https://wol.jw.org/en/wol/d/r1/lp-e/1001061211
https://wol.jw.org/en/wol/d/r1/lp-e/1200002451</t>
        </is>
      </c>
      <c r="AA593" s="7" t="n">
        <v>1</v>
      </c>
      <c r="AB593" s="9" t="inlineStr">
        <is>
          <t>open</t>
        </is>
      </c>
      <c r="AC593" s="7" t="n">
        <v>1</v>
      </c>
      <c r="AD593" s="7" t="inlineStr">
        <is>
          <t>Wording in pre-2013 Insight chart (it-2 'Jesus Christ', par 560): “Again foretells his death and resurrection”.</t>
        </is>
      </c>
      <c r="AE593" s="7" t="n"/>
      <c r="AF593" s="7" t="n"/>
      <c r="AG593" s="7" t="n"/>
      <c r="AH593" s="7" t="n"/>
      <c r="AI593" s="7" t="n"/>
      <c r="AJ593" s="7" t="n"/>
      <c r="AK593" s="7" t="n"/>
      <c r="AL593" s="7" t="n"/>
      <c r="AM593" s="7" t="n">
        <v>32.27</v>
      </c>
      <c r="AN593" s="10" t="n"/>
      <c r="AO593" s="10" t="n"/>
      <c r="AP593" s="10" t="n"/>
      <c r="AQ593" s="10" t="n"/>
    </row>
    <row r="594">
      <c r="A594" s="7" t="inlineStr">
        <is>
          <t>b5-0085</t>
        </is>
      </c>
      <c r="B594" s="7" t="inlineStr">
        <is>
          <t>Point</t>
        </is>
      </c>
      <c r="C594" s="7" t="n"/>
      <c r="D594" s="7" t="inlineStr">
        <is>
          <t>32 C.E., after Passover</t>
        </is>
      </c>
      <c r="E594" s="7" t="inlineStr">
        <is>
          <t>கி.பி. 32, பஸ்காவுக்குப் பின்பு</t>
        </is>
      </c>
      <c r="F594" s="7" t="inlineStr">
        <is>
          <t>32 CE</t>
        </is>
      </c>
      <c r="G594" s="7" t="inlineStr">
        <is>
          <t>After (a.)</t>
        </is>
      </c>
      <c r="H594" s="7" t="n"/>
      <c r="I594" s="7" t="n"/>
      <c r="J594" s="7" t="n"/>
      <c r="K594" s="2" t="inlineStr">
        <is>
          <t>Pays tax with coin from fish’s mouth</t>
        </is>
      </c>
      <c r="L594" s="2" t="inlineStr">
        <is>
          <t>மீன் வாயிலிருந்து எடுத்த காசில் வரி கட்டுகிறார்</t>
        </is>
      </c>
      <c r="M594" s="7" t="inlineStr">
        <is>
          <t>Pays tax with coin from fish’s mouth. The place is given as Capernaum. NWT Study Edition Appendix A7-E (“Jesus’ Great Ministry in Galilee (Part 3)”) dates this to 32 C.E., after Passover.</t>
        </is>
      </c>
      <c r="N594" s="7" t="inlineStr">
        <is>
          <t>மீன் வாயிலிருந்து எடுத்த காசில் வரி கட்டுகிறார் — கப்பர்நகூம்</t>
        </is>
      </c>
      <c r="O594" s="8" t="inlineStr">
        <is>
          <t>Bible</t>
        </is>
      </c>
      <c r="P594" s="7" t="inlineStr">
        <is>
          <t>bible.jesus</t>
        </is>
      </c>
      <c r="Q594" s="7" t="inlineStr">
        <is>
          <t>miracle</t>
        </is>
      </c>
      <c r="R594" s="7" t="inlineStr">
        <is>
          <t>Jesus</t>
        </is>
      </c>
      <c r="S594" s="7" t="inlineStr">
        <is>
          <t>Capernaum</t>
        </is>
      </c>
      <c r="T594" s="7" t="inlineStr">
        <is>
          <t>Matt. 17:24-27</t>
        </is>
      </c>
      <c r="U594" s="7" t="inlineStr">
        <is>
          <t>மத் 17:24-27</t>
        </is>
      </c>
      <c r="V594" s="7" t="n">
        <v>3</v>
      </c>
      <c r="W594" s="7" t="inlineStr">
        <is>
          <t>A7-E Main Events of Jesus’ Earthly Life—Jesus’ Great Ministry in Galilee (Part 3) and in Judea</t>
        </is>
      </c>
      <c r="X594" s="9" t="inlineStr">
        <is>
          <t>open</t>
        </is>
      </c>
      <c r="Y594" s="9" t="inlineStr">
        <is>
          <t>open</t>
        </is>
      </c>
      <c r="Z594" s="7" t="inlineStr">
        <is>
          <t>https://wol.jw.org/en/wol/d/r1/lp-e/1001070211
https://wol.jw.org/en/wol/d/r1/lp-e/1001061211
https://wol.jw.org/en/wol/d/r1/lp-e/1200002451</t>
        </is>
      </c>
      <c r="AA594" s="7" t="n">
        <v>1</v>
      </c>
      <c r="AB594" s="9" t="inlineStr">
        <is>
          <t>open</t>
        </is>
      </c>
      <c r="AC594" s="7" t="n">
        <v>1</v>
      </c>
      <c r="AD594" s="7" t="inlineStr">
        <is>
          <t>Wording in pre-2013 Insight chart (it-2 'Jesus Christ', par 567): “Tax money miraculously provided”.</t>
        </is>
      </c>
      <c r="AE594" s="7" t="n"/>
      <c r="AF594" s="7" t="n"/>
      <c r="AG594" s="7" t="n"/>
      <c r="AH594" s="7" t="n"/>
      <c r="AI594" s="7" t="n"/>
      <c r="AJ594" s="7" t="n"/>
      <c r="AK594" s="7" t="n"/>
      <c r="AL594" s="7" t="n"/>
      <c r="AM594" s="7" t="n">
        <v>32.271</v>
      </c>
      <c r="AN594" s="10" t="n"/>
      <c r="AO594" s="10" t="n"/>
      <c r="AP594" s="10" t="n"/>
      <c r="AQ594" s="10" t="n"/>
    </row>
    <row r="595">
      <c r="A595" s="7" t="inlineStr">
        <is>
          <t>b5-0086</t>
        </is>
      </c>
      <c r="B595" s="7" t="inlineStr">
        <is>
          <t>Point</t>
        </is>
      </c>
      <c r="C595" s="7" t="n"/>
      <c r="D595" s="7" t="inlineStr">
        <is>
          <t>32 C.E., after Passover</t>
        </is>
      </c>
      <c r="E595" s="7" t="inlineStr">
        <is>
          <t>கி.பி. 32, பஸ்காவுக்குப் பின்பு</t>
        </is>
      </c>
      <c r="F595" s="7" t="inlineStr">
        <is>
          <t>32 CE</t>
        </is>
      </c>
      <c r="G595" s="7" t="inlineStr">
        <is>
          <t>After (a.)</t>
        </is>
      </c>
      <c r="H595" s="7" t="n"/>
      <c r="I595" s="7" t="n"/>
      <c r="J595" s="7" t="n"/>
      <c r="K595" s="2" t="inlineStr">
        <is>
          <t>Greatest in the Kingdom</t>
        </is>
      </c>
      <c r="L595" s="2" t="inlineStr">
        <is>
          <t>பரலோக அரசாங்கத்தில் உயர்ந்தவர்</t>
        </is>
      </c>
      <c r="M595" s="7" t="inlineStr">
        <is>
          <t>Greatest in the Kingdom. The place is given as Capernaum. NWT Study Edition Appendix A7-E (“Jesus’ Great Ministry in Galilee (Part 3)”) dates this to 32 C.E., after Passover; the source row combines it with related events (“Greatest in the Kingdom; lost sheep and unforgiving slave illustrations”).</t>
        </is>
      </c>
      <c r="N595" s="7" t="inlineStr">
        <is>
          <t>பரலோக அரசாங்கத்தில் உயர்ந்தவர்; உவமைகள்: காணாமல்போன ஆடு, மன்னிக்காத அடிமை — கப்பர்நகூம்</t>
        </is>
      </c>
      <c r="O595" s="8" t="inlineStr">
        <is>
          <t>Bible</t>
        </is>
      </c>
      <c r="P595" s="7" t="inlineStr">
        <is>
          <t>bible.jesus</t>
        </is>
      </c>
      <c r="Q595" s="7" t="inlineStr">
        <is>
          <t>teaching</t>
        </is>
      </c>
      <c r="R595" s="7" t="inlineStr">
        <is>
          <t>Jesus</t>
        </is>
      </c>
      <c r="S595" s="7" t="inlineStr">
        <is>
          <t>Capernaum</t>
        </is>
      </c>
      <c r="T595" s="7" t="inlineStr">
        <is>
          <t>Matt. 18:1-35; Mark 9:33-50; Luke 9:46-50</t>
        </is>
      </c>
      <c r="U595" s="7" t="inlineStr">
        <is>
          <t>மத் 18:1-35; மாற் 9:33-50; லூக் 9:46-50</t>
        </is>
      </c>
      <c r="V595" s="7" t="n">
        <v>3</v>
      </c>
      <c r="W595" s="7" t="inlineStr">
        <is>
          <t>A7-E Main Events of Jesus’ Earthly Life—Jesus’ Great Ministry in Galilee (Part 3) and in Judea</t>
        </is>
      </c>
      <c r="X595" s="9" t="inlineStr">
        <is>
          <t>open</t>
        </is>
      </c>
      <c r="Y595" s="9" t="inlineStr">
        <is>
          <t>open</t>
        </is>
      </c>
      <c r="Z595" s="7" t="inlineStr">
        <is>
          <t>https://wol.jw.org/en/wol/d/r1/lp-e/1001070211
https://wol.jw.org/en/wol/d/r1/lp-e/1001061211
https://wol.jw.org/en/wol/d/r1/lp-e/1200002451</t>
        </is>
      </c>
      <c r="AA595" s="7" t="n">
        <v>1</v>
      </c>
      <c r="AB595" s="9" t="inlineStr">
        <is>
          <t>open</t>
        </is>
      </c>
      <c r="AC595" s="7" t="n">
        <v>1</v>
      </c>
      <c r="AD595" s="7" t="inlineStr">
        <is>
          <t>Wording in pre-2013 Insight chart (it-2 'Jesus Christ', par 574): “Greatest in Kingdom; settling faults; mercy”.</t>
        </is>
      </c>
      <c r="AE595" s="7" t="n"/>
      <c r="AF595" s="7" t="n"/>
      <c r="AG595" s="7" t="n"/>
      <c r="AH595" s="7" t="n"/>
      <c r="AI595" s="7" t="n"/>
      <c r="AJ595" s="7" t="n"/>
      <c r="AK595" s="7" t="n"/>
      <c r="AL595" s="7" t="inlineStr">
        <is>
          <t>A7 row #62 split into 2 events; scripture references cover the whole source row.</t>
        </is>
      </c>
      <c r="AM595" s="7" t="n">
        <v>32.272</v>
      </c>
      <c r="AN595" s="10" t="n"/>
      <c r="AO595" s="10" t="n"/>
      <c r="AP595" s="10" t="n"/>
      <c r="AQ595" s="10" t="n"/>
    </row>
    <row r="596">
      <c r="A596" s="7" t="inlineStr">
        <is>
          <t>b5-0087</t>
        </is>
      </c>
      <c r="B596" s="7" t="inlineStr">
        <is>
          <t>Point</t>
        </is>
      </c>
      <c r="C596" s="7" t="n"/>
      <c r="D596" s="7" t="inlineStr">
        <is>
          <t>32 C.E., after Passover</t>
        </is>
      </c>
      <c r="E596" s="7" t="inlineStr">
        <is>
          <t>கி.பி. 32, பஸ்காவுக்குப் பின்பு</t>
        </is>
      </c>
      <c r="F596" s="7" t="inlineStr">
        <is>
          <t>32 CE</t>
        </is>
      </c>
      <c r="G596" s="7" t="inlineStr">
        <is>
          <t>After (a.)</t>
        </is>
      </c>
      <c r="H596" s="7" t="n"/>
      <c r="I596" s="7" t="n"/>
      <c r="J596" s="7" t="n"/>
      <c r="K596" s="2" t="inlineStr">
        <is>
          <t>Lost sheep and unforgiving slave illustrations</t>
        </is>
      </c>
      <c r="L596" s="2" t="inlineStr">
        <is>
          <t>உவமைகள்: காணாமல்போன ஆடு, மன்னிக்காத அடிமை</t>
        </is>
      </c>
      <c r="M596" s="7" t="inlineStr">
        <is>
          <t>Lost sheep and unforgiving slave illustrations. The place is given as Capernaum. NWT Study Edition Appendix A7-E (“Jesus’ Great Ministry in Galilee (Part 3)”) dates this to 32 C.E., after Passover; the source row combines it with related events (“Greatest in the Kingdom; lost sheep and unforgiving slave illustrations”).</t>
        </is>
      </c>
      <c r="N596" s="7" t="inlineStr">
        <is>
          <t>பரலோக அரசாங்கத்தில் உயர்ந்தவர்; உவமைகள்: காணாமல்போன ஆடு, மன்னிக்காத அடிமை — கப்பர்நகூம்</t>
        </is>
      </c>
      <c r="O596" s="8" t="inlineStr">
        <is>
          <t>Bible</t>
        </is>
      </c>
      <c r="P596" s="7" t="inlineStr">
        <is>
          <t>bible.jesus</t>
        </is>
      </c>
      <c r="Q596" s="7" t="inlineStr">
        <is>
          <t>parable</t>
        </is>
      </c>
      <c r="R596" s="7" t="inlineStr">
        <is>
          <t>Jesus</t>
        </is>
      </c>
      <c r="S596" s="7" t="inlineStr">
        <is>
          <t>Capernaum</t>
        </is>
      </c>
      <c r="T596" s="7" t="inlineStr">
        <is>
          <t>Matt. 18:1-35; Mark 9:33-50; Luke 9:46-50</t>
        </is>
      </c>
      <c r="U596" s="7" t="inlineStr">
        <is>
          <t>மத் 18:1-35; மாற் 9:33-50; லூக் 9:46-50</t>
        </is>
      </c>
      <c r="V596" s="7" t="n">
        <v>3</v>
      </c>
      <c r="W596" s="7" t="inlineStr">
        <is>
          <t>A7-E Main Events of Jesus’ Earthly Life—Jesus’ Great Ministry in Galilee (Part 3) and in Judea</t>
        </is>
      </c>
      <c r="X596" s="9" t="inlineStr">
        <is>
          <t>open</t>
        </is>
      </c>
      <c r="Y596" s="9" t="inlineStr">
        <is>
          <t>open</t>
        </is>
      </c>
      <c r="Z596" s="7" t="inlineStr">
        <is>
          <t>https://wol.jw.org/en/wol/d/r1/lp-e/1001070211
https://wol.jw.org/en/wol/d/r1/lp-e/1001061211
https://wol.jw.org/en/wol/d/r1/lp-e/1200002451</t>
        </is>
      </c>
      <c r="AA596" s="7" t="n">
        <v>1</v>
      </c>
      <c r="AB596" s="9" t="inlineStr">
        <is>
          <t>open</t>
        </is>
      </c>
      <c r="AC596" s="7" t="n">
        <v>1</v>
      </c>
      <c r="AD596" s="7" t="inlineStr">
        <is>
          <t>Wording in pre-2013 Insight chart (it-2 'Jesus Christ', par 574): “Greatest in Kingdom; settling faults; mercy”.</t>
        </is>
      </c>
      <c r="AE596" s="7" t="n"/>
      <c r="AF596" s="7" t="n"/>
      <c r="AG596" s="7" t="n"/>
      <c r="AH596" s="7" t="n"/>
      <c r="AI596" s="7" t="n"/>
      <c r="AJ596" s="7" t="n"/>
      <c r="AK596" s="7" t="n"/>
      <c r="AL596" s="7" t="inlineStr">
        <is>
          <t>A7 row #62 split into 2 events; scripture references cover the whole source row.</t>
        </is>
      </c>
      <c r="AM596" s="7" t="n">
        <v>32.273</v>
      </c>
      <c r="AN596" s="10" t="n"/>
      <c r="AO596" s="10" t="n"/>
      <c r="AP596" s="10" t="n"/>
      <c r="AQ596" s="10" t="n"/>
    </row>
    <row r="597">
      <c r="A597" s="7" t="inlineStr">
        <is>
          <t>b5-0088</t>
        </is>
      </c>
      <c r="B597" s="7" t="inlineStr">
        <is>
          <t>Point</t>
        </is>
      </c>
      <c r="C597" s="7" t="n"/>
      <c r="D597" s="7" t="inlineStr">
        <is>
          <t>32 C.E., after Passover</t>
        </is>
      </c>
      <c r="E597" s="7" t="inlineStr">
        <is>
          <t>கி.பி. 32, பஸ்காவுக்குப் பின்பு</t>
        </is>
      </c>
      <c r="F597" s="7" t="inlineStr">
        <is>
          <t>32 CE</t>
        </is>
      </c>
      <c r="G597" s="7" t="inlineStr">
        <is>
          <t>After (a.)</t>
        </is>
      </c>
      <c r="H597" s="7" t="n"/>
      <c r="I597" s="7" t="n"/>
      <c r="J597" s="7" t="n"/>
      <c r="K597" s="2" t="inlineStr">
        <is>
          <t>On way to Jerusalem, tells disciples to set aside all for Kingdom</t>
        </is>
      </c>
      <c r="L597" s="2" t="inlineStr">
        <is>
          <t>பரலோக அரசாங்கத்துக்காக எல்லாவற்றையும் ஒதுக்கி வைக்கும்படி எருசலேமுக்குப் போகும் வழியில் சீஷர்களிடம் சொல்கிறார்</t>
        </is>
      </c>
      <c r="M597" s="7" t="inlineStr">
        <is>
          <t>On way to Jerusalem, tells disciples to set aside all for Kingdom. The place is given as Galilee-Samaria. NWT Study Edition Appendix A7-E (“Jesus’ Great Ministry in Galilee (Part 3)”) dates this to 32 C.E., after Passover.</t>
        </is>
      </c>
      <c r="N597" s="7" t="inlineStr">
        <is>
          <t>பரலோக அரசாங்கத்துக்காக எல்லாவற்றையும் ஒதுக்கி வைக்கும்படி எருசலேமுக்குப் போகும் வழியில் சீஷர்களிடம் சொல்கிறார் — கலிலேயா-சமாரியா</t>
        </is>
      </c>
      <c r="O597" s="8" t="inlineStr">
        <is>
          <t>Bible</t>
        </is>
      </c>
      <c r="P597" s="7" t="inlineStr">
        <is>
          <t>bible.jesus</t>
        </is>
      </c>
      <c r="Q597" s="7" t="inlineStr">
        <is>
          <t>journey</t>
        </is>
      </c>
      <c r="R597" s="7" t="inlineStr">
        <is>
          <t>Jesus</t>
        </is>
      </c>
      <c r="S597" s="7" t="inlineStr">
        <is>
          <t>Galilee; Samaria</t>
        </is>
      </c>
      <c r="T597" s="7" t="inlineStr">
        <is>
          <t>Matt. 8:19-22; Luke 9:51-62; John 7:2-10</t>
        </is>
      </c>
      <c r="U597" s="7" t="inlineStr">
        <is>
          <t>மத் 8:19-22; லூக் 9:51-62; யோவா 7:2-10</t>
        </is>
      </c>
      <c r="V597" s="7" t="n">
        <v>3</v>
      </c>
      <c r="W597" s="7" t="inlineStr">
        <is>
          <t>A7-E Main Events of Jesus’ Earthly Life—Jesus’ Great Ministry in Galilee (Part 3) and in Judea</t>
        </is>
      </c>
      <c r="X597" s="9" t="inlineStr">
        <is>
          <t>open</t>
        </is>
      </c>
      <c r="Y597" s="9" t="inlineStr">
        <is>
          <t>open</t>
        </is>
      </c>
      <c r="Z597" s="7" t="inlineStr">
        <is>
          <t>https://wol.jw.org/en/wol/d/r1/lp-e/1001070211
https://wol.jw.org/en/wol/d/r1/lp-e/1001061211
https://wol.jw.org/en/wol/d/r1/lp-e/1200002451</t>
        </is>
      </c>
      <c r="AA597" s="7" t="n">
        <v>1</v>
      </c>
      <c r="AB597" s="9" t="inlineStr">
        <is>
          <t>open</t>
        </is>
      </c>
      <c r="AC597" s="7" t="n">
        <v>2</v>
      </c>
      <c r="AD597" s="7" t="inlineStr">
        <is>
          <t>Place wording differs: Insight chart has “Galilee; Samaria”; A7-E has “Galilee-Samaria”. | Wording in pre-2013 Insight chart (it-2 'Jesus Christ', par 581): “Leaves Galilee for Festival of Booths; everything set aside for ministerial service”.</t>
        </is>
      </c>
      <c r="AE597" s="7" t="n"/>
      <c r="AF597" s="7" t="n"/>
      <c r="AG597" s="7" t="n"/>
      <c r="AH597" s="7" t="n"/>
      <c r="AI597" s="7" t="n"/>
      <c r="AJ597" s="7" t="n"/>
      <c r="AK597" s="7" t="n"/>
      <c r="AL597" s="7" t="n"/>
      <c r="AM597" s="7" t="n">
        <v>32.274</v>
      </c>
      <c r="AN597" s="10" t="n"/>
      <c r="AO597" s="10" t="n"/>
      <c r="AP597" s="10" t="n"/>
      <c r="AQ597" s="10" t="n"/>
    </row>
    <row r="598">
      <c r="A598" s="7" t="inlineStr">
        <is>
          <t>b5-0089</t>
        </is>
      </c>
      <c r="B598" s="7" t="inlineStr">
        <is>
          <t>Point</t>
        </is>
      </c>
      <c r="C598" s="7" t="n"/>
      <c r="D598" s="7" t="inlineStr">
        <is>
          <t>32 C.E., Festival of Tabernacles (or, Booths)</t>
        </is>
      </c>
      <c r="E598" s="7" t="inlineStr">
        <is>
          <t>கி.பி. 32, கூடாரப் பண்டிகை</t>
        </is>
      </c>
      <c r="F598" s="7" t="inlineStr">
        <is>
          <t>32 CE</t>
        </is>
      </c>
      <c r="G598" s="7" t="inlineStr">
        <is>
          <t>Exact</t>
        </is>
      </c>
      <c r="H598" s="7" t="n"/>
      <c r="I598" s="7" t="n"/>
      <c r="J598" s="7" t="n"/>
      <c r="K598" s="2" t="inlineStr">
        <is>
          <t>Teaches at the Festival; officers sent to arrest him</t>
        </is>
      </c>
      <c r="L598" s="2" t="inlineStr">
        <is>
          <t>பண்டிகையின்போது கற்பிக்கிறார்; கைது செய்வதற்கு அதிகாரிகள் அனுப்பப்படுகிறார்கள்</t>
        </is>
      </c>
      <c r="M598" s="7" t="inlineStr">
        <is>
          <t>Teaches at the Festival; officers sent to arrest him. The place is given as Jerusalem. NWT Study Edition Appendix A7-E (“Jesus’ Later Ministry in Judea”) dates this to 32 C.E., Festival of Tabernacles (or, Booths).</t>
        </is>
      </c>
      <c r="N598" s="7" t="inlineStr">
        <is>
          <t>பண்டிகையின்போது கற்பிக்கிறார்; கைது செய்வதற்கு அதிகாரிகள் அனுப்பப்படுகிறார்கள் — எருசலேம்</t>
        </is>
      </c>
      <c r="O598" s="8" t="inlineStr">
        <is>
          <t>Bible</t>
        </is>
      </c>
      <c r="P598" s="7" t="inlineStr">
        <is>
          <t>bible.jesus</t>
        </is>
      </c>
      <c r="Q598" s="7" t="inlineStr">
        <is>
          <t>teaching</t>
        </is>
      </c>
      <c r="R598" s="7" t="inlineStr">
        <is>
          <t>Jesus</t>
        </is>
      </c>
      <c r="S598" s="7" t="inlineStr">
        <is>
          <t>Jerusalem</t>
        </is>
      </c>
      <c r="T598" s="7" t="inlineStr">
        <is>
          <t>John 7:11-52</t>
        </is>
      </c>
      <c r="U598" s="7" t="inlineStr">
        <is>
          <t>யோவா 7:11-52</t>
        </is>
      </c>
      <c r="V598" s="7" t="n">
        <v>3</v>
      </c>
      <c r="W598" s="7" t="inlineStr">
        <is>
          <t>A7-E Main Events of Jesus’ Earthly Life—Jesus’ Great Ministry in Galilee (Part 3) and in Judea</t>
        </is>
      </c>
      <c r="X598" s="9" t="inlineStr">
        <is>
          <t>open</t>
        </is>
      </c>
      <c r="Y598" s="9" t="inlineStr">
        <is>
          <t>open</t>
        </is>
      </c>
      <c r="Z598" s="7" t="inlineStr">
        <is>
          <t>https://wol.jw.org/en/wol/d/r1/lp-e/1001070211
https://wol.jw.org/en/wol/d/r1/lp-e/1001061211
https://wol.jw.org/en/wol/d/r1/lp-e/1200002451</t>
        </is>
      </c>
      <c r="AA598" s="7" t="n">
        <v>1</v>
      </c>
      <c r="AB598" s="9" t="inlineStr">
        <is>
          <t>open</t>
        </is>
      </c>
      <c r="AC598" s="7" t="n">
        <v>1</v>
      </c>
      <c r="AD598" s="7" t="inlineStr">
        <is>
          <t>Wording in pre-2013 Insight chart (it-2 'Jesus Christ', par 596): “Jesus’ public teaching at Festival of Booths”.</t>
        </is>
      </c>
      <c r="AE598" s="7" t="n"/>
      <c r="AF598" s="7" t="n"/>
      <c r="AG598" s="7" t="n"/>
      <c r="AH598" s="7" t="n"/>
      <c r="AI598" s="7" t="n"/>
      <c r="AJ598" s="7" t="n"/>
      <c r="AK598" s="7" t="n"/>
      <c r="AL598" s="7" t="n"/>
      <c r="AM598" s="7" t="n">
        <v>32.75</v>
      </c>
      <c r="AN598" s="10" t="n"/>
      <c r="AO598" s="10" t="n"/>
      <c r="AP598" s="10" t="n"/>
      <c r="AQ598" s="10" t="n"/>
    </row>
    <row r="599">
      <c r="A599" s="7" t="inlineStr">
        <is>
          <t>b5-0090</t>
        </is>
      </c>
      <c r="B599" s="7" t="inlineStr">
        <is>
          <t>Point</t>
        </is>
      </c>
      <c r="C599" s="7" t="n"/>
      <c r="D599" s="7" t="inlineStr">
        <is>
          <t>32 C.E., Festival of Tabernacles (or, Booths)</t>
        </is>
      </c>
      <c r="E599" s="7" t="inlineStr">
        <is>
          <t>கி.பி. 32, கூடாரப் பண்டிகை</t>
        </is>
      </c>
      <c r="F599" s="7" t="inlineStr">
        <is>
          <t>32 CE</t>
        </is>
      </c>
      <c r="G599" s="7" t="inlineStr">
        <is>
          <t>Exact</t>
        </is>
      </c>
      <c r="H599" s="7" t="n"/>
      <c r="I599" s="7" t="n"/>
      <c r="J599" s="7" t="n"/>
      <c r="K599" s="2" t="inlineStr">
        <is>
          <t>Jesus says “I am the light of the world”</t>
        </is>
      </c>
      <c r="L599" s="2" t="inlineStr">
        <is>
          <t>“நான் இந்த உலகத்துக்கு ஒளி” என்று சொல்கிறார்</t>
        </is>
      </c>
      <c r="M599" s="7" t="inlineStr">
        <is>
          <t>Jesus says “I am the light of the world”. The place is given as Jerusalem. NWT Study Edition Appendix A7-E (“Jesus’ Later Ministry in Judea”) dates this to 32 C.E., Festival of Tabernacles (or, Booths); the source row combines it with related events (“Says “I am the light of the world”; heals man born blind”).</t>
        </is>
      </c>
      <c r="N599" s="7" t="inlineStr">
        <is>
          <t>“நான் இந்த உலகத்துக்கு ஒளி” என்று சொல்கிறார்; பிறவியிலேயே கண்தெரியாதவனைக் குணப்படுத்துகிறார் — எருசலேம்</t>
        </is>
      </c>
      <c r="O599" s="8" t="inlineStr">
        <is>
          <t>Bible</t>
        </is>
      </c>
      <c r="P599" s="7" t="inlineStr">
        <is>
          <t>bible.jesus</t>
        </is>
      </c>
      <c r="Q599" s="7" t="inlineStr">
        <is>
          <t>teaching</t>
        </is>
      </c>
      <c r="R599" s="7" t="inlineStr">
        <is>
          <t>Jesus</t>
        </is>
      </c>
      <c r="S599" s="7" t="inlineStr">
        <is>
          <t>Jerusalem</t>
        </is>
      </c>
      <c r="T599" s="7" t="inlineStr">
        <is>
          <t>John 8:12–9:41</t>
        </is>
      </c>
      <c r="U599" s="7" t="inlineStr">
        <is>
          <t>யோவா 8:12–9:41</t>
        </is>
      </c>
      <c r="V599" s="7" t="n">
        <v>3</v>
      </c>
      <c r="W599" s="7" t="inlineStr">
        <is>
          <t>A7-E Main Events of Jesus’ Earthly Life—Jesus’ Great Ministry in Galilee (Part 3) and in Judea</t>
        </is>
      </c>
      <c r="X599" s="9" t="inlineStr">
        <is>
          <t>open</t>
        </is>
      </c>
      <c r="Y599" s="9" t="inlineStr">
        <is>
          <t>open</t>
        </is>
      </c>
      <c r="Z599" s="7" t="inlineStr">
        <is>
          <t>https://wol.jw.org/en/wol/d/r1/lp-e/1001070211
https://wol.jw.org/en/wol/d/r1/lp-e/1001061211
https://wol.jw.org/en/wol/d/r1/lp-e/1200002451</t>
        </is>
      </c>
      <c r="AA599" s="7" t="n">
        <v>1</v>
      </c>
      <c r="AB599" s="9" t="inlineStr">
        <is>
          <t>open</t>
        </is>
      </c>
      <c r="AC599" s="7" t="n">
        <v>1</v>
      </c>
      <c r="AD599" s="7" t="inlineStr">
        <is>
          <t>Wording in pre-2013 Insight chart (it-2 'Jesus Christ', par 603): “Teaching after Festival; cures blind”.</t>
        </is>
      </c>
      <c r="AE599" s="7" t="n"/>
      <c r="AF599" s="7" t="n"/>
      <c r="AG599" s="7" t="n"/>
      <c r="AH599" s="7" t="n"/>
      <c r="AI599" s="7" t="n"/>
      <c r="AJ599" s="7" t="n"/>
      <c r="AK599" s="7" t="n"/>
      <c r="AL599" s="7" t="inlineStr">
        <is>
          <t>A7 row #65 split into 2 events; scripture references cover the whole source row.</t>
        </is>
      </c>
      <c r="AM599" s="7" t="n">
        <v>32.751</v>
      </c>
      <c r="AN599" s="10" t="n"/>
      <c r="AO599" s="10" t="n"/>
      <c r="AP599" s="10" t="n"/>
      <c r="AQ599" s="10" t="n"/>
    </row>
    <row r="600">
      <c r="A600" s="7" t="inlineStr">
        <is>
          <t>b5-0091</t>
        </is>
      </c>
      <c r="B600" s="7" t="inlineStr">
        <is>
          <t>Point</t>
        </is>
      </c>
      <c r="C600" s="7" t="n"/>
      <c r="D600" s="7" t="inlineStr">
        <is>
          <t>32 C.E., Festival of Tabernacles (or, Booths)</t>
        </is>
      </c>
      <c r="E600" s="7" t="inlineStr">
        <is>
          <t>கி.பி. 32, கூடாரப் பண்டிகை</t>
        </is>
      </c>
      <c r="F600" s="7" t="inlineStr">
        <is>
          <t>32 CE</t>
        </is>
      </c>
      <c r="G600" s="7" t="inlineStr">
        <is>
          <t>Exact</t>
        </is>
      </c>
      <c r="H600" s="7" t="n"/>
      <c r="I600" s="7" t="n"/>
      <c r="J600" s="7" t="n"/>
      <c r="K600" s="2" t="inlineStr">
        <is>
          <t>Jesus heals man born blind</t>
        </is>
      </c>
      <c r="L600" s="2" t="inlineStr">
        <is>
          <t>பிறவியிலேயே கண்தெரியாதவனைக் குணப்படுத்துகிறார்</t>
        </is>
      </c>
      <c r="M600" s="7" t="inlineStr">
        <is>
          <t>Jesus heals man born blind. The place is given as Jerusalem. NWT Study Edition Appendix A7-E (“Jesus’ Later Ministry in Judea”) dates this to 32 C.E., Festival of Tabernacles (or, Booths); the source row combines it with related events (“Says “I am the light of the world”; heals man born blind”).</t>
        </is>
      </c>
      <c r="N600" s="7" t="inlineStr">
        <is>
          <t>“நான் இந்த உலகத்துக்கு ஒளி” என்று சொல்கிறார்; பிறவியிலேயே கண்தெரியாதவனைக் குணப்படுத்துகிறார் — எருசலேம்</t>
        </is>
      </c>
      <c r="O600" s="8" t="inlineStr">
        <is>
          <t>Bible</t>
        </is>
      </c>
      <c r="P600" s="7" t="inlineStr">
        <is>
          <t>bible.jesus</t>
        </is>
      </c>
      <c r="Q600" s="7" t="inlineStr">
        <is>
          <t>miracle</t>
        </is>
      </c>
      <c r="R600" s="7" t="inlineStr">
        <is>
          <t>Jesus</t>
        </is>
      </c>
      <c r="S600" s="7" t="inlineStr">
        <is>
          <t>Jerusalem</t>
        </is>
      </c>
      <c r="T600" s="7" t="inlineStr">
        <is>
          <t>John 8:12–9:41</t>
        </is>
      </c>
      <c r="U600" s="7" t="inlineStr">
        <is>
          <t>யோவா 8:12–9:41</t>
        </is>
      </c>
      <c r="V600" s="7" t="n">
        <v>3</v>
      </c>
      <c r="W600" s="7" t="inlineStr">
        <is>
          <t>A7-E Main Events of Jesus’ Earthly Life—Jesus’ Great Ministry in Galilee (Part 3) and in Judea</t>
        </is>
      </c>
      <c r="X600" s="9" t="inlineStr">
        <is>
          <t>open</t>
        </is>
      </c>
      <c r="Y600" s="9" t="inlineStr">
        <is>
          <t>open</t>
        </is>
      </c>
      <c r="Z600" s="7" t="inlineStr">
        <is>
          <t>https://wol.jw.org/en/wol/d/r1/lp-e/1001070211
https://wol.jw.org/en/wol/d/r1/lp-e/1001061211
https://wol.jw.org/en/wol/d/r1/lp-e/1200002451</t>
        </is>
      </c>
      <c r="AA600" s="7" t="n">
        <v>1</v>
      </c>
      <c r="AB600" s="9" t="inlineStr">
        <is>
          <t>open</t>
        </is>
      </c>
      <c r="AC600" s="7" t="n">
        <v>1</v>
      </c>
      <c r="AD600" s="7" t="inlineStr">
        <is>
          <t>Wording in pre-2013 Insight chart (it-2 'Jesus Christ', par 603): “Teaching after Festival; cures blind”.</t>
        </is>
      </c>
      <c r="AE600" s="7" t="n"/>
      <c r="AF600" s="7" t="n"/>
      <c r="AG600" s="7" t="n"/>
      <c r="AH600" s="7" t="n"/>
      <c r="AI600" s="7" t="n"/>
      <c r="AJ600" s="7" t="n"/>
      <c r="AK600" s="7" t="n"/>
      <c r="AL600" s="7" t="inlineStr">
        <is>
          <t>A7 row #65 split into 2 events; scripture references cover the whole source row.</t>
        </is>
      </c>
      <c r="AM600" s="7" t="n">
        <v>32.752</v>
      </c>
      <c r="AN600" s="10" t="n"/>
      <c r="AO600" s="10" t="n"/>
      <c r="AP600" s="10" t="n"/>
      <c r="AQ600" s="10" t="n"/>
    </row>
    <row r="601">
      <c r="A601" s="7" t="inlineStr">
        <is>
          <t>b5-0092</t>
        </is>
      </c>
      <c r="B601" s="7" t="inlineStr">
        <is>
          <t>Point</t>
        </is>
      </c>
      <c r="C601" s="7" t="n"/>
      <c r="D601" s="7" t="inlineStr">
        <is>
          <t>32 C.E., Festival of Tabernacles (or, Booths)</t>
        </is>
      </c>
      <c r="E601" s="7" t="inlineStr">
        <is>
          <t>கி.பி. 32, கூடாரப் பண்டிகை</t>
        </is>
      </c>
      <c r="F601" s="7" t="inlineStr">
        <is>
          <t>32 CE</t>
        </is>
      </c>
      <c r="G601" s="7" t="inlineStr">
        <is>
          <t>Exact</t>
        </is>
      </c>
      <c r="H601" s="7" t="n"/>
      <c r="I601" s="7" t="n"/>
      <c r="J601" s="7" t="n"/>
      <c r="K601" s="2" t="inlineStr">
        <is>
          <t>Sends out the 70; they return joyful</t>
        </is>
      </c>
      <c r="L601" s="2" t="inlineStr">
        <is>
          <t>70 பேரை அனுப்புகிறார்; சந்தோஷமாகத் திரும்பி வருகிறார்கள்</t>
        </is>
      </c>
      <c r="M601" s="7" t="inlineStr">
        <is>
          <t>Sends out the 70; they return joyful. The place is given as Probably Judea. NWT Study Edition Appendix A7-E (“Jesus’ Later Ministry in Judea”) dates this to 32 C.E., Festival of Tabernacles (or, Booths).</t>
        </is>
      </c>
      <c r="N601" s="7" t="inlineStr">
        <is>
          <t>70 பேரை அனுப்புகிறார்; சந்தோஷமாகத் திரும்பி வருகிறார்கள் — ஒருவேளை யூதேயா</t>
        </is>
      </c>
      <c r="O601" s="8" t="inlineStr">
        <is>
          <t>Bible</t>
        </is>
      </c>
      <c r="P601" s="7" t="inlineStr">
        <is>
          <t>bible.jesus</t>
        </is>
      </c>
      <c r="Q601" s="7" t="inlineStr">
        <is>
          <t>preaching_tour</t>
        </is>
      </c>
      <c r="R601" s="7" t="inlineStr">
        <is>
          <t>Jesus</t>
        </is>
      </c>
      <c r="S601" s="7" t="inlineStr">
        <is>
          <t>Judea</t>
        </is>
      </c>
      <c r="T601" s="7" t="inlineStr">
        <is>
          <t>Luke 10:1-24</t>
        </is>
      </c>
      <c r="U601" s="7" t="inlineStr">
        <is>
          <t>லூக் 10:1-24</t>
        </is>
      </c>
      <c r="V601" s="7" t="n">
        <v>3</v>
      </c>
      <c r="W601" s="7" t="inlineStr">
        <is>
          <t>A7-E Main Events of Jesus’ Earthly Life—Jesus’ Great Ministry in Galilee (Part 3) and in Judea</t>
        </is>
      </c>
      <c r="X601" s="9" t="inlineStr">
        <is>
          <t>open</t>
        </is>
      </c>
      <c r="Y601" s="9" t="inlineStr">
        <is>
          <t>open</t>
        </is>
      </c>
      <c r="Z601" s="7" t="inlineStr">
        <is>
          <t>https://wol.jw.org/en/wol/d/r1/lp-e/1001070211
https://wol.jw.org/en/wol/d/r1/lp-e/1001061211
https://wol.jw.org/en/wol/d/r1/lp-e/1200002451</t>
        </is>
      </c>
      <c r="AA601" s="7" t="n">
        <v>1</v>
      </c>
      <c r="AB601" s="9" t="inlineStr">
        <is>
          <t>open</t>
        </is>
      </c>
      <c r="AC601" s="7" t="n">
        <v>1</v>
      </c>
      <c r="AD601" s="7" t="inlineStr">
        <is>
          <t>Wording in pre-2013 Insight chart (it-2 'Jesus Christ', par 610): “The 70 sent to preach; their return, report”.</t>
        </is>
      </c>
      <c r="AE601" s="7" t="n"/>
      <c r="AF601" s="7" t="n"/>
      <c r="AG601" s="7" t="n"/>
      <c r="AH601" s="7" t="n"/>
      <c r="AI601" s="7" t="n"/>
      <c r="AJ601" s="7" t="n"/>
      <c r="AK601" s="7" t="n"/>
      <c r="AL601" s="7" t="n"/>
      <c r="AM601" s="7" t="n">
        <v>32.753</v>
      </c>
      <c r="AN601" s="10" t="n"/>
      <c r="AO601" s="10" t="n"/>
      <c r="AP601" s="10" t="n"/>
      <c r="AQ601" s="10" t="n"/>
    </row>
    <row r="602">
      <c r="A602" s="7" t="inlineStr">
        <is>
          <t>b5-0093</t>
        </is>
      </c>
      <c r="B602" s="7" t="inlineStr">
        <is>
          <t>Point</t>
        </is>
      </c>
      <c r="C602" s="7" t="n"/>
      <c r="D602" s="7" t="inlineStr">
        <is>
          <t>32 C.E., Festival of Tabernacles (or, Booths)</t>
        </is>
      </c>
      <c r="E602" s="7" t="inlineStr">
        <is>
          <t>கி.பி. 32, கூடாரப் பண்டிகை</t>
        </is>
      </c>
      <c r="F602" s="7" t="inlineStr">
        <is>
          <t>32 CE</t>
        </is>
      </c>
      <c r="G602" s="7" t="inlineStr">
        <is>
          <t>Exact</t>
        </is>
      </c>
      <c r="H602" s="7" t="n"/>
      <c r="I602" s="7" t="n"/>
      <c r="J602" s="7" t="n"/>
      <c r="K602" s="2" t="inlineStr">
        <is>
          <t>Neighborly Samaritan illustration</t>
        </is>
      </c>
      <c r="L602" s="2" t="inlineStr">
        <is>
          <t>நல்ல சமாரியனின் உவமை</t>
        </is>
      </c>
      <c r="M602" s="7" t="inlineStr">
        <is>
          <t>Neighborly Samaritan illustration. The place is given as Judea; Bethany. NWT Study Edition Appendix A7-E (“Jesus’ Later Ministry in Judea”) dates this to 32 C.E., Festival of Tabernacles (or, Booths); the source row combines it with related events (“Neighborly Samaritan illustration; visits Mary and Martha’s home”).</t>
        </is>
      </c>
      <c r="N602" s="7" t="inlineStr">
        <is>
          <t>நல்ல சமாரியனின் உவமை; மரியாள் மற்றும் மார்த்தாளின் வீட்டுக்குப் போகிறார் — யூதேயா; பெத்தானியா</t>
        </is>
      </c>
      <c r="O602" s="8" t="inlineStr">
        <is>
          <t>Bible</t>
        </is>
      </c>
      <c r="P602" s="7" t="inlineStr">
        <is>
          <t>bible.jesus</t>
        </is>
      </c>
      <c r="Q602" s="7" t="inlineStr">
        <is>
          <t>parable</t>
        </is>
      </c>
      <c r="R602" s="7" t="inlineStr">
        <is>
          <t>Jesus</t>
        </is>
      </c>
      <c r="S602" s="7" t="inlineStr">
        <is>
          <t>Judea; Bethany</t>
        </is>
      </c>
      <c r="T602" s="7" t="inlineStr">
        <is>
          <t>Luke 10:25-42</t>
        </is>
      </c>
      <c r="U602" s="7" t="inlineStr">
        <is>
          <t>லூக் 10:25-42</t>
        </is>
      </c>
      <c r="V602" s="7" t="n">
        <v>3</v>
      </c>
      <c r="W602" s="7" t="inlineStr">
        <is>
          <t>A7-E Main Events of Jesus’ Earthly Life—Jesus’ Great Ministry in Galilee (Part 3) and in Judea</t>
        </is>
      </c>
      <c r="X602" s="9" t="inlineStr">
        <is>
          <t>open</t>
        </is>
      </c>
      <c r="Y602" s="9" t="inlineStr">
        <is>
          <t>open</t>
        </is>
      </c>
      <c r="Z602" s="7" t="inlineStr">
        <is>
          <t>https://wol.jw.org/en/wol/d/r1/lp-e/1001070211
https://wol.jw.org/en/wol/d/r1/lp-e/1001061211
https://wol.jw.org/en/wol/d/r1/lp-e/1200002451</t>
        </is>
      </c>
      <c r="AA602" s="7" t="n">
        <v>1</v>
      </c>
      <c r="AB602" s="9" t="inlineStr">
        <is>
          <t>open</t>
        </is>
      </c>
      <c r="AC602" s="7" t="n">
        <v>1</v>
      </c>
      <c r="AD602" s="7" t="inlineStr">
        <is>
          <t>Wording in pre-2013 Insight chart (it-2 'Jesus Christ', par 617): “Tells of neighborly Samaritan; at home of Martha, Mary”.</t>
        </is>
      </c>
      <c r="AE602" s="7" t="n"/>
      <c r="AF602" s="7" t="n"/>
      <c r="AG602" s="7" t="n"/>
      <c r="AH602" s="7" t="n"/>
      <c r="AI602" s="7" t="n"/>
      <c r="AJ602" s="7" t="n"/>
      <c r="AK602" s="7" t="n"/>
      <c r="AL602" s="7" t="inlineStr">
        <is>
          <t>A7 row #67 split into 2 events; scripture references cover the whole source row.</t>
        </is>
      </c>
      <c r="AM602" s="7" t="n">
        <v>32.754</v>
      </c>
      <c r="AN602" s="10" t="n"/>
      <c r="AO602" s="10" t="n"/>
      <c r="AP602" s="10" t="n"/>
      <c r="AQ602" s="10" t="n"/>
    </row>
    <row r="603">
      <c r="A603" s="7" t="inlineStr">
        <is>
          <t>b5-0094</t>
        </is>
      </c>
      <c r="B603" s="7" t="inlineStr">
        <is>
          <t>Point</t>
        </is>
      </c>
      <c r="C603" s="7" t="n"/>
      <c r="D603" s="7" t="inlineStr">
        <is>
          <t>32 C.E., Festival of Tabernacles (or, Booths)</t>
        </is>
      </c>
      <c r="E603" s="7" t="inlineStr">
        <is>
          <t>கி.பி. 32, கூடாரப் பண்டிகை</t>
        </is>
      </c>
      <c r="F603" s="7" t="inlineStr">
        <is>
          <t>32 CE</t>
        </is>
      </c>
      <c r="G603" s="7" t="inlineStr">
        <is>
          <t>Exact</t>
        </is>
      </c>
      <c r="H603" s="7" t="n"/>
      <c r="I603" s="7" t="n"/>
      <c r="J603" s="7" t="n"/>
      <c r="K603" s="2" t="inlineStr">
        <is>
          <t>Jesus visits Mary and Martha’s home</t>
        </is>
      </c>
      <c r="L603" s="2" t="inlineStr">
        <is>
          <t>மரியாள் மற்றும் மார்த்தாளின் வீட்டுக்குப் போகிறார்</t>
        </is>
      </c>
      <c r="M603" s="7" t="inlineStr">
        <is>
          <t>Jesus visits Mary and Martha’s home. The place is given as Judea; Bethany. NWT Study Edition Appendix A7-E (“Jesus’ Later Ministry in Judea”) dates this to 32 C.E., Festival of Tabernacles (or, Booths); the source row combines it with related events (“Neighborly Samaritan illustration; visits Mary and Martha’s home”).</t>
        </is>
      </c>
      <c r="N603" s="7" t="inlineStr">
        <is>
          <t>நல்ல சமாரியனின் உவமை; மரியாள் மற்றும் மார்த்தாளின் வீட்டுக்குப் போகிறார் — யூதேயா; பெத்தானியா</t>
        </is>
      </c>
      <c r="O603" s="8" t="inlineStr">
        <is>
          <t>Bible</t>
        </is>
      </c>
      <c r="P603" s="7" t="inlineStr">
        <is>
          <t>bible.jesus</t>
        </is>
      </c>
      <c r="Q603" s="7" t="inlineStr">
        <is>
          <t>journey</t>
        </is>
      </c>
      <c r="R603" s="7" t="inlineStr">
        <is>
          <t>Jesus; Mary; Martha</t>
        </is>
      </c>
      <c r="S603" s="7" t="inlineStr">
        <is>
          <t>Judea; Bethany</t>
        </is>
      </c>
      <c r="T603" s="7" t="inlineStr">
        <is>
          <t>Luke 10:25-42</t>
        </is>
      </c>
      <c r="U603" s="7" t="inlineStr">
        <is>
          <t>லூக் 10:25-42</t>
        </is>
      </c>
      <c r="V603" s="7" t="n">
        <v>3</v>
      </c>
      <c r="W603" s="7" t="inlineStr">
        <is>
          <t>A7-E Main Events of Jesus’ Earthly Life—Jesus’ Great Ministry in Galilee (Part 3) and in Judea</t>
        </is>
      </c>
      <c r="X603" s="9" t="inlineStr">
        <is>
          <t>open</t>
        </is>
      </c>
      <c r="Y603" s="9" t="inlineStr">
        <is>
          <t>open</t>
        </is>
      </c>
      <c r="Z603" s="7" t="inlineStr">
        <is>
          <t>https://wol.jw.org/en/wol/d/r1/lp-e/1001070211
https://wol.jw.org/en/wol/d/r1/lp-e/1001061211
https://wol.jw.org/en/wol/d/r1/lp-e/1200002451</t>
        </is>
      </c>
      <c r="AA603" s="7" t="n">
        <v>1</v>
      </c>
      <c r="AB603" s="9" t="inlineStr">
        <is>
          <t>open</t>
        </is>
      </c>
      <c r="AC603" s="7" t="n">
        <v>1</v>
      </c>
      <c r="AD603" s="7" t="inlineStr">
        <is>
          <t>Wording in pre-2013 Insight chart (it-2 'Jesus Christ', par 617): “Tells of neighborly Samaritan; at home of Martha, Mary”.</t>
        </is>
      </c>
      <c r="AE603" s="7" t="n"/>
      <c r="AF603" s="7" t="n"/>
      <c r="AG603" s="7" t="n"/>
      <c r="AH603" s="7" t="n"/>
      <c r="AI603" s="7" t="n"/>
      <c r="AJ603" s="7" t="n"/>
      <c r="AK603" s="7" t="n"/>
      <c r="AL603" s="7" t="inlineStr">
        <is>
          <t>A7 row #67 split into 2 events; scripture references cover the whole source row.</t>
        </is>
      </c>
      <c r="AM603" s="7" t="n">
        <v>32.755</v>
      </c>
      <c r="AN603" s="10" t="n"/>
      <c r="AO603" s="10" t="n"/>
      <c r="AP603" s="10" t="n"/>
      <c r="AQ603" s="10" t="n"/>
    </row>
    <row r="604">
      <c r="A604" s="7" t="inlineStr">
        <is>
          <t>b5-0095</t>
        </is>
      </c>
      <c r="B604" s="7" t="inlineStr">
        <is>
          <t>Point</t>
        </is>
      </c>
      <c r="C604" s="7" t="n"/>
      <c r="D604" s="7" t="inlineStr">
        <is>
          <t>32 C.E., Festival of Tabernacles (or, Booths)</t>
        </is>
      </c>
      <c r="E604" s="7" t="inlineStr">
        <is>
          <t>கி.பி. 32, கூடாரப் பண்டிகை</t>
        </is>
      </c>
      <c r="F604" s="7" t="inlineStr">
        <is>
          <t>32 CE</t>
        </is>
      </c>
      <c r="G604" s="7" t="inlineStr">
        <is>
          <t>Exact</t>
        </is>
      </c>
      <c r="H604" s="7" t="n"/>
      <c r="I604" s="7" t="n"/>
      <c r="J604" s="7" t="n"/>
      <c r="K604" s="2" t="inlineStr">
        <is>
          <t>Jesus teaches model prayer again</t>
        </is>
      </c>
      <c r="L604" s="2" t="inlineStr">
        <is>
          <t>மாதிரி ஜெபத்தை மறுபடியும் கற்றுக்கொடுக்கிறார்</t>
        </is>
      </c>
      <c r="M604" s="7" t="inlineStr">
        <is>
          <t>Jesus teaches model prayer again. The place is given as Probably Judea. NWT Study Edition Appendix A7-E (“Jesus’ Later Ministry in Judea”) dates this to 32 C.E., Festival of Tabernacles (or, Booths); the source row combines it with related events (“Teaches model prayer again; persistent friend illustration”).</t>
        </is>
      </c>
      <c r="N604" s="7" t="inlineStr">
        <is>
          <t>மாதிரி ஜெபத்தை மறுபடியும் கற்றுக்கொடுக்கிறார்; விடாப்பிடியாகக் கெஞ்சும் நண்பனின் உவமை — ஒருவேளை யூதேயா</t>
        </is>
      </c>
      <c r="O604" s="8" t="inlineStr">
        <is>
          <t>Bible</t>
        </is>
      </c>
      <c r="P604" s="7" t="inlineStr">
        <is>
          <t>bible.jesus</t>
        </is>
      </c>
      <c r="Q604" s="7" t="inlineStr">
        <is>
          <t>teaching</t>
        </is>
      </c>
      <c r="R604" s="7" t="inlineStr">
        <is>
          <t>Jesus</t>
        </is>
      </c>
      <c r="S604" s="7" t="inlineStr">
        <is>
          <t>Judea</t>
        </is>
      </c>
      <c r="T604" s="7" t="inlineStr">
        <is>
          <t>Luke 11:1-13</t>
        </is>
      </c>
      <c r="U604" s="7" t="inlineStr">
        <is>
          <t>லூக் 11:1-13</t>
        </is>
      </c>
      <c r="V604" s="7" t="n">
        <v>3</v>
      </c>
      <c r="W604" s="7" t="inlineStr">
        <is>
          <t>A7-E Main Events of Jesus’ Earthly Life—Jesus’ Great Ministry in Galilee (Part 3) and in Judea</t>
        </is>
      </c>
      <c r="X604" s="9" t="inlineStr">
        <is>
          <t>open</t>
        </is>
      </c>
      <c r="Y604" s="9" t="inlineStr">
        <is>
          <t>open</t>
        </is>
      </c>
      <c r="Z604" s="7" t="inlineStr">
        <is>
          <t>https://wol.jw.org/en/wol/d/r1/lp-e/1001070211
https://wol.jw.org/en/wol/d/r1/lp-e/1001061211
https://wol.jw.org/en/wol/d/r1/lp-e/1200002451</t>
        </is>
      </c>
      <c r="AA604" s="7" t="n">
        <v>1</v>
      </c>
      <c r="AB604" s="9" t="inlineStr">
        <is>
          <t>open</t>
        </is>
      </c>
      <c r="AC604" s="7" t="n">
        <v>1</v>
      </c>
      <c r="AD604" s="7" t="inlineStr">
        <is>
          <t>Wording in pre-2013 Insight chart (it-2 'Jesus Christ', par 624): “Again teaches model prayer; persistence in asking”.</t>
        </is>
      </c>
      <c r="AE604" s="7" t="n"/>
      <c r="AF604" s="7" t="n"/>
      <c r="AG604" s="7" t="n"/>
      <c r="AH604" s="7" t="n"/>
      <c r="AI604" s="7" t="n"/>
      <c r="AJ604" s="7" t="n"/>
      <c r="AK604" s="7" t="n"/>
      <c r="AL604" s="7" t="inlineStr">
        <is>
          <t>A7 row #68 split into 2 events; scripture references cover the whole source row.</t>
        </is>
      </c>
      <c r="AM604" s="7" t="n">
        <v>32.756</v>
      </c>
      <c r="AN604" s="10" t="n"/>
      <c r="AO604" s="10" t="n"/>
      <c r="AP604" s="10" t="n"/>
      <c r="AQ604" s="10" t="n"/>
    </row>
    <row r="605">
      <c r="A605" s="7" t="inlineStr">
        <is>
          <t>b5-0096</t>
        </is>
      </c>
      <c r="B605" s="7" t="inlineStr">
        <is>
          <t>Point</t>
        </is>
      </c>
      <c r="C605" s="7" t="n"/>
      <c r="D605" s="7" t="inlineStr">
        <is>
          <t>32 C.E., Festival of Tabernacles (or, Booths)</t>
        </is>
      </c>
      <c r="E605" s="7" t="inlineStr">
        <is>
          <t>கி.பி. 32, கூடாரப் பண்டிகை</t>
        </is>
      </c>
      <c r="F605" s="7" t="inlineStr">
        <is>
          <t>32 CE</t>
        </is>
      </c>
      <c r="G605" s="7" t="inlineStr">
        <is>
          <t>Exact</t>
        </is>
      </c>
      <c r="H605" s="7" t="n"/>
      <c r="I605" s="7" t="n"/>
      <c r="J605" s="7" t="n"/>
      <c r="K605" s="2" t="inlineStr">
        <is>
          <t>Persistent friend illustration</t>
        </is>
      </c>
      <c r="L605" s="2" t="inlineStr">
        <is>
          <t>விடாப்பிடியாகக் கெஞ்சும் நண்பனின் உவமை</t>
        </is>
      </c>
      <c r="M605" s="7" t="inlineStr">
        <is>
          <t>Persistent friend illustration. The place is given as Probably Judea. NWT Study Edition Appendix A7-E (“Jesus’ Later Ministry in Judea”) dates this to 32 C.E., Festival of Tabernacles (or, Booths); the source row combines it with related events (“Teaches model prayer again; persistent friend illustration”).</t>
        </is>
      </c>
      <c r="N605" s="7" t="inlineStr">
        <is>
          <t>மாதிரி ஜெபத்தை மறுபடியும் கற்றுக்கொடுக்கிறார்; விடாப்பிடியாகக் கெஞ்சும் நண்பனின் உவமை — ஒருவேளை யூதேயா</t>
        </is>
      </c>
      <c r="O605" s="8" t="inlineStr">
        <is>
          <t>Bible</t>
        </is>
      </c>
      <c r="P605" s="7" t="inlineStr">
        <is>
          <t>bible.jesus</t>
        </is>
      </c>
      <c r="Q605" s="7" t="inlineStr">
        <is>
          <t>parable</t>
        </is>
      </c>
      <c r="R605" s="7" t="inlineStr">
        <is>
          <t>Jesus</t>
        </is>
      </c>
      <c r="S605" s="7" t="inlineStr">
        <is>
          <t>Judea</t>
        </is>
      </c>
      <c r="T605" s="7" t="inlineStr">
        <is>
          <t>Luke 11:1-13</t>
        </is>
      </c>
      <c r="U605" s="7" t="inlineStr">
        <is>
          <t>லூக் 11:1-13</t>
        </is>
      </c>
      <c r="V605" s="7" t="n">
        <v>3</v>
      </c>
      <c r="W605" s="7" t="inlineStr">
        <is>
          <t>A7-E Main Events of Jesus’ Earthly Life—Jesus’ Great Ministry in Galilee (Part 3) and in Judea</t>
        </is>
      </c>
      <c r="X605" s="9" t="inlineStr">
        <is>
          <t>open</t>
        </is>
      </c>
      <c r="Y605" s="9" t="inlineStr">
        <is>
          <t>open</t>
        </is>
      </c>
      <c r="Z605" s="7" t="inlineStr">
        <is>
          <t>https://wol.jw.org/en/wol/d/r1/lp-e/1001070211
https://wol.jw.org/en/wol/d/r1/lp-e/1001061211
https://wol.jw.org/en/wol/d/r1/lp-e/1200002451</t>
        </is>
      </c>
      <c r="AA605" s="7" t="n">
        <v>1</v>
      </c>
      <c r="AB605" s="9" t="inlineStr">
        <is>
          <t>open</t>
        </is>
      </c>
      <c r="AC605" s="7" t="n">
        <v>1</v>
      </c>
      <c r="AD605" s="7" t="inlineStr">
        <is>
          <t>Wording in pre-2013 Insight chart (it-2 'Jesus Christ', par 624): “Again teaches model prayer; persistence in asking”.</t>
        </is>
      </c>
      <c r="AE605" s="7" t="n"/>
      <c r="AF605" s="7" t="n"/>
      <c r="AG605" s="7" t="n"/>
      <c r="AH605" s="7" t="n"/>
      <c r="AI605" s="7" t="n"/>
      <c r="AJ605" s="7" t="n"/>
      <c r="AK605" s="7" t="n"/>
      <c r="AL605" s="7" t="inlineStr">
        <is>
          <t>A7 row #68 split into 2 events; scripture references cover the whole source row.</t>
        </is>
      </c>
      <c r="AM605" s="7" t="n">
        <v>32.757</v>
      </c>
      <c r="AN605" s="10" t="n"/>
      <c r="AO605" s="10" t="n"/>
      <c r="AP605" s="10" t="n"/>
      <c r="AQ605" s="10" t="n"/>
    </row>
    <row r="606">
      <c r="A606" s="7" t="inlineStr">
        <is>
          <t>b5-0097</t>
        </is>
      </c>
      <c r="B606" s="7" t="inlineStr">
        <is>
          <t>Point</t>
        </is>
      </c>
      <c r="C606" s="7" t="n"/>
      <c r="D606" s="7" t="inlineStr">
        <is>
          <t>32 C.E., Festival of Tabernacles (or, Booths)</t>
        </is>
      </c>
      <c r="E606" s="7" t="inlineStr">
        <is>
          <t>கி.பி. 32, கூடாரப் பண்டிகை</t>
        </is>
      </c>
      <c r="F606" s="7" t="inlineStr">
        <is>
          <t>32 CE</t>
        </is>
      </c>
      <c r="G606" s="7" t="inlineStr">
        <is>
          <t>Exact</t>
        </is>
      </c>
      <c r="H606" s="7" t="n"/>
      <c r="I606" s="7" t="n"/>
      <c r="J606" s="7" t="n"/>
      <c r="K606" s="2" t="inlineStr">
        <is>
          <t>Expels demons by God’s finger; again gives only sign of Jonah</t>
        </is>
      </c>
      <c r="L606" s="2" t="inlineStr">
        <is>
          <t>கடவுளின் சக்தியால் பேய்களைத் துரத்துகிறார்; மறுபடியும் யோனாவின் அடையாளத்தை மட்டும் கொடுக்கிறார்</t>
        </is>
      </c>
      <c r="M606" s="7" t="inlineStr">
        <is>
          <t>Expels demons by God’s finger; again gives only sign of Jonah. The place is given as Probably Judea. NWT Study Edition Appendix A7-E (“Jesus’ Later Ministry in Judea”) dates this to 32 C.E., Festival of Tabernacles (or, Booths).</t>
        </is>
      </c>
      <c r="N606" s="7" t="inlineStr">
        <is>
          <t>கடவுளின் சக்தியால் பேய்களைத் துரத்துகிறார்; மறுபடியும் யோனாவின் அடையாளத்தை மட்டும் கொடுக்கிறார் — ஒருவேளை யூதேயா</t>
        </is>
      </c>
      <c r="O606" s="8" t="inlineStr">
        <is>
          <t>Bible</t>
        </is>
      </c>
      <c r="P606" s="7" t="inlineStr">
        <is>
          <t>bible.jesus</t>
        </is>
      </c>
      <c r="Q606" s="7" t="inlineStr">
        <is>
          <t>miracle</t>
        </is>
      </c>
      <c r="R606" s="7" t="inlineStr">
        <is>
          <t>Jesus</t>
        </is>
      </c>
      <c r="S606" s="7" t="inlineStr">
        <is>
          <t>Judea</t>
        </is>
      </c>
      <c r="T606" s="7" t="inlineStr">
        <is>
          <t>Luke 11:14-36</t>
        </is>
      </c>
      <c r="U606" s="7" t="inlineStr">
        <is>
          <t>லூக் 11:14-36</t>
        </is>
      </c>
      <c r="V606" s="7" t="n">
        <v>3</v>
      </c>
      <c r="W606" s="7" t="inlineStr">
        <is>
          <t>A7-E Main Events of Jesus’ Earthly Life—Jesus’ Great Ministry in Galilee (Part 3) and in Judea</t>
        </is>
      </c>
      <c r="X606" s="9" t="inlineStr">
        <is>
          <t>open</t>
        </is>
      </c>
      <c r="Y606" s="9" t="inlineStr">
        <is>
          <t>open</t>
        </is>
      </c>
      <c r="Z606" s="7" t="inlineStr">
        <is>
          <t>https://wol.jw.org/en/wol/d/r1/lp-e/1001070211
https://wol.jw.org/en/wol/d/r1/lp-e/1001061211
https://wol.jw.org/en/wol/d/r1/lp-e/1200002451</t>
        </is>
      </c>
      <c r="AA606" s="7" t="n">
        <v>1</v>
      </c>
      <c r="AB606" s="9" t="inlineStr">
        <is>
          <t>open</t>
        </is>
      </c>
      <c r="AC606" s="7" t="n">
        <v>1</v>
      </c>
      <c r="AD606" s="7" t="inlineStr">
        <is>
          <t>Wording in pre-2013 Insight chart (it-2 'Jesus Christ', par 631): “Refutes false charge; shows generation condemnable”.</t>
        </is>
      </c>
      <c r="AE606" s="7" t="n"/>
      <c r="AF606" s="7" t="n"/>
      <c r="AG606" s="7" t="n"/>
      <c r="AH606" s="7" t="n"/>
      <c r="AI606" s="7" t="n"/>
      <c r="AJ606" s="7" t="n"/>
      <c r="AK606" s="7" t="n"/>
      <c r="AL606" s="7" t="n"/>
      <c r="AM606" s="7" t="n">
        <v>32.758</v>
      </c>
      <c r="AN606" s="10" t="n"/>
      <c r="AO606" s="10" t="n"/>
      <c r="AP606" s="10" t="n"/>
      <c r="AQ606" s="10" t="n"/>
    </row>
    <row r="607">
      <c r="A607" s="7" t="inlineStr">
        <is>
          <t>b5-0098</t>
        </is>
      </c>
      <c r="B607" s="7" t="inlineStr">
        <is>
          <t>Point</t>
        </is>
      </c>
      <c r="C607" s="7" t="n"/>
      <c r="D607" s="7" t="inlineStr">
        <is>
          <t>32 C.E., Festival of Tabernacles (or, Booths)</t>
        </is>
      </c>
      <c r="E607" s="7" t="inlineStr">
        <is>
          <t>கி.பி. 32, கூடாரப் பண்டிகை</t>
        </is>
      </c>
      <c r="F607" s="7" t="inlineStr">
        <is>
          <t>32 CE</t>
        </is>
      </c>
      <c r="G607" s="7" t="inlineStr">
        <is>
          <t>Exact</t>
        </is>
      </c>
      <c r="H607" s="7" t="n"/>
      <c r="I607" s="7" t="n"/>
      <c r="J607" s="7" t="n"/>
      <c r="K607" s="2" t="inlineStr">
        <is>
          <t>Dines with Pharisee; condemns hypocrisy of Pharisees</t>
        </is>
      </c>
      <c r="L607" s="2" t="inlineStr">
        <is>
          <t>பரிசேயர்களோடு சாப்பிடுகிறார்; பரிசேயர்களின் வெளிவேஷத்தைக் கண்டனம் செய்கிறார்</t>
        </is>
      </c>
      <c r="M607" s="7" t="inlineStr">
        <is>
          <t>Dines with Pharisee; condemns hypocrisy of Pharisees. The place is given as Probably Judea. NWT Study Edition Appendix A7-E (“Jesus’ Later Ministry in Judea”) dates this to 32 C.E., Festival of Tabernacles (or, Booths).</t>
        </is>
      </c>
      <c r="N607" s="7" t="inlineStr">
        <is>
          <t>பரிசேயர்களோடு சாப்பிடுகிறார்; பரிசேயர்களின் வெளிவேஷத்தைக் கண்டனம் செய்கிறார் — ஒருவேளை யூதேயா</t>
        </is>
      </c>
      <c r="O607" s="8" t="inlineStr">
        <is>
          <t>Bible</t>
        </is>
      </c>
      <c r="P607" s="7" t="inlineStr">
        <is>
          <t>bible.jesus</t>
        </is>
      </c>
      <c r="Q607" s="7" t="inlineStr">
        <is>
          <t>teaching</t>
        </is>
      </c>
      <c r="R607" s="7" t="inlineStr">
        <is>
          <t>Jesus</t>
        </is>
      </c>
      <c r="S607" s="7" t="inlineStr">
        <is>
          <t>Judea</t>
        </is>
      </c>
      <c r="T607" s="7" t="inlineStr">
        <is>
          <t>Luke 11:37-54</t>
        </is>
      </c>
      <c r="U607" s="7" t="inlineStr">
        <is>
          <t>லூக் 11:37-54</t>
        </is>
      </c>
      <c r="V607" s="7" t="n">
        <v>3</v>
      </c>
      <c r="W607" s="7" t="inlineStr">
        <is>
          <t>A7-E Main Events of Jesus’ Earthly Life—Jesus’ Great Ministry in Galilee (Part 3) and in Judea</t>
        </is>
      </c>
      <c r="X607" s="9" t="inlineStr">
        <is>
          <t>open</t>
        </is>
      </c>
      <c r="Y607" s="9" t="inlineStr">
        <is>
          <t>open</t>
        </is>
      </c>
      <c r="Z607" s="7" t="inlineStr">
        <is>
          <t>https://wol.jw.org/en/wol/d/r1/lp-e/1001070211
https://wol.jw.org/en/wol/d/r1/lp-e/1001061211
https://wol.jw.org/en/wol/d/r1/lp-e/1200002451</t>
        </is>
      </c>
      <c r="AA607" s="7" t="n">
        <v>1</v>
      </c>
      <c r="AB607" s="9" t="inlineStr">
        <is>
          <t>open</t>
        </is>
      </c>
      <c r="AC607" s="7" t="n">
        <v>1</v>
      </c>
      <c r="AD607" s="7" t="inlineStr">
        <is>
          <t>Wording in pre-2013 Insight chart (it-2 'Jesus Christ', par 638): “At Pharisee’s table, Jesus denounces hypocrites”.</t>
        </is>
      </c>
      <c r="AE607" s="7" t="n"/>
      <c r="AF607" s="7" t="n"/>
      <c r="AG607" s="7" t="n"/>
      <c r="AH607" s="7" t="n"/>
      <c r="AI607" s="7" t="n"/>
      <c r="AJ607" s="7" t="n"/>
      <c r="AK607" s="7" t="n"/>
      <c r="AL607" s="7" t="n"/>
      <c r="AM607" s="7" t="n">
        <v>32.759</v>
      </c>
      <c r="AN607" s="10" t="n"/>
      <c r="AO607" s="10" t="n"/>
      <c r="AP607" s="10" t="n"/>
      <c r="AQ607" s="10" t="n"/>
    </row>
    <row r="608">
      <c r="A608" s="7" t="inlineStr">
        <is>
          <t>b5-0099</t>
        </is>
      </c>
      <c r="B608" s="7" t="inlineStr">
        <is>
          <t>Point</t>
        </is>
      </c>
      <c r="C608" s="7" t="n"/>
      <c r="D608" s="7" t="inlineStr">
        <is>
          <t>32 C.E., Festival of Tabernacles (or, Booths)</t>
        </is>
      </c>
      <c r="E608" s="7" t="inlineStr">
        <is>
          <t>கி.பி. 32, கூடாரப் பண்டிகை</t>
        </is>
      </c>
      <c r="F608" s="7" t="inlineStr">
        <is>
          <t>32 CE</t>
        </is>
      </c>
      <c r="G608" s="7" t="inlineStr">
        <is>
          <t>Exact</t>
        </is>
      </c>
      <c r="H608" s="7" t="n"/>
      <c r="I608" s="7" t="n"/>
      <c r="J608" s="7" t="n"/>
      <c r="K608" s="2" t="inlineStr">
        <is>
          <t>Illustrations: unreasonable rich man and the faithful steward</t>
        </is>
      </c>
      <c r="L608" s="2" t="inlineStr">
        <is>
          <t>உவமைகள்: புத்தியில்லாத பணக்காரன், உண்மையுள்ள நிர்வாகி</t>
        </is>
      </c>
      <c r="M608" s="7" t="inlineStr">
        <is>
          <t>Illustrations: unreasonable rich man and the faithful steward. The place is given as Probably Judea. NWT Study Edition Appendix A7-E (“Jesus’ Later Ministry in Judea”) dates this to 32 C.E., Festival of Tabernacles (or, Booths).</t>
        </is>
      </c>
      <c r="N608" s="7" t="inlineStr">
        <is>
          <t>உவமைகள்: புத்தியில்லாத பணக்காரன், உண்மையுள்ள நிர்வாகி — ஒருவேளை யூதேயா</t>
        </is>
      </c>
      <c r="O608" s="8" t="inlineStr">
        <is>
          <t>Bible</t>
        </is>
      </c>
      <c r="P608" s="7" t="inlineStr">
        <is>
          <t>bible.jesus</t>
        </is>
      </c>
      <c r="Q608" s="7" t="inlineStr">
        <is>
          <t>parable</t>
        </is>
      </c>
      <c r="R608" s="7" t="inlineStr">
        <is>
          <t>Jesus</t>
        </is>
      </c>
      <c r="S608" s="7" t="inlineStr">
        <is>
          <t>Judea</t>
        </is>
      </c>
      <c r="T608" s="7" t="inlineStr">
        <is>
          <t>Luke 12:1-59</t>
        </is>
      </c>
      <c r="U608" s="7" t="inlineStr">
        <is>
          <t>லூக் 12:1-59</t>
        </is>
      </c>
      <c r="V608" s="7" t="n">
        <v>3</v>
      </c>
      <c r="W608" s="7" t="inlineStr">
        <is>
          <t>A7-E Main Events of Jesus’ Earthly Life—Jesus’ Great Ministry in Galilee (Part 3) and in Judea</t>
        </is>
      </c>
      <c r="X608" s="9" t="inlineStr">
        <is>
          <t>open</t>
        </is>
      </c>
      <c r="Y608" s="9" t="inlineStr">
        <is>
          <t>open</t>
        </is>
      </c>
      <c r="Z608" s="7" t="inlineStr">
        <is>
          <t>https://wol.jw.org/en/wol/d/r1/lp-e/1001070211
https://wol.jw.org/en/wol/d/r1/lp-e/1001061211
https://wol.jw.org/en/wol/d/r1/lp-e/1200002451</t>
        </is>
      </c>
      <c r="AA608" s="7" t="n">
        <v>1</v>
      </c>
      <c r="AB608" s="9" t="inlineStr">
        <is>
          <t>open</t>
        </is>
      </c>
      <c r="AC608" s="7" t="n">
        <v>1</v>
      </c>
      <c r="AD608" s="7" t="inlineStr">
        <is>
          <t>Wording in pre-2013 Insight chart (it-2 'Jesus Christ', par 645): “Discourse on God’s care; faithful steward”.</t>
        </is>
      </c>
      <c r="AE608" s="7" t="n"/>
      <c r="AF608" s="7" t="n"/>
      <c r="AG608" s="7" t="n"/>
      <c r="AH608" s="7" t="n"/>
      <c r="AI608" s="7" t="n"/>
      <c r="AJ608" s="7" t="n"/>
      <c r="AK608" s="7" t="n"/>
      <c r="AL608" s="7" t="n"/>
      <c r="AM608" s="7" t="n">
        <v>32.76</v>
      </c>
      <c r="AN608" s="10" t="n"/>
      <c r="AO608" s="10" t="n"/>
      <c r="AP608" s="10" t="n"/>
      <c r="AQ608" s="10" t="n"/>
    </row>
    <row r="609">
      <c r="A609" s="7" t="inlineStr">
        <is>
          <t>b5-0100</t>
        </is>
      </c>
      <c r="B609" s="7" t="inlineStr">
        <is>
          <t>Point</t>
        </is>
      </c>
      <c r="C609" s="7" t="n"/>
      <c r="D609" s="7" t="inlineStr">
        <is>
          <t>32 C.E., Festival of Tabernacles (or, Booths)</t>
        </is>
      </c>
      <c r="E609" s="7" t="inlineStr">
        <is>
          <t>கி.பி. 32, கூடாரப் பண்டிகை</t>
        </is>
      </c>
      <c r="F609" s="7" t="inlineStr">
        <is>
          <t>32 CE</t>
        </is>
      </c>
      <c r="G609" s="7" t="inlineStr">
        <is>
          <t>Exact</t>
        </is>
      </c>
      <c r="H609" s="7" t="n"/>
      <c r="I609" s="7" t="n"/>
      <c r="J609" s="7" t="n"/>
      <c r="K609" s="2" t="inlineStr">
        <is>
          <t>Jesus heals crippled woman on the Sabbath</t>
        </is>
      </c>
      <c r="L609" s="2" t="inlineStr">
        <is>
          <t>கூன்விழுந்த பெண்ணை ஓய்வுநாளில் குணப்படுத்துகிறார்</t>
        </is>
      </c>
      <c r="M609" s="7" t="inlineStr">
        <is>
          <t>Jesus heals crippled woman on the Sabbath. The place is given as Probably Judea. NWT Study Edition Appendix A7-E (“Jesus’ Later Ministry in Judea”) dates this to 32 C.E., Festival of Tabernacles (or, Booths); the source row combines it with related events (“Heals crippled woman on the Sabbath; mustard grain and leaven illustrations”).</t>
        </is>
      </c>
      <c r="N609" s="7" t="inlineStr">
        <is>
          <t>கூன்விழுந்த பெண்ணை ஓய்வுநாளில் குணப்படுத்துகிறார்; உவமைகள்: கடுகு விதை, புளித்த மாவு — ஒருவேளை யூதேயா</t>
        </is>
      </c>
      <c r="O609" s="8" t="inlineStr">
        <is>
          <t>Bible</t>
        </is>
      </c>
      <c r="P609" s="7" t="inlineStr">
        <is>
          <t>bible.jesus</t>
        </is>
      </c>
      <c r="Q609" s="7" t="inlineStr">
        <is>
          <t>miracle</t>
        </is>
      </c>
      <c r="R609" s="7" t="inlineStr">
        <is>
          <t>Jesus</t>
        </is>
      </c>
      <c r="S609" s="7" t="inlineStr">
        <is>
          <t>Judea</t>
        </is>
      </c>
      <c r="T609" s="7" t="inlineStr">
        <is>
          <t>Luke 13:1-21</t>
        </is>
      </c>
      <c r="U609" s="7" t="inlineStr">
        <is>
          <t>லூக் 13:1-21</t>
        </is>
      </c>
      <c r="V609" s="7" t="n">
        <v>3</v>
      </c>
      <c r="W609" s="7" t="inlineStr">
        <is>
          <t>A7-E Main Events of Jesus’ Earthly Life—Jesus’ Great Ministry in Galilee (Part 3) and in Judea</t>
        </is>
      </c>
      <c r="X609" s="9" t="inlineStr">
        <is>
          <t>open</t>
        </is>
      </c>
      <c r="Y609" s="9" t="inlineStr">
        <is>
          <t>open</t>
        </is>
      </c>
      <c r="Z609" s="7" t="inlineStr">
        <is>
          <t>https://wol.jw.org/en/wol/d/r1/lp-e/1001070211
https://wol.jw.org/en/wol/d/r1/lp-e/1001061211
https://wol.jw.org/en/wol/d/r1/lp-e/1200002451</t>
        </is>
      </c>
      <c r="AA609" s="7" t="n">
        <v>1</v>
      </c>
      <c r="AB609" s="9" t="inlineStr">
        <is>
          <t>open</t>
        </is>
      </c>
      <c r="AC609" s="7" t="n">
        <v>1</v>
      </c>
      <c r="AD609" s="7" t="inlineStr">
        <is>
          <t>Wording in pre-2013 Insight chart (it-2 'Jesus Christ', par 652): “Heals crippled woman on Sabbath; three illustrations”.</t>
        </is>
      </c>
      <c r="AE609" s="7" t="n"/>
      <c r="AF609" s="7" t="n"/>
      <c r="AG609" s="7" t="n"/>
      <c r="AH609" s="7" t="n"/>
      <c r="AI609" s="7" t="n"/>
      <c r="AJ609" s="7" t="n"/>
      <c r="AK609" s="7" t="n"/>
      <c r="AL609" s="7" t="inlineStr">
        <is>
          <t>A7 row #72 split into 2 events; scripture references cover the whole source row.</t>
        </is>
      </c>
      <c r="AM609" s="7" t="n">
        <v>32.761</v>
      </c>
      <c r="AN609" s="10" t="n"/>
      <c r="AO609" s="10" t="n"/>
      <c r="AP609" s="10" t="n"/>
      <c r="AQ609" s="10" t="n"/>
    </row>
    <row r="610">
      <c r="A610" s="7" t="inlineStr">
        <is>
          <t>b5-0101</t>
        </is>
      </c>
      <c r="B610" s="7" t="inlineStr">
        <is>
          <t>Point</t>
        </is>
      </c>
      <c r="C610" s="7" t="n"/>
      <c r="D610" s="7" t="inlineStr">
        <is>
          <t>32 C.E., Festival of Tabernacles (or, Booths)</t>
        </is>
      </c>
      <c r="E610" s="7" t="inlineStr">
        <is>
          <t>கி.பி. 32, கூடாரப் பண்டிகை</t>
        </is>
      </c>
      <c r="F610" s="7" t="inlineStr">
        <is>
          <t>32 CE</t>
        </is>
      </c>
      <c r="G610" s="7" t="inlineStr">
        <is>
          <t>Exact</t>
        </is>
      </c>
      <c r="H610" s="7" t="n"/>
      <c r="I610" s="7" t="n"/>
      <c r="J610" s="7" t="n"/>
      <c r="K610" s="2" t="inlineStr">
        <is>
          <t>Mustard grain and leaven illustrations</t>
        </is>
      </c>
      <c r="L610" s="2" t="inlineStr">
        <is>
          <t>உவமைகள்: கடுகு விதை, புளித்த மாவு</t>
        </is>
      </c>
      <c r="M610" s="7" t="inlineStr">
        <is>
          <t>Mustard grain and leaven illustrations. The place is given as Probably Judea. NWT Study Edition Appendix A7-E (“Jesus’ Later Ministry in Judea”) dates this to 32 C.E., Festival of Tabernacles (or, Booths); the source row combines it with related events (“Heals crippled woman on the Sabbath; mustard grain and leaven illustrations”).</t>
        </is>
      </c>
      <c r="N610" s="7" t="inlineStr">
        <is>
          <t>கூன்விழுந்த பெண்ணை ஓய்வுநாளில் குணப்படுத்துகிறார்; உவமைகள்: கடுகு விதை, புளித்த மாவு — ஒருவேளை யூதேயா</t>
        </is>
      </c>
      <c r="O610" s="8" t="inlineStr">
        <is>
          <t>Bible</t>
        </is>
      </c>
      <c r="P610" s="7" t="inlineStr">
        <is>
          <t>bible.jesus</t>
        </is>
      </c>
      <c r="Q610" s="7" t="inlineStr">
        <is>
          <t>parable</t>
        </is>
      </c>
      <c r="R610" s="7" t="inlineStr">
        <is>
          <t>Jesus</t>
        </is>
      </c>
      <c r="S610" s="7" t="inlineStr">
        <is>
          <t>Judea</t>
        </is>
      </c>
      <c r="T610" s="7" t="inlineStr">
        <is>
          <t>Luke 13:1-21</t>
        </is>
      </c>
      <c r="U610" s="7" t="inlineStr">
        <is>
          <t>லூக் 13:1-21</t>
        </is>
      </c>
      <c r="V610" s="7" t="n">
        <v>3</v>
      </c>
      <c r="W610" s="7" t="inlineStr">
        <is>
          <t>A7-E Main Events of Jesus’ Earthly Life—Jesus’ Great Ministry in Galilee (Part 3) and in Judea</t>
        </is>
      </c>
      <c r="X610" s="9" t="inlineStr">
        <is>
          <t>open</t>
        </is>
      </c>
      <c r="Y610" s="9" t="inlineStr">
        <is>
          <t>open</t>
        </is>
      </c>
      <c r="Z610" s="7" t="inlineStr">
        <is>
          <t>https://wol.jw.org/en/wol/d/r1/lp-e/1001070211
https://wol.jw.org/en/wol/d/r1/lp-e/1001061211
https://wol.jw.org/en/wol/d/r1/lp-e/1200002451</t>
        </is>
      </c>
      <c r="AA610" s="7" t="n">
        <v>1</v>
      </c>
      <c r="AB610" s="9" t="inlineStr">
        <is>
          <t>open</t>
        </is>
      </c>
      <c r="AC610" s="7" t="n">
        <v>1</v>
      </c>
      <c r="AD610" s="7" t="inlineStr">
        <is>
          <t>Wording in pre-2013 Insight chart (it-2 'Jesus Christ', par 652): “Heals crippled woman on Sabbath; three illustrations”.</t>
        </is>
      </c>
      <c r="AE610" s="7" t="n"/>
      <c r="AF610" s="7" t="n"/>
      <c r="AG610" s="7" t="n"/>
      <c r="AH610" s="7" t="n"/>
      <c r="AI610" s="7" t="n"/>
      <c r="AJ610" s="7" t="n"/>
      <c r="AK610" s="7" t="n"/>
      <c r="AL610" s="7" t="inlineStr">
        <is>
          <t>A7 row #72 split into 2 events; scripture references cover the whole source row.</t>
        </is>
      </c>
      <c r="AM610" s="7" t="n">
        <v>32.762</v>
      </c>
      <c r="AN610" s="10" t="n"/>
      <c r="AO610" s="10" t="n"/>
      <c r="AP610" s="10" t="n"/>
      <c r="AQ610" s="10" t="n"/>
    </row>
    <row r="611">
      <c r="A611" s="7" t="inlineStr">
        <is>
          <t>b5-0102</t>
        </is>
      </c>
      <c r="B611" s="7" t="inlineStr">
        <is>
          <t>Point</t>
        </is>
      </c>
      <c r="C611" s="7" t="n"/>
      <c r="D611" s="7" t="inlineStr">
        <is>
          <t>32 C.E., Festival of Dedication</t>
        </is>
      </c>
      <c r="E611" s="7" t="inlineStr">
        <is>
          <t>கி.பி. 32, ஆலய அர்ப்பணப் பண்டிகை</t>
        </is>
      </c>
      <c r="F611" s="7" t="inlineStr">
        <is>
          <t>32 CE</t>
        </is>
      </c>
      <c r="G611" s="7" t="inlineStr">
        <is>
          <t>Exact</t>
        </is>
      </c>
      <c r="H611" s="7" t="n"/>
      <c r="I611" s="7" t="n"/>
      <c r="J611" s="7" t="n"/>
      <c r="K611" s="2" t="inlineStr">
        <is>
          <t>Fine shepherd and sheepfold illustration</t>
        </is>
      </c>
      <c r="L611" s="2" t="inlineStr">
        <is>
          <t>உவமைகள்: நல்ல மேய்ப்பர், ஆட்டுத்தொழுவம்</t>
        </is>
      </c>
      <c r="M611" s="7" t="inlineStr">
        <is>
          <t>Fine shepherd and sheepfold illustration. The place is given as Jerusalem. NWT Study Edition Appendix A7-E (“Jesus’ Later Ministry in Judea”) dates this to 32 C.E., Festival of Dedication; the source row combines it with related events (“Fine shepherd and sheepfold illustration; Jews try to stone him; leaves for Bethany across Jordan”).</t>
        </is>
      </c>
      <c r="N611" s="7" t="inlineStr">
        <is>
          <t>உவமைகள்: நல்ல மேய்ப்பர், ஆட்டுத்தொழுவம்; அவர்மேல் கல்லெறிய யூதர்கள் முயற்சி செய்கிறார்கள்; யோர்தானுக்கு அக்கரையில் உள்ள பெத்தானியாவுக்குப் போகிறார் — எருசலேம்</t>
        </is>
      </c>
      <c r="O611" s="8" t="inlineStr">
        <is>
          <t>Bible</t>
        </is>
      </c>
      <c r="P611" s="7" t="inlineStr">
        <is>
          <t>bible.jesus</t>
        </is>
      </c>
      <c r="Q611" s="7" t="inlineStr">
        <is>
          <t>parable</t>
        </is>
      </c>
      <c r="R611" s="7" t="inlineStr">
        <is>
          <t>Jesus</t>
        </is>
      </c>
      <c r="S611" s="7" t="inlineStr">
        <is>
          <t>Jerusalem</t>
        </is>
      </c>
      <c r="T611" s="7" t="inlineStr">
        <is>
          <t>John 10:1-39</t>
        </is>
      </c>
      <c r="U611" s="7" t="inlineStr">
        <is>
          <t>யோவா 10:1-39</t>
        </is>
      </c>
      <c r="V611" s="7" t="n">
        <v>3</v>
      </c>
      <c r="W611" s="7" t="inlineStr">
        <is>
          <t>A7-E Main Events of Jesus’ Earthly Life—Jesus’ Great Ministry in Galilee (Part 3) and in Judea</t>
        </is>
      </c>
      <c r="X611" s="9" t="inlineStr">
        <is>
          <t>open</t>
        </is>
      </c>
      <c r="Y611" s="9" t="inlineStr">
        <is>
          <t>open</t>
        </is>
      </c>
      <c r="Z611" s="7" t="inlineStr">
        <is>
          <t>https://wol.jw.org/en/wol/d/r1/lp-e/1001070211
https://wol.jw.org/en/wol/d/r1/lp-e/1001061211
https://wol.jw.org/en/wol/d/r1/lp-e/1200002451</t>
        </is>
      </c>
      <c r="AA611" s="7" t="n">
        <v>1</v>
      </c>
      <c r="AB611" s="9" t="inlineStr">
        <is>
          <t>open</t>
        </is>
      </c>
      <c r="AC611" s="7" t="n">
        <v>1</v>
      </c>
      <c r="AD611" s="7" t="inlineStr">
        <is>
          <t>Wording in pre-2013 Insight chart (it-2 'Jesus Christ', par 659): “Jesus at Festival of Dedication; Fine Shepherd”.</t>
        </is>
      </c>
      <c r="AE611" s="7" t="n"/>
      <c r="AF611" s="7" t="n"/>
      <c r="AG611" s="7" t="n"/>
      <c r="AH611" s="7" t="n"/>
      <c r="AI611" s="7" t="n"/>
      <c r="AJ611" s="7" t="n"/>
      <c r="AK611" s="7" t="n"/>
      <c r="AL611" s="7" t="inlineStr">
        <is>
          <t>A7 row #73 split into 3 events; scripture references cover the whole source row.</t>
        </is>
      </c>
      <c r="AM611" s="7" t="n">
        <v>32.95</v>
      </c>
      <c r="AN611" s="10" t="n"/>
      <c r="AO611" s="10" t="n"/>
      <c r="AP611" s="10" t="n"/>
      <c r="AQ611" s="10" t="n"/>
    </row>
    <row r="612">
      <c r="A612" s="7" t="inlineStr">
        <is>
          <t>b5-0103</t>
        </is>
      </c>
      <c r="B612" s="7" t="inlineStr">
        <is>
          <t>Point</t>
        </is>
      </c>
      <c r="C612" s="7" t="n"/>
      <c r="D612" s="7" t="inlineStr">
        <is>
          <t>32 C.E., Festival of Dedication</t>
        </is>
      </c>
      <c r="E612" s="7" t="inlineStr">
        <is>
          <t>கி.பி. 32, ஆலய அர்ப்பணப் பண்டிகை</t>
        </is>
      </c>
      <c r="F612" s="7" t="inlineStr">
        <is>
          <t>32 CE</t>
        </is>
      </c>
      <c r="G612" s="7" t="inlineStr">
        <is>
          <t>Exact</t>
        </is>
      </c>
      <c r="H612" s="7" t="n"/>
      <c r="I612" s="7" t="n"/>
      <c r="J612" s="7" t="n"/>
      <c r="K612" s="2" t="inlineStr">
        <is>
          <t>Jews try to stone Jesus</t>
        </is>
      </c>
      <c r="L612" s="2" t="inlineStr">
        <is>
          <t>அவர்மேல் கல்லெறிய யூதர்கள் முயற்சி செய்கிறார்கள்</t>
        </is>
      </c>
      <c r="M612" s="7" t="inlineStr">
        <is>
          <t>Jews try to stone Jesus. The place is given as Jerusalem. NWT Study Edition Appendix A7-E (“Jesus’ Later Ministry in Judea”) dates this to 32 C.E., Festival of Dedication; the source row combines it with related events (“Fine shepherd and sheepfold illustration; Jews try to stone him; leaves for Bethany across Jordan”).</t>
        </is>
      </c>
      <c r="N612" s="7" t="inlineStr">
        <is>
          <t>உவமைகள்: நல்ல மேய்ப்பர், ஆட்டுத்தொழுவம்; அவர்மேல் கல்லெறிய யூதர்கள் முயற்சி செய்கிறார்கள்; யோர்தானுக்கு அக்கரையில் உள்ள பெத்தானியாவுக்குப் போகிறார் — எருசலேம்</t>
        </is>
      </c>
      <c r="O612" s="8" t="inlineStr">
        <is>
          <t>Bible</t>
        </is>
      </c>
      <c r="P612" s="7" t="inlineStr">
        <is>
          <t>bible.jesus</t>
        </is>
      </c>
      <c r="Q612" s="7" t="inlineStr">
        <is>
          <t>persecution</t>
        </is>
      </c>
      <c r="R612" s="7" t="inlineStr">
        <is>
          <t>Jesus</t>
        </is>
      </c>
      <c r="S612" s="7" t="inlineStr">
        <is>
          <t>Jerusalem</t>
        </is>
      </c>
      <c r="T612" s="7" t="inlineStr">
        <is>
          <t>John 10:1-39</t>
        </is>
      </c>
      <c r="U612" s="7" t="inlineStr">
        <is>
          <t>யோவா 10:1-39</t>
        </is>
      </c>
      <c r="V612" s="7" t="n">
        <v>3</v>
      </c>
      <c r="W612" s="7" t="inlineStr">
        <is>
          <t>A7-E Main Events of Jesus’ Earthly Life—Jesus’ Great Ministry in Galilee (Part 3) and in Judea</t>
        </is>
      </c>
      <c r="X612" s="9" t="inlineStr">
        <is>
          <t>open</t>
        </is>
      </c>
      <c r="Y612" s="9" t="inlineStr">
        <is>
          <t>open</t>
        </is>
      </c>
      <c r="Z612" s="7" t="inlineStr">
        <is>
          <t>https://wol.jw.org/en/wol/d/r1/lp-e/1001070211
https://wol.jw.org/en/wol/d/r1/lp-e/1001061211
https://wol.jw.org/en/wol/d/r1/lp-e/1200002451</t>
        </is>
      </c>
      <c r="AA612" s="7" t="n">
        <v>1</v>
      </c>
      <c r="AB612" s="9" t="inlineStr">
        <is>
          <t>open</t>
        </is>
      </c>
      <c r="AC612" s="7" t="n">
        <v>1</v>
      </c>
      <c r="AD612" s="7" t="inlineStr">
        <is>
          <t>Wording in pre-2013 Insight chart (it-2 'Jesus Christ', par 659): “Jesus at Festival of Dedication; Fine Shepherd”.</t>
        </is>
      </c>
      <c r="AE612" s="7" t="n"/>
      <c r="AF612" s="7" t="n"/>
      <c r="AG612" s="7" t="n"/>
      <c r="AH612" s="7" t="n"/>
      <c r="AI612" s="7" t="n"/>
      <c r="AJ612" s="7" t="n"/>
      <c r="AK612" s="7" t="n"/>
      <c r="AL612" s="7" t="inlineStr">
        <is>
          <t>A7 row #73 split into 3 events; scripture references cover the whole source row.</t>
        </is>
      </c>
      <c r="AM612" s="7" t="n">
        <v>32.951</v>
      </c>
      <c r="AN612" s="10" t="n"/>
      <c r="AO612" s="10" t="n"/>
      <c r="AP612" s="10" t="n"/>
      <c r="AQ612" s="10" t="n"/>
    </row>
    <row r="613">
      <c r="A613" s="7" t="inlineStr">
        <is>
          <t>b5-0104</t>
        </is>
      </c>
      <c r="B613" s="7" t="inlineStr">
        <is>
          <t>Point</t>
        </is>
      </c>
      <c r="C613" s="7" t="n"/>
      <c r="D613" s="7" t="inlineStr">
        <is>
          <t>32 C.E., Festival of Dedication</t>
        </is>
      </c>
      <c r="E613" s="7" t="inlineStr">
        <is>
          <t>கி.பி. 32, ஆலய அர்ப்பணப் பண்டிகை</t>
        </is>
      </c>
      <c r="F613" s="7" t="inlineStr">
        <is>
          <t>32 CE</t>
        </is>
      </c>
      <c r="G613" s="7" t="inlineStr">
        <is>
          <t>Exact</t>
        </is>
      </c>
      <c r="H613" s="7" t="n"/>
      <c r="I613" s="7" t="n"/>
      <c r="J613" s="7" t="n"/>
      <c r="K613" s="2" t="inlineStr">
        <is>
          <t>Jesus leaves for Bethany across Jordan</t>
        </is>
      </c>
      <c r="L613" s="2" t="inlineStr">
        <is>
          <t>யோர்தானுக்கு அக்கரையில் உள்ள பெத்தானியாவுக்குப் போகிறார்</t>
        </is>
      </c>
      <c r="M613" s="7" t="inlineStr">
        <is>
          <t>Jesus leaves for Bethany across Jordan. The place is given as Jerusalem. NWT Study Edition Appendix A7-E (“Jesus’ Later Ministry in Judea”) dates this to 32 C.E., Festival of Dedication; the source row combines it with related events (“Fine shepherd and sheepfold illustration; Jews try to stone him; leaves for Bethany across Jordan”).</t>
        </is>
      </c>
      <c r="N613" s="7" t="inlineStr">
        <is>
          <t>உவமைகள்: நல்ல மேய்ப்பர், ஆட்டுத்தொழுவம்; அவர்மேல் கல்லெறிய யூதர்கள் முயற்சி செய்கிறார்கள்; யோர்தானுக்கு அக்கரையில் உள்ள பெத்தானியாவுக்குப் போகிறார் — எருசலேம்</t>
        </is>
      </c>
      <c r="O613" s="8" t="inlineStr">
        <is>
          <t>Bible</t>
        </is>
      </c>
      <c r="P613" s="7" t="inlineStr">
        <is>
          <t>bible.jesus</t>
        </is>
      </c>
      <c r="Q613" s="7" t="inlineStr">
        <is>
          <t>journey</t>
        </is>
      </c>
      <c r="R613" s="7" t="inlineStr">
        <is>
          <t>Jesus</t>
        </is>
      </c>
      <c r="S613" s="7" t="inlineStr">
        <is>
          <t>Jerusalem</t>
        </is>
      </c>
      <c r="T613" s="7" t="inlineStr">
        <is>
          <t>John 10:1-39</t>
        </is>
      </c>
      <c r="U613" s="7" t="inlineStr">
        <is>
          <t>யோவா 10:1-39</t>
        </is>
      </c>
      <c r="V613" s="7" t="n">
        <v>3</v>
      </c>
      <c r="W613" s="7" t="inlineStr">
        <is>
          <t>A7-E Main Events of Jesus’ Earthly Life—Jesus’ Great Ministry in Galilee (Part 3) and in Judea</t>
        </is>
      </c>
      <c r="X613" s="9" t="inlineStr">
        <is>
          <t>open</t>
        </is>
      </c>
      <c r="Y613" s="9" t="inlineStr">
        <is>
          <t>open</t>
        </is>
      </c>
      <c r="Z613" s="7" t="inlineStr">
        <is>
          <t>https://wol.jw.org/en/wol/d/r1/lp-e/1001070211
https://wol.jw.org/en/wol/d/r1/lp-e/1001061211
https://wol.jw.org/en/wol/d/r1/lp-e/1200002451</t>
        </is>
      </c>
      <c r="AA613" s="7" t="n">
        <v>1</v>
      </c>
      <c r="AB613" s="9" t="inlineStr">
        <is>
          <t>open</t>
        </is>
      </c>
      <c r="AC613" s="7" t="n">
        <v>1</v>
      </c>
      <c r="AD613" s="7" t="inlineStr">
        <is>
          <t>Wording in pre-2013 Insight chart (it-2 'Jesus Christ', par 659): “Jesus at Festival of Dedication; Fine Shepherd”.</t>
        </is>
      </c>
      <c r="AE613" s="7" t="n"/>
      <c r="AF613" s="7" t="n"/>
      <c r="AG613" s="7" t="n"/>
      <c r="AH613" s="7" t="n"/>
      <c r="AI613" s="7" t="n"/>
      <c r="AJ613" s="7" t="n"/>
      <c r="AK613" s="7" t="n"/>
      <c r="AL613" s="7" t="inlineStr">
        <is>
          <t>A7 row #73 split into 3 events; scripture references cover the whole source row.</t>
        </is>
      </c>
      <c r="AM613" s="7" t="n">
        <v>32.952</v>
      </c>
      <c r="AN613" s="10" t="n"/>
      <c r="AO613" s="10" t="n"/>
      <c r="AP613" s="10" t="n"/>
      <c r="AQ613" s="10" t="n"/>
    </row>
    <row r="614">
      <c r="A614" s="7" t="inlineStr">
        <is>
          <t>b5-0105</t>
        </is>
      </c>
      <c r="B614" s="7" t="inlineStr">
        <is>
          <t>Point</t>
        </is>
      </c>
      <c r="C614" s="7" t="n"/>
      <c r="D614" s="7" t="inlineStr">
        <is>
          <t>32 C.E., after Festival of Dedication</t>
        </is>
      </c>
      <c r="E614" s="7" t="inlineStr">
        <is>
          <t>கி.பி. 32, ஆலய அர்ப்பணப் பண்டிகைக்குப் பின்பு</t>
        </is>
      </c>
      <c r="F614" s="7" t="inlineStr">
        <is>
          <t>32 CE</t>
        </is>
      </c>
      <c r="G614" s="7" t="inlineStr">
        <is>
          <t>After (a.)</t>
        </is>
      </c>
      <c r="H614" s="7" t="n"/>
      <c r="I614" s="7" t="n"/>
      <c r="J614" s="7" t="n"/>
      <c r="K614" s="2" t="inlineStr">
        <is>
          <t>Goes to where John was baptizing; many put faith in Jesus</t>
        </is>
      </c>
      <c r="L614" s="2" t="inlineStr">
        <is>
          <t>யோவான் ஞானஸ்நானம் கொடுத்த இடத்துக்குப் போகிறார்; நிறைய பேர் இயேசுமேல் விசுவாசம் வைக்கிறார்கள்</t>
        </is>
      </c>
      <c r="M614" s="7" t="inlineStr">
        <is>
          <t>Goes to where John was baptizing; many put faith in Jesus. The place is given as Bethany across Jordan. NWT Study Edition Appendix A7-F (“Jesus’ Later Ministry East of the Jordan”) dates this to 32 C.E., after Festival of Dedication.</t>
        </is>
      </c>
      <c r="N614" s="7" t="inlineStr">
        <is>
          <t>யோவான் ஞானஸ்நானம் கொடுத்த இடத்துக்குப் போகிறார்; நிறைய பேர் இயேசுமேல் விசுவாசம் வைக்கிறார்கள் — யோர்தானுக்கு அக்கரையிலுள்ள பெத்தானியா</t>
        </is>
      </c>
      <c r="O614" s="8" t="inlineStr">
        <is>
          <t>Bible</t>
        </is>
      </c>
      <c r="P614" s="7" t="inlineStr">
        <is>
          <t>bible.jesus</t>
        </is>
      </c>
      <c r="Q614" s="7" t="inlineStr">
        <is>
          <t>journey</t>
        </is>
      </c>
      <c r="R614" s="7" t="inlineStr">
        <is>
          <t>Jesus; John the Baptist</t>
        </is>
      </c>
      <c r="S614" s="7" t="inlineStr">
        <is>
          <t>Bethany across Jordan</t>
        </is>
      </c>
      <c r="T614" s="7" t="inlineStr">
        <is>
          <t>John 10:40-42</t>
        </is>
      </c>
      <c r="U614" s="7" t="inlineStr">
        <is>
          <t>யோவா 10:40-42</t>
        </is>
      </c>
      <c r="V614" s="7" t="n">
        <v>3</v>
      </c>
      <c r="W614" s="7" t="inlineStr">
        <is>
          <t>A7-F Main Events of Jesus’ Earthly Life—Jesus’ Later Ministry East of the Jordan</t>
        </is>
      </c>
      <c r="X614" s="9" t="inlineStr">
        <is>
          <t>open</t>
        </is>
      </c>
      <c r="Y614" s="9" t="inlineStr">
        <is>
          <t>open</t>
        </is>
      </c>
      <c r="Z614" s="7" t="inlineStr">
        <is>
          <t>https://wol.jw.org/en/wol/d/r1/lp-e/1001070212
https://wol.jw.org/en/wol/d/r1/lp-e/1001061212
https://wol.jw.org/en/wol/d/r1/lp-e/1200002451</t>
        </is>
      </c>
      <c r="AA614" s="7" t="n">
        <v>2</v>
      </c>
      <c r="AB614" s="9" t="inlineStr">
        <is>
          <t>open</t>
        </is>
      </c>
      <c r="AC614" s="7" t="n">
        <v>2</v>
      </c>
      <c r="AD614" s="7" t="inlineStr">
        <is>
          <t>Place wording differs: Insight chart has “Beyond Jordan”; A7-F has “Bethany across Jordan”. | Wording in pre-2013 Insight chart (it-2 'Jesus Christ', par 674): “Many put faith in Jesus”.</t>
        </is>
      </c>
      <c r="AE614" s="7" t="n"/>
      <c r="AF614" s="7" t="n"/>
      <c r="AG614" s="7" t="n"/>
      <c r="AH614" s="7" t="n"/>
      <c r="AI614" s="7" t="n"/>
      <c r="AJ614" s="7" t="n"/>
      <c r="AK614" s="7" t="n"/>
      <c r="AL614" s="7" t="n"/>
      <c r="AM614" s="7" t="n">
        <v>32.96</v>
      </c>
      <c r="AN614" s="10" t="n"/>
      <c r="AO614" s="10" t="n"/>
      <c r="AP614" s="10" t="n"/>
      <c r="AQ614" s="10" t="n"/>
    </row>
    <row r="615">
      <c r="A615" s="7" t="inlineStr">
        <is>
          <t>b5-0106</t>
        </is>
      </c>
      <c r="B615" s="7" t="inlineStr">
        <is>
          <t>Point</t>
        </is>
      </c>
      <c r="C615" s="7" t="n"/>
      <c r="D615" s="7" t="inlineStr">
        <is>
          <t>32 C.E., after Festival of Dedication</t>
        </is>
      </c>
      <c r="E615" s="7" t="inlineStr">
        <is>
          <t>கி.பி. 32, ஆலய அர்ப்பணப் பண்டிகைக்குப் பின்பு</t>
        </is>
      </c>
      <c r="F615" s="7" t="inlineStr">
        <is>
          <t>32 CE</t>
        </is>
      </c>
      <c r="G615" s="7" t="inlineStr">
        <is>
          <t>After (a.)</t>
        </is>
      </c>
      <c r="H615" s="7" t="n"/>
      <c r="I615" s="7" t="n"/>
      <c r="J615" s="7" t="n"/>
      <c r="K615" s="2" t="inlineStr">
        <is>
          <t>Teaches in cities and villages, traveling toward Jerusalem</t>
        </is>
      </c>
      <c r="L615" s="2" t="inlineStr">
        <is>
          <t>நகரங்களிலும் கிராமங்களிலும் கற்றுக்கொடுக்கிறார், எருசலேமை நோக்கிப் போகிறார்</t>
        </is>
      </c>
      <c r="M615" s="7" t="inlineStr">
        <is>
          <t>Teaches in cities and villages, traveling toward Jerusalem. The place is given as Perea. NWT Study Edition Appendix A7-F (“Jesus’ Later Ministry East of the Jordan”) dates this to 32 C.E., after Festival of Dedication.</t>
        </is>
      </c>
      <c r="N615" s="7" t="inlineStr">
        <is>
          <t>நகரங்களிலும் கிராமங்களிலும் கற்றுக்கொடுக்கிறார், எருசலேமை நோக்கிப் போகிறார் — பெரேயா</t>
        </is>
      </c>
      <c r="O615" s="8" t="inlineStr">
        <is>
          <t>Bible</t>
        </is>
      </c>
      <c r="P615" s="7" t="inlineStr">
        <is>
          <t>bible.jesus</t>
        </is>
      </c>
      <c r="Q615" s="7" t="inlineStr">
        <is>
          <t>preaching</t>
        </is>
      </c>
      <c r="R615" s="7" t="inlineStr">
        <is>
          <t>Jesus</t>
        </is>
      </c>
      <c r="S615" s="7" t="inlineStr">
        <is>
          <t>Perea</t>
        </is>
      </c>
      <c r="T615" s="7" t="inlineStr">
        <is>
          <t>Luke 13:22</t>
        </is>
      </c>
      <c r="U615" s="7" t="inlineStr">
        <is>
          <t>லூக் 13:22</t>
        </is>
      </c>
      <c r="V615" s="7" t="n">
        <v>3</v>
      </c>
      <c r="W615" s="7" t="inlineStr">
        <is>
          <t>A7-F Main Events of Jesus’ Earthly Life—Jesus’ Later Ministry East of the Jordan</t>
        </is>
      </c>
      <c r="X615" s="9" t="inlineStr">
        <is>
          <t>open</t>
        </is>
      </c>
      <c r="Y615" s="9" t="inlineStr">
        <is>
          <t>open</t>
        </is>
      </c>
      <c r="Z615" s="7" t="inlineStr">
        <is>
          <t>https://wol.jw.org/en/wol/d/r1/lp-e/1001070212
https://wol.jw.org/en/wol/d/r1/lp-e/1001061212
https://wol.jw.org/en/wol/d/r1/lp-e/1200002451</t>
        </is>
      </c>
      <c r="AA615" s="7" t="n">
        <v>1</v>
      </c>
      <c r="AB615" s="9" t="inlineStr">
        <is>
          <t>open</t>
        </is>
      </c>
      <c r="AC615" s="7" t="n">
        <v>2</v>
      </c>
      <c r="AD615" s="7" t="inlineStr">
        <is>
          <t>Place wording differs: Insight chart has “Perea (beyond Jordan)”; A7-F has “Perea”. | Wording in pre-2013 Insight chart (it-2 'Jesus Christ', par 681): “Teaches in cities, villages, moving toward Jerusalem”.</t>
        </is>
      </c>
      <c r="AE615" s="7" t="n"/>
      <c r="AF615" s="7" t="n"/>
      <c r="AG615" s="7" t="n"/>
      <c r="AH615" s="7" t="n"/>
      <c r="AI615" s="7" t="n"/>
      <c r="AJ615" s="7" t="n"/>
      <c r="AK615" s="7" t="n"/>
      <c r="AL615" s="7" t="n"/>
      <c r="AM615" s="7" t="n">
        <v>32.961</v>
      </c>
      <c r="AN615" s="10" t="n"/>
      <c r="AO615" s="10" t="n"/>
      <c r="AP615" s="10" t="n"/>
      <c r="AQ615" s="10" t="n"/>
    </row>
    <row r="616">
      <c r="A616" s="7" t="inlineStr">
        <is>
          <t>b5-0107</t>
        </is>
      </c>
      <c r="B616" s="7" t="inlineStr">
        <is>
          <t>Point</t>
        </is>
      </c>
      <c r="C616" s="7" t="n"/>
      <c r="D616" s="7" t="inlineStr">
        <is>
          <t>32 C.E., after Festival of Dedication</t>
        </is>
      </c>
      <c r="E616" s="7" t="inlineStr">
        <is>
          <t>கி.பி. 32, ஆலய அர்ப்பணப் பண்டிகைக்குப் பின்பு</t>
        </is>
      </c>
      <c r="F616" s="7" t="inlineStr">
        <is>
          <t>32 CE</t>
        </is>
      </c>
      <c r="G616" s="7" t="inlineStr">
        <is>
          <t>After (a.)</t>
        </is>
      </c>
      <c r="H616" s="7" t="n"/>
      <c r="I616" s="7" t="n"/>
      <c r="J616" s="7" t="n"/>
      <c r="K616" s="2" t="inlineStr">
        <is>
          <t>Jesus urges to enter narrow door</t>
        </is>
      </c>
      <c r="L616" s="2" t="inlineStr">
        <is>
          <t>இடுக்கமான கதவு வழியாகப் போகச் சொல்கிறார்</t>
        </is>
      </c>
      <c r="M616" s="7" t="inlineStr">
        <is>
          <t>Jesus urges to enter narrow door. The place is given as Perea. NWT Study Edition Appendix A7-F (“Jesus’ Later Ministry East of the Jordan”) dates this to 32 C.E., after Festival of Dedication; the source row combines it with related events (“Urges to enter narrow door; laments over Jerusalem”).</t>
        </is>
      </c>
      <c r="N616" s="7" t="inlineStr">
        <is>
          <t>இடுக்கமான கதவு வழியாகப் போகச் சொல்கிறார்; எருசலேமுக்காகப் புலம்புகிறார் — பெரேயா</t>
        </is>
      </c>
      <c r="O616" s="8" t="inlineStr">
        <is>
          <t>Bible</t>
        </is>
      </c>
      <c r="P616" s="7" t="inlineStr">
        <is>
          <t>bible.jesus</t>
        </is>
      </c>
      <c r="Q616" s="7" t="inlineStr">
        <is>
          <t>teaching</t>
        </is>
      </c>
      <c r="R616" s="7" t="inlineStr">
        <is>
          <t>Jesus</t>
        </is>
      </c>
      <c r="S616" s="7" t="inlineStr">
        <is>
          <t>Perea</t>
        </is>
      </c>
      <c r="T616" s="7" t="inlineStr">
        <is>
          <t>Luke 13:23-35</t>
        </is>
      </c>
      <c r="U616" s="7" t="inlineStr">
        <is>
          <t>லூக் 13:23-35</t>
        </is>
      </c>
      <c r="V616" s="7" t="n">
        <v>3</v>
      </c>
      <c r="W616" s="7" t="inlineStr">
        <is>
          <t>A7-F Main Events of Jesus’ Earthly Life—Jesus’ Later Ministry East of the Jordan</t>
        </is>
      </c>
      <c r="X616" s="9" t="inlineStr">
        <is>
          <t>open</t>
        </is>
      </c>
      <c r="Y616" s="9" t="inlineStr">
        <is>
          <t>open</t>
        </is>
      </c>
      <c r="Z616" s="7" t="inlineStr">
        <is>
          <t>https://wol.jw.org/en/wol/d/r1/lp-e/1001070212
https://wol.jw.org/en/wol/d/r1/lp-e/1001061212
https://wol.jw.org/en/wol/d/r1/lp-e/1200002451</t>
        </is>
      </c>
      <c r="AA616" s="7" t="n">
        <v>1</v>
      </c>
      <c r="AB616" s="9" t="inlineStr">
        <is>
          <t>open</t>
        </is>
      </c>
      <c r="AC616" s="7" t="n">
        <v>1</v>
      </c>
      <c r="AD616" s="7" t="inlineStr">
        <is>
          <t>Wording in pre-2013 Insight chart (it-2 'Jesus Christ', par 688): “Kingdom entrance; Herod’s threat; house desolate”.</t>
        </is>
      </c>
      <c r="AE616" s="7" t="n"/>
      <c r="AF616" s="7" t="n"/>
      <c r="AG616" s="7" t="n"/>
      <c r="AH616" s="7" t="n"/>
      <c r="AI616" s="7" t="n"/>
      <c r="AJ616" s="7" t="n"/>
      <c r="AK616" s="7" t="n"/>
      <c r="AL616" s="7" t="inlineStr">
        <is>
          <t>A7 row #76 split into 2 events; scripture references cover the whole source row.</t>
        </is>
      </c>
      <c r="AM616" s="7" t="n">
        <v>32.962</v>
      </c>
      <c r="AN616" s="10" t="n"/>
      <c r="AO616" s="10" t="n"/>
      <c r="AP616" s="10" t="n"/>
      <c r="AQ616" s="10" t="n"/>
    </row>
    <row r="617">
      <c r="A617" s="7" t="inlineStr">
        <is>
          <t>b5-0108</t>
        </is>
      </c>
      <c r="B617" s="7" t="inlineStr">
        <is>
          <t>Point</t>
        </is>
      </c>
      <c r="C617" s="7" t="n"/>
      <c r="D617" s="7" t="inlineStr">
        <is>
          <t>32 C.E., after Festival of Dedication</t>
        </is>
      </c>
      <c r="E617" s="7" t="inlineStr">
        <is>
          <t>கி.பி. 32, ஆலய அர்ப்பணப் பண்டிகைக்குப் பின்பு</t>
        </is>
      </c>
      <c r="F617" s="7" t="inlineStr">
        <is>
          <t>32 CE</t>
        </is>
      </c>
      <c r="G617" s="7" t="inlineStr">
        <is>
          <t>After (a.)</t>
        </is>
      </c>
      <c r="H617" s="7" t="n"/>
      <c r="I617" s="7" t="n"/>
      <c r="J617" s="7" t="n"/>
      <c r="K617" s="2" t="inlineStr">
        <is>
          <t>Jesus laments over Jerusalem</t>
        </is>
      </c>
      <c r="L617" s="2" t="inlineStr">
        <is>
          <t>எருசலேமுக்காகப் புலம்புகிறார்</t>
        </is>
      </c>
      <c r="M617" s="7" t="inlineStr">
        <is>
          <t>Jesus laments over Jerusalem. The place is given as Perea. NWT Study Edition Appendix A7-F (“Jesus’ Later Ministry East of the Jordan”) dates this to 32 C.E., after Festival of Dedication; the source row combines it with related events (“Urges to enter narrow door; laments over Jerusalem”).</t>
        </is>
      </c>
      <c r="N617" s="7" t="inlineStr">
        <is>
          <t>இடுக்கமான கதவு வழியாகப் போகச் சொல்கிறார்; எருசலேமுக்காகப் புலம்புகிறார் — பெரேயா</t>
        </is>
      </c>
      <c r="O617" s="8" t="inlineStr">
        <is>
          <t>Bible</t>
        </is>
      </c>
      <c r="P617" s="7" t="inlineStr">
        <is>
          <t>bible.jesus</t>
        </is>
      </c>
      <c r="Q617" s="7" t="inlineStr">
        <is>
          <t>teaching</t>
        </is>
      </c>
      <c r="R617" s="7" t="inlineStr">
        <is>
          <t>Jesus</t>
        </is>
      </c>
      <c r="S617" s="7" t="inlineStr">
        <is>
          <t>Perea</t>
        </is>
      </c>
      <c r="T617" s="7" t="inlineStr">
        <is>
          <t>Luke 13:23-35</t>
        </is>
      </c>
      <c r="U617" s="7" t="inlineStr">
        <is>
          <t>லூக் 13:23-35</t>
        </is>
      </c>
      <c r="V617" s="7" t="n">
        <v>3</v>
      </c>
      <c r="W617" s="7" t="inlineStr">
        <is>
          <t>A7-F Main Events of Jesus’ Earthly Life—Jesus’ Later Ministry East of the Jordan</t>
        </is>
      </c>
      <c r="X617" s="9" t="inlineStr">
        <is>
          <t>open</t>
        </is>
      </c>
      <c r="Y617" s="9" t="inlineStr">
        <is>
          <t>open</t>
        </is>
      </c>
      <c r="Z617" s="7" t="inlineStr">
        <is>
          <t>https://wol.jw.org/en/wol/d/r1/lp-e/1001070212
https://wol.jw.org/en/wol/d/r1/lp-e/1001061212
https://wol.jw.org/en/wol/d/r1/lp-e/1200002451</t>
        </is>
      </c>
      <c r="AA617" s="7" t="n">
        <v>1</v>
      </c>
      <c r="AB617" s="9" t="inlineStr">
        <is>
          <t>open</t>
        </is>
      </c>
      <c r="AC617" s="7" t="n">
        <v>1</v>
      </c>
      <c r="AD617" s="7" t="inlineStr">
        <is>
          <t>Wording in pre-2013 Insight chart (it-2 'Jesus Christ', par 688): “Kingdom entrance; Herod’s threat; house desolate”.</t>
        </is>
      </c>
      <c r="AE617" s="7" t="n"/>
      <c r="AF617" s="7" t="n"/>
      <c r="AG617" s="7" t="n"/>
      <c r="AH617" s="7" t="n"/>
      <c r="AI617" s="7" t="n"/>
      <c r="AJ617" s="7" t="n"/>
      <c r="AK617" s="7" t="n"/>
      <c r="AL617" s="7" t="inlineStr">
        <is>
          <t>A7 row #76 split into 2 events; scripture references cover the whole source row.</t>
        </is>
      </c>
      <c r="AM617" s="7" t="n">
        <v>32.963</v>
      </c>
      <c r="AN617" s="10" t="n"/>
      <c r="AO617" s="10" t="n"/>
      <c r="AP617" s="10" t="n"/>
      <c r="AQ617" s="10" t="n"/>
    </row>
    <row r="618">
      <c r="A618" s="7" t="inlineStr">
        <is>
          <t>b5-0109</t>
        </is>
      </c>
      <c r="B618" s="7" t="inlineStr">
        <is>
          <t>Point</t>
        </is>
      </c>
      <c r="C618" s="7" t="n"/>
      <c r="D618" s="7" t="inlineStr">
        <is>
          <t>32 C.E., after Festival of Dedication</t>
        </is>
      </c>
      <c r="E618" s="7" t="inlineStr">
        <is>
          <t>கி.பி. 32, ஆலய அர்ப்பணப் பண்டிகைக்குப் பின்பு</t>
        </is>
      </c>
      <c r="F618" s="7" t="inlineStr">
        <is>
          <t>32 CE</t>
        </is>
      </c>
      <c r="G618" s="7" t="inlineStr">
        <is>
          <t>After (a.)</t>
        </is>
      </c>
      <c r="H618" s="7" t="n"/>
      <c r="I618" s="7" t="n"/>
      <c r="J618" s="7" t="n"/>
      <c r="K618" s="2" t="inlineStr">
        <is>
          <t>Teaches humility; illustrations: most prominent place and guests who made excuses</t>
        </is>
      </c>
      <c r="L618" s="2" t="inlineStr">
        <is>
          <t>மனத்தாழ்மையைக் கற்றுக்கொடுக்கிறார்; உவமைகள்: முதன்மையான இடம், சாக்குப்போக்கு சொன்ன விருந்தாளிகள்</t>
        </is>
      </c>
      <c r="M618" s="7" t="inlineStr">
        <is>
          <t>Teaches humility; illustrations: most prominent place and guests who made excuses. The place is given as Probably Perea. NWT Study Edition Appendix A7-F (“Jesus’ Later Ministry East of the Jordan”) dates this to 32 C.E., after Festival of Dedication.</t>
        </is>
      </c>
      <c r="N618" s="7" t="inlineStr">
        <is>
          <t>மனத்தாழ்மையைக் கற்றுக்கொடுக்கிறார்; உவமைகள்: முதன்மையான இடம், சாக்குப்போக்கு சொன்ன விருந்தாளிகள் — ஒருவேளை பெரேயா</t>
        </is>
      </c>
      <c r="O618" s="8" t="inlineStr">
        <is>
          <t>Bible</t>
        </is>
      </c>
      <c r="P618" s="7" t="inlineStr">
        <is>
          <t>bible.jesus</t>
        </is>
      </c>
      <c r="Q618" s="7" t="inlineStr">
        <is>
          <t>parable</t>
        </is>
      </c>
      <c r="R618" s="7" t="inlineStr">
        <is>
          <t>Jesus</t>
        </is>
      </c>
      <c r="S618" s="7" t="inlineStr">
        <is>
          <t>Perea</t>
        </is>
      </c>
      <c r="T618" s="7" t="inlineStr">
        <is>
          <t>Luke 14:1-24</t>
        </is>
      </c>
      <c r="U618" s="7" t="inlineStr">
        <is>
          <t>லூக் 14:1-24</t>
        </is>
      </c>
      <c r="V618" s="7" t="n">
        <v>3</v>
      </c>
      <c r="W618" s="7" t="inlineStr">
        <is>
          <t>A7-F Main Events of Jesus’ Earthly Life—Jesus’ Later Ministry East of the Jordan</t>
        </is>
      </c>
      <c r="X618" s="9" t="inlineStr">
        <is>
          <t>open</t>
        </is>
      </c>
      <c r="Y618" s="9" t="inlineStr">
        <is>
          <t>open</t>
        </is>
      </c>
      <c r="Z618" s="7" t="inlineStr">
        <is>
          <t>https://wol.jw.org/en/wol/d/r1/lp-e/1001070212
https://wol.jw.org/en/wol/d/r1/lp-e/1001061212
https://wol.jw.org/en/wol/d/r1/lp-e/1200002451</t>
        </is>
      </c>
      <c r="AA618" s="7" t="n">
        <v>1</v>
      </c>
      <c r="AB618" s="9" t="inlineStr">
        <is>
          <t>open</t>
        </is>
      </c>
      <c r="AC618" s="7" t="n">
        <v>1</v>
      </c>
      <c r="AD618" s="7" t="inlineStr">
        <is>
          <t>Wording in pre-2013 Insight chart (it-2 'Jesus Christ', par 695): “Humility; illustration of grand evening meal”.</t>
        </is>
      </c>
      <c r="AE618" s="7" t="n"/>
      <c r="AF618" s="7" t="n"/>
      <c r="AG618" s="7" t="n"/>
      <c r="AH618" s="7" t="n"/>
      <c r="AI618" s="7" t="n"/>
      <c r="AJ618" s="7" t="n"/>
      <c r="AK618" s="7" t="n"/>
      <c r="AL618" s="7" t="n"/>
      <c r="AM618" s="7" t="n">
        <v>32.964</v>
      </c>
      <c r="AN618" s="10" t="n"/>
      <c r="AO618" s="10" t="n"/>
      <c r="AP618" s="10" t="n"/>
      <c r="AQ618" s="10" t="n"/>
    </row>
    <row r="619">
      <c r="A619" s="7" t="inlineStr">
        <is>
          <t>b5-0110</t>
        </is>
      </c>
      <c r="B619" s="7" t="inlineStr">
        <is>
          <t>Point</t>
        </is>
      </c>
      <c r="C619" s="7" t="n"/>
      <c r="D619" s="7" t="inlineStr">
        <is>
          <t>32 C.E., after Festival of Dedication</t>
        </is>
      </c>
      <c r="E619" s="7" t="inlineStr">
        <is>
          <t>கி.பி. 32, ஆலய அர்ப்பணப் பண்டிகைக்குப் பின்பு</t>
        </is>
      </c>
      <c r="F619" s="7" t="inlineStr">
        <is>
          <t>32 CE</t>
        </is>
      </c>
      <c r="G619" s="7" t="inlineStr">
        <is>
          <t>After (a.)</t>
        </is>
      </c>
      <c r="H619" s="7" t="n"/>
      <c r="I619" s="7" t="n"/>
      <c r="J619" s="7" t="n"/>
      <c r="K619" s="2" t="inlineStr">
        <is>
          <t>Count cost of discipleship</t>
        </is>
      </c>
      <c r="L619" s="2" t="inlineStr">
        <is>
          <t>சீஷருக்குரிய பொறுப்புகளை யோசித்துப் பார்ப்பது</t>
        </is>
      </c>
      <c r="M619" s="7" t="inlineStr">
        <is>
          <t>Count cost of discipleship. The place is given as Probably Perea. NWT Study Edition Appendix A7-F (“Jesus’ Later Ministry East of the Jordan”) dates this to 32 C.E., after Festival of Dedication.</t>
        </is>
      </c>
      <c r="N619" s="7" t="inlineStr">
        <is>
          <t>சீஷருக்குரிய பொறுப்புகளை யோசித்துப் பார்ப்பது — ஒருவேளை பெரேயா</t>
        </is>
      </c>
      <c r="O619" s="8" t="inlineStr">
        <is>
          <t>Bible</t>
        </is>
      </c>
      <c r="P619" s="7" t="inlineStr">
        <is>
          <t>bible.jesus</t>
        </is>
      </c>
      <c r="Q619" s="7" t="inlineStr">
        <is>
          <t>teaching</t>
        </is>
      </c>
      <c r="R619" s="7" t="inlineStr">
        <is>
          <t>Jesus</t>
        </is>
      </c>
      <c r="S619" s="7" t="inlineStr">
        <is>
          <t>Perea</t>
        </is>
      </c>
      <c r="T619" s="7" t="inlineStr">
        <is>
          <t>Luke 14:25-35</t>
        </is>
      </c>
      <c r="U619" s="7" t="inlineStr">
        <is>
          <t>லூக் 14:25-35</t>
        </is>
      </c>
      <c r="V619" s="7" t="n">
        <v>3</v>
      </c>
      <c r="W619" s="7" t="inlineStr">
        <is>
          <t>A7-F Main Events of Jesus’ Earthly Life—Jesus’ Later Ministry East of the Jordan</t>
        </is>
      </c>
      <c r="X619" s="9" t="inlineStr">
        <is>
          <t>open</t>
        </is>
      </c>
      <c r="Y619" s="9" t="inlineStr">
        <is>
          <t>open</t>
        </is>
      </c>
      <c r="Z619" s="7" t="inlineStr">
        <is>
          <t>https://wol.jw.org/en/wol/d/r1/lp-e/1001070212
https://wol.jw.org/en/wol/d/r1/lp-e/1001061212
https://wol.jw.org/en/wol/d/r1/lp-e/1200002451</t>
        </is>
      </c>
      <c r="AA619" s="7" t="n">
        <v>1</v>
      </c>
      <c r="AB619" s="9" t="inlineStr">
        <is>
          <t>open</t>
        </is>
      </c>
      <c r="AC619" s="7" t="n">
        <v>1</v>
      </c>
      <c r="AD619" s="7" t="inlineStr">
        <is>
          <t>Wording in pre-2013 Insight chart (it-2 'Jesus Christ', par 702): “Counting the cost of discipleship”.</t>
        </is>
      </c>
      <c r="AE619" s="7" t="n"/>
      <c r="AF619" s="7" t="n"/>
      <c r="AG619" s="7" t="n"/>
      <c r="AH619" s="7" t="n"/>
      <c r="AI619" s="7" t="n"/>
      <c r="AJ619" s="7" t="n"/>
      <c r="AK619" s="7" t="n"/>
      <c r="AL619" s="7" t="n"/>
      <c r="AM619" s="7" t="n">
        <v>32.965</v>
      </c>
      <c r="AN619" s="10" t="n"/>
      <c r="AO619" s="10" t="n"/>
      <c r="AP619" s="10" t="n"/>
      <c r="AQ619" s="10" t="n"/>
    </row>
    <row r="620">
      <c r="A620" s="7" t="inlineStr">
        <is>
          <t>b5-0111</t>
        </is>
      </c>
      <c r="B620" s="7" t="inlineStr">
        <is>
          <t>Point</t>
        </is>
      </c>
      <c r="C620" s="7" t="n"/>
      <c r="D620" s="7" t="inlineStr">
        <is>
          <t>32 C.E., after Festival of Dedication</t>
        </is>
      </c>
      <c r="E620" s="7" t="inlineStr">
        <is>
          <t>கி.பி. 32, ஆலய அர்ப்பணப் பண்டிகைக்குப் பின்பு</t>
        </is>
      </c>
      <c r="F620" s="7" t="inlineStr">
        <is>
          <t>32 CE</t>
        </is>
      </c>
      <c r="G620" s="7" t="inlineStr">
        <is>
          <t>After (a.)</t>
        </is>
      </c>
      <c r="H620" s="7" t="n"/>
      <c r="I620" s="7" t="n"/>
      <c r="J620" s="7" t="n"/>
      <c r="K620" s="2" t="inlineStr">
        <is>
          <t>Illustrations: lost sheep, lost coin, lost son</t>
        </is>
      </c>
      <c r="L620" s="2" t="inlineStr">
        <is>
          <t>உவமைகள்: காணாமல்போன ஆடு, தொலைந்துபோன காசு, ஊதாரி மகன்</t>
        </is>
      </c>
      <c r="M620" s="7" t="inlineStr">
        <is>
          <t>Illustrations: lost sheep, lost coin, lost son. The place is given as Probably Perea. NWT Study Edition Appendix A7-F (“Jesus’ Later Ministry East of the Jordan”) dates this to 32 C.E., after Festival of Dedication.</t>
        </is>
      </c>
      <c r="N620" s="7" t="inlineStr">
        <is>
          <t>உவமைகள்: காணாமல்போன ஆடு, தொலைந்துபோன காசு, ஊதாரி மகன் — ஒருவேளை பெரேயா</t>
        </is>
      </c>
      <c r="O620" s="8" t="inlineStr">
        <is>
          <t>Bible</t>
        </is>
      </c>
      <c r="P620" s="7" t="inlineStr">
        <is>
          <t>bible.jesus</t>
        </is>
      </c>
      <c r="Q620" s="7" t="inlineStr">
        <is>
          <t>parable</t>
        </is>
      </c>
      <c r="R620" s="7" t="inlineStr">
        <is>
          <t>Jesus</t>
        </is>
      </c>
      <c r="S620" s="7" t="inlineStr">
        <is>
          <t>Perea</t>
        </is>
      </c>
      <c r="T620" s="7" t="inlineStr">
        <is>
          <t>Luke 15:1-32</t>
        </is>
      </c>
      <c r="U620" s="7" t="inlineStr">
        <is>
          <t>லூக் 15:1-32</t>
        </is>
      </c>
      <c r="V620" s="7" t="n">
        <v>3</v>
      </c>
      <c r="W620" s="7" t="inlineStr">
        <is>
          <t>A7-F Main Events of Jesus’ Earthly Life—Jesus’ Later Ministry East of the Jordan</t>
        </is>
      </c>
      <c r="X620" s="9" t="inlineStr">
        <is>
          <t>open</t>
        </is>
      </c>
      <c r="Y620" s="9" t="inlineStr">
        <is>
          <t>open</t>
        </is>
      </c>
      <c r="Z620" s="7" t="inlineStr">
        <is>
          <t>https://wol.jw.org/en/wol/d/r1/lp-e/1001070212
https://wol.jw.org/en/wol/d/r1/lp-e/1001061212
https://wol.jw.org/en/wol/d/r1/lp-e/1200002451</t>
        </is>
      </c>
      <c r="AA620" s="7" t="n">
        <v>1</v>
      </c>
      <c r="AB620" s="9" t="inlineStr">
        <is>
          <t>open</t>
        </is>
      </c>
      <c r="AC620" s="7" t="n">
        <v>1</v>
      </c>
      <c r="AD620" s="7" t="inlineStr">
        <is>
          <t>Wording in pre-2013 Insight chart (it-2 'Jesus Christ', par 709): “Illustrations: lost sheep, lost coin, prodigal son”.</t>
        </is>
      </c>
      <c r="AE620" s="7" t="n"/>
      <c r="AF620" s="7" t="n"/>
      <c r="AG620" s="7" t="n"/>
      <c r="AH620" s="7" t="n"/>
      <c r="AI620" s="7" t="n"/>
      <c r="AJ620" s="7" t="n"/>
      <c r="AK620" s="7" t="n"/>
      <c r="AL620" s="7" t="n"/>
      <c r="AM620" s="7" t="n">
        <v>32.966</v>
      </c>
      <c r="AN620" s="10" t="n"/>
      <c r="AO620" s="10" t="n"/>
      <c r="AP620" s="10" t="n"/>
      <c r="AQ620" s="10" t="n"/>
    </row>
    <row r="621">
      <c r="A621" s="7" t="inlineStr">
        <is>
          <t>b5-0112</t>
        </is>
      </c>
      <c r="B621" s="7" t="inlineStr">
        <is>
          <t>Point</t>
        </is>
      </c>
      <c r="C621" s="7" t="n"/>
      <c r="D621" s="7" t="inlineStr">
        <is>
          <t>32 C.E., after Festival of Dedication</t>
        </is>
      </c>
      <c r="E621" s="7" t="inlineStr">
        <is>
          <t>கி.பி. 32, ஆலய அர்ப்பணப் பண்டிகைக்குப் பின்பு</t>
        </is>
      </c>
      <c r="F621" s="7" t="inlineStr">
        <is>
          <t>32 CE</t>
        </is>
      </c>
      <c r="G621" s="7" t="inlineStr">
        <is>
          <t>After (a.)</t>
        </is>
      </c>
      <c r="H621" s="7" t="n"/>
      <c r="I621" s="7" t="n"/>
      <c r="J621" s="7" t="n"/>
      <c r="K621" s="2" t="inlineStr">
        <is>
          <t>Illustrations: unrighteous steward, rich man and Lazarus</t>
        </is>
      </c>
      <c r="L621" s="2" t="inlineStr">
        <is>
          <t>உவமைகள்: அநீதியான நிர்வாகி, பணக்காரனும் லாசருவும்</t>
        </is>
      </c>
      <c r="M621" s="7" t="inlineStr">
        <is>
          <t>Illustrations: unrighteous steward, rich man and Lazarus. The place is given as Probably Perea. NWT Study Edition Appendix A7-F (“Jesus’ Later Ministry East of the Jordan”) dates this to 32 C.E., after Festival of Dedication.</t>
        </is>
      </c>
      <c r="N621" s="7" t="inlineStr">
        <is>
          <t>உவமைகள்: அநீதியான நிர்வாகி, பணக்காரனும் லாசருவும் — ஒருவேளை பெரேயா</t>
        </is>
      </c>
      <c r="O621" s="8" t="inlineStr">
        <is>
          <t>Bible</t>
        </is>
      </c>
      <c r="P621" s="7" t="inlineStr">
        <is>
          <t>bible.jesus</t>
        </is>
      </c>
      <c r="Q621" s="7" t="inlineStr">
        <is>
          <t>parable</t>
        </is>
      </c>
      <c r="R621" s="7" t="inlineStr">
        <is>
          <t>Jesus; Lazarus</t>
        </is>
      </c>
      <c r="S621" s="7" t="inlineStr">
        <is>
          <t>Perea</t>
        </is>
      </c>
      <c r="T621" s="7" t="inlineStr">
        <is>
          <t>Luke 16:1-31</t>
        </is>
      </c>
      <c r="U621" s="7" t="inlineStr">
        <is>
          <t>லூக் 16:1-31</t>
        </is>
      </c>
      <c r="V621" s="7" t="n">
        <v>3</v>
      </c>
      <c r="W621" s="7" t="inlineStr">
        <is>
          <t>A7-F Main Events of Jesus’ Earthly Life—Jesus’ Later Ministry East of the Jordan</t>
        </is>
      </c>
      <c r="X621" s="9" t="inlineStr">
        <is>
          <t>open</t>
        </is>
      </c>
      <c r="Y621" s="9" t="inlineStr">
        <is>
          <t>open</t>
        </is>
      </c>
      <c r="Z621" s="7" t="inlineStr">
        <is>
          <t>https://wol.jw.org/en/wol/d/r1/lp-e/1001070212
https://wol.jw.org/en/wol/d/r1/lp-e/1001061212
https://wol.jw.org/en/wol/d/r1/lp-e/1200002451</t>
        </is>
      </c>
      <c r="AA621" s="7" t="n">
        <v>1</v>
      </c>
      <c r="AB621" s="9" t="inlineStr">
        <is>
          <t>open</t>
        </is>
      </c>
      <c r="AC621" s="7" t="n">
        <v>1</v>
      </c>
      <c r="AD621" s="7" t="inlineStr">
        <is>
          <t>Wording in pre-2013 Insight chart (it-2 'Jesus Christ', par 716): “Illustrations: unrighteous steward, rich man and Lazarus”.</t>
        </is>
      </c>
      <c r="AE621" s="7" t="n"/>
      <c r="AF621" s="7" t="n"/>
      <c r="AG621" s="7" t="n"/>
      <c r="AH621" s="7" t="n"/>
      <c r="AI621" s="7" t="n"/>
      <c r="AJ621" s="7" t="n"/>
      <c r="AK621" s="7" t="n"/>
      <c r="AL621" s="7" t="n"/>
      <c r="AM621" s="7" t="n">
        <v>32.967</v>
      </c>
      <c r="AN621" s="10" t="n"/>
      <c r="AO621" s="10" t="n"/>
      <c r="AP621" s="10" t="n"/>
      <c r="AQ621" s="10" t="n"/>
    </row>
    <row r="622">
      <c r="A622" s="7" t="inlineStr">
        <is>
          <t>b5-0113</t>
        </is>
      </c>
      <c r="B622" s="7" t="inlineStr">
        <is>
          <t>Point</t>
        </is>
      </c>
      <c r="C622" s="7" t="n"/>
      <c r="D622" s="7" t="inlineStr">
        <is>
          <t>32 C.E., after Festival of Dedication</t>
        </is>
      </c>
      <c r="E622" s="7" t="inlineStr">
        <is>
          <t>கி.பி. 32, ஆலய அர்ப்பணப் பண்டிகைக்குப் பின்பு</t>
        </is>
      </c>
      <c r="F622" s="7" t="inlineStr">
        <is>
          <t>32 CE</t>
        </is>
      </c>
      <c r="G622" s="7" t="inlineStr">
        <is>
          <t>After (a.)</t>
        </is>
      </c>
      <c r="H622" s="7" t="n"/>
      <c r="I622" s="7" t="n"/>
      <c r="J622" s="7" t="n"/>
      <c r="K622" s="2" t="inlineStr">
        <is>
          <t>Teaches on stumbling, forgiveness, and faith</t>
        </is>
      </c>
      <c r="L622" s="2" t="inlineStr">
        <is>
          <t>பாவக்குழியில் விழ வைக்கிற காரியங்கள், மன்னிப்பு, விசுவாசம் ஆகியவற்றைப் பற்றிக் கற்றுக்கொடுக்கிறார்</t>
        </is>
      </c>
      <c r="M622" s="7" t="inlineStr">
        <is>
          <t>Teaches on stumbling, forgiveness, and faith. The place is given as Probably Perea. NWT Study Edition Appendix A7-F (“Jesus’ Later Ministry East of the Jordan”) dates this to 32 C.E., after Festival of Dedication.</t>
        </is>
      </c>
      <c r="N622" s="7" t="inlineStr">
        <is>
          <t>பாவக்குழியில் விழ வைக்கிற காரியங்கள், மன்னிப்பு, விசுவாசம் ஆகியவற்றைப் பற்றிக் கற்றுக்கொடுக்கிறார் — ஒருவேளை பெரேயா</t>
        </is>
      </c>
      <c r="O622" s="8" t="inlineStr">
        <is>
          <t>Bible</t>
        </is>
      </c>
      <c r="P622" s="7" t="inlineStr">
        <is>
          <t>bible.jesus</t>
        </is>
      </c>
      <c r="Q622" s="7" t="inlineStr">
        <is>
          <t>teaching</t>
        </is>
      </c>
      <c r="R622" s="7" t="inlineStr">
        <is>
          <t>Jesus</t>
        </is>
      </c>
      <c r="S622" s="7" t="inlineStr">
        <is>
          <t>Perea</t>
        </is>
      </c>
      <c r="T622" s="7" t="inlineStr">
        <is>
          <t>Luke 17:1-10</t>
        </is>
      </c>
      <c r="U622" s="7" t="inlineStr">
        <is>
          <t>லூக் 17:1-10</t>
        </is>
      </c>
      <c r="V622" s="7" t="n">
        <v>3</v>
      </c>
      <c r="W622" s="7" t="inlineStr">
        <is>
          <t>A7-F Main Events of Jesus’ Earthly Life—Jesus’ Later Ministry East of the Jordan</t>
        </is>
      </c>
      <c r="X622" s="9" t="inlineStr">
        <is>
          <t>open</t>
        </is>
      </c>
      <c r="Y622" s="9" t="inlineStr">
        <is>
          <t>open</t>
        </is>
      </c>
      <c r="Z622" s="7" t="inlineStr">
        <is>
          <t>https://wol.jw.org/en/wol/d/r1/lp-e/1001070212
https://wol.jw.org/en/wol/d/r1/lp-e/1001061212
https://wol.jw.org/en/wol/d/r1/lp-e/1200002451</t>
        </is>
      </c>
      <c r="AA622" s="7" t="n">
        <v>1</v>
      </c>
      <c r="AB622" s="9" t="inlineStr">
        <is>
          <t>open</t>
        </is>
      </c>
      <c r="AC622" s="7" t="n">
        <v>1</v>
      </c>
      <c r="AD622" s="7" t="inlineStr">
        <is>
          <t>Wording in pre-2013 Insight chart (it-2 'Jesus Christ', par 723): “Forgiveness and faith; good-for-nothing slaves”.</t>
        </is>
      </c>
      <c r="AE622" s="7" t="n"/>
      <c r="AF622" s="7" t="n"/>
      <c r="AG622" s="7" t="n"/>
      <c r="AH622" s="7" t="n"/>
      <c r="AI622" s="7" t="n"/>
      <c r="AJ622" s="7" t="n"/>
      <c r="AK622" s="7" t="n"/>
      <c r="AL622" s="7" t="n"/>
      <c r="AM622" s="7" t="n">
        <v>32.968</v>
      </c>
      <c r="AN622" s="10" t="n"/>
      <c r="AO622" s="10" t="n"/>
      <c r="AP622" s="10" t="n"/>
      <c r="AQ622" s="10" t="n"/>
    </row>
    <row r="623">
      <c r="A623" s="7" t="inlineStr">
        <is>
          <t>b5-0114</t>
        </is>
      </c>
      <c r="B623" s="7" t="inlineStr">
        <is>
          <t>Point</t>
        </is>
      </c>
      <c r="C623" s="7" t="n"/>
      <c r="D623" s="7" t="inlineStr">
        <is>
          <t>32 C.E., after Festival of Dedication</t>
        </is>
      </c>
      <c r="E623" s="7" t="inlineStr">
        <is>
          <t>கி.பி. 32, ஆலய அர்ப்பணப் பண்டிகைக்குப் பின்பு</t>
        </is>
      </c>
      <c r="F623" s="7" t="inlineStr">
        <is>
          <t>32 CE</t>
        </is>
      </c>
      <c r="G623" s="7" t="inlineStr">
        <is>
          <t>After (a.)</t>
        </is>
      </c>
      <c r="H623" s="7" t="n"/>
      <c r="I623" s="7" t="n"/>
      <c r="J623" s="7" t="n"/>
      <c r="K623" s="2" t="inlineStr">
        <is>
          <t>Lazarus dies and is resurrected</t>
        </is>
      </c>
      <c r="L623" s="2" t="inlineStr">
        <is>
          <t>லாசருவின் மரணம், உயிர்த்தெழுதல்</t>
        </is>
      </c>
      <c r="M623" s="7" t="inlineStr">
        <is>
          <t>Lazarus dies and is resurrected. The place is given as Bethany. NWT Study Edition Appendix A7-F (“Jesus’ Later Ministry East of the Jordan”) dates this to 32 C.E., after Festival of Dedication.</t>
        </is>
      </c>
      <c r="N623" s="7" t="inlineStr">
        <is>
          <t>லாசருவின் மரணம், உயிர்த்தெழுதல் — பெத்தானியா</t>
        </is>
      </c>
      <c r="O623" s="8" t="inlineStr">
        <is>
          <t>Bible</t>
        </is>
      </c>
      <c r="P623" s="7" t="inlineStr">
        <is>
          <t>bible.jesus</t>
        </is>
      </c>
      <c r="Q623" s="7" t="inlineStr">
        <is>
          <t>miracle</t>
        </is>
      </c>
      <c r="R623" s="7" t="inlineStr">
        <is>
          <t>Jesus; Lazarus</t>
        </is>
      </c>
      <c r="S623" s="7" t="inlineStr">
        <is>
          <t>Bethany</t>
        </is>
      </c>
      <c r="T623" s="7" t="inlineStr">
        <is>
          <t>John 11:1-46</t>
        </is>
      </c>
      <c r="U623" s="7" t="inlineStr">
        <is>
          <t>யோவா 11:1-46</t>
        </is>
      </c>
      <c r="V623" s="7" t="n">
        <v>3</v>
      </c>
      <c r="W623" s="7" t="inlineStr">
        <is>
          <t>A7-F Main Events of Jesus’ Earthly Life—Jesus’ Later Ministry East of the Jordan</t>
        </is>
      </c>
      <c r="X623" s="9" t="inlineStr">
        <is>
          <t>open</t>
        </is>
      </c>
      <c r="Y623" s="9" t="inlineStr">
        <is>
          <t>open</t>
        </is>
      </c>
      <c r="Z623" s="7" t="inlineStr">
        <is>
          <t>https://wol.jw.org/en/wol/d/r1/lp-e/1001070212
https://wol.jw.org/en/wol/d/r1/lp-e/1001061212
https://wol.jw.org/en/wol/d/r1/lp-e/1200002451</t>
        </is>
      </c>
      <c r="AA623" s="7" t="n">
        <v>1</v>
      </c>
      <c r="AB623" s="9" t="inlineStr">
        <is>
          <t>open</t>
        </is>
      </c>
      <c r="AC623" s="7" t="n">
        <v>1</v>
      </c>
      <c r="AD623" s="7" t="inlineStr">
        <is>
          <t>Wording in pre-2013 Insight chart (it-2 'Jesus Christ', par 730): “Lazarus raised from the dead by Jesus”.</t>
        </is>
      </c>
      <c r="AE623" s="7" t="n"/>
      <c r="AF623" s="7" t="n"/>
      <c r="AG623" s="7" t="n"/>
      <c r="AH623" s="7" t="n"/>
      <c r="AI623" s="7" t="n"/>
      <c r="AJ623" s="7" t="n"/>
      <c r="AK623" s="7" t="n"/>
      <c r="AL623" s="7" t="n"/>
      <c r="AM623" s="7" t="n">
        <v>32.969</v>
      </c>
      <c r="AN623" s="10" t="n"/>
      <c r="AO623" s="10" t="n"/>
      <c r="AP623" s="10" t="n"/>
      <c r="AQ623" s="10" t="n"/>
    </row>
    <row r="624">
      <c r="A624" s="7" t="inlineStr">
        <is>
          <t>b5-0115</t>
        </is>
      </c>
      <c r="B624" s="7" t="inlineStr">
        <is>
          <t>Point</t>
        </is>
      </c>
      <c r="C624" s="7" t="n"/>
      <c r="D624" s="7" t="inlineStr">
        <is>
          <t>32 C.E., after Festival of Dedication</t>
        </is>
      </c>
      <c r="E624" s="7" t="inlineStr">
        <is>
          <t>கி.பி. 32, ஆலய அர்ப்பணப் பண்டிகைக்குப் பின்பு</t>
        </is>
      </c>
      <c r="F624" s="7" t="inlineStr">
        <is>
          <t>32 CE</t>
        </is>
      </c>
      <c r="G624" s="7" t="inlineStr">
        <is>
          <t>After (a.)</t>
        </is>
      </c>
      <c r="H624" s="7" t="n"/>
      <c r="I624" s="7" t="n"/>
      <c r="J624" s="7" t="n"/>
      <c r="K624" s="2" t="inlineStr">
        <is>
          <t>Plot to kill Jesus</t>
        </is>
      </c>
      <c r="L624" s="2" t="inlineStr">
        <is>
          <t>இயேசுவைக் கொல்ல சதி</t>
        </is>
      </c>
      <c r="M624" s="7" t="inlineStr">
        <is>
          <t>Plot to kill Jesus. The place is given as Jerusalem; Ephraim. NWT Study Edition Appendix A7-F (“Jesus’ Later Ministry East of the Jordan”) dates this to 32 C.E., after Festival of Dedication; the source row combines it with related events (“Plot to kill Jesus; he leaves”).</t>
        </is>
      </c>
      <c r="N624" s="7" t="inlineStr">
        <is>
          <t>இயேசுவைக் கொல்ல சதி; அங்கிருந்து புறப்படுகிறார் — எருசலேம்; எப்பிராயீம்</t>
        </is>
      </c>
      <c r="O624" s="8" t="inlineStr">
        <is>
          <t>Bible</t>
        </is>
      </c>
      <c r="P624" s="7" t="inlineStr">
        <is>
          <t>bible.jesus</t>
        </is>
      </c>
      <c r="Q624" s="7" t="inlineStr">
        <is>
          <t>plot</t>
        </is>
      </c>
      <c r="R624" s="7" t="n"/>
      <c r="S624" s="7" t="inlineStr">
        <is>
          <t>Jerusalem</t>
        </is>
      </c>
      <c r="T624" s="7" t="inlineStr">
        <is>
          <t>John 11:47-54</t>
        </is>
      </c>
      <c r="U624" s="7" t="inlineStr">
        <is>
          <t>யோவா 11:47-54</t>
        </is>
      </c>
      <c r="V624" s="7" t="n">
        <v>3</v>
      </c>
      <c r="W624" s="7" t="inlineStr">
        <is>
          <t>A7-F Main Events of Jesus’ Earthly Life—Jesus’ Later Ministry East of the Jordan</t>
        </is>
      </c>
      <c r="X624" s="9" t="inlineStr">
        <is>
          <t>open</t>
        </is>
      </c>
      <c r="Y624" s="9" t="inlineStr">
        <is>
          <t>open</t>
        </is>
      </c>
      <c r="Z624" s="7" t="inlineStr">
        <is>
          <t>https://wol.jw.org/en/wol/d/r1/lp-e/1001070212
https://wol.jw.org/en/wol/d/r1/lp-e/1001061212
https://wol.jw.org/en/wol/d/r1/lp-e/1200002451</t>
        </is>
      </c>
      <c r="AA624" s="7" t="n">
        <v>1</v>
      </c>
      <c r="AB624" s="9" t="inlineStr">
        <is>
          <t>open</t>
        </is>
      </c>
      <c r="AC624" s="7" t="n">
        <v>1</v>
      </c>
      <c r="AD624" s="7" t="inlineStr">
        <is>
          <t>Wording in pre-2013 Insight chart (it-2 'Jesus Christ', par 737): “Caiaphas’ counsel against Jesus; Jesus withdraws”.</t>
        </is>
      </c>
      <c r="AE624" s="7" t="n"/>
      <c r="AF624" s="7" t="n"/>
      <c r="AG624" s="7" t="n"/>
      <c r="AH624" s="7" t="n"/>
      <c r="AI624" s="7" t="n"/>
      <c r="AJ624" s="7" t="n"/>
      <c r="AK624" s="7" t="n"/>
      <c r="AL624" s="7" t="inlineStr">
        <is>
          <t>A7 row #83 split into 2 events; scripture references cover the whole source row.</t>
        </is>
      </c>
      <c r="AM624" s="7" t="n">
        <v>32.97</v>
      </c>
      <c r="AN624" s="10" t="n"/>
      <c r="AO624" s="10" t="n"/>
      <c r="AP624" s="10" t="n"/>
      <c r="AQ624" s="10" t="n"/>
    </row>
    <row r="625">
      <c r="A625" s="7" t="inlineStr">
        <is>
          <t>b5-0116</t>
        </is>
      </c>
      <c r="B625" s="7" t="inlineStr">
        <is>
          <t>Point</t>
        </is>
      </c>
      <c r="C625" s="7" t="n"/>
      <c r="D625" s="7" t="inlineStr">
        <is>
          <t>32 C.E., after Festival of Dedication</t>
        </is>
      </c>
      <c r="E625" s="7" t="inlineStr">
        <is>
          <t>கி.பி. 32, ஆலய அர்ப்பணப் பண்டிகைக்குப் பின்பு</t>
        </is>
      </c>
      <c r="F625" s="7" t="inlineStr">
        <is>
          <t>32 CE</t>
        </is>
      </c>
      <c r="G625" s="7" t="inlineStr">
        <is>
          <t>After (a.)</t>
        </is>
      </c>
      <c r="H625" s="7" t="n"/>
      <c r="I625" s="7" t="n"/>
      <c r="J625" s="7" t="n"/>
      <c r="K625" s="2" t="inlineStr">
        <is>
          <t>Jesus leaves for Ephraim</t>
        </is>
      </c>
      <c r="L625" s="2" t="inlineStr">
        <is>
          <t>அங்கிருந்து புறப்படுகிறார்</t>
        </is>
      </c>
      <c r="M625" s="7" t="inlineStr">
        <is>
          <t>Jesus leaves for Ephraim. The place is given as Jerusalem; Ephraim. NWT Study Edition Appendix A7-F (“Jesus’ Later Ministry East of the Jordan”) dates this to 32 C.E., after Festival of Dedication; the source row combines it with related events (“Plot to kill Jesus; he leaves”).</t>
        </is>
      </c>
      <c r="N625" s="7" t="inlineStr">
        <is>
          <t>இயேசுவைக் கொல்ல சதி; அங்கிருந்து புறப்படுகிறார் — எருசலேம்; எப்பிராயீம்</t>
        </is>
      </c>
      <c r="O625" s="8" t="inlineStr">
        <is>
          <t>Bible</t>
        </is>
      </c>
      <c r="P625" s="7" t="inlineStr">
        <is>
          <t>bible.jesus</t>
        </is>
      </c>
      <c r="Q625" s="7" t="inlineStr">
        <is>
          <t>journey</t>
        </is>
      </c>
      <c r="R625" s="7" t="inlineStr">
        <is>
          <t>Jesus</t>
        </is>
      </c>
      <c r="S625" s="7" t="inlineStr">
        <is>
          <t>Ephraim</t>
        </is>
      </c>
      <c r="T625" s="7" t="inlineStr">
        <is>
          <t>John 11:47-54</t>
        </is>
      </c>
      <c r="U625" s="7" t="inlineStr">
        <is>
          <t>யோவா 11:47-54</t>
        </is>
      </c>
      <c r="V625" s="7" t="n">
        <v>3</v>
      </c>
      <c r="W625" s="7" t="inlineStr">
        <is>
          <t>A7-F Main Events of Jesus’ Earthly Life—Jesus’ Later Ministry East of the Jordan</t>
        </is>
      </c>
      <c r="X625" s="9" t="inlineStr">
        <is>
          <t>open</t>
        </is>
      </c>
      <c r="Y625" s="9" t="inlineStr">
        <is>
          <t>open</t>
        </is>
      </c>
      <c r="Z625" s="7" t="inlineStr">
        <is>
          <t>https://wol.jw.org/en/wol/d/r1/lp-e/1001070212
https://wol.jw.org/en/wol/d/r1/lp-e/1001061212
https://wol.jw.org/en/wol/d/r1/lp-e/1200002451</t>
        </is>
      </c>
      <c r="AA625" s="7" t="n">
        <v>1</v>
      </c>
      <c r="AB625" s="9" t="inlineStr">
        <is>
          <t>open</t>
        </is>
      </c>
      <c r="AC625" s="7" t="n">
        <v>1</v>
      </c>
      <c r="AD625" s="7" t="inlineStr">
        <is>
          <t>Wording in pre-2013 Insight chart (it-2 'Jesus Christ', par 737): “Caiaphas’ counsel against Jesus; Jesus withdraws”.</t>
        </is>
      </c>
      <c r="AE625" s="7" t="n"/>
      <c r="AF625" s="7" t="n"/>
      <c r="AG625" s="7" t="n"/>
      <c r="AH625" s="7" t="n"/>
      <c r="AI625" s="7" t="n"/>
      <c r="AJ625" s="7" t="n"/>
      <c r="AK625" s="7" t="n"/>
      <c r="AL625" s="7" t="inlineStr">
        <is>
          <t>A7 row #83 split into 2 events; scripture references cover the whole source row.</t>
        </is>
      </c>
      <c r="AM625" s="7" t="n">
        <v>32.971</v>
      </c>
      <c r="AN625" s="10" t="n"/>
      <c r="AO625" s="10" t="n"/>
      <c r="AP625" s="10" t="n"/>
      <c r="AQ625" s="10" t="n"/>
    </row>
    <row r="626">
      <c r="A626" s="7" t="inlineStr">
        <is>
          <t>b5-0117</t>
        </is>
      </c>
      <c r="B626" s="7" t="inlineStr">
        <is>
          <t>Point</t>
        </is>
      </c>
      <c r="C626" s="7" t="n"/>
      <c r="D626" s="7" t="inlineStr">
        <is>
          <t>32 C.E., after Festival of Dedication</t>
        </is>
      </c>
      <c r="E626" s="7" t="inlineStr">
        <is>
          <t>கி.பி. 32, ஆலய அர்ப்பணப் பண்டிகைக்குப் பின்பு</t>
        </is>
      </c>
      <c r="F626" s="7" t="inlineStr">
        <is>
          <t>32 CE</t>
        </is>
      </c>
      <c r="G626" s="7" t="inlineStr">
        <is>
          <t>After (a.)</t>
        </is>
      </c>
      <c r="H626" s="7" t="n"/>
      <c r="I626" s="7" t="n"/>
      <c r="J626" s="7" t="n"/>
      <c r="K626" s="2" t="inlineStr">
        <is>
          <t>Jesus heals ten lepers</t>
        </is>
      </c>
      <c r="L626" s="2" t="inlineStr">
        <is>
          <t>பத்துத் தொழுநோயாளிகளைக் குணப்படுத்துகிறார்</t>
        </is>
      </c>
      <c r="M626" s="7" t="inlineStr">
        <is>
          <t>Jesus heals ten lepers. The place is given as Samaria; Galilee. NWT Study Edition Appendix A7-F (“Jesus’ Later Ministry East of the Jordan”) dates this to 32 C.E., after Festival of Dedication; the source row combines it with related events (“Heals ten lepers; tells how God’s Kingdom will come”).</t>
        </is>
      </c>
      <c r="N626" s="7" t="inlineStr">
        <is>
          <t>பத்துத் தொழுநோயாளிகளைக் குணப்படுத்துகிறார்; கடவுளுடைய அரசாங்கம் எப்படி வருமென்று சொல்கிறார் — சமாரியா; கலிலேயா</t>
        </is>
      </c>
      <c r="O626" s="8" t="inlineStr">
        <is>
          <t>Bible</t>
        </is>
      </c>
      <c r="P626" s="7" t="inlineStr">
        <is>
          <t>bible.jesus</t>
        </is>
      </c>
      <c r="Q626" s="7" t="inlineStr">
        <is>
          <t>miracle</t>
        </is>
      </c>
      <c r="R626" s="7" t="inlineStr">
        <is>
          <t>Jesus</t>
        </is>
      </c>
      <c r="S626" s="7" t="inlineStr">
        <is>
          <t>Samaria; Galilee</t>
        </is>
      </c>
      <c r="T626" s="7" t="inlineStr">
        <is>
          <t>Luke 17:11-37</t>
        </is>
      </c>
      <c r="U626" s="7" t="inlineStr">
        <is>
          <t>லூக் 17:11-37</t>
        </is>
      </c>
      <c r="V626" s="7" t="n">
        <v>3</v>
      </c>
      <c r="W626" s="7" t="inlineStr">
        <is>
          <t>A7-F Main Events of Jesus’ Earthly Life—Jesus’ Later Ministry East of the Jordan</t>
        </is>
      </c>
      <c r="X626" s="9" t="inlineStr">
        <is>
          <t>open</t>
        </is>
      </c>
      <c r="Y626" s="9" t="inlineStr">
        <is>
          <t>open</t>
        </is>
      </c>
      <c r="Z626" s="7" t="inlineStr">
        <is>
          <t>https://wol.jw.org/en/wol/d/r1/lp-e/1001070212
https://wol.jw.org/en/wol/d/r1/lp-e/1001061212
https://wol.jw.org/en/wol/d/r1/lp-e/1200002451</t>
        </is>
      </c>
      <c r="AA626" s="7" t="n">
        <v>1</v>
      </c>
      <c r="AB626" s="9" t="inlineStr">
        <is>
          <t>open</t>
        </is>
      </c>
      <c r="AC626" s="7" t="n">
        <v>1</v>
      </c>
      <c r="AD626" s="7" t="inlineStr">
        <is>
          <t>Wording in pre-2013 Insight chart (it-2 'Jesus Christ', par 744): “Heals and teaches en route through Samaria, Galilee”.</t>
        </is>
      </c>
      <c r="AE626" s="7" t="n"/>
      <c r="AF626" s="7" t="n"/>
      <c r="AG626" s="7" t="n"/>
      <c r="AH626" s="7" t="n"/>
      <c r="AI626" s="7" t="n"/>
      <c r="AJ626" s="7" t="n"/>
      <c r="AK626" s="7" t="n"/>
      <c r="AL626" s="7" t="inlineStr">
        <is>
          <t>A7 row #84 split into 2 events; scripture references cover the whole source row.</t>
        </is>
      </c>
      <c r="AM626" s="7" t="n">
        <v>32.972</v>
      </c>
      <c r="AN626" s="10" t="n"/>
      <c r="AO626" s="10" t="n"/>
      <c r="AP626" s="10" t="n"/>
      <c r="AQ626" s="10" t="n"/>
    </row>
    <row r="627">
      <c r="A627" s="7" t="inlineStr">
        <is>
          <t>b5-0118</t>
        </is>
      </c>
      <c r="B627" s="7" t="inlineStr">
        <is>
          <t>Point</t>
        </is>
      </c>
      <c r="C627" s="7" t="n"/>
      <c r="D627" s="7" t="inlineStr">
        <is>
          <t>32 C.E., after Festival of Dedication</t>
        </is>
      </c>
      <c r="E627" s="7" t="inlineStr">
        <is>
          <t>கி.பி. 32, ஆலய அர்ப்பணப் பண்டிகைக்குப் பின்பு</t>
        </is>
      </c>
      <c r="F627" s="7" t="inlineStr">
        <is>
          <t>32 CE</t>
        </is>
      </c>
      <c r="G627" s="7" t="inlineStr">
        <is>
          <t>After (a.)</t>
        </is>
      </c>
      <c r="H627" s="7" t="n"/>
      <c r="I627" s="7" t="n"/>
      <c r="J627" s="7" t="n"/>
      <c r="K627" s="2" t="inlineStr">
        <is>
          <t>Jesus tells how God’s Kingdom will come</t>
        </is>
      </c>
      <c r="L627" s="2" t="inlineStr">
        <is>
          <t>கடவுளுடைய அரசாங்கம் எப்படி வருமென்று சொல்கிறார்</t>
        </is>
      </c>
      <c r="M627" s="7" t="inlineStr">
        <is>
          <t>Jesus tells how God’s Kingdom will come. The place is given as Samaria; Galilee. NWT Study Edition Appendix A7-F (“Jesus’ Later Ministry East of the Jordan”) dates this to 32 C.E., after Festival of Dedication; the source row combines it with related events (“Heals ten lepers; tells how God’s Kingdom will come”).</t>
        </is>
      </c>
      <c r="N627" s="7" t="inlineStr">
        <is>
          <t>பத்துத் தொழுநோயாளிகளைக் குணப்படுத்துகிறார்; கடவுளுடைய அரசாங்கம் எப்படி வருமென்று சொல்கிறார் — சமாரியா; கலிலேயா</t>
        </is>
      </c>
      <c r="O627" s="8" t="inlineStr">
        <is>
          <t>Bible</t>
        </is>
      </c>
      <c r="P627" s="7" t="inlineStr">
        <is>
          <t>bible.jesus</t>
        </is>
      </c>
      <c r="Q627" s="7" t="inlineStr">
        <is>
          <t>teaching</t>
        </is>
      </c>
      <c r="R627" s="7" t="inlineStr">
        <is>
          <t>Jesus</t>
        </is>
      </c>
      <c r="S627" s="7" t="inlineStr">
        <is>
          <t>Samaria; Galilee</t>
        </is>
      </c>
      <c r="T627" s="7" t="inlineStr">
        <is>
          <t>Luke 17:11-37</t>
        </is>
      </c>
      <c r="U627" s="7" t="inlineStr">
        <is>
          <t>லூக் 17:11-37</t>
        </is>
      </c>
      <c r="V627" s="7" t="n">
        <v>3</v>
      </c>
      <c r="W627" s="7" t="inlineStr">
        <is>
          <t>A7-F Main Events of Jesus’ Earthly Life—Jesus’ Later Ministry East of the Jordan</t>
        </is>
      </c>
      <c r="X627" s="9" t="inlineStr">
        <is>
          <t>open</t>
        </is>
      </c>
      <c r="Y627" s="9" t="inlineStr">
        <is>
          <t>open</t>
        </is>
      </c>
      <c r="Z627" s="7" t="inlineStr">
        <is>
          <t>https://wol.jw.org/en/wol/d/r1/lp-e/1001070212
https://wol.jw.org/en/wol/d/r1/lp-e/1001061212
https://wol.jw.org/en/wol/d/r1/lp-e/1200002451</t>
        </is>
      </c>
      <c r="AA627" s="7" t="n">
        <v>1</v>
      </c>
      <c r="AB627" s="9" t="inlineStr">
        <is>
          <t>open</t>
        </is>
      </c>
      <c r="AC627" s="7" t="n">
        <v>1</v>
      </c>
      <c r="AD627" s="7" t="inlineStr">
        <is>
          <t>Wording in pre-2013 Insight chart (it-2 'Jesus Christ', par 744): “Heals and teaches en route through Samaria, Galilee”.</t>
        </is>
      </c>
      <c r="AE627" s="7" t="n"/>
      <c r="AF627" s="7" t="n"/>
      <c r="AG627" s="7" t="n"/>
      <c r="AH627" s="7" t="n"/>
      <c r="AI627" s="7" t="n"/>
      <c r="AJ627" s="7" t="n"/>
      <c r="AK627" s="7" t="n"/>
      <c r="AL627" s="7" t="inlineStr">
        <is>
          <t>A7 row #84 split into 2 events; scripture references cover the whole source row.</t>
        </is>
      </c>
      <c r="AM627" s="7" t="n">
        <v>32.973</v>
      </c>
      <c r="AN627" s="10" t="n"/>
      <c r="AO627" s="10" t="n"/>
      <c r="AP627" s="10" t="n"/>
      <c r="AQ627" s="10" t="n"/>
    </row>
    <row r="628">
      <c r="A628" s="7" t="inlineStr">
        <is>
          <t>b5-0119</t>
        </is>
      </c>
      <c r="B628" s="7" t="inlineStr">
        <is>
          <t>Point</t>
        </is>
      </c>
      <c r="C628" s="7" t="n"/>
      <c r="D628" s="7" t="inlineStr">
        <is>
          <t>32 C.E., after Festival of Dedication</t>
        </is>
      </c>
      <c r="E628" s="7" t="inlineStr">
        <is>
          <t>கி.பி. 32, ஆலய அர்ப்பணப் பண்டிகைக்குப் பின்பு</t>
        </is>
      </c>
      <c r="F628" s="7" t="inlineStr">
        <is>
          <t>32 CE</t>
        </is>
      </c>
      <c r="G628" s="7" t="inlineStr">
        <is>
          <t>After (a.)</t>
        </is>
      </c>
      <c r="H628" s="7" t="n"/>
      <c r="I628" s="7" t="n"/>
      <c r="J628" s="7" t="n"/>
      <c r="K628" s="2" t="inlineStr">
        <is>
          <t>Illustrations: persistent widow, Pharisee and tax collector</t>
        </is>
      </c>
      <c r="L628" s="2" t="inlineStr">
        <is>
          <t>உவமைகள்: விடாமல் கெஞ்சும் விதவை, பரிசேயனும் வரி வசூலிப்பவனும்</t>
        </is>
      </c>
      <c r="M628" s="7" t="inlineStr">
        <is>
          <t>Illustrations: persistent widow, Pharisee and tax collector. The place is given as Samaria or Galilee. NWT Study Edition Appendix A7-F (“Jesus’ Later Ministry East of the Jordan”) dates this to 32 C.E., after Festival of Dedication.</t>
        </is>
      </c>
      <c r="N628" s="7" t="inlineStr">
        <is>
          <t>உவமைகள்: விடாமல் கெஞ்சும் விதவை, பரிசேயனும் வரி வசூலிப்பவனும் — சமாரியா அல்லது கலிலேயா</t>
        </is>
      </c>
      <c r="O628" s="8" t="inlineStr">
        <is>
          <t>Bible</t>
        </is>
      </c>
      <c r="P628" s="7" t="inlineStr">
        <is>
          <t>bible.jesus</t>
        </is>
      </c>
      <c r="Q628" s="7" t="inlineStr">
        <is>
          <t>parable</t>
        </is>
      </c>
      <c r="R628" s="7" t="inlineStr">
        <is>
          <t>Jesus</t>
        </is>
      </c>
      <c r="S628" s="7" t="inlineStr">
        <is>
          <t>Samaria; Galilee</t>
        </is>
      </c>
      <c r="T628" s="7" t="inlineStr">
        <is>
          <t>Luke 18:1-14</t>
        </is>
      </c>
      <c r="U628" s="7" t="inlineStr">
        <is>
          <t>லூக் 18:1-14</t>
        </is>
      </c>
      <c r="V628" s="7" t="n">
        <v>3</v>
      </c>
      <c r="W628" s="7" t="inlineStr">
        <is>
          <t>A7-F Main Events of Jesus’ Earthly Life—Jesus’ Later Ministry East of the Jordan</t>
        </is>
      </c>
      <c r="X628" s="9" t="inlineStr">
        <is>
          <t>open</t>
        </is>
      </c>
      <c r="Y628" s="9" t="inlineStr">
        <is>
          <t>open</t>
        </is>
      </c>
      <c r="Z628" s="7" t="inlineStr">
        <is>
          <t>https://wol.jw.org/en/wol/d/r1/lp-e/1001070212
https://wol.jw.org/en/wol/d/r1/lp-e/1001061212
https://wol.jw.org/en/wol/d/r1/lp-e/1200002451</t>
        </is>
      </c>
      <c r="AA628" s="7" t="n">
        <v>1</v>
      </c>
      <c r="AB628" s="9" t="inlineStr">
        <is>
          <t>open</t>
        </is>
      </c>
      <c r="AC628" s="7" t="n">
        <v>1</v>
      </c>
      <c r="AD628" s="7" t="inlineStr">
        <is>
          <t>Wording in pre-2013 Insight chart (it-2 'Jesus Christ', par 751): “Illustrations: importunate widow, Pharisee and tax collector”.</t>
        </is>
      </c>
      <c r="AE628" s="7" t="n"/>
      <c r="AF628" s="7" t="n"/>
      <c r="AG628" s="7" t="n"/>
      <c r="AH628" s="7" t="n"/>
      <c r="AI628" s="7" t="n"/>
      <c r="AJ628" s="7" t="n"/>
      <c r="AK628" s="7" t="n"/>
      <c r="AL628" s="7" t="n"/>
      <c r="AM628" s="7" t="n">
        <v>32.974</v>
      </c>
      <c r="AN628" s="10" t="n"/>
      <c r="AO628" s="10" t="n"/>
      <c r="AP628" s="10" t="n"/>
      <c r="AQ628" s="10" t="n"/>
    </row>
    <row r="629">
      <c r="A629" s="7" t="inlineStr">
        <is>
          <t>b5-0120</t>
        </is>
      </c>
      <c r="B629" s="7" t="inlineStr">
        <is>
          <t>Point</t>
        </is>
      </c>
      <c r="C629" s="7" t="n"/>
      <c r="D629" s="7" t="inlineStr">
        <is>
          <t>32 C.E., after Festival of Dedication</t>
        </is>
      </c>
      <c r="E629" s="7" t="inlineStr">
        <is>
          <t>கி.பி. 32, ஆலய அர்ப்பணப் பண்டிகைக்குப் பின்பு</t>
        </is>
      </c>
      <c r="F629" s="7" t="inlineStr">
        <is>
          <t>32 CE</t>
        </is>
      </c>
      <c r="G629" s="7" t="inlineStr">
        <is>
          <t>After (a.)</t>
        </is>
      </c>
      <c r="H629" s="7" t="n"/>
      <c r="I629" s="7" t="n"/>
      <c r="J629" s="7" t="n"/>
      <c r="K629" s="2" t="inlineStr">
        <is>
          <t>Teaches on marriage and divorce</t>
        </is>
      </c>
      <c r="L629" s="2" t="inlineStr">
        <is>
          <t>திருமணம், விவாகரத்து பற்றிக் கற்றுக்கொடுக்கிறார்</t>
        </is>
      </c>
      <c r="M629" s="7" t="inlineStr">
        <is>
          <t>Teaches on marriage and divorce. The place is given as Perea. NWT Study Edition Appendix A7-F (“Jesus’ Later Ministry East of the Jordan”) dates this to 32 C.E., after Festival of Dedication.</t>
        </is>
      </c>
      <c r="N629" s="7" t="inlineStr">
        <is>
          <t>திருமணம், விவாகரத்து பற்றிக் கற்றுக்கொடுக்கிறார் — பெரேயா</t>
        </is>
      </c>
      <c r="O629" s="8" t="inlineStr">
        <is>
          <t>Bible</t>
        </is>
      </c>
      <c r="P629" s="7" t="inlineStr">
        <is>
          <t>bible.jesus</t>
        </is>
      </c>
      <c r="Q629" s="7" t="inlineStr">
        <is>
          <t>teaching</t>
        </is>
      </c>
      <c r="R629" s="7" t="inlineStr">
        <is>
          <t>Jesus</t>
        </is>
      </c>
      <c r="S629" s="7" t="inlineStr">
        <is>
          <t>Perea</t>
        </is>
      </c>
      <c r="T629" s="7" t="inlineStr">
        <is>
          <t>Matt. 19:1-12; Mark 10:1-12</t>
        </is>
      </c>
      <c r="U629" s="7" t="inlineStr">
        <is>
          <t>மத் 19:1-12; மாற் 10:1-12</t>
        </is>
      </c>
      <c r="V629" s="7" t="n">
        <v>3</v>
      </c>
      <c r="W629" s="7" t="inlineStr">
        <is>
          <t>A7-F Main Events of Jesus’ Earthly Life—Jesus’ Later Ministry East of the Jordan</t>
        </is>
      </c>
      <c r="X629" s="9" t="inlineStr">
        <is>
          <t>open</t>
        </is>
      </c>
      <c r="Y629" s="9" t="inlineStr">
        <is>
          <t>open</t>
        </is>
      </c>
      <c r="Z629" s="7" t="inlineStr">
        <is>
          <t>https://wol.jw.org/en/wol/d/r1/lp-e/1001070212
https://wol.jw.org/en/wol/d/r1/lp-e/1001061212
https://wol.jw.org/en/wol/d/r1/lp-e/1200002451</t>
        </is>
      </c>
      <c r="AA629" s="7" t="n">
        <v>1</v>
      </c>
      <c r="AB629" s="9" t="inlineStr">
        <is>
          <t>open</t>
        </is>
      </c>
      <c r="AC629" s="7" t="n">
        <v>1</v>
      </c>
      <c r="AD629" s="7" t="inlineStr">
        <is>
          <t>Wording in pre-2013 Insight chart (it-2 'Jesus Christ', par 758): “Swings down through Perea; teaches on divorce”.</t>
        </is>
      </c>
      <c r="AE629" s="7" t="n"/>
      <c r="AF629" s="7" t="n"/>
      <c r="AG629" s="7" t="n"/>
      <c r="AH629" s="7" t="n"/>
      <c r="AI629" s="7" t="n"/>
      <c r="AJ629" s="7" t="n"/>
      <c r="AK629" s="7" t="n"/>
      <c r="AL629" s="7" t="n"/>
      <c r="AM629" s="7" t="n">
        <v>32.975</v>
      </c>
      <c r="AN629" s="10" t="n"/>
      <c r="AO629" s="10" t="n"/>
      <c r="AP629" s="10" t="n"/>
      <c r="AQ629" s="10" t="n"/>
    </row>
    <row r="630">
      <c r="A630" s="7" t="inlineStr">
        <is>
          <t>b5-0121</t>
        </is>
      </c>
      <c r="B630" s="7" t="inlineStr">
        <is>
          <t>Point</t>
        </is>
      </c>
      <c r="C630" s="7" t="n"/>
      <c r="D630" s="7" t="inlineStr">
        <is>
          <t>32 C.E., after Festival of Dedication</t>
        </is>
      </c>
      <c r="E630" s="7" t="inlineStr">
        <is>
          <t>கி.பி. 32, ஆலய அர்ப்பணப் பண்டிகைக்குப் பின்பு</t>
        </is>
      </c>
      <c r="F630" s="7" t="inlineStr">
        <is>
          <t>32 CE</t>
        </is>
      </c>
      <c r="G630" s="7" t="inlineStr">
        <is>
          <t>After (a.)</t>
        </is>
      </c>
      <c r="H630" s="7" t="n"/>
      <c r="I630" s="7" t="n"/>
      <c r="J630" s="7" t="n"/>
      <c r="K630" s="2" t="inlineStr">
        <is>
          <t>Blesses the children</t>
        </is>
      </c>
      <c r="L630" s="2" t="inlineStr">
        <is>
          <t>குழந்தைகளை ஆசீர்வதிக்கிறார்</t>
        </is>
      </c>
      <c r="M630" s="7" t="inlineStr">
        <is>
          <t>Blesses the children. The place is given as Perea. NWT Study Edition Appendix A7-F (“Jesus’ Later Ministry East of the Jordan”) dates this to 32 C.E., after Festival of Dedication.</t>
        </is>
      </c>
      <c r="N630" s="7" t="inlineStr">
        <is>
          <t>குழந்தைகளை ஆசீர்வதிக்கிறார் — பெரேயா</t>
        </is>
      </c>
      <c r="O630" s="8" t="inlineStr">
        <is>
          <t>Bible</t>
        </is>
      </c>
      <c r="P630" s="7" t="inlineStr">
        <is>
          <t>bible.jesus</t>
        </is>
      </c>
      <c r="Q630" s="7" t="inlineStr">
        <is>
          <t>teaching</t>
        </is>
      </c>
      <c r="R630" s="7" t="inlineStr">
        <is>
          <t>Jesus</t>
        </is>
      </c>
      <c r="S630" s="7" t="inlineStr">
        <is>
          <t>Perea</t>
        </is>
      </c>
      <c r="T630" s="7" t="inlineStr">
        <is>
          <t>Matt. 19:13-15; Mark 10:13-16; Luke 18:15-17</t>
        </is>
      </c>
      <c r="U630" s="7" t="inlineStr">
        <is>
          <t>மத் 19:13-15; மாற் 10:13-16; லூக் 18:15-17</t>
        </is>
      </c>
      <c r="V630" s="7" t="n">
        <v>3</v>
      </c>
      <c r="W630" s="7" t="inlineStr">
        <is>
          <t>A7-F Main Events of Jesus’ Earthly Life—Jesus’ Later Ministry East of the Jordan</t>
        </is>
      </c>
      <c r="X630" s="9" t="inlineStr">
        <is>
          <t>open</t>
        </is>
      </c>
      <c r="Y630" s="9" t="inlineStr">
        <is>
          <t>open</t>
        </is>
      </c>
      <c r="Z630" s="7" t="inlineStr">
        <is>
          <t>https://wol.jw.org/en/wol/d/r1/lp-e/1001070212
https://wol.jw.org/en/wol/d/r1/lp-e/1001061212
https://wol.jw.org/en/wol/d/r1/lp-e/1200002451</t>
        </is>
      </c>
      <c r="AA630" s="7" t="n">
        <v>1</v>
      </c>
      <c r="AB630" s="9" t="inlineStr">
        <is>
          <t>open</t>
        </is>
      </c>
      <c r="AC630" s="7" t="n">
        <v>1</v>
      </c>
      <c r="AD630" s="7" t="inlineStr">
        <is>
          <t>Wording in pre-2013 Insight chart (it-2 'Jesus Christ', par 765): “Receives and blesses children”.</t>
        </is>
      </c>
      <c r="AE630" s="7" t="n"/>
      <c r="AF630" s="7" t="n"/>
      <c r="AG630" s="7" t="n"/>
      <c r="AH630" s="7" t="n"/>
      <c r="AI630" s="7" t="n"/>
      <c r="AJ630" s="7" t="n"/>
      <c r="AK630" s="7" t="n"/>
      <c r="AL630" s="7" t="n"/>
      <c r="AM630" s="7" t="n">
        <v>32.976</v>
      </c>
      <c r="AN630" s="10" t="n"/>
      <c r="AO630" s="10" t="n"/>
      <c r="AP630" s="10" t="n"/>
      <c r="AQ630" s="10" t="n"/>
    </row>
    <row r="631">
      <c r="A631" s="7" t="inlineStr">
        <is>
          <t>b5-0122</t>
        </is>
      </c>
      <c r="B631" s="7" t="inlineStr">
        <is>
          <t>Point</t>
        </is>
      </c>
      <c r="C631" s="7" t="n"/>
      <c r="D631" s="7" t="inlineStr">
        <is>
          <t>32 C.E., after Festival of Dedication</t>
        </is>
      </c>
      <c r="E631" s="7" t="inlineStr">
        <is>
          <t>கி.பி. 32, ஆலய அர்ப்பணப் பண்டிகைக்குப் பின்பு</t>
        </is>
      </c>
      <c r="F631" s="7" t="inlineStr">
        <is>
          <t>32 CE</t>
        </is>
      </c>
      <c r="G631" s="7" t="inlineStr">
        <is>
          <t>After (a.)</t>
        </is>
      </c>
      <c r="H631" s="7" t="n"/>
      <c r="I631" s="7" t="n"/>
      <c r="J631" s="7" t="n"/>
      <c r="K631" s="2" t="inlineStr">
        <is>
          <t>Rich man’s question</t>
        </is>
      </c>
      <c r="L631" s="2" t="inlineStr">
        <is>
          <t>பணக்காரனின் கேள்வி</t>
        </is>
      </c>
      <c r="M631" s="7" t="inlineStr">
        <is>
          <t>Rich man’s question. The place is given as Perea. NWT Study Edition Appendix A7-F (“Jesus’ Later Ministry East of the Jordan”) dates this to 32 C.E., after Festival of Dedication; the source row combines it with related events (“Rich man’s question; illustration of vineyard workers and equal pay”).</t>
        </is>
      </c>
      <c r="N631" s="7" t="inlineStr">
        <is>
          <t>பணக்காரனின் கேள்வி; திராட்சைத் தோட்ட வேலையாட்கள் மற்றும் சமமான கூலி பற்றிய உவமை — பெரேயா</t>
        </is>
      </c>
      <c r="O631" s="8" t="inlineStr">
        <is>
          <t>Bible</t>
        </is>
      </c>
      <c r="P631" s="7" t="inlineStr">
        <is>
          <t>bible.jesus</t>
        </is>
      </c>
      <c r="Q631" s="7" t="inlineStr">
        <is>
          <t>teaching</t>
        </is>
      </c>
      <c r="R631" s="7" t="inlineStr">
        <is>
          <t>Jesus</t>
        </is>
      </c>
      <c r="S631" s="7" t="inlineStr">
        <is>
          <t>Perea</t>
        </is>
      </c>
      <c r="T631" s="7" t="inlineStr">
        <is>
          <t>Matt. 19:16–20:16; Mark 10:17-31; Luke 18:18-30</t>
        </is>
      </c>
      <c r="U631" s="7" t="inlineStr">
        <is>
          <t>மத் 19:16–20:16; மாற் 10:17-31; லூக் 18:18-30</t>
        </is>
      </c>
      <c r="V631" s="7" t="n">
        <v>3</v>
      </c>
      <c r="W631" s="7" t="inlineStr">
        <is>
          <t>A7-F Main Events of Jesus’ Earthly Life—Jesus’ Later Ministry East of the Jordan</t>
        </is>
      </c>
      <c r="X631" s="9" t="inlineStr">
        <is>
          <t>open</t>
        </is>
      </c>
      <c r="Y631" s="9" t="inlineStr">
        <is>
          <t>open</t>
        </is>
      </c>
      <c r="Z631" s="7" t="inlineStr">
        <is>
          <t>https://wol.jw.org/en/wol/d/r1/lp-e/1001070212
https://wol.jw.org/en/wol/d/r1/lp-e/1001061212
https://wol.jw.org/en/wol/d/r1/lp-e/1200002451</t>
        </is>
      </c>
      <c r="AA631" s="7" t="n">
        <v>1</v>
      </c>
      <c r="AB631" s="9" t="inlineStr">
        <is>
          <t>open</t>
        </is>
      </c>
      <c r="AC631" s="7" t="n">
        <v>1</v>
      </c>
      <c r="AD631" s="7" t="inlineStr">
        <is>
          <t>Wording in pre-2013 Insight chart (it-2 'Jesus Christ', par 772): “Rich young man; illustration of laborers in vineyard”.</t>
        </is>
      </c>
      <c r="AE631" s="7" t="n"/>
      <c r="AF631" s="7" t="n"/>
      <c r="AG631" s="7" t="n"/>
      <c r="AH631" s="7" t="n"/>
      <c r="AI631" s="7" t="n"/>
      <c r="AJ631" s="7" t="n"/>
      <c r="AK631" s="7" t="n"/>
      <c r="AL631" s="7" t="inlineStr">
        <is>
          <t>A7 row #88 split into 2 events; scripture references cover the whole source row.</t>
        </is>
      </c>
      <c r="AM631" s="7" t="n">
        <v>32.977</v>
      </c>
      <c r="AN631" s="10" t="n"/>
      <c r="AO631" s="10" t="n"/>
      <c r="AP631" s="10" t="n"/>
      <c r="AQ631" s="10" t="n"/>
    </row>
    <row r="632">
      <c r="A632" s="7" t="inlineStr">
        <is>
          <t>b5-0123</t>
        </is>
      </c>
      <c r="B632" s="7" t="inlineStr">
        <is>
          <t>Point</t>
        </is>
      </c>
      <c r="C632" s="7" t="n"/>
      <c r="D632" s="7" t="inlineStr">
        <is>
          <t>32 C.E., after Festival of Dedication</t>
        </is>
      </c>
      <c r="E632" s="7" t="inlineStr">
        <is>
          <t>கி.பி. 32, ஆலய அர்ப்பணப் பண்டிகைக்குப் பின்பு</t>
        </is>
      </c>
      <c r="F632" s="7" t="inlineStr">
        <is>
          <t>32 CE</t>
        </is>
      </c>
      <c r="G632" s="7" t="inlineStr">
        <is>
          <t>After (a.)</t>
        </is>
      </c>
      <c r="H632" s="7" t="n"/>
      <c r="I632" s="7" t="n"/>
      <c r="J632" s="7" t="n"/>
      <c r="K632" s="2" t="inlineStr">
        <is>
          <t>Illustration of vineyard workers and equal pay</t>
        </is>
      </c>
      <c r="L632" s="2" t="inlineStr">
        <is>
          <t>திராட்சைத் தோட்ட வேலையாட்கள் மற்றும் சமமான கூலி பற்றிய உவமை</t>
        </is>
      </c>
      <c r="M632" s="7" t="inlineStr">
        <is>
          <t>Illustration of vineyard workers and equal pay. The place is given as Perea. NWT Study Edition Appendix A7-F (“Jesus’ Later Ministry East of the Jordan”) dates this to 32 C.E., after Festival of Dedication; the source row combines it with related events (“Rich man’s question; illustration of vineyard workers and equal pay”).</t>
        </is>
      </c>
      <c r="N632" s="7" t="inlineStr">
        <is>
          <t>பணக்காரனின் கேள்வி; திராட்சைத் தோட்ட வேலையாட்கள் மற்றும் சமமான கூலி பற்றிய உவமை — பெரேயா</t>
        </is>
      </c>
      <c r="O632" s="8" t="inlineStr">
        <is>
          <t>Bible</t>
        </is>
      </c>
      <c r="P632" s="7" t="inlineStr">
        <is>
          <t>bible.jesus</t>
        </is>
      </c>
      <c r="Q632" s="7" t="inlineStr">
        <is>
          <t>parable</t>
        </is>
      </c>
      <c r="R632" s="7" t="inlineStr">
        <is>
          <t>Jesus</t>
        </is>
      </c>
      <c r="S632" s="7" t="inlineStr">
        <is>
          <t>Perea</t>
        </is>
      </c>
      <c r="T632" s="7" t="inlineStr">
        <is>
          <t>Matt. 19:16–20:16; Mark 10:17-31; Luke 18:18-30</t>
        </is>
      </c>
      <c r="U632" s="7" t="inlineStr">
        <is>
          <t>மத் 19:16–20:16; மாற் 10:17-31; லூக் 18:18-30</t>
        </is>
      </c>
      <c r="V632" s="7" t="n">
        <v>3</v>
      </c>
      <c r="W632" s="7" t="inlineStr">
        <is>
          <t>A7-F Main Events of Jesus’ Earthly Life—Jesus’ Later Ministry East of the Jordan</t>
        </is>
      </c>
      <c r="X632" s="9" t="inlineStr">
        <is>
          <t>open</t>
        </is>
      </c>
      <c r="Y632" s="9" t="inlineStr">
        <is>
          <t>open</t>
        </is>
      </c>
      <c r="Z632" s="7" t="inlineStr">
        <is>
          <t>https://wol.jw.org/en/wol/d/r1/lp-e/1001070212
https://wol.jw.org/en/wol/d/r1/lp-e/1001061212
https://wol.jw.org/en/wol/d/r1/lp-e/1200002451</t>
        </is>
      </c>
      <c r="AA632" s="7" t="n">
        <v>1</v>
      </c>
      <c r="AB632" s="9" t="inlineStr">
        <is>
          <t>open</t>
        </is>
      </c>
      <c r="AC632" s="7" t="n">
        <v>1</v>
      </c>
      <c r="AD632" s="7" t="inlineStr">
        <is>
          <t>Wording in pre-2013 Insight chart (it-2 'Jesus Christ', par 772): “Rich young man; illustration of laborers in vineyard”.</t>
        </is>
      </c>
      <c r="AE632" s="7" t="n"/>
      <c r="AF632" s="7" t="n"/>
      <c r="AG632" s="7" t="n"/>
      <c r="AH632" s="7" t="n"/>
      <c r="AI632" s="7" t="n"/>
      <c r="AJ632" s="7" t="n"/>
      <c r="AK632" s="7" t="n"/>
      <c r="AL632" s="7" t="inlineStr">
        <is>
          <t>A7 row #88 split into 2 events; scripture references cover the whole source row.</t>
        </is>
      </c>
      <c r="AM632" s="7" t="n">
        <v>32.978</v>
      </c>
      <c r="AN632" s="10" t="n"/>
      <c r="AO632" s="10" t="n"/>
      <c r="AP632" s="10" t="n"/>
      <c r="AQ632" s="10" t="n"/>
    </row>
    <row r="633">
      <c r="A633" s="7" t="inlineStr">
        <is>
          <t>b5-0124</t>
        </is>
      </c>
      <c r="B633" s="7" t="inlineStr">
        <is>
          <t>Point</t>
        </is>
      </c>
      <c r="C633" s="7" t="n"/>
      <c r="D633" s="7" t="inlineStr">
        <is>
          <t>32 C.E., after Festival of Dedication</t>
        </is>
      </c>
      <c r="E633" s="7" t="inlineStr">
        <is>
          <t>கி.பி. 32, ஆலய அர்ப்பணப் பண்டிகைக்குப் பின்பு</t>
        </is>
      </c>
      <c r="F633" s="7" t="inlineStr">
        <is>
          <t>32 CE</t>
        </is>
      </c>
      <c r="G633" s="7" t="inlineStr">
        <is>
          <t>After (a.)</t>
        </is>
      </c>
      <c r="H633" s="7" t="n"/>
      <c r="I633" s="7" t="n"/>
      <c r="J633" s="7" t="n"/>
      <c r="K633" s="2" t="inlineStr">
        <is>
          <t>Foretells his death a third time</t>
        </is>
      </c>
      <c r="L633" s="2" t="inlineStr">
        <is>
          <t>தன் மரணத்தைப் பற்றி மூன்றாவது தடவை முன்னறிவிக்கிறார்</t>
        </is>
      </c>
      <c r="M633" s="7" t="inlineStr">
        <is>
          <t>Foretells his death a third time. The place is given as Probably Perea. NWT Study Edition Appendix A7-F (“Jesus’ Later Ministry East of the Jordan”) dates this to 32 C.E., after Festival of Dedication.</t>
        </is>
      </c>
      <c r="N633" s="7" t="inlineStr">
        <is>
          <t>தன் மரணத்தைப் பற்றி மூன்றாவது தடவை முன்னறிவிக்கிறார் — ஒருவேளை பெரேயா</t>
        </is>
      </c>
      <c r="O633" s="8" t="inlineStr">
        <is>
          <t>Bible</t>
        </is>
      </c>
      <c r="P633" s="7" t="inlineStr">
        <is>
          <t>bible.jesus</t>
        </is>
      </c>
      <c r="Q633" s="7" t="inlineStr">
        <is>
          <t>prophecy</t>
        </is>
      </c>
      <c r="R633" s="7" t="inlineStr">
        <is>
          <t>Jesus</t>
        </is>
      </c>
      <c r="S633" s="7" t="inlineStr">
        <is>
          <t>Perea</t>
        </is>
      </c>
      <c r="T633" s="7" t="inlineStr">
        <is>
          <t>Matt. 20:17-19; Mark 10:32-34; Luke 18:31-34</t>
        </is>
      </c>
      <c r="U633" s="7" t="inlineStr">
        <is>
          <t>மத் 20:17-19; மாற் 10:32-34; லூக் 18:31-34</t>
        </is>
      </c>
      <c r="V633" s="7" t="n">
        <v>3</v>
      </c>
      <c r="W633" s="7" t="inlineStr">
        <is>
          <t>A7-F Main Events of Jesus’ Earthly Life—Jesus’ Later Ministry East of the Jordan</t>
        </is>
      </c>
      <c r="X633" s="9" t="inlineStr">
        <is>
          <t>open</t>
        </is>
      </c>
      <c r="Y633" s="9" t="inlineStr">
        <is>
          <t>open</t>
        </is>
      </c>
      <c r="Z633" s="7" t="inlineStr">
        <is>
          <t>https://wol.jw.org/en/wol/d/r1/lp-e/1001070212
https://wol.jw.org/en/wol/d/r1/lp-e/1001061212
https://wol.jw.org/en/wol/d/r1/lp-e/1200002451</t>
        </is>
      </c>
      <c r="AA633" s="7" t="n">
        <v>1</v>
      </c>
      <c r="AB633" s="9" t="inlineStr">
        <is>
          <t>open</t>
        </is>
      </c>
      <c r="AC633" s="7" t="n">
        <v>1</v>
      </c>
      <c r="AD633" s="7" t="inlineStr">
        <is>
          <t>Wording in pre-2013 Insight chart (it-2 'Jesus Christ', par 779): “Third time Jesus foretells his death, resurrection”.</t>
        </is>
      </c>
      <c r="AE633" s="7" t="n"/>
      <c r="AF633" s="7" t="n"/>
      <c r="AG633" s="7" t="n"/>
      <c r="AH633" s="7" t="n"/>
      <c r="AI633" s="7" t="n"/>
      <c r="AJ633" s="7" t="n"/>
      <c r="AK633" s="7" t="n"/>
      <c r="AL633" s="7" t="n"/>
      <c r="AM633" s="7" t="n">
        <v>32.979</v>
      </c>
      <c r="AN633" s="10" t="n"/>
      <c r="AO633" s="10" t="n"/>
      <c r="AP633" s="10" t="n"/>
      <c r="AQ633" s="10" t="n"/>
    </row>
    <row r="634">
      <c r="A634" s="7" t="inlineStr">
        <is>
          <t>b5-0125</t>
        </is>
      </c>
      <c r="B634" s="7" t="inlineStr">
        <is>
          <t>Point</t>
        </is>
      </c>
      <c r="C634" s="7" t="n"/>
      <c r="D634" s="7" t="inlineStr">
        <is>
          <t>32 C.E., after Festival of Dedication</t>
        </is>
      </c>
      <c r="E634" s="7" t="inlineStr">
        <is>
          <t>கி.பி. 32, ஆலய அர்ப்பணப் பண்டிகைக்குப் பின்பு</t>
        </is>
      </c>
      <c r="F634" s="7" t="inlineStr">
        <is>
          <t>32 CE</t>
        </is>
      </c>
      <c r="G634" s="7" t="inlineStr">
        <is>
          <t>After (a.)</t>
        </is>
      </c>
      <c r="H634" s="7" t="n"/>
      <c r="I634" s="7" t="n"/>
      <c r="J634" s="7" t="n"/>
      <c r="K634" s="2" t="inlineStr">
        <is>
          <t>Request for James’ and John’s position in the Kingdom</t>
        </is>
      </c>
      <c r="L634" s="2" t="inlineStr">
        <is>
          <t>யாக்கோபும் யோவானும் கடவுளுடைய அரசாங்கத்தில் முக்கிய இடம் கேட்கிறார்கள்</t>
        </is>
      </c>
      <c r="M634" s="7" t="inlineStr">
        <is>
          <t>Request for James’ and John’s position in the Kingdom. The place is given as Probably Perea. NWT Study Edition Appendix A7-F (“Jesus’ Later Ministry East of the Jordan”) dates this to 32 C.E., after Festival of Dedication.</t>
        </is>
      </c>
      <c r="N634" s="7" t="inlineStr">
        <is>
          <t>யாக்கோபும் யோவானும் கடவுளுடைய அரசாங்கத்தில் முக்கிய இடம் கேட்கிறார்கள் — ஒருவேளை பெரேயா</t>
        </is>
      </c>
      <c r="O634" s="8" t="inlineStr">
        <is>
          <t>Bible</t>
        </is>
      </c>
      <c r="P634" s="7" t="inlineStr">
        <is>
          <t>bible.jesus</t>
        </is>
      </c>
      <c r="Q634" s="7" t="inlineStr">
        <is>
          <t>teaching</t>
        </is>
      </c>
      <c r="R634" s="7" t="inlineStr">
        <is>
          <t>Jesus; James; John (apostle)</t>
        </is>
      </c>
      <c r="S634" s="7" t="inlineStr">
        <is>
          <t>Perea</t>
        </is>
      </c>
      <c r="T634" s="7" t="inlineStr">
        <is>
          <t>Matt. 20:20-28; Mark 10:35-45</t>
        </is>
      </c>
      <c r="U634" s="7" t="inlineStr">
        <is>
          <t>மத் 20:20-28; மாற் 10:35-45</t>
        </is>
      </c>
      <c r="V634" s="7" t="n">
        <v>3</v>
      </c>
      <c r="W634" s="7" t="inlineStr">
        <is>
          <t>A7-F Main Events of Jesus’ Earthly Life—Jesus’ Later Ministry East of the Jordan</t>
        </is>
      </c>
      <c r="X634" s="9" t="inlineStr">
        <is>
          <t>open</t>
        </is>
      </c>
      <c r="Y634" s="9" t="inlineStr">
        <is>
          <t>open</t>
        </is>
      </c>
      <c r="Z634" s="7" t="inlineStr">
        <is>
          <t>https://wol.jw.org/en/wol/d/r1/lp-e/1001070212
https://wol.jw.org/en/wol/d/r1/lp-e/1001061212
https://wol.jw.org/en/wol/d/r1/lp-e/1200002451</t>
        </is>
      </c>
      <c r="AA634" s="7" t="n">
        <v>1</v>
      </c>
      <c r="AB634" s="9" t="inlineStr">
        <is>
          <t>open</t>
        </is>
      </c>
      <c r="AC634" s="7" t="n">
        <v>1</v>
      </c>
      <c r="AD634" s="7" t="inlineStr">
        <is>
          <t>Wording in pre-2013 Insight chart (it-2 'Jesus Christ', par 786): “Request for James’ and John’s seating in Kingdom”.</t>
        </is>
      </c>
      <c r="AE634" s="7" t="n"/>
      <c r="AF634" s="7" t="n"/>
      <c r="AG634" s="7" t="n"/>
      <c r="AH634" s="7" t="n"/>
      <c r="AI634" s="7" t="n"/>
      <c r="AJ634" s="7" t="n"/>
      <c r="AK634" s="7" t="n"/>
      <c r="AL634" s="7" t="n"/>
      <c r="AM634" s="7" t="n">
        <v>32.98</v>
      </c>
      <c r="AN634" s="10" t="n"/>
      <c r="AO634" s="10" t="n"/>
      <c r="AP634" s="10" t="n"/>
      <c r="AQ634" s="10" t="n"/>
    </row>
    <row r="635">
      <c r="A635" s="7" t="inlineStr">
        <is>
          <t>b5-0126</t>
        </is>
      </c>
      <c r="B635" s="7" t="inlineStr">
        <is>
          <t>Point</t>
        </is>
      </c>
      <c r="C635" s="7" t="n"/>
      <c r="D635" s="7" t="inlineStr">
        <is>
          <t>32 C.E., after Festival of Dedication</t>
        </is>
      </c>
      <c r="E635" s="7" t="inlineStr">
        <is>
          <t>கி.பி. 32, ஆலய அர்ப்பணப் பண்டிகைக்குப் பின்பு</t>
        </is>
      </c>
      <c r="F635" s="7" t="inlineStr">
        <is>
          <t>32 CE</t>
        </is>
      </c>
      <c r="G635" s="7" t="inlineStr">
        <is>
          <t>After (a.)</t>
        </is>
      </c>
      <c r="H635" s="7" t="n"/>
      <c r="I635" s="7" t="n"/>
      <c r="J635" s="7" t="n"/>
      <c r="K635" s="2" t="inlineStr">
        <is>
          <t>Passing through Jericho, Jesus heals two blind men</t>
        </is>
      </c>
      <c r="L635" s="2" t="inlineStr">
        <is>
          <t>வழியாகப் போகிறார், கண் தெரியாத இரண்டு பேரைக் குணப்படுத்துகிறார்</t>
        </is>
      </c>
      <c r="M635" s="7" t="inlineStr">
        <is>
          <t>Passing through Jericho, Jesus heals two blind men. The place is given as Jericho. NWT Study Edition Appendix A7-F (“Jesus’ Later Ministry East of the Jordan”) dates this to 32 C.E., after Festival of Dedication; the source row combines it with related events (“Passing through, heals two blind men; visits Zacchaeus; ten minas illustration”).</t>
        </is>
      </c>
      <c r="N635" s="7" t="inlineStr">
        <is>
          <t>வழியாகப் போகிறார், கண் தெரியாத இரண்டு பேரைக் குணப்படுத்துகிறார்; சகேயுவைச் சந்திக்கிறார்; பத்து மினாவைப் பற்றிய உவமை — எரிகோ</t>
        </is>
      </c>
      <c r="O635" s="8" t="inlineStr">
        <is>
          <t>Bible</t>
        </is>
      </c>
      <c r="P635" s="7" t="inlineStr">
        <is>
          <t>bible.jesus</t>
        </is>
      </c>
      <c r="Q635" s="7" t="inlineStr">
        <is>
          <t>miracle</t>
        </is>
      </c>
      <c r="R635" s="7" t="inlineStr">
        <is>
          <t>Jesus</t>
        </is>
      </c>
      <c r="S635" s="7" t="inlineStr">
        <is>
          <t>Jericho</t>
        </is>
      </c>
      <c r="T635" s="7" t="inlineStr">
        <is>
          <t>Matt. 20:29-34; Mark 10:46-52; Luke 18:35–19:28</t>
        </is>
      </c>
      <c r="U635" s="7" t="inlineStr">
        <is>
          <t>மத் 20:29-34; மாற் 10:46-52; லூக் 18:35–19:28</t>
        </is>
      </c>
      <c r="V635" s="7" t="n">
        <v>3</v>
      </c>
      <c r="W635" s="7" t="inlineStr">
        <is>
          <t>A7-F Main Events of Jesus’ Earthly Life—Jesus’ Later Ministry East of the Jordan</t>
        </is>
      </c>
      <c r="X635" s="9" t="inlineStr">
        <is>
          <t>open</t>
        </is>
      </c>
      <c r="Y635" s="9" t="inlineStr">
        <is>
          <t>open</t>
        </is>
      </c>
      <c r="Z635" s="7" t="inlineStr">
        <is>
          <t>https://wol.jw.org/en/wol/d/r1/lp-e/1001070212
https://wol.jw.org/en/wol/d/r1/lp-e/1001061212
https://wol.jw.org/en/wol/d/r1/lp-e/1200002451</t>
        </is>
      </c>
      <c r="AA635" s="7" t="n">
        <v>1</v>
      </c>
      <c r="AB635" s="9" t="inlineStr">
        <is>
          <t>open</t>
        </is>
      </c>
      <c r="AC635" s="7" t="n">
        <v>1</v>
      </c>
      <c r="AD635" s="7" t="inlineStr">
        <is>
          <t>Wording in pre-2013 Insight chart (it-2 'Jesus Christ', par 793): “Passing through Jericho, he heals two blind men; visits Zacchaeus; illustration of the ten minas”.</t>
        </is>
      </c>
      <c r="AE635" s="7" t="n"/>
      <c r="AF635" s="7" t="n"/>
      <c r="AG635" s="7" t="n"/>
      <c r="AH635" s="7" t="n"/>
      <c r="AI635" s="7" t="n"/>
      <c r="AJ635" s="7" t="n"/>
      <c r="AK635" s="7" t="n"/>
      <c r="AL635" s="7" t="inlineStr">
        <is>
          <t>A7 row #91 split into 3 events; scripture references cover the whole source row.</t>
        </is>
      </c>
      <c r="AM635" s="7" t="n">
        <v>32.981</v>
      </c>
      <c r="AN635" s="10" t="n"/>
      <c r="AO635" s="10" t="n"/>
      <c r="AP635" s="10" t="n"/>
      <c r="AQ635" s="10" t="n"/>
    </row>
    <row r="636">
      <c r="A636" s="7" t="inlineStr">
        <is>
          <t>b5-0127</t>
        </is>
      </c>
      <c r="B636" s="7" t="inlineStr">
        <is>
          <t>Point</t>
        </is>
      </c>
      <c r="C636" s="7" t="n"/>
      <c r="D636" s="7" t="inlineStr">
        <is>
          <t>32 C.E., after Festival of Dedication</t>
        </is>
      </c>
      <c r="E636" s="7" t="inlineStr">
        <is>
          <t>கி.பி. 32, ஆலய அர்ப்பணப் பண்டிகைக்குப் பின்பு</t>
        </is>
      </c>
      <c r="F636" s="7" t="inlineStr">
        <is>
          <t>32 CE</t>
        </is>
      </c>
      <c r="G636" s="7" t="inlineStr">
        <is>
          <t>After (a.)</t>
        </is>
      </c>
      <c r="H636" s="7" t="n"/>
      <c r="I636" s="7" t="n"/>
      <c r="J636" s="7" t="n"/>
      <c r="K636" s="2" t="inlineStr">
        <is>
          <t>Jesus visits Zacchaeus</t>
        </is>
      </c>
      <c r="L636" s="2" t="inlineStr">
        <is>
          <t>சகேயுவைச் சந்திக்கிறார்</t>
        </is>
      </c>
      <c r="M636" s="7" t="inlineStr">
        <is>
          <t>Jesus visits Zacchaeus. The place is given as Jericho. NWT Study Edition Appendix A7-F (“Jesus’ Later Ministry East of the Jordan”) dates this to 32 C.E., after Festival of Dedication; the source row combines it with related events (“Passing through, heals two blind men; visits Zacchaeus; ten minas illustration”).</t>
        </is>
      </c>
      <c r="N636" s="7" t="inlineStr">
        <is>
          <t>வழியாகப் போகிறார், கண் தெரியாத இரண்டு பேரைக் குணப்படுத்துகிறார்; சகேயுவைச் சந்திக்கிறார்; பத்து மினாவைப் பற்றிய உவமை — எரிகோ</t>
        </is>
      </c>
      <c r="O636" s="8" t="inlineStr">
        <is>
          <t>Bible</t>
        </is>
      </c>
      <c r="P636" s="7" t="inlineStr">
        <is>
          <t>bible.jesus</t>
        </is>
      </c>
      <c r="Q636" s="7" t="inlineStr">
        <is>
          <t>journey</t>
        </is>
      </c>
      <c r="R636" s="7" t="inlineStr">
        <is>
          <t>Jesus; Zacchaeus</t>
        </is>
      </c>
      <c r="S636" s="7" t="inlineStr">
        <is>
          <t>Jericho</t>
        </is>
      </c>
      <c r="T636" s="7" t="inlineStr">
        <is>
          <t>Matt. 20:29-34; Mark 10:46-52; Luke 18:35–19:28</t>
        </is>
      </c>
      <c r="U636" s="7" t="inlineStr">
        <is>
          <t>மத் 20:29-34; மாற் 10:46-52; லூக் 18:35–19:28</t>
        </is>
      </c>
      <c r="V636" s="7" t="n">
        <v>3</v>
      </c>
      <c r="W636" s="7" t="inlineStr">
        <is>
          <t>A7-F Main Events of Jesus’ Earthly Life—Jesus’ Later Ministry East of the Jordan</t>
        </is>
      </c>
      <c r="X636" s="9" t="inlineStr">
        <is>
          <t>open</t>
        </is>
      </c>
      <c r="Y636" s="9" t="inlineStr">
        <is>
          <t>open</t>
        </is>
      </c>
      <c r="Z636" s="7" t="inlineStr">
        <is>
          <t>https://wol.jw.org/en/wol/d/r1/lp-e/1001070212
https://wol.jw.org/en/wol/d/r1/lp-e/1001061212
https://wol.jw.org/en/wol/d/r1/lp-e/1200002451</t>
        </is>
      </c>
      <c r="AA636" s="7" t="n">
        <v>1</v>
      </c>
      <c r="AB636" s="9" t="inlineStr">
        <is>
          <t>open</t>
        </is>
      </c>
      <c r="AC636" s="7" t="n">
        <v>1</v>
      </c>
      <c r="AD636" s="7" t="inlineStr">
        <is>
          <t>Wording in pre-2013 Insight chart (it-2 'Jesus Christ', par 793): “Passing through Jericho, he heals two blind men; visits Zacchaeus; illustration of the ten minas”.</t>
        </is>
      </c>
      <c r="AE636" s="7" t="n"/>
      <c r="AF636" s="7" t="n"/>
      <c r="AG636" s="7" t="n"/>
      <c r="AH636" s="7" t="n"/>
      <c r="AI636" s="7" t="n"/>
      <c r="AJ636" s="7" t="n"/>
      <c r="AK636" s="7" t="n"/>
      <c r="AL636" s="7" t="inlineStr">
        <is>
          <t>A7 row #91 split into 3 events; scripture references cover the whole source row.</t>
        </is>
      </c>
      <c r="AM636" s="7" t="n">
        <v>32.982</v>
      </c>
      <c r="AN636" s="10" t="n"/>
      <c r="AO636" s="10" t="n"/>
      <c r="AP636" s="10" t="n"/>
      <c r="AQ636" s="10" t="n"/>
    </row>
    <row r="637">
      <c r="A637" s="7" t="inlineStr">
        <is>
          <t>b5-0128</t>
        </is>
      </c>
      <c r="B637" s="7" t="inlineStr">
        <is>
          <t>Point</t>
        </is>
      </c>
      <c r="C637" s="7" t="n"/>
      <c r="D637" s="7" t="inlineStr">
        <is>
          <t>32 C.E., after Festival of Dedication</t>
        </is>
      </c>
      <c r="E637" s="7" t="inlineStr">
        <is>
          <t>கி.பி. 32, ஆலய அர்ப்பணப் பண்டிகைக்குப் பின்பு</t>
        </is>
      </c>
      <c r="F637" s="7" t="inlineStr">
        <is>
          <t>32 CE</t>
        </is>
      </c>
      <c r="G637" s="7" t="inlineStr">
        <is>
          <t>After (a.)</t>
        </is>
      </c>
      <c r="H637" s="7" t="n"/>
      <c r="I637" s="7" t="n"/>
      <c r="J637" s="7" t="n"/>
      <c r="K637" s="2" t="inlineStr">
        <is>
          <t>Ten minas illustration</t>
        </is>
      </c>
      <c r="L637" s="2" t="inlineStr">
        <is>
          <t>பத்து மினாவைப் பற்றிய உவமை</t>
        </is>
      </c>
      <c r="M637" s="7" t="inlineStr">
        <is>
          <t>Ten minas illustration. The place is given as Jericho. NWT Study Edition Appendix A7-F (“Jesus’ Later Ministry East of the Jordan”) dates this to 32 C.E., after Festival of Dedication; the source row combines it with related events (“Passing through, heals two blind men; visits Zacchaeus; ten minas illustration”).</t>
        </is>
      </c>
      <c r="N637" s="7" t="inlineStr">
        <is>
          <t>வழியாகப் போகிறார், கண் தெரியாத இரண்டு பேரைக் குணப்படுத்துகிறார்; சகேயுவைச் சந்திக்கிறார்; பத்து மினாவைப் பற்றிய உவமை — எரிகோ</t>
        </is>
      </c>
      <c r="O637" s="8" t="inlineStr">
        <is>
          <t>Bible</t>
        </is>
      </c>
      <c r="P637" s="7" t="inlineStr">
        <is>
          <t>bible.jesus</t>
        </is>
      </c>
      <c r="Q637" s="7" t="inlineStr">
        <is>
          <t>parable</t>
        </is>
      </c>
      <c r="R637" s="7" t="inlineStr">
        <is>
          <t>Jesus</t>
        </is>
      </c>
      <c r="S637" s="7" t="inlineStr">
        <is>
          <t>Jericho</t>
        </is>
      </c>
      <c r="T637" s="7" t="inlineStr">
        <is>
          <t>Matt. 20:29-34; Mark 10:46-52; Luke 18:35–19:28</t>
        </is>
      </c>
      <c r="U637" s="7" t="inlineStr">
        <is>
          <t>மத் 20:29-34; மாற் 10:46-52; லூக் 18:35–19:28</t>
        </is>
      </c>
      <c r="V637" s="7" t="n">
        <v>3</v>
      </c>
      <c r="W637" s="7" t="inlineStr">
        <is>
          <t>A7-F Main Events of Jesus’ Earthly Life—Jesus’ Later Ministry East of the Jordan</t>
        </is>
      </c>
      <c r="X637" s="9" t="inlineStr">
        <is>
          <t>open</t>
        </is>
      </c>
      <c r="Y637" s="9" t="inlineStr">
        <is>
          <t>open</t>
        </is>
      </c>
      <c r="Z637" s="7" t="inlineStr">
        <is>
          <t>https://wol.jw.org/en/wol/d/r1/lp-e/1001070212
https://wol.jw.org/en/wol/d/r1/lp-e/1001061212
https://wol.jw.org/en/wol/d/r1/lp-e/1200002451</t>
        </is>
      </c>
      <c r="AA637" s="7" t="n">
        <v>1</v>
      </c>
      <c r="AB637" s="9" t="inlineStr">
        <is>
          <t>open</t>
        </is>
      </c>
      <c r="AC637" s="7" t="n">
        <v>1</v>
      </c>
      <c r="AD637" s="7" t="inlineStr">
        <is>
          <t>Wording in pre-2013 Insight chart (it-2 'Jesus Christ', par 793): “Passing through Jericho, he heals two blind men; visits Zacchaeus; illustration of the ten minas”.</t>
        </is>
      </c>
      <c r="AE637" s="7" t="n"/>
      <c r="AF637" s="7" t="n"/>
      <c r="AG637" s="7" t="n"/>
      <c r="AH637" s="7" t="n"/>
      <c r="AI637" s="7" t="n"/>
      <c r="AJ637" s="7" t="n"/>
      <c r="AK637" s="7" t="n"/>
      <c r="AL637" s="7" t="inlineStr">
        <is>
          <t>A7 row #91 split into 3 events; scripture references cover the whole source row.</t>
        </is>
      </c>
      <c r="AM637" s="7" t="n">
        <v>32.983</v>
      </c>
      <c r="AN637" s="10" t="n"/>
      <c r="AO637" s="10" t="n"/>
      <c r="AP637" s="10" t="n"/>
      <c r="AQ637" s="10" t="n"/>
    </row>
    <row r="638">
      <c r="A638" s="7" t="inlineStr">
        <is>
          <t>b5-0129</t>
        </is>
      </c>
      <c r="B638" s="7" t="inlineStr">
        <is>
          <t>Point</t>
        </is>
      </c>
      <c r="C638" s="7" t="n"/>
      <c r="D638" s="7" t="inlineStr">
        <is>
          <t>33 C.E., Nisan 8</t>
        </is>
      </c>
      <c r="E638" s="7" t="inlineStr">
        <is>
          <t>கி.பி. 33, நிசான் 8</t>
        </is>
      </c>
      <c r="F638" s="7" t="inlineStr">
        <is>
          <t>33 CE</t>
        </is>
      </c>
      <c r="G638" s="7" t="inlineStr">
        <is>
          <t>Exact</t>
        </is>
      </c>
      <c r="H638" s="7" t="n"/>
      <c r="I638" s="7" t="n"/>
      <c r="J638" s="7" t="n"/>
      <c r="K638" s="2" t="inlineStr">
        <is>
          <t>Jesus arrives six days before Passover</t>
        </is>
      </c>
      <c r="L638" s="2" t="inlineStr">
        <is>
          <t>பஸ்காவுக்கு ஆறு நாட்கள் முன்பு இயேசு வந்துசேருகிறார்</t>
        </is>
      </c>
      <c r="M638" s="7" t="inlineStr">
        <is>
          <t>Jesus arrives six days before Passover. The place is given as Bethany. NWT Study Edition Appendix A7-G (“Jesus’ Final Ministry in Jerusalem (Part 1)”) dates this to 33 C.E., Nisan 8.</t>
        </is>
      </c>
      <c r="N638" s="7" t="inlineStr">
        <is>
          <t>பஸ்காவுக்கு ஆறு நாட்கள் முன்பு இயேசு வந்துசேருகிறார் — பெத்தானியா</t>
        </is>
      </c>
      <c r="O638" s="8" t="inlineStr">
        <is>
          <t>Bible</t>
        </is>
      </c>
      <c r="P638" s="7" t="inlineStr">
        <is>
          <t>bible.jesus</t>
        </is>
      </c>
      <c r="Q638" s="7" t="inlineStr">
        <is>
          <t>journey</t>
        </is>
      </c>
      <c r="R638" s="7" t="inlineStr">
        <is>
          <t>Jesus</t>
        </is>
      </c>
      <c r="S638" s="7" t="inlineStr">
        <is>
          <t>Bethany</t>
        </is>
      </c>
      <c r="T638" s="7" t="inlineStr">
        <is>
          <t>John 11:55–12:1</t>
        </is>
      </c>
      <c r="U638" s="7" t="inlineStr">
        <is>
          <t>யோவா 11:55–12:1</t>
        </is>
      </c>
      <c r="V638" s="7" t="n">
        <v>3</v>
      </c>
      <c r="W638" s="7" t="inlineStr">
        <is>
          <t>A7-G Main Events of Jesus’ Earthly Life—Jesus’ Final Ministry in Jerusalem (Part 1)</t>
        </is>
      </c>
      <c r="X638" s="9" t="inlineStr">
        <is>
          <t>open</t>
        </is>
      </c>
      <c r="Y638" s="9" t="inlineStr">
        <is>
          <t>open</t>
        </is>
      </c>
      <c r="Z638" s="7" t="inlineStr">
        <is>
          <t>https://wol.jw.org/en/wol/d/r1/lp-e/1001070213
https://wol.jw.org/en/wol/d/r1/lp-e/1001061213
https://wol.jw.org/en/wol/d/r1/lp-e/1200002451</t>
        </is>
      </c>
      <c r="AA638" s="7" t="n">
        <v>2</v>
      </c>
      <c r="AB638" s="9" t="inlineStr">
        <is>
          <t>open</t>
        </is>
      </c>
      <c r="AC638" s="7" t="n">
        <v>1</v>
      </c>
      <c r="AD638" s="7" t="inlineStr">
        <is>
          <t>Wording in pre-2013 Insight chart (it-2 'Jesus Christ', par 808): “Arrives at Bethany six days before Passover”.</t>
        </is>
      </c>
      <c r="AE638" s="7" t="n"/>
      <c r="AF638" s="7" t="n"/>
      <c r="AG638" s="7" t="n"/>
      <c r="AH638" s="7" t="n"/>
      <c r="AI638" s="7" t="n"/>
      <c r="AJ638" s="7" t="n"/>
      <c r="AK638" s="7" t="inlineStr">
        <is>
          <t>jesus-final-week #1 (item)</t>
        </is>
      </c>
      <c r="AL638" s="7" t="n"/>
      <c r="AM638" s="7" t="n">
        <v>33.22</v>
      </c>
      <c r="AN638" s="10" t="n"/>
      <c r="AO638" s="10" t="n"/>
      <c r="AP638" s="10" t="n"/>
      <c r="AQ638" s="10" t="n"/>
    </row>
    <row r="639">
      <c r="A639" s="7" t="inlineStr">
        <is>
          <t>b5-0130</t>
        </is>
      </c>
      <c r="B639" s="7" t="inlineStr">
        <is>
          <t>Point</t>
        </is>
      </c>
      <c r="C639" s="7" t="n"/>
      <c r="D639" s="7" t="inlineStr">
        <is>
          <t>33 C.E., Nisan 9</t>
        </is>
      </c>
      <c r="E639" s="7" t="inlineStr">
        <is>
          <t>கி.பி. 33, நிசான் 9</t>
        </is>
      </c>
      <c r="F639" s="7" t="inlineStr">
        <is>
          <t>33 CE</t>
        </is>
      </c>
      <c r="G639" s="7" t="inlineStr">
        <is>
          <t>Exact</t>
        </is>
      </c>
      <c r="H639" s="7" t="n"/>
      <c r="I639" s="7" t="n"/>
      <c r="J639" s="7" t="n"/>
      <c r="K639" s="2" t="inlineStr">
        <is>
          <t>Mary pours oil on his head and feet</t>
        </is>
      </c>
      <c r="L639" s="2" t="inlineStr">
        <is>
          <t>அவர் தலையிலும் பாதத்திலும் மரியாள் வாசனை எண்ணெயை ஊற்றுகிறாள்</t>
        </is>
      </c>
      <c r="M639" s="7" t="inlineStr">
        <is>
          <t>Mary pours oil on his head and feet. The place is given as Bethany. NWT Study Edition Appendix A7-G (“Jesus’ Final Ministry in Jerusalem (Part 1)”) dates this to 33 C.E., Nisan 9.</t>
        </is>
      </c>
      <c r="N639" s="7" t="inlineStr">
        <is>
          <t>அவர் தலையிலும் பாதத்திலும் மரியாள் வாசனை எண்ணெயை ஊற்றுகிறாள் — பெத்தானியா</t>
        </is>
      </c>
      <c r="O639" s="8" t="inlineStr">
        <is>
          <t>Bible</t>
        </is>
      </c>
      <c r="P639" s="7" t="inlineStr">
        <is>
          <t>bible.jesus</t>
        </is>
      </c>
      <c r="Q639" s="7" t="inlineStr">
        <is>
          <t>anointing</t>
        </is>
      </c>
      <c r="R639" s="7" t="inlineStr">
        <is>
          <t>Jesus; Mary</t>
        </is>
      </c>
      <c r="S639" s="7" t="inlineStr">
        <is>
          <t>Bethany</t>
        </is>
      </c>
      <c r="T639" s="7" t="inlineStr">
        <is>
          <t>Matt. 26:6-13; Mark 14:3-9; John 12:2-11</t>
        </is>
      </c>
      <c r="U639" s="7" t="inlineStr">
        <is>
          <t>மத் 26:6-13; மாற் 14:3-9; யோவா 12:2-11</t>
        </is>
      </c>
      <c r="V639" s="7" t="n">
        <v>3</v>
      </c>
      <c r="W639" s="7" t="inlineStr">
        <is>
          <t>A7-G Main Events of Jesus’ Earthly Life—Jesus’ Final Ministry in Jerusalem (Part 1)</t>
        </is>
      </c>
      <c r="X639" s="9" t="inlineStr">
        <is>
          <t>open</t>
        </is>
      </c>
      <c r="Y639" s="9" t="inlineStr">
        <is>
          <t>open</t>
        </is>
      </c>
      <c r="Z639" s="7" t="inlineStr">
        <is>
          <t>https://wol.jw.org/en/wol/d/r1/lp-e/1001070213
https://wol.jw.org/en/wol/d/r1/lp-e/1001061213
https://wol.jw.org/en/wol/d/r1/lp-e/1200002451</t>
        </is>
      </c>
      <c r="AA639" s="7" t="n">
        <v>1</v>
      </c>
      <c r="AB639" s="9" t="inlineStr">
        <is>
          <t>open</t>
        </is>
      </c>
      <c r="AC639" s="7" t="n">
        <v>1</v>
      </c>
      <c r="AD639" s="7" t="inlineStr">
        <is>
          <t>Wording in pre-2013 Insight chart (it-2 'Jesus Christ', par 815): “Feast at Simon the leper’s house; Mary anoints Jesus; Jews come to see Jesus and Lazarus”.</t>
        </is>
      </c>
      <c r="AE639" s="7" t="n"/>
      <c r="AF639" s="7" t="n"/>
      <c r="AG639" s="7" t="n"/>
      <c r="AH639" s="7" t="n"/>
      <c r="AI639" s="7" t="n"/>
      <c r="AJ639" s="7" t="n"/>
      <c r="AK639" s="7" t="inlineStr">
        <is>
          <t>jesus-final-week #2 (item)</t>
        </is>
      </c>
      <c r="AL639" s="7" t="n"/>
      <c r="AM639" s="7" t="n">
        <v>33.225</v>
      </c>
      <c r="AN639" s="10" t="n"/>
      <c r="AO639" s="10" t="n"/>
      <c r="AP639" s="10" t="n"/>
      <c r="AQ639" s="10" t="n"/>
    </row>
    <row r="640">
      <c r="A640" s="7" t="inlineStr">
        <is>
          <t>b5-0131</t>
        </is>
      </c>
      <c r="B640" s="7" t="inlineStr">
        <is>
          <t>Point</t>
        </is>
      </c>
      <c r="C640" s="7" t="n"/>
      <c r="D640" s="7" t="inlineStr">
        <is>
          <t>33 C.E., Nisan 9</t>
        </is>
      </c>
      <c r="E640" s="7" t="inlineStr">
        <is>
          <t>கி.பி. 33, நிசான் 9</t>
        </is>
      </c>
      <c r="F640" s="7" t="inlineStr">
        <is>
          <t>33 CE</t>
        </is>
      </c>
      <c r="G640" s="7" t="inlineStr">
        <is>
          <t>Exact</t>
        </is>
      </c>
      <c r="H640" s="7" t="n"/>
      <c r="I640" s="7" t="n"/>
      <c r="J640" s="7" t="n"/>
      <c r="K640" s="2" t="inlineStr">
        <is>
          <t>Enters Jerusalem triumphantly, riding on a donkey</t>
        </is>
      </c>
      <c r="L640" s="2" t="inlineStr">
        <is>
          <t>எருசலேமுக்குள் நுழைகிறார், கழுதையின்மேல் வெற்றிபவனி</t>
        </is>
      </c>
      <c r="M640" s="7" t="inlineStr">
        <is>
          <t>Enters Jerusalem triumphantly, riding on a donkey. The place is given as Bethany-Bethphage-Jerusalem. NWT Study Edition Appendix A7-G (“Jesus’ Final Ministry in Jerusalem (Part 1)”) dates this to 33 C.E., Nisan 9.</t>
        </is>
      </c>
      <c r="N640" s="7" t="inlineStr">
        <is>
          <t>எருசலேமுக்குள் நுழைகிறார், கழுதையின்மேல் வெற்றிபவனி — பெத்தானியா-பெத்பகே-எருசலேம்</t>
        </is>
      </c>
      <c r="O640" s="8" t="inlineStr">
        <is>
          <t>Bible</t>
        </is>
      </c>
      <c r="P640" s="7" t="inlineStr">
        <is>
          <t>bible.jesus</t>
        </is>
      </c>
      <c r="Q640" s="7" t="inlineStr">
        <is>
          <t>triumphal_entry</t>
        </is>
      </c>
      <c r="R640" s="7" t="inlineStr">
        <is>
          <t>Jesus</t>
        </is>
      </c>
      <c r="S640" s="7" t="inlineStr">
        <is>
          <t>Bethany; Bethphage; Jerusalem</t>
        </is>
      </c>
      <c r="T640" s="7" t="inlineStr">
        <is>
          <t>Matt. 21:1-11, 14-17; Mark 11:1-11; Luke 19:29-44; John 12:12-19</t>
        </is>
      </c>
      <c r="U640" s="7" t="inlineStr">
        <is>
          <t>மத் 21:1-11, 14-17; மாற் 11:1-11; லூக் 19:29-44; யோவா 12:12-19</t>
        </is>
      </c>
      <c r="V640" s="7" t="n">
        <v>3</v>
      </c>
      <c r="W640" s="7" t="inlineStr">
        <is>
          <t>A7-G Main Events of Jesus’ Earthly Life—Jesus’ Final Ministry in Jerusalem (Part 1)</t>
        </is>
      </c>
      <c r="X640" s="9" t="inlineStr">
        <is>
          <t>open</t>
        </is>
      </c>
      <c r="Y640" s="9" t="inlineStr">
        <is>
          <t>open</t>
        </is>
      </c>
      <c r="Z640" s="7" t="inlineStr">
        <is>
          <t>https://wol.jw.org/en/wol/d/r1/lp-e/1001070213
https://wol.jw.org/en/wol/d/r1/lp-e/1001061213
https://wol.jw.org/en/wol/d/r1/lp-e/1200002451</t>
        </is>
      </c>
      <c r="AA640" s="7" t="n">
        <v>1</v>
      </c>
      <c r="AB640" s="9" t="inlineStr">
        <is>
          <t>open</t>
        </is>
      </c>
      <c r="AC640" s="7" t="n">
        <v>2</v>
      </c>
      <c r="AD640" s="7" t="inlineStr">
        <is>
          <t>Place wording differs: Insight chart has “Bethany-Jerusalem”; A7-G has “Bethany-Bethphage-Jerusalem”. | Wording in pre-2013 Insight chart (it-2 'Jesus Christ', par 822): “Christ’s triumphal entry into Jerusalem”.</t>
        </is>
      </c>
      <c r="AE640" s="7" t="n"/>
      <c r="AF640" s="7" t="n"/>
      <c r="AG640" s="7" t="n"/>
      <c r="AH640" s="7" t="n"/>
      <c r="AI640" s="7" t="n"/>
      <c r="AJ640" s="7" t="n"/>
      <c r="AK640" s="7" t="inlineStr">
        <is>
          <t>fulfilled-prophecies-nations #61 (prophecy); jesus-final-week #3 (item); messianic-prophecies #135 (fulfillment)</t>
        </is>
      </c>
      <c r="AL640" s="7" t="n"/>
      <c r="AM640" s="7" t="n">
        <v>33.2252</v>
      </c>
      <c r="AN640" s="10" t="n"/>
      <c r="AO640" s="10" t="n"/>
      <c r="AP640" s="10" t="n"/>
      <c r="AQ640" s="10" t="n"/>
    </row>
    <row r="641">
      <c r="A641" s="7" t="inlineStr">
        <is>
          <t>b16-0002</t>
        </is>
      </c>
      <c r="B641" s="7" t="inlineStr">
        <is>
          <t>Point</t>
        </is>
      </c>
      <c r="C641" s="7" t="n"/>
      <c r="D641" s="7" t="inlineStr">
        <is>
          <t>33 C.E., Nisan 10</t>
        </is>
      </c>
      <c r="E641" s="7" t="inlineStr">
        <is>
          <t>கி.பி. 33, நிசான் 10</t>
        </is>
      </c>
      <c r="F641" s="7" t="inlineStr">
        <is>
          <t>33 CE</t>
        </is>
      </c>
      <c r="G641" s="7" t="inlineStr">
        <is>
          <t>Exact</t>
        </is>
      </c>
      <c r="H641" s="7" t="n"/>
      <c r="I641" s="7" t="n"/>
      <c r="J641" s="7" t="n"/>
      <c r="K641" s="2" t="inlineStr">
        <is>
          <t>Jesus spends the night in Bethany</t>
        </is>
      </c>
      <c r="L641" s="2" t="inlineStr">
        <is>
          <t>ராத்திரி பெத்தானியாவில் தங்குகிறார்</t>
        </is>
      </c>
      <c r="M641" s="7" t="inlineStr">
        <is>
          <t>After his triumphal entry into Jerusalem on Nisan 9, Jesus spends the night in Bethany. NWT Appendix B12-A places this in the evening part of Nisan 10 (Jewish days began at sunset).</t>
        </is>
      </c>
      <c r="N641" s="7" t="inlineStr">
        <is>
          <t>ராத்திரி பெத்தானியாவில் தங்குகிறார்</t>
        </is>
      </c>
      <c r="O641" s="8" t="inlineStr">
        <is>
          <t>Bible</t>
        </is>
      </c>
      <c r="P641" s="7" t="inlineStr">
        <is>
          <t>bible.jesus</t>
        </is>
      </c>
      <c r="Q641" s="7" t="inlineStr">
        <is>
          <t>lodging</t>
        </is>
      </c>
      <c r="R641" s="7" t="inlineStr">
        <is>
          <t>Jesus</t>
        </is>
      </c>
      <c r="S641" s="7" t="inlineStr">
        <is>
          <t>Bethany</t>
        </is>
      </c>
      <c r="T641" s="7" t="inlineStr">
        <is>
          <t>Matt. 21:17; Mark 11:11</t>
        </is>
      </c>
      <c r="U641" s="7" t="inlineStr">
        <is>
          <t>மத்தேயு 21:17; மாற்கு 11:11</t>
        </is>
      </c>
      <c r="V641" s="7" t="n">
        <v>3</v>
      </c>
      <c r="W641" s="7" t="inlineStr">
        <is>
          <t>B12-A The Final Week of Jesus’ Life on Earth (Part 1)</t>
        </is>
      </c>
      <c r="X641" s="9" t="inlineStr">
        <is>
          <t>open</t>
        </is>
      </c>
      <c r="Y641" s="9" t="inlineStr">
        <is>
          <t>open</t>
        </is>
      </c>
      <c r="Z641" s="7" t="inlineStr">
        <is>
          <t>https://wol.jw.org/en/wol/d/r1/lp-e/1001070232
https://wol.jw.org/en/wol/d/r1/lp-e/1001061232
https://www.jw.org/en/library/bible/nwt/appendix-b/jesus-last-week-nisan-8-11/</t>
        </is>
      </c>
      <c r="AA641" s="7" t="n">
        <v>0</v>
      </c>
      <c r="AB641" s="7" t="n"/>
      <c r="AC641" s="7" t="n">
        <v>0</v>
      </c>
      <c r="AD641" s="7" t="n"/>
      <c r="AE641" s="7" t="n"/>
      <c r="AF641" s="7" t="n"/>
      <c r="AG641" s="7" t="n"/>
      <c r="AH641" s="7" t="n"/>
      <c r="AI641" s="7" t="n"/>
      <c r="AJ641" s="7" t="n"/>
      <c r="AK641" s="7" t="inlineStr">
        <is>
          <t>jesus-final-week #4 (item)</t>
        </is>
      </c>
      <c r="AL641" s="7" t="inlineStr">
        <is>
          <t>B12-A prints no separate reference for this item; Matt. 21:17 and Mark 11:11 fall inside the reference ranges B12-A prints for Nisan 9 (Matthew 21:1-11, 14-17; Mark 11:1-11).</t>
        </is>
      </c>
      <c r="AM641" s="7" t="n">
        <v>33.2298</v>
      </c>
      <c r="AN641" s="10" t="n"/>
      <c r="AO641" s="10" t="n"/>
      <c r="AP641" s="10" t="n"/>
      <c r="AQ641" s="10" t="n"/>
    </row>
    <row r="642">
      <c r="A642" s="7" t="inlineStr">
        <is>
          <t>b5-0132</t>
        </is>
      </c>
      <c r="B642" s="7" t="inlineStr">
        <is>
          <t>Point</t>
        </is>
      </c>
      <c r="C642" s="7" t="n"/>
      <c r="D642" s="7" t="inlineStr">
        <is>
          <t>33 C.E., Nisan 10</t>
        </is>
      </c>
      <c r="E642" s="7" t="inlineStr">
        <is>
          <t>கி.பி. 33, நிசான் 10</t>
        </is>
      </c>
      <c r="F642" s="7" t="inlineStr">
        <is>
          <t>33 CE</t>
        </is>
      </c>
      <c r="G642" s="7" t="inlineStr">
        <is>
          <t>Exact</t>
        </is>
      </c>
      <c r="H642" s="7" t="n"/>
      <c r="I642" s="7" t="n"/>
      <c r="J642" s="7" t="n"/>
      <c r="K642" s="2" t="inlineStr">
        <is>
          <t>Jesus curses fig tree</t>
        </is>
      </c>
      <c r="L642" s="2" t="inlineStr">
        <is>
          <t>அத்திமரத்தைச் சபிக்கிறார்</t>
        </is>
      </c>
      <c r="M642" s="7" t="inlineStr">
        <is>
          <t>Jesus curses fig tree. The place is given as Bethany-Jerusalem. NWT Study Edition Appendix A7-G (“Jesus’ Final Ministry in Jerusalem (Part 1)”) dates this to 33 C.E., Nisan 10; the source row combines it with related events (“Curses fig tree; cleanses temple again”).</t>
        </is>
      </c>
      <c r="N642" s="7" t="inlineStr">
        <is>
          <t>அத்திமரத்தைச் சபிக்கிறார்; ஆலயத்தை மறுபடியும் சுத்தப்படுத்துகிறார் — பெத்தானியா-எருசலேம்</t>
        </is>
      </c>
      <c r="O642" s="8" t="inlineStr">
        <is>
          <t>Bible</t>
        </is>
      </c>
      <c r="P642" s="7" t="inlineStr">
        <is>
          <t>bible.jesus</t>
        </is>
      </c>
      <c r="Q642" s="7" t="inlineStr">
        <is>
          <t>teaching</t>
        </is>
      </c>
      <c r="R642" s="7" t="inlineStr">
        <is>
          <t>Jesus</t>
        </is>
      </c>
      <c r="S642" s="7" t="inlineStr">
        <is>
          <t>Bethany; Jerusalem</t>
        </is>
      </c>
      <c r="T642" s="7" t="inlineStr">
        <is>
          <t>Matt. 21:18, 19; Matt. 21:12, 13; Mark 11:12-17; Luke 19:45, 46</t>
        </is>
      </c>
      <c r="U642" s="7" t="inlineStr">
        <is>
          <t>மத் 21:18, 19; மத் 21:12, 13; மாற் 11:12-17; லூக் 19:45, 46</t>
        </is>
      </c>
      <c r="V642" s="7" t="n">
        <v>3</v>
      </c>
      <c r="W642" s="7" t="inlineStr">
        <is>
          <t>A7-G Main Events of Jesus’ Earthly Life—Jesus’ Final Ministry in Jerusalem (Part 1)</t>
        </is>
      </c>
      <c r="X642" s="9" t="inlineStr">
        <is>
          <t>open</t>
        </is>
      </c>
      <c r="Y642" s="9" t="inlineStr">
        <is>
          <t>open</t>
        </is>
      </c>
      <c r="Z642" s="7" t="inlineStr">
        <is>
          <t>https://wol.jw.org/en/wol/d/r1/lp-e/1001070213
https://wol.jw.org/en/wol/d/r1/lp-e/1001061213
https://wol.jw.org/en/wol/d/r1/lp-e/1200002451</t>
        </is>
      </c>
      <c r="AA642" s="7" t="n">
        <v>1</v>
      </c>
      <c r="AB642" s="9" t="inlineStr">
        <is>
          <t>open</t>
        </is>
      </c>
      <c r="AC642" s="7" t="n">
        <v>2</v>
      </c>
      <c r="AD642" s="7" t="inlineStr">
        <is>
          <t>Gospel references differ: Insight chart lists “Mt 21:18, 19, 12, 13; Mr 11:12-17; Lu 19:45, 46”; A7-G lists “Mt 21:18, 19; 21:12, 13; Mr 11:12-17; Lu 19:45, 46”. | Wording in pre-2013 Insight chart (it-2 'Jesus Christ', par 829): “Barren fig tree cursed; second temple cleansing”.</t>
        </is>
      </c>
      <c r="AE642" s="7" t="n"/>
      <c r="AF642" s="7" t="n"/>
      <c r="AG642" s="7" t="n"/>
      <c r="AH642" s="7" t="n"/>
      <c r="AI642" s="7" t="n"/>
      <c r="AJ642" s="7" t="n"/>
      <c r="AK642" s="7" t="inlineStr">
        <is>
          <t>jesus-final-week #5 (item)</t>
        </is>
      </c>
      <c r="AL642" s="7" t="inlineStr">
        <is>
          <t>A7 row #95 split into 2 events; scripture references cover the whole source row.</t>
        </is>
      </c>
      <c r="AM642" s="7" t="n">
        <v>33.23</v>
      </c>
      <c r="AN642" s="10" t="n"/>
      <c r="AO642" s="10" t="n"/>
      <c r="AP642" s="10" t="n"/>
      <c r="AQ642" s="10" t="n"/>
    </row>
    <row r="643">
      <c r="A643" s="7" t="inlineStr">
        <is>
          <t>b5-0133</t>
        </is>
      </c>
      <c r="B643" s="7" t="inlineStr">
        <is>
          <t>Point</t>
        </is>
      </c>
      <c r="C643" s="7" t="n"/>
      <c r="D643" s="7" t="inlineStr">
        <is>
          <t>33 C.E., Nisan 10</t>
        </is>
      </c>
      <c r="E643" s="7" t="inlineStr">
        <is>
          <t>கி.பி. 33, நிசான் 10</t>
        </is>
      </c>
      <c r="F643" s="7" t="inlineStr">
        <is>
          <t>33 CE</t>
        </is>
      </c>
      <c r="G643" s="7" t="inlineStr">
        <is>
          <t>Exact</t>
        </is>
      </c>
      <c r="H643" s="7" t="n"/>
      <c r="I643" s="7" t="n"/>
      <c r="J643" s="7" t="n"/>
      <c r="K643" s="2" t="inlineStr">
        <is>
          <t>Jesus cleanses temple again</t>
        </is>
      </c>
      <c r="L643" s="2" t="inlineStr">
        <is>
          <t>ஆலயத்தை மறுபடியும் சுத்தப்படுத்துகிறார்</t>
        </is>
      </c>
      <c r="M643" s="7" t="inlineStr">
        <is>
          <t>Jesus cleanses temple again. The place is given as Bethany-Jerusalem. NWT Study Edition Appendix A7-G (“Jesus’ Final Ministry in Jerusalem (Part 1)”) dates this to 33 C.E., Nisan 10; the source row combines it with related events (“Curses fig tree; cleanses temple again”).</t>
        </is>
      </c>
      <c r="N643" s="7" t="inlineStr">
        <is>
          <t>அத்திமரத்தைச் சபிக்கிறார்; ஆலயத்தை மறுபடியும் சுத்தப்படுத்துகிறார் — பெத்தானியா-எருசலேம்</t>
        </is>
      </c>
      <c r="O643" s="8" t="inlineStr">
        <is>
          <t>Bible</t>
        </is>
      </c>
      <c r="P643" s="7" t="inlineStr">
        <is>
          <t>bible.jesus</t>
        </is>
      </c>
      <c r="Q643" s="7" t="inlineStr">
        <is>
          <t>temple_cleansing</t>
        </is>
      </c>
      <c r="R643" s="7" t="inlineStr">
        <is>
          <t>Jesus</t>
        </is>
      </c>
      <c r="S643" s="7" t="inlineStr">
        <is>
          <t>Bethany; Jerusalem</t>
        </is>
      </c>
      <c r="T643" s="7" t="inlineStr">
        <is>
          <t>Matt. 21:18, 19; Matt. 21:12, 13; Mark 11:12-17; Luke 19:45, 46</t>
        </is>
      </c>
      <c r="U643" s="7" t="inlineStr">
        <is>
          <t>மத் 21:18, 19; மத் 21:12, 13; மாற் 11:12-17; லூக் 19:45, 46</t>
        </is>
      </c>
      <c r="V643" s="7" t="n">
        <v>3</v>
      </c>
      <c r="W643" s="7" t="inlineStr">
        <is>
          <t>A7-G Main Events of Jesus’ Earthly Life—Jesus’ Final Ministry in Jerusalem (Part 1)</t>
        </is>
      </c>
      <c r="X643" s="9" t="inlineStr">
        <is>
          <t>open</t>
        </is>
      </c>
      <c r="Y643" s="9" t="inlineStr">
        <is>
          <t>open</t>
        </is>
      </c>
      <c r="Z643" s="7" t="inlineStr">
        <is>
          <t>https://wol.jw.org/en/wol/d/r1/lp-e/1001070213
https://wol.jw.org/en/wol/d/r1/lp-e/1001061213
https://wol.jw.org/en/wol/d/r1/lp-e/1200002451</t>
        </is>
      </c>
      <c r="AA643" s="7" t="n">
        <v>1</v>
      </c>
      <c r="AB643" s="9" t="inlineStr">
        <is>
          <t>open</t>
        </is>
      </c>
      <c r="AC643" s="7" t="n">
        <v>2</v>
      </c>
      <c r="AD643" s="7" t="inlineStr">
        <is>
          <t>Gospel references differ: Insight chart lists “Mt 21:18, 19, 12, 13; Mr 11:12-17; Lu 19:45, 46”; A7-G lists “Mt 21:18, 19; 21:12, 13; Mr 11:12-17; Lu 19:45, 46”. | Wording in pre-2013 Insight chart (it-2 'Jesus Christ', par 829): “Barren fig tree cursed; second temple cleansing”.</t>
        </is>
      </c>
      <c r="AE643" s="7" t="n"/>
      <c r="AF643" s="7" t="n"/>
      <c r="AG643" s="7" t="n"/>
      <c r="AH643" s="7" t="n"/>
      <c r="AI643" s="7" t="n"/>
      <c r="AJ643" s="7" t="n"/>
      <c r="AK643" s="7" t="inlineStr">
        <is>
          <t>jesus-final-week #6 (item)</t>
        </is>
      </c>
      <c r="AL643" s="7" t="inlineStr">
        <is>
          <t>A7 row #95 split into 2 events; scripture references cover the whole source row.</t>
        </is>
      </c>
      <c r="AM643" s="7" t="n">
        <v>33.2302</v>
      </c>
      <c r="AN643" s="10" t="n"/>
      <c r="AO643" s="10" t="n"/>
      <c r="AP643" s="10" t="n"/>
      <c r="AQ643" s="10" t="n"/>
    </row>
    <row r="644">
      <c r="A644" s="7" t="inlineStr">
        <is>
          <t>b5-0134</t>
        </is>
      </c>
      <c r="B644" s="7" t="inlineStr">
        <is>
          <t>Point</t>
        </is>
      </c>
      <c r="C644" s="7" t="n"/>
      <c r="D644" s="7" t="inlineStr">
        <is>
          <t>33 C.E., Nisan 10</t>
        </is>
      </c>
      <c r="E644" s="7" t="inlineStr">
        <is>
          <t>கி.பி. 33, நிசான் 10</t>
        </is>
      </c>
      <c r="F644" s="7" t="inlineStr">
        <is>
          <t>33 CE</t>
        </is>
      </c>
      <c r="G644" s="7" t="inlineStr">
        <is>
          <t>Exact</t>
        </is>
      </c>
      <c r="H644" s="7" t="n"/>
      <c r="I644" s="7" t="n"/>
      <c r="J644" s="7" t="n"/>
      <c r="K644" s="2" t="inlineStr">
        <is>
          <t>Chief priests and scribes scheme to destroy Jesus</t>
        </is>
      </c>
      <c r="L644" s="2" t="inlineStr">
        <is>
          <t>முதன்மை குருமார்களும் வேத அறிஞர்களும் இயேசுவைக் கொல்ல சதித்திட்டம் போடுகிறார்கள்</t>
        </is>
      </c>
      <c r="M644" s="7" t="inlineStr">
        <is>
          <t>Chief priests and scribes scheme to destroy Jesus. The place is given as Jerusalem. NWT Study Edition Appendix A7-G (“Jesus’ Final Ministry in Jerusalem (Part 1)”) dates this to 33 C.E., Nisan 10.</t>
        </is>
      </c>
      <c r="N644" s="7" t="inlineStr">
        <is>
          <t>முதன்மை குருமார்களும் வேத அறிஞர்களும் இயேசுவைக் கொல்ல சதித்திட்டம் போடுகிறார்கள் — எருசலேம்</t>
        </is>
      </c>
      <c r="O644" s="8" t="inlineStr">
        <is>
          <t>Bible</t>
        </is>
      </c>
      <c r="P644" s="7" t="inlineStr">
        <is>
          <t>bible.jesus</t>
        </is>
      </c>
      <c r="Q644" s="7" t="inlineStr">
        <is>
          <t>plot</t>
        </is>
      </c>
      <c r="R644" s="7" t="n"/>
      <c r="S644" s="7" t="inlineStr">
        <is>
          <t>Jerusalem</t>
        </is>
      </c>
      <c r="T644" s="7" t="inlineStr">
        <is>
          <t>Mark 11:18, 19; Luke 19:47, 48</t>
        </is>
      </c>
      <c r="U644" s="7" t="inlineStr">
        <is>
          <t>மாற் 11:18, 19; லூக் 19:47, 48</t>
        </is>
      </c>
      <c r="V644" s="7" t="n">
        <v>3</v>
      </c>
      <c r="W644" s="7" t="inlineStr">
        <is>
          <t>A7-G Main Events of Jesus’ Earthly Life—Jesus’ Final Ministry in Jerusalem (Part 1)</t>
        </is>
      </c>
      <c r="X644" s="9" t="inlineStr">
        <is>
          <t>open</t>
        </is>
      </c>
      <c r="Y644" s="9" t="inlineStr">
        <is>
          <t>open</t>
        </is>
      </c>
      <c r="Z644" s="7" t="inlineStr">
        <is>
          <t>https://wol.jw.org/en/wol/d/r1/lp-e/1001070213
https://wol.jw.org/en/wol/d/r1/lp-e/1001061213
https://wol.jw.org/en/wol/d/r1/lp-e/1200002451</t>
        </is>
      </c>
      <c r="AA644" s="7" t="n">
        <v>1</v>
      </c>
      <c r="AB644" s="9" t="inlineStr">
        <is>
          <t>open</t>
        </is>
      </c>
      <c r="AC644" s="7" t="n">
        <v>1</v>
      </c>
      <c r="AD644" s="7" t="inlineStr">
        <is>
          <t>Wording in pre-2013 Insight chart (it-2 'Jesus Christ', par 836): “Chief priests and scribes scheme to destroy Jesus”.</t>
        </is>
      </c>
      <c r="AE644" s="7" t="n"/>
      <c r="AF644" s="7" t="n"/>
      <c r="AG644" s="7" t="n"/>
      <c r="AH644" s="7" t="n"/>
      <c r="AI644" s="7" t="n"/>
      <c r="AJ644" s="7" t="n"/>
      <c r="AK644" s="7" t="inlineStr">
        <is>
          <t>jesus-final-week #7 (context)</t>
        </is>
      </c>
      <c r="AL644" s="7" t="n"/>
      <c r="AM644" s="7" t="n">
        <v>33.2304</v>
      </c>
      <c r="AN644" s="10" t="n"/>
      <c r="AO644" s="10" t="n"/>
      <c r="AP644" s="10" t="n"/>
      <c r="AQ644" s="10" t="n"/>
    </row>
    <row r="645">
      <c r="A645" s="7" t="inlineStr">
        <is>
          <t>b5-0135</t>
        </is>
      </c>
      <c r="B645" s="7" t="inlineStr">
        <is>
          <t>Point</t>
        </is>
      </c>
      <c r="C645" s="7" t="n"/>
      <c r="D645" s="7" t="inlineStr">
        <is>
          <t>33 C.E., Nisan 10</t>
        </is>
      </c>
      <c r="E645" s="7" t="inlineStr">
        <is>
          <t>கி.பி. 33, நிசான் 10</t>
        </is>
      </c>
      <c r="F645" s="7" t="inlineStr">
        <is>
          <t>33 CE</t>
        </is>
      </c>
      <c r="G645" s="7" t="inlineStr">
        <is>
          <t>Exact</t>
        </is>
      </c>
      <c r="H645" s="7" t="n"/>
      <c r="I645" s="7" t="n"/>
      <c r="J645" s="7" t="n"/>
      <c r="K645" s="2" t="inlineStr">
        <is>
          <t>Jehovah speaks; Jesus foretells his death; disbelief of Jews fulfills prophecy of Isaiah</t>
        </is>
      </c>
      <c r="L645" s="2" t="inlineStr">
        <is>
          <t>யெகோவா பேசுகிறார்; இயேசு தன்னுடைய மரணத்தை முன்னறிவிக்கிறார்; யூதர்கள் விசுவாசம் வைக்க மறுப்பது ஏசாயா தீர்க்கதரிசனத்தின் நிறைவேற்றம்</t>
        </is>
      </c>
      <c r="M645" s="7" t="inlineStr">
        <is>
          <t>Jehovah speaks; Jesus foretells his death; disbelief of Jews fulfills prophecy of Isaiah. The place is given as Jerusalem. NWT Study Edition Appendix A7-G (“Jesus’ Final Ministry in Jerusalem (Part 1)”) dates this to 33 C.E., Nisan 10.</t>
        </is>
      </c>
      <c r="N645" s="7" t="inlineStr">
        <is>
          <t>யெகோவா பேசுகிறார்; இயேசு தன்னுடைய மரணத்தை முன்னறிவிக்கிறார்; யூதர்கள் விசுவாசம் வைக்க மறுப்பது ஏசாயா தீர்க்கதரிசனத்தின் நிறைவேற்றம் — எருசலேம்</t>
        </is>
      </c>
      <c r="O645" s="8" t="inlineStr">
        <is>
          <t>Bible</t>
        </is>
      </c>
      <c r="P645" s="7" t="inlineStr">
        <is>
          <t>bible.jesus</t>
        </is>
      </c>
      <c r="Q645" s="7" t="inlineStr">
        <is>
          <t>teaching</t>
        </is>
      </c>
      <c r="R645" s="7" t="inlineStr">
        <is>
          <t>Jesus; Isaiah</t>
        </is>
      </c>
      <c r="S645" s="7" t="inlineStr">
        <is>
          <t>Jerusalem</t>
        </is>
      </c>
      <c r="T645" s="7" t="inlineStr">
        <is>
          <t>John 12:20-50</t>
        </is>
      </c>
      <c r="U645" s="7" t="inlineStr">
        <is>
          <t>யோவா 12:20-50</t>
        </is>
      </c>
      <c r="V645" s="7" t="n">
        <v>3</v>
      </c>
      <c r="W645" s="7" t="inlineStr">
        <is>
          <t>A7-G Main Events of Jesus’ Earthly Life—Jesus’ Final Ministry in Jerusalem (Part 1)</t>
        </is>
      </c>
      <c r="X645" s="9" t="inlineStr">
        <is>
          <t>open</t>
        </is>
      </c>
      <c r="Y645" s="9" t="inlineStr">
        <is>
          <t>open</t>
        </is>
      </c>
      <c r="Z645" s="7" t="inlineStr">
        <is>
          <t>https://wol.jw.org/en/wol/d/r1/lp-e/1001070213
https://wol.jw.org/en/wol/d/r1/lp-e/1001061213
https://wol.jw.org/en/wol/d/r1/lp-e/1200002451</t>
        </is>
      </c>
      <c r="AA645" s="7" t="n">
        <v>1</v>
      </c>
      <c r="AB645" s="9" t="inlineStr">
        <is>
          <t>open</t>
        </is>
      </c>
      <c r="AC645" s="7" t="n">
        <v>1</v>
      </c>
      <c r="AD645" s="7" t="inlineStr">
        <is>
          <t>Wording in pre-2013 Insight chart (it-2 'Jesus Christ', par 843): “Discussion with Greeks; unbelief of Jews”.</t>
        </is>
      </c>
      <c r="AE645" s="7" t="n"/>
      <c r="AF645" s="7" t="n"/>
      <c r="AG645" s="7" t="n"/>
      <c r="AH645" s="7" t="n"/>
      <c r="AI645" s="7" t="n"/>
      <c r="AJ645" s="7" t="n"/>
      <c r="AK645" s="7" t="inlineStr">
        <is>
          <t>jesus-final-week #8 (item); messianic-prophecies #145 (fulfillment)</t>
        </is>
      </c>
      <c r="AL645" s="7" t="n"/>
      <c r="AM645" s="7" t="n">
        <v>33.2306</v>
      </c>
      <c r="AN645" s="10" t="n"/>
      <c r="AO645" s="10" t="n"/>
      <c r="AP645" s="10" t="n"/>
      <c r="AQ645" s="10" t="n"/>
    </row>
    <row r="646">
      <c r="A646" s="7" t="inlineStr">
        <is>
          <t>b5-0136</t>
        </is>
      </c>
      <c r="B646" s="7" t="inlineStr">
        <is>
          <t>Point</t>
        </is>
      </c>
      <c r="C646" s="7" t="n"/>
      <c r="D646" s="7" t="inlineStr">
        <is>
          <t>33 C.E., Nisan 11</t>
        </is>
      </c>
      <c r="E646" s="7" t="inlineStr">
        <is>
          <t>கி.பி. 33, நிசான் 11</t>
        </is>
      </c>
      <c r="F646" s="7" t="inlineStr">
        <is>
          <t>33 CE</t>
        </is>
      </c>
      <c r="G646" s="7" t="inlineStr">
        <is>
          <t>Exact</t>
        </is>
      </c>
      <c r="H646" s="7" t="n"/>
      <c r="I646" s="7" t="n"/>
      <c r="J646" s="7" t="n"/>
      <c r="K646" s="2" t="inlineStr">
        <is>
          <t>Withered fig tree lesson</t>
        </is>
      </c>
      <c r="L646" s="2" t="inlineStr">
        <is>
          <t>பட்டுப்போன அத்தி மரத்திலிருந்து பாடம்</t>
        </is>
      </c>
      <c r="M646" s="7" t="inlineStr">
        <is>
          <t>Withered fig tree lesson. The place is given as Bethany-Jerusalem. NWT Study Edition Appendix A7-G (“Jesus’ Final Ministry in Jerusalem (Part 1)”) dates this to 33 C.E., Nisan 11.</t>
        </is>
      </c>
      <c r="N646" s="7" t="inlineStr">
        <is>
          <t>பட்டுப்போன அத்தி மரத்திலிருந்து பாடம் — பெத்தானியா-எருசலேம்</t>
        </is>
      </c>
      <c r="O646" s="8" t="inlineStr">
        <is>
          <t>Bible</t>
        </is>
      </c>
      <c r="P646" s="7" t="inlineStr">
        <is>
          <t>bible.jesus</t>
        </is>
      </c>
      <c r="Q646" s="7" t="inlineStr">
        <is>
          <t>teaching</t>
        </is>
      </c>
      <c r="R646" s="7" t="inlineStr">
        <is>
          <t>Jesus</t>
        </is>
      </c>
      <c r="S646" s="7" t="inlineStr">
        <is>
          <t>Bethany; Jerusalem</t>
        </is>
      </c>
      <c r="T646" s="7" t="inlineStr">
        <is>
          <t>Matt. 21:19-22; Mark 11:20-25</t>
        </is>
      </c>
      <c r="U646" s="7" t="inlineStr">
        <is>
          <t>மத் 21:19-22; மாற் 11:20-25</t>
        </is>
      </c>
      <c r="V646" s="7" t="n">
        <v>3</v>
      </c>
      <c r="W646" s="7" t="inlineStr">
        <is>
          <t>A7-G Main Events of Jesus’ Earthly Life—Jesus’ Final Ministry in Jerusalem (Part 1)</t>
        </is>
      </c>
      <c r="X646" s="9" t="inlineStr">
        <is>
          <t>open</t>
        </is>
      </c>
      <c r="Y646" s="9" t="inlineStr">
        <is>
          <t>open</t>
        </is>
      </c>
      <c r="Z646" s="7" t="inlineStr">
        <is>
          <t>https://wol.jw.org/en/wol/d/r1/lp-e/1001070213
https://wol.jw.org/en/wol/d/r1/lp-e/1001061213
https://wol.jw.org/en/wol/d/r1/lp-e/1200002451</t>
        </is>
      </c>
      <c r="AA646" s="7" t="n">
        <v>1</v>
      </c>
      <c r="AB646" s="9" t="inlineStr">
        <is>
          <t>open</t>
        </is>
      </c>
      <c r="AC646" s="7" t="n">
        <v>1</v>
      </c>
      <c r="AD646" s="7" t="inlineStr">
        <is>
          <t>Wording in pre-2013 Insight chart (it-2 'Jesus Christ', par 850): “Barren fig tree found withered”.</t>
        </is>
      </c>
      <c r="AE646" s="7" t="n"/>
      <c r="AF646" s="7" t="n"/>
      <c r="AG646" s="7" t="n"/>
      <c r="AH646" s="7" t="n"/>
      <c r="AI646" s="7" t="n"/>
      <c r="AJ646" s="7" t="n"/>
      <c r="AK646" s="7" t="inlineStr">
        <is>
          <t>jesus-final-week #9 (context)</t>
        </is>
      </c>
      <c r="AL646" s="7" t="n"/>
      <c r="AM646" s="7" t="n">
        <v>33.235</v>
      </c>
      <c r="AN646" s="10" t="n"/>
      <c r="AO646" s="10" t="n"/>
      <c r="AP646" s="10" t="n"/>
      <c r="AQ646" s="10" t="n"/>
    </row>
    <row r="647">
      <c r="A647" s="7" t="inlineStr">
        <is>
          <t>b5-0137</t>
        </is>
      </c>
      <c r="B647" s="7" t="inlineStr">
        <is>
          <t>Point</t>
        </is>
      </c>
      <c r="C647" s="7" t="n"/>
      <c r="D647" s="7" t="inlineStr">
        <is>
          <t>33 C.E., Nisan 11</t>
        </is>
      </c>
      <c r="E647" s="7" t="inlineStr">
        <is>
          <t>கி.பி. 33, நிசான் 11</t>
        </is>
      </c>
      <c r="F647" s="7" t="inlineStr">
        <is>
          <t>33 CE</t>
        </is>
      </c>
      <c r="G647" s="7" t="inlineStr">
        <is>
          <t>Exact</t>
        </is>
      </c>
      <c r="H647" s="7" t="n"/>
      <c r="I647" s="7" t="n"/>
      <c r="J647" s="7" t="n"/>
      <c r="K647" s="2" t="inlineStr">
        <is>
          <t>Jesus’ authority challenged</t>
        </is>
      </c>
      <c r="L647" s="2" t="inlineStr">
        <is>
          <t>அவருடைய அதிகாரத்தைப் பற்றிய கேள்வி</t>
        </is>
      </c>
      <c r="M647" s="7" t="inlineStr">
        <is>
          <t>Jesus’ authority challenged. The place is given as Jerusalem, temple. NWT Study Edition Appendix A7-G (“Jesus’ Final Ministry in Jerusalem (Part 1)”) dates this to 33 C.E., Nisan 11; the source row combines it with related events (“His authority challenged; illustration of two sons”).</t>
        </is>
      </c>
      <c r="N647" s="7" t="inlineStr">
        <is>
          <t>அவருடைய அதிகாரத்தைப் பற்றிய கேள்வி; இரண்டு மகன்களைப் பற்றிய உவமை — எருசலேம், ஆலயம்</t>
        </is>
      </c>
      <c r="O647" s="8" t="inlineStr">
        <is>
          <t>Bible</t>
        </is>
      </c>
      <c r="P647" s="7" t="inlineStr">
        <is>
          <t>bible.jesus</t>
        </is>
      </c>
      <c r="Q647" s="7" t="inlineStr">
        <is>
          <t>confrontation</t>
        </is>
      </c>
      <c r="R647" s="7" t="inlineStr">
        <is>
          <t>Jesus</t>
        </is>
      </c>
      <c r="S647" s="7" t="inlineStr">
        <is>
          <t>Jerusalem (temple)</t>
        </is>
      </c>
      <c r="T647" s="7" t="inlineStr">
        <is>
          <t>Matt. 21:23-32; Mark 11:27-33; Luke 20:1-8</t>
        </is>
      </c>
      <c r="U647" s="7" t="inlineStr">
        <is>
          <t>மத் 21:23-32; மாற் 11:27-33; லூக் 20:1-8</t>
        </is>
      </c>
      <c r="V647" s="7" t="n">
        <v>3</v>
      </c>
      <c r="W647" s="7" t="inlineStr">
        <is>
          <t>A7-G Main Events of Jesus’ Earthly Life—Jesus’ Final Ministry in Jerusalem (Part 1)</t>
        </is>
      </c>
      <c r="X647" s="9" t="inlineStr">
        <is>
          <t>open</t>
        </is>
      </c>
      <c r="Y647" s="9" t="inlineStr">
        <is>
          <t>open</t>
        </is>
      </c>
      <c r="Z647" s="7" t="inlineStr">
        <is>
          <t>https://wol.jw.org/en/wol/d/r1/lp-e/1001070213
https://wol.jw.org/en/wol/d/r1/lp-e/1001061213
https://wol.jw.org/en/wol/d/r1/lp-e/1200002451</t>
        </is>
      </c>
      <c r="AA647" s="7" t="n">
        <v>1</v>
      </c>
      <c r="AB647" s="9" t="inlineStr">
        <is>
          <t>open</t>
        </is>
      </c>
      <c r="AC647" s="7" t="n">
        <v>1</v>
      </c>
      <c r="AD647" s="7" t="inlineStr">
        <is>
          <t>Wording in pre-2013 Insight chart (it-2 'Jesus Christ', par 857): “Christ’s authority questioned; illustration of two sons”.</t>
        </is>
      </c>
      <c r="AE647" s="7" t="n"/>
      <c r="AF647" s="7" t="n"/>
      <c r="AG647" s="7" t="n"/>
      <c r="AH647" s="7" t="n"/>
      <c r="AI647" s="7" t="n"/>
      <c r="AJ647" s="7" t="n"/>
      <c r="AK647" s="7" t="inlineStr">
        <is>
          <t>jesus-final-week #10 (context)</t>
        </is>
      </c>
      <c r="AL647" s="7" t="inlineStr">
        <is>
          <t>A7 row #99 split into 2 events; scripture references cover the whole source row.</t>
        </is>
      </c>
      <c r="AM647" s="7" t="n">
        <v>33.2352</v>
      </c>
      <c r="AN647" s="10" t="n"/>
      <c r="AO647" s="10" t="n"/>
      <c r="AP647" s="10" t="n"/>
      <c r="AQ647" s="10" t="n"/>
    </row>
    <row r="648">
      <c r="A648" s="7" t="inlineStr">
        <is>
          <t>b5-0138</t>
        </is>
      </c>
      <c r="B648" s="7" t="inlineStr">
        <is>
          <t>Point</t>
        </is>
      </c>
      <c r="C648" s="7" t="n"/>
      <c r="D648" s="7" t="inlineStr">
        <is>
          <t>33 C.E., Nisan 11</t>
        </is>
      </c>
      <c r="E648" s="7" t="inlineStr">
        <is>
          <t>கி.பி. 33, நிசான் 11</t>
        </is>
      </c>
      <c r="F648" s="7" t="inlineStr">
        <is>
          <t>33 CE</t>
        </is>
      </c>
      <c r="G648" s="7" t="inlineStr">
        <is>
          <t>Exact</t>
        </is>
      </c>
      <c r="H648" s="7" t="n"/>
      <c r="I648" s="7" t="n"/>
      <c r="J648" s="7" t="n"/>
      <c r="K648" s="2" t="inlineStr">
        <is>
          <t>Illustration of two sons</t>
        </is>
      </c>
      <c r="L648" s="2" t="inlineStr">
        <is>
          <t>இரண்டு மகன்களைப் பற்றிய உவமை</t>
        </is>
      </c>
      <c r="M648" s="7" t="inlineStr">
        <is>
          <t>Illustration of two sons. The place is given as Jerusalem, temple. NWT Study Edition Appendix A7-G (“Jesus’ Final Ministry in Jerusalem (Part 1)”) dates this to 33 C.E., Nisan 11; the source row combines it with related events (“His authority challenged; illustration of two sons”).</t>
        </is>
      </c>
      <c r="N648" s="7" t="inlineStr">
        <is>
          <t>அவருடைய அதிகாரத்தைப் பற்றிய கேள்வி; இரண்டு மகன்களைப் பற்றிய உவமை — எருசலேம், ஆலயம்</t>
        </is>
      </c>
      <c r="O648" s="8" t="inlineStr">
        <is>
          <t>Bible</t>
        </is>
      </c>
      <c r="P648" s="7" t="inlineStr">
        <is>
          <t>bible.jesus</t>
        </is>
      </c>
      <c r="Q648" s="7" t="inlineStr">
        <is>
          <t>parable</t>
        </is>
      </c>
      <c r="R648" s="7" t="inlineStr">
        <is>
          <t>Jesus</t>
        </is>
      </c>
      <c r="S648" s="7" t="inlineStr">
        <is>
          <t>Jerusalem (temple)</t>
        </is>
      </c>
      <c r="T648" s="7" t="inlineStr">
        <is>
          <t>Matt. 21:23-32; Mark 11:27-33; Luke 20:1-8</t>
        </is>
      </c>
      <c r="U648" s="7" t="inlineStr">
        <is>
          <t>மத் 21:23-32; மாற் 11:27-33; லூக் 20:1-8</t>
        </is>
      </c>
      <c r="V648" s="7" t="n">
        <v>3</v>
      </c>
      <c r="W648" s="7" t="inlineStr">
        <is>
          <t>A7-G Main Events of Jesus’ Earthly Life—Jesus’ Final Ministry in Jerusalem (Part 1)</t>
        </is>
      </c>
      <c r="X648" s="9" t="inlineStr">
        <is>
          <t>open</t>
        </is>
      </c>
      <c r="Y648" s="9" t="inlineStr">
        <is>
          <t>open</t>
        </is>
      </c>
      <c r="Z648" s="7" t="inlineStr">
        <is>
          <t>https://wol.jw.org/en/wol/d/r1/lp-e/1001070213
https://wol.jw.org/en/wol/d/r1/lp-e/1001061213
https://wol.jw.org/en/wol/d/r1/lp-e/1200002451</t>
        </is>
      </c>
      <c r="AA648" s="7" t="n">
        <v>1</v>
      </c>
      <c r="AB648" s="9" t="inlineStr">
        <is>
          <t>open</t>
        </is>
      </c>
      <c r="AC648" s="7" t="n">
        <v>1</v>
      </c>
      <c r="AD648" s="7" t="inlineStr">
        <is>
          <t>Wording in pre-2013 Insight chart (it-2 'Jesus Christ', par 857): “Christ’s authority questioned; illustration of two sons”.</t>
        </is>
      </c>
      <c r="AE648" s="7" t="n"/>
      <c r="AF648" s="7" t="n"/>
      <c r="AG648" s="7" t="n"/>
      <c r="AH648" s="7" t="n"/>
      <c r="AI648" s="7" t="n"/>
      <c r="AJ648" s="7" t="n"/>
      <c r="AK648" s="7" t="inlineStr">
        <is>
          <t>jesus-final-week #11 (item)</t>
        </is>
      </c>
      <c r="AL648" s="7" t="inlineStr">
        <is>
          <t>A7 row #99 split into 2 events; scripture references cover the whole source row.</t>
        </is>
      </c>
      <c r="AM648" s="7" t="n">
        <v>33.2354</v>
      </c>
      <c r="AN648" s="10" t="n"/>
      <c r="AO648" s="10" t="n"/>
      <c r="AP648" s="10" t="n"/>
      <c r="AQ648" s="10" t="n"/>
    </row>
    <row r="649">
      <c r="A649" s="7" t="inlineStr">
        <is>
          <t>b5-0139</t>
        </is>
      </c>
      <c r="B649" s="7" t="inlineStr">
        <is>
          <t>Point</t>
        </is>
      </c>
      <c r="C649" s="7" t="n"/>
      <c r="D649" s="7" t="inlineStr">
        <is>
          <t>33 C.E., Nisan 11</t>
        </is>
      </c>
      <c r="E649" s="7" t="inlineStr">
        <is>
          <t>கி.பி. 33, நிசான் 11</t>
        </is>
      </c>
      <c r="F649" s="7" t="inlineStr">
        <is>
          <t>33 CE</t>
        </is>
      </c>
      <c r="G649" s="7" t="inlineStr">
        <is>
          <t>Exact</t>
        </is>
      </c>
      <c r="H649" s="7" t="n"/>
      <c r="I649" s="7" t="n"/>
      <c r="J649" s="7" t="n"/>
      <c r="K649" s="2" t="inlineStr">
        <is>
          <t>Illustrations: murderous cultivators, marriage feast</t>
        </is>
      </c>
      <c r="L649" s="2" t="inlineStr">
        <is>
          <t>உவமைகள்: கொலைவெறி பிடித்த தோட்டக்காரர்கள், திருமண விருந்து</t>
        </is>
      </c>
      <c r="M649" s="7" t="inlineStr">
        <is>
          <t>Illustrations: murderous cultivators, marriage feast. The place is given as Jerusalem, temple. NWT Study Edition Appendix A7-G (“Jesus’ Final Ministry in Jerusalem (Part 1)”) dates this to 33 C.E., Nisan 11.</t>
        </is>
      </c>
      <c r="N649" s="7" t="inlineStr">
        <is>
          <t>உவமைகள்: கொலைவெறி பிடித்த தோட்டக்காரர்கள், திருமண விருந்து — எருசலேம், ஆலயம்</t>
        </is>
      </c>
      <c r="O649" s="8" t="inlineStr">
        <is>
          <t>Bible</t>
        </is>
      </c>
      <c r="P649" s="7" t="inlineStr">
        <is>
          <t>bible.jesus</t>
        </is>
      </c>
      <c r="Q649" s="7" t="inlineStr">
        <is>
          <t>parable</t>
        </is>
      </c>
      <c r="R649" s="7" t="inlineStr">
        <is>
          <t>Jesus</t>
        </is>
      </c>
      <c r="S649" s="7" t="inlineStr">
        <is>
          <t>Jerusalem (temple)</t>
        </is>
      </c>
      <c r="T649" s="7" t="inlineStr">
        <is>
          <t>Matt. 21:33–22:14; Mark 12:1-12; Luke 20:9-19</t>
        </is>
      </c>
      <c r="U649" s="7" t="inlineStr">
        <is>
          <t>மத் 21:33–22:14; மாற் 12:1-12; லூக் 20:9-19</t>
        </is>
      </c>
      <c r="V649" s="7" t="n">
        <v>3</v>
      </c>
      <c r="W649" s="7" t="inlineStr">
        <is>
          <t>A7-G Main Events of Jesus’ Earthly Life—Jesus’ Final Ministry in Jerusalem (Part 1)</t>
        </is>
      </c>
      <c r="X649" s="9" t="inlineStr">
        <is>
          <t>open</t>
        </is>
      </c>
      <c r="Y649" s="9" t="inlineStr">
        <is>
          <t>open</t>
        </is>
      </c>
      <c r="Z649" s="7" t="inlineStr">
        <is>
          <t>https://wol.jw.org/en/wol/d/r1/lp-e/1001070213
https://wol.jw.org/en/wol/d/r1/lp-e/1001061213
https://wol.jw.org/en/wol/d/r1/lp-e/1200002451</t>
        </is>
      </c>
      <c r="AA649" s="7" t="n">
        <v>1</v>
      </c>
      <c r="AB649" s="9" t="inlineStr">
        <is>
          <t>open</t>
        </is>
      </c>
      <c r="AC649" s="7" t="n">
        <v>1</v>
      </c>
      <c r="AD649" s="7" t="inlineStr">
        <is>
          <t>Wording in pre-2013 Insight chart (it-2 'Jesus Christ', par 864): “Illustrations of wicked cultivators, marriage feast”.</t>
        </is>
      </c>
      <c r="AE649" s="7" t="n"/>
      <c r="AF649" s="7" t="n"/>
      <c r="AG649" s="7" t="n"/>
      <c r="AH649" s="7" t="n"/>
      <c r="AI649" s="7" t="n"/>
      <c r="AJ649" s="7" t="n"/>
      <c r="AK649" s="7" t="inlineStr">
        <is>
          <t>jesus-final-week #12 (item)</t>
        </is>
      </c>
      <c r="AL649" s="7" t="n"/>
      <c r="AM649" s="7" t="n">
        <v>33.2356</v>
      </c>
      <c r="AN649" s="10" t="n"/>
      <c r="AO649" s="10" t="n"/>
      <c r="AP649" s="10" t="n"/>
      <c r="AQ649" s="10" t="n"/>
    </row>
    <row r="650">
      <c r="A650" s="7" t="inlineStr">
        <is>
          <t>b5-0140</t>
        </is>
      </c>
      <c r="B650" s="7" t="inlineStr">
        <is>
          <t>Point</t>
        </is>
      </c>
      <c r="C650" s="7" t="n"/>
      <c r="D650" s="7" t="inlineStr">
        <is>
          <t>33 C.E., Nisan 11</t>
        </is>
      </c>
      <c r="E650" s="7" t="inlineStr">
        <is>
          <t>கி.பி. 33, நிசான் 11</t>
        </is>
      </c>
      <c r="F650" s="7" t="inlineStr">
        <is>
          <t>33 CE</t>
        </is>
      </c>
      <c r="G650" s="7" t="inlineStr">
        <is>
          <t>Exact</t>
        </is>
      </c>
      <c r="H650" s="7" t="n"/>
      <c r="I650" s="7" t="n"/>
      <c r="J650" s="7" t="n"/>
      <c r="K650" s="2" t="inlineStr">
        <is>
          <t>Answers questions on God and Caesar, resurrection, greatest commandment</t>
        </is>
      </c>
      <c r="L650" s="2" t="inlineStr">
        <is>
          <t>கடவுளும் ரோம அரசனும், உயிர்த்தெழுதல், தலைசிறந்த கட்டளை போன்ற கேள்விகளுக்குப் பதில்</t>
        </is>
      </c>
      <c r="M650" s="7" t="inlineStr">
        <is>
          <t>Answers questions on God and Caesar, resurrection, greatest commandment. The place is given as Jerusalem, temple. NWT Study Edition Appendix A7-G (“Jesus’ Final Ministry in Jerusalem (Part 1)”) dates this to 33 C.E., Nisan 11.</t>
        </is>
      </c>
      <c r="N650" s="7" t="inlineStr">
        <is>
          <t>கடவுளும் ரோம அரசனும், உயிர்த்தெழுதல், தலைசிறந்த கட்டளை போன்ற கேள்விகளுக்குப் பதில் — எருசலேம், ஆலயம்</t>
        </is>
      </c>
      <c r="O650" s="8" t="inlineStr">
        <is>
          <t>Bible</t>
        </is>
      </c>
      <c r="P650" s="7" t="inlineStr">
        <is>
          <t>bible.jesus</t>
        </is>
      </c>
      <c r="Q650" s="7" t="inlineStr">
        <is>
          <t>miracle</t>
        </is>
      </c>
      <c r="R650" s="7" t="inlineStr">
        <is>
          <t>Jesus</t>
        </is>
      </c>
      <c r="S650" s="7" t="inlineStr">
        <is>
          <t>Jerusalem (temple)</t>
        </is>
      </c>
      <c r="T650" s="7" t="inlineStr">
        <is>
          <t>Matt. 22:15-40; Mark 12:13-34; Luke 20:20-40</t>
        </is>
      </c>
      <c r="U650" s="7" t="inlineStr">
        <is>
          <t>மத் 22:15-40; மாற் 12:13-34; லூக் 20:20-40</t>
        </is>
      </c>
      <c r="V650" s="7" t="n">
        <v>3</v>
      </c>
      <c r="W650" s="7" t="inlineStr">
        <is>
          <t>A7-G Main Events of Jesus’ Earthly Life—Jesus’ Final Ministry in Jerusalem (Part 1)</t>
        </is>
      </c>
      <c r="X650" s="9" t="inlineStr">
        <is>
          <t>open</t>
        </is>
      </c>
      <c r="Y650" s="9" t="inlineStr">
        <is>
          <t>open</t>
        </is>
      </c>
      <c r="Z650" s="7" t="inlineStr">
        <is>
          <t>https://wol.jw.org/en/wol/d/r1/lp-e/1001070213
https://wol.jw.org/en/wol/d/r1/lp-e/1001061213
https://wol.jw.org/en/wol/d/r1/lp-e/1200002451</t>
        </is>
      </c>
      <c r="AA650" s="7" t="n">
        <v>1</v>
      </c>
      <c r="AB650" s="9" t="inlineStr">
        <is>
          <t>open</t>
        </is>
      </c>
      <c r="AC650" s="7" t="n">
        <v>1</v>
      </c>
      <c r="AD650" s="7" t="inlineStr">
        <is>
          <t>Wording in pre-2013 Insight chart (it-2 'Jesus Christ', par 871): “Catch questions on tax, resurrection, commandment”.</t>
        </is>
      </c>
      <c r="AE650" s="7" t="n"/>
      <c r="AF650" s="7" t="n"/>
      <c r="AG650" s="7" t="n"/>
      <c r="AH650" s="7" t="n"/>
      <c r="AI650" s="7" t="n"/>
      <c r="AJ650" s="7" t="n"/>
      <c r="AK650" s="7" t="inlineStr">
        <is>
          <t>jesus-final-week #13 (context)</t>
        </is>
      </c>
      <c r="AL650" s="7" t="n"/>
      <c r="AM650" s="7" t="n">
        <v>33.2358</v>
      </c>
      <c r="AN650" s="10" t="n"/>
      <c r="AO650" s="10" t="n"/>
      <c r="AP650" s="10" t="n"/>
      <c r="AQ650" s="10" t="n"/>
    </row>
    <row r="651">
      <c r="A651" s="7" t="inlineStr">
        <is>
          <t>b5-0141</t>
        </is>
      </c>
      <c r="B651" s="7" t="inlineStr">
        <is>
          <t>Point</t>
        </is>
      </c>
      <c r="C651" s="7" t="n"/>
      <c r="D651" s="7" t="inlineStr">
        <is>
          <t>33 C.E., Nisan 11</t>
        </is>
      </c>
      <c r="E651" s="7" t="inlineStr">
        <is>
          <t>கி.பி. 33, நிசான் 11</t>
        </is>
      </c>
      <c r="F651" s="7" t="inlineStr">
        <is>
          <t>33 CE</t>
        </is>
      </c>
      <c r="G651" s="7" t="inlineStr">
        <is>
          <t>Exact</t>
        </is>
      </c>
      <c r="H651" s="7" t="n"/>
      <c r="I651" s="7" t="n"/>
      <c r="J651" s="7" t="n"/>
      <c r="K651" s="2" t="inlineStr">
        <is>
          <t>Asks crowd if Christ is David’s son</t>
        </is>
      </c>
      <c r="L651" s="2" t="inlineStr">
        <is>
          <t>கிறிஸ்து தாவீதின் மகனா என்று கூட்டத்தாரிடம் கேட்கிறார்</t>
        </is>
      </c>
      <c r="M651" s="7" t="inlineStr">
        <is>
          <t>Asks crowd if Christ is David’s son. The place is given as Jerusalem, temple. NWT Study Edition Appendix A7-G (“Jesus’ Final Ministry in Jerusalem (Part 1)”) dates this to 33 C.E., Nisan 11.</t>
        </is>
      </c>
      <c r="N651" s="7" t="inlineStr">
        <is>
          <t>கிறிஸ்து தாவீதின் மகனா என்று கூட்டத்தாரிடம் கேட்கிறார் — எருசலேம், ஆலயம்</t>
        </is>
      </c>
      <c r="O651" s="8" t="inlineStr">
        <is>
          <t>Bible</t>
        </is>
      </c>
      <c r="P651" s="7" t="inlineStr">
        <is>
          <t>bible.jesus</t>
        </is>
      </c>
      <c r="Q651" s="7" t="inlineStr">
        <is>
          <t>teaching</t>
        </is>
      </c>
      <c r="R651" s="7" t="inlineStr">
        <is>
          <t>Jesus</t>
        </is>
      </c>
      <c r="S651" s="7" t="inlineStr">
        <is>
          <t>Jerusalem (temple)</t>
        </is>
      </c>
      <c r="T651" s="7" t="inlineStr">
        <is>
          <t>Matt. 22:41-46; Mark 12:35-37; Luke 20:41-44</t>
        </is>
      </c>
      <c r="U651" s="7" t="inlineStr">
        <is>
          <t>மத் 22:41-46; மாற் 12:35-37; லூக் 20:41-44</t>
        </is>
      </c>
      <c r="V651" s="7" t="n">
        <v>3</v>
      </c>
      <c r="W651" s="7" t="inlineStr">
        <is>
          <t>A7-G Main Events of Jesus’ Earthly Life—Jesus’ Final Ministry in Jerusalem (Part 1)</t>
        </is>
      </c>
      <c r="X651" s="9" t="inlineStr">
        <is>
          <t>open</t>
        </is>
      </c>
      <c r="Y651" s="9" t="inlineStr">
        <is>
          <t>open</t>
        </is>
      </c>
      <c r="Z651" s="7" t="inlineStr">
        <is>
          <t>https://wol.jw.org/en/wol/d/r1/lp-e/1001070213
https://wol.jw.org/en/wol/d/r1/lp-e/1001061213
https://wol.jw.org/en/wol/d/r1/lp-e/1200002451</t>
        </is>
      </c>
      <c r="AA651" s="7" t="n">
        <v>1</v>
      </c>
      <c r="AB651" s="9" t="inlineStr">
        <is>
          <t>open</t>
        </is>
      </c>
      <c r="AC651" s="7" t="n">
        <v>1</v>
      </c>
      <c r="AD651" s="7" t="inlineStr">
        <is>
          <t>Wording in pre-2013 Insight chart (it-2 'Jesus Christ', par 878): “Jesus’ silencing question on Messiah’s descent”.</t>
        </is>
      </c>
      <c r="AE651" s="7" t="n"/>
      <c r="AF651" s="7" t="n"/>
      <c r="AG651" s="7" t="n"/>
      <c r="AH651" s="7" t="n"/>
      <c r="AI651" s="7" t="n"/>
      <c r="AJ651" s="7" t="n"/>
      <c r="AK651" s="7" t="inlineStr">
        <is>
          <t>jesus-final-week #14 (context)</t>
        </is>
      </c>
      <c r="AL651" s="7" t="n"/>
      <c r="AM651" s="7" t="n">
        <v>33.236</v>
      </c>
      <c r="AN651" s="10" t="n"/>
      <c r="AO651" s="10" t="n"/>
      <c r="AP651" s="10" t="n"/>
      <c r="AQ651" s="10" t="n"/>
    </row>
    <row r="652">
      <c r="A652" s="7" t="inlineStr">
        <is>
          <t>b5-0142</t>
        </is>
      </c>
      <c r="B652" s="7" t="inlineStr">
        <is>
          <t>Point</t>
        </is>
      </c>
      <c r="C652" s="7" t="n"/>
      <c r="D652" s="7" t="inlineStr">
        <is>
          <t>33 C.E., Nisan 11</t>
        </is>
      </c>
      <c r="E652" s="7" t="inlineStr">
        <is>
          <t>கி.பி. 33, நிசான் 11</t>
        </is>
      </c>
      <c r="F652" s="7" t="inlineStr">
        <is>
          <t>33 CE</t>
        </is>
      </c>
      <c r="G652" s="7" t="inlineStr">
        <is>
          <t>Exact</t>
        </is>
      </c>
      <c r="H652" s="7" t="n"/>
      <c r="I652" s="7" t="n"/>
      <c r="J652" s="7" t="n"/>
      <c r="K652" s="2" t="inlineStr">
        <is>
          <t>Woes to scribes and Pharisees</t>
        </is>
      </c>
      <c r="L652" s="2" t="inlineStr">
        <is>
          <t>வேத அறிஞர்களையும் பரிசேயர்களையும் கண்டனம் செய்கிறார்</t>
        </is>
      </c>
      <c r="M652" s="7" t="inlineStr">
        <is>
          <t>Woes to scribes and Pharisees. The place is given as Jerusalem, temple. NWT Study Edition Appendix A7-G (“Jesus’ Final Ministry in Jerusalem (Part 1)”) dates this to 33 C.E., Nisan 11.</t>
        </is>
      </c>
      <c r="N652" s="7" t="inlineStr">
        <is>
          <t>வேத அறிஞர்களையும் பரிசேயர்களையும் கண்டனம் செய்கிறார் — எருசலேம், ஆலயம்</t>
        </is>
      </c>
      <c r="O652" s="8" t="inlineStr">
        <is>
          <t>Bible</t>
        </is>
      </c>
      <c r="P652" s="7" t="inlineStr">
        <is>
          <t>bible.jesus</t>
        </is>
      </c>
      <c r="Q652" s="7" t="inlineStr">
        <is>
          <t>teaching</t>
        </is>
      </c>
      <c r="R652" s="7" t="inlineStr">
        <is>
          <t>Jesus</t>
        </is>
      </c>
      <c r="S652" s="7" t="inlineStr">
        <is>
          <t>Jerusalem (temple)</t>
        </is>
      </c>
      <c r="T652" s="7" t="inlineStr">
        <is>
          <t>Matt. 23:1-39; Mark 12:38-40; Luke 20:45-47</t>
        </is>
      </c>
      <c r="U652" s="7" t="inlineStr">
        <is>
          <t>மத் 23:1-39; மாற் 12:38-40; லூக் 20:45-47</t>
        </is>
      </c>
      <c r="V652" s="7" t="n">
        <v>3</v>
      </c>
      <c r="W652" s="7" t="inlineStr">
        <is>
          <t>A7-G Main Events of Jesus’ Earthly Life—Jesus’ Final Ministry in Jerusalem (Part 1)</t>
        </is>
      </c>
      <c r="X652" s="9" t="inlineStr">
        <is>
          <t>open</t>
        </is>
      </c>
      <c r="Y652" s="9" t="inlineStr">
        <is>
          <t>open</t>
        </is>
      </c>
      <c r="Z652" s="7" t="inlineStr">
        <is>
          <t>https://wol.jw.org/en/wol/d/r1/lp-e/1001070213
https://wol.jw.org/en/wol/d/r1/lp-e/1001061213
https://wol.jw.org/en/wol/d/r1/lp-e/1200002451</t>
        </is>
      </c>
      <c r="AA652" s="7" t="n">
        <v>1</v>
      </c>
      <c r="AB652" s="9" t="inlineStr">
        <is>
          <t>open</t>
        </is>
      </c>
      <c r="AC652" s="7" t="n">
        <v>1</v>
      </c>
      <c r="AD652" s="7" t="inlineStr">
        <is>
          <t>Wording in pre-2013 Insight chart (it-2 'Jesus Christ', par 885): “Scathing denunciation of scribes and Pharisees”.</t>
        </is>
      </c>
      <c r="AE652" s="7" t="n"/>
      <c r="AF652" s="7" t="n"/>
      <c r="AG652" s="7" t="n"/>
      <c r="AH652" s="7" t="n"/>
      <c r="AI652" s="7" t="n"/>
      <c r="AJ652" s="7" t="n"/>
      <c r="AK652" s="7" t="inlineStr">
        <is>
          <t>jesus-final-week #15 (item)</t>
        </is>
      </c>
      <c r="AL652" s="7" t="n"/>
      <c r="AM652" s="7" t="n">
        <v>33.2362</v>
      </c>
      <c r="AN652" s="10" t="n"/>
      <c r="AO652" s="10" t="n"/>
      <c r="AP652" s="10" t="n"/>
      <c r="AQ652" s="10" t="n"/>
    </row>
    <row r="653">
      <c r="A653" s="7" t="inlineStr">
        <is>
          <t>b5-0143</t>
        </is>
      </c>
      <c r="B653" s="7" t="inlineStr">
        <is>
          <t>Point</t>
        </is>
      </c>
      <c r="C653" s="7" t="n"/>
      <c r="D653" s="7" t="inlineStr">
        <is>
          <t>33 C.E., Nisan 11</t>
        </is>
      </c>
      <c r="E653" s="7" t="inlineStr">
        <is>
          <t>கி.பி. 33, நிசான் 11</t>
        </is>
      </c>
      <c r="F653" s="7" t="inlineStr">
        <is>
          <t>33 CE</t>
        </is>
      </c>
      <c r="G653" s="7" t="inlineStr">
        <is>
          <t>Exact</t>
        </is>
      </c>
      <c r="H653" s="7" t="n"/>
      <c r="I653" s="7" t="n"/>
      <c r="J653" s="7" t="n"/>
      <c r="K653" s="2" t="inlineStr">
        <is>
          <t>Observes widow’s contribution</t>
        </is>
      </c>
      <c r="L653" s="2" t="inlineStr">
        <is>
          <t>விதவையின் காணிக்கையைக் கவனிக்கிறார்</t>
        </is>
      </c>
      <c r="M653" s="7" t="inlineStr">
        <is>
          <t>Observes widow’s contribution. The place is given as Jerusalem, temple. NWT Study Edition Appendix A7-G (“Jesus’ Final Ministry in Jerusalem (Part 1)”) dates this to 33 C.E., Nisan 11.</t>
        </is>
      </c>
      <c r="N653" s="7" t="inlineStr">
        <is>
          <t>விதவையின் காணிக்கையைக் கவனிக்கிறார் — எருசலேம், ஆலயம்</t>
        </is>
      </c>
      <c r="O653" s="8" t="inlineStr">
        <is>
          <t>Bible</t>
        </is>
      </c>
      <c r="P653" s="7" t="inlineStr">
        <is>
          <t>bible.jesus</t>
        </is>
      </c>
      <c r="Q653" s="7" t="inlineStr">
        <is>
          <t>teaching</t>
        </is>
      </c>
      <c r="R653" s="7" t="inlineStr">
        <is>
          <t>Jesus</t>
        </is>
      </c>
      <c r="S653" s="7" t="inlineStr">
        <is>
          <t>Jerusalem (temple)</t>
        </is>
      </c>
      <c r="T653" s="7" t="inlineStr">
        <is>
          <t>Mark 12:41-44; Luke 21:1-4</t>
        </is>
      </c>
      <c r="U653" s="7" t="inlineStr">
        <is>
          <t>மாற் 12:41-44; லூக் 21:1-4</t>
        </is>
      </c>
      <c r="V653" s="7" t="n">
        <v>3</v>
      </c>
      <c r="W653" s="7" t="inlineStr">
        <is>
          <t>A7-G Main Events of Jesus’ Earthly Life—Jesus’ Final Ministry in Jerusalem (Part 1)</t>
        </is>
      </c>
      <c r="X653" s="9" t="inlineStr">
        <is>
          <t>open</t>
        </is>
      </c>
      <c r="Y653" s="9" t="inlineStr">
        <is>
          <t>open</t>
        </is>
      </c>
      <c r="Z653" s="7" t="inlineStr">
        <is>
          <t>https://wol.jw.org/en/wol/d/r1/lp-e/1001070213
https://wol.jw.org/en/wol/d/r1/lp-e/1001061213
https://wol.jw.org/en/wol/d/r1/lp-e/1200002451</t>
        </is>
      </c>
      <c r="AA653" s="7" t="n">
        <v>1</v>
      </c>
      <c r="AB653" s="9" t="inlineStr">
        <is>
          <t>open</t>
        </is>
      </c>
      <c r="AC653" s="7" t="n">
        <v>1</v>
      </c>
      <c r="AD653" s="7" t="inlineStr">
        <is>
          <t>Wording in pre-2013 Insight chart (it-2 'Jesus Christ', par 892): “The widow’s mite”.</t>
        </is>
      </c>
      <c r="AE653" s="7" t="n"/>
      <c r="AF653" s="7" t="n"/>
      <c r="AG653" s="7" t="n"/>
      <c r="AH653" s="7" t="n"/>
      <c r="AI653" s="7" t="n"/>
      <c r="AJ653" s="7" t="n"/>
      <c r="AK653" s="7" t="inlineStr">
        <is>
          <t>jesus-final-week #16 (item)</t>
        </is>
      </c>
      <c r="AL653" s="7" t="n"/>
      <c r="AM653" s="7" t="n">
        <v>33.2364</v>
      </c>
      <c r="AN653" s="10" t="n"/>
      <c r="AO653" s="10" t="n"/>
      <c r="AP653" s="10" t="n"/>
      <c r="AQ653" s="10" t="n"/>
    </row>
    <row r="654">
      <c r="A654" s="7" t="inlineStr">
        <is>
          <t>b5-0144</t>
        </is>
      </c>
      <c r="B654" s="7" t="inlineStr">
        <is>
          <t>Point</t>
        </is>
      </c>
      <c r="C654" s="7" t="n"/>
      <c r="D654" s="7" t="inlineStr">
        <is>
          <t>33 C.E., Nisan 11</t>
        </is>
      </c>
      <c r="E654" s="7" t="inlineStr">
        <is>
          <t>கி.பி. 33, நிசான் 11</t>
        </is>
      </c>
      <c r="F654" s="7" t="inlineStr">
        <is>
          <t>33 CE</t>
        </is>
      </c>
      <c r="G654" s="7" t="inlineStr">
        <is>
          <t>Exact</t>
        </is>
      </c>
      <c r="H654" s="7" t="n"/>
      <c r="I654" s="7" t="n"/>
      <c r="J654" s="7" t="n"/>
      <c r="K654" s="2" t="inlineStr">
        <is>
          <t>Gives sign of future presence</t>
        </is>
      </c>
      <c r="L654" s="2" t="inlineStr">
        <is>
          <t>எதிர்கால பிரசன்னத்துக்கு அடையாளம்</t>
        </is>
      </c>
      <c r="M654" s="7" t="inlineStr">
        <is>
          <t>Gives sign of future presence. The place is given as Mount of Olives. NWT Study Edition Appendix A7-G (“Jesus’ Final Ministry in Jerusalem (Part 1)”) dates this to 33 C.E., Nisan 11.</t>
        </is>
      </c>
      <c r="N654" s="7" t="inlineStr">
        <is>
          <t>எதிர்கால பிரசன்னத்துக்கு அடையாளம் — ஒலிவ மலை</t>
        </is>
      </c>
      <c r="O654" s="8" t="inlineStr">
        <is>
          <t>Bible</t>
        </is>
      </c>
      <c r="P654" s="7" t="inlineStr">
        <is>
          <t>bible.jesus</t>
        </is>
      </c>
      <c r="Q654" s="7" t="inlineStr">
        <is>
          <t>prophecy</t>
        </is>
      </c>
      <c r="R654" s="7" t="inlineStr">
        <is>
          <t>Jesus</t>
        </is>
      </c>
      <c r="S654" s="7" t="inlineStr">
        <is>
          <t>Mount of Olives</t>
        </is>
      </c>
      <c r="T654" s="7" t="inlineStr">
        <is>
          <t>Matt. 24:1-51; Mark 13:1-37; Luke 21:5-38</t>
        </is>
      </c>
      <c r="U654" s="7" t="inlineStr">
        <is>
          <t>மத் 24:1-51; மாற் 13:1-37; லூக் 21:5-38</t>
        </is>
      </c>
      <c r="V654" s="7" t="n">
        <v>3</v>
      </c>
      <c r="W654" s="7" t="inlineStr">
        <is>
          <t>A7-G Main Events of Jesus’ Earthly Life—Jesus’ Final Ministry in Jerusalem (Part 1)</t>
        </is>
      </c>
      <c r="X654" s="9" t="inlineStr">
        <is>
          <t>open</t>
        </is>
      </c>
      <c r="Y654" s="9" t="inlineStr">
        <is>
          <t>open</t>
        </is>
      </c>
      <c r="Z654" s="7" t="inlineStr">
        <is>
          <t>https://wol.jw.org/en/wol/d/r1/lp-e/1001070213
https://wol.jw.org/en/wol/d/r1/lp-e/1001061213
https://wol.jw.org/en/wol/d/r1/lp-e/1200002451</t>
        </is>
      </c>
      <c r="AA654" s="7" t="n">
        <v>1</v>
      </c>
      <c r="AB654" s="9" t="inlineStr">
        <is>
          <t>open</t>
        </is>
      </c>
      <c r="AC654" s="7" t="n">
        <v>1</v>
      </c>
      <c r="AD654" s="7" t="inlineStr">
        <is>
          <t>Wording in pre-2013 Insight chart (it-2 'Jesus Christ', par 899): “Prediction of Jerusalem’s fall; Jesus’ presence; end of system”.</t>
        </is>
      </c>
      <c r="AE654" s="7" t="n"/>
      <c r="AF654" s="7" t="n"/>
      <c r="AG654" s="7" t="n"/>
      <c r="AH654" s="7" t="n"/>
      <c r="AI654" s="7" t="n"/>
      <c r="AJ654" s="7" t="n"/>
      <c r="AK654" s="7" t="inlineStr">
        <is>
          <t>fulfilled-prophecies-nations #62 (prophecy); jesus-final-week #17 (item); last-days-sign #5 (prophecy); last-days-sign #9 (prophecy); last-days-sign #14 (prophecy); last-days-sign #17 (prophecy)</t>
        </is>
      </c>
      <c r="AL654" s="7" t="n"/>
      <c r="AM654" s="7" t="n">
        <v>33.2366</v>
      </c>
      <c r="AN654" s="10" t="n"/>
      <c r="AO654" s="10" t="n"/>
      <c r="AP654" s="10" t="n"/>
      <c r="AQ654" s="10" t="n"/>
    </row>
    <row r="655">
      <c r="A655" s="7" t="inlineStr">
        <is>
          <t>b5-0145</t>
        </is>
      </c>
      <c r="B655" s="7" t="inlineStr">
        <is>
          <t>Point</t>
        </is>
      </c>
      <c r="C655" s="7" t="n"/>
      <c r="D655" s="7" t="inlineStr">
        <is>
          <t>33 C.E., Nisan 11</t>
        </is>
      </c>
      <c r="E655" s="7" t="inlineStr">
        <is>
          <t>கி.பி. 33, நிசான் 11</t>
        </is>
      </c>
      <c r="F655" s="7" t="inlineStr">
        <is>
          <t>33 CE</t>
        </is>
      </c>
      <c r="G655" s="7" t="inlineStr">
        <is>
          <t>Exact</t>
        </is>
      </c>
      <c r="H655" s="7" t="n"/>
      <c r="I655" s="7" t="n"/>
      <c r="J655" s="7" t="n"/>
      <c r="K655" s="2" t="inlineStr">
        <is>
          <t>Illustrations: ten virgins, talents, sheep and goats</t>
        </is>
      </c>
      <c r="L655" s="2" t="inlineStr">
        <is>
          <t>உவமைகள்: பத்துக் கன்னிப்பெண்கள், தாலந்து, செம்மறியாடுகள் மற்றும் வெள்ளாடுகள்</t>
        </is>
      </c>
      <c r="M655" s="7" t="inlineStr">
        <is>
          <t>Illustrations: ten virgins, talents, sheep and goats. The place is given as Mount of Olives. NWT Study Edition Appendix A7-G (“Jesus’ Final Ministry in Jerusalem (Part 1)”) dates this to 33 C.E., Nisan 11.</t>
        </is>
      </c>
      <c r="N655" s="7" t="inlineStr">
        <is>
          <t>உவமைகள்: பத்துக் கன்னிப்பெண்கள், தாலந்து, செம்மறியாடுகள் மற்றும் வெள்ளாடுகள் — ஒலிவ மலை</t>
        </is>
      </c>
      <c r="O655" s="8" t="inlineStr">
        <is>
          <t>Bible</t>
        </is>
      </c>
      <c r="P655" s="7" t="inlineStr">
        <is>
          <t>bible.jesus</t>
        </is>
      </c>
      <c r="Q655" s="7" t="inlineStr">
        <is>
          <t>parable</t>
        </is>
      </c>
      <c r="R655" s="7" t="inlineStr">
        <is>
          <t>Jesus</t>
        </is>
      </c>
      <c r="S655" s="7" t="inlineStr">
        <is>
          <t>Mount of Olives</t>
        </is>
      </c>
      <c r="T655" s="7" t="inlineStr">
        <is>
          <t>Matt. 25:1-46</t>
        </is>
      </c>
      <c r="U655" s="7" t="inlineStr">
        <is>
          <t>மத் 25:1-46</t>
        </is>
      </c>
      <c r="V655" s="7" t="n">
        <v>3</v>
      </c>
      <c r="W655" s="7" t="inlineStr">
        <is>
          <t>A7-G Main Events of Jesus’ Earthly Life—Jesus’ Final Ministry in Jerusalem (Part 1)</t>
        </is>
      </c>
      <c r="X655" s="9" t="inlineStr">
        <is>
          <t>open</t>
        </is>
      </c>
      <c r="Y655" s="9" t="inlineStr">
        <is>
          <t>open</t>
        </is>
      </c>
      <c r="Z655" s="7" t="inlineStr">
        <is>
          <t>https://wol.jw.org/en/wol/d/r1/lp-e/1001070213
https://wol.jw.org/en/wol/d/r1/lp-e/1001061213
https://wol.jw.org/en/wol/d/r1/lp-e/1200002451</t>
        </is>
      </c>
      <c r="AA655" s="7" t="n">
        <v>1</v>
      </c>
      <c r="AB655" s="9" t="inlineStr">
        <is>
          <t>open</t>
        </is>
      </c>
      <c r="AC655" s="7" t="n">
        <v>1</v>
      </c>
      <c r="AD655" s="7" t="inlineStr">
        <is>
          <t>Wording in pre-2013 Insight chart (it-2 'Jesus Christ', par 906): “Illustrations of ten virgins, talents, sheep and goats”.</t>
        </is>
      </c>
      <c r="AE655" s="7" t="n"/>
      <c r="AF655" s="7" t="n"/>
      <c r="AG655" s="7" t="n"/>
      <c r="AH655" s="7" t="n"/>
      <c r="AI655" s="7" t="n"/>
      <c r="AJ655" s="7" t="n"/>
      <c r="AK655" s="7" t="inlineStr">
        <is>
          <t>jesus-final-week #18 (context)</t>
        </is>
      </c>
      <c r="AL655" s="7" t="n"/>
      <c r="AM655" s="7" t="n">
        <v>33.2368</v>
      </c>
      <c r="AN655" s="10" t="n"/>
      <c r="AO655" s="10" t="n"/>
      <c r="AP655" s="10" t="n"/>
      <c r="AQ655" s="10" t="n"/>
    </row>
    <row r="656">
      <c r="A656" s="7" t="inlineStr">
        <is>
          <t>b16-0003</t>
        </is>
      </c>
      <c r="B656" s="7" t="inlineStr">
        <is>
          <t>Point</t>
        </is>
      </c>
      <c r="C656" s="7" t="n"/>
      <c r="D656" s="7" t="inlineStr">
        <is>
          <t>33 C.E., Nisan 12</t>
        </is>
      </c>
      <c r="E656" s="7" t="inlineStr">
        <is>
          <t>கி.பி. 33, நிசான் 12</t>
        </is>
      </c>
      <c r="F656" s="7" t="inlineStr">
        <is>
          <t>33 CE</t>
        </is>
      </c>
      <c r="G656" s="7" t="inlineStr">
        <is>
          <t>Exact</t>
        </is>
      </c>
      <c r="H656" s="7" t="n"/>
      <c r="I656" s="7" t="n"/>
      <c r="J656" s="7" t="n"/>
      <c r="K656" s="2" t="inlineStr">
        <is>
          <t>Jesus spends a quiet day with his disciples</t>
        </is>
      </c>
      <c r="L656" s="2" t="inlineStr">
        <is>
          <t>சீஷர்களோடு அமைதியான நாள்</t>
        </is>
      </c>
      <c r="M656" s="7" t="inlineStr">
        <is>
          <t>NWT Appendix B12-B describes Nisan 12, 33 C.E., as a quiet day that Jesus spends with his disciples; on the same day Judas arranges the betrayal.</t>
        </is>
      </c>
      <c r="N656" s="7" t="inlineStr">
        <is>
          <t>சீஷர்களோடு அமைதியான நாள்</t>
        </is>
      </c>
      <c r="O656" s="8" t="inlineStr">
        <is>
          <t>Bible</t>
        </is>
      </c>
      <c r="P656" s="7" t="inlineStr">
        <is>
          <t>bible.jesus</t>
        </is>
      </c>
      <c r="Q656" s="7" t="inlineStr">
        <is>
          <t>day_summary</t>
        </is>
      </c>
      <c r="R656" s="7" t="inlineStr">
        <is>
          <t>Jesus</t>
        </is>
      </c>
      <c r="S656" s="7" t="n"/>
      <c r="T656" s="7" t="n"/>
      <c r="U656" s="7" t="n"/>
      <c r="V656" s="7" t="n">
        <v>3</v>
      </c>
      <c r="W656" s="7" t="inlineStr">
        <is>
          <t>B12-B The Final Week of Jesus’ Life on Earth (Part 2)</t>
        </is>
      </c>
      <c r="X656" s="9" t="inlineStr">
        <is>
          <t>open</t>
        </is>
      </c>
      <c r="Y656" s="9" t="inlineStr">
        <is>
          <t>open</t>
        </is>
      </c>
      <c r="Z656" s="7" t="inlineStr">
        <is>
          <t>https://wol.jw.org/en/wol/d/r1/lp-e/1001070233
https://wol.jw.org/en/wol/d/r1/lp-e/1001061233
https://www.jw.org/en/library/bible/nwt/appendix-b/jesus-last-week-nisan-12-16/</t>
        </is>
      </c>
      <c r="AA656" s="7" t="n">
        <v>0</v>
      </c>
      <c r="AB656" s="7" t="n"/>
      <c r="AC656" s="7" t="n">
        <v>0</v>
      </c>
      <c r="AD656" s="7" t="n"/>
      <c r="AE656" s="7" t="n"/>
      <c r="AF656" s="7" t="n"/>
      <c r="AG656" s="7" t="n"/>
      <c r="AH656" s="7" t="n"/>
      <c r="AI656" s="7" t="n"/>
      <c r="AJ656" s="7" t="n"/>
      <c r="AK656" s="7" t="inlineStr">
        <is>
          <t>jesus-final-week #19 (item)</t>
        </is>
      </c>
      <c r="AL656" s="7" t="inlineStr">
        <is>
          <t>B12-B prints the day’s references (Matthew 26:1-5, 14-16; Mark 14:1, 2, 10, 11; Luke 22:1-6) under both items of the day; they describe the plot and Judas’ bargain (b5-0146, b5-0147), so no scripture is attached here.</t>
        </is>
      </c>
      <c r="AM656" s="7" t="n">
        <v>33.2399</v>
      </c>
      <c r="AN656" s="10" t="n"/>
      <c r="AO656" s="10" t="n"/>
      <c r="AP656" s="10" t="n"/>
      <c r="AQ656" s="10" t="n"/>
    </row>
    <row r="657">
      <c r="A657" s="7" t="inlineStr">
        <is>
          <t>b5-0146</t>
        </is>
      </c>
      <c r="B657" s="7" t="inlineStr">
        <is>
          <t>Point</t>
        </is>
      </c>
      <c r="C657" s="7" t="n"/>
      <c r="D657" s="7" t="inlineStr">
        <is>
          <t>33 C.E., Nisan 12</t>
        </is>
      </c>
      <c r="E657" s="7" t="inlineStr">
        <is>
          <t>கி.பி. 33, நிசான் 12</t>
        </is>
      </c>
      <c r="F657" s="7" t="inlineStr">
        <is>
          <t>33 CE</t>
        </is>
      </c>
      <c r="G657" s="7" t="inlineStr">
        <is>
          <t>Exact</t>
        </is>
      </c>
      <c r="H657" s="7" t="n"/>
      <c r="I657" s="7" t="n"/>
      <c r="J657" s="7" t="n"/>
      <c r="K657" s="2" t="inlineStr">
        <is>
          <t>Jewish leaders plot to kill him</t>
        </is>
      </c>
      <c r="L657" s="2" t="inlineStr">
        <is>
          <t>அவரைக் கொல்ல யூதத் தலைவர்கள் சதி</t>
        </is>
      </c>
      <c r="M657" s="7" t="inlineStr">
        <is>
          <t>Jewish leaders plot to kill him. The place is given as Jerusalem. NWT Study Edition Appendix A7-G (“Jesus’ Final Ministry in Jerusalem (Part 1)”) dates this to 33 C.E., Nisan 12.</t>
        </is>
      </c>
      <c r="N657" s="7" t="inlineStr">
        <is>
          <t>அவரைக் கொல்ல யூதத் தலைவர்கள் சதி — எருசலேம்</t>
        </is>
      </c>
      <c r="O657" s="8" t="inlineStr">
        <is>
          <t>Bible</t>
        </is>
      </c>
      <c r="P657" s="7" t="inlineStr">
        <is>
          <t>bible.jesus</t>
        </is>
      </c>
      <c r="Q657" s="7" t="inlineStr">
        <is>
          <t>plot</t>
        </is>
      </c>
      <c r="R657" s="7" t="n"/>
      <c r="S657" s="7" t="inlineStr">
        <is>
          <t>Jerusalem</t>
        </is>
      </c>
      <c r="T657" s="7" t="inlineStr">
        <is>
          <t>Matt. 26:1-5; Mark 14:1, 2; Luke 22:1, 2</t>
        </is>
      </c>
      <c r="U657" s="7" t="inlineStr">
        <is>
          <t>மத் 26:1-5; மாற் 14:1, 2; லூக் 22:1, 2</t>
        </is>
      </c>
      <c r="V657" s="7" t="n">
        <v>3</v>
      </c>
      <c r="W657" s="7" t="inlineStr">
        <is>
          <t>A7-G Main Events of Jesus’ Earthly Life—Jesus’ Final Ministry in Jerusalem (Part 1)</t>
        </is>
      </c>
      <c r="X657" s="9" t="inlineStr">
        <is>
          <t>open</t>
        </is>
      </c>
      <c r="Y657" s="9" t="inlineStr">
        <is>
          <t>open</t>
        </is>
      </c>
      <c r="Z657" s="7" t="inlineStr">
        <is>
          <t>https://wol.jw.org/en/wol/d/r1/lp-e/1001070213
https://wol.jw.org/en/wol/d/r1/lp-e/1001061213
https://wol.jw.org/en/wol/d/r1/lp-e/1200002451</t>
        </is>
      </c>
      <c r="AA657" s="7" t="n">
        <v>1</v>
      </c>
      <c r="AB657" s="9" t="inlineStr">
        <is>
          <t>open</t>
        </is>
      </c>
      <c r="AC657" s="7" t="n">
        <v>1</v>
      </c>
      <c r="AD657" s="7" t="inlineStr">
        <is>
          <t>Wording in pre-2013 Insight chart (it-2 'Jesus Christ', par 913): “Religious leaders plot Jesus’ death”.</t>
        </is>
      </c>
      <c r="AE657" s="7" t="n"/>
      <c r="AF657" s="7" t="n"/>
      <c r="AG657" s="7" t="n"/>
      <c r="AH657" s="7" t="n"/>
      <c r="AI657" s="7" t="n"/>
      <c r="AJ657" s="7" t="n"/>
      <c r="AK657" s="7" t="inlineStr">
        <is>
          <t>jesus-final-week #20 (context)</t>
        </is>
      </c>
      <c r="AL657" s="7" t="n"/>
      <c r="AM657" s="7" t="n">
        <v>33.24</v>
      </c>
      <c r="AN657" s="10" t="n"/>
      <c r="AO657" s="10" t="n"/>
      <c r="AP657" s="10" t="n"/>
      <c r="AQ657" s="10" t="n"/>
    </row>
    <row r="658">
      <c r="A658" s="7" t="inlineStr">
        <is>
          <t>b5-0147</t>
        </is>
      </c>
      <c r="B658" s="7" t="inlineStr">
        <is>
          <t>Point</t>
        </is>
      </c>
      <c r="C658" s="7" t="n"/>
      <c r="D658" s="7" t="inlineStr">
        <is>
          <t>33 C.E., Nisan 12</t>
        </is>
      </c>
      <c r="E658" s="7" t="inlineStr">
        <is>
          <t>கி.பி. 33, நிசான் 12</t>
        </is>
      </c>
      <c r="F658" s="7" t="inlineStr">
        <is>
          <t>33 CE</t>
        </is>
      </c>
      <c r="G658" s="7" t="inlineStr">
        <is>
          <t>Exact</t>
        </is>
      </c>
      <c r="H658" s="7" t="n"/>
      <c r="I658" s="7" t="n"/>
      <c r="J658" s="7" t="n"/>
      <c r="K658" s="2" t="inlineStr">
        <is>
          <t>Judas arranges betrayal</t>
        </is>
      </c>
      <c r="L658" s="2" t="inlineStr">
        <is>
          <t>காட்டிக்கொடுக்க யூதாஸ் ஏற்பாடு செய்கிறான்</t>
        </is>
      </c>
      <c r="M658" s="7" t="inlineStr">
        <is>
          <t>Judas arranges betrayal. The place is given as Jerusalem. NWT Study Edition Appendix A7-G (“Jesus’ Final Ministry in Jerusalem (Part 1)”) dates this to 33 C.E., Nisan 12.</t>
        </is>
      </c>
      <c r="N658" s="7" t="inlineStr">
        <is>
          <t>காட்டிக்கொடுக்க யூதாஸ் ஏற்பாடு செய்கிறான் — எருசலேம்</t>
        </is>
      </c>
      <c r="O658" s="8" t="inlineStr">
        <is>
          <t>Bible</t>
        </is>
      </c>
      <c r="P658" s="7" t="inlineStr">
        <is>
          <t>bible.jesus</t>
        </is>
      </c>
      <c r="Q658" s="7" t="inlineStr">
        <is>
          <t>betrayal_arranged</t>
        </is>
      </c>
      <c r="R658" s="7" t="inlineStr">
        <is>
          <t>Judas Iscariot</t>
        </is>
      </c>
      <c r="S658" s="7" t="inlineStr">
        <is>
          <t>Jerusalem</t>
        </is>
      </c>
      <c r="T658" s="7" t="inlineStr">
        <is>
          <t>Matt. 26:14-16; Mark 14:10, 11; Luke 22:3-6</t>
        </is>
      </c>
      <c r="U658" s="7" t="inlineStr">
        <is>
          <t>மத் 26:14-16; மாற் 14:10, 11; லூக் 22:3-6</t>
        </is>
      </c>
      <c r="V658" s="7" t="n">
        <v>3</v>
      </c>
      <c r="W658" s="7" t="inlineStr">
        <is>
          <t>A7-G Main Events of Jesus’ Earthly Life—Jesus’ Final Ministry in Jerusalem (Part 1)</t>
        </is>
      </c>
      <c r="X658" s="9" t="inlineStr">
        <is>
          <t>open</t>
        </is>
      </c>
      <c r="Y658" s="9" t="inlineStr">
        <is>
          <t>open</t>
        </is>
      </c>
      <c r="Z658" s="7" t="inlineStr">
        <is>
          <t>https://wol.jw.org/en/wol/d/r1/lp-e/1001070213
https://wol.jw.org/en/wol/d/r1/lp-e/1001061213
https://wol.jw.org/en/wol/d/r1/lp-e/1200002451</t>
        </is>
      </c>
      <c r="AA658" s="7" t="n">
        <v>1</v>
      </c>
      <c r="AB658" s="9" t="inlineStr">
        <is>
          <t>open</t>
        </is>
      </c>
      <c r="AC658" s="7" t="n">
        <v>1</v>
      </c>
      <c r="AD658" s="7" t="inlineStr">
        <is>
          <t>Wording in pre-2013 Insight chart (it-2 'Jesus Christ', par 920): “Judas bargains with priests for Jesus’ betrayal”.</t>
        </is>
      </c>
      <c r="AE658" s="7" t="n"/>
      <c r="AF658" s="7" t="n"/>
      <c r="AG658" s="7" t="n"/>
      <c r="AH658" s="7" t="n"/>
      <c r="AI658" s="7" t="n"/>
      <c r="AJ658" s="7" t="n"/>
      <c r="AK658" s="7" t="inlineStr">
        <is>
          <t>jesus-final-week #21 (item); messianic-prophecies #155 (fulfillment)</t>
        </is>
      </c>
      <c r="AL658" s="7" t="n"/>
      <c r="AM658" s="7" t="n">
        <v>33.2402</v>
      </c>
      <c r="AN658" s="10" t="n"/>
      <c r="AO658" s="10" t="n"/>
      <c r="AP658" s="10" t="n"/>
      <c r="AQ658" s="10" t="n"/>
    </row>
    <row r="659">
      <c r="A659" s="7" t="inlineStr">
        <is>
          <t>b5-0148</t>
        </is>
      </c>
      <c r="B659" s="7" t="inlineStr">
        <is>
          <t>Point</t>
        </is>
      </c>
      <c r="C659" s="7" t="n"/>
      <c r="D659" s="7" t="inlineStr">
        <is>
          <t>33 C.E., Nisan 13 (Thursday afternoon)</t>
        </is>
      </c>
      <c r="E659" s="7" t="inlineStr">
        <is>
          <t>கி.பி. 33, நிசான் 13 (வியாழன் மதியம்)</t>
        </is>
      </c>
      <c r="F659" s="7" t="inlineStr">
        <is>
          <t>33 CE</t>
        </is>
      </c>
      <c r="G659" s="7" t="inlineStr">
        <is>
          <t>Exact</t>
        </is>
      </c>
      <c r="H659" s="7" t="n"/>
      <c r="I659" s="7" t="n"/>
      <c r="J659" s="7" t="n"/>
      <c r="K659" s="2" t="inlineStr">
        <is>
          <t>Prepares for last Passover</t>
        </is>
      </c>
      <c r="L659" s="2" t="inlineStr">
        <is>
          <t>கடைசி பஸ்காவுக்காக ஏற்பாடு</t>
        </is>
      </c>
      <c r="M659" s="7" t="inlineStr">
        <is>
          <t>Prepares for last Passover. The place is given as Near and in Jerusalem. NWT Study Edition Appendix A7-G (“Jesus’ Final Ministry in Jerusalem (Part 1)”) dates this to 33 C.E., Nisan 13 (Thursday afternoon).</t>
        </is>
      </c>
      <c r="N659" s="7" t="inlineStr">
        <is>
          <t>கடைசி பஸ்காவுக்காக ஏற்பாடு — எருசலேமிலும் அதற்குப் பக்கத்திலும்</t>
        </is>
      </c>
      <c r="O659" s="8" t="inlineStr">
        <is>
          <t>Bible</t>
        </is>
      </c>
      <c r="P659" s="7" t="inlineStr">
        <is>
          <t>bible.jesus</t>
        </is>
      </c>
      <c r="Q659" s="7" t="inlineStr">
        <is>
          <t>passover_preparation</t>
        </is>
      </c>
      <c r="R659" s="7" t="inlineStr">
        <is>
          <t>Jesus</t>
        </is>
      </c>
      <c r="S659" s="7" t="inlineStr">
        <is>
          <t>and in Jerusalem</t>
        </is>
      </c>
      <c r="T659" s="7" t="inlineStr">
        <is>
          <t>Matt. 26:17-19; Mark 14:12-16; Luke 22:7-13</t>
        </is>
      </c>
      <c r="U659" s="7" t="inlineStr">
        <is>
          <t>மத் 26:17-19; மாற் 14:12-16; லூக் 22:7-13</t>
        </is>
      </c>
      <c r="V659" s="7" t="n">
        <v>3</v>
      </c>
      <c r="W659" s="7" t="inlineStr">
        <is>
          <t>A7-G Main Events of Jesus’ Earthly Life—Jesus’ Final Ministry in Jerusalem (Part 1)</t>
        </is>
      </c>
      <c r="X659" s="9" t="inlineStr">
        <is>
          <t>open</t>
        </is>
      </c>
      <c r="Y659" s="9" t="inlineStr">
        <is>
          <t>open</t>
        </is>
      </c>
      <c r="Z659" s="7" t="inlineStr">
        <is>
          <t>https://wol.jw.org/en/wol/d/r1/lp-e/1001070213
https://wol.jw.org/en/wol/d/r1/lp-e/1001061213
https://wol.jw.org/en/wol/d/r1/lp-e/1200002451</t>
        </is>
      </c>
      <c r="AA659" s="7" t="n">
        <v>1</v>
      </c>
      <c r="AB659" s="9" t="inlineStr">
        <is>
          <t>open</t>
        </is>
      </c>
      <c r="AC659" s="7" t="n">
        <v>1</v>
      </c>
      <c r="AD659" s="7" t="inlineStr">
        <is>
          <t>Wording in pre-2013 Insight chart (it-2 'Jesus Christ', par 927): “Arrangements for the Passover”.</t>
        </is>
      </c>
      <c r="AE659" s="7" t="n"/>
      <c r="AF659" s="7" t="n"/>
      <c r="AG659" s="7" t="n"/>
      <c r="AH659" s="7" t="n"/>
      <c r="AI659" s="7" t="n"/>
      <c r="AJ659" s="7" t="n"/>
      <c r="AK659" s="7" t="inlineStr">
        <is>
          <t>jesus-final-week #22 (item)</t>
        </is>
      </c>
      <c r="AL659" s="7" t="n"/>
      <c r="AM659" s="7" t="n">
        <v>33.245</v>
      </c>
      <c r="AN659" s="10" t="n"/>
      <c r="AO659" s="10" t="n"/>
      <c r="AP659" s="10" t="n"/>
      <c r="AQ659" s="10" t="n"/>
    </row>
    <row r="660">
      <c r="A660" s="7" t="inlineStr">
        <is>
          <t>b16-0004</t>
        </is>
      </c>
      <c r="B660" s="7" t="inlineStr">
        <is>
          <t>Point</t>
        </is>
      </c>
      <c r="C660" s="7" t="n"/>
      <c r="D660" s="7" t="inlineStr">
        <is>
          <t>33 C.E., Nisan 13 (late afternoon)</t>
        </is>
      </c>
      <c r="E660" s="7" t="inlineStr">
        <is>
          <t>கி.பி. 33, நிசான் 13</t>
        </is>
      </c>
      <c r="F660" s="7" t="inlineStr">
        <is>
          <t>33 CE</t>
        </is>
      </c>
      <c r="G660" s="7" t="inlineStr">
        <is>
          <t>Exact</t>
        </is>
      </c>
      <c r="H660" s="7" t="n"/>
      <c r="I660" s="7" t="n"/>
      <c r="J660" s="7" t="n"/>
      <c r="K660" s="2" t="inlineStr">
        <is>
          <t>Jesus and the other apostles arrive in late afternoon for the Passover</t>
        </is>
      </c>
      <c r="L660" s="2" t="inlineStr">
        <is>
          <t>சாயங்காலம் நெருங்கும் நேரத்தில் இயேசுவும் மற்ற அப்போஸ்தலர்களும் வந்துசேருகிறார்கள்</t>
        </is>
      </c>
      <c r="M660" s="7" t="inlineStr">
        <is>
          <t>After Peter and John prepare the Passover, Jesus and the other apostles arrive in the late afternoon of Nisan 13, before the Passover is eaten after sunset (Nisan 14).</t>
        </is>
      </c>
      <c r="N660" s="7" t="inlineStr">
        <is>
          <t>சாயங்காலம் நெருங்கும் நேரத்தில் இயேசுவும் மற்ற அப்போஸ்தலர்களும் வந்துசேருகிறார்கள்</t>
        </is>
      </c>
      <c r="O660" s="8" t="inlineStr">
        <is>
          <t>Bible</t>
        </is>
      </c>
      <c r="P660" s="7" t="inlineStr">
        <is>
          <t>bible.jesus</t>
        </is>
      </c>
      <c r="Q660" s="7" t="inlineStr">
        <is>
          <t>arrival</t>
        </is>
      </c>
      <c r="R660" s="7" t="inlineStr">
        <is>
          <t>Jesus; apostles</t>
        </is>
      </c>
      <c r="S660" s="7" t="inlineStr">
        <is>
          <t>Jerusalem</t>
        </is>
      </c>
      <c r="T660" s="7" t="n"/>
      <c r="U660" s="7" t="n"/>
      <c r="V660" s="7" t="n">
        <v>3</v>
      </c>
      <c r="W660" s="7" t="inlineStr">
        <is>
          <t>B12-B The Final Week of Jesus’ Life on Earth (Part 2)</t>
        </is>
      </c>
      <c r="X660" s="9" t="inlineStr">
        <is>
          <t>open</t>
        </is>
      </c>
      <c r="Y660" s="9" t="inlineStr">
        <is>
          <t>open</t>
        </is>
      </c>
      <c r="Z660" s="7" t="inlineStr">
        <is>
          <t>https://wol.jw.org/en/wol/d/r1/lp-e/1001070233
https://wol.jw.org/en/wol/d/r1/lp-e/1001061233
https://www.jw.org/en/library/bible/nwt/appendix-b/jesus-last-week-nisan-12-16/</t>
        </is>
      </c>
      <c r="AA660" s="7" t="n">
        <v>0</v>
      </c>
      <c r="AB660" s="7" t="n"/>
      <c r="AC660" s="7" t="n">
        <v>0</v>
      </c>
      <c r="AD660" s="7" t="n"/>
      <c r="AE660" s="7" t="n"/>
      <c r="AF660" s="7" t="n"/>
      <c r="AG660" s="7" t="n"/>
      <c r="AH660" s="7" t="n"/>
      <c r="AI660" s="7" t="n"/>
      <c r="AJ660" s="7" t="n"/>
      <c r="AK660" s="7" t="inlineStr">
        <is>
          <t>jesus-final-week #23 (item)</t>
        </is>
      </c>
      <c r="AL660" s="7" t="inlineStr">
        <is>
          <t>B12-B prints Matthew 26:17-19; Mark 14:12-16; Luke 22:7-13 for Nisan 13; those verses describe the preparation (b5-0148), so no scripture is attached to the arrival itself.</t>
        </is>
      </c>
      <c r="AM660" s="7" t="n">
        <v>33.2455</v>
      </c>
      <c r="AN660" s="10" t="n"/>
      <c r="AO660" s="10" t="n"/>
      <c r="AP660" s="10" t="n"/>
      <c r="AQ660" s="10" t="n"/>
    </row>
    <row r="661">
      <c r="A661" s="7" t="inlineStr">
        <is>
          <t>b5-0149</t>
        </is>
      </c>
      <c r="B661" s="7" t="inlineStr">
        <is>
          <t>Point</t>
        </is>
      </c>
      <c r="C661" s="7" t="n"/>
      <c r="D661" s="7" t="inlineStr">
        <is>
          <t>33 C.E., Nisan 14</t>
        </is>
      </c>
      <c r="E661" s="7" t="inlineStr">
        <is>
          <t>கி.பி. 33, நிசான் 14</t>
        </is>
      </c>
      <c r="F661" s="7" t="inlineStr">
        <is>
          <t>33 CE</t>
        </is>
      </c>
      <c r="G661" s="7" t="inlineStr">
        <is>
          <t>Exact</t>
        </is>
      </c>
      <c r="H661" s="7" t="n"/>
      <c r="I661" s="7" t="n"/>
      <c r="J661" s="7" t="n"/>
      <c r="K661" s="2" t="inlineStr">
        <is>
          <t>Eats Passover with apostles</t>
        </is>
      </c>
      <c r="L661" s="2" t="inlineStr">
        <is>
          <t>அப்போஸ்தலர்களோடு பஸ்கா உணவைச் சாப்பிடுகிறார்</t>
        </is>
      </c>
      <c r="M661" s="7" t="inlineStr">
        <is>
          <t>Eats Passover with apostles. The place is given as Jerusalem. NWT Study Edition Appendix A7-G (“Jesus’ Final Ministry in Jerusalem (Part 1)”) dates this to 33 C.E., Nisan 14.</t>
        </is>
      </c>
      <c r="N661" s="7" t="inlineStr">
        <is>
          <t>அப்போஸ்தலர்களோடு பஸ்கா உணவைச் சாப்பிடுகிறார் — எருசலேம்</t>
        </is>
      </c>
      <c r="O661" s="8" t="inlineStr">
        <is>
          <t>Bible</t>
        </is>
      </c>
      <c r="P661" s="7" t="inlineStr">
        <is>
          <t>bible.jesus</t>
        </is>
      </c>
      <c r="Q661" s="7" t="inlineStr">
        <is>
          <t>passover</t>
        </is>
      </c>
      <c r="R661" s="7" t="inlineStr">
        <is>
          <t>Jesus</t>
        </is>
      </c>
      <c r="S661" s="7" t="inlineStr">
        <is>
          <t>Jerusalem</t>
        </is>
      </c>
      <c r="T661" s="7" t="inlineStr">
        <is>
          <t>Matt. 26:20, 21; Mark 14:17, 18; Luke 22:14-18</t>
        </is>
      </c>
      <c r="U661" s="7" t="inlineStr">
        <is>
          <t>மத் 26:20, 21; மாற் 14:17, 18; லூக் 22:14-18</t>
        </is>
      </c>
      <c r="V661" s="7" t="n">
        <v>5</v>
      </c>
      <c r="W661" s="7" t="inlineStr">
        <is>
          <t>A7-G Main Events of Jesus’ Earthly Life—Jesus’ Final Ministry in Jerusalem (Part 1)</t>
        </is>
      </c>
      <c r="X661" s="9" t="inlineStr">
        <is>
          <t>open</t>
        </is>
      </c>
      <c r="Y661" s="9" t="inlineStr">
        <is>
          <t>open</t>
        </is>
      </c>
      <c r="Z661" s="7" t="inlineStr">
        <is>
          <t>https://wol.jw.org/en/wol/d/r1/lp-e/1001070213
https://wol.jw.org/en/wol/d/r1/lp-e/1001061213
https://wol.jw.org/en/wol/d/r1/lp-e/1200002451
https://wol.jw.org/en/wol/d/r1/lp-e/1101990130
https://wol.jw.org/en/wol/d/r1/lp-e/1200002773</t>
        </is>
      </c>
      <c r="AA661" s="7" t="n">
        <v>1</v>
      </c>
      <c r="AB661" s="9" t="inlineStr">
        <is>
          <t>open</t>
        </is>
      </c>
      <c r="AC661" s="7" t="n">
        <v>1</v>
      </c>
      <c r="AD661" s="7" t="inlineStr">
        <is>
          <t>Wording in pre-2013 Insight chart (it-2 'Jesus Christ', par 934): “Passover feast eaten with the 12”.</t>
        </is>
      </c>
      <c r="AE661" s="7" t="n"/>
      <c r="AF661" s="7" t="n"/>
      <c r="AG661" s="7" t="n"/>
      <c r="AH661" s="7" t="n"/>
      <c r="AI661" s="7" t="n"/>
      <c r="AJ661" s="7" t="n"/>
      <c r="AK661" s="7" t="inlineStr">
        <is>
          <t>jesus-final-week #24 (item)</t>
        </is>
      </c>
      <c r="AL661" s="7" t="n"/>
      <c r="AM661" s="7" t="n">
        <v>33.25</v>
      </c>
      <c r="AN661" s="10" t="n"/>
      <c r="AO661" s="10" t="n"/>
      <c r="AP661" s="10" t="n"/>
      <c r="AQ661" s="10" t="n"/>
    </row>
    <row r="662">
      <c r="A662" s="7" t="inlineStr">
        <is>
          <t>b5-0150</t>
        </is>
      </c>
      <c r="B662" s="7" t="inlineStr">
        <is>
          <t>Point</t>
        </is>
      </c>
      <c r="C662" s="7" t="n"/>
      <c r="D662" s="7" t="inlineStr">
        <is>
          <t>33 C.E., Nisan 14</t>
        </is>
      </c>
      <c r="E662" s="7" t="inlineStr">
        <is>
          <t>கி.பி. 33, நிசான் 14</t>
        </is>
      </c>
      <c r="F662" s="7" t="inlineStr">
        <is>
          <t>33 CE</t>
        </is>
      </c>
      <c r="G662" s="7" t="inlineStr">
        <is>
          <t>Exact</t>
        </is>
      </c>
      <c r="H662" s="7" t="n"/>
      <c r="I662" s="7" t="n"/>
      <c r="J662" s="7" t="n"/>
      <c r="K662" s="2" t="inlineStr">
        <is>
          <t>Washes feet of apostles</t>
        </is>
      </c>
      <c r="L662" s="2" t="inlineStr">
        <is>
          <t>அப்போஸ்தலர்களின் பாதங்களைக் கழுவுகிறார்</t>
        </is>
      </c>
      <c r="M662" s="7" t="inlineStr">
        <is>
          <t>Washes feet of apostles. The place is given as Jerusalem. NWT Study Edition Appendix A7-G (“Jesus’ Final Ministry in Jerusalem (Part 1)”) dates this to 33 C.E., Nisan 14.</t>
        </is>
      </c>
      <c r="N662" s="7" t="inlineStr">
        <is>
          <t>அப்போஸ்தலர்களின் பாதங்களைக் கழுவுகிறார் — எருசலேம்</t>
        </is>
      </c>
      <c r="O662" s="8" t="inlineStr">
        <is>
          <t>Bible</t>
        </is>
      </c>
      <c r="P662" s="7" t="inlineStr">
        <is>
          <t>bible.jesus</t>
        </is>
      </c>
      <c r="Q662" s="7" t="inlineStr">
        <is>
          <t>teaching</t>
        </is>
      </c>
      <c r="R662" s="7" t="inlineStr">
        <is>
          <t>Jesus</t>
        </is>
      </c>
      <c r="S662" s="7" t="inlineStr">
        <is>
          <t>Jerusalem</t>
        </is>
      </c>
      <c r="T662" s="7" t="inlineStr">
        <is>
          <t>John 13:1-20</t>
        </is>
      </c>
      <c r="U662" s="7" t="inlineStr">
        <is>
          <t>யோவா 13:1-20</t>
        </is>
      </c>
      <c r="V662" s="7" t="n">
        <v>3</v>
      </c>
      <c r="W662" s="7" t="inlineStr">
        <is>
          <t>A7-G Main Events of Jesus’ Earthly Life—Jesus’ Final Ministry in Jerusalem (Part 1)</t>
        </is>
      </c>
      <c r="X662" s="9" t="inlineStr">
        <is>
          <t>open</t>
        </is>
      </c>
      <c r="Y662" s="9" t="inlineStr">
        <is>
          <t>open</t>
        </is>
      </c>
      <c r="Z662" s="7" t="inlineStr">
        <is>
          <t>https://wol.jw.org/en/wol/d/r1/lp-e/1001070213
https://wol.jw.org/en/wol/d/r1/lp-e/1001061213
https://wol.jw.org/en/wol/d/r1/lp-e/1200002451</t>
        </is>
      </c>
      <c r="AA662" s="7" t="n">
        <v>1</v>
      </c>
      <c r="AB662" s="9" t="inlineStr">
        <is>
          <t>open</t>
        </is>
      </c>
      <c r="AC662" s="7" t="n">
        <v>1</v>
      </c>
      <c r="AD662" s="7" t="inlineStr">
        <is>
          <t>Wording in pre-2013 Insight chart (it-2 'Jesus Christ', par 941): “Jesus washes the feet of his apostles”.</t>
        </is>
      </c>
      <c r="AE662" s="7" t="n"/>
      <c r="AF662" s="7" t="n"/>
      <c r="AG662" s="7" t="n"/>
      <c r="AH662" s="7" t="n"/>
      <c r="AI662" s="7" t="n"/>
      <c r="AJ662" s="7" t="n"/>
      <c r="AK662" s="7" t="inlineStr">
        <is>
          <t>jesus-final-week #25 (item)</t>
        </is>
      </c>
      <c r="AL662" s="7" t="n"/>
      <c r="AM662" s="7" t="n">
        <v>33.2502</v>
      </c>
      <c r="AN662" s="10" t="n"/>
      <c r="AO662" s="10" t="n"/>
      <c r="AP662" s="10" t="n"/>
      <c r="AQ662" s="10" t="n"/>
    </row>
    <row r="663">
      <c r="A663" s="7" t="inlineStr">
        <is>
          <t>b5-0151</t>
        </is>
      </c>
      <c r="B663" s="7" t="inlineStr">
        <is>
          <t>Point</t>
        </is>
      </c>
      <c r="C663" s="7" t="n"/>
      <c r="D663" s="7" t="inlineStr">
        <is>
          <t>33 C.E., Nisan 14</t>
        </is>
      </c>
      <c r="E663" s="7" t="inlineStr">
        <is>
          <t>கி.பி. 33, நிசான் 14</t>
        </is>
      </c>
      <c r="F663" s="7" t="inlineStr">
        <is>
          <t>33 CE</t>
        </is>
      </c>
      <c r="G663" s="7" t="inlineStr">
        <is>
          <t>Exact</t>
        </is>
      </c>
      <c r="H663" s="7" t="n"/>
      <c r="I663" s="7" t="n"/>
      <c r="J663" s="7" t="n"/>
      <c r="K663" s="2" t="inlineStr">
        <is>
          <t>Jesus identifies Judas as traitor and dismisses him</t>
        </is>
      </c>
      <c r="L663" s="2" t="inlineStr">
        <is>
          <t>யூதாஸ் காட்டிக்கொடுப்பான் என்று அடையாளம் காட்டுகிறார், அவனை வெளியே அனுப்புகிறார்</t>
        </is>
      </c>
      <c r="M663" s="7" t="inlineStr">
        <is>
          <t>Jesus identifies Judas as traitor and dismisses him. The place is given as Jerusalem. NWT Study Edition Appendix A7-H (“Jesus’ Final Ministry in Jerusalem (Part 2)”) dates this to 33 C.E., Nisan 14.</t>
        </is>
      </c>
      <c r="N663" s="7" t="inlineStr">
        <is>
          <t>யூதாஸ் காட்டிக்கொடுப்பான் என்று அடையாளம் காட்டுகிறார், அவனை வெளியே அனுப்புகிறார் — எருசலேம்</t>
        </is>
      </c>
      <c r="O663" s="8" t="inlineStr">
        <is>
          <t>Bible</t>
        </is>
      </c>
      <c r="P663" s="7" t="inlineStr">
        <is>
          <t>bible.jesus</t>
        </is>
      </c>
      <c r="Q663" s="7" t="inlineStr">
        <is>
          <t>betrayal_foretold</t>
        </is>
      </c>
      <c r="R663" s="7" t="inlineStr">
        <is>
          <t>Jesus; Judas Iscariot</t>
        </is>
      </c>
      <c r="S663" s="7" t="inlineStr">
        <is>
          <t>Jerusalem</t>
        </is>
      </c>
      <c r="T663" s="7" t="inlineStr">
        <is>
          <t>Matt. 26:21-25; Mark 14:18-21; Luke 22:21-23; John 13:21-30</t>
        </is>
      </c>
      <c r="U663" s="7" t="inlineStr">
        <is>
          <t>மத் 26:21-25; மாற் 14:18-21; லூக் 22:21-23; யோவா 13:21-30</t>
        </is>
      </c>
      <c r="V663" s="7" t="n">
        <v>3</v>
      </c>
      <c r="W663" s="7" t="inlineStr">
        <is>
          <t>A7-H Main Events of Jesus’ Earthly Life—Jesus’ Final Ministry in Jerusalem (Part 2)</t>
        </is>
      </c>
      <c r="X663" s="9" t="inlineStr">
        <is>
          <t>open</t>
        </is>
      </c>
      <c r="Y663" s="9" t="inlineStr">
        <is>
          <t>open</t>
        </is>
      </c>
      <c r="Z663" s="7" t="inlineStr">
        <is>
          <t>https://wol.jw.org/en/wol/d/r1/lp-e/1001070214
https://wol.jw.org/en/wol/d/r1/lp-e/1001061214
https://wol.jw.org/en/wol/d/r1/lp-e/1200002451</t>
        </is>
      </c>
      <c r="AA663" s="7" t="n">
        <v>1</v>
      </c>
      <c r="AB663" s="9" t="inlineStr">
        <is>
          <t>open</t>
        </is>
      </c>
      <c r="AC663" s="7" t="n">
        <v>1</v>
      </c>
      <c r="AD663" s="7" t="inlineStr">
        <is>
          <t>Wording in pre-2013 Insight chart (it-2 'Jesus Christ', par 948): “Judas identified as traitor and is dismissed”.</t>
        </is>
      </c>
      <c r="AE663" s="7" t="n"/>
      <c r="AF663" s="7" t="n"/>
      <c r="AG663" s="7" t="n"/>
      <c r="AH663" s="7" t="n"/>
      <c r="AI663" s="7" t="n"/>
      <c r="AJ663" s="7" t="n"/>
      <c r="AK663" s="7" t="inlineStr">
        <is>
          <t>jesus-final-week #26 (item); messianic-prophecies #165 (fulfillment)</t>
        </is>
      </c>
      <c r="AL663" s="7" t="n"/>
      <c r="AM663" s="7" t="n">
        <v>33.2504</v>
      </c>
      <c r="AN663" s="10" t="n"/>
      <c r="AO663" s="10" t="n"/>
      <c r="AP663" s="10" t="n"/>
      <c r="AQ663" s="10" t="n"/>
    </row>
    <row r="664">
      <c r="A664" s="7" t="inlineStr">
        <is>
          <t>b5-0152</t>
        </is>
      </c>
      <c r="B664" s="7" t="inlineStr">
        <is>
          <t>Point</t>
        </is>
      </c>
      <c r="C664" s="7" t="n"/>
      <c r="D664" s="7" t="inlineStr">
        <is>
          <t>33 C.E., Nisan 14</t>
        </is>
      </c>
      <c r="E664" s="7" t="inlineStr">
        <is>
          <t>கி.பி. 33, நிசான் 14</t>
        </is>
      </c>
      <c r="F664" s="7" t="inlineStr">
        <is>
          <t>33 CE</t>
        </is>
      </c>
      <c r="G664" s="7" t="inlineStr">
        <is>
          <t>Exact</t>
        </is>
      </c>
      <c r="H664" s="7" t="n"/>
      <c r="I664" s="7" t="n"/>
      <c r="J664" s="7" t="n"/>
      <c r="K664" s="2" t="inlineStr">
        <is>
          <t>Institutes the Lord’s Evening Meal</t>
        </is>
      </c>
      <c r="L664" s="2" t="inlineStr">
        <is>
          <t>எஜமானின் இரவு விருந்தை ஆரம்பிக்கிறார்</t>
        </is>
      </c>
      <c r="M664" s="7" t="inlineStr">
        <is>
          <t>Institutes the Lord’s Evening Meal. The place is given as Jerusalem. NWT Study Edition Appendix A7-H (“Jesus’ Final Ministry in Jerusalem (Part 2)”) dates this to 33 C.E., Nisan 14.</t>
        </is>
      </c>
      <c r="N664" s="7" t="inlineStr">
        <is>
          <t>எஜமானின் இரவு விருந்தை ஆரம்பிக்கிறார் — எருசலேம்</t>
        </is>
      </c>
      <c r="O664" s="8" t="inlineStr">
        <is>
          <t>Bible</t>
        </is>
      </c>
      <c r="P664" s="7" t="inlineStr">
        <is>
          <t>bible.jesus</t>
        </is>
      </c>
      <c r="Q664" s="7" t="inlineStr">
        <is>
          <t>memorial_instituted</t>
        </is>
      </c>
      <c r="R664" s="7" t="inlineStr">
        <is>
          <t>Jesus</t>
        </is>
      </c>
      <c r="S664" s="7" t="inlineStr">
        <is>
          <t>Jerusalem</t>
        </is>
      </c>
      <c r="T664" s="7" t="inlineStr">
        <is>
          <t>Matt. 26:26-29; Mark 14:22-25; Luke 22:19, 20, 24-30; 1 Cor. 11:23-25</t>
        </is>
      </c>
      <c r="U664" s="7" t="inlineStr">
        <is>
          <t>மத் 26:26-29; மாற் 14:22-25; லூக் 22:19, 20, 24-30; 1கொ 11:23-25</t>
        </is>
      </c>
      <c r="V664" s="7" t="n">
        <v>5</v>
      </c>
      <c r="W664" s="7" t="inlineStr">
        <is>
          <t>A7-H Main Events of Jesus’ Earthly Life—Jesus’ Final Ministry in Jerusalem (Part 2)</t>
        </is>
      </c>
      <c r="X664" s="9" t="inlineStr">
        <is>
          <t>open</t>
        </is>
      </c>
      <c r="Y664" s="9" t="inlineStr">
        <is>
          <t>open</t>
        </is>
      </c>
      <c r="Z664" s="7" t="inlineStr">
        <is>
          <t>https://wol.jw.org/en/wol/d/r1/lp-e/1001070214
https://wol.jw.org/en/wol/d/r1/lp-e/1001061214
https://wol.jw.org/en/wol/d/r1/lp-e/1200002451
https://wol.jw.org/en/wol/d/r1/lp-e/1101990130
https://wol.jw.org/en/wol/d/r1/lp-e/1200002773</t>
        </is>
      </c>
      <c r="AA664" s="7" t="n">
        <v>0</v>
      </c>
      <c r="AB664" s="7" t="n"/>
      <c r="AC664" s="7" t="n">
        <v>2</v>
      </c>
      <c r="AD664" s="7" t="inlineStr">
        <is>
          <t>Gospel references differ: Insight chart lists “Mt 26:26-29; Mr 14:22-25; Lu 22:19, 20, 24-30; Joh [1 Co 11:23-25]”; A7-H lists “Mt 26:26-29; Mr 14:22-25; Lu 22:19, 20, 24-30”. | Wording in pre-2013 Insight chart (it-2 'Jesus Christ', par 955): “Memorial supper instituted with the 11”.</t>
        </is>
      </c>
      <c r="AE664" s="7" t="n"/>
      <c r="AF664" s="7" t="n"/>
      <c r="AG664" s="7" t="n"/>
      <c r="AH664" s="7" t="n"/>
      <c r="AI664" s="7" t="n"/>
      <c r="AJ664" s="7" t="n"/>
      <c r="AK664" s="7" t="inlineStr">
        <is>
          <t>covenants #17 (step); covenants #23 (start); jesus-final-week #27 (item)</t>
        </is>
      </c>
      <c r="AL664" s="7" t="n"/>
      <c r="AM664" s="7" t="n">
        <v>33.2506</v>
      </c>
      <c r="AN664" s="10" t="n"/>
      <c r="AO664" s="10" t="n"/>
      <c r="AP664" s="10" t="n"/>
      <c r="AQ664" s="10" t="n"/>
    </row>
    <row r="665">
      <c r="A665" s="7" t="inlineStr">
        <is>
          <t>b5-0153</t>
        </is>
      </c>
      <c r="B665" s="7" t="inlineStr">
        <is>
          <t>Point</t>
        </is>
      </c>
      <c r="C665" s="7" t="n"/>
      <c r="D665" s="7" t="inlineStr">
        <is>
          <t>33 C.E., Nisan 14</t>
        </is>
      </c>
      <c r="E665" s="7" t="inlineStr">
        <is>
          <t>கி.பி. 33, நிசான் 14</t>
        </is>
      </c>
      <c r="F665" s="7" t="inlineStr">
        <is>
          <t>33 CE</t>
        </is>
      </c>
      <c r="G665" s="7" t="inlineStr">
        <is>
          <t>Exact</t>
        </is>
      </c>
      <c r="H665" s="7" t="n"/>
      <c r="I665" s="7" t="n"/>
      <c r="J665" s="7" t="n"/>
      <c r="K665" s="2" t="inlineStr">
        <is>
          <t>Foretells Peter’s denials and scattering of apostles</t>
        </is>
      </c>
      <c r="L665" s="2" t="inlineStr">
        <is>
          <t>பேதுரு தன்னைத் தெரியாதென்று சொல்லிவிடுவார், அப்போஸ்தலர்கள் சிதறிப்போவார்கள் என்றெல்லாம் முன்னறிவிக்கிறார்</t>
        </is>
      </c>
      <c r="M665" s="7" t="inlineStr">
        <is>
          <t>Foretells Peter’s denials and scattering of apostles. The place is given as Jerusalem. NWT Study Edition Appendix A7-H (“Jesus’ Final Ministry in Jerusalem (Part 2)”) dates this to 33 C.E., Nisan 14.</t>
        </is>
      </c>
      <c r="N665" s="7" t="inlineStr">
        <is>
          <t>பேதுரு தன்னைத் தெரியாதென்று சொல்லிவிடுவார், அப்போஸ்தலர்கள் சிதறிப்போவார்கள் என்றெல்லாம் முன்னறிவிக்கிறார் — எருசலேம்</t>
        </is>
      </c>
      <c r="O665" s="8" t="inlineStr">
        <is>
          <t>Bible</t>
        </is>
      </c>
      <c r="P665" s="7" t="inlineStr">
        <is>
          <t>bible.jesus</t>
        </is>
      </c>
      <c r="Q665" s="7" t="inlineStr">
        <is>
          <t>prophecy</t>
        </is>
      </c>
      <c r="R665" s="7" t="inlineStr">
        <is>
          <t>Jesus; Peter</t>
        </is>
      </c>
      <c r="S665" s="7" t="inlineStr">
        <is>
          <t>Jerusalem</t>
        </is>
      </c>
      <c r="T665" s="7" t="inlineStr">
        <is>
          <t>Matt. 26:31-35; Mark 14:27-31; Luke 22:31-38; John 13:31-38</t>
        </is>
      </c>
      <c r="U665" s="7" t="inlineStr">
        <is>
          <t>மத் 26:31-35; மாற் 14:27-31; லூக் 22:31-38; யோவா 13:31-38</t>
        </is>
      </c>
      <c r="V665" s="7" t="n">
        <v>3</v>
      </c>
      <c r="W665" s="7" t="inlineStr">
        <is>
          <t>A7-H Main Events of Jesus’ Earthly Life—Jesus’ Final Ministry in Jerusalem (Part 2)</t>
        </is>
      </c>
      <c r="X665" s="9" t="inlineStr">
        <is>
          <t>open</t>
        </is>
      </c>
      <c r="Y665" s="9" t="inlineStr">
        <is>
          <t>open</t>
        </is>
      </c>
      <c r="Z665" s="7" t="inlineStr">
        <is>
          <t>https://wol.jw.org/en/wol/d/r1/lp-e/1001070214
https://wol.jw.org/en/wol/d/r1/lp-e/1001061214
https://wol.jw.org/en/wol/d/r1/lp-e/1200002451</t>
        </is>
      </c>
      <c r="AA665" s="7" t="n">
        <v>0</v>
      </c>
      <c r="AB665" s="7" t="n"/>
      <c r="AC665" s="7" t="n">
        <v>1</v>
      </c>
      <c r="AD665" s="7" t="inlineStr">
        <is>
          <t>Wording in pre-2013 Insight chart (it-2 'Jesus Christ', par 962): “Denial by Peter and dispersion of apostles foretold”.</t>
        </is>
      </c>
      <c r="AE665" s="7" t="n"/>
      <c r="AF665" s="7" t="n"/>
      <c r="AG665" s="7" t="n"/>
      <c r="AH665" s="7" t="n"/>
      <c r="AI665" s="7" t="n"/>
      <c r="AJ665" s="7" t="n"/>
      <c r="AK665" s="7" t="inlineStr">
        <is>
          <t>jesus-final-week #28 (context)</t>
        </is>
      </c>
      <c r="AL665" s="7" t="n"/>
      <c r="AM665" s="7" t="n">
        <v>33.2508</v>
      </c>
      <c r="AN665" s="10" t="n"/>
      <c r="AO665" s="10" t="n"/>
      <c r="AP665" s="10" t="n"/>
      <c r="AQ665" s="10" t="n"/>
    </row>
    <row r="666">
      <c r="A666" s="7" t="inlineStr">
        <is>
          <t>b5-0154</t>
        </is>
      </c>
      <c r="B666" s="7" t="inlineStr">
        <is>
          <t>Point</t>
        </is>
      </c>
      <c r="C666" s="7" t="n"/>
      <c r="D666" s="7" t="inlineStr">
        <is>
          <t>33 C.E., Nisan 14</t>
        </is>
      </c>
      <c r="E666" s="7" t="inlineStr">
        <is>
          <t>கி.பி. 33, நிசான் 14</t>
        </is>
      </c>
      <c r="F666" s="7" t="inlineStr">
        <is>
          <t>33 CE</t>
        </is>
      </c>
      <c r="G666" s="7" t="inlineStr">
        <is>
          <t>Exact</t>
        </is>
      </c>
      <c r="H666" s="7" t="n"/>
      <c r="I666" s="7" t="n"/>
      <c r="J666" s="7" t="n"/>
      <c r="K666" s="2" t="inlineStr">
        <is>
          <t>Promises helper; illustration of true vine; gives command to love; last prayer with apostles</t>
        </is>
      </c>
      <c r="L666" s="2" t="inlineStr">
        <is>
          <t>சகாயரை அனுப்புவதாக வாக்குக் கொடுக்கிறார்; உண்மையான திராட்சைக் கொடி உவமை; அன்பு காட்ட வேண்டுமென்ற கட்டளை; அப்போஸ்தலர்களோடு செய்யும் கடைசி ஜெபம்</t>
        </is>
      </c>
      <c r="M666" s="7" t="inlineStr">
        <is>
          <t>Promises helper; illustration of true vine; gives command to love; last prayer with apostles. The place is given as Jerusalem. NWT Study Edition Appendix A7-H (“Jesus’ Final Ministry in Jerusalem (Part 2)”) dates this to 33 C.E., Nisan 14.</t>
        </is>
      </c>
      <c r="N666" s="7" t="inlineStr">
        <is>
          <t>சகாயரை அனுப்புவதாக வாக்குக் கொடுக்கிறார்; உண்மையான திராட்சைக் கொடி உவமை; அன்பு காட்ட வேண்டுமென்ற கட்டளை; அப்போஸ்தலர்களோடு செய்யும் கடைசி ஜெபம் — எருசலேம்</t>
        </is>
      </c>
      <c r="O666" s="8" t="inlineStr">
        <is>
          <t>Bible</t>
        </is>
      </c>
      <c r="P666" s="7" t="inlineStr">
        <is>
          <t>bible.jesus</t>
        </is>
      </c>
      <c r="Q666" s="7" t="inlineStr">
        <is>
          <t>parable</t>
        </is>
      </c>
      <c r="R666" s="7" t="inlineStr">
        <is>
          <t>Jesus</t>
        </is>
      </c>
      <c r="S666" s="7" t="inlineStr">
        <is>
          <t>Jerusalem</t>
        </is>
      </c>
      <c r="T666" s="7" t="inlineStr">
        <is>
          <t>John 14:1–17:26</t>
        </is>
      </c>
      <c r="U666" s="7" t="inlineStr">
        <is>
          <t>யோவா 14:1–17:26</t>
        </is>
      </c>
      <c r="V666" s="7" t="n">
        <v>3</v>
      </c>
      <c r="W666" s="7" t="inlineStr">
        <is>
          <t>A7-H Main Events of Jesus’ Earthly Life—Jesus’ Final Ministry in Jerusalem (Part 2)</t>
        </is>
      </c>
      <c r="X666" s="9" t="inlineStr">
        <is>
          <t>open</t>
        </is>
      </c>
      <c r="Y666" s="9" t="inlineStr">
        <is>
          <t>open</t>
        </is>
      </c>
      <c r="Z666" s="7" t="inlineStr">
        <is>
          <t>https://wol.jw.org/en/wol/d/r1/lp-e/1001070214
https://wol.jw.org/en/wol/d/r1/lp-e/1001061214
https://wol.jw.org/en/wol/d/r1/lp-e/1200002451</t>
        </is>
      </c>
      <c r="AA666" s="7" t="n">
        <v>0</v>
      </c>
      <c r="AB666" s="7" t="n"/>
      <c r="AC666" s="7" t="n">
        <v>1</v>
      </c>
      <c r="AD666" s="7" t="inlineStr">
        <is>
          <t>Wording in pre-2013 Insight chart (it-2 'Jesus Christ', par 969): “Helper; mutual love; tribulation; Jesus’ prayer”.</t>
        </is>
      </c>
      <c r="AE666" s="7" t="n"/>
      <c r="AF666" s="7" t="n"/>
      <c r="AG666" s="7" t="n"/>
      <c r="AH666" s="7" t="n"/>
      <c r="AI666" s="7" t="n"/>
      <c r="AJ666" s="7" t="n"/>
      <c r="AK666" s="7" t="inlineStr">
        <is>
          <t>jesus-final-week #29 (context); messianic-prophecies #175 (fulfillment)</t>
        </is>
      </c>
      <c r="AL666" s="7" t="n"/>
      <c r="AM666" s="7" t="n">
        <v>33.251</v>
      </c>
      <c r="AN666" s="10" t="n"/>
      <c r="AO666" s="10" t="n"/>
      <c r="AP666" s="10" t="n"/>
      <c r="AQ666" s="10" t="n"/>
    </row>
    <row r="667">
      <c r="A667" s="7" t="inlineStr">
        <is>
          <t>b5-0155</t>
        </is>
      </c>
      <c r="B667" s="7" t="inlineStr">
        <is>
          <t>Point</t>
        </is>
      </c>
      <c r="C667" s="7" t="n"/>
      <c r="D667" s="7" t="inlineStr">
        <is>
          <t>33 C.E., Nisan 14</t>
        </is>
      </c>
      <c r="E667" s="7" t="inlineStr">
        <is>
          <t>கி.பி. 33, நிசான் 14</t>
        </is>
      </c>
      <c r="F667" s="7" t="inlineStr">
        <is>
          <t>33 CE</t>
        </is>
      </c>
      <c r="G667" s="7" t="inlineStr">
        <is>
          <t>Exact</t>
        </is>
      </c>
      <c r="H667" s="7" t="n"/>
      <c r="I667" s="7" t="n"/>
      <c r="J667" s="7" t="n"/>
      <c r="K667" s="2" t="inlineStr">
        <is>
          <t>Agony in the garden</t>
        </is>
      </c>
      <c r="L667" s="2" t="inlineStr">
        <is>
          <t>தோட்டத்தில் மிகுந்த வேதனை</t>
        </is>
      </c>
      <c r="M667" s="7" t="inlineStr">
        <is>
          <t>Agony in the garden. The place is given as Gethsemane. NWT Study Edition Appendix A7-H (“Jesus’ Final Ministry in Jerusalem (Part 2)”) dates this to 33 C.E., Nisan 14; the source row combines it with related events (“Agony in the garden; Jesus’ betrayal and arrest”).</t>
        </is>
      </c>
      <c r="N667" s="7" t="inlineStr">
        <is>
          <t>தோட்டத்தில் மிகுந்த வேதனை; காட்டிக்கொடுக்கப்பட்டு கைது செய்யப்படுகிறார் — கெத்செமனே</t>
        </is>
      </c>
      <c r="O667" s="8" t="inlineStr">
        <is>
          <t>Bible</t>
        </is>
      </c>
      <c r="P667" s="7" t="inlineStr">
        <is>
          <t>bible.jesus</t>
        </is>
      </c>
      <c r="Q667" s="7" t="inlineStr">
        <is>
          <t>prayer</t>
        </is>
      </c>
      <c r="R667" s="7" t="inlineStr">
        <is>
          <t>Jesus</t>
        </is>
      </c>
      <c r="S667" s="7" t="inlineStr">
        <is>
          <t>Gethsemane</t>
        </is>
      </c>
      <c r="T667" s="7" t="inlineStr">
        <is>
          <t>Matt. 26:30, 36-56; Mark 14:26, 32-52; Luke 22:39-53; John 18:1-12</t>
        </is>
      </c>
      <c r="U667" s="7" t="inlineStr">
        <is>
          <t>மத் 26:30, 36-56; மாற் 14:26, 32-52; லூக் 22:39-53; யோவா 18:1-12</t>
        </is>
      </c>
      <c r="V667" s="7" t="n">
        <v>3</v>
      </c>
      <c r="W667" s="7" t="inlineStr">
        <is>
          <t>A7-H Main Events of Jesus’ Earthly Life—Jesus’ Final Ministry in Jerusalem (Part 2)</t>
        </is>
      </c>
      <c r="X667" s="9" t="inlineStr">
        <is>
          <t>open</t>
        </is>
      </c>
      <c r="Y667" s="9" t="inlineStr">
        <is>
          <t>open</t>
        </is>
      </c>
      <c r="Z667" s="7" t="inlineStr">
        <is>
          <t>https://wol.jw.org/en/wol/d/r1/lp-e/1001070214
https://wol.jw.org/en/wol/d/r1/lp-e/1001061214
https://wol.jw.org/en/wol/d/r1/lp-e/1200002451</t>
        </is>
      </c>
      <c r="AA667" s="7" t="n">
        <v>0</v>
      </c>
      <c r="AB667" s="7" t="n"/>
      <c r="AC667" s="7" t="n">
        <v>1</v>
      </c>
      <c r="AD667" s="7" t="inlineStr">
        <is>
          <t>Wording in pre-2013 Insight chart (it-2 'Jesus Christ', par 976): “Agony in the garden; Jesus’ betrayal and arrest”.</t>
        </is>
      </c>
      <c r="AE667" s="7" t="n"/>
      <c r="AF667" s="7" t="n"/>
      <c r="AG667" s="7" t="n"/>
      <c r="AH667" s="7" t="n"/>
      <c r="AI667" s="7" t="n"/>
      <c r="AJ667" s="7" t="n"/>
      <c r="AK667" s="7" t="inlineStr">
        <is>
          <t>jesus-final-week #30 (context)</t>
        </is>
      </c>
      <c r="AL667" s="7" t="inlineStr">
        <is>
          <t>A7 row #116 split into 2 events; scripture references cover the whole source row.</t>
        </is>
      </c>
      <c r="AM667" s="7" t="n">
        <v>33.2512</v>
      </c>
      <c r="AN667" s="10" t="n"/>
      <c r="AO667" s="10" t="n"/>
      <c r="AP667" s="10" t="n"/>
      <c r="AQ667" s="10" t="n"/>
    </row>
    <row r="668">
      <c r="A668" s="7" t="inlineStr">
        <is>
          <t>b5-0156</t>
        </is>
      </c>
      <c r="B668" s="7" t="inlineStr">
        <is>
          <t>Point</t>
        </is>
      </c>
      <c r="C668" s="7" t="n"/>
      <c r="D668" s="7" t="inlineStr">
        <is>
          <t>33 C.E., Nisan 14</t>
        </is>
      </c>
      <c r="E668" s="7" t="inlineStr">
        <is>
          <t>கி.பி. 33, நிசான் 14</t>
        </is>
      </c>
      <c r="F668" s="7" t="inlineStr">
        <is>
          <t>33 CE</t>
        </is>
      </c>
      <c r="G668" s="7" t="inlineStr">
        <is>
          <t>Exact</t>
        </is>
      </c>
      <c r="H668" s="7" t="n"/>
      <c r="I668" s="7" t="n"/>
      <c r="J668" s="7" t="n"/>
      <c r="K668" s="2" t="inlineStr">
        <is>
          <t>Jesus’ betrayal and arrest</t>
        </is>
      </c>
      <c r="L668" s="2" t="inlineStr">
        <is>
          <t>காட்டிக்கொடுக்கப்பட்டு கைது செய்யப்படுகிறார்</t>
        </is>
      </c>
      <c r="M668" s="7" t="inlineStr">
        <is>
          <t>Jesus’ betrayal and arrest. The place is given as Gethsemane. NWT Study Edition Appendix A7-H (“Jesus’ Final Ministry in Jerusalem (Part 2)”) dates this to 33 C.E., Nisan 14; the source row combines it with related events (“Agony in the garden; Jesus’ betrayal and arrest”).</t>
        </is>
      </c>
      <c r="N668" s="7" t="inlineStr">
        <is>
          <t>தோட்டத்தில் மிகுந்த வேதனை; காட்டிக்கொடுக்கப்பட்டு கைது செய்யப்படுகிறார் — கெத்செமனே</t>
        </is>
      </c>
      <c r="O668" s="8" t="inlineStr">
        <is>
          <t>Bible</t>
        </is>
      </c>
      <c r="P668" s="7" t="inlineStr">
        <is>
          <t>bible.jesus</t>
        </is>
      </c>
      <c r="Q668" s="7" t="inlineStr">
        <is>
          <t>arrest</t>
        </is>
      </c>
      <c r="R668" s="7" t="inlineStr">
        <is>
          <t>Jesus</t>
        </is>
      </c>
      <c r="S668" s="7" t="inlineStr">
        <is>
          <t>Gethsemane</t>
        </is>
      </c>
      <c r="T668" s="7" t="inlineStr">
        <is>
          <t>Matt. 26:30, 36-56; Mark 14:26, 32-52; Luke 22:39-53; John 18:1-12</t>
        </is>
      </c>
      <c r="U668" s="7" t="inlineStr">
        <is>
          <t>மத் 26:30, 36-56; மாற் 14:26, 32-52; லூக் 22:39-53; யோவா 18:1-12</t>
        </is>
      </c>
      <c r="V668" s="7" t="n">
        <v>3</v>
      </c>
      <c r="W668" s="7" t="inlineStr">
        <is>
          <t>A7-H Main Events of Jesus’ Earthly Life—Jesus’ Final Ministry in Jerusalem (Part 2)</t>
        </is>
      </c>
      <c r="X668" s="9" t="inlineStr">
        <is>
          <t>open</t>
        </is>
      </c>
      <c r="Y668" s="9" t="inlineStr">
        <is>
          <t>open</t>
        </is>
      </c>
      <c r="Z668" s="7" t="inlineStr">
        <is>
          <t>https://wol.jw.org/en/wol/d/r1/lp-e/1001070214
https://wol.jw.org/en/wol/d/r1/lp-e/1001061214
https://wol.jw.org/en/wol/d/r1/lp-e/1200002451</t>
        </is>
      </c>
      <c r="AA668" s="7" t="n">
        <v>0</v>
      </c>
      <c r="AB668" s="7" t="n"/>
      <c r="AC668" s="7" t="n">
        <v>1</v>
      </c>
      <c r="AD668" s="7" t="inlineStr">
        <is>
          <t>Wording in pre-2013 Insight chart (it-2 'Jesus Christ', par 976): “Agony in the garden; Jesus’ betrayal and arrest”.</t>
        </is>
      </c>
      <c r="AE668" s="7" t="n"/>
      <c r="AF668" s="7" t="n"/>
      <c r="AG668" s="7" t="n"/>
      <c r="AH668" s="7" t="n"/>
      <c r="AI668" s="7" t="n"/>
      <c r="AJ668" s="7" t="n"/>
      <c r="AK668" s="7" t="inlineStr">
        <is>
          <t>jesus-final-week #31 (item); messianic-prophecies #165.1 (fulfillment); messianic-prophecies #185 (fulfillment)</t>
        </is>
      </c>
      <c r="AL668" s="7" t="inlineStr">
        <is>
          <t>A7 row #116 split into 2 events; scripture references cover the whole source row.</t>
        </is>
      </c>
      <c r="AM668" s="7" t="n">
        <v>33.2514</v>
      </c>
      <c r="AN668" s="10" t="n"/>
      <c r="AO668" s="10" t="n"/>
      <c r="AP668" s="10" t="n"/>
      <c r="AQ668" s="10" t="n"/>
    </row>
    <row r="669">
      <c r="A669" s="7" t="inlineStr">
        <is>
          <t>b5-0157</t>
        </is>
      </c>
      <c r="B669" s="7" t="inlineStr">
        <is>
          <t>Point</t>
        </is>
      </c>
      <c r="C669" s="7" t="n"/>
      <c r="D669" s="7" t="inlineStr">
        <is>
          <t>33 C.E., Nisan 14</t>
        </is>
      </c>
      <c r="E669" s="7" t="inlineStr">
        <is>
          <t>கி.பி. 33, நிசான் 14</t>
        </is>
      </c>
      <c r="F669" s="7" t="inlineStr">
        <is>
          <t>33 CE</t>
        </is>
      </c>
      <c r="G669" s="7" t="inlineStr">
        <is>
          <t>Exact</t>
        </is>
      </c>
      <c r="H669" s="7" t="n"/>
      <c r="I669" s="7" t="n"/>
      <c r="J669" s="7" t="n"/>
      <c r="K669" s="2" t="inlineStr">
        <is>
          <t>Jesus questioned by Annas; trial by Caiaphas, Sanhedrin</t>
        </is>
      </c>
      <c r="L669" s="2" t="inlineStr">
        <is>
          <t>அன்னாவின் கேள்விகள்; காய்பாவும் நியாயசங்கமும் விசாரணை</t>
        </is>
      </c>
      <c r="M669" s="7" t="inlineStr">
        <is>
          <t>Jesus questioned by Annas; trial by Caiaphas, Sanhedrin. The place is given as Jerusalem. NWT Study Edition Appendix A7-H (“Jesus’ Final Ministry in Jerusalem (Part 2)”) dates this to 33 C.E., Nisan 14; the source row combines it with related events (“Questioned by Annas; trial by Caiaphas, Sanhedrin; Peter denies him”).</t>
        </is>
      </c>
      <c r="N669" s="7" t="inlineStr">
        <is>
          <t>அன்னாவின் கேள்விகள்; காய்பாவும் நியாயசங்கமும் விசாரணை; பேதுரு அவரைத் தெரியாதென்று சொல்கிறார் — எருசலேம்</t>
        </is>
      </c>
      <c r="O669" s="8" t="inlineStr">
        <is>
          <t>Bible</t>
        </is>
      </c>
      <c r="P669" s="7" t="inlineStr">
        <is>
          <t>bible.jesus</t>
        </is>
      </c>
      <c r="Q669" s="7" t="inlineStr">
        <is>
          <t>trial</t>
        </is>
      </c>
      <c r="R669" s="7" t="inlineStr">
        <is>
          <t>Jesus; Annas; Caiaphas</t>
        </is>
      </c>
      <c r="S669" s="7" t="inlineStr">
        <is>
          <t>Jerusalem</t>
        </is>
      </c>
      <c r="T669" s="7" t="inlineStr">
        <is>
          <t>Matt. 26:57–27:1; Mark 14:53–15:1; Luke 22:54-71; John 18:13-27</t>
        </is>
      </c>
      <c r="U669" s="7" t="inlineStr">
        <is>
          <t>மத் 26:57–27:1; மாற் 14:53–15:1; லூக் 22:54-71; யோவா 18:13-27</t>
        </is>
      </c>
      <c r="V669" s="7" t="n">
        <v>3</v>
      </c>
      <c r="W669" s="7" t="inlineStr">
        <is>
          <t>A7-H Main Events of Jesus’ Earthly Life—Jesus’ Final Ministry in Jerusalem (Part 2)</t>
        </is>
      </c>
      <c r="X669" s="9" t="inlineStr">
        <is>
          <t>open</t>
        </is>
      </c>
      <c r="Y669" s="9" t="inlineStr">
        <is>
          <t>open</t>
        </is>
      </c>
      <c r="Z669" s="7" t="inlineStr">
        <is>
          <t>https://wol.jw.org/en/wol/d/r1/lp-e/1001070214
https://wol.jw.org/en/wol/d/r1/lp-e/1001061214
https://wol.jw.org/en/wol/d/r1/lp-e/1200002451</t>
        </is>
      </c>
      <c r="AA669" s="7" t="n">
        <v>0</v>
      </c>
      <c r="AB669" s="7" t="n"/>
      <c r="AC669" s="7" t="n">
        <v>1</v>
      </c>
      <c r="AD669" s="7" t="inlineStr">
        <is>
          <t>Wording in pre-2013 Insight chart (it-2 'Jesus Christ', par 983): “Trial by Annas, Caiaphas, Sanhedrin; Peter denies”.</t>
        </is>
      </c>
      <c r="AE669" s="7" t="n"/>
      <c r="AF669" s="7" t="n"/>
      <c r="AG669" s="7" t="n"/>
      <c r="AH669" s="7" t="n"/>
      <c r="AI669" s="7" t="n"/>
      <c r="AJ669" s="7" t="n"/>
      <c r="AK669" s="7" t="inlineStr">
        <is>
          <t>jesus-final-week #32 (item)</t>
        </is>
      </c>
      <c r="AL669" s="7" t="inlineStr">
        <is>
          <t>A7 row #117 split into 2 events; scripture references cover the whole source row.</t>
        </is>
      </c>
      <c r="AM669" s="7" t="n">
        <v>33.2516</v>
      </c>
      <c r="AN669" s="10" t="n"/>
      <c r="AO669" s="10" t="n"/>
      <c r="AP669" s="10" t="n"/>
      <c r="AQ669" s="10" t="n"/>
    </row>
    <row r="670">
      <c r="A670" s="7" t="inlineStr">
        <is>
          <t>b5-0158</t>
        </is>
      </c>
      <c r="B670" s="7" t="inlineStr">
        <is>
          <t>Point</t>
        </is>
      </c>
      <c r="C670" s="7" t="n"/>
      <c r="D670" s="7" t="inlineStr">
        <is>
          <t>33 C.E., Nisan 14</t>
        </is>
      </c>
      <c r="E670" s="7" t="inlineStr">
        <is>
          <t>கி.பி. 33, நிசான் 14</t>
        </is>
      </c>
      <c r="F670" s="7" t="inlineStr">
        <is>
          <t>33 CE</t>
        </is>
      </c>
      <c r="G670" s="7" t="inlineStr">
        <is>
          <t>Exact</t>
        </is>
      </c>
      <c r="H670" s="7" t="n"/>
      <c r="I670" s="7" t="n"/>
      <c r="J670" s="7" t="n"/>
      <c r="K670" s="2" t="inlineStr">
        <is>
          <t>Peter denies Jesus</t>
        </is>
      </c>
      <c r="L670" s="2" t="inlineStr">
        <is>
          <t>பேதுரு அவரைத் தெரியாதென்று சொல்கிறார்</t>
        </is>
      </c>
      <c r="M670" s="7" t="inlineStr">
        <is>
          <t>Peter denies Jesus. The place is given as Jerusalem. NWT Study Edition Appendix A7-H (“Jesus’ Final Ministry in Jerusalem (Part 2)”) dates this to 33 C.E., Nisan 14; the source row combines it with related events (“Questioned by Annas; trial by Caiaphas, Sanhedrin; Peter denies him”).</t>
        </is>
      </c>
      <c r="N670" s="7" t="inlineStr">
        <is>
          <t>அன்னாவின் கேள்விகள்; காய்பாவும் நியாயசங்கமும் விசாரணை; பேதுரு அவரைத் தெரியாதென்று சொல்கிறார் — எருசலேம்</t>
        </is>
      </c>
      <c r="O670" s="8" t="inlineStr">
        <is>
          <t>Bible</t>
        </is>
      </c>
      <c r="P670" s="7" t="inlineStr">
        <is>
          <t>bible.jesus</t>
        </is>
      </c>
      <c r="Q670" s="7" t="inlineStr">
        <is>
          <t>denial</t>
        </is>
      </c>
      <c r="R670" s="7" t="inlineStr">
        <is>
          <t>Peter</t>
        </is>
      </c>
      <c r="S670" s="7" t="inlineStr">
        <is>
          <t>Jerusalem</t>
        </is>
      </c>
      <c r="T670" s="7" t="inlineStr">
        <is>
          <t>Matt. 26:57–27:1; Mark 14:53–15:1; Luke 22:54-71; John 18:13-27</t>
        </is>
      </c>
      <c r="U670" s="7" t="inlineStr">
        <is>
          <t>மத் 26:57–27:1; மாற் 14:53–15:1; லூக் 22:54-71; யோவா 18:13-27</t>
        </is>
      </c>
      <c r="V670" s="7" t="n">
        <v>3</v>
      </c>
      <c r="W670" s="7" t="inlineStr">
        <is>
          <t>A7-H Main Events of Jesus’ Earthly Life—Jesus’ Final Ministry in Jerusalem (Part 2)</t>
        </is>
      </c>
      <c r="X670" s="9" t="inlineStr">
        <is>
          <t>open</t>
        </is>
      </c>
      <c r="Y670" s="9" t="inlineStr">
        <is>
          <t>open</t>
        </is>
      </c>
      <c r="Z670" s="7" t="inlineStr">
        <is>
          <t>https://wol.jw.org/en/wol/d/r1/lp-e/1001070214
https://wol.jw.org/en/wol/d/r1/lp-e/1001061214
https://wol.jw.org/en/wol/d/r1/lp-e/1200002451</t>
        </is>
      </c>
      <c r="AA670" s="7" t="n">
        <v>0</v>
      </c>
      <c r="AB670" s="7" t="n"/>
      <c r="AC670" s="7" t="n">
        <v>1</v>
      </c>
      <c r="AD670" s="7" t="inlineStr">
        <is>
          <t>Wording in pre-2013 Insight chart (it-2 'Jesus Christ', par 983): “Trial by Annas, Caiaphas, Sanhedrin; Peter denies”.</t>
        </is>
      </c>
      <c r="AE670" s="7" t="n"/>
      <c r="AF670" s="7" t="n"/>
      <c r="AG670" s="7" t="n"/>
      <c r="AH670" s="7" t="n"/>
      <c r="AI670" s="7" t="n"/>
      <c r="AJ670" s="7" t="n"/>
      <c r="AK670" s="7" t="inlineStr">
        <is>
          <t>jesus-final-week #33 (item)</t>
        </is>
      </c>
      <c r="AL670" s="7" t="inlineStr">
        <is>
          <t>A7 row #117 split into 2 events; scripture references cover the whole source row.</t>
        </is>
      </c>
      <c r="AM670" s="7" t="n">
        <v>33.2518</v>
      </c>
      <c r="AN670" s="10" t="n"/>
      <c r="AO670" s="10" t="n"/>
      <c r="AP670" s="10" t="n"/>
      <c r="AQ670" s="10" t="n"/>
    </row>
    <row r="671">
      <c r="A671" s="7" t="inlineStr">
        <is>
          <t>b16-0005</t>
        </is>
      </c>
      <c r="B671" s="7" t="inlineStr">
        <is>
          <t>Point</t>
        </is>
      </c>
      <c r="C671" s="7" t="n"/>
      <c r="D671" s="7" t="inlineStr">
        <is>
          <t>33 C.E., Nisan 14 (after sunrise)</t>
        </is>
      </c>
      <c r="E671" s="7" t="inlineStr">
        <is>
          <t>கி.பி. 33, நிசான் 14</t>
        </is>
      </c>
      <c r="F671" s="7" t="inlineStr">
        <is>
          <t>33 CE</t>
        </is>
      </c>
      <c r="G671" s="7" t="inlineStr">
        <is>
          <t>Exact</t>
        </is>
      </c>
      <c r="H671" s="7" t="n"/>
      <c r="I671" s="7" t="n"/>
      <c r="J671" s="7" t="n"/>
      <c r="K671" s="2" t="inlineStr">
        <is>
          <t>Jesus stands before the Sanhedrin again</t>
        </is>
      </c>
      <c r="L671" s="2" t="inlineStr">
        <is>
          <t>மறுபடியும் நியாயசங்கத்தாரின் முன் நிற்கிறார்</t>
        </is>
      </c>
      <c r="M671" s="7" t="inlineStr">
        <is>
          <t>After sunrise on Nisan 14, Jesus stands before the Sanhedrin a second time (B12-B map point 8, Sanhedrin Hall), before being taken to Pilate.</t>
        </is>
      </c>
      <c r="N671" s="7" t="inlineStr">
        <is>
          <t>மறுபடியும் நியாயசங்கத்தாரின் முன் நிற்கிறார் (8)</t>
        </is>
      </c>
      <c r="O671" s="8" t="inlineStr">
        <is>
          <t>Bible</t>
        </is>
      </c>
      <c r="P671" s="7" t="inlineStr">
        <is>
          <t>bible.jesus</t>
        </is>
      </c>
      <c r="Q671" s="7" t="inlineStr">
        <is>
          <t>trial</t>
        </is>
      </c>
      <c r="R671" s="7" t="inlineStr">
        <is>
          <t>Jesus</t>
        </is>
      </c>
      <c r="S671" s="7" t="inlineStr">
        <is>
          <t>Jerusalem; Sanhedrin Hall</t>
        </is>
      </c>
      <c r="T671" s="7" t="inlineStr">
        <is>
          <t>Matt. 27:1; Mark 15:1; Luke 22:66-71</t>
        </is>
      </c>
      <c r="U671" s="7" t="inlineStr">
        <is>
          <t>மத்தேயு 27:1; மாற்கு 15:1; லூக்கா 22:66-71</t>
        </is>
      </c>
      <c r="V671" s="7" t="n">
        <v>3</v>
      </c>
      <c r="W671" s="7" t="inlineStr">
        <is>
          <t>B12-B The Final Week of Jesus’ Life on Earth (Part 2)</t>
        </is>
      </c>
      <c r="X671" s="9" t="inlineStr">
        <is>
          <t>open</t>
        </is>
      </c>
      <c r="Y671" s="9" t="inlineStr">
        <is>
          <t>open</t>
        </is>
      </c>
      <c r="Z671" s="7" t="inlineStr">
        <is>
          <t>https://wol.jw.org/en/wol/d/r1/lp-e/1001070233
https://wol.jw.org/en/wol/d/r1/lp-e/1001061233
https://www.jw.org/en/library/bible/nwt/appendix-b/jesus-last-week-nisan-12-16/</t>
        </is>
      </c>
      <c r="AA671" s="7" t="n">
        <v>0</v>
      </c>
      <c r="AB671" s="7" t="n"/>
      <c r="AC671" s="7" t="n">
        <v>0</v>
      </c>
      <c r="AD671" s="7" t="n"/>
      <c r="AE671" s="7" t="n"/>
      <c r="AF671" s="7" t="n"/>
      <c r="AG671" s="7" t="n"/>
      <c r="AH671" s="7" t="n"/>
      <c r="AI671" s="7" t="n"/>
      <c r="AJ671" s="7" t="n"/>
      <c r="AK671" s="7" t="inlineStr">
        <is>
          <t>jesus-final-week #34 (item)</t>
        </is>
      </c>
      <c r="AL671" s="7" t="inlineStr">
        <is>
          <t>Verses are the opening verses of the ranges B12-B prints for Nisan 14 after sunrise (Matthew 27:1-61; Mark 15:1-47; Luke 22:66–23:56). A7-H includes this session within its row b5-0157 (Matt. 26:57–27:1).</t>
        </is>
      </c>
      <c r="AM671" s="7" t="n">
        <v>33.2519</v>
      </c>
      <c r="AN671" s="10" t="n"/>
      <c r="AO671" s="10" t="n"/>
      <c r="AP671" s="10" t="n"/>
      <c r="AQ671" s="10" t="n"/>
    </row>
    <row r="672">
      <c r="A672" s="7" t="inlineStr">
        <is>
          <t>b5-0159</t>
        </is>
      </c>
      <c r="B672" s="7" t="inlineStr">
        <is>
          <t>Point</t>
        </is>
      </c>
      <c r="C672" s="7" t="n"/>
      <c r="D672" s="7" t="inlineStr">
        <is>
          <t>33 C.E., Nisan 14</t>
        </is>
      </c>
      <c r="E672" s="7" t="inlineStr">
        <is>
          <t>கி.பி. 33, நிசான் 14</t>
        </is>
      </c>
      <c r="F672" s="7" t="inlineStr">
        <is>
          <t>33 CE</t>
        </is>
      </c>
      <c r="G672" s="7" t="inlineStr">
        <is>
          <t>Exact</t>
        </is>
      </c>
      <c r="H672" s="7" t="n"/>
      <c r="I672" s="7" t="n"/>
      <c r="J672" s="7" t="n"/>
      <c r="K672" s="2" t="inlineStr">
        <is>
          <t>Judas the betrayer hangs himself</t>
        </is>
      </c>
      <c r="L672" s="2" t="inlineStr">
        <is>
          <t>காட்டிக்கொடுத்த யூதாஸ் தூக்குப் போட்டுக்கொள்கிறான்</t>
        </is>
      </c>
      <c r="M672" s="7" t="inlineStr">
        <is>
          <t>Judas the betrayer hangs himself. The place is given as Jerusalem. NWT Study Edition Appendix A7-H (“Jesus’ Final Ministry in Jerusalem (Part 2)”) dates this to 33 C.E., Nisan 14.</t>
        </is>
      </c>
      <c r="N672" s="7" t="inlineStr">
        <is>
          <t>காட்டிக்கொடுத்த யூதாஸ் தூக்குப் போட்டுக்கொள்கிறான் — எருசலேம்</t>
        </is>
      </c>
      <c r="O672" s="8" t="inlineStr">
        <is>
          <t>Bible</t>
        </is>
      </c>
      <c r="P672" s="7" t="inlineStr">
        <is>
          <t>bible.jesus</t>
        </is>
      </c>
      <c r="Q672" s="7" t="inlineStr">
        <is>
          <t>death</t>
        </is>
      </c>
      <c r="R672" s="7" t="inlineStr">
        <is>
          <t>Judas Iscariot</t>
        </is>
      </c>
      <c r="S672" s="7" t="inlineStr">
        <is>
          <t>Jerusalem</t>
        </is>
      </c>
      <c r="T672" s="7" t="inlineStr">
        <is>
          <t>Matt. 27:3-10; Acts 1:18, 19</t>
        </is>
      </c>
      <c r="U672" s="7" t="inlineStr">
        <is>
          <t>மத் 27:3-10; அப் 1:18, 19</t>
        </is>
      </c>
      <c r="V672" s="7" t="n">
        <v>3</v>
      </c>
      <c r="W672" s="7" t="inlineStr">
        <is>
          <t>A7-H Main Events of Jesus’ Earthly Life—Jesus’ Final Ministry in Jerusalem (Part 2)</t>
        </is>
      </c>
      <c r="X672" s="9" t="inlineStr">
        <is>
          <t>open</t>
        </is>
      </c>
      <c r="Y672" s="9" t="inlineStr">
        <is>
          <t>open</t>
        </is>
      </c>
      <c r="Z672" s="7" t="inlineStr">
        <is>
          <t>https://wol.jw.org/en/wol/d/r1/lp-e/1001070214
https://wol.jw.org/en/wol/d/r1/lp-e/1001061214
https://wol.jw.org/en/wol/d/r1/lp-e/1200002451</t>
        </is>
      </c>
      <c r="AA672" s="7" t="n">
        <v>0</v>
      </c>
      <c r="AB672" s="7" t="n"/>
      <c r="AC672" s="7" t="n">
        <v>2</v>
      </c>
      <c r="AD672" s="7" t="inlineStr">
        <is>
          <t>Gospel references differ: Insight chart lists “Mt 27:3-10; Lu [Ac 1:18, 19]”; A7-H lists “Mt 27:3-10”. | Wording in pre-2013 Insight chart (it-2 'Jesus Christ', par 990): “Judas the betrayer hangs himself”.</t>
        </is>
      </c>
      <c r="AE672" s="7" t="n"/>
      <c r="AF672" s="7" t="n"/>
      <c r="AG672" s="7" t="n"/>
      <c r="AH672" s="7" t="n"/>
      <c r="AI672" s="7" t="n"/>
      <c r="AJ672" s="7" t="n"/>
      <c r="AK672" s="7" t="inlineStr">
        <is>
          <t>jesus-final-week #35 (context)</t>
        </is>
      </c>
      <c r="AL672" s="7" t="n"/>
      <c r="AM672" s="7" t="n">
        <v>33.252</v>
      </c>
      <c r="AN672" s="10" t="n"/>
      <c r="AO672" s="10" t="n"/>
      <c r="AP672" s="10" t="n"/>
      <c r="AQ672" s="10" t="n"/>
    </row>
    <row r="673">
      <c r="A673" s="7" t="inlineStr">
        <is>
          <t>b5-0160</t>
        </is>
      </c>
      <c r="B673" s="7" t="inlineStr">
        <is>
          <t>Point</t>
        </is>
      </c>
      <c r="C673" s="7" t="n"/>
      <c r="D673" s="7" t="inlineStr">
        <is>
          <t>33 C.E., Nisan 14</t>
        </is>
      </c>
      <c r="E673" s="7" t="inlineStr">
        <is>
          <t>கி.பி. 33, நிசான் 14</t>
        </is>
      </c>
      <c r="F673" s="7" t="inlineStr">
        <is>
          <t>33 CE</t>
        </is>
      </c>
      <c r="G673" s="7" t="inlineStr">
        <is>
          <t>Exact</t>
        </is>
      </c>
      <c r="H673" s="7" t="n"/>
      <c r="I673" s="7" t="n"/>
      <c r="J673" s="7" t="n"/>
      <c r="K673" s="2" t="inlineStr">
        <is>
          <t>Before Pilate, then Herod, and back to Pilate</t>
        </is>
      </c>
      <c r="L673" s="2" t="inlineStr">
        <is>
          <t>பிலாத்துவிடம், பின்பு ஏரோதுவிடம், மறுபடியும் பிலாத்துவிடம் கொண்டு போகப்படுகிறார்</t>
        </is>
      </c>
      <c r="M673" s="7" t="inlineStr">
        <is>
          <t>Before Pilate, then Herod, and back to Pilate. The place is given as Jerusalem. NWT Study Edition Appendix A7-H (“Jesus’ Final Ministry in Jerusalem (Part 2)”) dates this to 33 C.E., Nisan 14.</t>
        </is>
      </c>
      <c r="N673" s="7" t="inlineStr">
        <is>
          <t>பிலாத்துவிடம், பின்பு ஏரோதுவிடம், மறுபடியும் பிலாத்துவிடம் கொண்டு போகப்படுகிறார் — எருசலேம்</t>
        </is>
      </c>
      <c r="O673" s="8" t="inlineStr">
        <is>
          <t>Bible</t>
        </is>
      </c>
      <c r="P673" s="7" t="inlineStr">
        <is>
          <t>bible.jesus</t>
        </is>
      </c>
      <c r="Q673" s="7" t="inlineStr">
        <is>
          <t>trial</t>
        </is>
      </c>
      <c r="R673" s="7" t="inlineStr">
        <is>
          <t>Jesus; Herod Antipas; Pilate</t>
        </is>
      </c>
      <c r="S673" s="7" t="inlineStr">
        <is>
          <t>Jerusalem</t>
        </is>
      </c>
      <c r="T673" s="7" t="inlineStr">
        <is>
          <t>Matt. 27:2, 11-14; Mark 15:1-5; Luke 23:1-12; John 18:28-38</t>
        </is>
      </c>
      <c r="U673" s="7" t="inlineStr">
        <is>
          <t>மத் 27:2, 11-14; மாற் 15:1-5; லூக் 23:1-12; யோவா 18:28-38</t>
        </is>
      </c>
      <c r="V673" s="7" t="n">
        <v>3</v>
      </c>
      <c r="W673" s="7" t="inlineStr">
        <is>
          <t>A7-H Main Events of Jesus’ Earthly Life—Jesus’ Final Ministry in Jerusalem (Part 2)</t>
        </is>
      </c>
      <c r="X673" s="9" t="inlineStr">
        <is>
          <t>open</t>
        </is>
      </c>
      <c r="Y673" s="9" t="inlineStr">
        <is>
          <t>open</t>
        </is>
      </c>
      <c r="Z673" s="7" t="inlineStr">
        <is>
          <t>https://wol.jw.org/en/wol/d/r1/lp-e/1001070214
https://wol.jw.org/en/wol/d/r1/lp-e/1001061214
https://wol.jw.org/en/wol/d/r1/lp-e/1200002451</t>
        </is>
      </c>
      <c r="AA673" s="7" t="n">
        <v>0</v>
      </c>
      <c r="AB673" s="7" t="n"/>
      <c r="AC673" s="7" t="n">
        <v>1</v>
      </c>
      <c r="AD673" s="7" t="inlineStr">
        <is>
          <t>Wording in pre-2013 Insight chart (it-2 'Jesus Christ', par 997): “Before Pilate, then Herod, and then back to Pilate”.</t>
        </is>
      </c>
      <c r="AE673" s="7" t="n"/>
      <c r="AF673" s="7" t="n"/>
      <c r="AG673" s="7" t="n"/>
      <c r="AH673" s="7" t="n"/>
      <c r="AI673" s="7" t="n"/>
      <c r="AJ673" s="7" t="n"/>
      <c r="AK673" s="7" t="inlineStr">
        <is>
          <t>jesus-final-week #36 (item); messianic-prophecies #195 (fulfillment)</t>
        </is>
      </c>
      <c r="AL673" s="7" t="n"/>
      <c r="AM673" s="7" t="n">
        <v>33.2522</v>
      </c>
      <c r="AN673" s="10" t="n"/>
      <c r="AO673" s="10" t="n"/>
      <c r="AP673" s="10" t="n"/>
      <c r="AQ673" s="10" t="n"/>
    </row>
    <row r="674">
      <c r="A674" s="7" t="inlineStr">
        <is>
          <t>b5-0161</t>
        </is>
      </c>
      <c r="B674" s="7" t="inlineStr">
        <is>
          <t>Point</t>
        </is>
      </c>
      <c r="C674" s="7" t="n"/>
      <c r="D674" s="7" t="inlineStr">
        <is>
          <t>33 C.E., Nisan 14</t>
        </is>
      </c>
      <c r="E674" s="7" t="inlineStr">
        <is>
          <t>கி.பி. 33, நிசான் 14</t>
        </is>
      </c>
      <c r="F674" s="7" t="inlineStr">
        <is>
          <t>33 CE</t>
        </is>
      </c>
      <c r="G674" s="7" t="inlineStr">
        <is>
          <t>Exact</t>
        </is>
      </c>
      <c r="H674" s="7" t="n"/>
      <c r="I674" s="7" t="n"/>
      <c r="J674" s="7" t="n"/>
      <c r="K674" s="2" t="inlineStr">
        <is>
          <t>Pilate seeks Jesus’ release but Jews ask for Barabbas</t>
        </is>
      </c>
      <c r="L674" s="2" t="inlineStr">
        <is>
          <t>அவரை விடுதலை செய்ய பிலாத்து முயற்சி செய்கிறான், யூதர்கள் பரபாசை விடுவிக்கச் சொல்கிறார்கள்</t>
        </is>
      </c>
      <c r="M674" s="7" t="inlineStr">
        <is>
          <t>Pilate seeks Jesus’ release but Jews ask for Barabbas. The place is given as Jerusalem. NWT Study Edition Appendix A7-H (“Jesus’ Final Ministry in Jerusalem (Part 2)”) dates this to 33 C.E., Nisan 14; the source row combines it with related events (“Pilate seeks his release but Jews ask for Barabbas; sentenced to death on the torture stake”).</t>
        </is>
      </c>
      <c r="N674" s="7" t="inlineStr">
        <is>
          <t>அவரை விடுதலை செய்ய பிலாத்து முயற்சி செய்கிறான், யூதர்கள் பரபாசை விடுவிக்கச் சொல்கிறார்கள்; சித்திரவதைக் கம்பத்தில் மரண தண்டனை — எருசலேம்</t>
        </is>
      </c>
      <c r="O674" s="8" t="inlineStr">
        <is>
          <t>Bible</t>
        </is>
      </c>
      <c r="P674" s="7" t="inlineStr">
        <is>
          <t>bible.jesus</t>
        </is>
      </c>
      <c r="Q674" s="7" t="inlineStr">
        <is>
          <t>trial</t>
        </is>
      </c>
      <c r="R674" s="7" t="inlineStr">
        <is>
          <t>Jesus; Pilate; Barabbas</t>
        </is>
      </c>
      <c r="S674" s="7" t="inlineStr">
        <is>
          <t>Jerusalem</t>
        </is>
      </c>
      <c r="T674" s="7" t="inlineStr">
        <is>
          <t>Matt. 27:15-30; Mark 15:6-19; Luke 23:13-25; John 18:39–19:16</t>
        </is>
      </c>
      <c r="U674" s="7" t="inlineStr">
        <is>
          <t>மத் 27:15-30; மாற் 15:6-19; லூக் 23:13-25; யோவா 18:39–19:16</t>
        </is>
      </c>
      <c r="V674" s="7" t="n">
        <v>3</v>
      </c>
      <c r="W674" s="7" t="inlineStr">
        <is>
          <t>A7-H Main Events of Jesus’ Earthly Life—Jesus’ Final Ministry in Jerusalem (Part 2)</t>
        </is>
      </c>
      <c r="X674" s="9" t="inlineStr">
        <is>
          <t>open</t>
        </is>
      </c>
      <c r="Y674" s="9" t="inlineStr">
        <is>
          <t>open</t>
        </is>
      </c>
      <c r="Z674" s="7" t="inlineStr">
        <is>
          <t>https://wol.jw.org/en/wol/d/r1/lp-e/1001070214
https://wol.jw.org/en/wol/d/r1/lp-e/1001061214
https://wol.jw.org/en/wol/d/r1/lp-e/1200002451</t>
        </is>
      </c>
      <c r="AA674" s="7" t="n">
        <v>0</v>
      </c>
      <c r="AB674" s="7" t="n"/>
      <c r="AC674" s="7" t="n">
        <v>1</v>
      </c>
      <c r="AD674" s="7" t="inlineStr">
        <is>
          <t>Wording in pre-2013 Insight chart (it-2 'Jesus Christ', par 1004): “Delivered to death, after Pilate seeks his release”.</t>
        </is>
      </c>
      <c r="AE674" s="7" t="n"/>
      <c r="AF674" s="7" t="n"/>
      <c r="AG674" s="7" t="n"/>
      <c r="AH674" s="7" t="n"/>
      <c r="AI674" s="7" t="n"/>
      <c r="AJ674" s="7" t="n"/>
      <c r="AK674" s="7" t="inlineStr">
        <is>
          <t>jesus-final-week #37 (context)</t>
        </is>
      </c>
      <c r="AL674" s="7" t="inlineStr">
        <is>
          <t>A7 row #120 split into 2 events; scripture references cover the whole source row.</t>
        </is>
      </c>
      <c r="AM674" s="7" t="n">
        <v>33.2524</v>
      </c>
      <c r="AN674" s="10" t="n"/>
      <c r="AO674" s="10" t="n"/>
      <c r="AP674" s="10" t="n"/>
      <c r="AQ674" s="10" t="n"/>
    </row>
    <row r="675">
      <c r="A675" s="7" t="inlineStr">
        <is>
          <t>b5-0162</t>
        </is>
      </c>
      <c r="B675" s="7" t="inlineStr">
        <is>
          <t>Point</t>
        </is>
      </c>
      <c r="C675" s="7" t="n"/>
      <c r="D675" s="7" t="inlineStr">
        <is>
          <t>33 C.E., Nisan 14</t>
        </is>
      </c>
      <c r="E675" s="7" t="inlineStr">
        <is>
          <t>கி.பி. 33, நிசான் 14</t>
        </is>
      </c>
      <c r="F675" s="7" t="inlineStr">
        <is>
          <t>33 CE</t>
        </is>
      </c>
      <c r="G675" s="7" t="inlineStr">
        <is>
          <t>Exact</t>
        </is>
      </c>
      <c r="H675" s="7" t="n"/>
      <c r="I675" s="7" t="n"/>
      <c r="J675" s="7" t="n"/>
      <c r="K675" s="2" t="inlineStr">
        <is>
          <t>Jesus sentenced to death on the torture stake</t>
        </is>
      </c>
      <c r="L675" s="2" t="inlineStr">
        <is>
          <t>சித்திரவதைக் கம்பத்தில் மரண தண்டனை</t>
        </is>
      </c>
      <c r="M675" s="7" t="inlineStr">
        <is>
          <t>Jesus sentenced to death on the torture stake. The place is given as Jerusalem. NWT Study Edition Appendix A7-H (“Jesus’ Final Ministry in Jerusalem (Part 2)”) dates this to 33 C.E., Nisan 14; the source row combines it with related events (“Pilate seeks his release but Jews ask for Barabbas; sentenced to death on the torture stake”).</t>
        </is>
      </c>
      <c r="N675" s="7" t="inlineStr">
        <is>
          <t>அவரை விடுதலை செய்ய பிலாத்து முயற்சி செய்கிறான், யூதர்கள் பரபாசை விடுவிக்கச் சொல்கிறார்கள்; சித்திரவதைக் கம்பத்தில் மரண தண்டனை — எருசலேம்</t>
        </is>
      </c>
      <c r="O675" s="8" t="inlineStr">
        <is>
          <t>Bible</t>
        </is>
      </c>
      <c r="P675" s="7" t="inlineStr">
        <is>
          <t>bible.jesus</t>
        </is>
      </c>
      <c r="Q675" s="7" t="inlineStr">
        <is>
          <t>sentence</t>
        </is>
      </c>
      <c r="R675" s="7" t="inlineStr">
        <is>
          <t>Jesus</t>
        </is>
      </c>
      <c r="S675" s="7" t="inlineStr">
        <is>
          <t>Jerusalem</t>
        </is>
      </c>
      <c r="T675" s="7" t="inlineStr">
        <is>
          <t>Matt. 27:15-30; Mark 15:6-19; Luke 23:13-25; John 18:39–19:16</t>
        </is>
      </c>
      <c r="U675" s="7" t="inlineStr">
        <is>
          <t>மத் 27:15-30; மாற் 15:6-19; லூக் 23:13-25; யோவா 18:39–19:16</t>
        </is>
      </c>
      <c r="V675" s="7" t="n">
        <v>3</v>
      </c>
      <c r="W675" s="7" t="inlineStr">
        <is>
          <t>A7-H Main Events of Jesus’ Earthly Life—Jesus’ Final Ministry in Jerusalem (Part 2)</t>
        </is>
      </c>
      <c r="X675" s="9" t="inlineStr">
        <is>
          <t>open</t>
        </is>
      </c>
      <c r="Y675" s="9" t="inlineStr">
        <is>
          <t>open</t>
        </is>
      </c>
      <c r="Z675" s="7" t="inlineStr">
        <is>
          <t>https://wol.jw.org/en/wol/d/r1/lp-e/1001070214
https://wol.jw.org/en/wol/d/r1/lp-e/1001061214
https://wol.jw.org/en/wol/d/r1/lp-e/1200002451</t>
        </is>
      </c>
      <c r="AA675" s="7" t="n">
        <v>0</v>
      </c>
      <c r="AB675" s="7" t="n"/>
      <c r="AC675" s="7" t="n">
        <v>1</v>
      </c>
      <c r="AD675" s="7" t="inlineStr">
        <is>
          <t>Wording in pre-2013 Insight chart (it-2 'Jesus Christ', par 1004): “Delivered to death, after Pilate seeks his release”.</t>
        </is>
      </c>
      <c r="AE675" s="7" t="n"/>
      <c r="AF675" s="7" t="n"/>
      <c r="AG675" s="7" t="n"/>
      <c r="AH675" s="7" t="n"/>
      <c r="AI675" s="7" t="n"/>
      <c r="AJ675" s="7" t="n"/>
      <c r="AK675" s="7" t="inlineStr">
        <is>
          <t>jesus-final-week #38 (item)</t>
        </is>
      </c>
      <c r="AL675" s="7" t="inlineStr">
        <is>
          <t>A7 row #120 split into 2 events; scripture references cover the whole source row.</t>
        </is>
      </c>
      <c r="AM675" s="7" t="n">
        <v>33.2526</v>
      </c>
      <c r="AN675" s="10" t="n"/>
      <c r="AO675" s="10" t="n"/>
      <c r="AP675" s="10" t="n"/>
      <c r="AQ675" s="10" t="n"/>
    </row>
    <row r="676">
      <c r="A676" s="7" t="inlineStr">
        <is>
          <t>b5-0163</t>
        </is>
      </c>
      <c r="B676" s="7" t="inlineStr">
        <is>
          <t>Point</t>
        </is>
      </c>
      <c r="C676" s="7" t="n"/>
      <c r="D676" s="7" t="inlineStr">
        <is>
          <t>33 C.E., Nisan 14 (c. 3:00 p.m., Friday)</t>
        </is>
      </c>
      <c r="E676" s="7" t="inlineStr">
        <is>
          <t>கி.பி. 33, நிசான் 14 (மதியம் சுமார் 3 மணி, வெள்ளி)</t>
        </is>
      </c>
      <c r="F676" s="7" t="inlineStr">
        <is>
          <t>33 CE</t>
        </is>
      </c>
      <c r="G676" s="7" t="inlineStr">
        <is>
          <t>Approx. (c.)</t>
        </is>
      </c>
      <c r="H676" s="7" t="n"/>
      <c r="I676" s="7" t="n"/>
      <c r="J676" s="7" t="n"/>
      <c r="K676" s="2" t="inlineStr">
        <is>
          <t>Dies on torture stake</t>
        </is>
      </c>
      <c r="L676" s="2" t="inlineStr">
        <is>
          <t>சித்திரவதைக் கம்பத்தில் இறந்துபோகிறார்</t>
        </is>
      </c>
      <c r="M676" s="7" t="inlineStr">
        <is>
          <t>Dies on torture stake. The place is given as Golgotha. NWT Study Edition Appendix A7-H (“Jesus’ Final Ministry in Jerusalem (Part 2)”) dates this to 33 C.E., Nisan 14 (c. 3:00 p.m., Friday).</t>
        </is>
      </c>
      <c r="N676" s="7" t="inlineStr">
        <is>
          <t>சித்திரவதைக் கம்பத்தில் இறந்துபோகிறார் — கொல்கொதா</t>
        </is>
      </c>
      <c r="O676" s="8" t="inlineStr">
        <is>
          <t>Bible</t>
        </is>
      </c>
      <c r="P676" s="7" t="inlineStr">
        <is>
          <t>bible.jesus</t>
        </is>
      </c>
      <c r="Q676" s="7" t="inlineStr">
        <is>
          <t>death</t>
        </is>
      </c>
      <c r="R676" s="7" t="inlineStr">
        <is>
          <t>Jesus</t>
        </is>
      </c>
      <c r="S676" s="7" t="inlineStr">
        <is>
          <t>Golgotha</t>
        </is>
      </c>
      <c r="T676" s="7" t="inlineStr">
        <is>
          <t>Matt. 27:31-56; Mark 15:20-41; Luke 23:26-49; John 19:16-30</t>
        </is>
      </c>
      <c r="U676" s="7" t="inlineStr">
        <is>
          <t>மத் 27:31-56; மாற் 15:20-41; லூக் 23:26-49; யோவா 19:16-30</t>
        </is>
      </c>
      <c r="V676" s="7" t="n">
        <v>6</v>
      </c>
      <c r="W676" s="7" t="inlineStr">
        <is>
          <t>A7-H Main Events of Jesus’ Earthly Life—Jesus’ Final Ministry in Jerusalem (Part 2)</t>
        </is>
      </c>
      <c r="X676" s="9" t="inlineStr">
        <is>
          <t>open</t>
        </is>
      </c>
      <c r="Y676" s="9" t="inlineStr">
        <is>
          <t>open</t>
        </is>
      </c>
      <c r="Z676" s="7" t="inlineStr">
        <is>
          <t>https://wol.jw.org/en/wol/d/r1/lp-e/1001070214
https://wol.jw.org/en/wol/d/r1/lp-e/1001061214
https://wol.jw.org/en/wol/d/r1/lp-e/1200002451
https://wol.jw.org/en/wol/d/r1/lp-e/1200002451
https://wol.jw.org/en/wol/d/r1/lp-e/1101990130
https://wol.jw.org/en/wol/d/r1/lp-e/1200002773</t>
        </is>
      </c>
      <c r="AA676" s="7" t="n">
        <v>0</v>
      </c>
      <c r="AB676" s="7" t="n"/>
      <c r="AC676" s="7" t="n">
        <v>2</v>
      </c>
      <c r="AD676" s="7" t="inlineStr">
        <is>
          <t>Place wording differs: Insight chart has “Golgotha, Jerusalem”; A7-H has “Golgotha”. | Wording in pre-2013 Insight chart (it-2 'Jesus Christ', par 1011): “Jesus’ death on a torture stake, and accompanying events”.</t>
        </is>
      </c>
      <c r="AE676" s="7" t="n"/>
      <c r="AF676" s="7" t="n"/>
      <c r="AG676" s="7" t="n"/>
      <c r="AH676" s="7" t="n"/>
      <c r="AI676" s="7" t="inlineStr">
        <is>
          <t>Span endpoint – keep</t>
        </is>
      </c>
      <c r="AJ676" s="7" t="inlineStr">
        <is>
          <t>end of Jesus' earthly life (d1-0024); end of Jesus’ earthly ministry (b12-0044)</t>
        </is>
      </c>
      <c r="AK676" s="7" t="inlineStr">
        <is>
          <t>covenants #8 (context); covenants #18 (step); daniel-time-prophecies #13 (fulfillment); jesus-final-week #39 (item); jesus-ministry-places #4 (item); kings-north-and-south #28 (fulfillment); messianic-prophecies #205 (fulfillment); messianic-prophecies #215 (fulfillment); messianic-prophecies #225 (fulfillment); promised-offspring #5 (fulfillment)</t>
        </is>
      </c>
      <c r="AL676" s="7" t="n"/>
      <c r="AM676" s="7" t="n">
        <v>33.2528</v>
      </c>
      <c r="AN676" s="10" t="n"/>
      <c r="AO676" s="10" t="n"/>
      <c r="AP676" s="10" t="n"/>
      <c r="AQ676" s="10" t="n"/>
    </row>
    <row r="677">
      <c r="A677" s="7" t="inlineStr">
        <is>
          <t>b5-0164</t>
        </is>
      </c>
      <c r="B677" s="7" t="inlineStr">
        <is>
          <t>Point</t>
        </is>
      </c>
      <c r="C677" s="7" t="n"/>
      <c r="D677" s="7" t="inlineStr">
        <is>
          <t>33 C.E., Nisan 14 (c. 3:00 p.m., Friday)</t>
        </is>
      </c>
      <c r="E677" s="7" t="inlineStr">
        <is>
          <t>கி.பி. 33, நிசான் 14 (மதியம் சுமார் 3 மணி, வெள்ளி)</t>
        </is>
      </c>
      <c r="F677" s="7" t="inlineStr">
        <is>
          <t>33 CE</t>
        </is>
      </c>
      <c r="G677" s="7" t="inlineStr">
        <is>
          <t>Approx. (c.)</t>
        </is>
      </c>
      <c r="H677" s="7" t="n"/>
      <c r="I677" s="7" t="n"/>
      <c r="J677" s="7" t="n"/>
      <c r="K677" s="2" t="inlineStr">
        <is>
          <t>Body taken from the stake and placed in tomb</t>
        </is>
      </c>
      <c r="L677" s="2" t="inlineStr">
        <is>
          <t>சித்திரவதைக் கம்பத்திலிருந்து உடல் இறக்கப்பட்டு கல்லறையில் வைக்கப்படுகிறது</t>
        </is>
      </c>
      <c r="M677" s="7" t="inlineStr">
        <is>
          <t>Body taken from the stake and placed in tomb. The place is given as Jerusalem. NWT Study Edition Appendix A7-H (“Jesus’ Final Ministry in Jerusalem (Part 2)”) dates this to 33 C.E., Nisan 14 (c. 3:00 p.m., Friday).</t>
        </is>
      </c>
      <c r="N677" s="7" t="inlineStr">
        <is>
          <t>சித்திரவதைக் கம்பத்திலிருந்து உடல் இறக்கப்பட்டு கல்லறையில் வைக்கப்படுகிறது — எருசலேம்</t>
        </is>
      </c>
      <c r="O677" s="8" t="inlineStr">
        <is>
          <t>Bible</t>
        </is>
      </c>
      <c r="P677" s="7" t="inlineStr">
        <is>
          <t>bible.jesus</t>
        </is>
      </c>
      <c r="Q677" s="7" t="inlineStr">
        <is>
          <t>burial</t>
        </is>
      </c>
      <c r="R677" s="7" t="inlineStr">
        <is>
          <t>Jesus</t>
        </is>
      </c>
      <c r="S677" s="7" t="inlineStr">
        <is>
          <t>Jerusalem</t>
        </is>
      </c>
      <c r="T677" s="7" t="inlineStr">
        <is>
          <t>Matt. 27:57-61; Mark 15:42-47; Luke 23:50-56; John 19:31-42</t>
        </is>
      </c>
      <c r="U677" s="7" t="inlineStr">
        <is>
          <t>மத் 27:57-61; மாற் 15:42-47; லூக் 23:50-56; யோவா 19:31-42</t>
        </is>
      </c>
      <c r="V677" s="7" t="n">
        <v>3</v>
      </c>
      <c r="W677" s="7" t="inlineStr">
        <is>
          <t>A7-H Main Events of Jesus’ Earthly Life—Jesus’ Final Ministry in Jerusalem (Part 2)</t>
        </is>
      </c>
      <c r="X677" s="9" t="inlineStr">
        <is>
          <t>open</t>
        </is>
      </c>
      <c r="Y677" s="9" t="inlineStr">
        <is>
          <t>open</t>
        </is>
      </c>
      <c r="Z677" s="7" t="inlineStr">
        <is>
          <t>https://wol.jw.org/en/wol/d/r1/lp-e/1001070214
https://wol.jw.org/en/wol/d/r1/lp-e/1001061214
https://wol.jw.org/en/wol/d/r1/lp-e/1200002451</t>
        </is>
      </c>
      <c r="AA677" s="7" t="n">
        <v>0</v>
      </c>
      <c r="AB677" s="7" t="n"/>
      <c r="AC677" s="7" t="n">
        <v>1</v>
      </c>
      <c r="AD677" s="7" t="inlineStr">
        <is>
          <t>Wording in pre-2013 Insight chart (it-2 'Jesus Christ', par 1018): “Jesus’ body removed from the torture stake and buried”.</t>
        </is>
      </c>
      <c r="AE677" s="7" t="n"/>
      <c r="AF677" s="7" t="n"/>
      <c r="AG677" s="7" t="n"/>
      <c r="AH677" s="7" t="n"/>
      <c r="AI677" s="7" t="n"/>
      <c r="AJ677" s="7" t="n"/>
      <c r="AK677" s="7" t="inlineStr">
        <is>
          <t>jesus-final-week #40 (item); messianic-prophecies #235 (fulfillment); messianic-prophecies #245 (fulfillment); messianic-prophecies #255 (fulfillment)</t>
        </is>
      </c>
      <c r="AL677" s="7" t="n"/>
      <c r="AM677" s="7" t="n">
        <v>33.253</v>
      </c>
      <c r="AN677" s="10" t="n"/>
      <c r="AO677" s="10" t="n"/>
      <c r="AP677" s="10" t="n"/>
      <c r="AQ677" s="10" t="n"/>
    </row>
    <row r="678">
      <c r="A678" s="7" t="inlineStr">
        <is>
          <t>b5-0165</t>
        </is>
      </c>
      <c r="B678" s="7" t="inlineStr">
        <is>
          <t>Point</t>
        </is>
      </c>
      <c r="C678" s="7" t="n"/>
      <c r="D678" s="7" t="inlineStr">
        <is>
          <t>33 C.E., Nisan 15</t>
        </is>
      </c>
      <c r="E678" s="7" t="inlineStr">
        <is>
          <t>கி.பி. 33, நிசான் 15</t>
        </is>
      </c>
      <c r="F678" s="7" t="inlineStr">
        <is>
          <t>33 CE</t>
        </is>
      </c>
      <c r="G678" s="7" t="inlineStr">
        <is>
          <t>Exact</t>
        </is>
      </c>
      <c r="H678" s="7" t="n"/>
      <c r="I678" s="7" t="n"/>
      <c r="J678" s="7" t="n"/>
      <c r="K678" s="2" t="inlineStr">
        <is>
          <t>Priests and Pharisees get guard for tomb and seal it</t>
        </is>
      </c>
      <c r="L678" s="2" t="inlineStr">
        <is>
          <t>குருமார்களும் பரிசேயர்களும் கல்லறைக்குக் காவல்வைத்து, அதை முத்திரை போடுகிறார்கள்</t>
        </is>
      </c>
      <c r="M678" s="7" t="inlineStr">
        <is>
          <t>Priests and Pharisees get guard for tomb and seal it. The place is given as Jerusalem. NWT Study Edition Appendix A7-H (“Jesus’ Final Ministry in Jerusalem (Part 2)”) dates this to 33 C.E., Nisan 15.</t>
        </is>
      </c>
      <c r="N678" s="7" t="inlineStr">
        <is>
          <t>குருமார்களும் பரிசேயர்களும் கல்லறைக்குக் காவல்வைத்து, அதை முத்திரை போடுகிறார்கள் — எருசலேம்</t>
        </is>
      </c>
      <c r="O678" s="8" t="inlineStr">
        <is>
          <t>Bible</t>
        </is>
      </c>
      <c r="P678" s="7" t="inlineStr">
        <is>
          <t>bible.jesus</t>
        </is>
      </c>
      <c r="Q678" s="7" t="inlineStr">
        <is>
          <t>guard_posted</t>
        </is>
      </c>
      <c r="R678" s="7" t="n"/>
      <c r="S678" s="7" t="inlineStr">
        <is>
          <t>Jerusalem</t>
        </is>
      </c>
      <c r="T678" s="7" t="inlineStr">
        <is>
          <t>Matt. 27:62-66</t>
        </is>
      </c>
      <c r="U678" s="7" t="inlineStr">
        <is>
          <t>மத் 27:62-66</t>
        </is>
      </c>
      <c r="V678" s="7" t="n">
        <v>3</v>
      </c>
      <c r="W678" s="7" t="inlineStr">
        <is>
          <t>A7-H Main Events of Jesus’ Earthly Life—Jesus’ Final Ministry in Jerusalem (Part 2)</t>
        </is>
      </c>
      <c r="X678" s="9" t="inlineStr">
        <is>
          <t>open</t>
        </is>
      </c>
      <c r="Y678" s="9" t="inlineStr">
        <is>
          <t>open</t>
        </is>
      </c>
      <c r="Z678" s="7" t="inlineStr">
        <is>
          <t>https://wol.jw.org/en/wol/d/r1/lp-e/1001070214
https://wol.jw.org/en/wol/d/r1/lp-e/1001061214
https://wol.jw.org/en/wol/d/r1/lp-e/1200002451</t>
        </is>
      </c>
      <c r="AA678" s="7" t="n">
        <v>0</v>
      </c>
      <c r="AB678" s="7" t="n"/>
      <c r="AC678" s="7" t="n">
        <v>1</v>
      </c>
      <c r="AD678" s="7" t="inlineStr">
        <is>
          <t>Wording in pre-2013 Insight chart (it-2 'Jesus Christ', par 1025): “Priests and Pharisees get guard for tomb”.</t>
        </is>
      </c>
      <c r="AE678" s="7" t="n"/>
      <c r="AF678" s="7" t="n"/>
      <c r="AG678" s="7" t="n"/>
      <c r="AH678" s="7" t="n"/>
      <c r="AI678" s="7" t="n"/>
      <c r="AJ678" s="7" t="n"/>
      <c r="AK678" s="7" t="inlineStr">
        <is>
          <t>jesus-final-week #41 (item)</t>
        </is>
      </c>
      <c r="AL678" s="7" t="n"/>
      <c r="AM678" s="7" t="n">
        <v>33.255</v>
      </c>
      <c r="AN678" s="10" t="n"/>
      <c r="AO678" s="10" t="n"/>
      <c r="AP678" s="10" t="n"/>
      <c r="AQ678" s="10" t="n"/>
    </row>
    <row r="679">
      <c r="A679" s="7" t="inlineStr">
        <is>
          <t>b16-0006</t>
        </is>
      </c>
      <c r="B679" s="7" t="inlineStr">
        <is>
          <t>Point</t>
        </is>
      </c>
      <c r="C679" s="7" t="n"/>
      <c r="D679" s="7" t="inlineStr">
        <is>
          <t>33 C.E., Nisan 16 (after sunset)</t>
        </is>
      </c>
      <c r="E679" s="7" t="inlineStr">
        <is>
          <t>கி.பி. 33, நிசான் 16</t>
        </is>
      </c>
      <c r="F679" s="7" t="inlineStr">
        <is>
          <t>33 CE</t>
        </is>
      </c>
      <c r="G679" s="7" t="inlineStr">
        <is>
          <t>Exact</t>
        </is>
      </c>
      <c r="H679" s="7" t="n"/>
      <c r="I679" s="7" t="n"/>
      <c r="J679" s="7" t="n"/>
      <c r="K679" s="2" t="inlineStr">
        <is>
          <t>Additional burial spices are purchased</t>
        </is>
      </c>
      <c r="L679" s="2" t="inlineStr">
        <is>
          <t>அடக்கம் செய்வதற்கு நறுமணப் பொருள்கள் கூடுதலாக வாங்கப்படுகின்றன</t>
        </is>
      </c>
      <c r="M679" s="7" t="inlineStr">
        <is>
          <t>When the Sabbath of Nisan 15 has ended at sunset, Mary Magdalene, Mary the mother of James, and Salome buy spices to anoint Jesus’ body.</t>
        </is>
      </c>
      <c r="N679" s="7" t="inlineStr">
        <is>
          <t>அடக்கம் செய்வதற்கு நறுமணப் பொருள்கள் கூடுதலாக வாங்கப்படுகின்றன</t>
        </is>
      </c>
      <c r="O679" s="8" t="inlineStr">
        <is>
          <t>Bible</t>
        </is>
      </c>
      <c r="P679" s="7" t="inlineStr">
        <is>
          <t>bible.jesus</t>
        </is>
      </c>
      <c r="Q679" s="7" t="inlineStr">
        <is>
          <t>burial_preparation</t>
        </is>
      </c>
      <c r="R679" s="7" t="inlineStr">
        <is>
          <t>Mary Magdalene; Mary the mother of James; Salome</t>
        </is>
      </c>
      <c r="S679" s="7" t="inlineStr">
        <is>
          <t>Jerusalem</t>
        </is>
      </c>
      <c r="T679" s="7" t="inlineStr">
        <is>
          <t>Mark 16:1</t>
        </is>
      </c>
      <c r="U679" s="7" t="inlineStr">
        <is>
          <t>மாற்கு 16:1</t>
        </is>
      </c>
      <c r="V679" s="7" t="n">
        <v>3</v>
      </c>
      <c r="W679" s="7" t="inlineStr">
        <is>
          <t>B12-B The Final Week of Jesus’ Life on Earth (Part 2)</t>
        </is>
      </c>
      <c r="X679" s="9" t="inlineStr">
        <is>
          <t>open</t>
        </is>
      </c>
      <c r="Y679" s="9" t="inlineStr">
        <is>
          <t>open</t>
        </is>
      </c>
      <c r="Z679" s="7" t="inlineStr">
        <is>
          <t>https://wol.jw.org/en/wol/d/r1/lp-e/1001070233
https://wol.jw.org/en/wol/d/r1/lp-e/1001061233
https://www.jw.org/en/library/bible/nwt/appendix-b/jesus-last-week-nisan-12-16/</t>
        </is>
      </c>
      <c r="AA679" s="7" t="n">
        <v>0</v>
      </c>
      <c r="AB679" s="7" t="n"/>
      <c r="AC679" s="7" t="n">
        <v>0</v>
      </c>
      <c r="AD679" s="7" t="n"/>
      <c r="AE679" s="7" t="n"/>
      <c r="AF679" s="7" t="n"/>
      <c r="AG679" s="7" t="n"/>
      <c r="AH679" s="7" t="n"/>
      <c r="AI679" s="7" t="n"/>
      <c r="AJ679" s="7" t="n"/>
      <c r="AK679" s="7" t="inlineStr">
        <is>
          <t>jesus-final-week #42 (item)</t>
        </is>
      </c>
      <c r="AL679" s="7" t="n"/>
      <c r="AM679" s="7" t="n">
        <v>33.2599</v>
      </c>
      <c r="AN679" s="10" t="n"/>
      <c r="AO679" s="10" t="n"/>
      <c r="AP679" s="10" t="n"/>
      <c r="AQ679" s="10" t="n"/>
    </row>
    <row r="680">
      <c r="A680" s="7" t="inlineStr">
        <is>
          <t>b5-0166</t>
        </is>
      </c>
      <c r="B680" s="7" t="inlineStr">
        <is>
          <t>Point</t>
        </is>
      </c>
      <c r="C680" s="7" t="n"/>
      <c r="D680" s="7" t="inlineStr">
        <is>
          <t>33 C.E., Nisan 16</t>
        </is>
      </c>
      <c r="E680" s="7" t="inlineStr">
        <is>
          <t>கி.பி. 33, நிசான் 16</t>
        </is>
      </c>
      <c r="F680" s="7" t="inlineStr">
        <is>
          <t>33 CE</t>
        </is>
      </c>
      <c r="G680" s="7" t="inlineStr">
        <is>
          <t>Exact</t>
        </is>
      </c>
      <c r="H680" s="7" t="n"/>
      <c r="I680" s="7" t="n"/>
      <c r="J680" s="7" t="n"/>
      <c r="K680" s="2" t="inlineStr">
        <is>
          <t>Jesus resurrected</t>
        </is>
      </c>
      <c r="L680" s="2" t="inlineStr">
        <is>
          <t>இயேசு உயிரோடு எழுப்பப்படுகிறார்</t>
        </is>
      </c>
      <c r="M680" s="7" t="inlineStr">
        <is>
          <t>Jesus resurrected. The place is given as Jerusalem and vicinity; Emmaus. NWT Study Edition Appendix A7-H (“Jesus’ Final Ministry in Jerusalem (Part 2)”) dates this to 33 C.E., Nisan 16; the source row combines it with related events (“Jesus resurrected; appears five times to disciples”).</t>
        </is>
      </c>
      <c r="N680" s="7" t="inlineStr">
        <is>
          <t>இயேசு உயிரோடு எழுப்பப்படுகிறார்; சீஷர்களுக்கு முன்னால் ஐந்து முறை தோன்றுகிறார் — எருசலேமும் சுற்றுப்புறமும்; எம்மாவு</t>
        </is>
      </c>
      <c r="O680" s="8" t="inlineStr">
        <is>
          <t>Bible</t>
        </is>
      </c>
      <c r="P680" s="7" t="inlineStr">
        <is>
          <t>bible.jesus</t>
        </is>
      </c>
      <c r="Q680" s="7" t="inlineStr">
        <is>
          <t>resurrection</t>
        </is>
      </c>
      <c r="R680" s="7" t="inlineStr">
        <is>
          <t>Jesus</t>
        </is>
      </c>
      <c r="S680" s="7" t="inlineStr">
        <is>
          <t>Jerusalem; Emmaus</t>
        </is>
      </c>
      <c r="T680" s="7" t="inlineStr">
        <is>
          <t>Matt. 28:1-15; Mark 16:1-8; Luke 24:1-49; John 20:1-25</t>
        </is>
      </c>
      <c r="U680" s="7" t="inlineStr">
        <is>
          <t>மத் 28:1-15; மாற் 16:1-8; லூக் 24:1-49; யோவா 20:1-25</t>
        </is>
      </c>
      <c r="V680" s="7" t="n">
        <v>5</v>
      </c>
      <c r="W680" s="7" t="inlineStr">
        <is>
          <t>A7-H Main Events of Jesus’ Earthly Life—Jesus’ Final Ministry in Jerusalem (Part 2)</t>
        </is>
      </c>
      <c r="X680" s="9" t="inlineStr">
        <is>
          <t>open</t>
        </is>
      </c>
      <c r="Y680" s="9" t="inlineStr">
        <is>
          <t>open</t>
        </is>
      </c>
      <c r="Z680" s="7" t="inlineStr">
        <is>
          <t>https://wol.jw.org/en/wol/d/r1/lp-e/1001070214
https://wol.jw.org/en/wol/d/r1/lp-e/1001061214
https://wol.jw.org/en/wol/d/r1/lp-e/1200002451
https://wol.jw.org/en/wol/d/r1/lp-e/1101990130
https://wol.jw.org/en/wol/d/r1/lp-e/1101990130</t>
        </is>
      </c>
      <c r="AA680" s="7" t="n">
        <v>0</v>
      </c>
      <c r="AB680" s="7" t="n"/>
      <c r="AC680" s="7" t="n">
        <v>2</v>
      </c>
      <c r="AD680" s="7" t="inlineStr">
        <is>
          <t>Place wording differs: Insight chart has “Jerusalem and vicinity”; A7-H has “Jerusalem and vicinity; Emmaus”. | Wording in pre-2013 Insight chart (it-2 'Jesus Christ', par 1032): “Jesus’ resurrection and events of that day”.</t>
        </is>
      </c>
      <c r="AE680" s="7" t="n"/>
      <c r="AF680" s="7" t="n"/>
      <c r="AG680" s="7" t="n"/>
      <c r="AH680" s="7" t="n"/>
      <c r="AI680" s="7" t="inlineStr">
        <is>
          <t>Span endpoint – keep</t>
        </is>
      </c>
      <c r="AJ680" s="7" t="inlineStr">
        <is>
          <t>start of Jesus’ 40 days of appearances after his resurrection (b12-0046)</t>
        </is>
      </c>
      <c r="AK680" s="7" t="inlineStr">
        <is>
          <t>jesus-final-week #43 (item); messianic-prophecies #265 (fulfillment); promised-offspring #6 (fulfillment)</t>
        </is>
      </c>
      <c r="AL680" s="7" t="inlineStr">
        <is>
          <t>A7 row #124 split into 2 events; scripture references cover the whole source row.</t>
        </is>
      </c>
      <c r="AM680" s="7" t="n">
        <v>33.26</v>
      </c>
      <c r="AN680" s="10" t="n"/>
      <c r="AO680" s="10" t="n"/>
      <c r="AP680" s="10" t="n"/>
      <c r="AQ680" s="10" t="n"/>
    </row>
    <row r="681">
      <c r="A681" s="7" t="inlineStr">
        <is>
          <t>b12-0046</t>
        </is>
      </c>
      <c r="B681" s="11" t="inlineStr">
        <is>
          <t>Span</t>
        </is>
      </c>
      <c r="C681" s="7" t="inlineStr">
        <is>
          <t>other</t>
        </is>
      </c>
      <c r="D681" s="7" t="inlineStr">
        <is>
          <t>Nisan 16–Iyyar 25, 33 C.E.</t>
        </is>
      </c>
      <c r="E681" s="7" t="n"/>
      <c r="F681" s="7" t="inlineStr">
        <is>
          <t>33 CE</t>
        </is>
      </c>
      <c r="G681" s="7" t="inlineStr">
        <is>
          <t>Exact</t>
        </is>
      </c>
      <c r="H681" s="7" t="inlineStr">
        <is>
          <t>33 CE</t>
        </is>
      </c>
      <c r="I681" s="7" t="inlineStr">
        <is>
          <t>Exact</t>
        </is>
      </c>
      <c r="J681" s="7" t="inlineStr">
        <is>
          <t>40 days</t>
        </is>
      </c>
      <c r="K681" s="2" t="inlineStr">
        <is>
          <t>Jesus’ 40 days of appearances after his resurrection</t>
        </is>
      </c>
      <c r="L681" s="2" t="n"/>
      <c r="M681" s="7" t="inlineStr">
        <is>
          <t>After his resurrection Jesus appeared to his disciples over 40 days, instructing them and commissioning the disciple-making work, until he ascended to heaven.</t>
        </is>
      </c>
      <c r="N681" s="7" t="inlineStr">
        <is>
          <t>உயிர்த்தெழுந்த பின்பு 40-ஆம் நாளில் பரலோகத்துக்குப் போகிறார் (அப் 1:9-12)</t>
        </is>
      </c>
      <c r="O681" s="8" t="inlineStr">
        <is>
          <t>Bible</t>
        </is>
      </c>
      <c r="P681" s="7" t="inlineStr">
        <is>
          <t>bible.jesus</t>
        </is>
      </c>
      <c r="Q681" s="7" t="n"/>
      <c r="R681" s="7" t="inlineStr">
        <is>
          <t>Jesus</t>
        </is>
      </c>
      <c r="S681" s="7" t="inlineStr">
        <is>
          <t>Jerusalem; Galilee; Bethany</t>
        </is>
      </c>
      <c r="T681" s="7" t="inlineStr">
        <is>
          <t>Acts 1:3; Acts 1:9-12</t>
        </is>
      </c>
      <c r="U681" s="7" t="inlineStr">
        <is>
          <t>அப். 1:3; அப். 1:9-12</t>
        </is>
      </c>
      <c r="V681" s="7" t="n">
        <v>3</v>
      </c>
      <c r="W681" s="7" t="inlineStr">
        <is>
          <t>A7-H Main Events of Jesus’ Earthly Life—Jesus’ Final Ministry in Jerusalem (Part 2)</t>
        </is>
      </c>
      <c r="X681" s="9" t="inlineStr">
        <is>
          <t>open</t>
        </is>
      </c>
      <c r="Y681" s="9" t="inlineStr">
        <is>
          <t>open</t>
        </is>
      </c>
      <c r="Z681" s="7" t="inlineStr">
        <is>
          <t>https://wol.jw.org/en/wol/d/r1/lp-e/1001070214
https://wol.jw.org/en/wol/d/r1/lp-e/1001070214
https://wol.jw.org/en/wol/d/r1/lp-e/1001070214</t>
        </is>
      </c>
      <c r="AA681" s="7" t="n">
        <v>0</v>
      </c>
      <c r="AB681" s="7" t="n"/>
      <c r="AC681" s="7" t="n">
        <v>0</v>
      </c>
      <c r="AD681" s="7" t="n"/>
      <c r="AE681" s="7" t="n"/>
      <c r="AF681" s="7" t="inlineStr">
        <is>
          <t>b5-0166</t>
        </is>
      </c>
      <c r="AG681" s="7" t="inlineStr">
        <is>
          <t>b5-0169</t>
        </is>
      </c>
      <c r="AH681" s="7" t="n"/>
      <c r="AI681" s="7" t="n"/>
      <c r="AJ681" s="7" t="n"/>
      <c r="AK681" s="7" t="n"/>
      <c r="AL681" s="7" t="n"/>
      <c r="AM681" s="7" t="n">
        <v>33.26</v>
      </c>
      <c r="AN681" s="10" t="n"/>
      <c r="AO681" s="10" t="n"/>
      <c r="AP681" s="10" t="n"/>
      <c r="AQ681" s="10" t="n"/>
    </row>
    <row r="682">
      <c r="A682" s="7" t="inlineStr">
        <is>
          <t>b5-0167</t>
        </is>
      </c>
      <c r="B682" s="7" t="inlineStr">
        <is>
          <t>Point</t>
        </is>
      </c>
      <c r="C682" s="7" t="n"/>
      <c r="D682" s="7" t="inlineStr">
        <is>
          <t>33 C.E., Nisan 16</t>
        </is>
      </c>
      <c r="E682" s="7" t="inlineStr">
        <is>
          <t>கி.பி. 33, நிசான் 16</t>
        </is>
      </c>
      <c r="F682" s="7" t="inlineStr">
        <is>
          <t>33 CE</t>
        </is>
      </c>
      <c r="G682" s="7" t="inlineStr">
        <is>
          <t>Exact</t>
        </is>
      </c>
      <c r="H682" s="7" t="n"/>
      <c r="I682" s="7" t="n"/>
      <c r="J682" s="7" t="n"/>
      <c r="K682" s="2" t="inlineStr">
        <is>
          <t>Jesus appears five times to disciples</t>
        </is>
      </c>
      <c r="L682" s="2" t="inlineStr">
        <is>
          <t>சீஷர்களுக்கு முன்னால் ஐந்து முறை தோன்றுகிறார்</t>
        </is>
      </c>
      <c r="M682" s="7" t="inlineStr">
        <is>
          <t>Jesus appears five times to disciples. The place is given as Jerusalem and vicinity; Emmaus. NWT Study Edition Appendix A7-H (“Jesus’ Final Ministry in Jerusalem (Part 2)”) dates this to 33 C.E., Nisan 16; the source row combines it with related events (“Jesus resurrected; appears five times to disciples”).</t>
        </is>
      </c>
      <c r="N682" s="7" t="inlineStr">
        <is>
          <t>இயேசு உயிரோடு எழுப்பப்படுகிறார்; சீஷர்களுக்கு முன்னால் ஐந்து முறை தோன்றுகிறார் — எருசலேமும் சுற்றுப்புறமும்; எம்மாவு</t>
        </is>
      </c>
      <c r="O682" s="8" t="inlineStr">
        <is>
          <t>Bible</t>
        </is>
      </c>
      <c r="P682" s="7" t="inlineStr">
        <is>
          <t>bible.jesus</t>
        </is>
      </c>
      <c r="Q682" s="7" t="inlineStr">
        <is>
          <t>appearance</t>
        </is>
      </c>
      <c r="R682" s="7" t="inlineStr">
        <is>
          <t>Jesus</t>
        </is>
      </c>
      <c r="S682" s="7" t="inlineStr">
        <is>
          <t>Jerusalem; Emmaus</t>
        </is>
      </c>
      <c r="T682" s="7" t="inlineStr">
        <is>
          <t>Matt. 28:1-15; Mark 16:1-8; Luke 24:1-49; John 20:1-25</t>
        </is>
      </c>
      <c r="U682" s="7" t="inlineStr">
        <is>
          <t>மத் 28:1-15; மாற் 16:1-8; லூக் 24:1-49; யோவா 20:1-25</t>
        </is>
      </c>
      <c r="V682" s="7" t="n">
        <v>3</v>
      </c>
      <c r="W682" s="7" t="inlineStr">
        <is>
          <t>A7-H Main Events of Jesus’ Earthly Life—Jesus’ Final Ministry in Jerusalem (Part 2)</t>
        </is>
      </c>
      <c r="X682" s="9" t="inlineStr">
        <is>
          <t>open</t>
        </is>
      </c>
      <c r="Y682" s="9" t="inlineStr">
        <is>
          <t>open</t>
        </is>
      </c>
      <c r="Z682" s="7" t="inlineStr">
        <is>
          <t>https://wol.jw.org/en/wol/d/r1/lp-e/1001070214
https://wol.jw.org/en/wol/d/r1/lp-e/1001061214
https://wol.jw.org/en/wol/d/r1/lp-e/1200002451</t>
        </is>
      </c>
      <c r="AA682" s="7" t="n">
        <v>0</v>
      </c>
      <c r="AB682" s="7" t="n"/>
      <c r="AC682" s="7" t="n">
        <v>2</v>
      </c>
      <c r="AD682" s="7" t="inlineStr">
        <is>
          <t>Place wording differs: Insight chart has “Jerusalem and vicinity”; A7-H has “Jerusalem and vicinity; Emmaus”. | Wording in pre-2013 Insight chart (it-2 'Jesus Christ', par 1032): “Jesus’ resurrection and events of that day”.</t>
        </is>
      </c>
      <c r="AE682" s="7" t="n"/>
      <c r="AF682" s="7" t="n"/>
      <c r="AG682" s="7" t="n"/>
      <c r="AH682" s="7" t="n"/>
      <c r="AI682" s="7" t="n"/>
      <c r="AJ682" s="7" t="n"/>
      <c r="AK682" s="7" t="inlineStr">
        <is>
          <t>jesus-final-week #44 (item)</t>
        </is>
      </c>
      <c r="AL682" s="7" t="inlineStr">
        <is>
          <t>A7 row #124 split into 2 events; scripture references cover the whole source row.</t>
        </is>
      </c>
      <c r="AM682" s="7" t="n">
        <v>33.2602</v>
      </c>
      <c r="AN682" s="10" t="n"/>
      <c r="AO682" s="10" t="n"/>
      <c r="AP682" s="10" t="n"/>
      <c r="AQ682" s="10" t="n"/>
    </row>
    <row r="683">
      <c r="A683" s="7" t="inlineStr">
        <is>
          <t>b5-0168</t>
        </is>
      </c>
      <c r="B683" s="7" t="inlineStr">
        <is>
          <t>Point</t>
        </is>
      </c>
      <c r="C683" s="7" t="n"/>
      <c r="D683" s="7" t="inlineStr">
        <is>
          <t>33 C.E., After Nisan 16</t>
        </is>
      </c>
      <c r="E683" s="7" t="inlineStr">
        <is>
          <t>கி.பி. 33, நிசான் 16-க்குப் பின்பு</t>
        </is>
      </c>
      <c r="F683" s="7" t="inlineStr">
        <is>
          <t>33 CE</t>
        </is>
      </c>
      <c r="G683" s="7" t="inlineStr">
        <is>
          <t>After (a.)</t>
        </is>
      </c>
      <c r="H683" s="7" t="n"/>
      <c r="I683" s="7" t="n"/>
      <c r="J683" s="7" t="n"/>
      <c r="K683" s="2" t="inlineStr">
        <is>
          <t>Makes more appearances to disciples; instructs; commissions disciple-making</t>
        </is>
      </c>
      <c r="L683" s="2" t="inlineStr">
        <is>
          <t>சீஷர்களுக்கு முன்னால் நிறைய தடவை தோன்றுகிறார்; கற்றுக்கொடுக்கிறார்; சீஷராக்கும்படி கட்டளை கொடுக்கிறார்</t>
        </is>
      </c>
      <c r="M683" s="7" t="inlineStr">
        <is>
          <t>Makes more appearances to disciples; instructs; commissions disciple-making. The place is given as Jerusalem; Galilee. NWT Study Edition Appendix A7-H (“Jesus’ Final Ministry in Jerusalem (Part 2)”) dates this to 33 C.E., After Nisan 16.</t>
        </is>
      </c>
      <c r="N683" s="7" t="inlineStr">
        <is>
          <t>சீஷர்களுக்கு முன்னால் நிறைய தடவை தோன்றுகிறார்; கற்றுக்கொடுக்கிறார்; சீஷராக்கும்படி கட்டளை கொடுக்கிறார் — எருசலேம்; கலிலேயா</t>
        </is>
      </c>
      <c r="O683" s="8" t="inlineStr">
        <is>
          <t>Bible</t>
        </is>
      </c>
      <c r="P683" s="7" t="inlineStr">
        <is>
          <t>bible.jesus</t>
        </is>
      </c>
      <c r="Q683" s="7" t="inlineStr">
        <is>
          <t>appearance</t>
        </is>
      </c>
      <c r="R683" s="7" t="inlineStr">
        <is>
          <t>Jesus</t>
        </is>
      </c>
      <c r="S683" s="7" t="inlineStr">
        <is>
          <t>Jerusalem; Galilee</t>
        </is>
      </c>
      <c r="T683" s="7" t="inlineStr">
        <is>
          <t>Matt. 28:16-20; John 20:26–21:25; 1 Cor. 15:5-7; Acts 1:3-8</t>
        </is>
      </c>
      <c r="U683" s="7" t="inlineStr">
        <is>
          <t>மத் 28:16-20; யோவா 20:26–21:25; 1கொ 15:5-7; அப் 1:3-8</t>
        </is>
      </c>
      <c r="V683" s="7" t="n">
        <v>4</v>
      </c>
      <c r="W683" s="7" t="inlineStr">
        <is>
          <t>A7-H Main Events of Jesus’ Earthly Life—Jesus’ Final Ministry in Jerusalem (Part 2)</t>
        </is>
      </c>
      <c r="X683" s="9" t="inlineStr">
        <is>
          <t>open</t>
        </is>
      </c>
      <c r="Y683" s="9" t="inlineStr">
        <is>
          <t>open</t>
        </is>
      </c>
      <c r="Z683" s="7" t="inlineStr">
        <is>
          <t>https://wol.jw.org/en/wol/d/r1/lp-e/1001070214
https://wol.jw.org/en/wol/d/r1/lp-e/1001061214
https://wol.jw.org/en/wol/d/r1/lp-e/1200002451
https://wol.jw.org/en/wol/d/r1/lp-e/1101990130</t>
        </is>
      </c>
      <c r="AA683" s="7" t="n">
        <v>0</v>
      </c>
      <c r="AB683" s="7" t="n"/>
      <c r="AC683" s="7" t="n">
        <v>3</v>
      </c>
      <c r="AD683" s="7" t="inlineStr">
        <is>
          <t>Gospel references differ: Insight chart lists “Mt 28:16-20; Mr [1 Co 15:5-7]; Lu [Ac 1:3-8]; Joh 20:26–21:25”; A7-H lists “Mt 28:16-20; Joh 20:26–21:25”. | Wording in pre-2013 Insight chart (it-2 'Jesus Christ', par 1039): “Subsequent appearances of Jesus Christ”. | si Study 3 chart prints “a. Nisan 16”; A7-H prints “After Nisan 16” (same meaning).</t>
        </is>
      </c>
      <c r="AE683" s="7" t="n"/>
      <c r="AF683" s="7" t="n"/>
      <c r="AG683" s="7" t="n"/>
      <c r="AH683" s="7" t="n"/>
      <c r="AI683" s="7" t="n"/>
      <c r="AJ683" s="7" t="n"/>
      <c r="AK683" s="7" t="n"/>
      <c r="AL683" s="7" t="n"/>
      <c r="AM683" s="7" t="n">
        <v>33.27</v>
      </c>
      <c r="AN683" s="10" t="n"/>
      <c r="AO683" s="10" t="n"/>
      <c r="AP683" s="10" t="n"/>
      <c r="AQ683" s="10" t="n"/>
    </row>
    <row r="684">
      <c r="A684" s="7" t="inlineStr">
        <is>
          <t>b6-0001</t>
        </is>
      </c>
      <c r="B684" s="7" t="inlineStr">
        <is>
          <t>Point</t>
        </is>
      </c>
      <c r="C684" s="7" t="n"/>
      <c r="D684" s="7" t="inlineStr">
        <is>
          <t>33 C.E., Sivan 6 (Pentecost)</t>
        </is>
      </c>
      <c r="E684" s="7" t="inlineStr">
        <is>
          <t>பொ.ச. 33, சீவான் 6, பெந்தெகொஸ்தே</t>
        </is>
      </c>
      <c r="F684" s="7" t="inlineStr">
        <is>
          <t>33 CE</t>
        </is>
      </c>
      <c r="G684" s="7" t="inlineStr">
        <is>
          <t>Exact</t>
        </is>
      </c>
      <c r="H684" s="7" t="n"/>
      <c r="I684" s="7" t="n"/>
      <c r="J684" s="7" t="n"/>
      <c r="K684" s="2" t="inlineStr">
        <is>
          <t>Pentecost: holy spirit poured out on the disciples in Jerusalem</t>
        </is>
      </c>
      <c r="L684" s="2" t="inlineStr">
        <is>
          <t>சீவான் 6, பெந்தெகொஸ்தே: ஆவி ஊற்றப்படுகிறது; யூதர்கள் கிறிஸ்தவர்களாவதற்கு பேதுரு வழியைத் திறந்தார்</t>
        </is>
      </c>
      <c r="M684" s="7" t="inlineStr">
        <is>
          <t>On the day of Pentecost, Sivan 6, 33 C.E., holy spirit was poured out on about 120 disciples gathered in an upper room in Jerusalem. Peter then opened the way for Jews to enter the Christian congregation.</t>
        </is>
      </c>
      <c r="N684" s="7" t="inlineStr">
        <is>
          <t>சீவான் 6, பெந்தெகொஸ்தே: ஆவி ஊற்றப்படுகிறது; யூதர்கள் கிறிஸ்தவர்களாவதற்கு பேதுரு வழியைத் திறந்தார்.</t>
        </is>
      </c>
      <c r="O684" s="8" t="inlineStr">
        <is>
          <t>Bible</t>
        </is>
      </c>
      <c r="P684" s="7" t="inlineStr">
        <is>
          <t>bible.apostolic</t>
        </is>
      </c>
      <c r="Q684" s="7" t="inlineStr">
        <is>
          <t>outpouring_of_spirit</t>
        </is>
      </c>
      <c r="R684" s="7" t="inlineStr">
        <is>
          <t>Peter</t>
        </is>
      </c>
      <c r="S684" s="7" t="inlineStr">
        <is>
          <t>Jerusalem</t>
        </is>
      </c>
      <c r="T684" s="7" t="inlineStr">
        <is>
          <t>Acts 2:1-17, 38</t>
        </is>
      </c>
      <c r="U684" s="7" t="inlineStr">
        <is>
          <t>அப். 2:1-17, 38</t>
        </is>
      </c>
      <c r="V684" s="7" t="n">
        <v>6</v>
      </c>
      <c r="W684" s="7" t="inlineStr">
        <is>
          <t>Study Number 3—Measuring Events in the Stream of Time</t>
        </is>
      </c>
      <c r="X684" s="9" t="inlineStr">
        <is>
          <t>open</t>
        </is>
      </c>
      <c r="Y684" s="9" t="inlineStr">
        <is>
          <t>open</t>
        </is>
      </c>
      <c r="Z684" s="7" t="inlineStr">
        <is>
          <t>https://wol.jw.org/en/wol/d/r1/lp-e/1101990130
https://wol.jw.org/en/wol/d/r1/lp-e/1200003431
https://wol.jw.org/en/wol/d/r1/lp-e/1102009041
https://wol.jw.org/en/wol/d/r1/lp-e/1001070234
https://wol.jw.org/en/wol/d/r1/lp-e/1102009044
https://wol.jw.org/en/wol/d/r1/lp-e/1200004153</t>
        </is>
      </c>
      <c r="AA684" s="7" t="n">
        <v>2</v>
      </c>
      <c r="AB684" s="9" t="inlineStr">
        <is>
          <t>open</t>
        </is>
      </c>
      <c r="AC684" s="7" t="n">
        <v>0</v>
      </c>
      <c r="AD684" s="7" t="n"/>
      <c r="AE684" s="7" t="n"/>
      <c r="AF684" s="7" t="n"/>
      <c r="AG684" s="7" t="n"/>
      <c r="AH684" s="7" t="n"/>
      <c r="AI684" s="7" t="inlineStr">
        <is>
          <t>Span endpoint – keep</t>
        </is>
      </c>
      <c r="AJ684" s="7" t="inlineStr">
        <is>
          <t>start of Wheat and weeds grow together until the harvest (b17-0002)</t>
        </is>
      </c>
      <c r="AK684" s="7" t="inlineStr">
        <is>
          <t>covenants #9 (end); covenants #20 (start); covenants #24 (step); promised-offspring #7 (fulfillment); spread-of-christianity #1 (item); wheat-and-weeds #4 (fulfillment)</t>
        </is>
      </c>
      <c r="AL684" s="7" t="n"/>
      <c r="AM684" s="7" t="n">
        <v>33.42</v>
      </c>
      <c r="AN684" s="10" t="n"/>
      <c r="AO684" s="10" t="n"/>
      <c r="AP684" s="10" t="n"/>
      <c r="AQ684" s="10" t="n"/>
    </row>
    <row r="685">
      <c r="A685" s="7" t="inlineStr">
        <is>
          <t>b17-0002</t>
        </is>
      </c>
      <c r="B685" s="11" t="inlineStr">
        <is>
          <t>Span</t>
        </is>
      </c>
      <c r="C685" s="7" t="inlineStr">
        <is>
          <t>prophetic period</t>
        </is>
      </c>
      <c r="D685" s="7" t="inlineStr">
        <is>
          <t>33 C.E.–1914</t>
        </is>
      </c>
      <c r="E685" s="7" t="inlineStr">
        <is>
          <t>கி.பி. 33–1914</t>
        </is>
      </c>
      <c r="F685" s="7" t="inlineStr">
        <is>
          <t>33 CE</t>
        </is>
      </c>
      <c r="G685" s="7" t="inlineStr">
        <is>
          <t>Exact</t>
        </is>
      </c>
      <c r="H685" s="7" t="inlineStr">
        <is>
          <t>1914 CE</t>
        </is>
      </c>
      <c r="I685" s="7" t="inlineStr">
        <is>
          <t>Exact</t>
        </is>
      </c>
      <c r="J685" s="7" t="inlineStr">
        <is>
          <t>1,881 years</t>
        </is>
      </c>
      <c r="K685" s="2" t="inlineStr">
        <is>
          <t>Wheat and weeds grow together until the harvest</t>
        </is>
      </c>
      <c r="L685" s="2" t="inlineStr">
        <is>
          <t>“அறுவடைவரை இரண்டும் சேர்ந்தே வளரட்டும்”</t>
        </is>
      </c>
      <c r="M685" s="7" t="inlineStr">
        <is>
          <t>In Jesus’ illustration the master orders: “Let both grow together until the harvest.” The Watchtower of July 15, 2013 explains that the sowing of the wheat class began at Pentecost 33 C.E. and the harvest season began in 1914, and that from the first century until today there have always been some anointed wheatlike Christians on earth, though overgrown by weedlike ones.</t>
        </is>
      </c>
      <c r="N685" s="7" t="inlineStr">
        <is>
          <t>கோதுமை-களைகள் பற்றிப் பேசுகையில், “அறுவடைவரை இரண்டும் சேர்ந்தே வளரட்டும்” என்று இயேசு சொன்னார். முதல் நூற்றாண்டிலிருந்து இன்றுவரையாக கோதுமையைப் போன்ற பரலோக நம்பிக்கையுள்ள கிறிஸ்தவர்கள் சிலர், எப்போதும் பூமியில் இருந்திருக்கிறார்கள் என்பது இந்தப் பதிலிலிருந்து தெரிகிறது.</t>
        </is>
      </c>
      <c r="O685" s="8" t="inlineStr">
        <is>
          <t>Bible</t>
        </is>
      </c>
      <c r="P685" s="7" t="inlineStr">
        <is>
          <t>bible.prophecy_fulfilled</t>
        </is>
      </c>
      <c r="Q685" s="7" t="inlineStr">
        <is>
          <t>prophetic_period</t>
        </is>
      </c>
      <c r="R685" s="7" t="n"/>
      <c r="S685" s="7" t="n"/>
      <c r="T685" s="7" t="inlineStr">
        <is>
          <t>Matt. 13:30; Matt. 28:20</t>
        </is>
      </c>
      <c r="U685" s="7" t="inlineStr">
        <is>
          <t>மத். 13:30; மத். 28:20</t>
        </is>
      </c>
      <c r="V685" s="7" t="n">
        <v>3</v>
      </c>
      <c r="W685" s="7" t="inlineStr">
        <is>
          <t>“Look! I Am With You All the Days”</t>
        </is>
      </c>
      <c r="X685" s="9" t="inlineStr">
        <is>
          <t>open</t>
        </is>
      </c>
      <c r="Y685" s="9" t="inlineStr">
        <is>
          <t>open</t>
        </is>
      </c>
      <c r="Z685" s="7" t="inlineStr">
        <is>
          <t>https://wol.jw.org/en/wol/d/r1/lp-e/2013531
https://wol.jw.org/en/wol/d/r1/lp-e/2013531
https://wol.jw.org/en/wol/d/r1/lp-e/2013531</t>
        </is>
      </c>
      <c r="AA685" s="7" t="n">
        <v>0</v>
      </c>
      <c r="AB685" s="7" t="n"/>
      <c r="AC685" s="7" t="n">
        <v>0</v>
      </c>
      <c r="AD685" s="7" t="n"/>
      <c r="AE685" s="7" t="n"/>
      <c r="AF685" s="7" t="inlineStr">
        <is>
          <t>b6-0001</t>
        </is>
      </c>
      <c r="AG685" s="7" t="inlineStr">
        <is>
          <t>b10-0004</t>
        </is>
      </c>
      <c r="AH685" s="7" t="n"/>
      <c r="AI685" s="7" t="n"/>
      <c r="AJ685" s="7" t="n"/>
      <c r="AK685" s="7" t="inlineStr">
        <is>
          <t>wheat-and-weeds #5 (step)</t>
        </is>
      </c>
      <c r="AL685" s="7" t="inlineStr">
        <is>
          <t>Span built from the article's own endpoints: sowing from Pentecost 33 C.E. (b6-0001) to the start of the harvest season in 1914 (b10-0004). Duration computed.</t>
        </is>
      </c>
      <c r="AM685" s="7" t="n">
        <v>33.42</v>
      </c>
      <c r="AN685" s="10" t="n"/>
      <c r="AO685" s="10" t="n"/>
      <c r="AP685" s="10" t="n"/>
      <c r="AQ685" s="10" t="n"/>
    </row>
    <row r="686">
      <c r="A686" s="7" t="inlineStr">
        <is>
          <t>b6-0002</t>
        </is>
      </c>
      <c r="B686" s="7" t="inlineStr">
        <is>
          <t>Point</t>
        </is>
      </c>
      <c r="C686" s="7" t="n"/>
      <c r="D686" s="7" t="inlineStr">
        <is>
          <t>33 C.E.</t>
        </is>
      </c>
      <c r="E686" s="7" t="inlineStr">
        <is>
          <t>கி.பி. 33</t>
        </is>
      </c>
      <c r="F686" s="7" t="inlineStr">
        <is>
          <t>33 CE</t>
        </is>
      </c>
      <c r="G686" s="7" t="inlineStr">
        <is>
          <t>Exact</t>
        </is>
      </c>
      <c r="H686" s="7" t="n"/>
      <c r="I686" s="7" t="n"/>
      <c r="J686" s="7" t="n"/>
      <c r="K686" s="2" t="inlineStr">
        <is>
          <t>Christian congregation founded</t>
        </is>
      </c>
      <c r="L686" s="2" t="inlineStr">
        <is>
          <t>கிறிஸ்தவ சபை உருவாகிறது</t>
        </is>
      </c>
      <c r="M686" s="7" t="inlineStr">
        <is>
          <t>The Christian congregation came into existence at Pentecost 33 C.E., starting with the 12 apostles as overseers and growing from about 120 to about 3,000 members in one day.</t>
        </is>
      </c>
      <c r="N686" s="7" t="inlineStr">
        <is>
          <t>கிறிஸ்தவ சபை உருவாகிறது.</t>
        </is>
      </c>
      <c r="O686" s="8" t="inlineStr">
        <is>
          <t>Bible</t>
        </is>
      </c>
      <c r="P686" s="7" t="inlineStr">
        <is>
          <t>bible.apostolic</t>
        </is>
      </c>
      <c r="Q686" s="7" t="inlineStr">
        <is>
          <t>founding</t>
        </is>
      </c>
      <c r="R686" s="7" t="n"/>
      <c r="S686" s="7" t="inlineStr">
        <is>
          <t>Jerusalem</t>
        </is>
      </c>
      <c r="T686" s="7" t="inlineStr">
        <is>
          <t>Acts 1:15; Acts 2:41</t>
        </is>
      </c>
      <c r="U686" s="7" t="n"/>
      <c r="V686" s="7" t="n">
        <v>2</v>
      </c>
      <c r="W686" s="7" t="inlineStr">
        <is>
          <t>“Go . . . and Make Disciples” (box: Important Dates in the Spread of Christianity During the First Century C.E.)</t>
        </is>
      </c>
      <c r="X686" s="9" t="inlineStr">
        <is>
          <t>open</t>
        </is>
      </c>
      <c r="Y686" s="9" t="inlineStr">
        <is>
          <t>open</t>
        </is>
      </c>
      <c r="Z686" s="7" t="inlineStr">
        <is>
          <t>https://wol.jw.org/en/wol/d/r1/lp-e/1102009041
https://wol.jw.org/en/wol/d/r1/lp-e/1001070690</t>
        </is>
      </c>
      <c r="AA686" s="7" t="n">
        <v>0</v>
      </c>
      <c r="AB686" s="7" t="n"/>
      <c r="AC686" s="7" t="n">
        <v>0</v>
      </c>
      <c r="AD686" s="7" t="n"/>
      <c r="AE686" s="7" t="n"/>
      <c r="AF686" s="7" t="n"/>
      <c r="AG686" s="7" t="n"/>
      <c r="AH686" s="7" t="n"/>
      <c r="AI686" s="7" t="n"/>
      <c r="AJ686" s="7" t="n"/>
      <c r="AK686" s="7" t="n"/>
      <c r="AL686" s="7" t="n"/>
      <c r="AM686" s="7" t="n">
        <v>33.421</v>
      </c>
      <c r="AN686" s="10" t="n"/>
      <c r="AO686" s="10" t="n"/>
      <c r="AP686" s="10" t="n"/>
      <c r="AQ686" s="10" t="n"/>
    </row>
    <row r="687">
      <c r="A687" s="7" t="inlineStr">
        <is>
          <t>b6-0003</t>
        </is>
      </c>
      <c r="B687" s="7" t="inlineStr">
        <is>
          <t>Point</t>
        </is>
      </c>
      <c r="C687" s="7" t="n"/>
      <c r="D687" s="7" t="inlineStr">
        <is>
          <t>33 C.E. (Pentecost)</t>
        </is>
      </c>
      <c r="E687" s="7" t="inlineStr">
        <is>
          <t>கி.பி. 33, பெந்தெகொஸ்தே</t>
        </is>
      </c>
      <c r="F687" s="7" t="inlineStr">
        <is>
          <t>33 CE</t>
        </is>
      </c>
      <c r="G687" s="7" t="inlineStr">
        <is>
          <t>Exact</t>
        </is>
      </c>
      <c r="H687" s="7" t="n"/>
      <c r="I687" s="7" t="n"/>
      <c r="J687" s="7" t="n"/>
      <c r="K687" s="2" t="inlineStr">
        <is>
          <t>About 3,000 baptized on the day of Pentecost</t>
        </is>
      </c>
      <c r="L687" s="2" t="inlineStr">
        <is>
          <t>சுமார் 3,000 பேர் ஞானஸ்நானம் எடுத்தார்கள்</t>
        </is>
      </c>
      <c r="M687" s="7" t="inlineStr">
        <is>
          <t>After Peter urged his listeners to repent and be baptized, about 3,000 Jews and proselytes were baptized that same day, likely in pools in or near Jerusalem.</t>
        </is>
      </c>
      <c r="N687" s="7" t="inlineStr">
        <is>
          <t>“மனம் திருந்துங்கள், . . . ஒவ்வொருவரும் . . . ஞானஸ்நானம் எடுங்கள்” என்று யூதர்களிடமும் யூதர்களாக மாறியவர்களிடமும் பேதுரு சொன்னார். அதனால், சுமார் 3,000 பேர் ஞானஸ்நானம் எடுத்தார்கள்.</t>
        </is>
      </c>
      <c r="O687" s="8" t="inlineStr">
        <is>
          <t>Bible</t>
        </is>
      </c>
      <c r="P687" s="7" t="inlineStr">
        <is>
          <t>bible.apostolic</t>
        </is>
      </c>
      <c r="Q687" s="7" t="inlineStr">
        <is>
          <t>baptism</t>
        </is>
      </c>
      <c r="R687" s="7" t="inlineStr">
        <is>
          <t>Peter</t>
        </is>
      </c>
      <c r="S687" s="7" t="inlineStr">
        <is>
          <t>Jerusalem</t>
        </is>
      </c>
      <c r="T687" s="7" t="inlineStr">
        <is>
          <t>Acts 2:38; Acts 2:41</t>
        </is>
      </c>
      <c r="U687" s="7" t="inlineStr">
        <is>
          <t>அப். 2:38</t>
        </is>
      </c>
      <c r="V687" s="7" t="n">
        <v>5</v>
      </c>
      <c r="W687" s="7" t="inlineStr">
        <is>
          <t>“Filled With Holy Spirit”</t>
        </is>
      </c>
      <c r="X687" s="9" t="inlineStr">
        <is>
          <t>open</t>
        </is>
      </c>
      <c r="Y687" s="9" t="inlineStr">
        <is>
          <t>open</t>
        </is>
      </c>
      <c r="Z687" s="7" t="inlineStr">
        <is>
          <t>https://wol.jw.org/en/wol/d/r1/lp-e/1102009044
https://wol.jw.org/en/wol/d/r1/lp-e/1200003431
https://wol.jw.org/en/wol/d/r1/lp-e/1001070690
https://wol.jw.org/en/wol/d/r1/lp-e/1101990130
https://wol.jw.org/en/wol/d/r1/lp-e/1200004153</t>
        </is>
      </c>
      <c r="AA687" s="7" t="n">
        <v>0</v>
      </c>
      <c r="AB687" s="7" t="n"/>
      <c r="AC687" s="7" t="n">
        <v>1</v>
      </c>
      <c r="AD687" s="7" t="inlineStr">
        <is>
          <t>date as given by merged duplicate b5-0171 (b5): Peter opens the way for Jews into the Christian congregation; about 3,000 baptized</t>
        </is>
      </c>
      <c r="AE687" s="7" t="n"/>
      <c r="AF687" s="7" t="n"/>
      <c r="AG687" s="7" t="n"/>
      <c r="AH687" s="7" t="n"/>
      <c r="AI687" s="7" t="n"/>
      <c r="AJ687" s="7" t="n"/>
      <c r="AK687" s="7" t="n"/>
      <c r="AL687" s="7" t="n"/>
      <c r="AM687" s="7" t="n">
        <v>33.422</v>
      </c>
      <c r="AN687" s="10" t="n"/>
      <c r="AO687" s="10" t="n"/>
      <c r="AP687" s="10" t="n"/>
      <c r="AQ687" s="10" t="n"/>
    </row>
    <row r="688">
      <c r="A688" s="7" t="inlineStr">
        <is>
          <t>b5-0169</t>
        </is>
      </c>
      <c r="B688" s="7" t="inlineStr">
        <is>
          <t>Point</t>
        </is>
      </c>
      <c r="C688" s="7" t="n"/>
      <c r="D688" s="7" t="inlineStr">
        <is>
          <t>33 C.E., Iyyar 25</t>
        </is>
      </c>
      <c r="E688" s="7" t="inlineStr">
        <is>
          <t>கி.பி. 33, அய்யார் 25</t>
        </is>
      </c>
      <c r="F688" s="7" t="inlineStr">
        <is>
          <t>33 CE</t>
        </is>
      </c>
      <c r="G688" s="7" t="inlineStr">
        <is>
          <t>Exact</t>
        </is>
      </c>
      <c r="H688" s="7" t="n"/>
      <c r="I688" s="7" t="n"/>
      <c r="J688" s="7" t="n"/>
      <c r="K688" s="2" t="inlineStr">
        <is>
          <t>Jesus’ ascension, 40th day after his resurrection</t>
        </is>
      </c>
      <c r="L688" s="2" t="inlineStr">
        <is>
          <t>உயிர்த்தெழுந்த பின்பு 40-ஆம் நாளில் பரலோகத்துக்குப் போகிறார்</t>
        </is>
      </c>
      <c r="M688" s="7" t="inlineStr">
        <is>
          <t>Jesus’ ascension, 40th day after his resurrection. The place is given as Mount of Olives, near Bethany. NWT Study Edition Appendix A7-H (“Jesus’ Final Ministry in Jerusalem (Part 2)”) dates this to 33 C.E., Iyyar 25.</t>
        </is>
      </c>
      <c r="N688" s="7" t="inlineStr">
        <is>
          <t>உயிர்த்தெழுந்த பின்பு 40-ஆம் நாளில் பரலோகத்துக்குப் போகிறார் — ஒலிவ மலை, பெத்தானியாவுக்குப் பக்கத்தில்</t>
        </is>
      </c>
      <c r="O688" s="8" t="inlineStr">
        <is>
          <t>Bible</t>
        </is>
      </c>
      <c r="P688" s="7" t="inlineStr">
        <is>
          <t>bible.jesus</t>
        </is>
      </c>
      <c r="Q688" s="7" t="inlineStr">
        <is>
          <t>ascension</t>
        </is>
      </c>
      <c r="R688" s="7" t="inlineStr">
        <is>
          <t>Jesus</t>
        </is>
      </c>
      <c r="S688" s="7" t="inlineStr">
        <is>
          <t>Mount of Olives; Bethany</t>
        </is>
      </c>
      <c r="T688" s="7" t="inlineStr">
        <is>
          <t>Luke 24:50-53; Acts 1:9-12</t>
        </is>
      </c>
      <c r="U688" s="7" t="inlineStr">
        <is>
          <t>லூக் 24:50-53; அப் 1:9-12</t>
        </is>
      </c>
      <c r="V688" s="7" t="n">
        <v>4</v>
      </c>
      <c r="W688" s="7" t="inlineStr">
        <is>
          <t>A7-H Main Events of Jesus’ Earthly Life—Jesus’ Final Ministry in Jerusalem (Part 2)</t>
        </is>
      </c>
      <c r="X688" s="9" t="inlineStr">
        <is>
          <t>open</t>
        </is>
      </c>
      <c r="Y688" s="9" t="inlineStr">
        <is>
          <t>open</t>
        </is>
      </c>
      <c r="Z688" s="7" t="inlineStr">
        <is>
          <t>https://wol.jw.org/en/wol/d/r1/lp-e/1001070214
https://wol.jw.org/en/wol/d/r1/lp-e/1001061214
https://wol.jw.org/en/wol/d/r1/lp-e/1200002451
https://wol.jw.org/en/wol/d/r1/lp-e/1101990130</t>
        </is>
      </c>
      <c r="AA688" s="7" t="n">
        <v>0</v>
      </c>
      <c r="AB688" s="7" t="n"/>
      <c r="AC688" s="7" t="n">
        <v>2</v>
      </c>
      <c r="AD688" s="7" t="inlineStr">
        <is>
          <t>Gospel references differ: Insight chart lists “Mt [Ac 1:9-12]; Lu 24:50-53”; A7-H lists “Lu 24:50-53”. | Wording in pre-2013 Insight chart (it-2 'Jesus Christ', par 1046): “Jesus’ ascension, 40th day after his resurrection”.</t>
        </is>
      </c>
      <c r="AE688" s="7" t="n"/>
      <c r="AF688" s="7" t="n"/>
      <c r="AG688" s="7" t="n"/>
      <c r="AH688" s="7" t="n"/>
      <c r="AI688" s="7" t="inlineStr">
        <is>
          <t>Span endpoint – keep</t>
        </is>
      </c>
      <c r="AJ688" s="7" t="inlineStr">
        <is>
          <t>end of Jesus’ 40 days of appearances after his resurrection (b12-0046)</t>
        </is>
      </c>
      <c r="AK688" s="7" t="inlineStr">
        <is>
          <t>covenants #15 (step); covenants #19 (step)</t>
        </is>
      </c>
      <c r="AL688" s="7" t="n"/>
      <c r="AM688" s="7" t="n">
        <v>33.455</v>
      </c>
      <c r="AN688" s="10" t="n"/>
      <c r="AO688" s="10" t="n"/>
      <c r="AP688" s="10" t="n"/>
      <c r="AQ688" s="10" t="n"/>
    </row>
    <row r="689">
      <c r="A689" s="7" t="inlineStr">
        <is>
          <t>b6-0004</t>
        </is>
      </c>
      <c r="B689" s="7" t="inlineStr">
        <is>
          <t>Point</t>
        </is>
      </c>
      <c r="C689" s="7" t="n"/>
      <c r="D689" s="7" t="inlineStr">
        <is>
          <t>c. 33-34 C.E.</t>
        </is>
      </c>
      <c r="E689" s="7" t="inlineStr">
        <is>
          <t>சுமார் கி.பி. 33-34</t>
        </is>
      </c>
      <c r="F689" s="7" t="inlineStr">
        <is>
          <t>33 CE</t>
        </is>
      </c>
      <c r="G689" s="7" t="inlineStr">
        <is>
          <t>Between (one moment in a window)</t>
        </is>
      </c>
      <c r="H689" s="7" t="n"/>
      <c r="I689" s="7" t="n"/>
      <c r="J689" s="7" t="n"/>
      <c r="K689" s="2" t="inlineStr">
        <is>
          <t>Stephen martyred</t>
        </is>
      </c>
      <c r="L689" s="2" t="inlineStr">
        <is>
          <t>ஸ்தேவான் கொல்லப்படுகிறார்</t>
        </is>
      </c>
      <c r="M689" s="7" t="inlineStr">
        <is>
          <t>Stephen, after a bold defense before the Sanhedrin, was stoned to death outside Jerusalem; the persecution that followed scattered the disciples.</t>
        </is>
      </c>
      <c r="N689" s="7" t="inlineStr">
        <is>
          <t>ஸ்தேவான் கொல்லப்படுகிறார்.</t>
        </is>
      </c>
      <c r="O689" s="8" t="inlineStr">
        <is>
          <t>Bible</t>
        </is>
      </c>
      <c r="P689" s="7" t="inlineStr">
        <is>
          <t>bible.apostolic</t>
        </is>
      </c>
      <c r="Q689" s="7" t="inlineStr">
        <is>
          <t>death</t>
        </is>
      </c>
      <c r="R689" s="7" t="inlineStr">
        <is>
          <t>Stephen; Saul</t>
        </is>
      </c>
      <c r="S689" s="7" t="inlineStr">
        <is>
          <t>Jerusalem</t>
        </is>
      </c>
      <c r="T689" s="7" t="inlineStr">
        <is>
          <t>Acts 7:54-60; Acts 8:1</t>
        </is>
      </c>
      <c r="U689" s="7" t="n"/>
      <c r="V689" s="7" t="n">
        <v>1</v>
      </c>
      <c r="W689" s="7" t="inlineStr">
        <is>
          <t>“Go . . . and Make Disciples” (box: Important Dates in the Spread of Christianity During the First Century C.E.)</t>
        </is>
      </c>
      <c r="X689" s="9" t="inlineStr">
        <is>
          <t>open</t>
        </is>
      </c>
      <c r="Y689" s="9" t="inlineStr">
        <is>
          <t>open</t>
        </is>
      </c>
      <c r="Z689" s="7" t="inlineStr">
        <is>
          <t>https://wol.jw.org/en/wol/d/r1/lp-e/1102009041</t>
        </is>
      </c>
      <c r="AA689" s="7" t="n">
        <v>1</v>
      </c>
      <c r="AB689" s="9" t="inlineStr">
        <is>
          <t>open</t>
        </is>
      </c>
      <c r="AC689" s="7" t="n">
        <v>0</v>
      </c>
      <c r="AD689" s="7" t="n"/>
      <c r="AE689" s="7" t="n"/>
      <c r="AF689" s="7" t="n"/>
      <c r="AG689" s="7" t="n"/>
      <c r="AH689" s="7" t="n"/>
      <c r="AI689" s="7" t="n"/>
      <c r="AJ689" s="7" t="n"/>
      <c r="AK689" s="7" t="inlineStr">
        <is>
          <t>messianic-prophecies #275 (fulfillment)</t>
        </is>
      </c>
      <c r="AL689" s="7" t="n"/>
      <c r="AM689" s="7" t="n">
        <v>33.8</v>
      </c>
      <c r="AN689" s="10" t="n"/>
      <c r="AO689" s="10" t="n"/>
      <c r="AP689" s="10" t="n"/>
      <c r="AQ689" s="10" t="n"/>
    </row>
    <row r="690">
      <c r="A690" s="7" t="inlineStr">
        <is>
          <t>b6-0005</t>
        </is>
      </c>
      <c r="B690" s="7" t="inlineStr">
        <is>
          <t>Point</t>
        </is>
      </c>
      <c r="C690" s="7" t="n"/>
      <c r="D690" s="7" t="inlineStr">
        <is>
          <t>c. 33-34 C.E.</t>
        </is>
      </c>
      <c r="E690" s="7" t="inlineStr">
        <is>
          <t>சுமார் கி.பி. 33-34</t>
        </is>
      </c>
      <c r="F690" s="7" t="inlineStr">
        <is>
          <t>33 CE</t>
        </is>
      </c>
      <c r="G690" s="7" t="inlineStr">
        <is>
          <t>Between (one moment in a window)</t>
        </is>
      </c>
      <c r="H690" s="7" t="n"/>
      <c r="I690" s="7" t="n"/>
      <c r="J690" s="7" t="n"/>
      <c r="K690" s="2" t="inlineStr">
        <is>
          <t>Ethiopian eunuch baptized by Philip</t>
        </is>
      </c>
      <c r="L690" s="2" t="inlineStr">
        <is>
          <t>எத்தியோப்பிய மந்திரி ஞானஸ்நானம் பெறுகிறார்</t>
        </is>
      </c>
      <c r="M690" s="7" t="inlineStr">
        <is>
          <t>Philip the evangelizer explained the Scriptures to an Ethiopian court official traveling from Jerusalem and baptized him on the road to Gaza.</t>
        </is>
      </c>
      <c r="N690" s="7" t="inlineStr">
        <is>
          <t>எத்தியோப்பிய மந்திரி ஞானஸ்நானம் பெறுகிறார்.</t>
        </is>
      </c>
      <c r="O690" s="8" t="inlineStr">
        <is>
          <t>Bible</t>
        </is>
      </c>
      <c r="P690" s="7" t="inlineStr">
        <is>
          <t>bible.apostolic</t>
        </is>
      </c>
      <c r="Q690" s="7" t="inlineStr">
        <is>
          <t>baptism</t>
        </is>
      </c>
      <c r="R690" s="7" t="inlineStr">
        <is>
          <t>Philip (the evangelizer)</t>
        </is>
      </c>
      <c r="S690" s="7" t="inlineStr">
        <is>
          <t>Gaza road</t>
        </is>
      </c>
      <c r="T690" s="7" t="inlineStr">
        <is>
          <t>Acts 8:26-39</t>
        </is>
      </c>
      <c r="U690" s="7" t="n"/>
      <c r="V690" s="7" t="n">
        <v>1</v>
      </c>
      <c r="W690" s="7" t="inlineStr">
        <is>
          <t>“Go . . . and Make Disciples” (box: Important Dates in the Spread of Christianity During the First Century C.E.)</t>
        </is>
      </c>
      <c r="X690" s="9" t="inlineStr">
        <is>
          <t>open</t>
        </is>
      </c>
      <c r="Y690" s="9" t="inlineStr">
        <is>
          <t>open</t>
        </is>
      </c>
      <c r="Z690" s="7" t="inlineStr">
        <is>
          <t>https://wol.jw.org/en/wol/d/r1/lp-e/1102009041</t>
        </is>
      </c>
      <c r="AA690" s="7" t="n">
        <v>1</v>
      </c>
      <c r="AB690" s="9" t="inlineStr">
        <is>
          <t>open</t>
        </is>
      </c>
      <c r="AC690" s="7" t="n">
        <v>0</v>
      </c>
      <c r="AD690" s="7" t="n"/>
      <c r="AE690" s="7" t="n"/>
      <c r="AF690" s="7" t="n"/>
      <c r="AG690" s="7" t="n"/>
      <c r="AH690" s="7" t="n"/>
      <c r="AI690" s="7" t="n"/>
      <c r="AJ690" s="7" t="n"/>
      <c r="AK690" s="7" t="n"/>
      <c r="AL690" s="7" t="n"/>
      <c r="AM690" s="7" t="n">
        <v>33.85</v>
      </c>
      <c r="AN690" s="10" t="n"/>
      <c r="AO690" s="10" t="n"/>
      <c r="AP690" s="10" t="n"/>
      <c r="AQ690" s="10" t="n"/>
    </row>
    <row r="691">
      <c r="A691" s="7" t="inlineStr">
        <is>
          <t>b6-0006</t>
        </is>
      </c>
      <c r="B691" s="7" t="inlineStr">
        <is>
          <t>Point</t>
        </is>
      </c>
      <c r="C691" s="7" t="n"/>
      <c r="D691" s="7" t="inlineStr">
        <is>
          <t>c. 34 C.E.</t>
        </is>
      </c>
      <c r="E691" s="7" t="inlineStr">
        <is>
          <t>சுமார் கி.பி. 34</t>
        </is>
      </c>
      <c r="F691" s="7" t="inlineStr">
        <is>
          <t>34 CE</t>
        </is>
      </c>
      <c r="G691" s="7" t="inlineStr">
        <is>
          <t>Approx. (c.)</t>
        </is>
      </c>
      <c r="H691" s="7" t="n"/>
      <c r="I691" s="7" t="n"/>
      <c r="J691" s="7" t="n"/>
      <c r="K691" s="2" t="inlineStr">
        <is>
          <t>Saul of Tarsus converted on the road to Damascus</t>
        </is>
      </c>
      <c r="L691" s="2" t="inlineStr">
        <is>
          <t>தர்சு பட்டணத்து சவுல் கிறிஸ்தவராக மாறுகிறார்</t>
        </is>
      </c>
      <c r="M691" s="7" t="inlineStr">
        <is>
          <t>As the persecutor Saul neared Damascus, the glorified Jesus revealed himself to him; blinded, Saul was led into the city, had his sight restored through Ananias, and was baptized.</t>
        </is>
      </c>
      <c r="N691" s="7" t="inlineStr">
        <is>
          <t>தர்சு பட்டணத்து சவுல் கிறிஸ்தவராக மாறுகிறார்.</t>
        </is>
      </c>
      <c r="O691" s="8" t="inlineStr">
        <is>
          <t>Bible</t>
        </is>
      </c>
      <c r="P691" s="7" t="inlineStr">
        <is>
          <t>bible.apostolic</t>
        </is>
      </c>
      <c r="Q691" s="7" t="inlineStr">
        <is>
          <t>conversion</t>
        </is>
      </c>
      <c r="R691" s="7" t="inlineStr">
        <is>
          <t>Saul (Paul); Ananias</t>
        </is>
      </c>
      <c r="S691" s="7" t="inlineStr">
        <is>
          <t>Damascus</t>
        </is>
      </c>
      <c r="T691" s="7" t="inlineStr">
        <is>
          <t>Acts 9:1-19; Gal. 1:15-17</t>
        </is>
      </c>
      <c r="U691" s="7" t="n"/>
      <c r="V691" s="7" t="n">
        <v>3</v>
      </c>
      <c r="W691" s="7" t="inlineStr">
        <is>
          <t>“Go . . . and Make Disciples” (box: Important Dates in the Spread of Christianity During the First Century C.E.)</t>
        </is>
      </c>
      <c r="X691" s="9" t="inlineStr">
        <is>
          <t>open</t>
        </is>
      </c>
      <c r="Y691" s="9" t="inlineStr">
        <is>
          <t>open</t>
        </is>
      </c>
      <c r="Z691" s="7" t="inlineStr">
        <is>
          <t>https://wol.jw.org/en/wol/d/r1/lp-e/1102009041
https://wol.jw.org/en/wol/d/r1/lp-e/1101990130
https://wol.jw.org/en/wol/d/r1/lp-e/1200003406</t>
        </is>
      </c>
      <c r="AA691" s="7" t="n">
        <v>1</v>
      </c>
      <c r="AB691" s="9" t="inlineStr">
        <is>
          <t>open</t>
        </is>
      </c>
      <c r="AC691" s="7" t="n">
        <v>0</v>
      </c>
      <c r="AD691" s="7" t="n"/>
      <c r="AE691" s="7" t="n"/>
      <c r="AF691" s="7" t="n"/>
      <c r="AG691" s="7" t="n"/>
      <c r="AH691" s="7" t="n"/>
      <c r="AI691" s="7" t="n"/>
      <c r="AJ691" s="7" t="n"/>
      <c r="AK691" s="7" t="n"/>
      <c r="AL691" s="7" t="n"/>
      <c r="AM691" s="7" t="n">
        <v>34.3</v>
      </c>
      <c r="AN691" s="10" t="n"/>
      <c r="AO691" s="10" t="n"/>
      <c r="AP691" s="10" t="n"/>
      <c r="AQ691" s="10" t="n"/>
    </row>
    <row r="692">
      <c r="A692" s="7" t="inlineStr">
        <is>
          <t>b6-0007</t>
        </is>
      </c>
      <c r="B692" s="11" t="inlineStr">
        <is>
          <t>Span</t>
        </is>
      </c>
      <c r="C692" s="7" t="inlineStr">
        <is>
          <t>period</t>
        </is>
      </c>
      <c r="D692" s="7" t="inlineStr">
        <is>
          <t>c. 34-36 C.E.</t>
        </is>
      </c>
      <c r="E692" s="7" t="inlineStr">
        <is>
          <t>சுமார் கி.பி. 34-36</t>
        </is>
      </c>
      <c r="F692" s="7" t="inlineStr">
        <is>
          <t>34 CE</t>
        </is>
      </c>
      <c r="G692" s="7" t="inlineStr">
        <is>
          <t>Approx. (c.)</t>
        </is>
      </c>
      <c r="H692" s="7" t="inlineStr">
        <is>
          <t>36 CE</t>
        </is>
      </c>
      <c r="I692" s="7" t="inlineStr">
        <is>
          <t>Approx. (c.)</t>
        </is>
      </c>
      <c r="J692" s="7" t="inlineStr">
        <is>
          <t>c. 2 years</t>
        </is>
      </c>
      <c r="K692" s="2" t="inlineStr">
        <is>
          <t>Saul preaches in Damascus</t>
        </is>
      </c>
      <c r="L692" s="2" t="inlineStr">
        <is>
          <t>தமஸ்குவில் சவுல் பிரசங்கிக்கிறார்</t>
        </is>
      </c>
      <c r="M692" s="7" t="inlineStr">
        <is>
          <t>After his conversion Saul preached in the synagogues of Damascus (with a trip into Arabia) until a plot against his life forced him to leave.</t>
        </is>
      </c>
      <c r="N692" s="7" t="inlineStr">
        <is>
          <t>தமஸ்குவில் சவுல் பிரசங்கிக்கிறார்.</t>
        </is>
      </c>
      <c r="O692" s="8" t="inlineStr">
        <is>
          <t>Bible</t>
        </is>
      </c>
      <c r="P692" s="7" t="inlineStr">
        <is>
          <t>bible.apostolic</t>
        </is>
      </c>
      <c r="Q692" s="7" t="inlineStr">
        <is>
          <t>preaching</t>
        </is>
      </c>
      <c r="R692" s="7" t="inlineStr">
        <is>
          <t>Saul (Paul)</t>
        </is>
      </c>
      <c r="S692" s="7" t="inlineStr">
        <is>
          <t>Damascus; Arabia</t>
        </is>
      </c>
      <c r="T692" s="7" t="inlineStr">
        <is>
          <t>Acts 9:19-25; Gal. 1:17</t>
        </is>
      </c>
      <c r="U692" s="7" t="n"/>
      <c r="V692" s="7" t="n">
        <v>2</v>
      </c>
      <c r="W692" s="7" t="inlineStr">
        <is>
          <t>“Go . . . and Make Disciples” (box: Important Dates in the Spread of Christianity During the First Century C.E.)</t>
        </is>
      </c>
      <c r="X692" s="9" t="inlineStr">
        <is>
          <t>open</t>
        </is>
      </c>
      <c r="Y692" s="9" t="inlineStr">
        <is>
          <t>open</t>
        </is>
      </c>
      <c r="Z692" s="7" t="inlineStr">
        <is>
          <t>https://wol.jw.org/en/wol/d/r1/lp-e/1102009041
https://wol.jw.org/en/wol/d/r1/lp-e/1200003406</t>
        </is>
      </c>
      <c r="AA692" s="7" t="n">
        <v>0</v>
      </c>
      <c r="AB692" s="7" t="n"/>
      <c r="AC692" s="7" t="n">
        <v>0</v>
      </c>
      <c r="AD692" s="7" t="n"/>
      <c r="AE692" s="7" t="n"/>
      <c r="AF692" s="7" t="n"/>
      <c r="AG692" s="7" t="n"/>
      <c r="AH692" s="7" t="n"/>
      <c r="AI692" s="7" t="n"/>
      <c r="AJ692" s="7" t="n"/>
      <c r="AK692" s="7" t="n"/>
      <c r="AL692" s="7" t="n"/>
      <c r="AM692" s="7" t="n">
        <v>34.4</v>
      </c>
      <c r="AN692" s="10" t="n"/>
      <c r="AO692" s="10" t="n"/>
      <c r="AP692" s="10" t="n"/>
      <c r="AQ692" s="10" t="n"/>
    </row>
    <row r="693">
      <c r="A693" s="7" t="inlineStr">
        <is>
          <t>b6-0008</t>
        </is>
      </c>
      <c r="B693" s="7" t="inlineStr">
        <is>
          <t>Point</t>
        </is>
      </c>
      <c r="C693" s="7" t="n"/>
      <c r="D693" s="7" t="inlineStr">
        <is>
          <t>c. 36 C.E.</t>
        </is>
      </c>
      <c r="E693" s="7" t="inlineStr">
        <is>
          <t>சுமார் கி.பி. 36</t>
        </is>
      </c>
      <c r="F693" s="7" t="inlineStr">
        <is>
          <t>36 CE</t>
        </is>
      </c>
      <c r="G693" s="7" t="inlineStr">
        <is>
          <t>Approx. (c.)</t>
        </is>
      </c>
      <c r="H693" s="7" t="n"/>
      <c r="I693" s="7" t="n"/>
      <c r="J693" s="7" t="n"/>
      <c r="K693" s="2" t="inlineStr">
        <is>
          <t>Paul first visits Jerusalem as a Christian and spends 15 days with Peter</t>
        </is>
      </c>
      <c r="L693" s="2" t="inlineStr">
        <is>
          <t>பவுல் கிறிஸ்தவராக மாறிய பிறகு முதல் முறையாக எருசலேமுக்கு வருகிறார்</t>
        </is>
      </c>
      <c r="M693" s="7" t="inlineStr">
        <is>
          <t>About three years after his conversion, Paul went up to Jerusalem, where Barnabas introduced him to the brothers; he stayed 15 days with Peter and also saw James, the Lord’s brother, before being sent off to Tarsus.</t>
        </is>
      </c>
      <c r="N693" s="7" t="inlineStr">
        <is>
          <t>பவுல் கிறிஸ்தவராக மாறிய பிறகு முதல் முறையாக எருசலேமுக்கு வருகிறார்; எருசலேமில் பேதுருவை பவுல் சந்திக்கிறார் (கலா. 1:18).</t>
        </is>
      </c>
      <c r="O693" s="8" t="inlineStr">
        <is>
          <t>Bible</t>
        </is>
      </c>
      <c r="P693" s="7" t="inlineStr">
        <is>
          <t>bible.apostolic</t>
        </is>
      </c>
      <c r="Q693" s="7" t="inlineStr">
        <is>
          <t>visit</t>
        </is>
      </c>
      <c r="R693" s="7" t="inlineStr">
        <is>
          <t>Paul; Peter; Barnabas; James (Jesus’ brother)</t>
        </is>
      </c>
      <c r="S693" s="7" t="inlineStr">
        <is>
          <t>Jerusalem; Tarsus</t>
        </is>
      </c>
      <c r="T693" s="7" t="inlineStr">
        <is>
          <t>Acts 9:26-30; Gal. 1:18, 19</t>
        </is>
      </c>
      <c r="U693" s="7" t="inlineStr">
        <is>
          <t>கலா. 1:18</t>
        </is>
      </c>
      <c r="V693" s="7" t="n">
        <v>4</v>
      </c>
      <c r="W693" s="7" t="inlineStr">
        <is>
          <t>“Go . . . and Make Disciples” (box: Important Dates in the Spread of Christianity During the First Century C.E.)</t>
        </is>
      </c>
      <c r="X693" s="9" t="inlineStr">
        <is>
          <t>open</t>
        </is>
      </c>
      <c r="Y693" s="9" t="inlineStr">
        <is>
          <t>open</t>
        </is>
      </c>
      <c r="Z693" s="7" t="inlineStr">
        <is>
          <t>https://wol.jw.org/en/wol/d/r1/lp-e/1102009041
https://wol.jw.org/en/wol/d/r1/lp-e/1200003406
https://wol.jw.org/en/wol/d/r1/lp-e/1200003451
https://wol.jw.org/en/wol/d/r1/lp-e/1200002313</t>
        </is>
      </c>
      <c r="AA693" s="7" t="n">
        <v>0</v>
      </c>
      <c r="AB693" s="7" t="n"/>
      <c r="AC693" s="7" t="n">
        <v>0</v>
      </c>
      <c r="AD693" s="7" t="n"/>
      <c r="AE693" s="7" t="n"/>
      <c r="AF693" s="7" t="n"/>
      <c r="AG693" s="7" t="n"/>
      <c r="AH693" s="7" t="n"/>
      <c r="AI693" s="7" t="n"/>
      <c r="AJ693" s="7" t="n"/>
      <c r="AK693" s="7" t="n"/>
      <c r="AL693" s="7" t="inlineStr">
        <is>
          <t>bt chart lists 'Paul first visits Jerusalem' and 'Paul visits Peter in Jerusalem' as two lines describing the same visit; merged here.</t>
        </is>
      </c>
      <c r="AM693" s="7" t="n">
        <v>36.2</v>
      </c>
      <c r="AN693" s="10" t="n"/>
      <c r="AO693" s="10" t="n"/>
      <c r="AP693" s="10" t="n"/>
      <c r="AQ693" s="10" t="n"/>
    </row>
    <row r="694">
      <c r="A694" s="7" t="inlineStr">
        <is>
          <t>b6-0009</t>
        </is>
      </c>
      <c r="B694" s="7" t="inlineStr">
        <is>
          <t>Point</t>
        </is>
      </c>
      <c r="C694" s="7" t="n"/>
      <c r="D694" s="7" t="inlineStr">
        <is>
          <t>c. 36 C.E.</t>
        </is>
      </c>
      <c r="E694" s="7" t="n"/>
      <c r="F694" s="7" t="inlineStr">
        <is>
          <t>36 CE</t>
        </is>
      </c>
      <c r="G694" s="7" t="inlineStr">
        <is>
          <t>Approx. (c.)</t>
        </is>
      </c>
      <c r="H694" s="7" t="n"/>
      <c r="I694" s="7" t="n"/>
      <c r="J694" s="7" t="n"/>
      <c r="K694" s="2" t="inlineStr">
        <is>
          <t>Caiaphas’ term as high priest ends</t>
        </is>
      </c>
      <c r="L694" s="2" t="n"/>
      <c r="M694" s="7" t="inlineStr">
        <is>
          <t>Caiaphas, the high priest who examined Jesus, held office from about 18 C.E. until about 36 C.E., longer than any of his immediate predecessors.</t>
        </is>
      </c>
      <c r="N694" s="7" t="n"/>
      <c r="O694" s="8" t="inlineStr">
        <is>
          <t>Bible</t>
        </is>
      </c>
      <c r="P694" s="7" t="inlineStr">
        <is>
          <t>bible.apostolic</t>
        </is>
      </c>
      <c r="Q694" s="7" t="inlineStr">
        <is>
          <t>office_end</t>
        </is>
      </c>
      <c r="R694" s="7" t="inlineStr">
        <is>
          <t>Caiaphas</t>
        </is>
      </c>
      <c r="S694" s="7" t="inlineStr">
        <is>
          <t>Jerusalem</t>
        </is>
      </c>
      <c r="T694" s="7" t="inlineStr">
        <is>
          <t>Acts 4:6</t>
        </is>
      </c>
      <c r="U694" s="7" t="n"/>
      <c r="V694" s="7" t="n">
        <v>1</v>
      </c>
      <c r="W694" s="7" t="inlineStr">
        <is>
          <t>Acts Study Notes—Chapter 4</t>
        </is>
      </c>
      <c r="X694" s="9" t="inlineStr">
        <is>
          <t>open</t>
        </is>
      </c>
      <c r="Y694" s="7" t="n"/>
      <c r="Z694" s="7" t="inlineStr">
        <is>
          <t>https://wol.jw.org/en/wol/d/r1/lp-e/1001070693</t>
        </is>
      </c>
      <c r="AA694" s="7" t="n">
        <v>0</v>
      </c>
      <c r="AB694" s="7" t="n"/>
      <c r="AC694" s="7" t="n">
        <v>0</v>
      </c>
      <c r="AD694" s="7" t="n"/>
      <c r="AE694" s="7" t="n"/>
      <c r="AF694" s="7" t="n"/>
      <c r="AG694" s="7" t="n"/>
      <c r="AH694" s="7" t="n"/>
      <c r="AI694" s="7" t="n"/>
      <c r="AJ694" s="7" t="n"/>
      <c r="AK694" s="7" t="n"/>
      <c r="AL694" s="7" t="n"/>
      <c r="AM694" s="7" t="n">
        <v>36.3</v>
      </c>
      <c r="AN694" s="10" t="n"/>
      <c r="AO694" s="10" t="n"/>
      <c r="AP694" s="10" t="n"/>
      <c r="AQ694" s="10" t="n"/>
    </row>
    <row r="695">
      <c r="A695" s="7" t="inlineStr">
        <is>
          <t>b6-0010</t>
        </is>
      </c>
      <c r="B695" s="7" t="inlineStr">
        <is>
          <t>Point</t>
        </is>
      </c>
      <c r="C695" s="7" t="n"/>
      <c r="D695" s="7" t="inlineStr">
        <is>
          <t>36 C.E. (autumn)</t>
        </is>
      </c>
      <c r="E695" s="7" t="inlineStr">
        <is>
          <t>பொ.ச. 36</t>
        </is>
      </c>
      <c r="F695" s="7" t="inlineStr">
        <is>
          <t>36 CE</t>
        </is>
      </c>
      <c r="G695" s="7" t="inlineStr">
        <is>
          <t>Exact</t>
        </is>
      </c>
      <c r="H695" s="7" t="n"/>
      <c r="I695" s="7" t="n"/>
      <c r="J695" s="7" t="n"/>
      <c r="K695" s="2" t="inlineStr">
        <is>
          <t>Cornelius, the first uncircumcised Gentile, becomes a Christian</t>
        </is>
      </c>
      <c r="L695" s="2" t="inlineStr">
        <is>
          <t>கொர்நேலியு கிறிஸ்தவராக மாறுகிறார்</t>
        </is>
      </c>
      <c r="M695" s="7" t="inlineStr">
        <is>
          <t>Directed by an angel, Peter visited the Roman army officer Cornelius in Caesarea; holy spirit came upon Cornelius and his household while they were uncircumcised, and they were baptized as the first Gentile converts.</t>
        </is>
      </c>
      <c r="N695" s="7" t="inlineStr">
        <is>
          <t>கொர்நேலியுவை பேதுரு சந்திக்கிறார். இவர் விருத்தசேதனம் செய்யப்படாத புறஜாதியாரிலிருந்து கிறிஸ்தவ சபைக்குள் வந்த முதல் நபர்.</t>
        </is>
      </c>
      <c r="O695" s="8" t="inlineStr">
        <is>
          <t>Bible</t>
        </is>
      </c>
      <c r="P695" s="7" t="inlineStr">
        <is>
          <t>bible.apostolic</t>
        </is>
      </c>
      <c r="Q695" s="7" t="inlineStr">
        <is>
          <t>conversion</t>
        </is>
      </c>
      <c r="R695" s="7" t="inlineStr">
        <is>
          <t>Cornelius; Peter</t>
        </is>
      </c>
      <c r="S695" s="7" t="inlineStr">
        <is>
          <t>Caesarea; Joppa</t>
        </is>
      </c>
      <c r="T695" s="7" t="inlineStr">
        <is>
          <t>Acts 10:1, 45; Acts 10:44-48</t>
        </is>
      </c>
      <c r="U695" s="7" t="inlineStr">
        <is>
          <t>அப். 10:1, 45</t>
        </is>
      </c>
      <c r="V695" s="7" t="n">
        <v>5</v>
      </c>
      <c r="W695" s="7" t="inlineStr">
        <is>
          <t>Study Number 3—Measuring Events in the Stream of Time</t>
        </is>
      </c>
      <c r="X695" s="9" t="inlineStr">
        <is>
          <t>open</t>
        </is>
      </c>
      <c r="Y695" s="9" t="inlineStr">
        <is>
          <t>open</t>
        </is>
      </c>
      <c r="Z695" s="7" t="inlineStr">
        <is>
          <t>https://wol.jw.org/en/wol/d/r1/lp-e/1101990130
https://wol.jw.org/en/wol/d/r1/lp-e/1200001041
https://wol.jw.org/en/wol/d/r1/lp-e/1102009041
https://wol.jw.org/en/wol/d/r1/lp-e/1200000853
https://wol.jw.org/en/wol/d/r1/lp-e/1200000970</t>
        </is>
      </c>
      <c r="AA695" s="7" t="n">
        <v>1</v>
      </c>
      <c r="AB695" s="9" t="inlineStr">
        <is>
          <t>open</t>
        </is>
      </c>
      <c r="AC695" s="7" t="n">
        <v>0</v>
      </c>
      <c r="AD695" s="7" t="n"/>
      <c r="AE695" s="7" t="n"/>
      <c r="AF695" s="7" t="n"/>
      <c r="AG695" s="7" t="n"/>
      <c r="AH695" s="7" t="n"/>
      <c r="AI695" s="7" t="n"/>
      <c r="AJ695" s="7" t="n"/>
      <c r="AK695" s="7" t="n"/>
      <c r="AL695" s="7" t="n"/>
      <c r="AM695" s="7" t="n">
        <v>36.75</v>
      </c>
      <c r="AN695" s="10" t="n"/>
      <c r="AO695" s="10" t="n"/>
      <c r="AP695" s="10" t="n"/>
      <c r="AQ695" s="10" t="n"/>
    </row>
    <row r="696">
      <c r="A696" s="7" t="inlineStr">
        <is>
          <t>b6-0011</t>
        </is>
      </c>
      <c r="B696" s="7" t="inlineStr">
        <is>
          <t>Point</t>
        </is>
      </c>
      <c r="C696" s="7" t="n"/>
      <c r="D696" s="7" t="inlineStr">
        <is>
          <t>36 C.E.</t>
        </is>
      </c>
      <c r="E696" s="7" t="inlineStr">
        <is>
          <t>பொ.ச. 36</t>
        </is>
      </c>
      <c r="F696" s="7" t="inlineStr">
        <is>
          <t>36 CE</t>
        </is>
      </c>
      <c r="G696" s="7" t="inlineStr">
        <is>
          <t>Exact</t>
        </is>
      </c>
      <c r="H696" s="7" t="n"/>
      <c r="I696" s="7" t="n"/>
      <c r="J696" s="7" t="n"/>
      <c r="K696" s="2" t="inlineStr">
        <is>
          <t>End of the 70 weeks of years</t>
        </is>
      </c>
      <c r="L696" s="2" t="inlineStr">
        <is>
          <t>70 வார ஆண்டுகளின் முடிவு</t>
        </is>
      </c>
      <c r="M696" s="7" t="inlineStr">
        <is>
          <t>The 70 prophetic weeks of years (490 years) counted from 455 B.C.E. ended in the autumn of 36 C.E., closing the period of special favor to the Jews, marked by the conversion of Cornelius.</t>
        </is>
      </c>
      <c r="N696" s="7" t="inlineStr">
        <is>
          <t>பொ.ச. 29-லிருந்து பொ.ச. 36 வரை யெகோவா தமது தனிப்பட்ட தயவை யூதர்கள்மீது தொடர்ந்து காட்டினார் என்பது தெரிகிறது. பின்பே, பொ.ச. 36-⁠ல் கொர்நேலியுவின் மதமாற்றம் காட்டுகிறபடி, விருத்தசேதனம் செய்யப்படாத புறஜாதியார் ஆவிக்குரிய இஸ்ரவேலராவதற்கு வழி திறக்கப்பட்டது.</t>
        </is>
      </c>
      <c r="O696" s="8" t="inlineStr">
        <is>
          <t>Bible</t>
        </is>
      </c>
      <c r="P696" s="7" t="inlineStr">
        <is>
          <t>bible.prophecy_fulfilled</t>
        </is>
      </c>
      <c r="Q696" s="7" t="inlineStr">
        <is>
          <t>prophecy_fulfilled</t>
        </is>
      </c>
      <c r="R696" s="7" t="n"/>
      <c r="S696" s="7" t="n"/>
      <c r="T696" s="7" t="inlineStr">
        <is>
          <t>Dan. 9:24-27; Acts 10:30-33</t>
        </is>
      </c>
      <c r="U696" s="7" t="inlineStr">
        <is>
          <t>தானி. 9:24-27</t>
        </is>
      </c>
      <c r="V696" s="7" t="n">
        <v>3</v>
      </c>
      <c r="W696" s="7" t="inlineStr">
        <is>
          <t>Study Number 3—Measuring Events in the Stream of Time</t>
        </is>
      </c>
      <c r="X696" s="9" t="inlineStr">
        <is>
          <t>open</t>
        </is>
      </c>
      <c r="Y696" s="9" t="inlineStr">
        <is>
          <t>open</t>
        </is>
      </c>
      <c r="Z696" s="7" t="inlineStr">
        <is>
          <t>https://wol.jw.org/en/wol/d/r1/lp-e/1101990130
https://wol.jw.org/en/wol/d/r1/lp-e/1200000970
https://wol.jw.org/en/wol/d/r1/lp-e/1200003915</t>
        </is>
      </c>
      <c r="AA696" s="7" t="n">
        <v>1</v>
      </c>
      <c r="AB696" s="9" t="inlineStr">
        <is>
          <t>open</t>
        </is>
      </c>
      <c r="AC696" s="7" t="n">
        <v>0</v>
      </c>
      <c r="AD696" s="7" t="n"/>
      <c r="AE696" s="7" t="n"/>
      <c r="AF696" s="7" t="n"/>
      <c r="AG696" s="7" t="n"/>
      <c r="AH696" s="7" t="n"/>
      <c r="AI696" s="7" t="inlineStr">
        <is>
          <t>Span endpoint – keep</t>
        </is>
      </c>
      <c r="AJ696" s="7" t="inlineStr">
        <is>
          <t>end of The 70 weeks of years (Daniel 9) (b12-0035); end of The 70th week of years (b12-0045)</t>
        </is>
      </c>
      <c r="AK696" s="7" t="inlineStr">
        <is>
          <t>daniel-time-prophecies #14 (end)</t>
        </is>
      </c>
      <c r="AL696" s="7" t="n"/>
      <c r="AM696" s="7" t="n">
        <v>36.76</v>
      </c>
      <c r="AN696" s="10" t="n"/>
      <c r="AO696" s="10" t="n"/>
      <c r="AP696" s="10" t="n"/>
      <c r="AQ696" s="10" t="n"/>
    </row>
    <row r="697">
      <c r="A697" s="7" t="inlineStr">
        <is>
          <t>b12-0047</t>
        </is>
      </c>
      <c r="B697" s="11" t="inlineStr">
        <is>
          <t>Span</t>
        </is>
      </c>
      <c r="C697" s="7" t="inlineStr">
        <is>
          <t>reign</t>
        </is>
      </c>
      <c r="D697" s="7" t="inlineStr">
        <is>
          <t>37-41 C.E.</t>
        </is>
      </c>
      <c r="E697" s="7" t="n"/>
      <c r="F697" s="7" t="inlineStr">
        <is>
          <t>37 CE</t>
        </is>
      </c>
      <c r="G697" s="7" t="inlineStr">
        <is>
          <t>Exact</t>
        </is>
      </c>
      <c r="H697" s="7" t="inlineStr">
        <is>
          <t>41 CE</t>
        </is>
      </c>
      <c r="I697" s="7" t="inlineStr">
        <is>
          <t>Exact</t>
        </is>
      </c>
      <c r="J697" s="7" t="n"/>
      <c r="K697" s="2" t="inlineStr">
        <is>
          <t>Reign of Gaius (Caligula), Roman emperor</t>
        </is>
      </c>
      <c r="L697" s="2" t="n"/>
      <c r="M697" s="7" t="inlineStr">
        <is>
          <t>Gaius Caesar, called Caligula, ruled from 37 C.E. until his assassination in 41 C.E.</t>
        </is>
      </c>
      <c r="N697" s="7" t="n"/>
      <c r="O697" s="8" t="inlineStr">
        <is>
          <t>Bible</t>
        </is>
      </c>
      <c r="P697" s="7" t="inlineStr">
        <is>
          <t>bible.apostolic</t>
        </is>
      </c>
      <c r="Q697" s="7" t="n"/>
      <c r="R697" s="7" t="inlineStr">
        <is>
          <t>Gaius (Caligula)</t>
        </is>
      </c>
      <c r="S697" s="7" t="inlineStr">
        <is>
          <t>Rome</t>
        </is>
      </c>
      <c r="T697" s="7" t="n"/>
      <c r="U697" s="7" t="n"/>
      <c r="V697" s="7" t="n">
        <v>1</v>
      </c>
      <c r="W697" s="7" t="inlineStr">
        <is>
          <t>Caesar</t>
        </is>
      </c>
      <c r="X697" s="9" t="inlineStr">
        <is>
          <t>open</t>
        </is>
      </c>
      <c r="Y697" s="7" t="n"/>
      <c r="Z697" s="7" t="inlineStr">
        <is>
          <t>https://wol.jw.org/en/wol/d/r1/lp-e/1200000852</t>
        </is>
      </c>
      <c r="AA697" s="7" t="n">
        <v>0</v>
      </c>
      <c r="AB697" s="7" t="n"/>
      <c r="AC697" s="7" t="n">
        <v>0</v>
      </c>
      <c r="AD697" s="7" t="n"/>
      <c r="AE697" s="7" t="n"/>
      <c r="AF697" s="7" t="n"/>
      <c r="AG697" s="7" t="inlineStr">
        <is>
          <t>b6-0012</t>
        </is>
      </c>
      <c r="AH697" s="7" t="n"/>
      <c r="AI697" s="7" t="n"/>
      <c r="AJ697" s="7" t="n"/>
      <c r="AK697" s="7" t="inlineStr">
        <is>
          <t>roman-emperors #3 (ruler)</t>
        </is>
      </c>
      <c r="AL697" s="7" t="n"/>
      <c r="AM697" s="7" t="n">
        <v>37</v>
      </c>
      <c r="AN697" s="10" t="n"/>
      <c r="AO697" s="10" t="n"/>
      <c r="AP697" s="10" t="n"/>
      <c r="AQ697" s="10" t="n"/>
    </row>
    <row r="698">
      <c r="A698" s="7" t="inlineStr">
        <is>
          <t>b11-0043</t>
        </is>
      </c>
      <c r="B698" s="7" t="inlineStr">
        <is>
          <t>Point</t>
        </is>
      </c>
      <c r="C698" s="7" t="n"/>
      <c r="D698" s="7" t="inlineStr">
        <is>
          <t>c. 41 C.E.</t>
        </is>
      </c>
      <c r="E698" s="7" t="inlineStr">
        <is>
          <t>ஏ. கி.பி. 41</t>
        </is>
      </c>
      <c r="F698" s="7" t="inlineStr">
        <is>
          <t>41 CE</t>
        </is>
      </c>
      <c r="G698" s="7" t="inlineStr">
        <is>
          <t>Approx. (c.)</t>
        </is>
      </c>
      <c r="H698" s="7" t="n"/>
      <c r="I698" s="7" t="n"/>
      <c r="J698" s="7" t="n"/>
      <c r="K698" s="2" t="inlineStr">
        <is>
          <t>Writing of Matthew completed</t>
        </is>
      </c>
      <c r="L698" s="2" t="inlineStr">
        <is>
          <t>மத்தேயு — எழுதி முடிக்கப்பட்டது</t>
        </is>
      </c>
      <c r="M698" s="7" t="inlineStr">
        <is>
          <t>The writing of Matthew was completed c. 41 C.E. Writer: Matthew; place written: Israel. Time covered: 2 B.C.E.–33 C.E.</t>
        </is>
      </c>
      <c r="N698" s="7" t="inlineStr">
        <is>
          <t>மத்தேயு: எழுதியவர்(கள்): மத்தேயு; எழுதப்பட்ட இடம்: இஸ்ரவேல்; முடிக்கப்பட்ட வருஷம் (கி.பி.): ஏ. 41; காலப்பகுதி: கி.மு. 2–கி.பி. 33.</t>
        </is>
      </c>
      <c r="O698" s="8" t="inlineStr">
        <is>
          <t>Bible</t>
        </is>
      </c>
      <c r="P698" s="7" t="inlineStr">
        <is>
          <t>bible.book_writing</t>
        </is>
      </c>
      <c r="Q698" s="7" t="inlineStr">
        <is>
          <t>writing_completed</t>
        </is>
      </c>
      <c r="R698" s="7" t="inlineStr">
        <is>
          <t>Matthew</t>
        </is>
      </c>
      <c r="S698" s="7" t="inlineStr">
        <is>
          <t>Israel</t>
        </is>
      </c>
      <c r="T698" s="7" t="inlineStr">
        <is>
          <t>Matt.</t>
        </is>
      </c>
      <c r="U698" s="7" t="inlineStr">
        <is>
          <t>மத்.</t>
        </is>
      </c>
      <c r="V698" s="7" t="n">
        <v>4</v>
      </c>
      <c r="W698" s="7" t="inlineStr">
        <is>
          <t>Table of the Books of the Bible</t>
        </is>
      </c>
      <c r="X698" s="9" t="inlineStr">
        <is>
          <t>open</t>
        </is>
      </c>
      <c r="Y698" s="9" t="inlineStr">
        <is>
          <t>open</t>
        </is>
      </c>
      <c r="Z698" s="7" t="inlineStr">
        <is>
          <t>https://wol.jw.org/en/wol/d/r1/lp-e/1001070071
https://wol.jw.org/en/wol/d/r1/lp-e/1101990101
https://www.jw.org/en/library/bible/study-bible/books-of-the-bible-list/
https://wol.jw.org/en/wol/d/r1/lp-e/1001060002</t>
        </is>
      </c>
      <c r="AA698" s="7" t="n">
        <v>0</v>
      </c>
      <c r="AB698" s="7" t="n"/>
      <c r="AC698" s="7" t="n">
        <v>2</v>
      </c>
      <c r="AD698" s="7" t="inlineStr">
        <is>
          <t>si gives place written as 'Palestine' (nwtsty: 'Israel'). | Rbi8 place written: 'Palestine' (nwtsty: 'Israel').</t>
        </is>
      </c>
      <c r="AE698" s="7" t="n"/>
      <c r="AF698" s="7" t="n"/>
      <c r="AG698" s="7" t="n"/>
      <c r="AH698" s="7" t="n"/>
      <c r="AI698" s="7" t="n"/>
      <c r="AJ698" s="7" t="n"/>
      <c r="AK698" s="7" t="inlineStr">
        <is>
          <t>bible-books-written #40 (item)</t>
        </is>
      </c>
      <c r="AL698" s="7" t="inlineStr">
        <is>
          <t>Writer(s): Matthew. Place written: Israel. Writing completed: c. 41 C.E. Time covered: 2 B.C.E.–33 C.E.</t>
        </is>
      </c>
      <c r="AM698" s="7" t="n">
        <v>41.004</v>
      </c>
      <c r="AN698" s="10" t="n"/>
      <c r="AO698" s="10" t="n"/>
      <c r="AP698" s="10" t="n"/>
      <c r="AQ698" s="10" t="n"/>
    </row>
    <row r="699">
      <c r="A699" s="7" t="inlineStr">
        <is>
          <t>b6-0012</t>
        </is>
      </c>
      <c r="B699" s="7" t="inlineStr">
        <is>
          <t>Point</t>
        </is>
      </c>
      <c r="C699" s="7" t="n"/>
      <c r="D699" s="7" t="inlineStr">
        <is>
          <t>41 C.E.</t>
        </is>
      </c>
      <c r="E699" s="7" t="n"/>
      <c r="F699" s="7" t="inlineStr">
        <is>
          <t>41 CE</t>
        </is>
      </c>
      <c r="G699" s="7" t="inlineStr">
        <is>
          <t>Exact</t>
        </is>
      </c>
      <c r="H699" s="7" t="n"/>
      <c r="I699" s="7" t="n"/>
      <c r="J699" s="7" t="n"/>
      <c r="K699" s="2" t="inlineStr">
        <is>
          <t>Claudius becomes Roman emperor after Caligula’s assassination</t>
        </is>
      </c>
      <c r="L699" s="2" t="n"/>
      <c r="M699" s="7" t="inlineStr">
        <is>
          <t>Emperor Caligula was assassinated in 41 C.E. and Claudius succeeded him, ruling until 54 C.E.; Claudius granted Herod Agrippa I kingship over Judea and Samaria.</t>
        </is>
      </c>
      <c r="N699" s="7" t="n"/>
      <c r="O699" s="8" t="inlineStr">
        <is>
          <t>Bible</t>
        </is>
      </c>
      <c r="P699" s="7" t="inlineStr">
        <is>
          <t>bible.apostolic</t>
        </is>
      </c>
      <c r="Q699" s="7" t="inlineStr">
        <is>
          <t>accession</t>
        </is>
      </c>
      <c r="R699" s="7" t="inlineStr">
        <is>
          <t>Claudius; Caligula; Herod Agrippa I</t>
        </is>
      </c>
      <c r="S699" s="7" t="inlineStr">
        <is>
          <t>Rome</t>
        </is>
      </c>
      <c r="T699" s="7" t="inlineStr">
        <is>
          <t>Acts 11:28</t>
        </is>
      </c>
      <c r="U699" s="7" t="n"/>
      <c r="V699" s="7" t="n">
        <v>4</v>
      </c>
      <c r="W699" s="7" t="inlineStr">
        <is>
          <t>Study Number 3—Measuring Events in the Stream of Time</t>
        </is>
      </c>
      <c r="X699" s="9" t="inlineStr">
        <is>
          <t>open</t>
        </is>
      </c>
      <c r="Y699" s="9" t="inlineStr">
        <is>
          <t>open</t>
        </is>
      </c>
      <c r="Z699" s="7" t="inlineStr">
        <is>
          <t>https://wol.jw.org/en/wol/d/r1/lp-e/1101990130
https://wol.jw.org/en/wol/d/r1/lp-e/1200002000
https://wol.jw.org/en/wol/d/r1/lp-e/1001070701
https://wol.jw.org/en/wol/d/r1/lp-e/1200000852</t>
        </is>
      </c>
      <c r="AA699" s="7" t="n">
        <v>0</v>
      </c>
      <c r="AB699" s="7" t="n"/>
      <c r="AC699" s="7" t="n">
        <v>0</v>
      </c>
      <c r="AD699" s="7" t="n"/>
      <c r="AE699" s="7" t="n"/>
      <c r="AF699" s="7" t="n"/>
      <c r="AG699" s="7" t="n"/>
      <c r="AH699" s="7" t="n"/>
      <c r="AI699" s="7" t="inlineStr">
        <is>
          <t>Covered by span – hide on chart</t>
        </is>
      </c>
      <c r="AJ699" s="7" t="inlineStr">
        <is>
          <t>end of Reign of Gaius (Caligula), Roman emperor (b12-0047); start of Reign of Claudius, Roman emperor (b12-0048)</t>
        </is>
      </c>
      <c r="AK699" s="7" t="n"/>
      <c r="AL699" s="7" t="n"/>
      <c r="AM699" s="7" t="n">
        <v>41.05</v>
      </c>
      <c r="AN699" s="10" t="n"/>
      <c r="AO699" s="10" t="n"/>
      <c r="AP699" s="10" t="n"/>
      <c r="AQ699" s="10" t="n"/>
    </row>
    <row r="700">
      <c r="A700" s="7" t="inlineStr">
        <is>
          <t>b12-0048</t>
        </is>
      </c>
      <c r="B700" s="11" t="inlineStr">
        <is>
          <t>Span</t>
        </is>
      </c>
      <c r="C700" s="7" t="inlineStr">
        <is>
          <t>reign</t>
        </is>
      </c>
      <c r="D700" s="7" t="inlineStr">
        <is>
          <t>41-54 C.E.</t>
        </is>
      </c>
      <c r="E700" s="7" t="n"/>
      <c r="F700" s="7" t="inlineStr">
        <is>
          <t>41 CE</t>
        </is>
      </c>
      <c r="G700" s="7" t="inlineStr">
        <is>
          <t>Exact</t>
        </is>
      </c>
      <c r="H700" s="7" t="inlineStr">
        <is>
          <t>54 CE</t>
        </is>
      </c>
      <c r="I700" s="7" t="inlineStr">
        <is>
          <t>Exact</t>
        </is>
      </c>
      <c r="J700" s="7" t="n"/>
      <c r="K700" s="2" t="inlineStr">
        <is>
          <t>Reign of Claudius, Roman emperor</t>
        </is>
      </c>
      <c r="L700" s="2" t="n"/>
      <c r="M700" s="7" t="inlineStr">
        <is>
          <t>Claudius’ reign saw Paul’s first two missionary tours, a great famine, and the banishing of the Jews from Rome.</t>
        </is>
      </c>
      <c r="N700" s="7" t="n"/>
      <c r="O700" s="8" t="inlineStr">
        <is>
          <t>Bible</t>
        </is>
      </c>
      <c r="P700" s="7" t="inlineStr">
        <is>
          <t>bible.apostolic</t>
        </is>
      </c>
      <c r="Q700" s="7" t="n"/>
      <c r="R700" s="7" t="inlineStr">
        <is>
          <t>Claudius</t>
        </is>
      </c>
      <c r="S700" s="7" t="inlineStr">
        <is>
          <t>Rome</t>
        </is>
      </c>
      <c r="T700" s="7" t="inlineStr">
        <is>
          <t>Acts 11:28; Acts 18:2</t>
        </is>
      </c>
      <c r="U700" s="7" t="inlineStr">
        <is>
          <t>அப். 11:28; அப். 18:2</t>
        </is>
      </c>
      <c r="V700" s="7" t="n">
        <v>1</v>
      </c>
      <c r="W700" s="7" t="inlineStr">
        <is>
          <t>Caesar</t>
        </is>
      </c>
      <c r="X700" s="9" t="inlineStr">
        <is>
          <t>open</t>
        </is>
      </c>
      <c r="Y700" s="7" t="n"/>
      <c r="Z700" s="7" t="inlineStr">
        <is>
          <t>https://wol.jw.org/en/wol/d/r1/lp-e/1200000852</t>
        </is>
      </c>
      <c r="AA700" s="7" t="n">
        <v>0</v>
      </c>
      <c r="AB700" s="7" t="n"/>
      <c r="AC700" s="7" t="n">
        <v>0</v>
      </c>
      <c r="AD700" s="7" t="n"/>
      <c r="AE700" s="7" t="n"/>
      <c r="AF700" s="7" t="inlineStr">
        <is>
          <t>b6-0012</t>
        </is>
      </c>
      <c r="AG700" s="7" t="inlineStr">
        <is>
          <t>b6-0048</t>
        </is>
      </c>
      <c r="AH700" s="7" t="n"/>
      <c r="AI700" s="7" t="n"/>
      <c r="AJ700" s="7" t="n"/>
      <c r="AK700" s="7" t="inlineStr">
        <is>
          <t>roman-emperors #4 (ruler)</t>
        </is>
      </c>
      <c r="AL700" s="7" t="n"/>
      <c r="AM700" s="7" t="n">
        <v>41.05</v>
      </c>
      <c r="AN700" s="10" t="n"/>
      <c r="AO700" s="10" t="n"/>
      <c r="AP700" s="10" t="n"/>
      <c r="AQ700" s="10" t="n"/>
    </row>
    <row r="701">
      <c r="A701" s="7" t="inlineStr">
        <is>
          <t>b6-0013</t>
        </is>
      </c>
      <c r="B701" s="7" t="inlineStr">
        <is>
          <t>Point</t>
        </is>
      </c>
      <c r="C701" s="7" t="n"/>
      <c r="D701" s="7" t="inlineStr">
        <is>
          <t>c. 41 C.E.</t>
        </is>
      </c>
      <c r="E701" s="7" t="inlineStr">
        <is>
          <t>சுமார் கி.பி. 41</t>
        </is>
      </c>
      <c r="F701" s="7" t="inlineStr">
        <is>
          <t>41 CE</t>
        </is>
      </c>
      <c r="G701" s="7" t="inlineStr">
        <is>
          <t>Approx. (c.)</t>
        </is>
      </c>
      <c r="H701" s="7" t="n"/>
      <c r="I701" s="7" t="n"/>
      <c r="J701" s="7" t="n"/>
      <c r="K701" s="2" t="inlineStr">
        <is>
          <t>Paul’s vision of “the third heaven”</t>
        </is>
      </c>
      <c r="L701" s="2" t="inlineStr">
        <is>
          <t>‘மூன்றாம் பரலோகத்தை’ பற்றிய தரிசனம் பவுலுக்குக் கிடைக்கிறது (2 கொ. 12:2)</t>
        </is>
      </c>
      <c r="M701" s="7" t="inlineStr">
        <is>
          <t>Paul experienced a vision so real that he did not know whether he was in the body or out of it when he was caught away to “the third heaven.”</t>
        </is>
      </c>
      <c r="N701" s="7" t="inlineStr">
        <is>
          <t>‘மூன்றாம் பரலோகத்தை’ பற்றிய தரிசனம் பவுலுக்குக் கிடைக்கிறது (2 கொ. 12:2).</t>
        </is>
      </c>
      <c r="O701" s="8" t="inlineStr">
        <is>
          <t>Bible</t>
        </is>
      </c>
      <c r="P701" s="7" t="inlineStr">
        <is>
          <t>bible.apostolic</t>
        </is>
      </c>
      <c r="Q701" s="7" t="inlineStr">
        <is>
          <t>vision</t>
        </is>
      </c>
      <c r="R701" s="7" t="inlineStr">
        <is>
          <t>Paul</t>
        </is>
      </c>
      <c r="S701" s="7" t="n"/>
      <c r="T701" s="7" t="inlineStr">
        <is>
          <t>2 Cor. 12:1-4</t>
        </is>
      </c>
      <c r="U701" s="7" t="inlineStr">
        <is>
          <t>2 கொ. 12:2</t>
        </is>
      </c>
      <c r="V701" s="7" t="n">
        <v>2</v>
      </c>
      <c r="W701" s="7" t="inlineStr">
        <is>
          <t>“Go . . . and Make Disciples” (box: Important Dates in the Spread of Christianity During the First Century C.E.)</t>
        </is>
      </c>
      <c r="X701" s="9" t="inlineStr">
        <is>
          <t>open</t>
        </is>
      </c>
      <c r="Y701" s="9" t="inlineStr">
        <is>
          <t>open</t>
        </is>
      </c>
      <c r="Z701" s="7" t="inlineStr">
        <is>
          <t>https://wol.jw.org/en/wol/d/r1/lp-e/1102009041
https://wol.jw.org/en/wol/d/r1/lp-e/1200003406</t>
        </is>
      </c>
      <c r="AA701" s="7" t="n">
        <v>0</v>
      </c>
      <c r="AB701" s="7" t="n"/>
      <c r="AC701" s="7" t="n">
        <v>0</v>
      </c>
      <c r="AD701" s="7" t="n"/>
      <c r="AE701" s="7" t="n"/>
      <c r="AF701" s="7" t="n"/>
      <c r="AG701" s="7" t="n"/>
      <c r="AH701" s="7" t="n"/>
      <c r="AI701" s="7" t="n"/>
      <c r="AJ701" s="7" t="n"/>
      <c r="AK701" s="7" t="n"/>
      <c r="AL701" s="7" t="n"/>
      <c r="AM701" s="7" t="n">
        <v>41.3</v>
      </c>
      <c r="AN701" s="10" t="n"/>
      <c r="AO701" s="10" t="n"/>
      <c r="AP701" s="10" t="n"/>
      <c r="AQ701" s="10" t="n"/>
    </row>
    <row r="702">
      <c r="A702" s="7" t="inlineStr">
        <is>
          <t>b6-0014</t>
        </is>
      </c>
      <c r="B702" s="7" t="inlineStr">
        <is>
          <t>Point</t>
        </is>
      </c>
      <c r="C702" s="7" t="n"/>
      <c r="D702" s="7" t="inlineStr">
        <is>
          <t>c. 41 C.E.</t>
        </is>
      </c>
      <c r="E702" s="7" t="inlineStr">
        <is>
          <t>ஏ. பொ.ச. 41</t>
        </is>
      </c>
      <c r="F702" s="7" t="inlineStr">
        <is>
          <t>41 CE</t>
        </is>
      </c>
      <c r="G702" s="7" t="inlineStr">
        <is>
          <t>Approx. (c.)</t>
        </is>
      </c>
      <c r="H702" s="7" t="n"/>
      <c r="I702" s="7" t="n"/>
      <c r="J702" s="7" t="n"/>
      <c r="K702" s="2" t="inlineStr">
        <is>
          <t>Gospel of Matthew written</t>
        </is>
      </c>
      <c r="L702" s="2" t="inlineStr">
        <is>
          <t>மத்தேயு சுவிசேஷம் எழுதப்படுகிறது</t>
        </is>
      </c>
      <c r="M702" s="7" t="inlineStr">
        <is>
          <t>Matthew completed the Gospel of Matthew at Palestine, about 41 C.E.</t>
        </is>
      </c>
      <c r="N702" s="7" t="inlineStr">
        <is>
          <t>எழுத்தாளர்: மத்தேயு; எழுதப்பட்ட இடம்: பலஸ்தீனா; எழுதி முடிக்கப்பட்டது: ஏ. பொ.ச. 41.</t>
        </is>
      </c>
      <c r="O702" s="8" t="inlineStr">
        <is>
          <t>Bible</t>
        </is>
      </c>
      <c r="P702" s="7" t="inlineStr">
        <is>
          <t>bible.book_writing</t>
        </is>
      </c>
      <c r="Q702" s="7" t="inlineStr">
        <is>
          <t>writing_completed</t>
        </is>
      </c>
      <c r="R702" s="7" t="inlineStr">
        <is>
          <t>Matthew</t>
        </is>
      </c>
      <c r="S702" s="7" t="inlineStr">
        <is>
          <t>Palestine</t>
        </is>
      </c>
      <c r="T702" s="7" t="n"/>
      <c r="U702" s="7" t="n"/>
      <c r="V702" s="7" t="n">
        <v>4</v>
      </c>
      <c r="W702" s="7" t="inlineStr">
        <is>
          <t>Table of the Books of the Bible</t>
        </is>
      </c>
      <c r="X702" s="9" t="inlineStr">
        <is>
          <t>open</t>
        </is>
      </c>
      <c r="Y702" s="7" t="n"/>
      <c r="Z702" s="7" t="inlineStr">
        <is>
          <t>https://wol.jw.org/en/wol/d/r1/lp-e/1001060002
https://wol.jw.org/en/wol/d/r1/lp-e/1101990101
https://wol.jw.org/en/wol/d/r1/lp-e/1101990130
https://wol.jw.org/en/wol/d/r1/lp-e/1102009041</t>
        </is>
      </c>
      <c r="AA702" s="7" t="n">
        <v>0</v>
      </c>
      <c r="AB702" s="7" t="n"/>
      <c r="AC702" s="7" t="n">
        <v>0</v>
      </c>
      <c r="AD702" s="7" t="n"/>
      <c r="AE702" s="7" t="n"/>
      <c r="AF702" s="7" t="n"/>
      <c r="AG702" s="7" t="n"/>
      <c r="AH702" s="7" t="n"/>
      <c r="AI702" s="7" t="n"/>
      <c r="AJ702" s="7" t="n"/>
      <c r="AK702" s="7" t="n"/>
      <c r="AL702" s="7" t="n"/>
      <c r="AM702" s="7" t="n">
        <v>41.5</v>
      </c>
      <c r="AN702" s="10" t="n"/>
      <c r="AO702" s="10" t="n"/>
      <c r="AP702" s="10" t="n"/>
      <c r="AQ702" s="10" t="n"/>
    </row>
    <row r="703">
      <c r="A703" s="7" t="inlineStr">
        <is>
          <t>b6-0015</t>
        </is>
      </c>
      <c r="B703" s="7" t="inlineStr">
        <is>
          <t>Point</t>
        </is>
      </c>
      <c r="C703" s="7" t="n"/>
      <c r="D703" s="7" t="inlineStr">
        <is>
          <t>c. 44 C.E.</t>
        </is>
      </c>
      <c r="E703" s="7" t="inlineStr">
        <is>
          <t>சுமார் கி.பி. 44</t>
        </is>
      </c>
      <c r="F703" s="7" t="inlineStr">
        <is>
          <t>44 CE</t>
        </is>
      </c>
      <c r="G703" s="7" t="inlineStr">
        <is>
          <t>Approx. (c.)</t>
        </is>
      </c>
      <c r="H703" s="7" t="n"/>
      <c r="I703" s="7" t="n"/>
      <c r="J703" s="7" t="n"/>
      <c r="K703" s="2" t="inlineStr">
        <is>
          <t>Agabus prophesies a great famine</t>
        </is>
      </c>
      <c r="L703" s="2" t="inlineStr">
        <is>
          <t>பஞ்சம் வருமென்று அகபு தீர்க்கதரிசனம் சொல்கிறார்</t>
        </is>
      </c>
      <c r="M703" s="7" t="inlineStr">
        <is>
          <t>At Antioch the Christian prophet Agabus foretold through the spirit a great famine on the inhabited earth, which came during Claudius’ reign.</t>
        </is>
      </c>
      <c r="N703" s="7" t="inlineStr">
        <is>
          <t>வரவிருந்த ஒரு கொடிய பஞ்சத்தைக் குறித்து ‘ஆவியின் மூலமாய்’ அகபு தீர்க்கதரிசனம் உரைத்தது ... ஏரோதின் மரணத்துக்குச் சற்று முன்பே நடந்தன.</t>
        </is>
      </c>
      <c r="O703" s="8" t="inlineStr">
        <is>
          <t>Bible</t>
        </is>
      </c>
      <c r="P703" s="7" t="inlineStr">
        <is>
          <t>bible.apostolic</t>
        </is>
      </c>
      <c r="Q703" s="7" t="inlineStr">
        <is>
          <t>prophecy</t>
        </is>
      </c>
      <c r="R703" s="7" t="inlineStr">
        <is>
          <t>Agabus</t>
        </is>
      </c>
      <c r="S703" s="7" t="inlineStr">
        <is>
          <t>Antioch (Syria)</t>
        </is>
      </c>
      <c r="T703" s="7" t="inlineStr">
        <is>
          <t>Acts 11:27, 28</t>
        </is>
      </c>
      <c r="U703" s="7" t="inlineStr">
        <is>
          <t>அப். 11:27, 28</t>
        </is>
      </c>
      <c r="V703" s="7" t="n">
        <v>4</v>
      </c>
      <c r="W703" s="7" t="inlineStr">
        <is>
          <t>Study Number 3—Measuring Events in the Stream of Time</t>
        </is>
      </c>
      <c r="X703" s="9" t="inlineStr">
        <is>
          <t>open</t>
        </is>
      </c>
      <c r="Y703" s="9" t="inlineStr">
        <is>
          <t>open</t>
        </is>
      </c>
      <c r="Z703" s="7" t="inlineStr">
        <is>
          <t>https://wol.jw.org/en/wol/d/r1/lp-e/1101990130
https://wol.jw.org/en/wol/d/r1/lp-e/1200000970
https://wol.jw.org/en/wol/d/r1/lp-e/1102009041
https://wol.jw.org/en/wol/d/r1/lp-e/1200000129</t>
        </is>
      </c>
      <c r="AA703" s="7" t="n">
        <v>0</v>
      </c>
      <c r="AB703" s="7" t="n"/>
      <c r="AC703" s="7" t="n">
        <v>0</v>
      </c>
      <c r="AD703" s="7" t="n"/>
      <c r="AE703" s="7" t="n"/>
      <c r="AF703" s="7" t="n"/>
      <c r="AG703" s="7" t="n"/>
      <c r="AH703" s="7" t="n"/>
      <c r="AI703" s="7" t="n"/>
      <c r="AJ703" s="7" t="n"/>
      <c r="AK703" s="7" t="n"/>
      <c r="AL703" s="7" t="n"/>
      <c r="AM703" s="7" t="n">
        <v>44.1</v>
      </c>
      <c r="AN703" s="10" t="n"/>
      <c r="AO703" s="10" t="n"/>
      <c r="AP703" s="10" t="n"/>
      <c r="AQ703" s="10" t="n"/>
    </row>
    <row r="704">
      <c r="A704" s="7" t="inlineStr">
        <is>
          <t>b6-0016</t>
        </is>
      </c>
      <c r="B704" s="7" t="inlineStr">
        <is>
          <t>Point</t>
        </is>
      </c>
      <c r="C704" s="7" t="n"/>
      <c r="D704" s="7" t="inlineStr">
        <is>
          <t>possibly 44 C.E.</t>
        </is>
      </c>
      <c r="E704" s="7" t="n"/>
      <c r="F704" s="7" t="inlineStr">
        <is>
          <t>44 CE</t>
        </is>
      </c>
      <c r="G704" s="7" t="inlineStr">
        <is>
          <t>Approx. (c.)</t>
        </is>
      </c>
      <c r="H704" s="7" t="n"/>
      <c r="I704" s="7" t="n"/>
      <c r="J704" s="7" t="n"/>
      <c r="K704" s="2" t="inlineStr">
        <is>
          <t>Disciples first called Christians at Antioch</t>
        </is>
      </c>
      <c r="L704" s="2" t="n"/>
      <c r="M704" s="7" t="inlineStr">
        <is>
          <t>After Barnabas brought Saul from Tarsus, the two taught in Antioch for a whole year, and there the disciples were by divine providence first called Christians—possibly as early as 44 C.E.</t>
        </is>
      </c>
      <c r="N704" s="7" t="n"/>
      <c r="O704" s="8" t="inlineStr">
        <is>
          <t>Bible</t>
        </is>
      </c>
      <c r="P704" s="7" t="inlineStr">
        <is>
          <t>bible.apostolic</t>
        </is>
      </c>
      <c r="Q704" s="7" t="inlineStr">
        <is>
          <t>naming</t>
        </is>
      </c>
      <c r="R704" s="7" t="inlineStr">
        <is>
          <t>Paul; Barnabas</t>
        </is>
      </c>
      <c r="S704" s="7" t="inlineStr">
        <is>
          <t>Antioch (Syria); Tarsus</t>
        </is>
      </c>
      <c r="T704" s="7" t="inlineStr">
        <is>
          <t>Acts 11:25, 26</t>
        </is>
      </c>
      <c r="U704" s="7" t="n"/>
      <c r="V704" s="7" t="n">
        <v>3</v>
      </c>
      <c r="W704" s="7" t="inlineStr">
        <is>
          <t>Acts Study Notes—Chapter 11</t>
        </is>
      </c>
      <c r="X704" s="9" t="inlineStr">
        <is>
          <t>open</t>
        </is>
      </c>
      <c r="Y704" s="7" t="n"/>
      <c r="Z704" s="7" t="inlineStr">
        <is>
          <t>https://wol.jw.org/en/wol/d/r1/lp-e/1001070700
https://wol.jw.org/en/wol/d/r1/lp-e/1001070698
https://wol.jw.org/en/wol/d/r1/lp-e/1200003406</t>
        </is>
      </c>
      <c r="AA704" s="7" t="n">
        <v>0</v>
      </c>
      <c r="AB704" s="7" t="n"/>
      <c r="AC704" s="7" t="n">
        <v>0</v>
      </c>
      <c r="AD704" s="7" t="n"/>
      <c r="AE704" s="7" t="n"/>
      <c r="AF704" s="7" t="n"/>
      <c r="AG704" s="7" t="n"/>
      <c r="AH704" s="7" t="n"/>
      <c r="AI704" s="7" t="n"/>
      <c r="AJ704" s="7" t="n"/>
      <c r="AK704" s="7" t="n"/>
      <c r="AL704" s="7" t="n"/>
      <c r="AM704" s="7" t="n">
        <v>44.15</v>
      </c>
      <c r="AN704" s="10" t="n"/>
      <c r="AO704" s="10" t="n"/>
      <c r="AP704" s="10" t="n"/>
      <c r="AQ704" s="10" t="n"/>
    </row>
    <row r="705">
      <c r="A705" s="7" t="inlineStr">
        <is>
          <t>b6-0017</t>
        </is>
      </c>
      <c r="B705" s="7" t="inlineStr">
        <is>
          <t>Point</t>
        </is>
      </c>
      <c r="C705" s="7" t="n"/>
      <c r="D705" s="7" t="inlineStr">
        <is>
          <t>c. 44 C.E.</t>
        </is>
      </c>
      <c r="E705" s="7" t="inlineStr">
        <is>
          <t>சுமார் கி.பி. 44</t>
        </is>
      </c>
      <c r="F705" s="7" t="inlineStr">
        <is>
          <t>44 CE</t>
        </is>
      </c>
      <c r="G705" s="7" t="inlineStr">
        <is>
          <t>Approx. (c.)</t>
        </is>
      </c>
      <c r="H705" s="7" t="n"/>
      <c r="I705" s="7" t="n"/>
      <c r="J705" s="7" t="n"/>
      <c r="K705" s="2" t="inlineStr">
        <is>
          <t>Apostle James (son of Zebedee) executed by Herod Agrippa I</t>
        </is>
      </c>
      <c r="L705" s="2" t="inlineStr">
        <is>
          <t>யாக்கோபு (செபெதேயுவின் மகன்) கொல்லப்படுகிறார்</t>
        </is>
      </c>
      <c r="M705" s="7" t="inlineStr">
        <is>
          <t>Herod Agrippa I had the apostle James, John’s brother, put to death with the sword; he was the first of the 12 apostles to die as a martyr.</t>
        </is>
      </c>
      <c r="N705" s="7" t="inlineStr">
        <is>
          <t>சீஷனாகிய யாக்கோபு பட்டயத்தால் கொல்லப்பட்டது ... பொ.ச. 44-ஐ இந்த எல்லா நிகழ்ச்சிகளுக்குமுரிய காலமாக குறிக்கலாம்.</t>
        </is>
      </c>
      <c r="O705" s="8" t="inlineStr">
        <is>
          <t>Bible</t>
        </is>
      </c>
      <c r="P705" s="7" t="inlineStr">
        <is>
          <t>bible.apostolic</t>
        </is>
      </c>
      <c r="Q705" s="7" t="inlineStr">
        <is>
          <t>death</t>
        </is>
      </c>
      <c r="R705" s="7" t="inlineStr">
        <is>
          <t>James (son of Zebedee); Herod Agrippa I</t>
        </is>
      </c>
      <c r="S705" s="7" t="inlineStr">
        <is>
          <t>Jerusalem</t>
        </is>
      </c>
      <c r="T705" s="7" t="inlineStr">
        <is>
          <t>Acts 12:1, 2</t>
        </is>
      </c>
      <c r="U705" s="7" t="n"/>
      <c r="V705" s="7" t="n">
        <v>6</v>
      </c>
      <c r="W705" s="7" t="inlineStr">
        <is>
          <t>Study Number 3—Measuring Events in the Stream of Time</t>
        </is>
      </c>
      <c r="X705" s="9" t="inlineStr">
        <is>
          <t>open</t>
        </is>
      </c>
      <c r="Y705" s="9" t="inlineStr">
        <is>
          <t>open</t>
        </is>
      </c>
      <c r="Z705" s="7" t="inlineStr">
        <is>
          <t>https://wol.jw.org/en/wol/d/r1/lp-e/1101990130
https://wol.jw.org/en/wol/d/r1/lp-e/1200002313
https://wol.jw.org/en/wol/d/r1/lp-e/1001070701
https://wol.jw.org/en/wol/d/r1/lp-e/1102009041
https://wol.jw.org/en/wol/d/r1/lp-e/1200000970
https://wol.jw.org/en/wol/d/r1/lp-e/1200003451</t>
        </is>
      </c>
      <c r="AA705" s="7" t="n">
        <v>0</v>
      </c>
      <c r="AB705" s="7" t="n"/>
      <c r="AC705" s="7" t="n">
        <v>0</v>
      </c>
      <c r="AD705" s="7" t="n"/>
      <c r="AE705" s="7" t="n"/>
      <c r="AF705" s="7" t="n"/>
      <c r="AG705" s="7" t="n"/>
      <c r="AH705" s="7" t="n"/>
      <c r="AI705" s="7" t="n"/>
      <c r="AJ705" s="7" t="n"/>
      <c r="AK705" s="7" t="n"/>
      <c r="AL705" s="7" t="n"/>
      <c r="AM705" s="7" t="n">
        <v>44.2</v>
      </c>
      <c r="AN705" s="10" t="n"/>
      <c r="AO705" s="10" t="n"/>
      <c r="AP705" s="10" t="n"/>
      <c r="AQ705" s="10" t="n"/>
    </row>
    <row r="706">
      <c r="A706" s="7" t="inlineStr">
        <is>
          <t>b6-0018</t>
        </is>
      </c>
      <c r="B706" s="7" t="inlineStr">
        <is>
          <t>Point</t>
        </is>
      </c>
      <c r="C706" s="7" t="n"/>
      <c r="D706" s="7" t="inlineStr">
        <is>
          <t>c. 44 C.E. (Passover)</t>
        </is>
      </c>
      <c r="E706" s="7" t="inlineStr">
        <is>
          <t>சுமார் கி.பி. 44</t>
        </is>
      </c>
      <c r="F706" s="7" t="inlineStr">
        <is>
          <t>44 CE</t>
        </is>
      </c>
      <c r="G706" s="7" t="inlineStr">
        <is>
          <t>Approx. (c.)</t>
        </is>
      </c>
      <c r="H706" s="7" t="n"/>
      <c r="I706" s="7" t="n"/>
      <c r="J706" s="7" t="n"/>
      <c r="K706" s="2" t="inlineStr">
        <is>
          <t>Peter imprisoned and miraculously released by an angel</t>
        </is>
      </c>
      <c r="L706" s="2" t="inlineStr">
        <is>
          <t>பேதுரு சிறையில் அடைக்கப்படுகிறார், அற்புதமாக விடுதலை செய்யப்படுகிறார்</t>
        </is>
      </c>
      <c r="M706" s="7" t="inlineStr">
        <is>
          <t>Herod Agrippa I jailed Peter at Passover time intending to execute him, but while the congregation prayed intensely, Jehovah’s angel led him out of the prison.</t>
        </is>
      </c>
      <c r="N706" s="7" t="inlineStr">
        <is>
          <t>பேதுரு (பஸ்கா சமயத்தில்) சிறையிலடைக்கப்பட்டு அற்புதமாய் விடுவிக்கப்பட்டது.</t>
        </is>
      </c>
      <c r="O706" s="8" t="inlineStr">
        <is>
          <t>Bible</t>
        </is>
      </c>
      <c r="P706" s="7" t="inlineStr">
        <is>
          <t>bible.apostolic</t>
        </is>
      </c>
      <c r="Q706" s="7" t="inlineStr">
        <is>
          <t>miracle</t>
        </is>
      </c>
      <c r="R706" s="7" t="inlineStr">
        <is>
          <t>Peter; Herod Agrippa I</t>
        </is>
      </c>
      <c r="S706" s="7" t="inlineStr">
        <is>
          <t>Jerusalem</t>
        </is>
      </c>
      <c r="T706" s="7" t="inlineStr">
        <is>
          <t>Acts 12:3-17</t>
        </is>
      </c>
      <c r="U706" s="7" t="inlineStr">
        <is>
          <t>அப். 12:1-11</t>
        </is>
      </c>
      <c r="V706" s="7" t="n">
        <v>4</v>
      </c>
      <c r="W706" s="7" t="inlineStr">
        <is>
          <t>Study Number 3—Measuring Events in the Stream of Time</t>
        </is>
      </c>
      <c r="X706" s="9" t="inlineStr">
        <is>
          <t>open</t>
        </is>
      </c>
      <c r="Y706" s="9" t="inlineStr">
        <is>
          <t>open</t>
        </is>
      </c>
      <c r="Z706" s="7" t="inlineStr">
        <is>
          <t>https://wol.jw.org/en/wol/d/r1/lp-e/1101990130
https://wol.jw.org/en/wol/d/r1/lp-e/1200003451
https://wol.jw.org/en/wol/d/r1/lp-e/1102009041
https://wol.jw.org/en/wol/d/r1/lp-e/1200000970</t>
        </is>
      </c>
      <c r="AA706" s="7" t="n">
        <v>1</v>
      </c>
      <c r="AB706" s="9" t="inlineStr">
        <is>
          <t>open</t>
        </is>
      </c>
      <c r="AC706" s="7" t="n">
        <v>0</v>
      </c>
      <c r="AD706" s="7" t="n"/>
      <c r="AE706" s="7" t="n"/>
      <c r="AF706" s="7" t="n"/>
      <c r="AG706" s="7" t="n"/>
      <c r="AH706" s="7" t="n"/>
      <c r="AI706" s="7" t="n"/>
      <c r="AJ706" s="7" t="n"/>
      <c r="AK706" s="7" t="n"/>
      <c r="AL706" s="7" t="n"/>
      <c r="AM706" s="7" t="n">
        <v>44.25</v>
      </c>
      <c r="AN706" s="10" t="n"/>
      <c r="AO706" s="10" t="n"/>
      <c r="AP706" s="10" t="n"/>
      <c r="AQ706" s="10" t="n"/>
    </row>
    <row r="707">
      <c r="A707" s="7" t="inlineStr">
        <is>
          <t>b6-0019</t>
        </is>
      </c>
      <c r="B707" s="7" t="inlineStr">
        <is>
          <t>Point</t>
        </is>
      </c>
      <c r="C707" s="7" t="n"/>
      <c r="D707" s="7" t="inlineStr">
        <is>
          <t>44 C.E.</t>
        </is>
      </c>
      <c r="E707" s="7" t="inlineStr">
        <is>
          <t>பொ.ச. 44</t>
        </is>
      </c>
      <c r="F707" s="7" t="inlineStr">
        <is>
          <t>44 CE</t>
        </is>
      </c>
      <c r="G707" s="7" t="inlineStr">
        <is>
          <t>Exact</t>
        </is>
      </c>
      <c r="H707" s="7" t="n"/>
      <c r="I707" s="7" t="n"/>
      <c r="J707" s="7" t="n"/>
      <c r="K707" s="2" t="inlineStr">
        <is>
          <t>Herod Agrippa I dies, struck by Jehovah’s angel</t>
        </is>
      </c>
      <c r="L707" s="2" t="inlineStr">
        <is>
          <t>முதலாம் ஏரோது அகிரிப்பா மரணம் அடைகிறார்</t>
        </is>
      </c>
      <c r="M707" s="7" t="inlineStr">
        <is>
          <t>At Caesarea, after accepting acclaim as a god, Herod Agrippa I was struck by Jehovah’s angel and died, aged 54, having reigned three years over all Judea.</t>
        </is>
      </c>
      <c r="N707" s="7" t="inlineStr">
        <is>
          <t>இந்த ஏரோது பொ.ச. 44-⁠ல் மரித்தானென சரித்திர அத்தாட்சி காட்டுகிறது.</t>
        </is>
      </c>
      <c r="O707" s="8" t="inlineStr">
        <is>
          <t>Bible</t>
        </is>
      </c>
      <c r="P707" s="7" t="inlineStr">
        <is>
          <t>bible.apostolic</t>
        </is>
      </c>
      <c r="Q707" s="7" t="inlineStr">
        <is>
          <t>death</t>
        </is>
      </c>
      <c r="R707" s="7" t="inlineStr">
        <is>
          <t>Herod Agrippa I</t>
        </is>
      </c>
      <c r="S707" s="7" t="inlineStr">
        <is>
          <t>Caesarea</t>
        </is>
      </c>
      <c r="T707" s="7" t="inlineStr">
        <is>
          <t>Acts 12:20-23</t>
        </is>
      </c>
      <c r="U707" s="7" t="inlineStr">
        <is>
          <t>அப். 12:20-23</t>
        </is>
      </c>
      <c r="V707" s="7" t="n">
        <v>6</v>
      </c>
      <c r="W707" s="7" t="inlineStr">
        <is>
          <t>Study Number 3—Measuring Events in the Stream of Time</t>
        </is>
      </c>
      <c r="X707" s="9" t="inlineStr">
        <is>
          <t>open</t>
        </is>
      </c>
      <c r="Y707" s="9" t="inlineStr">
        <is>
          <t>open</t>
        </is>
      </c>
      <c r="Z707" s="7" t="inlineStr">
        <is>
          <t>https://wol.jw.org/en/wol/d/r1/lp-e/1101990130
https://wol.jw.org/en/wol/d/r1/lp-e/1200002000
https://wol.jw.org/en/wol/d/r1/lp-e/1001070701
https://wol.jw.org/en/wol/d/r1/lp-e/1200000970
https://wol.jw.org/en/wol/d/r1/lp-e/1200000853
https://wol.jw.org/en/wol/d/r1/lp-e/1102009041</t>
        </is>
      </c>
      <c r="AA707" s="7" t="n">
        <v>0</v>
      </c>
      <c r="AB707" s="7" t="n"/>
      <c r="AC707" s="7" t="n">
        <v>0</v>
      </c>
      <c r="AD707" s="7" t="n"/>
      <c r="AE707" s="7" t="n"/>
      <c r="AF707" s="7" t="n"/>
      <c r="AG707" s="7" t="n"/>
      <c r="AH707" s="7" t="n"/>
      <c r="AI707" s="7" t="n"/>
      <c r="AJ707" s="7" t="n"/>
      <c r="AK707" s="7" t="n"/>
      <c r="AL707" s="7" t="n"/>
      <c r="AM707" s="7" t="n">
        <v>44.4</v>
      </c>
      <c r="AN707" s="10" t="n"/>
      <c r="AO707" s="10" t="n"/>
      <c r="AP707" s="10" t="n"/>
      <c r="AQ707" s="10" t="n"/>
    </row>
    <row r="708">
      <c r="A708" s="7" t="inlineStr">
        <is>
          <t>b6-0020</t>
        </is>
      </c>
      <c r="B708" s="7" t="inlineStr">
        <is>
          <t>Point</t>
        </is>
      </c>
      <c r="C708" s="7" t="n"/>
      <c r="D708" s="7" t="inlineStr">
        <is>
          <t>c. 46 C.E.</t>
        </is>
      </c>
      <c r="E708" s="7" t="inlineStr">
        <is>
          <t>ஏறக்குறைய பொ.ச. 46</t>
        </is>
      </c>
      <c r="F708" s="7" t="inlineStr">
        <is>
          <t>46 CE</t>
        </is>
      </c>
      <c r="G708" s="7" t="inlineStr">
        <is>
          <t>Approx. (c.)</t>
        </is>
      </c>
      <c r="H708" s="7" t="n"/>
      <c r="I708" s="7" t="n"/>
      <c r="J708" s="7" t="n"/>
      <c r="K708" s="2" t="inlineStr">
        <is>
          <t>Foretold great famine strikes</t>
        </is>
      </c>
      <c r="L708" s="2" t="inlineStr">
        <is>
          <t>முன்பு சொல்லப்பட்டபடியே பஞ்சம் வருகிறது</t>
        </is>
      </c>
      <c r="M708" s="7" t="inlineStr">
        <is>
          <t>The great famine foretold by Agabus came about 46 C.E., during the reign of Claudius; Josephus also refers to it.</t>
        </is>
      </c>
      <c r="N708" s="7" t="inlineStr">
        <is>
          <t>முன்னறிவிக்கப்பட்ட இந்தப் பஞ்சம் ஏறக்குறைய பொ.ச. 46-⁠ல் ஏற்பட்டது.</t>
        </is>
      </c>
      <c r="O708" s="8" t="inlineStr">
        <is>
          <t>Bible</t>
        </is>
      </c>
      <c r="P708" s="7" t="inlineStr">
        <is>
          <t>bible.prophecy_fulfilled</t>
        </is>
      </c>
      <c r="Q708" s="7" t="inlineStr">
        <is>
          <t>famine</t>
        </is>
      </c>
      <c r="R708" s="7" t="n"/>
      <c r="S708" s="7" t="n"/>
      <c r="T708" s="7" t="inlineStr">
        <is>
          <t>Acts 11:28</t>
        </is>
      </c>
      <c r="U708" s="7" t="n"/>
      <c r="V708" s="7" t="n">
        <v>4</v>
      </c>
      <c r="W708" s="7" t="inlineStr">
        <is>
          <t>Study Number 3—Measuring Events in the Stream of Time</t>
        </is>
      </c>
      <c r="X708" s="9" t="inlineStr">
        <is>
          <t>open</t>
        </is>
      </c>
      <c r="Y708" s="9" t="inlineStr">
        <is>
          <t>open</t>
        </is>
      </c>
      <c r="Z708" s="7" t="inlineStr">
        <is>
          <t>https://wol.jw.org/en/wol/d/r1/lp-e/1101990130
https://wol.jw.org/en/wol/d/r1/lp-e/1200000970
https://wol.jw.org/en/wol/d/r1/lp-e/1001070700
https://wol.jw.org/en/wol/d/r1/lp-e/1102009041</t>
        </is>
      </c>
      <c r="AA708" s="7" t="n">
        <v>0</v>
      </c>
      <c r="AB708" s="7" t="n"/>
      <c r="AC708" s="7" t="n">
        <v>0</v>
      </c>
      <c r="AD708" s="7" t="n"/>
      <c r="AE708" s="7" t="n"/>
      <c r="AF708" s="7" t="n"/>
      <c r="AG708" s="7" t="n"/>
      <c r="AH708" s="7" t="n"/>
      <c r="AI708" s="7" t="n"/>
      <c r="AJ708" s="7" t="n"/>
      <c r="AK708" s="7" t="n"/>
      <c r="AL708" s="7" t="n"/>
      <c r="AM708" s="7" t="n">
        <v>46.2</v>
      </c>
      <c r="AN708" s="10" t="n"/>
      <c r="AO708" s="10" t="n"/>
      <c r="AP708" s="10" t="n"/>
      <c r="AQ708" s="10" t="n"/>
    </row>
    <row r="709">
      <c r="A709" s="7" t="inlineStr">
        <is>
          <t>b6-0021</t>
        </is>
      </c>
      <c r="B709" s="7" t="inlineStr">
        <is>
          <t>Point</t>
        </is>
      </c>
      <c r="C709" s="7" t="n"/>
      <c r="D709" s="7" t="inlineStr">
        <is>
          <t>c. 46 C.E.</t>
        </is>
      </c>
      <c r="E709" s="7" t="inlineStr">
        <is>
          <t>சுமார் கி.பி. 46</t>
        </is>
      </c>
      <c r="F709" s="7" t="inlineStr">
        <is>
          <t>46 CE</t>
        </is>
      </c>
      <c r="G709" s="7" t="inlineStr">
        <is>
          <t>Approx. (c.)</t>
        </is>
      </c>
      <c r="H709" s="7" t="n"/>
      <c r="I709" s="7" t="n"/>
      <c r="J709" s="7" t="n"/>
      <c r="K709" s="2" t="inlineStr">
        <is>
          <t>Paul and Barnabas carry famine relief from Antioch to Jerusalem</t>
        </is>
      </c>
      <c r="L709" s="2" t="inlineStr">
        <is>
          <t>நிவாரணப் பொருள்களையும் நிதிப் பணத்தையும் பவுல் எருசலேமுக்குக் கொண்டுவருகிறார்</t>
        </is>
      </c>
      <c r="M709" s="7" t="inlineStr">
        <is>
          <t>The Antioch congregation sent a relief contribution to the brothers in Judea by the hands of Paul and Barnabas, who then returned to Antioch with John Mark.</t>
        </is>
      </c>
      <c r="N709" s="7" t="inlineStr">
        <is>
          <t>பெரும்பாலும் இந்தச் சமயத்தில்தான் பவுலும் பர்னபாவும் எருசலேமில் “உபகார [நிவாரண] ஊழியத்தைச் செய்து முடித்”திருக்க வேண்டும்.</t>
        </is>
      </c>
      <c r="O709" s="8" t="inlineStr">
        <is>
          <t>Bible</t>
        </is>
      </c>
      <c r="P709" s="7" t="inlineStr">
        <is>
          <t>bible.apostolic</t>
        </is>
      </c>
      <c r="Q709" s="7" t="inlineStr">
        <is>
          <t>relief</t>
        </is>
      </c>
      <c r="R709" s="7" t="inlineStr">
        <is>
          <t>Paul; Barnabas; John Mark</t>
        </is>
      </c>
      <c r="S709" s="7" t="inlineStr">
        <is>
          <t>Antioch (Syria); Jerusalem</t>
        </is>
      </c>
      <c r="T709" s="7" t="inlineStr">
        <is>
          <t>Acts 11:29, 30; Acts 12:25</t>
        </is>
      </c>
      <c r="U709" s="7" t="inlineStr">
        <is>
          <t>அப். 12:25</t>
        </is>
      </c>
      <c r="V709" s="7" t="n">
        <v>5</v>
      </c>
      <c r="W709" s="7" t="inlineStr">
        <is>
          <t>Study Number 3—Measuring Events in the Stream of Time</t>
        </is>
      </c>
      <c r="X709" s="9" t="inlineStr">
        <is>
          <t>open</t>
        </is>
      </c>
      <c r="Y709" s="9" t="inlineStr">
        <is>
          <t>open</t>
        </is>
      </c>
      <c r="Z709" s="7" t="inlineStr">
        <is>
          <t>https://wol.jw.org/en/wol/d/r1/lp-e/1101990130
https://wol.jw.org/en/wol/d/r1/lp-e/1200003406
https://wol.jw.org/en/wol/d/r1/lp-e/1200000292
https://wol.jw.org/en/wol/d/r1/lp-e/1200000970
https://wol.jw.org/en/wol/d/r1/lp-e/1102009041</t>
        </is>
      </c>
      <c r="AA709" s="7" t="n">
        <v>1</v>
      </c>
      <c r="AB709" s="9" t="inlineStr">
        <is>
          <t>open</t>
        </is>
      </c>
      <c r="AC709" s="7" t="n">
        <v>0</v>
      </c>
      <c r="AD709" s="7" t="n"/>
      <c r="AE709" s="7" t="n"/>
      <c r="AF709" s="7" t="n"/>
      <c r="AG709" s="7" t="n"/>
      <c r="AH709" s="7" t="n"/>
      <c r="AI709" s="7" t="n"/>
      <c r="AJ709" s="7" t="n"/>
      <c r="AK709" s="7" t="n"/>
      <c r="AL709" s="7" t="n"/>
      <c r="AM709" s="7" t="n">
        <v>46.3</v>
      </c>
      <c r="AN709" s="10" t="n"/>
      <c r="AO709" s="10" t="n"/>
      <c r="AP709" s="10" t="n"/>
      <c r="AQ709" s="10" t="n"/>
    </row>
    <row r="710">
      <c r="A710" s="7" t="inlineStr">
        <is>
          <t>b6-0022</t>
        </is>
      </c>
      <c r="B710" s="11" t="inlineStr">
        <is>
          <t>Span</t>
        </is>
      </c>
      <c r="C710" s="7" t="inlineStr">
        <is>
          <t>journey</t>
        </is>
      </c>
      <c r="D710" s="7" t="inlineStr">
        <is>
          <t>c. 47-48 C.E.</t>
        </is>
      </c>
      <c r="E710" s="7" t="inlineStr">
        <is>
          <t>ஏ. பொ.ச. 47-48</t>
        </is>
      </c>
      <c r="F710" s="7" t="inlineStr">
        <is>
          <t>47 CE</t>
        </is>
      </c>
      <c r="G710" s="7" t="inlineStr">
        <is>
          <t>Approx. (c.)</t>
        </is>
      </c>
      <c r="H710" s="7" t="inlineStr">
        <is>
          <t>48 CE</t>
        </is>
      </c>
      <c r="I710" s="7" t="inlineStr">
        <is>
          <t>Approx. (c.)</t>
        </is>
      </c>
      <c r="J710" s="7" t="inlineStr">
        <is>
          <t>c. 1 year</t>
        </is>
      </c>
      <c r="K710" s="2" t="inlineStr">
        <is>
          <t>Paul’s first missionary journey</t>
        </is>
      </c>
      <c r="L710" s="2" t="inlineStr">
        <is>
          <t>முதல் மிஷனரி பயணத்தைப் பவுல் தொடங்குகிறார்</t>
        </is>
      </c>
      <c r="M710" s="7" t="inlineStr">
        <is>
          <t>Set aside by holy spirit at Syrian Antioch, Paul and Barnabas (with John Mark at first) sailed from Seleucia to Cyprus and preached in many cities of Asia Minor, probably from the spring of 47 to the autumn of 48 C.E.</t>
        </is>
      </c>
      <c r="N710" s="7" t="inlineStr">
        <is>
          <t>இந்தப் பயணம் பெரும்பாலும் பொ.ச. 47-⁠ன் வசந்த காலத்திலிருந்து பொ.ச. 48-⁠ன் இலையுதிர்காலம் வரையில் நீடித்திருந்திருக்கலாம்.</t>
        </is>
      </c>
      <c r="O710" s="8" t="inlineStr">
        <is>
          <t>Bible</t>
        </is>
      </c>
      <c r="P710" s="7" t="inlineStr">
        <is>
          <t>bible.apostolic</t>
        </is>
      </c>
      <c r="Q710" s="7" t="inlineStr">
        <is>
          <t>journey</t>
        </is>
      </c>
      <c r="R710" s="7" t="inlineStr">
        <is>
          <t>Paul; Barnabas; John Mark</t>
        </is>
      </c>
      <c r="S710" s="7" t="inlineStr">
        <is>
          <t>Antioch (Syria); Seleucia; Cyprus; Salamis; Paphos; Perga; Antioch (Pisidia); Iconium; Lystra; Derbe; Attalia</t>
        </is>
      </c>
      <c r="T710" s="7" t="inlineStr">
        <is>
          <t>Acts 13:1–14:28</t>
        </is>
      </c>
      <c r="U710" s="7" t="inlineStr">
        <is>
          <t>அப். 13:1–14:28</t>
        </is>
      </c>
      <c r="V710" s="7" t="n">
        <v>6</v>
      </c>
      <c r="W710" s="7" t="inlineStr">
        <is>
          <t>Study Number 3—Measuring Events in the Stream of Time</t>
        </is>
      </c>
      <c r="X710" s="9" t="inlineStr">
        <is>
          <t>open</t>
        </is>
      </c>
      <c r="Y710" s="9" t="inlineStr">
        <is>
          <t>open</t>
        </is>
      </c>
      <c r="Z710" s="7" t="inlineStr">
        <is>
          <t>https://wol.jw.org/en/wol/d/r1/lp-e/1101990130
https://wol.jw.org/en/wol/d/r1/lp-e/1200003406
https://wol.jw.org/en/wol/d/r1/lp-e/1200000292
https://wol.jw.org/en/wol/d/r1/lp-e/1001070702
https://wol.jw.org/en/wol/d/r1/lp-e/1102009041
https://wol.jw.org/en/wol/d/r1/lp-e/1001070234</t>
        </is>
      </c>
      <c r="AA710" s="7" t="n">
        <v>4</v>
      </c>
      <c r="AB710" s="9" t="inlineStr">
        <is>
          <t>open</t>
        </is>
      </c>
      <c r="AC710" s="7" t="n">
        <v>0</v>
      </c>
      <c r="AD710" s="7" t="n"/>
      <c r="AE710" s="7" t="n"/>
      <c r="AF710" s="7" t="n"/>
      <c r="AG710" s="7" t="n"/>
      <c r="AH710" s="7" t="n"/>
      <c r="AI710" s="7" t="n"/>
      <c r="AJ710" s="7" t="n"/>
      <c r="AK710" s="7" t="inlineStr">
        <is>
          <t>spread-of-christianity #2 (item)</t>
        </is>
      </c>
      <c r="AL710" s="7" t="n"/>
      <c r="AM710" s="7" t="n">
        <v>47.25</v>
      </c>
      <c r="AN710" s="10" t="n"/>
      <c r="AO710" s="10" t="n"/>
      <c r="AP710" s="10" t="n"/>
      <c r="AQ710" s="10" t="n"/>
    </row>
    <row r="711">
      <c r="A711" s="7" t="inlineStr">
        <is>
          <t>b6-0023</t>
        </is>
      </c>
      <c r="B711" s="7" t="inlineStr">
        <is>
          <t>Point</t>
        </is>
      </c>
      <c r="C711" s="7" t="n"/>
      <c r="D711" s="7" t="inlineStr">
        <is>
          <t>c. 49 C.E.</t>
        </is>
      </c>
      <c r="E711" s="7" t="inlineStr">
        <is>
          <t>சுமார் கி.பி. 49</t>
        </is>
      </c>
      <c r="F711" s="7" t="inlineStr">
        <is>
          <t>49 CE</t>
        </is>
      </c>
      <c r="G711" s="7" t="inlineStr">
        <is>
          <t>Approx. (c.)</t>
        </is>
      </c>
      <c r="H711" s="7" t="n"/>
      <c r="I711" s="7" t="n"/>
      <c r="J711" s="7" t="n"/>
      <c r="K711" s="2" t="inlineStr">
        <is>
          <t>Circumcision issue raised at Antioch</t>
        </is>
      </c>
      <c r="L711" s="2" t="inlineStr">
        <is>
          <t>விருத்தசேதனம் சம்பந்தமாக அந்தியோகியாவில் பிரச்சினை</t>
        </is>
      </c>
      <c r="M711" s="7" t="inlineStr">
        <is>
          <t>Men from Judea came to Antioch claiming that non-Jewish believers had to be circumcised to be saved; Paul and Barnabas disputed this and were sent to Jerusalem.</t>
        </is>
      </c>
      <c r="N711" s="7" t="inlineStr">
        <is>
          <t>விருத்தசேதனம் சம்பந்தமாக அந்தியோகியாவில் பிரச்சினை.</t>
        </is>
      </c>
      <c r="O711" s="8" t="inlineStr">
        <is>
          <t>Bible</t>
        </is>
      </c>
      <c r="P711" s="7" t="inlineStr">
        <is>
          <t>bible.apostolic</t>
        </is>
      </c>
      <c r="Q711" s="7" t="inlineStr">
        <is>
          <t>dispute</t>
        </is>
      </c>
      <c r="R711" s="7" t="inlineStr">
        <is>
          <t>Paul; Barnabas</t>
        </is>
      </c>
      <c r="S711" s="7" t="inlineStr">
        <is>
          <t>Antioch (Syria)</t>
        </is>
      </c>
      <c r="T711" s="7" t="inlineStr">
        <is>
          <t>Acts 15:1, 2</t>
        </is>
      </c>
      <c r="U711" s="7" t="n"/>
      <c r="V711" s="7" t="n">
        <v>3</v>
      </c>
      <c r="W711" s="7" t="inlineStr">
        <is>
          <t>Paul</t>
        </is>
      </c>
      <c r="X711" s="9" t="inlineStr">
        <is>
          <t>open</t>
        </is>
      </c>
      <c r="Y711" s="7" t="n"/>
      <c r="Z711" s="7" t="inlineStr">
        <is>
          <t>https://wol.jw.org/en/wol/d/r1/lp-e/1200003406
https://wol.jw.org/en/wol/d/r1/lp-e/1200000292
https://wol.jw.org/en/wol/d/r1/lp-e/1102009041</t>
        </is>
      </c>
      <c r="AA711" s="7" t="n">
        <v>0</v>
      </c>
      <c r="AB711" s="7" t="n"/>
      <c r="AC711" s="7" t="n">
        <v>0</v>
      </c>
      <c r="AD711" s="7" t="n"/>
      <c r="AE711" s="7" t="n"/>
      <c r="AF711" s="7" t="n"/>
      <c r="AG711" s="7" t="n"/>
      <c r="AH711" s="7" t="n"/>
      <c r="AI711" s="7" t="n"/>
      <c r="AJ711" s="7" t="n"/>
      <c r="AK711" s="7" t="n"/>
      <c r="AL711" s="7" t="n"/>
      <c r="AM711" s="7" t="n">
        <v>49.2</v>
      </c>
      <c r="AN711" s="10" t="n"/>
      <c r="AO711" s="10" t="n"/>
      <c r="AP711" s="10" t="n"/>
      <c r="AQ711" s="10" t="n"/>
    </row>
    <row r="712">
      <c r="A712" s="7" t="inlineStr">
        <is>
          <t>b6-0024</t>
        </is>
      </c>
      <c r="B712" s="7" t="inlineStr">
        <is>
          <t>Point</t>
        </is>
      </c>
      <c r="C712" s="7" t="n"/>
      <c r="D712" s="7" t="inlineStr">
        <is>
          <t>c. 49 C.E.</t>
        </is>
      </c>
      <c r="E712" s="7" t="inlineStr">
        <is>
          <t>ஏ. பொ.ச. 49</t>
        </is>
      </c>
      <c r="F712" s="7" t="inlineStr">
        <is>
          <t>49 CE</t>
        </is>
      </c>
      <c r="G712" s="7" t="inlineStr">
        <is>
          <t>Approx. (c.)</t>
        </is>
      </c>
      <c r="H712" s="7" t="n"/>
      <c r="I712" s="7" t="n"/>
      <c r="J712" s="7" t="n"/>
      <c r="K712" s="2" t="inlineStr">
        <is>
          <t>Governing body in Jerusalem rules against requiring circumcision of Gentile believers</t>
        </is>
      </c>
      <c r="L712" s="2" t="inlineStr">
        <is>
          <t>புறஜாதியாரில் விசுவாசிகளானோருக்கு விருத்தசேதனம் தேவையில்லையென ஆளும் குழு தீர்மானிக்கிறது</t>
        </is>
      </c>
      <c r="M712" s="7" t="inlineStr">
        <is>
          <t>The apostles and older men in Jerusalem, after testimony by Peter, Barnabas, and Paul and a Scriptural conclusion offered by James, decided that circumcision was not required of believers from the nations; the decree was delivered to Antioch.</t>
        </is>
      </c>
      <c r="N712" s="7" t="inlineStr">
        <is>
          <t>புறஜாதியாரில் விசுவாசிகளானோருக்கு விருத்தசேதனம் தேவையில்லையென ஆளும் குழு தீர்மானிக்கிறது.</t>
        </is>
      </c>
      <c r="O712" s="8" t="inlineStr">
        <is>
          <t>Bible</t>
        </is>
      </c>
      <c r="P712" s="7" t="inlineStr">
        <is>
          <t>bible.apostolic</t>
        </is>
      </c>
      <c r="Q712" s="7" t="inlineStr">
        <is>
          <t>resolution</t>
        </is>
      </c>
      <c r="R712" s="7" t="inlineStr">
        <is>
          <t>Peter; Paul; Barnabas; James (Jesus’ brother); John</t>
        </is>
      </c>
      <c r="S712" s="7" t="inlineStr">
        <is>
          <t>Jerusalem; Antioch (Syria)</t>
        </is>
      </c>
      <c r="T712" s="7" t="inlineStr">
        <is>
          <t>Acts 15:28, 29; Gal. 2:1-10</t>
        </is>
      </c>
      <c r="U712" s="7" t="inlineStr">
        <is>
          <t>அப். 15:28, 29</t>
        </is>
      </c>
      <c r="V712" s="7" t="n">
        <v>6</v>
      </c>
      <c r="W712" s="7" t="inlineStr">
        <is>
          <t>Study Number 3—Measuring Events in the Stream of Time</t>
        </is>
      </c>
      <c r="X712" s="9" t="inlineStr">
        <is>
          <t>open</t>
        </is>
      </c>
      <c r="Y712" s="9" t="inlineStr">
        <is>
          <t>open</t>
        </is>
      </c>
      <c r="Z712" s="7" t="inlineStr">
        <is>
          <t>https://wol.jw.org/en/wol/d/r1/lp-e/1101990130
https://wol.jw.org/en/wol/d/r1/lp-e/1200003451
https://wol.jw.org/en/wol/d/r1/lp-e/1200002489
https://wol.jw.org/en/wol/d/r1/lp-e/1200002313
https://wol.jw.org/en/wol/d/r1/lp-e/1200000292
https://wol.jw.org/en/wol/d/r1/lp-e/1102009041</t>
        </is>
      </c>
      <c r="AA712" s="7" t="n">
        <v>2</v>
      </c>
      <c r="AB712" s="9" t="inlineStr">
        <is>
          <t>open</t>
        </is>
      </c>
      <c r="AC712" s="7" t="n">
        <v>0</v>
      </c>
      <c r="AD712" s="7" t="n"/>
      <c r="AE712" s="7" t="n"/>
      <c r="AF712" s="7" t="n"/>
      <c r="AG712" s="7" t="n"/>
      <c r="AH712" s="7" t="n"/>
      <c r="AI712" s="7" t="n"/>
      <c r="AJ712" s="7" t="n"/>
      <c r="AK712" s="7" t="n"/>
      <c r="AL712" s="7" t="n"/>
      <c r="AM712" s="7" t="n">
        <v>49.3</v>
      </c>
      <c r="AN712" s="10" t="n"/>
      <c r="AO712" s="10" t="n"/>
      <c r="AP712" s="10" t="n"/>
      <c r="AQ712" s="10" t="n"/>
    </row>
    <row r="713">
      <c r="A713" s="7" t="inlineStr">
        <is>
          <t>b6-0025</t>
        </is>
      </c>
      <c r="B713" s="7" t="inlineStr">
        <is>
          <t>Point</t>
        </is>
      </c>
      <c r="C713" s="7" t="n"/>
      <c r="D713" s="7" t="inlineStr">
        <is>
          <t>c. 49 C.E.</t>
        </is>
      </c>
      <c r="E713" s="7" t="inlineStr">
        <is>
          <t>சுமார் கி.பி. 49</t>
        </is>
      </c>
      <c r="F713" s="7" t="inlineStr">
        <is>
          <t>49 CE</t>
        </is>
      </c>
      <c r="G713" s="7" t="inlineStr">
        <is>
          <t>Approx. (c.)</t>
        </is>
      </c>
      <c r="H713" s="7" t="n"/>
      <c r="I713" s="7" t="n"/>
      <c r="J713" s="7" t="n"/>
      <c r="K713" s="2" t="inlineStr">
        <is>
          <t>Paul corrects Peter at Antioch</t>
        </is>
      </c>
      <c r="L713" s="2" t="inlineStr">
        <is>
          <t>பேதுருவை பவுல் கண்டிக்கிறார் (கலா. 2:11-14)</t>
        </is>
      </c>
      <c r="M713" s="7" t="inlineStr">
        <is>
          <t>At Syrian Antioch, Paul publicly corrected Peter for withdrawing from Gentile believers out of fear of those from Jerusalem.</t>
        </is>
      </c>
      <c r="N713" s="7" t="inlineStr">
        <is>
          <t>பேதுருவை பவுல் கண்டிக்கிறார் (கலா. 2:11-14).</t>
        </is>
      </c>
      <c r="O713" s="8" t="inlineStr">
        <is>
          <t>Bible</t>
        </is>
      </c>
      <c r="P713" s="7" t="inlineStr">
        <is>
          <t>bible.apostolic</t>
        </is>
      </c>
      <c r="Q713" s="7" t="inlineStr">
        <is>
          <t>reproof</t>
        </is>
      </c>
      <c r="R713" s="7" t="inlineStr">
        <is>
          <t>Paul; Peter</t>
        </is>
      </c>
      <c r="S713" s="7" t="inlineStr">
        <is>
          <t>Antioch (Syria)</t>
        </is>
      </c>
      <c r="T713" s="7" t="inlineStr">
        <is>
          <t>Gal. 2:11-14</t>
        </is>
      </c>
      <c r="U713" s="7" t="inlineStr">
        <is>
          <t>கலா. 2:11-14</t>
        </is>
      </c>
      <c r="V713" s="7" t="n">
        <v>2</v>
      </c>
      <c r="W713" s="7" t="inlineStr">
        <is>
          <t>“Go . . . and Make Disciples” (box: Important Dates in the Spread of Christianity During the First Century C.E.)</t>
        </is>
      </c>
      <c r="X713" s="9" t="inlineStr">
        <is>
          <t>open</t>
        </is>
      </c>
      <c r="Y713" s="9" t="inlineStr">
        <is>
          <t>open</t>
        </is>
      </c>
      <c r="Z713" s="7" t="inlineStr">
        <is>
          <t>https://wol.jw.org/en/wol/d/r1/lp-e/1102009041
https://wol.jw.org/en/wol/d/r1/lp-e/1200000292</t>
        </is>
      </c>
      <c r="AA713" s="7" t="n">
        <v>0</v>
      </c>
      <c r="AB713" s="7" t="n"/>
      <c r="AC713" s="7" t="n">
        <v>0</v>
      </c>
      <c r="AD713" s="7" t="n"/>
      <c r="AE713" s="7" t="n"/>
      <c r="AF713" s="7" t="n"/>
      <c r="AG713" s="7" t="n"/>
      <c r="AH713" s="7" t="n"/>
      <c r="AI713" s="7" t="n"/>
      <c r="AJ713" s="7" t="n"/>
      <c r="AK713" s="7" t="n"/>
      <c r="AL713" s="7" t="n"/>
      <c r="AM713" s="7" t="n">
        <v>49.35</v>
      </c>
      <c r="AN713" s="10" t="n"/>
      <c r="AO713" s="10" t="n"/>
      <c r="AP713" s="10" t="n"/>
      <c r="AQ713" s="10" t="n"/>
    </row>
    <row r="714">
      <c r="A714" s="7" t="inlineStr">
        <is>
          <t>b6-0026</t>
        </is>
      </c>
      <c r="B714" s="11" t="inlineStr">
        <is>
          <t>Span</t>
        </is>
      </c>
      <c r="C714" s="7" t="inlineStr">
        <is>
          <t>journey</t>
        </is>
      </c>
      <c r="D714" s="7" t="inlineStr">
        <is>
          <t>c. 49-52 C.E.</t>
        </is>
      </c>
      <c r="E714" s="7" t="inlineStr">
        <is>
          <t>ஏ. பொ.ச. 49-52</t>
        </is>
      </c>
      <c r="F714" s="7" t="inlineStr">
        <is>
          <t>49 CE</t>
        </is>
      </c>
      <c r="G714" s="7" t="inlineStr">
        <is>
          <t>Approx. (c.)</t>
        </is>
      </c>
      <c r="H714" s="7" t="inlineStr">
        <is>
          <t>52 CE</t>
        </is>
      </c>
      <c r="I714" s="7" t="inlineStr">
        <is>
          <t>Approx. (c.)</t>
        </is>
      </c>
      <c r="J714" s="7" t="inlineStr">
        <is>
          <t>c. 3 years</t>
        </is>
      </c>
      <c r="K714" s="2" t="inlineStr">
        <is>
          <t>Paul’s second missionary journey</t>
        </is>
      </c>
      <c r="L714" s="2" t="inlineStr">
        <is>
          <t>பவுலின் இரண்டாவது மிஷனரி பயணம்</t>
        </is>
      </c>
      <c r="M714" s="7" t="inlineStr">
        <is>
          <t>Leaving Syrian Antioch with Silas in the summer of 49 C.E., Paul traveled through Asia Minor, crossed into Europe, founded congregations in Macedonia and Greece, stayed 18 months in Corinth, and returned to Antioch probably in the summer of 52 C.E.</t>
        </is>
      </c>
      <c r="N714" s="7" t="inlineStr">
        <is>
          <t>பவுலின் இரண்டாவது மிஷனரி பயணம், ஏ. பொ.ச. 49-52. ... அவர் அங்கிருந்து இரண்டாவது பயணம் சென்றபோது அது பொ.ச. 49-⁠ன் கோடைகாலமாய் இருந்திருக்க வேண்டும்.</t>
        </is>
      </c>
      <c r="O714" s="8" t="inlineStr">
        <is>
          <t>Bible</t>
        </is>
      </c>
      <c r="P714" s="7" t="inlineStr">
        <is>
          <t>bible.apostolic</t>
        </is>
      </c>
      <c r="Q714" s="7" t="inlineStr">
        <is>
          <t>journey</t>
        </is>
      </c>
      <c r="R714" s="7" t="inlineStr">
        <is>
          <t>Paul; Silas; Timothy; Luke</t>
        </is>
      </c>
      <c r="S714" s="7" t="inlineStr">
        <is>
          <t>Antioch (Syria); Lystra; Troas; Philippi; Thessalonica; Beroea; Athens; Corinth; Ephesus; Caesarea</t>
        </is>
      </c>
      <c r="T714" s="7" t="inlineStr">
        <is>
          <t>Acts 15:36–18:22</t>
        </is>
      </c>
      <c r="U714" s="7" t="inlineStr">
        <is>
          <t>அப். 15:36–18:22</t>
        </is>
      </c>
      <c r="V714" s="7" t="n">
        <v>5</v>
      </c>
      <c r="W714" s="7" t="inlineStr">
        <is>
          <t>Study Number 3—Measuring Events in the Stream of Time</t>
        </is>
      </c>
      <c r="X714" s="9" t="inlineStr">
        <is>
          <t>open</t>
        </is>
      </c>
      <c r="Y714" s="9" t="inlineStr">
        <is>
          <t>open</t>
        </is>
      </c>
      <c r="Z714" s="7" t="inlineStr">
        <is>
          <t>https://wol.jw.org/en/wol/d/r1/lp-e/1101990130
https://wol.jw.org/en/wol/d/r1/lp-e/1200003406
https://wol.jw.org/en/wol/d/r1/lp-e/1200000292
https://wol.jw.org/en/wol/d/r1/lp-e/1102009041
https://wol.jw.org/en/wol/d/r1/lp-e/1001070234</t>
        </is>
      </c>
      <c r="AA714" s="7" t="n">
        <v>3</v>
      </c>
      <c r="AB714" s="9" t="inlineStr">
        <is>
          <t>open</t>
        </is>
      </c>
      <c r="AC714" s="7" t="n">
        <v>0</v>
      </c>
      <c r="AD714" s="7" t="n"/>
      <c r="AE714" s="7" t="n"/>
      <c r="AF714" s="7" t="n"/>
      <c r="AG714" s="7" t="n"/>
      <c r="AH714" s="7" t="n"/>
      <c r="AI714" s="7" t="n"/>
      <c r="AJ714" s="7" t="n"/>
      <c r="AK714" s="7" t="inlineStr">
        <is>
          <t>spread-of-christianity #3 (item)</t>
        </is>
      </c>
      <c r="AL714" s="7" t="n"/>
      <c r="AM714" s="7" t="n">
        <v>49.5</v>
      </c>
      <c r="AN714" s="10" t="n"/>
      <c r="AO714" s="10" t="n"/>
      <c r="AP714" s="10" t="n"/>
      <c r="AQ714" s="10" t="n"/>
    </row>
    <row r="715">
      <c r="A715" s="7" t="inlineStr">
        <is>
          <t>b6-0027</t>
        </is>
      </c>
      <c r="B715" s="11" t="inlineStr">
        <is>
          <t>Span</t>
        </is>
      </c>
      <c r="C715" s="7" t="inlineStr">
        <is>
          <t>period</t>
        </is>
      </c>
      <c r="D715" s="7" t="inlineStr">
        <is>
          <t>c. 49-52 C.E.</t>
        </is>
      </c>
      <c r="E715" s="7" t="inlineStr">
        <is>
          <t>சுமார் கி.பி. 49-52</t>
        </is>
      </c>
      <c r="F715" s="7" t="inlineStr">
        <is>
          <t>49 CE</t>
        </is>
      </c>
      <c r="G715" s="7" t="inlineStr">
        <is>
          <t>Approx. (c.)</t>
        </is>
      </c>
      <c r="H715" s="7" t="inlineStr">
        <is>
          <t>52 CE</t>
        </is>
      </c>
      <c r="I715" s="7" t="inlineStr">
        <is>
          <t>Approx. (c.)</t>
        </is>
      </c>
      <c r="J715" s="7" t="inlineStr">
        <is>
          <t>c. 3 years</t>
        </is>
      </c>
      <c r="K715" s="2" t="inlineStr">
        <is>
          <t>Barnabas and Mark preach in Cyprus</t>
        </is>
      </c>
      <c r="L715" s="2" t="inlineStr">
        <is>
          <t>சீப்புருவில் பர்னபாவும் மாற்குவும் பிரசங்கிக்கிறார்கள்</t>
        </is>
      </c>
      <c r="M715" s="7" t="inlineStr">
        <is>
          <t>After a sharp disagreement over taking Mark along, Barnabas took Mark and sailed to Cyprus while Paul chose Silas.</t>
        </is>
      </c>
      <c r="N715" s="7" t="inlineStr">
        <is>
          <t>சீப்புருவில் பர்னபாவும் மாற்குவும் பிரசங்கிக்கிறார்கள்.</t>
        </is>
      </c>
      <c r="O715" s="8" t="inlineStr">
        <is>
          <t>Bible</t>
        </is>
      </c>
      <c r="P715" s="7" t="inlineStr">
        <is>
          <t>bible.apostolic</t>
        </is>
      </c>
      <c r="Q715" s="7" t="inlineStr">
        <is>
          <t>preaching</t>
        </is>
      </c>
      <c r="R715" s="7" t="inlineStr">
        <is>
          <t>Barnabas; John Mark</t>
        </is>
      </c>
      <c r="S715" s="7" t="inlineStr">
        <is>
          <t>Cyprus</t>
        </is>
      </c>
      <c r="T715" s="7" t="inlineStr">
        <is>
          <t>Acts 15:37-40</t>
        </is>
      </c>
      <c r="U715" s="7" t="n"/>
      <c r="V715" s="7" t="n">
        <v>1</v>
      </c>
      <c r="W715" s="7" t="inlineStr">
        <is>
          <t>“Go . . . and Make Disciples” (box: Important Dates in the Spread of Christianity During the First Century C.E.)</t>
        </is>
      </c>
      <c r="X715" s="9" t="inlineStr">
        <is>
          <t>open</t>
        </is>
      </c>
      <c r="Y715" s="9" t="inlineStr">
        <is>
          <t>open</t>
        </is>
      </c>
      <c r="Z715" s="7" t="inlineStr">
        <is>
          <t>https://wol.jw.org/en/wol/d/r1/lp-e/1102009041</t>
        </is>
      </c>
      <c r="AA715" s="7" t="n">
        <v>0</v>
      </c>
      <c r="AB715" s="7" t="n"/>
      <c r="AC715" s="7" t="n">
        <v>0</v>
      </c>
      <c r="AD715" s="7" t="n"/>
      <c r="AE715" s="7" t="n"/>
      <c r="AF715" s="7" t="n"/>
      <c r="AG715" s="7" t="n"/>
      <c r="AH715" s="7" t="n"/>
      <c r="AI715" s="7" t="n"/>
      <c r="AJ715" s="7" t="n"/>
      <c r="AK715" s="7" t="n"/>
      <c r="AL715" s="7" t="n"/>
      <c r="AM715" s="7" t="n">
        <v>49.51</v>
      </c>
      <c r="AN715" s="10" t="n"/>
      <c r="AO715" s="10" t="n"/>
      <c r="AP715" s="10" t="n"/>
      <c r="AQ715" s="10" t="n"/>
    </row>
    <row r="716">
      <c r="A716" s="7" t="inlineStr">
        <is>
          <t>b6-0028</t>
        </is>
      </c>
      <c r="B716" s="7" t="inlineStr">
        <is>
          <t>Point</t>
        </is>
      </c>
      <c r="C716" s="7" t="n"/>
      <c r="D716" s="7" t="inlineStr">
        <is>
          <t>c. 49-50 C.E.</t>
        </is>
      </c>
      <c r="E716" s="7" t="inlineStr">
        <is>
          <t>சுமார் கி.பி. 49-50</t>
        </is>
      </c>
      <c r="F716" s="7" t="inlineStr">
        <is>
          <t>49 CE</t>
        </is>
      </c>
      <c r="G716" s="7" t="inlineStr">
        <is>
          <t>Between (one moment in a window)</t>
        </is>
      </c>
      <c r="H716" s="7" t="n"/>
      <c r="I716" s="7" t="n"/>
      <c r="J716" s="7" t="n"/>
      <c r="K716" s="2" t="inlineStr">
        <is>
          <t>Claudius expels the Jews from Rome</t>
        </is>
      </c>
      <c r="L716" s="2" t="inlineStr">
        <is>
          <t>யூதர்களை ரோமிலிருந்து கிலவுதியு வெளியேற்றுகிறார்</t>
        </is>
      </c>
      <c r="M716" s="7" t="inlineStr">
        <is>
          <t>Emperor Claudius ordered all Jews to leave Rome, an edict that brought Aquila and Priscilla to Corinth shortly before Paul arrived there.</t>
        </is>
      </c>
      <c r="N716" s="7" t="inlineStr">
        <is>
          <t>யூதர்கள் வெளியேறும்படியான இந்தக் கட்டளை, கிலவுதியுராயனின் ஒன்பதாவது ஆண்டில், அதாவது, பொ.ச. 49-⁠ல் அல்லது பொ.ச. 50-⁠ன் தொடக்கத்தில் கொடுக்கப்பட்டதாக ... சொன்னார்.</t>
        </is>
      </c>
      <c r="O716" s="8" t="inlineStr">
        <is>
          <t>Bible</t>
        </is>
      </c>
      <c r="P716" s="7" t="inlineStr">
        <is>
          <t>bible.apostolic</t>
        </is>
      </c>
      <c r="Q716" s="7" t="inlineStr">
        <is>
          <t>decree</t>
        </is>
      </c>
      <c r="R716" s="7" t="inlineStr">
        <is>
          <t>Claudius; Aquila; Priscilla</t>
        </is>
      </c>
      <c r="S716" s="7" t="inlineStr">
        <is>
          <t>Rome; Corinth</t>
        </is>
      </c>
      <c r="T716" s="7" t="inlineStr">
        <is>
          <t>Acts 18:2</t>
        </is>
      </c>
      <c r="U716" s="7" t="inlineStr">
        <is>
          <t>அப். 18:2</t>
        </is>
      </c>
      <c r="V716" s="7" t="n">
        <v>4</v>
      </c>
      <c r="W716" s="7" t="inlineStr">
        <is>
          <t>Study Number 3—Measuring Events in the Stream of Time</t>
        </is>
      </c>
      <c r="X716" s="9" t="inlineStr">
        <is>
          <t>open</t>
        </is>
      </c>
      <c r="Y716" s="9" t="inlineStr">
        <is>
          <t>open</t>
        </is>
      </c>
      <c r="Z716" s="7" t="inlineStr">
        <is>
          <t>https://wol.jw.org/en/wol/d/r1/lp-e/1101990130
https://wol.jw.org/en/wol/d/r1/lp-e/1200000970
https://wol.jw.org/en/wol/d/r1/lp-e/1001070707
https://wol.jw.org/en/wol/d/r1/lp-e/1102009041</t>
        </is>
      </c>
      <c r="AA716" s="7" t="n">
        <v>0</v>
      </c>
      <c r="AB716" s="7" t="n"/>
      <c r="AC716" s="7" t="n">
        <v>1</v>
      </c>
      <c r="AD716" s="7" t="inlineStr">
        <is>
          <t>Aid to Bible Understanding (1971) 'Chronology' dates the edict 'early in 50 C.E.'; Insight 'Chronology' (1200000970) and si give '49 or early 50 C.E.' (kept as primary).</t>
        </is>
      </c>
      <c r="AE716" s="7" t="n"/>
      <c r="AF716" s="7" t="n"/>
      <c r="AG716" s="7" t="n"/>
      <c r="AH716" s="7" t="n"/>
      <c r="AI716" s="7" t="n"/>
      <c r="AJ716" s="7" t="n"/>
      <c r="AK716" s="7" t="n"/>
      <c r="AL716" s="7" t="n"/>
      <c r="AM716" s="7" t="n">
        <v>49.6</v>
      </c>
      <c r="AN716" s="10" t="n"/>
      <c r="AO716" s="10" t="n"/>
      <c r="AP716" s="10" t="n"/>
      <c r="AQ716" s="10" t="n"/>
    </row>
    <row r="717">
      <c r="A717" s="7" t="inlineStr">
        <is>
          <t>b6-0029</t>
        </is>
      </c>
      <c r="B717" s="7" t="inlineStr">
        <is>
          <t>Point</t>
        </is>
      </c>
      <c r="C717" s="7" t="n"/>
      <c r="D717" s="7" t="inlineStr">
        <is>
          <t>late 49 or early 50 C.E.</t>
        </is>
      </c>
      <c r="E717" s="7" t="n"/>
      <c r="F717" s="7" t="inlineStr">
        <is>
          <t>49 CE</t>
        </is>
      </c>
      <c r="G717" s="7" t="inlineStr">
        <is>
          <t>Approx. (c.)</t>
        </is>
      </c>
      <c r="H717" s="7" t="n"/>
      <c r="I717" s="7" t="n"/>
      <c r="J717" s="7" t="n"/>
      <c r="K717" s="2" t="inlineStr">
        <is>
          <t>Timothy joins Paul at Lystra</t>
        </is>
      </c>
      <c r="L717" s="2" t="n"/>
      <c r="M717" s="7" t="inlineStr">
        <is>
          <t>On his second tour Paul came to Lystra, apparently Timothy’s hometown, and arranged for the well-reported young disciple Timothy to travel with him.</t>
        </is>
      </c>
      <c r="N717" s="7" t="n"/>
      <c r="O717" s="8" t="inlineStr">
        <is>
          <t>Bible</t>
        </is>
      </c>
      <c r="P717" s="7" t="inlineStr">
        <is>
          <t>bible.apostolic</t>
        </is>
      </c>
      <c r="Q717" s="7" t="inlineStr">
        <is>
          <t>companionship</t>
        </is>
      </c>
      <c r="R717" s="7" t="inlineStr">
        <is>
          <t>Paul; Timothy</t>
        </is>
      </c>
      <c r="S717" s="7" t="inlineStr">
        <is>
          <t>Lystra</t>
        </is>
      </c>
      <c r="T717" s="7" t="inlineStr">
        <is>
          <t>Acts 16:1-3</t>
        </is>
      </c>
      <c r="U717" s="7" t="n"/>
      <c r="V717" s="7" t="n">
        <v>2</v>
      </c>
      <c r="W717" s="7" t="inlineStr">
        <is>
          <t>Acts Study Notes—Chapter 16</t>
        </is>
      </c>
      <c r="X717" s="9" t="inlineStr">
        <is>
          <t>open</t>
        </is>
      </c>
      <c r="Y717" s="7" t="n"/>
      <c r="Z717" s="7" t="inlineStr">
        <is>
          <t>https://wol.jw.org/en/wol/d/r1/lp-e/1001070705
https://wol.jw.org/en/wol/d/r1/lp-e/1200003406</t>
        </is>
      </c>
      <c r="AA717" s="7" t="n">
        <v>1</v>
      </c>
      <c r="AB717" s="9" t="inlineStr">
        <is>
          <t>open</t>
        </is>
      </c>
      <c r="AC717" s="7" t="n">
        <v>0</v>
      </c>
      <c r="AD717" s="7" t="n"/>
      <c r="AE717" s="7" t="n"/>
      <c r="AF717" s="7" t="n"/>
      <c r="AG717" s="7" t="n"/>
      <c r="AH717" s="7" t="n"/>
      <c r="AI717" s="7" t="n"/>
      <c r="AJ717" s="7" t="n"/>
      <c r="AK717" s="7" t="n"/>
      <c r="AL717" s="7" t="n"/>
      <c r="AM717" s="7" t="n">
        <v>49.9</v>
      </c>
      <c r="AN717" s="10" t="n"/>
      <c r="AO717" s="10" t="n"/>
      <c r="AP717" s="10" t="n"/>
      <c r="AQ717" s="10" t="n"/>
    </row>
    <row r="718">
      <c r="A718" s="7" t="inlineStr">
        <is>
          <t>b11-0044</t>
        </is>
      </c>
      <c r="B718" s="7" t="inlineStr">
        <is>
          <t>Point</t>
        </is>
      </c>
      <c r="C718" s="7" t="n"/>
      <c r="D718" s="7" t="inlineStr">
        <is>
          <t>c. 50-52 C.E.</t>
        </is>
      </c>
      <c r="E718" s="7" t="inlineStr">
        <is>
          <t>ஏ. கி.பி. 50-52</t>
        </is>
      </c>
      <c r="F718" s="7" t="inlineStr">
        <is>
          <t>50 CE</t>
        </is>
      </c>
      <c r="G718" s="7" t="inlineStr">
        <is>
          <t>Between (one moment in a window)</t>
        </is>
      </c>
      <c r="H718" s="7" t="n"/>
      <c r="I718" s="7" t="n"/>
      <c r="J718" s="7" t="n"/>
      <c r="K718" s="2" t="inlineStr">
        <is>
          <t>Writing of Galatians completed</t>
        </is>
      </c>
      <c r="L718" s="2" t="inlineStr">
        <is>
          <t>கலாத்தியர் — எழுதி முடிக்கப்பட்டது</t>
        </is>
      </c>
      <c r="M718" s="7" t="inlineStr">
        <is>
          <t>The writing of Galatians was completed c. 50-52 C.E. Writer: Paul; place written: Corinth or Syrian Antioch.</t>
        </is>
      </c>
      <c r="N718" s="7" t="inlineStr">
        <is>
          <t>கலாத்தியர்: எழுதியவர்(கள்): பவுல்; எழுதப்பட்ட இடம்: கொரிந்து அல்லது சீரியாவின் அந்தியோகியா; முடிக்கப்பட்ட வருஷம் (கி.பி.): ஏ. 50-52.</t>
        </is>
      </c>
      <c r="O718" s="8" t="inlineStr">
        <is>
          <t>Bible</t>
        </is>
      </c>
      <c r="P718" s="7" t="inlineStr">
        <is>
          <t>bible.book_writing</t>
        </is>
      </c>
      <c r="Q718" s="7" t="inlineStr">
        <is>
          <t>writing_completed</t>
        </is>
      </c>
      <c r="R718" s="7" t="inlineStr">
        <is>
          <t>Paul</t>
        </is>
      </c>
      <c r="S718" s="7" t="inlineStr">
        <is>
          <t>Corinth; Syrian Antioch</t>
        </is>
      </c>
      <c r="T718" s="7" t="inlineStr">
        <is>
          <t>Gal.</t>
        </is>
      </c>
      <c r="U718" s="7" t="inlineStr">
        <is>
          <t>கலா.</t>
        </is>
      </c>
      <c r="V718" s="7" t="n">
        <v>6</v>
      </c>
      <c r="W718" s="7" t="inlineStr">
        <is>
          <t>Table of the Books of the Bible</t>
        </is>
      </c>
      <c r="X718" s="9" t="inlineStr">
        <is>
          <t>open</t>
        </is>
      </c>
      <c r="Y718" s="9" t="inlineStr">
        <is>
          <t>open</t>
        </is>
      </c>
      <c r="Z718" s="7" t="inlineStr">
        <is>
          <t>https://wol.jw.org/en/wol/d/r1/lp-e/1001070071
https://wol.jw.org/en/wol/d/r1/lp-e/1101990109
https://www.jw.org/en/library/bible/study-bible/books-of-the-bible-list/
https://wol.jw.org/en/wol/d/r1/lp-e/1001060002
https://wol.jw.org/en/wol/d/r1/lp-e/1101990130
https://wol.jw.org/en/wol/d/r1/lp-e/1102009041</t>
        </is>
      </c>
      <c r="AA718" s="7" t="n">
        <v>0</v>
      </c>
      <c r="AB718" s="7" t="n"/>
      <c r="AC718" s="7" t="n">
        <v>0</v>
      </c>
      <c r="AD718" s="7" t="n"/>
      <c r="AE718" s="7" t="n"/>
      <c r="AF718" s="7" t="n"/>
      <c r="AG718" s="7" t="n"/>
      <c r="AH718" s="7" t="n"/>
      <c r="AI718" s="7" t="n"/>
      <c r="AJ718" s="7" t="n"/>
      <c r="AK718" s="7" t="inlineStr">
        <is>
          <t>bible-books-written #48 (item)</t>
        </is>
      </c>
      <c r="AL718" s="7" t="inlineStr">
        <is>
          <t>Writer(s): Paul. Place written: Corinth or Syrian Antioch. Writing completed: c. 50-52 C.E. Time covered: —. Date is a range with marker 'approx' applied to the whole range.</t>
        </is>
      </c>
      <c r="AM718" s="7" t="n">
        <v>50.0048</v>
      </c>
      <c r="AN718" s="10" t="n"/>
      <c r="AO718" s="10" t="n"/>
      <c r="AP718" s="10" t="n"/>
      <c r="AQ718" s="10" t="n"/>
    </row>
    <row r="719">
      <c r="A719" s="7" t="inlineStr">
        <is>
          <t>b11-0045</t>
        </is>
      </c>
      <c r="B719" s="7" t="inlineStr">
        <is>
          <t>Point</t>
        </is>
      </c>
      <c r="C719" s="7" t="n"/>
      <c r="D719" s="7" t="inlineStr">
        <is>
          <t>c. 50 C.E.</t>
        </is>
      </c>
      <c r="E719" s="7" t="inlineStr">
        <is>
          <t>ஏ. கி.பி. 50</t>
        </is>
      </c>
      <c r="F719" s="7" t="inlineStr">
        <is>
          <t>50 CE</t>
        </is>
      </c>
      <c r="G719" s="7" t="inlineStr">
        <is>
          <t>Approx. (c.)</t>
        </is>
      </c>
      <c r="H719" s="7" t="n"/>
      <c r="I719" s="7" t="n"/>
      <c r="J719" s="7" t="n"/>
      <c r="K719" s="2" t="inlineStr">
        <is>
          <t>Writing of 1 Thessalonians completed</t>
        </is>
      </c>
      <c r="L719" s="2" t="inlineStr">
        <is>
          <t>1 தெசலோனிக்கேயர் — எழுதி முடிக்கப்பட்டது</t>
        </is>
      </c>
      <c r="M719" s="7" t="inlineStr">
        <is>
          <t>The writing of 1 Thessalonians was completed c. 50 C.E. Writer: Paul; place written: Corinth.</t>
        </is>
      </c>
      <c r="N719" s="7" t="inlineStr">
        <is>
          <t>1 தெசலோனிக்கேயர்: எழுதியவர்(கள்): பவுல்; எழுதப்பட்ட இடம்: கொரிந்து; முடிக்கப்பட்ட வருஷம் (கி.பி.): ஏ. 50.</t>
        </is>
      </c>
      <c r="O719" s="8" t="inlineStr">
        <is>
          <t>Bible</t>
        </is>
      </c>
      <c r="P719" s="7" t="inlineStr">
        <is>
          <t>bible.book_writing</t>
        </is>
      </c>
      <c r="Q719" s="7" t="inlineStr">
        <is>
          <t>writing_completed</t>
        </is>
      </c>
      <c r="R719" s="7" t="inlineStr">
        <is>
          <t>Paul</t>
        </is>
      </c>
      <c r="S719" s="7" t="inlineStr">
        <is>
          <t>Corinth</t>
        </is>
      </c>
      <c r="T719" s="7" t="inlineStr">
        <is>
          <t>1 Thess.</t>
        </is>
      </c>
      <c r="U719" s="7" t="inlineStr">
        <is>
          <t>1 தெ.</t>
        </is>
      </c>
      <c r="V719" s="7" t="n">
        <v>6</v>
      </c>
      <c r="W719" s="7" t="inlineStr">
        <is>
          <t>Table of the Books of the Bible</t>
        </is>
      </c>
      <c r="X719" s="9" t="inlineStr">
        <is>
          <t>open</t>
        </is>
      </c>
      <c r="Y719" s="9" t="inlineStr">
        <is>
          <t>open</t>
        </is>
      </c>
      <c r="Z719" s="7" t="inlineStr">
        <is>
          <t>https://wol.jw.org/en/wol/d/r1/lp-e/1001070071
https://wol.jw.org/en/wol/d/r1/lp-e/1101990113
https://www.jw.org/en/library/bible/study-bible/books-of-the-bible-list/
https://wol.jw.org/en/wol/d/r1/lp-e/1001060002
https://wol.jw.org/en/wol/d/r1/lp-e/1101990130
https://wol.jw.org/en/wol/d/r1/lp-e/1102009041</t>
        </is>
      </c>
      <c r="AA719" s="7" t="n">
        <v>0</v>
      </c>
      <c r="AB719" s="7" t="n"/>
      <c r="AC719" s="7" t="n">
        <v>1</v>
      </c>
      <c r="AD719" s="7" t="inlineStr">
        <is>
          <t>bt ch. 1 chart lists '1 Thessalonians written' under the grouped row c. 50-52 (Paul in Corinth); NWT table and si give c. 50 (kept as primary).</t>
        </is>
      </c>
      <c r="AE719" s="7" t="n"/>
      <c r="AF719" s="7" t="n"/>
      <c r="AG719" s="7" t="n"/>
      <c r="AH719" s="7" t="n"/>
      <c r="AI719" s="7" t="n"/>
      <c r="AJ719" s="7" t="n"/>
      <c r="AK719" s="7" t="inlineStr">
        <is>
          <t>bible-books-written #52 (item)</t>
        </is>
      </c>
      <c r="AL719" s="7" t="inlineStr">
        <is>
          <t>Writer(s): Paul. Place written: Corinth. Writing completed: c. 50 C.E. Time covered: —.</t>
        </is>
      </c>
      <c r="AM719" s="7" t="n">
        <v>50.0052</v>
      </c>
      <c r="AN719" s="10" t="n"/>
      <c r="AO719" s="10" t="n"/>
      <c r="AP719" s="10" t="n"/>
      <c r="AQ719" s="10" t="n"/>
    </row>
    <row r="720">
      <c r="A720" s="7" t="inlineStr">
        <is>
          <t>b6-0030</t>
        </is>
      </c>
      <c r="B720" s="7" t="inlineStr">
        <is>
          <t>Point</t>
        </is>
      </c>
      <c r="C720" s="7" t="n"/>
      <c r="D720" s="7" t="inlineStr">
        <is>
          <t>c. 50 C.E. (probably spring)</t>
        </is>
      </c>
      <c r="E720" s="7" t="inlineStr">
        <is>
          <t>சுமார் கி.பி. 50</t>
        </is>
      </c>
      <c r="F720" s="7" t="inlineStr">
        <is>
          <t>50 CE</t>
        </is>
      </c>
      <c r="G720" s="7" t="inlineStr">
        <is>
          <t>Approx. (c.)</t>
        </is>
      </c>
      <c r="H720" s="7" t="n"/>
      <c r="I720" s="7" t="n"/>
      <c r="J720" s="7" t="n"/>
      <c r="K720" s="2" t="inlineStr">
        <is>
          <t>Paul’s vision of the Macedonian man; Paul crosses into Europe</t>
        </is>
      </c>
      <c r="L720" s="2" t="inlineStr">
        <is>
          <t>மக்கெதோனியா மனிதனை பவுல் தரிசனத்தில் பார்க்கிறார்</t>
        </is>
      </c>
      <c r="M720" s="7" t="inlineStr">
        <is>
          <t>At Troas Paul saw in vision a man of Macedonia pleading for help; probably in the spring of 50 C.E. he answered the call and crossed over into Europe.</t>
        </is>
      </c>
      <c r="N720" s="7" t="inlineStr">
        <is>
          <t>மக்கெதோனியா தேசத்தானின் அழைப்புக்குப் பதிலளித்து, ஐரோப்பாவுக்குள் சென்றது பெரும்பாலும் பொ.ச. 50-⁠ன் வசந்தகாலமாக இருந்திருக்கலாம்.</t>
        </is>
      </c>
      <c r="O720" s="8" t="inlineStr">
        <is>
          <t>Bible</t>
        </is>
      </c>
      <c r="P720" s="7" t="inlineStr">
        <is>
          <t>bible.apostolic</t>
        </is>
      </c>
      <c r="Q720" s="7" t="inlineStr">
        <is>
          <t>vision</t>
        </is>
      </c>
      <c r="R720" s="7" t="inlineStr">
        <is>
          <t>Paul</t>
        </is>
      </c>
      <c r="S720" s="7" t="inlineStr">
        <is>
          <t>Troas; Macedonia</t>
        </is>
      </c>
      <c r="T720" s="7" t="inlineStr">
        <is>
          <t>Acts 16:9-11</t>
        </is>
      </c>
      <c r="U720" s="7" t="inlineStr">
        <is>
          <t>அப். 16:9, 11, 12</t>
        </is>
      </c>
      <c r="V720" s="7" t="n">
        <v>2</v>
      </c>
      <c r="W720" s="7" t="inlineStr">
        <is>
          <t>Study Number 3—Measuring Events in the Stream of Time</t>
        </is>
      </c>
      <c r="X720" s="9" t="inlineStr">
        <is>
          <t>open</t>
        </is>
      </c>
      <c r="Y720" s="9" t="inlineStr">
        <is>
          <t>open</t>
        </is>
      </c>
      <c r="Z720" s="7" t="inlineStr">
        <is>
          <t>https://wol.jw.org/en/wol/d/r1/lp-e/1101990130
https://wol.jw.org/en/wol/d/r1/lp-e/1102009041</t>
        </is>
      </c>
      <c r="AA720" s="7" t="n">
        <v>0</v>
      </c>
      <c r="AB720" s="7" t="n"/>
      <c r="AC720" s="7" t="n">
        <v>0</v>
      </c>
      <c r="AD720" s="7" t="n"/>
      <c r="AE720" s="7" t="n"/>
      <c r="AF720" s="7" t="n"/>
      <c r="AG720" s="7" t="n"/>
      <c r="AH720" s="7" t="n"/>
      <c r="AI720" s="7" t="n"/>
      <c r="AJ720" s="7" t="n"/>
      <c r="AK720" s="7" t="n"/>
      <c r="AL720" s="7" t="n"/>
      <c r="AM720" s="7" t="n">
        <v>50.25</v>
      </c>
      <c r="AN720" s="10" t="n"/>
      <c r="AO720" s="10" t="n"/>
      <c r="AP720" s="10" t="n"/>
      <c r="AQ720" s="10" t="n"/>
    </row>
    <row r="721">
      <c r="A721" s="7" t="inlineStr">
        <is>
          <t>b6-0031</t>
        </is>
      </c>
      <c r="B721" s="7" t="inlineStr">
        <is>
          <t>Point</t>
        </is>
      </c>
      <c r="C721" s="7" t="n"/>
      <c r="D721" s="7" t="inlineStr">
        <is>
          <t>c. 50 C.E.</t>
        </is>
      </c>
      <c r="E721" s="7" t="inlineStr">
        <is>
          <t>சுமார் கி.பி. 50</t>
        </is>
      </c>
      <c r="F721" s="7" t="inlineStr">
        <is>
          <t>50 CE</t>
        </is>
      </c>
      <c r="G721" s="7" t="inlineStr">
        <is>
          <t>Approx. (c.)</t>
        </is>
      </c>
      <c r="H721" s="7" t="n"/>
      <c r="I721" s="7" t="n"/>
      <c r="J721" s="7" t="n"/>
      <c r="K721" s="2" t="inlineStr">
        <is>
          <t>Luke joins Paul at Troas</t>
        </is>
      </c>
      <c r="L721" s="2" t="inlineStr">
        <is>
          <t>துரோவாவில் பவுலுடன் லூக்கா சேர்ந்துகொள்கிறார்</t>
        </is>
      </c>
      <c r="M721" s="7" t="inlineStr">
        <is>
          <t>The physician Luke, writer of Acts, began accompanying Paul at Troas, as shown by the narrative’s change to “we,” and went with him as far as Philippi.</t>
        </is>
      </c>
      <c r="N721" s="7" t="inlineStr">
        <is>
          <t>துரோவாவில் பவுலுடன் லூக்கா சேர்ந்துகொள்கிறார்.</t>
        </is>
      </c>
      <c r="O721" s="8" t="inlineStr">
        <is>
          <t>Bible</t>
        </is>
      </c>
      <c r="P721" s="7" t="inlineStr">
        <is>
          <t>bible.apostolic</t>
        </is>
      </c>
      <c r="Q721" s="7" t="inlineStr">
        <is>
          <t>companionship</t>
        </is>
      </c>
      <c r="R721" s="7" t="inlineStr">
        <is>
          <t>Luke; Paul</t>
        </is>
      </c>
      <c r="S721" s="7" t="inlineStr">
        <is>
          <t>Troas; Philippi</t>
        </is>
      </c>
      <c r="T721" s="7" t="inlineStr">
        <is>
          <t>Acts 16:10-17</t>
        </is>
      </c>
      <c r="U721" s="7" t="n"/>
      <c r="V721" s="7" t="n">
        <v>2</v>
      </c>
      <c r="W721" s="7" t="inlineStr">
        <is>
          <t>“Go . . . and Make Disciples” (box: Important Dates in the Spread of Christianity During the First Century C.E.)</t>
        </is>
      </c>
      <c r="X721" s="9" t="inlineStr">
        <is>
          <t>open</t>
        </is>
      </c>
      <c r="Y721" s="9" t="inlineStr">
        <is>
          <t>open</t>
        </is>
      </c>
      <c r="Z721" s="7" t="inlineStr">
        <is>
          <t>https://wol.jw.org/en/wol/d/r1/lp-e/1102009041
https://wol.jw.org/en/wol/d/r1/lp-e/1001070705</t>
        </is>
      </c>
      <c r="AA721" s="7" t="n">
        <v>1</v>
      </c>
      <c r="AB721" s="9" t="inlineStr">
        <is>
          <t>open</t>
        </is>
      </c>
      <c r="AC721" s="7" t="n">
        <v>0</v>
      </c>
      <c r="AD721" s="7" t="n"/>
      <c r="AE721" s="7" t="n"/>
      <c r="AF721" s="7" t="n"/>
      <c r="AG721" s="7" t="n"/>
      <c r="AH721" s="7" t="n"/>
      <c r="AI721" s="7" t="n"/>
      <c r="AJ721" s="7" t="n"/>
      <c r="AK721" s="7" t="n"/>
      <c r="AL721" s="7" t="n"/>
      <c r="AM721" s="7" t="n">
        <v>50.26</v>
      </c>
      <c r="AN721" s="10" t="n"/>
      <c r="AO721" s="10" t="n"/>
      <c r="AP721" s="10" t="n"/>
      <c r="AQ721" s="10" t="n"/>
    </row>
    <row r="722">
      <c r="A722" s="7" t="inlineStr">
        <is>
          <t>b6-0032</t>
        </is>
      </c>
      <c r="B722" s="7" t="inlineStr">
        <is>
          <t>Point</t>
        </is>
      </c>
      <c r="C722" s="7" t="n"/>
      <c r="D722" s="7" t="inlineStr">
        <is>
          <t>c. 50 C.E.</t>
        </is>
      </c>
      <c r="E722" s="7" t="inlineStr">
        <is>
          <t>சுமார் கி.பி. 50</t>
        </is>
      </c>
      <c r="F722" s="7" t="inlineStr">
        <is>
          <t>50 CE</t>
        </is>
      </c>
      <c r="G722" s="7" t="inlineStr">
        <is>
          <t>Approx. (c.)</t>
        </is>
      </c>
      <c r="H722" s="7" t="n"/>
      <c r="I722" s="7" t="n"/>
      <c r="J722" s="7" t="n"/>
      <c r="K722" s="2" t="inlineStr">
        <is>
          <t>Paul visits Philippi</t>
        </is>
      </c>
      <c r="L722" s="2" t="inlineStr">
        <is>
          <t>பிலிப்பி பட்டணத்துக்கு பவுல் போகிறார்</t>
        </is>
      </c>
      <c r="M722" s="7" t="inlineStr">
        <is>
          <t>Paul and his companions preached in Philippi, a Roman colony in Macedonia, where they were beaten and imprisoned before the jailer and his household became believers.</t>
        </is>
      </c>
      <c r="N722" s="7" t="inlineStr">
        <is>
          <t>பிலிப்பி பட்டணத்துக்கு பவுல் போகிறார்.</t>
        </is>
      </c>
      <c r="O722" s="8" t="inlineStr">
        <is>
          <t>Bible</t>
        </is>
      </c>
      <c r="P722" s="7" t="inlineStr">
        <is>
          <t>bible.apostolic</t>
        </is>
      </c>
      <c r="Q722" s="7" t="inlineStr">
        <is>
          <t>visit</t>
        </is>
      </c>
      <c r="R722" s="7" t="inlineStr">
        <is>
          <t>Paul; Silas</t>
        </is>
      </c>
      <c r="S722" s="7" t="inlineStr">
        <is>
          <t>Philippi</t>
        </is>
      </c>
      <c r="T722" s="7" t="inlineStr">
        <is>
          <t>Acts 16:12-40</t>
        </is>
      </c>
      <c r="U722" s="7" t="n"/>
      <c r="V722" s="7" t="n">
        <v>2</v>
      </c>
      <c r="W722" s="7" t="inlineStr">
        <is>
          <t>“Go . . . and Make Disciples” (box: Important Dates in the Spread of Christianity During the First Century C.E.)</t>
        </is>
      </c>
      <c r="X722" s="9" t="inlineStr">
        <is>
          <t>open</t>
        </is>
      </c>
      <c r="Y722" s="9" t="inlineStr">
        <is>
          <t>open</t>
        </is>
      </c>
      <c r="Z722" s="7" t="inlineStr">
        <is>
          <t>https://wol.jw.org/en/wol/d/r1/lp-e/1102009041
https://wol.jw.org/en/wol/d/r1/lp-e/1101990130</t>
        </is>
      </c>
      <c r="AA722" s="7" t="n">
        <v>0</v>
      </c>
      <c r="AB722" s="7" t="n"/>
      <c r="AC722" s="7" t="n">
        <v>0</v>
      </c>
      <c r="AD722" s="7" t="n"/>
      <c r="AE722" s="7" t="n"/>
      <c r="AF722" s="7" t="n"/>
      <c r="AG722" s="7" t="n"/>
      <c r="AH722" s="7" t="n"/>
      <c r="AI722" s="7" t="n"/>
      <c r="AJ722" s="7" t="n"/>
      <c r="AK722" s="7" t="n"/>
      <c r="AL722" s="7" t="n"/>
      <c r="AM722" s="7" t="n">
        <v>50.3</v>
      </c>
      <c r="AN722" s="10" t="n"/>
      <c r="AO722" s="10" t="n"/>
      <c r="AP722" s="10" t="n"/>
      <c r="AQ722" s="10" t="n"/>
    </row>
    <row r="723">
      <c r="A723" s="7" t="inlineStr">
        <is>
          <t>b6-0033</t>
        </is>
      </c>
      <c r="B723" s="7" t="inlineStr">
        <is>
          <t>Point</t>
        </is>
      </c>
      <c r="C723" s="7" t="n"/>
      <c r="D723" s="7" t="inlineStr">
        <is>
          <t>c. 50 C.E.</t>
        </is>
      </c>
      <c r="E723" s="7" t="n"/>
      <c r="F723" s="7" t="inlineStr">
        <is>
          <t>50 CE</t>
        </is>
      </c>
      <c r="G723" s="7" t="inlineStr">
        <is>
          <t>Approx. (c.)</t>
        </is>
      </c>
      <c r="H723" s="7" t="n"/>
      <c r="I723" s="7" t="n"/>
      <c r="J723" s="7" t="n"/>
      <c r="K723" s="2" t="inlineStr">
        <is>
          <t>Lydia and her household become Christians in Philippi</t>
        </is>
      </c>
      <c r="L723" s="2" t="n"/>
      <c r="M723" s="7" t="inlineStr">
        <is>
          <t>Lydia, a seller of purple, and her household were baptized in Philippi, among the first in Europe to embrace Christianity through Paul’s preaching.</t>
        </is>
      </c>
      <c r="N723" s="7" t="n"/>
      <c r="O723" s="8" t="inlineStr">
        <is>
          <t>Bible</t>
        </is>
      </c>
      <c r="P723" s="7" t="inlineStr">
        <is>
          <t>bible.apostolic</t>
        </is>
      </c>
      <c r="Q723" s="7" t="inlineStr">
        <is>
          <t>baptism</t>
        </is>
      </c>
      <c r="R723" s="7" t="inlineStr">
        <is>
          <t>Lydia; Paul</t>
        </is>
      </c>
      <c r="S723" s="7" t="inlineStr">
        <is>
          <t>Philippi</t>
        </is>
      </c>
      <c r="T723" s="7" t="inlineStr">
        <is>
          <t>Acts 16:14, 15</t>
        </is>
      </c>
      <c r="U723" s="7" t="n"/>
      <c r="V723" s="7" t="n">
        <v>1</v>
      </c>
      <c r="W723" s="7" t="inlineStr">
        <is>
          <t>Acts Study Notes—Chapter 16</t>
        </is>
      </c>
      <c r="X723" s="9" t="inlineStr">
        <is>
          <t>open</t>
        </is>
      </c>
      <c r="Y723" s="7" t="n"/>
      <c r="Z723" s="7" t="inlineStr">
        <is>
          <t>https://wol.jw.org/en/wol/d/r1/lp-e/1001070705</t>
        </is>
      </c>
      <c r="AA723" s="7" t="n">
        <v>1</v>
      </c>
      <c r="AB723" s="9" t="inlineStr">
        <is>
          <t>open</t>
        </is>
      </c>
      <c r="AC723" s="7" t="n">
        <v>0</v>
      </c>
      <c r="AD723" s="7" t="n"/>
      <c r="AE723" s="7" t="n"/>
      <c r="AF723" s="7" t="n"/>
      <c r="AG723" s="7" t="n"/>
      <c r="AH723" s="7" t="n"/>
      <c r="AI723" s="7" t="n"/>
      <c r="AJ723" s="7" t="n"/>
      <c r="AK723" s="7" t="n"/>
      <c r="AL723" s="7" t="n"/>
      <c r="AM723" s="7" t="n">
        <v>50.31</v>
      </c>
      <c r="AN723" s="10" t="n"/>
      <c r="AO723" s="10" t="n"/>
      <c r="AP723" s="10" t="n"/>
      <c r="AQ723" s="10" t="n"/>
    </row>
    <row r="724">
      <c r="A724" s="7" t="inlineStr">
        <is>
          <t>b6-0034</t>
        </is>
      </c>
      <c r="B724" s="7" t="inlineStr">
        <is>
          <t>Point</t>
        </is>
      </c>
      <c r="C724" s="7" t="n"/>
      <c r="D724" s="7" t="inlineStr">
        <is>
          <t>c. 50 C.E.</t>
        </is>
      </c>
      <c r="E724" s="7" t="inlineStr">
        <is>
          <t>சுமார் கி.பி. 50</t>
        </is>
      </c>
      <c r="F724" s="7" t="inlineStr">
        <is>
          <t>50 CE</t>
        </is>
      </c>
      <c r="G724" s="7" t="inlineStr">
        <is>
          <t>Approx. (c.)</t>
        </is>
      </c>
      <c r="H724" s="7" t="n"/>
      <c r="I724" s="7" t="n"/>
      <c r="J724" s="7" t="n"/>
      <c r="K724" s="2" t="inlineStr">
        <is>
          <t>Philippian congregation founded</t>
        </is>
      </c>
      <c r="L724" s="2" t="inlineStr">
        <is>
          <t>பிலிப்பி சபை உருவாகிறது</t>
        </is>
      </c>
      <c r="M724" s="7" t="inlineStr">
        <is>
          <t>A congregation was established in Philippi, the first in Europe resulting from Paul’s work.</t>
        </is>
      </c>
      <c r="N724" s="7" t="inlineStr">
        <is>
          <t>பிலிப்பி சபை உருவாகிறது.</t>
        </is>
      </c>
      <c r="O724" s="8" t="inlineStr">
        <is>
          <t>Bible</t>
        </is>
      </c>
      <c r="P724" s="7" t="inlineStr">
        <is>
          <t>bible.apostolic</t>
        </is>
      </c>
      <c r="Q724" s="7" t="inlineStr">
        <is>
          <t>founding</t>
        </is>
      </c>
      <c r="R724" s="7" t="n"/>
      <c r="S724" s="7" t="inlineStr">
        <is>
          <t>Philippi</t>
        </is>
      </c>
      <c r="T724" s="7" t="inlineStr">
        <is>
          <t>Acts 16:40</t>
        </is>
      </c>
      <c r="U724" s="7" t="n"/>
      <c r="V724" s="7" t="n">
        <v>2</v>
      </c>
      <c r="W724" s="7" t="inlineStr">
        <is>
          <t>“Go . . . and Make Disciples” (box: Important Dates in the Spread of Christianity During the First Century C.E.)</t>
        </is>
      </c>
      <c r="X724" s="9" t="inlineStr">
        <is>
          <t>open</t>
        </is>
      </c>
      <c r="Y724" s="9" t="inlineStr">
        <is>
          <t>open</t>
        </is>
      </c>
      <c r="Z724" s="7" t="inlineStr">
        <is>
          <t>https://wol.jw.org/en/wol/d/r1/lp-e/1102009041
https://wol.jw.org/en/wol/d/r1/lp-e/1101990130</t>
        </is>
      </c>
      <c r="AA724" s="7" t="n">
        <v>0</v>
      </c>
      <c r="AB724" s="7" t="n"/>
      <c r="AC724" s="7" t="n">
        <v>0</v>
      </c>
      <c r="AD724" s="7" t="n"/>
      <c r="AE724" s="7" t="n"/>
      <c r="AF724" s="7" t="n"/>
      <c r="AG724" s="7" t="n"/>
      <c r="AH724" s="7" t="n"/>
      <c r="AI724" s="7" t="n"/>
      <c r="AJ724" s="7" t="n"/>
      <c r="AK724" s="7" t="n"/>
      <c r="AL724" s="7" t="n"/>
      <c r="AM724" s="7" t="n">
        <v>50.32</v>
      </c>
      <c r="AN724" s="10" t="n"/>
      <c r="AO724" s="10" t="n"/>
      <c r="AP724" s="10" t="n"/>
      <c r="AQ724" s="10" t="n"/>
    </row>
    <row r="725">
      <c r="A725" s="7" t="inlineStr">
        <is>
          <t>b6-0035</t>
        </is>
      </c>
      <c r="B725" s="7" t="inlineStr">
        <is>
          <t>Point</t>
        </is>
      </c>
      <c r="C725" s="7" t="n"/>
      <c r="D725" s="7" t="inlineStr">
        <is>
          <t>c. 50 C.E.</t>
        </is>
      </c>
      <c r="E725" s="7" t="inlineStr">
        <is>
          <t>சுமார் கி.பி. 50</t>
        </is>
      </c>
      <c r="F725" s="7" t="inlineStr">
        <is>
          <t>50 CE</t>
        </is>
      </c>
      <c r="G725" s="7" t="inlineStr">
        <is>
          <t>Approx. (c.)</t>
        </is>
      </c>
      <c r="H725" s="7" t="n"/>
      <c r="I725" s="7" t="n"/>
      <c r="J725" s="7" t="n"/>
      <c r="K725" s="2" t="inlineStr">
        <is>
          <t>Thessalonian congregation founded</t>
        </is>
      </c>
      <c r="L725" s="2" t="inlineStr">
        <is>
          <t>தெசலோனிக்கே சபை உருவாகிறது</t>
        </is>
      </c>
      <c r="M725" s="7" t="inlineStr">
        <is>
          <t>Paul reasoned from the Scriptures in the synagogue of Thessalonica for three sabbaths; some believed and a congregation was formed despite mob opposition.</t>
        </is>
      </c>
      <c r="N725" s="7" t="inlineStr">
        <is>
          <t>தெசலோனிக்கே சபை உருவாகிறது.</t>
        </is>
      </c>
      <c r="O725" s="8" t="inlineStr">
        <is>
          <t>Bible</t>
        </is>
      </c>
      <c r="P725" s="7" t="inlineStr">
        <is>
          <t>bible.apostolic</t>
        </is>
      </c>
      <c r="Q725" s="7" t="inlineStr">
        <is>
          <t>founding</t>
        </is>
      </c>
      <c r="R725" s="7" t="inlineStr">
        <is>
          <t>Paul; Silas</t>
        </is>
      </c>
      <c r="S725" s="7" t="inlineStr">
        <is>
          <t>Thessalonica</t>
        </is>
      </c>
      <c r="T725" s="7" t="inlineStr">
        <is>
          <t>Acts 17:1-9</t>
        </is>
      </c>
      <c r="U725" s="7" t="n"/>
      <c r="V725" s="7" t="n">
        <v>2</v>
      </c>
      <c r="W725" s="7" t="inlineStr">
        <is>
          <t>“Go . . . and Make Disciples” (box: Important Dates in the Spread of Christianity During the First Century C.E.)</t>
        </is>
      </c>
      <c r="X725" s="9" t="inlineStr">
        <is>
          <t>open</t>
        </is>
      </c>
      <c r="Y725" s="9" t="inlineStr">
        <is>
          <t>open</t>
        </is>
      </c>
      <c r="Z725" s="7" t="inlineStr">
        <is>
          <t>https://wol.jw.org/en/wol/d/r1/lp-e/1102009041
https://wol.jw.org/en/wol/d/r1/lp-e/1101990130</t>
        </is>
      </c>
      <c r="AA725" s="7" t="n">
        <v>1</v>
      </c>
      <c r="AB725" s="9" t="inlineStr">
        <is>
          <t>open</t>
        </is>
      </c>
      <c r="AC725" s="7" t="n">
        <v>0</v>
      </c>
      <c r="AD725" s="7" t="n"/>
      <c r="AE725" s="7" t="n"/>
      <c r="AF725" s="7" t="n"/>
      <c r="AG725" s="7" t="n"/>
      <c r="AH725" s="7" t="n"/>
      <c r="AI725" s="7" t="n"/>
      <c r="AJ725" s="7" t="n"/>
      <c r="AK725" s="7" t="n"/>
      <c r="AL725" s="7" t="n"/>
      <c r="AM725" s="7" t="n">
        <v>50.4</v>
      </c>
      <c r="AN725" s="10" t="n"/>
      <c r="AO725" s="10" t="n"/>
      <c r="AP725" s="10" t="n"/>
      <c r="AQ725" s="10" t="n"/>
    </row>
    <row r="726">
      <c r="A726" s="7" t="inlineStr">
        <is>
          <t>b6-0036</t>
        </is>
      </c>
      <c r="B726" s="7" t="inlineStr">
        <is>
          <t>Point</t>
        </is>
      </c>
      <c r="C726" s="7" t="n"/>
      <c r="D726" s="7" t="inlineStr">
        <is>
          <t>c. 50 C.E.</t>
        </is>
      </c>
      <c r="E726" s="7" t="inlineStr">
        <is>
          <t>சுமார் கி.பி. 50</t>
        </is>
      </c>
      <c r="F726" s="7" t="inlineStr">
        <is>
          <t>50 CE</t>
        </is>
      </c>
      <c r="G726" s="7" t="inlineStr">
        <is>
          <t>Approx. (c.)</t>
        </is>
      </c>
      <c r="H726" s="7" t="n"/>
      <c r="I726" s="7" t="n"/>
      <c r="J726" s="7" t="n"/>
      <c r="K726" s="2" t="inlineStr">
        <is>
          <t>Paul preaches in Athens</t>
        </is>
      </c>
      <c r="L726" s="2" t="inlineStr">
        <is>
          <t>அத்தேனே பட்டணத்துக்கு பவுல் வருகிறார்</t>
        </is>
      </c>
      <c r="M726" s="7" t="inlineStr">
        <is>
          <t>After Beroea, Paul came to Athens, reasoning in the synagogue and marketplace and giving his speech at the Areopagus.</t>
        </is>
      </c>
      <c r="N726" s="7" t="inlineStr">
        <is>
          <t>அத்தேனே பட்டணத்துக்கு பவுல் வருகிறார்.</t>
        </is>
      </c>
      <c r="O726" s="8" t="inlineStr">
        <is>
          <t>Bible</t>
        </is>
      </c>
      <c r="P726" s="7" t="inlineStr">
        <is>
          <t>bible.apostolic</t>
        </is>
      </c>
      <c r="Q726" s="7" t="inlineStr">
        <is>
          <t>visit</t>
        </is>
      </c>
      <c r="R726" s="7" t="inlineStr">
        <is>
          <t>Paul</t>
        </is>
      </c>
      <c r="S726" s="7" t="inlineStr">
        <is>
          <t>Athens; Beroea</t>
        </is>
      </c>
      <c r="T726" s="7" t="inlineStr">
        <is>
          <t>Acts 17:15-34</t>
        </is>
      </c>
      <c r="U726" s="7" t="n"/>
      <c r="V726" s="7" t="n">
        <v>2</v>
      </c>
      <c r="W726" s="7" t="inlineStr">
        <is>
          <t>“Go . . . and Make Disciples” (box: Important Dates in the Spread of Christianity During the First Century C.E.)</t>
        </is>
      </c>
      <c r="X726" s="9" t="inlineStr">
        <is>
          <t>open</t>
        </is>
      </c>
      <c r="Y726" s="9" t="inlineStr">
        <is>
          <t>open</t>
        </is>
      </c>
      <c r="Z726" s="7" t="inlineStr">
        <is>
          <t>https://wol.jw.org/en/wol/d/r1/lp-e/1102009041
https://wol.jw.org/en/wol/d/r1/lp-e/1101990130</t>
        </is>
      </c>
      <c r="AA726" s="7" t="n">
        <v>0</v>
      </c>
      <c r="AB726" s="7" t="n"/>
      <c r="AC726" s="7" t="n">
        <v>0</v>
      </c>
      <c r="AD726" s="7" t="n"/>
      <c r="AE726" s="7" t="n"/>
      <c r="AF726" s="7" t="n"/>
      <c r="AG726" s="7" t="n"/>
      <c r="AH726" s="7" t="n"/>
      <c r="AI726" s="7" t="n"/>
      <c r="AJ726" s="7" t="n"/>
      <c r="AK726" s="7" t="n"/>
      <c r="AL726" s="7" t="n"/>
      <c r="AM726" s="7" t="n">
        <v>50.6</v>
      </c>
      <c r="AN726" s="10" t="n"/>
      <c r="AO726" s="10" t="n"/>
      <c r="AP726" s="10" t="n"/>
      <c r="AQ726" s="10" t="n"/>
    </row>
    <row r="727">
      <c r="A727" s="7" t="inlineStr">
        <is>
          <t>b6-0037</t>
        </is>
      </c>
      <c r="B727" s="11" t="inlineStr">
        <is>
          <t>Span</t>
        </is>
      </c>
      <c r="C727" s="7" t="inlineStr">
        <is>
          <t>residence</t>
        </is>
      </c>
      <c r="D727" s="7" t="inlineStr">
        <is>
          <t>c. 50-52 C.E. (autumn 50 – spring 52)</t>
        </is>
      </c>
      <c r="E727" s="7" t="inlineStr">
        <is>
          <t>சுமார் கி.பி. 50-52</t>
        </is>
      </c>
      <c r="F727" s="7" t="inlineStr">
        <is>
          <t>50 CE</t>
        </is>
      </c>
      <c r="G727" s="7" t="inlineStr">
        <is>
          <t>Approx. (c.)</t>
        </is>
      </c>
      <c r="H727" s="7" t="inlineStr">
        <is>
          <t>52 CE</t>
        </is>
      </c>
      <c r="I727" s="7" t="inlineStr">
        <is>
          <t>Approx. (c.)</t>
        </is>
      </c>
      <c r="J727" s="7" t="inlineStr">
        <is>
          <t>18 months</t>
        </is>
      </c>
      <c r="K727" s="2" t="inlineStr">
        <is>
          <t>Paul spends 18 months in Corinth</t>
        </is>
      </c>
      <c r="L727" s="2" t="inlineStr">
        <is>
          <t>கொரிந்து பட்டணத்துக்கு பவுல் வருகிறார்</t>
        </is>
      </c>
      <c r="M727" s="7" t="inlineStr">
        <is>
          <t>Paul reached Corinth in the autumn of 50 C.E., worked as a tentmaker with Aquila and Priscilla, and taught there 18 months until the spring of 52 C.E.</t>
        </is>
      </c>
      <c r="N727" s="7" t="inlineStr">
        <is>
          <t>பொ.ச. 50-⁠ன் இலையுதிர் காலத்திலிருந்து பொ.ச. 52-⁠ன் வசந்தகாலம் வரையில் பவுல் அங்கே தங்கியிருந்திருப்பார்.</t>
        </is>
      </c>
      <c r="O727" s="8" t="inlineStr">
        <is>
          <t>Bible</t>
        </is>
      </c>
      <c r="P727" s="7" t="inlineStr">
        <is>
          <t>bible.apostolic</t>
        </is>
      </c>
      <c r="Q727" s="7" t="inlineStr">
        <is>
          <t>residence</t>
        </is>
      </c>
      <c r="R727" s="7" t="inlineStr">
        <is>
          <t>Paul; Aquila; Priscilla; Silas; Timothy</t>
        </is>
      </c>
      <c r="S727" s="7" t="inlineStr">
        <is>
          <t>Corinth</t>
        </is>
      </c>
      <c r="T727" s="7" t="inlineStr">
        <is>
          <t>Acts 18:1-11</t>
        </is>
      </c>
      <c r="U727" s="7" t="inlineStr">
        <is>
          <t>அப். 18:1</t>
        </is>
      </c>
      <c r="V727" s="7" t="n">
        <v>4</v>
      </c>
      <c r="W727" s="7" t="inlineStr">
        <is>
          <t>Study Number 3—Measuring Events in the Stream of Time</t>
        </is>
      </c>
      <c r="X727" s="9" t="inlineStr">
        <is>
          <t>open</t>
        </is>
      </c>
      <c r="Y727" s="9" t="inlineStr">
        <is>
          <t>open</t>
        </is>
      </c>
      <c r="Z727" s="7" t="inlineStr">
        <is>
          <t>https://wol.jw.org/en/wol/d/r1/lp-e/1101990130
https://wol.jw.org/en/wol/d/r1/lp-e/1200000970
https://wol.jw.org/en/wol/d/r1/lp-e/1001070707
https://wol.jw.org/en/wol/d/r1/lp-e/1102009041</t>
        </is>
      </c>
      <c r="AA727" s="7" t="n">
        <v>0</v>
      </c>
      <c r="AB727" s="7" t="n"/>
      <c r="AC727" s="7" t="n">
        <v>0</v>
      </c>
      <c r="AD727" s="7" t="n"/>
      <c r="AE727" s="7" t="n"/>
      <c r="AF727" s="7" t="n"/>
      <c r="AG727" s="7" t="n"/>
      <c r="AH727" s="7" t="n"/>
      <c r="AI727" s="7" t="n"/>
      <c r="AJ727" s="7" t="n"/>
      <c r="AK727" s="7" t="n"/>
      <c r="AL727" s="7" t="n"/>
      <c r="AM727" s="7" t="n">
        <v>50.75</v>
      </c>
      <c r="AN727" s="10" t="n"/>
      <c r="AO727" s="10" t="n"/>
      <c r="AP727" s="10" t="n"/>
      <c r="AQ727" s="10" t="n"/>
    </row>
    <row r="728">
      <c r="A728" s="7" t="inlineStr">
        <is>
          <t>b11-0046</t>
        </is>
      </c>
      <c r="B728" s="7" t="inlineStr">
        <is>
          <t>Point</t>
        </is>
      </c>
      <c r="C728" s="7" t="n"/>
      <c r="D728" s="7" t="inlineStr">
        <is>
          <t>c. 51 C.E.</t>
        </is>
      </c>
      <c r="E728" s="7" t="inlineStr">
        <is>
          <t>ஏ. கி.பி. 51</t>
        </is>
      </c>
      <c r="F728" s="7" t="inlineStr">
        <is>
          <t>51 CE</t>
        </is>
      </c>
      <c r="G728" s="7" t="inlineStr">
        <is>
          <t>Approx. (c.)</t>
        </is>
      </c>
      <c r="H728" s="7" t="n"/>
      <c r="I728" s="7" t="n"/>
      <c r="J728" s="7" t="n"/>
      <c r="K728" s="2" t="inlineStr">
        <is>
          <t>Writing of 2 Thessalonians completed</t>
        </is>
      </c>
      <c r="L728" s="2" t="inlineStr">
        <is>
          <t>2 தெசலோனிக்கேயர் — எழுதி முடிக்கப்பட்டது</t>
        </is>
      </c>
      <c r="M728" s="7" t="inlineStr">
        <is>
          <t>The writing of 2 Thessalonians was completed c. 51 C.E. Writer: Paul; place written: Corinth.</t>
        </is>
      </c>
      <c r="N728" s="7" t="inlineStr">
        <is>
          <t>2 தெசலோனிக்கேயர்: எழுதியவர்(கள்): பவுல்; எழுதப்பட்ட இடம்: கொரிந்து; முடிக்கப்பட்ட வருஷம் (கி.பி.): ஏ. 51.</t>
        </is>
      </c>
      <c r="O728" s="8" t="inlineStr">
        <is>
          <t>Bible</t>
        </is>
      </c>
      <c r="P728" s="7" t="inlineStr">
        <is>
          <t>bible.book_writing</t>
        </is>
      </c>
      <c r="Q728" s="7" t="inlineStr">
        <is>
          <t>writing_completed</t>
        </is>
      </c>
      <c r="R728" s="7" t="inlineStr">
        <is>
          <t>Paul</t>
        </is>
      </c>
      <c r="S728" s="7" t="inlineStr">
        <is>
          <t>Corinth</t>
        </is>
      </c>
      <c r="T728" s="7" t="inlineStr">
        <is>
          <t>2 Thess.</t>
        </is>
      </c>
      <c r="U728" s="7" t="inlineStr">
        <is>
          <t>2 தெ.</t>
        </is>
      </c>
      <c r="V728" s="7" t="n">
        <v>6</v>
      </c>
      <c r="W728" s="7" t="inlineStr">
        <is>
          <t>Table of the Books of the Bible</t>
        </is>
      </c>
      <c r="X728" s="9" t="inlineStr">
        <is>
          <t>open</t>
        </is>
      </c>
      <c r="Y728" s="9" t="inlineStr">
        <is>
          <t>open</t>
        </is>
      </c>
      <c r="Z728" s="7" t="inlineStr">
        <is>
          <t>https://wol.jw.org/en/wol/d/r1/lp-e/1001070071
https://wol.jw.org/en/wol/d/r1/lp-e/1101990114
https://www.jw.org/en/library/bible/study-bible/books-of-the-bible-list/
https://wol.jw.org/en/wol/d/r1/lp-e/1001060002
https://wol.jw.org/en/wol/d/r1/lp-e/1101990130
https://wol.jw.org/en/wol/d/r1/lp-e/1102009041</t>
        </is>
      </c>
      <c r="AA728" s="7" t="n">
        <v>0</v>
      </c>
      <c r="AB728" s="7" t="n"/>
      <c r="AC728" s="7" t="n">
        <v>0</v>
      </c>
      <c r="AD728" s="7" t="n"/>
      <c r="AE728" s="7" t="n"/>
      <c r="AF728" s="7" t="n"/>
      <c r="AG728" s="7" t="n"/>
      <c r="AH728" s="7" t="n"/>
      <c r="AI728" s="7" t="n"/>
      <c r="AJ728" s="7" t="n"/>
      <c r="AK728" s="7" t="inlineStr">
        <is>
          <t>bible-books-written #53 (item)</t>
        </is>
      </c>
      <c r="AL728" s="7" t="inlineStr">
        <is>
          <t>Writer(s): Paul. Place written: Corinth. Writing completed: c. 51 C.E. Time covered: —.</t>
        </is>
      </c>
      <c r="AM728" s="7" t="n">
        <v>51.0053</v>
      </c>
      <c r="AN728" s="10" t="n"/>
      <c r="AO728" s="10" t="n"/>
      <c r="AP728" s="10" t="n"/>
      <c r="AQ728" s="10" t="n"/>
    </row>
    <row r="729">
      <c r="A729" s="7" t="inlineStr">
        <is>
          <t>b6-0040</t>
        </is>
      </c>
      <c r="B729" s="11" t="inlineStr">
        <is>
          <t>Span</t>
        </is>
      </c>
      <c r="C729" s="7" t="inlineStr">
        <is>
          <t>office</t>
        </is>
      </c>
      <c r="D729" s="7" t="inlineStr">
        <is>
          <t>summer 51 – summer 52 C.E.</t>
        </is>
      </c>
      <c r="E729" s="7" t="inlineStr">
        <is>
          <t>பொ.ச. 51-⁠ன் கோடைக்காலம் – பொ.ச. 52-⁠ன் கோடைகாலம்</t>
        </is>
      </c>
      <c r="F729" s="7" t="inlineStr">
        <is>
          <t>51 CE</t>
        </is>
      </c>
      <c r="G729" s="7" t="inlineStr">
        <is>
          <t>Exact</t>
        </is>
      </c>
      <c r="H729" s="7" t="inlineStr">
        <is>
          <t>52 CE</t>
        </is>
      </c>
      <c r="I729" s="7" t="inlineStr">
        <is>
          <t>Exact</t>
        </is>
      </c>
      <c r="J729" s="7" t="inlineStr">
        <is>
          <t>1 year</t>
        </is>
      </c>
      <c r="K729" s="2" t="inlineStr">
        <is>
          <t>Gallio serves as proconsul of Achaia</t>
        </is>
      </c>
      <c r="L729" s="2" t="inlineStr">
        <is>
          <t>அகாயா நாட்டின் ஆளுநராக கல்லியோனின் பதவி காலம்</t>
        </is>
      </c>
      <c r="M729" s="7" t="inlineStr">
        <is>
          <t>An inscription from Delphi naming proconsul Gallio indicates that his one-year term in Achaia ran from the summer of 51 to the summer of 52 C.E., helping to date Paul’s stay in Corinth.</t>
        </is>
      </c>
      <c r="N729" s="7" t="inlineStr">
        <is>
          <t>அகாயா நாட்டின் ஆளுநராக கல்லியோனின் பதவி காலம் பொ.ச. 51-⁠ன் கோடைக்காலத்திலிருந்து பொ.ச. 52-⁠ன் கோடைகாலம் வரையில் நீடித்ததாக தோன்றுகிறது.</t>
        </is>
      </c>
      <c r="O729" s="8" t="inlineStr">
        <is>
          <t>Bible</t>
        </is>
      </c>
      <c r="P729" s="7" t="inlineStr">
        <is>
          <t>bible.apostolic</t>
        </is>
      </c>
      <c r="Q729" s="7" t="inlineStr">
        <is>
          <t>office</t>
        </is>
      </c>
      <c r="R729" s="7" t="inlineStr">
        <is>
          <t>Gallio</t>
        </is>
      </c>
      <c r="S729" s="7" t="inlineStr">
        <is>
          <t>Corinth; Achaia; Delphi</t>
        </is>
      </c>
      <c r="T729" s="7" t="inlineStr">
        <is>
          <t>Acts 18:12</t>
        </is>
      </c>
      <c r="U729" s="7" t="n"/>
      <c r="V729" s="7" t="n">
        <v>3</v>
      </c>
      <c r="W729" s="7" t="inlineStr">
        <is>
          <t>Gallio</t>
        </is>
      </c>
      <c r="X729" s="9" t="inlineStr">
        <is>
          <t>open</t>
        </is>
      </c>
      <c r="Y729" s="7" t="n"/>
      <c r="Z729" s="7" t="inlineStr">
        <is>
          <t>https://wol.jw.org/en/wol/d/r1/lp-e/1200001603
https://wol.jw.org/en/wol/d/r1/lp-e/1101990130
https://wol.jw.org/en/wol/d/r1/lp-e/1200000970</t>
        </is>
      </c>
      <c r="AA729" s="7" t="n">
        <v>1</v>
      </c>
      <c r="AB729" s="9" t="inlineStr">
        <is>
          <t>open</t>
        </is>
      </c>
      <c r="AC729" s="7" t="n">
        <v>0</v>
      </c>
      <c r="AD729" s="7" t="n"/>
      <c r="AE729" s="7" t="n"/>
      <c r="AF729" s="7" t="n"/>
      <c r="AG729" s="7" t="n"/>
      <c r="AH729" s="7" t="n"/>
      <c r="AI729" s="7" t="n"/>
      <c r="AJ729" s="7" t="n"/>
      <c r="AK729" s="7" t="n"/>
      <c r="AL729" s="7" t="inlineStr">
        <is>
          <t>Insight notes that some (non-Witness) scholars favor 52-53 C.E.; not a conflict between jw.org sources.</t>
        </is>
      </c>
      <c r="AM729" s="7" t="n">
        <v>51.5</v>
      </c>
      <c r="AN729" s="10" t="n"/>
      <c r="AO729" s="10" t="n"/>
      <c r="AP729" s="10" t="n"/>
      <c r="AQ729" s="10" t="n"/>
    </row>
    <row r="730">
      <c r="A730" s="7" t="inlineStr">
        <is>
          <t>b6-0042</t>
        </is>
      </c>
      <c r="B730" s="7" t="inlineStr">
        <is>
          <t>Point</t>
        </is>
      </c>
      <c r="C730" s="7" t="n"/>
      <c r="D730" s="7" t="inlineStr">
        <is>
          <t>51/52 C.E.</t>
        </is>
      </c>
      <c r="E730" s="7" t="inlineStr">
        <is>
          <t>ஏ. பொ.ச. 51/52</t>
        </is>
      </c>
      <c r="F730" s="7" t="inlineStr">
        <is>
          <t>51 CE</t>
        </is>
      </c>
      <c r="G730" s="7" t="inlineStr">
        <is>
          <t>Approx. (c.)</t>
        </is>
      </c>
      <c r="H730" s="7" t="n"/>
      <c r="I730" s="7" t="n"/>
      <c r="J730" s="7" t="n"/>
      <c r="K730" s="2" t="inlineStr">
        <is>
          <t>Paul brought before Gallio’s judgment seat and released</t>
        </is>
      </c>
      <c r="L730" s="2" t="n"/>
      <c r="M730" s="7" t="inlineStr">
        <is>
          <t>While Gallio was proconsul, the Jews of Corinth brought Paul before the judgment seat, but Gallio dismissed the case; Paul stayed “quite some days longer” and then sailed for Syria in the spring of 52.</t>
        </is>
      </c>
      <c r="N730" s="7" t="inlineStr">
        <is>
          <t>‘கல்லியோன் அகாயா நாட்டு அதிபதியாக [ஆளுநராக] இருக்கையில் யூதர் ஏகமனதாக பவுலுக்கு விரோதமாய் எழும்பி அவரை நியாயாசனத்தின்முன் கொண்டுபோனார்கள்.’</t>
        </is>
      </c>
      <c r="O730" s="8" t="inlineStr">
        <is>
          <t>Bible</t>
        </is>
      </c>
      <c r="P730" s="7" t="inlineStr">
        <is>
          <t>bible.apostolic</t>
        </is>
      </c>
      <c r="Q730" s="7" t="inlineStr">
        <is>
          <t>court_ruling</t>
        </is>
      </c>
      <c r="R730" s="7" t="inlineStr">
        <is>
          <t>Paul; Gallio; Sosthenes</t>
        </is>
      </c>
      <c r="S730" s="7" t="inlineStr">
        <is>
          <t>Corinth</t>
        </is>
      </c>
      <c r="T730" s="7" t="inlineStr">
        <is>
          <t>Acts 18:12-18</t>
        </is>
      </c>
      <c r="U730" s="7" t="inlineStr">
        <is>
          <t>அப். 18:11, 12, 17, 18</t>
        </is>
      </c>
      <c r="V730" s="7" t="n">
        <v>3</v>
      </c>
      <c r="W730" s="7" t="inlineStr">
        <is>
          <t>Study Number 3—Measuring Events in the Stream of Time</t>
        </is>
      </c>
      <c r="X730" s="9" t="inlineStr">
        <is>
          <t>open</t>
        </is>
      </c>
      <c r="Y730" s="9" t="inlineStr">
        <is>
          <t>open</t>
        </is>
      </c>
      <c r="Z730" s="7" t="inlineStr">
        <is>
          <t>https://wol.jw.org/en/wol/d/r1/lp-e/1101990130
https://wol.jw.org/en/wol/d/r1/lp-e/1200001603
https://wol.jw.org/en/wol/d/r1/lp-e/1200000970</t>
        </is>
      </c>
      <c r="AA730" s="7" t="n">
        <v>1</v>
      </c>
      <c r="AB730" s="9" t="inlineStr">
        <is>
          <t>open</t>
        </is>
      </c>
      <c r="AC730" s="7" t="n">
        <v>0</v>
      </c>
      <c r="AD730" s="7" t="n"/>
      <c r="AE730" s="7" t="n"/>
      <c r="AF730" s="7" t="n"/>
      <c r="AG730" s="7" t="n"/>
      <c r="AH730" s="7" t="n"/>
      <c r="AI730" s="7" t="n"/>
      <c r="AJ730" s="7" t="n"/>
      <c r="AK730" s="7" t="n"/>
      <c r="AL730" s="7" t="n"/>
      <c r="AM730" s="7" t="n">
        <v>51.9</v>
      </c>
      <c r="AN730" s="10" t="n"/>
      <c r="AO730" s="10" t="n"/>
      <c r="AP730" s="10" t="n"/>
      <c r="AQ730" s="10" t="n"/>
    </row>
    <row r="731">
      <c r="A731" s="7" t="inlineStr">
        <is>
          <t>b6-0043</t>
        </is>
      </c>
      <c r="B731" s="7" t="inlineStr">
        <is>
          <t>Point</t>
        </is>
      </c>
      <c r="C731" s="7" t="n"/>
      <c r="D731" s="7" t="inlineStr">
        <is>
          <t>52 C.E. (per most scholars)</t>
        </is>
      </c>
      <c r="E731" s="7" t="n"/>
      <c r="F731" s="7" t="inlineStr">
        <is>
          <t>52 CE</t>
        </is>
      </c>
      <c r="G731" s="7" t="inlineStr">
        <is>
          <t>Approx. (c.)</t>
        </is>
      </c>
      <c r="H731" s="7" t="n"/>
      <c r="I731" s="7" t="n"/>
      <c r="J731" s="7" t="n"/>
      <c r="K731" s="2" t="inlineStr">
        <is>
          <t>Felix becomes procurator of Judea</t>
        </is>
      </c>
      <c r="L731" s="2" t="n"/>
      <c r="M731" s="7" t="inlineStr">
        <is>
          <t>Most scholars date the start of Antonius Felix’s sole procuratorship of Judea to 52 C.E.; Tacitus indicates he served earlier jointly with Cumanus.</t>
        </is>
      </c>
      <c r="N731" s="7" t="n"/>
      <c r="O731" s="8" t="inlineStr">
        <is>
          <t>Bible</t>
        </is>
      </c>
      <c r="P731" s="7" t="inlineStr">
        <is>
          <t>bible.apostolic</t>
        </is>
      </c>
      <c r="Q731" s="7" t="inlineStr">
        <is>
          <t>office</t>
        </is>
      </c>
      <c r="R731" s="7" t="inlineStr">
        <is>
          <t>Felix</t>
        </is>
      </c>
      <c r="S731" s="7" t="inlineStr">
        <is>
          <t>Judea; Caesarea</t>
        </is>
      </c>
      <c r="T731" s="7" t="inlineStr">
        <is>
          <t>Acts 24:10</t>
        </is>
      </c>
      <c r="U731" s="7" t="n"/>
      <c r="V731" s="7" t="n">
        <v>1</v>
      </c>
      <c r="W731" s="7" t="inlineStr">
        <is>
          <t>Felix</t>
        </is>
      </c>
      <c r="X731" s="9" t="inlineStr">
        <is>
          <t>open</t>
        </is>
      </c>
      <c r="Y731" s="7" t="n"/>
      <c r="Z731" s="7" t="inlineStr">
        <is>
          <t>https://wol.jw.org/en/wol/d/r1/lp-e/1200001502</t>
        </is>
      </c>
      <c r="AA731" s="7" t="n">
        <v>0</v>
      </c>
      <c r="AB731" s="7" t="n"/>
      <c r="AC731" s="7" t="n">
        <v>0</v>
      </c>
      <c r="AD731" s="7" t="n"/>
      <c r="AE731" s="7" t="n"/>
      <c r="AF731" s="7" t="n"/>
      <c r="AG731" s="7" t="n"/>
      <c r="AH731" s="7" t="n"/>
      <c r="AI731" s="7" t="n"/>
      <c r="AJ731" s="7" t="n"/>
      <c r="AK731" s="7" t="n"/>
      <c r="AL731" s="7" t="n"/>
      <c r="AM731" s="7" t="n">
        <v>52.1</v>
      </c>
      <c r="AN731" s="10" t="n"/>
      <c r="AO731" s="10" t="n"/>
      <c r="AP731" s="10" t="n"/>
      <c r="AQ731" s="10" t="n"/>
    </row>
    <row r="732">
      <c r="A732" s="7" t="inlineStr">
        <is>
          <t>b6-0044</t>
        </is>
      </c>
      <c r="B732" s="7" t="inlineStr">
        <is>
          <t>Point</t>
        </is>
      </c>
      <c r="C732" s="7" t="n"/>
      <c r="D732" s="7" t="inlineStr">
        <is>
          <t>c. 52 C.E.</t>
        </is>
      </c>
      <c r="E732" s="7" t="n"/>
      <c r="F732" s="7" t="inlineStr">
        <is>
          <t>52 CE</t>
        </is>
      </c>
      <c r="G732" s="7" t="inlineStr">
        <is>
          <t>Approx. (c.)</t>
        </is>
      </c>
      <c r="H732" s="7" t="n"/>
      <c r="I732" s="7" t="n"/>
      <c r="J732" s="7" t="n"/>
      <c r="K732" s="2" t="inlineStr">
        <is>
          <t>Apollos taught by Aquila and Priscilla in Ephesus</t>
        </is>
      </c>
      <c r="L732" s="2" t="n"/>
      <c r="M732" s="7" t="inlineStr">
        <is>
          <t>The eloquent Alexandrian Jew Apollos, who knew only John’s baptism, was taught the way of God more accurately by Aquila and Priscilla in Ephesus and went on to help the brothers in Achaia.</t>
        </is>
      </c>
      <c r="N732" s="7" t="n"/>
      <c r="O732" s="8" t="inlineStr">
        <is>
          <t>Bible</t>
        </is>
      </c>
      <c r="P732" s="7" t="inlineStr">
        <is>
          <t>bible.apostolic</t>
        </is>
      </c>
      <c r="Q732" s="7" t="inlineStr">
        <is>
          <t>teaching</t>
        </is>
      </c>
      <c r="R732" s="7" t="inlineStr">
        <is>
          <t>Apollos; Aquila; Priscilla</t>
        </is>
      </c>
      <c r="S732" s="7" t="inlineStr">
        <is>
          <t>Ephesus; Achaia</t>
        </is>
      </c>
      <c r="T732" s="7" t="inlineStr">
        <is>
          <t>Acts 18:24-28</t>
        </is>
      </c>
      <c r="U732" s="7" t="n"/>
      <c r="V732" s="7" t="n">
        <v>1</v>
      </c>
      <c r="W732" s="7" t="inlineStr">
        <is>
          <t>Acts Study Notes—Chapter 18</t>
        </is>
      </c>
      <c r="X732" s="9" t="inlineStr">
        <is>
          <t>open</t>
        </is>
      </c>
      <c r="Y732" s="7" t="n"/>
      <c r="Z732" s="7" t="inlineStr">
        <is>
          <t>https://wol.jw.org/en/wol/d/r1/lp-e/1001070707</t>
        </is>
      </c>
      <c r="AA732" s="7" t="n">
        <v>0</v>
      </c>
      <c r="AB732" s="7" t="n"/>
      <c r="AC732" s="7" t="n">
        <v>0</v>
      </c>
      <c r="AD732" s="7" t="n"/>
      <c r="AE732" s="7" t="n"/>
      <c r="AF732" s="7" t="n"/>
      <c r="AG732" s="7" t="n"/>
      <c r="AH732" s="7" t="n"/>
      <c r="AI732" s="7" t="n"/>
      <c r="AJ732" s="7" t="n"/>
      <c r="AK732" s="7" t="n"/>
      <c r="AL732" s="7" t="n"/>
      <c r="AM732" s="7" t="n">
        <v>52.4</v>
      </c>
      <c r="AN732" s="10" t="n"/>
      <c r="AO732" s="10" t="n"/>
      <c r="AP732" s="10" t="n"/>
      <c r="AQ732" s="10" t="n"/>
    </row>
    <row r="733">
      <c r="A733" s="7" t="inlineStr">
        <is>
          <t>b6-0045</t>
        </is>
      </c>
      <c r="B733" s="7" t="inlineStr">
        <is>
          <t>Point</t>
        </is>
      </c>
      <c r="C733" s="7" t="n"/>
      <c r="D733" s="7" t="inlineStr">
        <is>
          <t>c. 52 C.E. (summer)</t>
        </is>
      </c>
      <c r="E733" s="7" t="inlineStr">
        <is>
          <t>பொ.ச. 52-⁠ன் கோடைகாலம்</t>
        </is>
      </c>
      <c r="F733" s="7" t="inlineStr">
        <is>
          <t>52 CE</t>
        </is>
      </c>
      <c r="G733" s="7" t="inlineStr">
        <is>
          <t>Approx. (c.)</t>
        </is>
      </c>
      <c r="H733" s="7" t="n"/>
      <c r="I733" s="7" t="n"/>
      <c r="J733" s="7" t="n"/>
      <c r="K733" s="2" t="inlineStr">
        <is>
          <t>Paul returns to Syrian Antioch, ending his second journey</t>
        </is>
      </c>
      <c r="L733" s="2" t="n"/>
      <c r="M733" s="7" t="inlineStr">
        <is>
          <t>After sailing from Corinth via Ephesus to Caesarea and greeting the congregation, apparently in Jerusalem, Paul arrived back at Syrian Antioch, probably in the summer of 52 C.E.</t>
        </is>
      </c>
      <c r="N733" s="7" t="inlineStr">
        <is>
          <t>சீரியாவிலுள்ள அந்தியோகியாவுக்கே பெரும்பாலும் பொ.ச. 52-⁠ன் கோடைகாலத்தில் வந்து சேர்ந்தார்.</t>
        </is>
      </c>
      <c r="O733" s="8" t="inlineStr">
        <is>
          <t>Bible</t>
        </is>
      </c>
      <c r="P733" s="7" t="inlineStr">
        <is>
          <t>bible.apostolic</t>
        </is>
      </c>
      <c r="Q733" s="7" t="inlineStr">
        <is>
          <t>journey</t>
        </is>
      </c>
      <c r="R733" s="7" t="inlineStr">
        <is>
          <t>Paul</t>
        </is>
      </c>
      <c r="S733" s="7" t="inlineStr">
        <is>
          <t>Antioch (Syria); Ephesus; Caesarea</t>
        </is>
      </c>
      <c r="T733" s="7" t="inlineStr">
        <is>
          <t>Acts 18:18-22</t>
        </is>
      </c>
      <c r="U733" s="7" t="inlineStr">
        <is>
          <t>அப். 18:12-22</t>
        </is>
      </c>
      <c r="V733" s="7" t="n">
        <v>1</v>
      </c>
      <c r="W733" s="7" t="inlineStr">
        <is>
          <t>Study Number 3—Measuring Events in the Stream of Time</t>
        </is>
      </c>
      <c r="X733" s="9" t="inlineStr">
        <is>
          <t>open</t>
        </is>
      </c>
      <c r="Y733" s="9" t="inlineStr">
        <is>
          <t>open</t>
        </is>
      </c>
      <c r="Z733" s="7" t="inlineStr">
        <is>
          <t>https://wol.jw.org/en/wol/d/r1/lp-e/1101990130</t>
        </is>
      </c>
      <c r="AA733" s="7" t="n">
        <v>0</v>
      </c>
      <c r="AB733" s="7" t="n"/>
      <c r="AC733" s="7" t="n">
        <v>0</v>
      </c>
      <c r="AD733" s="7" t="n"/>
      <c r="AE733" s="7" t="n"/>
      <c r="AF733" s="7" t="n"/>
      <c r="AG733" s="7" t="n"/>
      <c r="AH733" s="7" t="n"/>
      <c r="AI733" s="7" t="n"/>
      <c r="AJ733" s="7" t="n"/>
      <c r="AK733" s="7" t="n"/>
      <c r="AL733" s="7" t="n"/>
      <c r="AM733" s="7" t="n">
        <v>52.5</v>
      </c>
      <c r="AN733" s="10" t="n"/>
      <c r="AO733" s="10" t="n"/>
      <c r="AP733" s="10" t="n"/>
      <c r="AQ733" s="10" t="n"/>
    </row>
    <row r="734">
      <c r="A734" s="7" t="inlineStr">
        <is>
          <t>b6-0046</t>
        </is>
      </c>
      <c r="B734" s="11" t="inlineStr">
        <is>
          <t>Span</t>
        </is>
      </c>
      <c r="C734" s="7" t="inlineStr">
        <is>
          <t>journey</t>
        </is>
      </c>
      <c r="D734" s="7" t="inlineStr">
        <is>
          <t>c. 52-56 C.E.</t>
        </is>
      </c>
      <c r="E734" s="7" t="inlineStr">
        <is>
          <t>ஏ. பொ.ச. 52-56</t>
        </is>
      </c>
      <c r="F734" s="7" t="inlineStr">
        <is>
          <t>52 CE</t>
        </is>
      </c>
      <c r="G734" s="7" t="inlineStr">
        <is>
          <t>Approx. (c.)</t>
        </is>
      </c>
      <c r="H734" s="7" t="inlineStr">
        <is>
          <t>56 CE</t>
        </is>
      </c>
      <c r="I734" s="7" t="inlineStr">
        <is>
          <t>Approx. (c.)</t>
        </is>
      </c>
      <c r="J734" s="7" t="inlineStr">
        <is>
          <t>c. 4 years</t>
        </is>
      </c>
      <c r="K734" s="2" t="inlineStr">
        <is>
          <t>Paul’s third missionary journey</t>
        </is>
      </c>
      <c r="L734" s="2" t="inlineStr">
        <is>
          <t>பவுலின் மூன்றாவது மிஷனரி பயணம்</t>
        </is>
      </c>
      <c r="M734" s="7" t="inlineStr">
        <is>
          <t>Paul set out again from Syrian Antioch, labored some three years in Ephesus, then traveled through Macedonia to Greece and back, arriving in Jerusalem by Pentecost 56 C.E.</t>
        </is>
      </c>
      <c r="N734" s="7" t="inlineStr">
        <is>
          <t>பவுலின் மூன்றாவது மிஷனரி பயணம், ஏ. பொ.ச. 52-56.</t>
        </is>
      </c>
      <c r="O734" s="8" t="inlineStr">
        <is>
          <t>Bible</t>
        </is>
      </c>
      <c r="P734" s="7" t="inlineStr">
        <is>
          <t>bible.apostolic</t>
        </is>
      </c>
      <c r="Q734" s="7" t="inlineStr">
        <is>
          <t>journey</t>
        </is>
      </c>
      <c r="R734" s="7" t="inlineStr">
        <is>
          <t>Paul</t>
        </is>
      </c>
      <c r="S734" s="7" t="inlineStr">
        <is>
          <t>Antioch (Syria); Galatia; Phrygia; Ephesus; Macedonia; Corinth; Philippi; Troas; Miletus; Tyre; Caesarea; Jerusalem</t>
        </is>
      </c>
      <c r="T734" s="7" t="inlineStr">
        <is>
          <t>Acts 18:23–21:19</t>
        </is>
      </c>
      <c r="U734" s="7" t="inlineStr">
        <is>
          <t>அப். 18:23–21:19</t>
        </is>
      </c>
      <c r="V734" s="7" t="n">
        <v>4</v>
      </c>
      <c r="W734" s="7" t="inlineStr">
        <is>
          <t>Study Number 3—Measuring Events in the Stream of Time</t>
        </is>
      </c>
      <c r="X734" s="9" t="inlineStr">
        <is>
          <t>open</t>
        </is>
      </c>
      <c r="Y734" s="9" t="inlineStr">
        <is>
          <t>open</t>
        </is>
      </c>
      <c r="Z734" s="7" t="inlineStr">
        <is>
          <t>https://wol.jw.org/en/wol/d/r1/lp-e/1101990130
https://wol.jw.org/en/wol/d/r1/lp-e/1200003406
https://wol.jw.org/en/wol/d/r1/lp-e/1102009041
https://wol.jw.org/en/wol/d/r1/lp-e/1001070234</t>
        </is>
      </c>
      <c r="AA734" s="7" t="n">
        <v>4</v>
      </c>
      <c r="AB734" s="9" t="inlineStr">
        <is>
          <t>open</t>
        </is>
      </c>
      <c r="AC734" s="7" t="n">
        <v>0</v>
      </c>
      <c r="AD734" s="7" t="n"/>
      <c r="AE734" s="7" t="n"/>
      <c r="AF734" s="7" t="n"/>
      <c r="AG734" s="7" t="n"/>
      <c r="AH734" s="7" t="n"/>
      <c r="AI734" s="7" t="n"/>
      <c r="AJ734" s="7" t="n"/>
      <c r="AK734" s="7" t="inlineStr">
        <is>
          <t>spread-of-christianity #4 (item)</t>
        </is>
      </c>
      <c r="AL734" s="7" t="n"/>
      <c r="AM734" s="7" t="n">
        <v>52.6</v>
      </c>
      <c r="AN734" s="10" t="n"/>
      <c r="AO734" s="10" t="n"/>
      <c r="AP734" s="10" t="n"/>
      <c r="AQ734" s="10" t="n"/>
    </row>
    <row r="735">
      <c r="A735" s="7" t="inlineStr">
        <is>
          <t>b6-0047</t>
        </is>
      </c>
      <c r="B735" s="11" t="inlineStr">
        <is>
          <t>Span</t>
        </is>
      </c>
      <c r="C735" s="7" t="inlineStr">
        <is>
          <t>residence</t>
        </is>
      </c>
      <c r="D735" s="7" t="inlineStr">
        <is>
          <t>c. 52-55 C.E.</t>
        </is>
      </c>
      <c r="E735" s="7" t="inlineStr">
        <is>
          <t>சுமார் கி.பி. 52-55</t>
        </is>
      </c>
      <c r="F735" s="7" t="inlineStr">
        <is>
          <t>52 CE</t>
        </is>
      </c>
      <c r="G735" s="7" t="inlineStr">
        <is>
          <t>Approx. (c.)</t>
        </is>
      </c>
      <c r="H735" s="7" t="inlineStr">
        <is>
          <t>55 CE</t>
        </is>
      </c>
      <c r="I735" s="7" t="inlineStr">
        <is>
          <t>Approx. (c.)</t>
        </is>
      </c>
      <c r="J735" s="7" t="inlineStr">
        <is>
          <t>three years</t>
        </is>
      </c>
      <c r="K735" s="2" t="inlineStr">
        <is>
          <t>Paul ministers about three years in Ephesus</t>
        </is>
      </c>
      <c r="L735" s="2" t="inlineStr">
        <is>
          <t>எபேசு பட்டணத்துக்கு பவுல் செல்கிறார்</t>
        </is>
      </c>
      <c r="M735" s="7" t="inlineStr">
        <is>
          <t>Paul likely reached Ephesus by the winter of 52-53 C.E. and taught there three months in the synagogue and two years in the school auditorium of Tyrannus, leaving after Pentecost early in 55.</t>
        </is>
      </c>
      <c r="N735" s="7" t="inlineStr">
        <is>
          <t>அவர் அநேகமாக பொ.ச. 52-53-⁠ன் குளிர்காலத்துக்குள் எபேசுக்குப் போய்ச் சேர்ந்திருக்கலாம்.</t>
        </is>
      </c>
      <c r="O735" s="8" t="inlineStr">
        <is>
          <t>Bible</t>
        </is>
      </c>
      <c r="P735" s="7" t="inlineStr">
        <is>
          <t>bible.apostolic</t>
        </is>
      </c>
      <c r="Q735" s="7" t="inlineStr">
        <is>
          <t>residence</t>
        </is>
      </c>
      <c r="R735" s="7" t="inlineStr">
        <is>
          <t>Paul</t>
        </is>
      </c>
      <c r="S735" s="7" t="inlineStr">
        <is>
          <t>Ephesus</t>
        </is>
      </c>
      <c r="T735" s="7" t="inlineStr">
        <is>
          <t>Acts 19:1-10; Acts 20:31</t>
        </is>
      </c>
      <c r="U735" s="7" t="inlineStr">
        <is>
          <t>அப். 19:8-10; அப். 20:31</t>
        </is>
      </c>
      <c r="V735" s="7" t="n">
        <v>3</v>
      </c>
      <c r="W735" s="7" t="inlineStr">
        <is>
          <t>Study Number 3—Measuring Events in the Stream of Time</t>
        </is>
      </c>
      <c r="X735" s="9" t="inlineStr">
        <is>
          <t>open</t>
        </is>
      </c>
      <c r="Y735" s="9" t="inlineStr">
        <is>
          <t>open</t>
        </is>
      </c>
      <c r="Z735" s="7" t="inlineStr">
        <is>
          <t>https://wol.jw.org/en/wol/d/r1/lp-e/1101990130
https://wol.jw.org/en/wol/d/r1/lp-e/1102009041
https://wol.jw.org/en/wol/d/r1/lp-e/1200003406</t>
        </is>
      </c>
      <c r="AA735" s="7" t="n">
        <v>0</v>
      </c>
      <c r="AB735" s="7" t="n"/>
      <c r="AC735" s="7" t="n">
        <v>0</v>
      </c>
      <c r="AD735" s="7" t="n"/>
      <c r="AE735" s="7" t="n"/>
      <c r="AF735" s="7" t="n"/>
      <c r="AG735" s="7" t="n"/>
      <c r="AH735" s="7" t="n"/>
      <c r="AI735" s="7" t="n"/>
      <c r="AJ735" s="7" t="n"/>
      <c r="AK735" s="7" t="n"/>
      <c r="AL735" s="7" t="n"/>
      <c r="AM735" s="7" t="n">
        <v>52.9</v>
      </c>
      <c r="AN735" s="10" t="n"/>
      <c r="AO735" s="10" t="n"/>
      <c r="AP735" s="10" t="n"/>
      <c r="AQ735" s="10" t="n"/>
    </row>
    <row r="736">
      <c r="A736" s="7" t="inlineStr">
        <is>
          <t>b6-0048</t>
        </is>
      </c>
      <c r="B736" s="7" t="inlineStr">
        <is>
          <t>Point</t>
        </is>
      </c>
      <c r="C736" s="7" t="n"/>
      <c r="D736" s="7" t="inlineStr">
        <is>
          <t>54 C.E.</t>
        </is>
      </c>
      <c r="E736" s="7" t="n"/>
      <c r="F736" s="7" t="inlineStr">
        <is>
          <t>54 CE</t>
        </is>
      </c>
      <c r="G736" s="7" t="inlineStr">
        <is>
          <t>Exact</t>
        </is>
      </c>
      <c r="H736" s="7" t="n"/>
      <c r="I736" s="7" t="n"/>
      <c r="J736" s="7" t="n"/>
      <c r="K736" s="2" t="inlineStr">
        <is>
          <t>Nero becomes Roman emperor</t>
        </is>
      </c>
      <c r="L736" s="2" t="n"/>
      <c r="M736" s="7" t="inlineStr">
        <is>
          <t>After Claudius died in 54 C.E., Nero, his adopted son, took the throne at about 17; all references to Caesar in Acts chapters 25 to 28 apply to him.</t>
        </is>
      </c>
      <c r="N736" s="7" t="n"/>
      <c r="O736" s="8" t="inlineStr">
        <is>
          <t>Bible</t>
        </is>
      </c>
      <c r="P736" s="7" t="inlineStr">
        <is>
          <t>bible.apostolic</t>
        </is>
      </c>
      <c r="Q736" s="7" t="inlineStr">
        <is>
          <t>accession</t>
        </is>
      </c>
      <c r="R736" s="7" t="inlineStr">
        <is>
          <t>Nero; Claudius</t>
        </is>
      </c>
      <c r="S736" s="7" t="inlineStr">
        <is>
          <t>Rome</t>
        </is>
      </c>
      <c r="T736" s="7" t="inlineStr">
        <is>
          <t>Acts 25:8</t>
        </is>
      </c>
      <c r="U736" s="7" t="n"/>
      <c r="V736" s="7" t="n">
        <v>2</v>
      </c>
      <c r="W736" s="7" t="inlineStr">
        <is>
          <t>Acts Study Notes—Chapter 25</t>
        </is>
      </c>
      <c r="X736" s="9" t="inlineStr">
        <is>
          <t>open</t>
        </is>
      </c>
      <c r="Y736" s="7" t="n"/>
      <c r="Z736" s="7" t="inlineStr">
        <is>
          <t>https://wol.jw.org/en/wol/d/r1/lp-e/1001070714
https://wol.jw.org/en/wol/d/r1/lp-e/1200000852</t>
        </is>
      </c>
      <c r="AA736" s="7" t="n">
        <v>0</v>
      </c>
      <c r="AB736" s="7" t="n"/>
      <c r="AC736" s="7" t="n">
        <v>0</v>
      </c>
      <c r="AD736" s="7" t="n"/>
      <c r="AE736" s="7" t="n"/>
      <c r="AF736" s="7" t="n"/>
      <c r="AG736" s="7" t="n"/>
      <c r="AH736" s="7" t="n"/>
      <c r="AI736" s="7" t="inlineStr">
        <is>
          <t>Covered by span – hide on chart</t>
        </is>
      </c>
      <c r="AJ736" s="7" t="inlineStr">
        <is>
          <t>end of Reign of Claudius, Roman emperor (b12-0048); start of Reign of Nero, Roman emperor (b12-0049)</t>
        </is>
      </c>
      <c r="AK736" s="7" t="n"/>
      <c r="AL736" s="7" t="n"/>
      <c r="AM736" s="7" t="n">
        <v>54.8</v>
      </c>
      <c r="AN736" s="10" t="n"/>
      <c r="AO736" s="10" t="n"/>
      <c r="AP736" s="10" t="n"/>
      <c r="AQ736" s="10" t="n"/>
    </row>
    <row r="737">
      <c r="A737" s="7" t="inlineStr">
        <is>
          <t>b12-0049</t>
        </is>
      </c>
      <c r="B737" s="11" t="inlineStr">
        <is>
          <t>Span</t>
        </is>
      </c>
      <c r="C737" s="7" t="inlineStr">
        <is>
          <t>reign</t>
        </is>
      </c>
      <c r="D737" s="7" t="inlineStr">
        <is>
          <t>54-68 C.E.</t>
        </is>
      </c>
      <c r="E737" s="7" t="n"/>
      <c r="F737" s="7" t="inlineStr">
        <is>
          <t>54 CE</t>
        </is>
      </c>
      <c r="G737" s="7" t="inlineStr">
        <is>
          <t>Exact</t>
        </is>
      </c>
      <c r="H737" s="7" t="inlineStr">
        <is>
          <t>68 CE</t>
        </is>
      </c>
      <c r="I737" s="7" t="inlineStr">
        <is>
          <t>Exact</t>
        </is>
      </c>
      <c r="J737" s="7" t="n"/>
      <c r="K737" s="2" t="inlineStr">
        <is>
          <t>Reign of Nero, Roman emperor</t>
        </is>
      </c>
      <c r="L737" s="2" t="n"/>
      <c r="M737" s="7" t="inlineStr">
        <is>
          <t>Nero was the Caesar to whom Paul appealed; after the great fire of Rome in 64 C.E. he began strong official persecution of Christians. He committed suicide in 68 C.E.</t>
        </is>
      </c>
      <c r="N737" s="7" t="n"/>
      <c r="O737" s="8" t="inlineStr">
        <is>
          <t>Bible</t>
        </is>
      </c>
      <c r="P737" s="7" t="inlineStr">
        <is>
          <t>bible.apostolic</t>
        </is>
      </c>
      <c r="Q737" s="7" t="n"/>
      <c r="R737" s="7" t="inlineStr">
        <is>
          <t>Nero</t>
        </is>
      </c>
      <c r="S737" s="7" t="inlineStr">
        <is>
          <t>Rome</t>
        </is>
      </c>
      <c r="T737" s="7" t="inlineStr">
        <is>
          <t>Acts 25:11, 12</t>
        </is>
      </c>
      <c r="U737" s="7" t="inlineStr">
        <is>
          <t>அப். 25:11, 12</t>
        </is>
      </c>
      <c r="V737" s="7" t="n">
        <v>1</v>
      </c>
      <c r="W737" s="7" t="inlineStr">
        <is>
          <t>Caesar</t>
        </is>
      </c>
      <c r="X737" s="9" t="inlineStr">
        <is>
          <t>open</t>
        </is>
      </c>
      <c r="Y737" s="7" t="n"/>
      <c r="Z737" s="7" t="inlineStr">
        <is>
          <t>https://wol.jw.org/en/wol/d/r1/lp-e/1200000852</t>
        </is>
      </c>
      <c r="AA737" s="7" t="n">
        <v>0</v>
      </c>
      <c r="AB737" s="7" t="n"/>
      <c r="AC737" s="7" t="n">
        <v>0</v>
      </c>
      <c r="AD737" s="7" t="n"/>
      <c r="AE737" s="7" t="n"/>
      <c r="AF737" s="7" t="inlineStr">
        <is>
          <t>b6-0048</t>
        </is>
      </c>
      <c r="AG737" s="7" t="inlineStr">
        <is>
          <t>b6-0094</t>
        </is>
      </c>
      <c r="AH737" s="7" t="n"/>
      <c r="AI737" s="7" t="n"/>
      <c r="AJ737" s="7" t="n"/>
      <c r="AK737" s="7" t="inlineStr">
        <is>
          <t>roman-emperors #5 (ruler)</t>
        </is>
      </c>
      <c r="AL737" s="7" t="n"/>
      <c r="AM737" s="7" t="n">
        <v>54.8</v>
      </c>
      <c r="AN737" s="10" t="n"/>
      <c r="AO737" s="10" t="n"/>
      <c r="AP737" s="10" t="n"/>
      <c r="AQ737" s="10" t="n"/>
    </row>
    <row r="738">
      <c r="A738" s="7" t="inlineStr">
        <is>
          <t>b11-0047</t>
        </is>
      </c>
      <c r="B738" s="7" t="inlineStr">
        <is>
          <t>Point</t>
        </is>
      </c>
      <c r="C738" s="7" t="n"/>
      <c r="D738" s="7" t="inlineStr">
        <is>
          <t>c. 55 C.E.</t>
        </is>
      </c>
      <c r="E738" s="7" t="inlineStr">
        <is>
          <t>ஏ. கி.பி. 55</t>
        </is>
      </c>
      <c r="F738" s="7" t="inlineStr">
        <is>
          <t>55 CE</t>
        </is>
      </c>
      <c r="G738" s="7" t="inlineStr">
        <is>
          <t>Approx. (c.)</t>
        </is>
      </c>
      <c r="H738" s="7" t="n"/>
      <c r="I738" s="7" t="n"/>
      <c r="J738" s="7" t="n"/>
      <c r="K738" s="2" t="inlineStr">
        <is>
          <t>Writing of 1 Corinthians completed</t>
        </is>
      </c>
      <c r="L738" s="2" t="inlineStr">
        <is>
          <t>1 கொரிந்தியர் — எழுதி முடிக்கப்பட்டது</t>
        </is>
      </c>
      <c r="M738" s="7" t="inlineStr">
        <is>
          <t>The writing of 1 Corinthians was completed c. 55 C.E. Writer: Paul; place written: Ephesus.</t>
        </is>
      </c>
      <c r="N738" s="7" t="inlineStr">
        <is>
          <t>1 கொரிந்தியர்: எழுதியவர்(கள்): பவுல்; எழுதப்பட்ட இடம்: எபேசு; முடிக்கப்பட்ட வருஷம் (கி.பி.): ஏ. 55.</t>
        </is>
      </c>
      <c r="O738" s="8" t="inlineStr">
        <is>
          <t>Bible</t>
        </is>
      </c>
      <c r="P738" s="7" t="inlineStr">
        <is>
          <t>bible.book_writing</t>
        </is>
      </c>
      <c r="Q738" s="7" t="inlineStr">
        <is>
          <t>writing_completed</t>
        </is>
      </c>
      <c r="R738" s="7" t="inlineStr">
        <is>
          <t>Paul</t>
        </is>
      </c>
      <c r="S738" s="7" t="inlineStr">
        <is>
          <t>Ephesus</t>
        </is>
      </c>
      <c r="T738" s="7" t="inlineStr">
        <is>
          <t>1 Cor.</t>
        </is>
      </c>
      <c r="U738" s="7" t="inlineStr">
        <is>
          <t>1 கொ.</t>
        </is>
      </c>
      <c r="V738" s="7" t="n">
        <v>6</v>
      </c>
      <c r="W738" s="7" t="inlineStr">
        <is>
          <t>Table of the Books of the Bible</t>
        </is>
      </c>
      <c r="X738" s="9" t="inlineStr">
        <is>
          <t>open</t>
        </is>
      </c>
      <c r="Y738" s="9" t="inlineStr">
        <is>
          <t>open</t>
        </is>
      </c>
      <c r="Z738" s="7" t="inlineStr">
        <is>
          <t>https://wol.jw.org/en/wol/d/r1/lp-e/1001070071
https://wol.jw.org/en/wol/d/r1/lp-e/1101990107
https://www.jw.org/en/library/bible/study-bible/books-of-the-bible-list/
https://wol.jw.org/en/wol/d/r1/lp-e/1001060002
https://wol.jw.org/en/wol/d/r1/lp-e/1101990130
https://wol.jw.org/en/wol/d/r1/lp-e/1102009041</t>
        </is>
      </c>
      <c r="AA738" s="7" t="n">
        <v>0</v>
      </c>
      <c r="AB738" s="7" t="n"/>
      <c r="AC738" s="7" t="n">
        <v>0</v>
      </c>
      <c r="AD738" s="7" t="n"/>
      <c r="AE738" s="7" t="n"/>
      <c r="AF738" s="7" t="n"/>
      <c r="AG738" s="7" t="n"/>
      <c r="AH738" s="7" t="n"/>
      <c r="AI738" s="7" t="n"/>
      <c r="AJ738" s="7" t="n"/>
      <c r="AK738" s="7" t="inlineStr">
        <is>
          <t>bible-books-written #46 (item)</t>
        </is>
      </c>
      <c r="AL738" s="7" t="inlineStr">
        <is>
          <t>Writer(s): Paul. Place written: Ephesus. Writing completed: c. 55 C.E. Time covered: —.</t>
        </is>
      </c>
      <c r="AM738" s="7" t="n">
        <v>55.0046</v>
      </c>
      <c r="AN738" s="10" t="n"/>
      <c r="AO738" s="10" t="n"/>
      <c r="AP738" s="10" t="n"/>
      <c r="AQ738" s="10" t="n"/>
    </row>
    <row r="739">
      <c r="A739" s="7" t="inlineStr">
        <is>
          <t>b11-0048</t>
        </is>
      </c>
      <c r="B739" s="7" t="inlineStr">
        <is>
          <t>Point</t>
        </is>
      </c>
      <c r="C739" s="7" t="n"/>
      <c r="D739" s="7" t="inlineStr">
        <is>
          <t>c. 55 C.E.</t>
        </is>
      </c>
      <c r="E739" s="7" t="inlineStr">
        <is>
          <t>ஏ. கி.பி. 55</t>
        </is>
      </c>
      <c r="F739" s="7" t="inlineStr">
        <is>
          <t>55 CE</t>
        </is>
      </c>
      <c r="G739" s="7" t="inlineStr">
        <is>
          <t>Approx. (c.)</t>
        </is>
      </c>
      <c r="H739" s="7" t="n"/>
      <c r="I739" s="7" t="n"/>
      <c r="J739" s="7" t="n"/>
      <c r="K739" s="2" t="inlineStr">
        <is>
          <t>Writing of 2 Corinthians completed</t>
        </is>
      </c>
      <c r="L739" s="2" t="inlineStr">
        <is>
          <t>2 கொரிந்தியர் — எழுதி முடிக்கப்பட்டது</t>
        </is>
      </c>
      <c r="M739" s="7" t="inlineStr">
        <is>
          <t>The writing of 2 Corinthians was completed c. 55 C.E. Writer: Paul; place written: Macedonia.</t>
        </is>
      </c>
      <c r="N739" s="7" t="inlineStr">
        <is>
          <t>2 கொரிந்தியர்: எழுதியவர்(கள்): பவுல்; எழுதப்பட்ட இடம்: மக்கெதோனியா; முடிக்கப்பட்ட வருஷம் (கி.பி.): ஏ. 55.</t>
        </is>
      </c>
      <c r="O739" s="8" t="inlineStr">
        <is>
          <t>Bible</t>
        </is>
      </c>
      <c r="P739" s="7" t="inlineStr">
        <is>
          <t>bible.book_writing</t>
        </is>
      </c>
      <c r="Q739" s="7" t="inlineStr">
        <is>
          <t>writing_completed</t>
        </is>
      </c>
      <c r="R739" s="7" t="inlineStr">
        <is>
          <t>Paul</t>
        </is>
      </c>
      <c r="S739" s="7" t="inlineStr">
        <is>
          <t>Macedonia</t>
        </is>
      </c>
      <c r="T739" s="7" t="inlineStr">
        <is>
          <t>2 Cor.</t>
        </is>
      </c>
      <c r="U739" s="7" t="inlineStr">
        <is>
          <t>2 கொ.</t>
        </is>
      </c>
      <c r="V739" s="7" t="n">
        <v>6</v>
      </c>
      <c r="W739" s="7" t="inlineStr">
        <is>
          <t>Table of the Books of the Bible</t>
        </is>
      </c>
      <c r="X739" s="9" t="inlineStr">
        <is>
          <t>open</t>
        </is>
      </c>
      <c r="Y739" s="9" t="inlineStr">
        <is>
          <t>open</t>
        </is>
      </c>
      <c r="Z739" s="7" t="inlineStr">
        <is>
          <t>https://wol.jw.org/en/wol/d/r1/lp-e/1001070071
https://wol.jw.org/en/wol/d/r1/lp-e/1101990108
https://www.jw.org/en/library/bible/study-bible/books-of-the-bible-list/
https://wol.jw.org/en/wol/d/r1/lp-e/1001060002
https://wol.jw.org/en/wol/d/r1/lp-e/1101990130
https://wol.jw.org/en/wol/d/r1/lp-e/1102009041</t>
        </is>
      </c>
      <c r="AA739" s="7" t="n">
        <v>0</v>
      </c>
      <c r="AB739" s="7" t="n"/>
      <c r="AC739" s="7" t="n">
        <v>0</v>
      </c>
      <c r="AD739" s="7" t="n"/>
      <c r="AE739" s="7" t="n"/>
      <c r="AF739" s="7" t="n"/>
      <c r="AG739" s="7" t="n"/>
      <c r="AH739" s="7" t="n"/>
      <c r="AI739" s="7" t="n"/>
      <c r="AJ739" s="7" t="n"/>
      <c r="AK739" s="7" t="inlineStr">
        <is>
          <t>bible-books-written #47 (item)</t>
        </is>
      </c>
      <c r="AL739" s="7" t="inlineStr">
        <is>
          <t>Writer(s): Paul. Place written: Macedonia. Writing completed: c. 55 C.E. Time covered: —. si par. 1: probably late summer or early fall of 55 C.E.</t>
        </is>
      </c>
      <c r="AM739" s="7" t="n">
        <v>55.0047</v>
      </c>
      <c r="AN739" s="10" t="n"/>
      <c r="AO739" s="10" t="n"/>
      <c r="AP739" s="10" t="n"/>
      <c r="AQ739" s="10" t="n"/>
    </row>
    <row r="740">
      <c r="A740" s="7" t="inlineStr">
        <is>
          <t>b6-0050</t>
        </is>
      </c>
      <c r="B740" s="7" t="inlineStr">
        <is>
          <t>Point</t>
        </is>
      </c>
      <c r="C740" s="7" t="n"/>
      <c r="D740" s="7" t="inlineStr">
        <is>
          <t>c. 55 C.E.</t>
        </is>
      </c>
      <c r="E740" s="7" t="inlineStr">
        <is>
          <t>சுமார் கி.பி. 55</t>
        </is>
      </c>
      <c r="F740" s="7" t="inlineStr">
        <is>
          <t>55 CE</t>
        </is>
      </c>
      <c r="G740" s="7" t="inlineStr">
        <is>
          <t>Approx. (c.)</t>
        </is>
      </c>
      <c r="H740" s="7" t="n"/>
      <c r="I740" s="7" t="n"/>
      <c r="J740" s="7" t="n"/>
      <c r="K740" s="2" t="inlineStr">
        <is>
          <t>Titus sent to Corinth</t>
        </is>
      </c>
      <c r="L740" s="2" t="inlineStr">
        <is>
          <t>கொரிந்துவுக்கு தீத்து அனுப்பப்படுகிறார்</t>
        </is>
      </c>
      <c r="M740" s="7" t="inlineStr">
        <is>
          <t>From Ephesus Paul dispatched Titus to assist the Christians in Corinth; Titus later rejoined Paul in Macedonia.</t>
        </is>
      </c>
      <c r="N740" s="7" t="inlineStr">
        <is>
          <t>கொரிந்துவுக்கு தீத்து அனுப்பப்படுகிறார்.</t>
        </is>
      </c>
      <c r="O740" s="8" t="inlineStr">
        <is>
          <t>Bible</t>
        </is>
      </c>
      <c r="P740" s="7" t="inlineStr">
        <is>
          <t>bible.apostolic</t>
        </is>
      </c>
      <c r="Q740" s="7" t="inlineStr">
        <is>
          <t>mission</t>
        </is>
      </c>
      <c r="R740" s="7" t="inlineStr">
        <is>
          <t>Titus; Paul</t>
        </is>
      </c>
      <c r="S740" s="7" t="inlineStr">
        <is>
          <t>Corinth; Ephesus</t>
        </is>
      </c>
      <c r="T740" s="7" t="inlineStr">
        <is>
          <t>2 Cor. 7:5-7; 2 Cor. 2:12, 13</t>
        </is>
      </c>
      <c r="U740" s="7" t="inlineStr">
        <is>
          <t>2 கொ. 2:12, 13</t>
        </is>
      </c>
      <c r="V740" s="7" t="n">
        <v>2</v>
      </c>
      <c r="W740" s="7" t="inlineStr">
        <is>
          <t>“Go . . . and Make Disciples” (box: Important Dates in the Spread of Christianity During the First Century C.E.)</t>
        </is>
      </c>
      <c r="X740" s="9" t="inlineStr">
        <is>
          <t>open</t>
        </is>
      </c>
      <c r="Y740" s="9" t="inlineStr">
        <is>
          <t>open</t>
        </is>
      </c>
      <c r="Z740" s="7" t="inlineStr">
        <is>
          <t>https://wol.jw.org/en/wol/d/r1/lp-e/1102009041
https://wol.jw.org/en/wol/d/r1/lp-e/1200003406</t>
        </is>
      </c>
      <c r="AA740" s="7" t="n">
        <v>0</v>
      </c>
      <c r="AB740" s="7" t="n"/>
      <c r="AC740" s="7" t="n">
        <v>0</v>
      </c>
      <c r="AD740" s="7" t="n"/>
      <c r="AE740" s="7" t="n"/>
      <c r="AF740" s="7" t="n"/>
      <c r="AG740" s="7" t="n"/>
      <c r="AH740" s="7" t="n"/>
      <c r="AI740" s="7" t="n"/>
      <c r="AJ740" s="7" t="n"/>
      <c r="AK740" s="7" t="n"/>
      <c r="AL740" s="7" t="n"/>
      <c r="AM740" s="7" t="n">
        <v>55.3</v>
      </c>
      <c r="AN740" s="10" t="n"/>
      <c r="AO740" s="10" t="n"/>
      <c r="AP740" s="10" t="n"/>
      <c r="AQ740" s="10" t="n"/>
    </row>
    <row r="741">
      <c r="A741" s="7" t="inlineStr">
        <is>
          <t>b6-0051</t>
        </is>
      </c>
      <c r="B741" s="7" t="inlineStr">
        <is>
          <t>Point</t>
        </is>
      </c>
      <c r="C741" s="7" t="n"/>
      <c r="D741" s="7" t="inlineStr">
        <is>
          <t>c. 55 C.E. (after Pentecost)</t>
        </is>
      </c>
      <c r="E741" s="7" t="inlineStr">
        <is>
          <t>பொ.ச. 55-⁠ன் தொடக்கத்தில்</t>
        </is>
      </c>
      <c r="F741" s="7" t="inlineStr">
        <is>
          <t>55 CE</t>
        </is>
      </c>
      <c r="G741" s="7" t="inlineStr">
        <is>
          <t>Approx. (c.)</t>
        </is>
      </c>
      <c r="H741" s="7" t="n"/>
      <c r="I741" s="7" t="n"/>
      <c r="J741" s="7" t="n"/>
      <c r="K741" s="2" t="inlineStr">
        <is>
          <t>Paul leaves Ephesus for Macedonia and Greece</t>
        </is>
      </c>
      <c r="L741" s="2" t="n"/>
      <c r="M741" s="7" t="inlineStr">
        <is>
          <t>Paul apparently left Ephesus after the festival of Pentecost in 55 C.E., traveling through Macedonia to Corinth, Greece, where he spent three winter months.</t>
        </is>
      </c>
      <c r="N741" s="7" t="inlineStr">
        <is>
          <t>பொ.ச. 55-⁠ன் தொடக்கத்தில் “பெந்தெகொஸ்தே பண்டிகை”க்குப் பின் பவுல் எபேசுவைவிட்டு, நெடுந்தூரம் பயணப்பட்டு கிரீஸிலுள்ள கொரிந்துவுக்கு, குளிர்காலமான மூன்று மாதங்களை அங்கே செலவிடுவதற்குத் தக்கதாய்ப் போய்ச் சேர்ந்தார் என்று தோன்றுகிறது.</t>
        </is>
      </c>
      <c r="O741" s="8" t="inlineStr">
        <is>
          <t>Bible</t>
        </is>
      </c>
      <c r="P741" s="7" t="inlineStr">
        <is>
          <t>bible.apostolic</t>
        </is>
      </c>
      <c r="Q741" s="7" t="inlineStr">
        <is>
          <t>journey</t>
        </is>
      </c>
      <c r="R741" s="7" t="inlineStr">
        <is>
          <t>Paul</t>
        </is>
      </c>
      <c r="S741" s="7" t="inlineStr">
        <is>
          <t>Ephesus; Macedonia; Corinth</t>
        </is>
      </c>
      <c r="T741" s="7" t="inlineStr">
        <is>
          <t>1 Cor. 16:5-8; Acts 20:1-3</t>
        </is>
      </c>
      <c r="U741" s="7" t="inlineStr">
        <is>
          <t>1 கொ. 16:5-8; அப். 20:1-3</t>
        </is>
      </c>
      <c r="V741" s="7" t="n">
        <v>1</v>
      </c>
      <c r="W741" s="7" t="inlineStr">
        <is>
          <t>Study Number 3—Measuring Events in the Stream of Time</t>
        </is>
      </c>
      <c r="X741" s="9" t="inlineStr">
        <is>
          <t>open</t>
        </is>
      </c>
      <c r="Y741" s="9" t="inlineStr">
        <is>
          <t>open</t>
        </is>
      </c>
      <c r="Z741" s="7" t="inlineStr">
        <is>
          <t>https://wol.jw.org/en/wol/d/r1/lp-e/1101990130</t>
        </is>
      </c>
      <c r="AA741" s="7" t="n">
        <v>0</v>
      </c>
      <c r="AB741" s="7" t="n"/>
      <c r="AC741" s="7" t="n">
        <v>0</v>
      </c>
      <c r="AD741" s="7" t="n"/>
      <c r="AE741" s="7" t="n"/>
      <c r="AF741" s="7" t="n"/>
      <c r="AG741" s="7" t="n"/>
      <c r="AH741" s="7" t="n"/>
      <c r="AI741" s="7" t="n"/>
      <c r="AJ741" s="7" t="n"/>
      <c r="AK741" s="7" t="n"/>
      <c r="AL741" s="7" t="n"/>
      <c r="AM741" s="7" t="n">
        <v>55.45</v>
      </c>
      <c r="AN741" s="10" t="n"/>
      <c r="AO741" s="10" t="n"/>
      <c r="AP741" s="10" t="n"/>
      <c r="AQ741" s="10" t="n"/>
    </row>
    <row r="742">
      <c r="A742" s="7" t="inlineStr">
        <is>
          <t>b11-0049</t>
        </is>
      </c>
      <c r="B742" s="7" t="inlineStr">
        <is>
          <t>Point</t>
        </is>
      </c>
      <c r="C742" s="7" t="n"/>
      <c r="D742" s="7" t="inlineStr">
        <is>
          <t>c. 56-58 C.E.</t>
        </is>
      </c>
      <c r="E742" s="7" t="inlineStr">
        <is>
          <t>ஏ. கி.பி. 56-58</t>
        </is>
      </c>
      <c r="F742" s="7" t="inlineStr">
        <is>
          <t>56 CE</t>
        </is>
      </c>
      <c r="G742" s="7" t="inlineStr">
        <is>
          <t>Between (one moment in a window)</t>
        </is>
      </c>
      <c r="H742" s="7" t="n"/>
      <c r="I742" s="7" t="n"/>
      <c r="J742" s="7" t="n"/>
      <c r="K742" s="2" t="inlineStr">
        <is>
          <t>Writing of Luke completed</t>
        </is>
      </c>
      <c r="L742" s="2" t="inlineStr">
        <is>
          <t>லூக்கா — எழுதி முடிக்கப்பட்டது</t>
        </is>
      </c>
      <c r="M742" s="7" t="inlineStr">
        <is>
          <t>The writing of Luke was completed c. 56-58 C.E. Writer: Luke; place written: Caesarea. Time covered: 3 B.C.E.–33 C.E.</t>
        </is>
      </c>
      <c r="N742" s="7" t="inlineStr">
        <is>
          <t>லூக்கா: எழுதியவர்(கள்): லூக்கா; எழுதப்பட்ட இடம்: செசரியா; முடிக்கப்பட்ட வருஷம் (கி.பி.): ஏ. 56-58; காலப்பகுதி: கி.மு. 3–கி.பி. 33.</t>
        </is>
      </c>
      <c r="O742" s="8" t="inlineStr">
        <is>
          <t>Bible</t>
        </is>
      </c>
      <c r="P742" s="7" t="inlineStr">
        <is>
          <t>bible.book_writing</t>
        </is>
      </c>
      <c r="Q742" s="7" t="inlineStr">
        <is>
          <t>writing_completed</t>
        </is>
      </c>
      <c r="R742" s="7" t="inlineStr">
        <is>
          <t>Luke</t>
        </is>
      </c>
      <c r="S742" s="7" t="inlineStr">
        <is>
          <t>Caesarea</t>
        </is>
      </c>
      <c r="T742" s="7" t="inlineStr">
        <is>
          <t>Luke</t>
        </is>
      </c>
      <c r="U742" s="7" t="inlineStr">
        <is>
          <t>லூக்.</t>
        </is>
      </c>
      <c r="V742" s="7" t="n">
        <v>6</v>
      </c>
      <c r="W742" s="7" t="inlineStr">
        <is>
          <t>Table of the Books of the Bible</t>
        </is>
      </c>
      <c r="X742" s="9" t="inlineStr">
        <is>
          <t>open</t>
        </is>
      </c>
      <c r="Y742" s="9" t="inlineStr">
        <is>
          <t>open</t>
        </is>
      </c>
      <c r="Z742" s="7" t="inlineStr">
        <is>
          <t>https://wol.jw.org/en/wol/d/r1/lp-e/1001070071
https://wol.jw.org/en/wol/d/r1/lp-e/1101990103
https://www.jw.org/en/library/bible/study-bible/books-of-the-bible-list/
https://wol.jw.org/en/wol/d/r1/lp-e/1001060002
https://wol.jw.org/en/wol/d/r1/lp-e/1101990130
https://wol.jw.org/en/wol/d/r1/lp-e/1102009041</t>
        </is>
      </c>
      <c r="AA742" s="7" t="n">
        <v>0</v>
      </c>
      <c r="AB742" s="7" t="n"/>
      <c r="AC742" s="7" t="n">
        <v>0</v>
      </c>
      <c r="AD742" s="7" t="n"/>
      <c r="AE742" s="7" t="n"/>
      <c r="AF742" s="7" t="n"/>
      <c r="AG742" s="7" t="n"/>
      <c r="AH742" s="7" t="n"/>
      <c r="AI742" s="7" t="n"/>
      <c r="AJ742" s="7" t="n"/>
      <c r="AK742" s="7" t="inlineStr">
        <is>
          <t>bible-books-written #42 (item)</t>
        </is>
      </c>
      <c r="AL742" s="7" t="inlineStr">
        <is>
          <t>Writer(s): Luke. Place written: Caesarea. Writing completed: c. 56-58 C.E. Time covered: 3 B.C.E.–33 C.E. Date is a range with marker 'approx' applied to the whole range.</t>
        </is>
      </c>
      <c r="AM742" s="7" t="n">
        <v>56.0042</v>
      </c>
      <c r="AN742" s="10" t="n"/>
      <c r="AO742" s="10" t="n"/>
      <c r="AP742" s="10" t="n"/>
      <c r="AQ742" s="10" t="n"/>
    </row>
    <row r="743">
      <c r="A743" s="7" t="inlineStr">
        <is>
          <t>b11-0050</t>
        </is>
      </c>
      <c r="B743" s="7" t="inlineStr">
        <is>
          <t>Point</t>
        </is>
      </c>
      <c r="C743" s="7" t="n"/>
      <c r="D743" s="7" t="inlineStr">
        <is>
          <t>c. 56 C.E.</t>
        </is>
      </c>
      <c r="E743" s="7" t="inlineStr">
        <is>
          <t>ஏ. கி.பி. 56</t>
        </is>
      </c>
      <c r="F743" s="7" t="inlineStr">
        <is>
          <t>56 CE</t>
        </is>
      </c>
      <c r="G743" s="7" t="inlineStr">
        <is>
          <t>Approx. (c.)</t>
        </is>
      </c>
      <c r="H743" s="7" t="n"/>
      <c r="I743" s="7" t="n"/>
      <c r="J743" s="7" t="n"/>
      <c r="K743" s="2" t="inlineStr">
        <is>
          <t>Writing of Romans completed</t>
        </is>
      </c>
      <c r="L743" s="2" t="inlineStr">
        <is>
          <t>ரோமர் — எழுதி முடிக்கப்பட்டது</t>
        </is>
      </c>
      <c r="M743" s="7" t="inlineStr">
        <is>
          <t>The writing of Romans was completed c. 56 C.E. Writer: Paul; place written: Corinth.</t>
        </is>
      </c>
      <c r="N743" s="7" t="inlineStr">
        <is>
          <t>ரோமர்: எழுதியவர்(கள்): பவுல்; எழுதப்பட்ட இடம்: கொரிந்து; முடிக்கப்பட்ட வருஷம் (கி.பி.): ஏ. 56.</t>
        </is>
      </c>
      <c r="O743" s="8" t="inlineStr">
        <is>
          <t>Bible</t>
        </is>
      </c>
      <c r="P743" s="7" t="inlineStr">
        <is>
          <t>bible.book_writing</t>
        </is>
      </c>
      <c r="Q743" s="7" t="inlineStr">
        <is>
          <t>writing_completed</t>
        </is>
      </c>
      <c r="R743" s="7" t="inlineStr">
        <is>
          <t>Paul</t>
        </is>
      </c>
      <c r="S743" s="7" t="inlineStr">
        <is>
          <t>Corinth</t>
        </is>
      </c>
      <c r="T743" s="7" t="inlineStr">
        <is>
          <t>Rom.</t>
        </is>
      </c>
      <c r="U743" s="7" t="inlineStr">
        <is>
          <t>ரோ.</t>
        </is>
      </c>
      <c r="V743" s="7" t="n">
        <v>6</v>
      </c>
      <c r="W743" s="7" t="inlineStr">
        <is>
          <t>Table of the Books of the Bible</t>
        </is>
      </c>
      <c r="X743" s="9" t="inlineStr">
        <is>
          <t>open</t>
        </is>
      </c>
      <c r="Y743" s="9" t="inlineStr">
        <is>
          <t>open</t>
        </is>
      </c>
      <c r="Z743" s="7" t="inlineStr">
        <is>
          <t>https://wol.jw.org/en/wol/d/r1/lp-e/1001070071
https://wol.jw.org/en/wol/d/r1/lp-e/1101990106
https://www.jw.org/en/library/bible/study-bible/books-of-the-bible-list/
https://wol.jw.org/en/wol/d/r1/lp-e/1001060002
https://wol.jw.org/en/wol/d/r1/lp-e/1101990130
https://wol.jw.org/en/wol/d/r1/lp-e/1102009041</t>
        </is>
      </c>
      <c r="AA743" s="7" t="n">
        <v>0</v>
      </c>
      <c r="AB743" s="7" t="n"/>
      <c r="AC743" s="7" t="n">
        <v>0</v>
      </c>
      <c r="AD743" s="7" t="n"/>
      <c r="AE743" s="7" t="n"/>
      <c r="AF743" s="7" t="n"/>
      <c r="AG743" s="7" t="n"/>
      <c r="AH743" s="7" t="n"/>
      <c r="AI743" s="7" t="n"/>
      <c r="AJ743" s="7" t="n"/>
      <c r="AK743" s="7" t="inlineStr">
        <is>
          <t>bible-books-written #45 (item)</t>
        </is>
      </c>
      <c r="AL743" s="7" t="inlineStr">
        <is>
          <t>Writer(s): Paul. Place written: Corinth. Writing completed: c. 56 C.E. Time covered: —.</t>
        </is>
      </c>
      <c r="AM743" s="7" t="n">
        <v>56.0045</v>
      </c>
      <c r="AN743" s="10" t="n"/>
      <c r="AO743" s="10" t="n"/>
      <c r="AP743" s="10" t="n"/>
      <c r="AQ743" s="10" t="n"/>
    </row>
    <row r="744">
      <c r="A744" s="7" t="inlineStr">
        <is>
          <t>b6-0054</t>
        </is>
      </c>
      <c r="B744" s="7" t="inlineStr">
        <is>
          <t>Point</t>
        </is>
      </c>
      <c r="C744" s="7" t="n"/>
      <c r="D744" s="7" t="inlineStr">
        <is>
          <t>c. 56 C.E.</t>
        </is>
      </c>
      <c r="E744" s="7" t="inlineStr">
        <is>
          <t>சுமார் கி.பி. 56</t>
        </is>
      </c>
      <c r="F744" s="7" t="inlineStr">
        <is>
          <t>56 CE</t>
        </is>
      </c>
      <c r="G744" s="7" t="inlineStr">
        <is>
          <t>Approx. (c.)</t>
        </is>
      </c>
      <c r="H744" s="7" t="n"/>
      <c r="I744" s="7" t="n"/>
      <c r="J744" s="7" t="n"/>
      <c r="K744" s="2" t="inlineStr">
        <is>
          <t>Paul resurrects Eutychus in Troas</t>
        </is>
      </c>
      <c r="L744" s="2" t="inlineStr">
        <is>
          <t>துரோவாவில் ஐத்திகுவை பவுல் உயிர்த்தெழுப்புகிறார்</t>
        </is>
      </c>
      <c r="M744" s="7" t="inlineStr">
        <is>
          <t>During Paul’s long talk at Troas, the young man Eutychus fell from a third-story window and was picked up dead, but Paul restored him to life.</t>
        </is>
      </c>
      <c r="N744" s="7" t="inlineStr">
        <is>
          <t>துரோவாவில் ஐத்திகுவை பவுல் உயிர்த்தெழுப்புகிறார்.</t>
        </is>
      </c>
      <c r="O744" s="8" t="inlineStr">
        <is>
          <t>Bible</t>
        </is>
      </c>
      <c r="P744" s="7" t="inlineStr">
        <is>
          <t>bible.apostolic</t>
        </is>
      </c>
      <c r="Q744" s="7" t="inlineStr">
        <is>
          <t>miracle</t>
        </is>
      </c>
      <c r="R744" s="7" t="inlineStr">
        <is>
          <t>Paul; Eutychus</t>
        </is>
      </c>
      <c r="S744" s="7" t="inlineStr">
        <is>
          <t>Troas</t>
        </is>
      </c>
      <c r="T744" s="7" t="inlineStr">
        <is>
          <t>Acts 20:7-12</t>
        </is>
      </c>
      <c r="U744" s="7" t="n"/>
      <c r="V744" s="7" t="n">
        <v>2</v>
      </c>
      <c r="W744" s="7" t="inlineStr">
        <is>
          <t>“Go . . . and Make Disciples” (box: Important Dates in the Spread of Christianity During the First Century C.E.)</t>
        </is>
      </c>
      <c r="X744" s="9" t="inlineStr">
        <is>
          <t>open</t>
        </is>
      </c>
      <c r="Y744" s="9" t="inlineStr">
        <is>
          <t>open</t>
        </is>
      </c>
      <c r="Z744" s="7" t="inlineStr">
        <is>
          <t>https://wol.jw.org/en/wol/d/r1/lp-e/1102009041
https://wol.jw.org/en/wol/d/r1/lp-e/1101990130</t>
        </is>
      </c>
      <c r="AA744" s="7" t="n">
        <v>0</v>
      </c>
      <c r="AB744" s="7" t="n"/>
      <c r="AC744" s="7" t="n">
        <v>0</v>
      </c>
      <c r="AD744" s="7" t="n"/>
      <c r="AE744" s="7" t="n"/>
      <c r="AF744" s="7" t="n"/>
      <c r="AG744" s="7" t="n"/>
      <c r="AH744" s="7" t="n"/>
      <c r="AI744" s="7" t="n"/>
      <c r="AJ744" s="7" t="n"/>
      <c r="AK744" s="7" t="n"/>
      <c r="AL744" s="7" t="n"/>
      <c r="AM744" s="7" t="n">
        <v>56.3</v>
      </c>
      <c r="AN744" s="10" t="n"/>
      <c r="AO744" s="10" t="n"/>
      <c r="AP744" s="10" t="n"/>
      <c r="AQ744" s="10" t="n"/>
    </row>
    <row r="745">
      <c r="A745" s="7" t="inlineStr">
        <is>
          <t>b6-0055</t>
        </is>
      </c>
      <c r="B745" s="7" t="inlineStr">
        <is>
          <t>Point</t>
        </is>
      </c>
      <c r="C745" s="7" t="n"/>
      <c r="D745" s="7" t="inlineStr">
        <is>
          <t>c. 56 C.E.</t>
        </is>
      </c>
      <c r="E745" s="7" t="inlineStr">
        <is>
          <t>சுமார் கி.பி. 56</t>
        </is>
      </c>
      <c r="F745" s="7" t="inlineStr">
        <is>
          <t>56 CE</t>
        </is>
      </c>
      <c r="G745" s="7" t="inlineStr">
        <is>
          <t>Approx. (c.)</t>
        </is>
      </c>
      <c r="H745" s="7" t="n"/>
      <c r="I745" s="7" t="n"/>
      <c r="J745" s="7" t="n"/>
      <c r="K745" s="2" t="inlineStr">
        <is>
          <t>Paul and Luke stay with Philip the evangelizer in Caesarea</t>
        </is>
      </c>
      <c r="L745" s="2" t="inlineStr">
        <is>
          <t>செசரியாவில் பவுலும் லூக்காவும் பிலிப்புவுடன் தங்குகிறார்கள்</t>
        </is>
      </c>
      <c r="M745" s="7" t="inlineStr">
        <is>
          <t>On the way to Jerusalem, Paul and his companions stayed several days in Caesarea at the home of Philip the evangelizer, who had four daughters who prophesied.</t>
        </is>
      </c>
      <c r="N745" s="7" t="inlineStr">
        <is>
          <t>செசரியாவில் பவுலும் லூக்காவும் பிலிப்புவுடன் தங்குகிறார்கள்.</t>
        </is>
      </c>
      <c r="O745" s="8" t="inlineStr">
        <is>
          <t>Bible</t>
        </is>
      </c>
      <c r="P745" s="7" t="inlineStr">
        <is>
          <t>bible.apostolic</t>
        </is>
      </c>
      <c r="Q745" s="7" t="inlineStr">
        <is>
          <t>visit</t>
        </is>
      </c>
      <c r="R745" s="7" t="inlineStr">
        <is>
          <t>Paul; Luke; Philip (the evangelizer)</t>
        </is>
      </c>
      <c r="S745" s="7" t="inlineStr">
        <is>
          <t>Caesarea</t>
        </is>
      </c>
      <c r="T745" s="7" t="inlineStr">
        <is>
          <t>Acts 21:8-10</t>
        </is>
      </c>
      <c r="U745" s="7" t="n"/>
      <c r="V745" s="7" t="n">
        <v>1</v>
      </c>
      <c r="W745" s="7" t="inlineStr">
        <is>
          <t>“Go . . . and Make Disciples” (box: Important Dates in the Spread of Christianity During the First Century C.E.)</t>
        </is>
      </c>
      <c r="X745" s="9" t="inlineStr">
        <is>
          <t>open</t>
        </is>
      </c>
      <c r="Y745" s="9" t="inlineStr">
        <is>
          <t>open</t>
        </is>
      </c>
      <c r="Z745" s="7" t="inlineStr">
        <is>
          <t>https://wol.jw.org/en/wol/d/r1/lp-e/1102009041</t>
        </is>
      </c>
      <c r="AA745" s="7" t="n">
        <v>0</v>
      </c>
      <c r="AB745" s="7" t="n"/>
      <c r="AC745" s="7" t="n">
        <v>0</v>
      </c>
      <c r="AD745" s="7" t="n"/>
      <c r="AE745" s="7" t="n"/>
      <c r="AF745" s="7" t="n"/>
      <c r="AG745" s="7" t="n"/>
      <c r="AH745" s="7" t="n"/>
      <c r="AI745" s="7" t="n"/>
      <c r="AJ745" s="7" t="n"/>
      <c r="AK745" s="7" t="n"/>
      <c r="AL745" s="7" t="n"/>
      <c r="AM745" s="7" t="n">
        <v>56.38</v>
      </c>
      <c r="AN745" s="10" t="n"/>
      <c r="AO745" s="10" t="n"/>
      <c r="AP745" s="10" t="n"/>
      <c r="AQ745" s="10" t="n"/>
    </row>
    <row r="746">
      <c r="A746" s="7" t="inlineStr">
        <is>
          <t>b6-0056</t>
        </is>
      </c>
      <c r="B746" s="7" t="inlineStr">
        <is>
          <t>Point</t>
        </is>
      </c>
      <c r="C746" s="7" t="n"/>
      <c r="D746" s="7" t="inlineStr">
        <is>
          <t>c. 56 C.E.</t>
        </is>
      </c>
      <c r="E746" s="7" t="n"/>
      <c r="F746" s="7" t="inlineStr">
        <is>
          <t>56 CE</t>
        </is>
      </c>
      <c r="G746" s="7" t="inlineStr">
        <is>
          <t>Approx. (c.)</t>
        </is>
      </c>
      <c r="H746" s="7" t="n"/>
      <c r="I746" s="7" t="n"/>
      <c r="J746" s="7" t="n"/>
      <c r="K746" s="2" t="inlineStr">
        <is>
          <t>Agabus foretells Paul’s arrest</t>
        </is>
      </c>
      <c r="L746" s="2" t="n"/>
      <c r="M746" s="7" t="inlineStr">
        <is>
          <t>Toward the close of Paul’s last missionary tour, Agabus met him in Caesarea and, binding his own hands and feet with Paul’s girdle, foretold Paul’s arrest in Jerusalem.</t>
        </is>
      </c>
      <c r="N746" s="7" t="n"/>
      <c r="O746" s="8" t="inlineStr">
        <is>
          <t>Bible</t>
        </is>
      </c>
      <c r="P746" s="7" t="inlineStr">
        <is>
          <t>bible.apostolic</t>
        </is>
      </c>
      <c r="Q746" s="7" t="inlineStr">
        <is>
          <t>prophecy</t>
        </is>
      </c>
      <c r="R746" s="7" t="inlineStr">
        <is>
          <t>Agabus; Paul</t>
        </is>
      </c>
      <c r="S746" s="7" t="inlineStr">
        <is>
          <t>Caesarea</t>
        </is>
      </c>
      <c r="T746" s="7" t="inlineStr">
        <is>
          <t>Acts 21:10-14</t>
        </is>
      </c>
      <c r="U746" s="7" t="n"/>
      <c r="V746" s="7" t="n">
        <v>1</v>
      </c>
      <c r="W746" s="7" t="inlineStr">
        <is>
          <t>Agabus</t>
        </is>
      </c>
      <c r="X746" s="9" t="inlineStr">
        <is>
          <t>open</t>
        </is>
      </c>
      <c r="Y746" s="7" t="n"/>
      <c r="Z746" s="7" t="inlineStr">
        <is>
          <t>https://wol.jw.org/en/wol/d/r1/lp-e/1200000129</t>
        </is>
      </c>
      <c r="AA746" s="7" t="n">
        <v>0</v>
      </c>
      <c r="AB746" s="7" t="n"/>
      <c r="AC746" s="7" t="n">
        <v>0</v>
      </c>
      <c r="AD746" s="7" t="n"/>
      <c r="AE746" s="7" t="n"/>
      <c r="AF746" s="7" t="n"/>
      <c r="AG746" s="7" t="n"/>
      <c r="AH746" s="7" t="n"/>
      <c r="AI746" s="7" t="n"/>
      <c r="AJ746" s="7" t="n"/>
      <c r="AK746" s="7" t="n"/>
      <c r="AL746" s="7" t="n"/>
      <c r="AM746" s="7" t="n">
        <v>56.39</v>
      </c>
      <c r="AN746" s="10" t="n"/>
      <c r="AO746" s="10" t="n"/>
      <c r="AP746" s="10" t="n"/>
      <c r="AQ746" s="10" t="n"/>
    </row>
    <row r="747">
      <c r="A747" s="7" t="inlineStr">
        <is>
          <t>b6-0057</t>
        </is>
      </c>
      <c r="B747" s="7" t="inlineStr">
        <is>
          <t>Point</t>
        </is>
      </c>
      <c r="C747" s="7" t="n"/>
      <c r="D747" s="7" t="inlineStr">
        <is>
          <t>c. 56 C.E. (by Pentecost)</t>
        </is>
      </c>
      <c r="E747" s="7" t="inlineStr">
        <is>
          <t>பொ.ச. 56-⁠ன் பெந்தெகொஸ்தேக்குள்</t>
        </is>
      </c>
      <c r="F747" s="7" t="inlineStr">
        <is>
          <t>56 CE</t>
        </is>
      </c>
      <c r="G747" s="7" t="inlineStr">
        <is>
          <t>Approx. (c.)</t>
        </is>
      </c>
      <c r="H747" s="7" t="n"/>
      <c r="I747" s="7" t="n"/>
      <c r="J747" s="7" t="n"/>
      <c r="K747" s="2" t="inlineStr">
        <is>
          <t>Paul arrives in Jerusalem and meets James and the elders</t>
        </is>
      </c>
      <c r="L747" s="2" t="n"/>
      <c r="M747" s="7" t="inlineStr">
        <is>
          <t>Paul reached Jerusalem by Pentecost 56 C.E. and reported to James and all the elders on what God had done among the nations through his ministry.</t>
        </is>
      </c>
      <c r="N747" s="7" t="inlineStr">
        <is>
          <t>பின் எருசலேம் வரையாக சென்று, பொ.ச. 56-⁠ன் பெந்தெகொஸ்தேக்குள் அங்கு சேர்ந்தார்.</t>
        </is>
      </c>
      <c r="O747" s="8" t="inlineStr">
        <is>
          <t>Bible</t>
        </is>
      </c>
      <c r="P747" s="7" t="inlineStr">
        <is>
          <t>bible.apostolic</t>
        </is>
      </c>
      <c r="Q747" s="7" t="inlineStr">
        <is>
          <t>journey</t>
        </is>
      </c>
      <c r="R747" s="7" t="inlineStr">
        <is>
          <t>Paul; James (Jesus’ brother)</t>
        </is>
      </c>
      <c r="S747" s="7" t="inlineStr">
        <is>
          <t>Jerusalem</t>
        </is>
      </c>
      <c r="T747" s="7" t="inlineStr">
        <is>
          <t>Acts 21:15-19</t>
        </is>
      </c>
      <c r="U747" s="7" t="inlineStr">
        <is>
          <t>அப். 21:8, 15-17</t>
        </is>
      </c>
      <c r="V747" s="7" t="n">
        <v>2</v>
      </c>
      <c r="W747" s="7" t="inlineStr">
        <is>
          <t>Study Number 3—Measuring Events in the Stream of Time</t>
        </is>
      </c>
      <c r="X747" s="9" t="inlineStr">
        <is>
          <t>open</t>
        </is>
      </c>
      <c r="Y747" s="9" t="inlineStr">
        <is>
          <t>open</t>
        </is>
      </c>
      <c r="Z747" s="7" t="inlineStr">
        <is>
          <t>https://wol.jw.org/en/wol/d/r1/lp-e/1101990130
https://wol.jw.org/en/wol/d/r1/lp-e/1001070710</t>
        </is>
      </c>
      <c r="AA747" s="7" t="n">
        <v>0</v>
      </c>
      <c r="AB747" s="7" t="n"/>
      <c r="AC747" s="7" t="n">
        <v>0</v>
      </c>
      <c r="AD747" s="7" t="n"/>
      <c r="AE747" s="7" t="n"/>
      <c r="AF747" s="7" t="n"/>
      <c r="AG747" s="7" t="n"/>
      <c r="AH747" s="7" t="n"/>
      <c r="AI747" s="7" t="n"/>
      <c r="AJ747" s="7" t="n"/>
      <c r="AK747" s="7" t="n"/>
      <c r="AL747" s="7" t="n"/>
      <c r="AM747" s="7" t="n">
        <v>56.41</v>
      </c>
      <c r="AN747" s="10" t="n"/>
      <c r="AO747" s="10" t="n"/>
      <c r="AP747" s="10" t="n"/>
      <c r="AQ747" s="10" t="n"/>
    </row>
    <row r="748">
      <c r="A748" s="7" t="inlineStr">
        <is>
          <t>b6-0058</t>
        </is>
      </c>
      <c r="B748" s="7" t="inlineStr">
        <is>
          <t>Point</t>
        </is>
      </c>
      <c r="C748" s="7" t="n"/>
      <c r="D748" s="7" t="inlineStr">
        <is>
          <t>c. 56 C.E.</t>
        </is>
      </c>
      <c r="E748" s="7" t="inlineStr">
        <is>
          <t>சுமார் கி.பி. 56</t>
        </is>
      </c>
      <c r="F748" s="7" t="inlineStr">
        <is>
          <t>56 CE</t>
        </is>
      </c>
      <c r="G748" s="7" t="inlineStr">
        <is>
          <t>Approx. (c.)</t>
        </is>
      </c>
      <c r="H748" s="7" t="n"/>
      <c r="I748" s="7" t="n"/>
      <c r="J748" s="7" t="n"/>
      <c r="K748" s="2" t="inlineStr">
        <is>
          <t>Paul arrested at the temple in Jerusalem</t>
        </is>
      </c>
      <c r="L748" s="2" t="inlineStr">
        <is>
          <t>எருசலேமில் பவுல் சிறையில் அடைக்கப்படுகிறார்</t>
        </is>
      </c>
      <c r="M748" s="7" t="inlineStr">
        <is>
          <t>Shortly after his arrival, Jews from Asia stirred up a mob against Paul in the temple; the military commander Claudius Lysias rescued and arrested him.</t>
        </is>
      </c>
      <c r="N748" s="7" t="inlineStr">
        <is>
          <t>எருசலேமுக்கு பவுல் வந்து சிறிது காலத்துக்குள் கைதுசெய்யப்பட்டார்.</t>
        </is>
      </c>
      <c r="O748" s="8" t="inlineStr">
        <is>
          <t>Bible</t>
        </is>
      </c>
      <c r="P748" s="7" t="inlineStr">
        <is>
          <t>bible.apostolic</t>
        </is>
      </c>
      <c r="Q748" s="7" t="inlineStr">
        <is>
          <t>arrest</t>
        </is>
      </c>
      <c r="R748" s="7" t="inlineStr">
        <is>
          <t>Paul; Claudius Lysias</t>
        </is>
      </c>
      <c r="S748" s="7" t="inlineStr">
        <is>
          <t>Jerusalem</t>
        </is>
      </c>
      <c r="T748" s="7" t="inlineStr">
        <is>
          <t>Acts 21:27-36; Acts 21:33</t>
        </is>
      </c>
      <c r="U748" s="7" t="inlineStr">
        <is>
          <t>அப். 21:33</t>
        </is>
      </c>
      <c r="V748" s="7" t="n">
        <v>4</v>
      </c>
      <c r="W748" s="7" t="inlineStr">
        <is>
          <t>Study Number 3—Measuring Events in the Stream of Time</t>
        </is>
      </c>
      <c r="X748" s="9" t="inlineStr">
        <is>
          <t>open</t>
        </is>
      </c>
      <c r="Y748" s="9" t="inlineStr">
        <is>
          <t>open</t>
        </is>
      </c>
      <c r="Z748" s="7" t="inlineStr">
        <is>
          <t>https://wol.jw.org/en/wol/d/r1/lp-e/1101990130
https://wol.jw.org/en/wol/d/r1/lp-e/1102009041
https://wol.jw.org/en/wol/d/r1/lp-e/1001070710
https://wol.jw.org/en/wol/d/r1/lp-e/1200001502</t>
        </is>
      </c>
      <c r="AA748" s="7" t="n">
        <v>1</v>
      </c>
      <c r="AB748" s="9" t="inlineStr">
        <is>
          <t>open</t>
        </is>
      </c>
      <c r="AC748" s="7" t="n">
        <v>0</v>
      </c>
      <c r="AD748" s="7" t="n"/>
      <c r="AE748" s="7" t="n"/>
      <c r="AF748" s="7" t="n"/>
      <c r="AG748" s="7" t="n"/>
      <c r="AH748" s="7" t="n"/>
      <c r="AI748" s="7" t="n"/>
      <c r="AJ748" s="7" t="n"/>
      <c r="AK748" s="7" t="n"/>
      <c r="AL748" s="7" t="n"/>
      <c r="AM748" s="7" t="n">
        <v>56.45</v>
      </c>
      <c r="AN748" s="10" t="n"/>
      <c r="AO748" s="10" t="n"/>
      <c r="AP748" s="10" t="n"/>
      <c r="AQ748" s="10" t="n"/>
    </row>
    <row r="749">
      <c r="A749" s="7" t="inlineStr">
        <is>
          <t>b6-0059</t>
        </is>
      </c>
      <c r="B749" s="11" t="inlineStr">
        <is>
          <t>Span</t>
        </is>
      </c>
      <c r="C749" s="7" t="inlineStr">
        <is>
          <t>imprisonment</t>
        </is>
      </c>
      <c r="D749" s="7" t="inlineStr">
        <is>
          <t>c. 56-58 C.E.</t>
        </is>
      </c>
      <c r="E749" s="7" t="inlineStr">
        <is>
          <t>சுமார் கி.பி. 56-58</t>
        </is>
      </c>
      <c r="F749" s="7" t="inlineStr">
        <is>
          <t>56 CE</t>
        </is>
      </c>
      <c r="G749" s="7" t="inlineStr">
        <is>
          <t>Approx. (c.)</t>
        </is>
      </c>
      <c r="H749" s="7" t="inlineStr">
        <is>
          <t>58 CE</t>
        </is>
      </c>
      <c r="I749" s="7" t="inlineStr">
        <is>
          <t>Approx. (c.)</t>
        </is>
      </c>
      <c r="J749" s="7" t="inlineStr">
        <is>
          <t>two years</t>
        </is>
      </c>
      <c r="K749" s="2" t="inlineStr">
        <is>
          <t>Paul held two years in custody in Caesarea under Felix</t>
        </is>
      </c>
      <c r="L749" s="2" t="inlineStr">
        <is>
          <t>செசரியாவில் பவுல் சிறை வைக்கப்படுகிறார்</t>
        </is>
      </c>
      <c r="M749" s="7" t="inlineStr">
        <is>
          <t>Paul was taken to Caesarea and kept in custody for two years during the last part of Felix’ governorship; Felix hoped for a bribe and left Paul bound when he left office.</t>
        </is>
      </c>
      <c r="N749" s="7" t="inlineStr">
        <is>
          <t>அவர் செசரியாவுக்குக் கொண்டுசெல்லப்பட்டு, பேலிக்ஸின் ஸ்தானத்தில் பெஸ்து தேசாதிபதியாக வரும்வரையில் அங்கே இரண்டு ஆண்டுகள் காவலில் இருந்தார்.</t>
        </is>
      </c>
      <c r="O749" s="8" t="inlineStr">
        <is>
          <t>Bible</t>
        </is>
      </c>
      <c r="P749" s="7" t="inlineStr">
        <is>
          <t>bible.apostolic</t>
        </is>
      </c>
      <c r="Q749" s="7" t="inlineStr">
        <is>
          <t>imprisonment</t>
        </is>
      </c>
      <c r="R749" s="7" t="inlineStr">
        <is>
          <t>Paul; Felix; Drusilla</t>
        </is>
      </c>
      <c r="S749" s="7" t="inlineStr">
        <is>
          <t>Caesarea</t>
        </is>
      </c>
      <c r="T749" s="7" t="inlineStr">
        <is>
          <t>Acts 23:23-35; Acts 24:27</t>
        </is>
      </c>
      <c r="U749" s="7" t="inlineStr">
        <is>
          <t>அப். 23:23-35; அப். 24:27</t>
        </is>
      </c>
      <c r="V749" s="7" t="n">
        <v>5</v>
      </c>
      <c r="W749" s="7" t="inlineStr">
        <is>
          <t>Study Number 3—Measuring Events in the Stream of Time</t>
        </is>
      </c>
      <c r="X749" s="9" t="inlineStr">
        <is>
          <t>open</t>
        </is>
      </c>
      <c r="Y749" s="9" t="inlineStr">
        <is>
          <t>open</t>
        </is>
      </c>
      <c r="Z749" s="7" t="inlineStr">
        <is>
          <t>https://wol.jw.org/en/wol/d/r1/lp-e/1101990130
https://wol.jw.org/en/wol/d/r1/lp-e/1200000970
https://wol.jw.org/en/wol/d/r1/lp-e/1200001502
https://wol.jw.org/en/wol/d/r1/lp-e/1001070712
https://wol.jw.org/en/wol/d/r1/lp-e/1102009041</t>
        </is>
      </c>
      <c r="AA749" s="7" t="n">
        <v>1</v>
      </c>
      <c r="AB749" s="9" t="inlineStr">
        <is>
          <t>open</t>
        </is>
      </c>
      <c r="AC749" s="7" t="n">
        <v>0</v>
      </c>
      <c r="AD749" s="7" t="n"/>
      <c r="AE749" s="7" t="n"/>
      <c r="AF749" s="7" t="n"/>
      <c r="AG749" s="7" t="n"/>
      <c r="AH749" s="7" t="n"/>
      <c r="AI749" s="7" t="n"/>
      <c r="AJ749" s="7" t="n"/>
      <c r="AK749" s="7" t="n"/>
      <c r="AL749" s="7" t="n"/>
      <c r="AM749" s="7" t="n">
        <v>56.6</v>
      </c>
      <c r="AN749" s="10" t="n"/>
      <c r="AO749" s="10" t="n"/>
      <c r="AP749" s="10" t="n"/>
      <c r="AQ749" s="10" t="n"/>
    </row>
    <row r="750">
      <c r="A750" s="7" t="inlineStr">
        <is>
          <t>b6-0061</t>
        </is>
      </c>
      <c r="B750" s="7" t="inlineStr">
        <is>
          <t>Point</t>
        </is>
      </c>
      <c r="C750" s="7" t="n"/>
      <c r="D750" s="7" t="inlineStr">
        <is>
          <t>c. 58 C.E.</t>
        </is>
      </c>
      <c r="E750" s="7" t="inlineStr">
        <is>
          <t>சுமார் கி.பி. 58</t>
        </is>
      </c>
      <c r="F750" s="7" t="inlineStr">
        <is>
          <t>58 CE</t>
        </is>
      </c>
      <c r="G750" s="7" t="inlineStr">
        <is>
          <t>Approx. (c.)</t>
        </is>
      </c>
      <c r="H750" s="7" t="n"/>
      <c r="I750" s="7" t="n"/>
      <c r="J750" s="7" t="n"/>
      <c r="K750" s="2" t="inlineStr">
        <is>
          <t>Porcius Festus succeeds Felix as governor of Judea</t>
        </is>
      </c>
      <c r="L750" s="2" t="inlineStr">
        <is>
          <t>பேலிக்ஸுக்குப் பிறகு பெஸ்து பதவி ஏற்கிறார்</t>
        </is>
      </c>
      <c r="M750" s="7" t="inlineStr">
        <is>
          <t>Felix was succeeded by Porcius Festus, most likely in 58 C.E.; three days after arriving in Caesarea, Festus went up to Jerusalem, where the Jewish leaders pressed charges against Paul.</t>
        </is>
      </c>
      <c r="N750" s="7" t="inlineStr">
        <is>
          <t>பேலிக்ஸுக்குப் பிறகு பெஸ்து பதவி ஏற்கிறார்.</t>
        </is>
      </c>
      <c r="O750" s="8" t="inlineStr">
        <is>
          <t>Bible</t>
        </is>
      </c>
      <c r="P750" s="7" t="inlineStr">
        <is>
          <t>bible.apostolic</t>
        </is>
      </c>
      <c r="Q750" s="7" t="inlineStr">
        <is>
          <t>accession</t>
        </is>
      </c>
      <c r="R750" s="7" t="inlineStr">
        <is>
          <t>Festus; Felix</t>
        </is>
      </c>
      <c r="S750" s="7" t="inlineStr">
        <is>
          <t>Caesarea; Jerusalem</t>
        </is>
      </c>
      <c r="T750" s="7" t="inlineStr">
        <is>
          <t>Acts 24:27; Acts 25:1-5</t>
        </is>
      </c>
      <c r="U750" s="7" t="n"/>
      <c r="V750" s="7" t="n">
        <v>5</v>
      </c>
      <c r="W750" s="7" t="inlineStr">
        <is>
          <t>Festus</t>
        </is>
      </c>
      <c r="X750" s="9" t="inlineStr">
        <is>
          <t>open</t>
        </is>
      </c>
      <c r="Y750" s="7" t="n"/>
      <c r="Z750" s="7" t="inlineStr">
        <is>
          <t>https://wol.jw.org/en/wol/d/r1/lp-e/1200001512
https://wol.jw.org/en/wol/d/r1/lp-e/1200001502
https://wol.jw.org/en/wol/d/r1/lp-e/1101990130
https://wol.jw.org/en/wol/d/r1/lp-e/1200000970
https://wol.jw.org/en/wol/d/r1/lp-e/1102009041</t>
        </is>
      </c>
      <c r="AA750" s="7" t="n">
        <v>1</v>
      </c>
      <c r="AB750" s="9" t="inlineStr">
        <is>
          <t>open</t>
        </is>
      </c>
      <c r="AC750" s="7" t="n">
        <v>1</v>
      </c>
      <c r="AD750" s="7" t="inlineStr">
        <is>
          <t>Aid to Bible Understanding (1971) 'Chronology' gives Festus' accession as uncertain, 'from 57 to 60 C.E.', with some authorities favoring 59 or 60. Insight (Festus, Chronology 1200000970) and si give 58 C.E. (kept as primary).</t>
        </is>
      </c>
      <c r="AE750" s="7" t="n"/>
      <c r="AF750" s="7" t="n"/>
      <c r="AG750" s="7" t="n"/>
      <c r="AH750" s="7" t="n"/>
      <c r="AI750" s="7" t="n"/>
      <c r="AJ750" s="7" t="n"/>
      <c r="AK750" s="7" t="n"/>
      <c r="AL750" s="7" t="n"/>
      <c r="AM750" s="7" t="n">
        <v>58.3</v>
      </c>
      <c r="AN750" s="10" t="n"/>
      <c r="AO750" s="10" t="n"/>
      <c r="AP750" s="10" t="n"/>
      <c r="AQ750" s="10" t="n"/>
    </row>
    <row r="751">
      <c r="A751" s="7" t="inlineStr">
        <is>
          <t>b6-0062</t>
        </is>
      </c>
      <c r="B751" s="7" t="inlineStr">
        <is>
          <t>Point</t>
        </is>
      </c>
      <c r="C751" s="7" t="n"/>
      <c r="D751" s="7" t="inlineStr">
        <is>
          <t>c. 58 C.E.</t>
        </is>
      </c>
      <c r="E751" s="7" t="n"/>
      <c r="F751" s="7" t="inlineStr">
        <is>
          <t>58 CE</t>
        </is>
      </c>
      <c r="G751" s="7" t="inlineStr">
        <is>
          <t>Approx. (c.)</t>
        </is>
      </c>
      <c r="H751" s="7" t="n"/>
      <c r="I751" s="7" t="n"/>
      <c r="J751" s="7" t="n"/>
      <c r="K751" s="2" t="inlineStr">
        <is>
          <t>Paul appeals to Caesar before Festus</t>
        </is>
      </c>
      <c r="L751" s="2" t="n"/>
      <c r="M751" s="7" t="inlineStr">
        <is>
          <t>On trial before Festus in Caesarea, Paul refused a transfer of the trial to Jerusalem and appealed to Caesar (Nero); Festus admitted the appeal after consulting his counselors.</t>
        </is>
      </c>
      <c r="N751" s="7" t="n"/>
      <c r="O751" s="8" t="inlineStr">
        <is>
          <t>Bible</t>
        </is>
      </c>
      <c r="P751" s="7" t="inlineStr">
        <is>
          <t>bible.apostolic</t>
        </is>
      </c>
      <c r="Q751" s="7" t="inlineStr">
        <is>
          <t>court_appeal</t>
        </is>
      </c>
      <c r="R751" s="7" t="inlineStr">
        <is>
          <t>Paul; Festus; Nero</t>
        </is>
      </c>
      <c r="S751" s="7" t="inlineStr">
        <is>
          <t>Caesarea</t>
        </is>
      </c>
      <c r="T751" s="7" t="inlineStr">
        <is>
          <t>Acts 25:6-12</t>
        </is>
      </c>
      <c r="U751" s="7" t="n"/>
      <c r="V751" s="7" t="n">
        <v>3</v>
      </c>
      <c r="W751" s="7" t="inlineStr">
        <is>
          <t>Caesar</t>
        </is>
      </c>
      <c r="X751" s="9" t="inlineStr">
        <is>
          <t>open</t>
        </is>
      </c>
      <c r="Y751" s="7" t="n"/>
      <c r="Z751" s="7" t="inlineStr">
        <is>
          <t>https://wol.jw.org/en/wol/d/r1/lp-e/1200000852
https://wol.jw.org/en/wol/d/r1/lp-e/1200003406
https://wol.jw.org/en/wol/d/r1/lp-e/1200001512</t>
        </is>
      </c>
      <c r="AA751" s="7" t="n">
        <v>0</v>
      </c>
      <c r="AB751" s="7" t="n"/>
      <c r="AC751" s="7" t="n">
        <v>0</v>
      </c>
      <c r="AD751" s="7" t="n"/>
      <c r="AE751" s="7" t="n"/>
      <c r="AF751" s="7" t="n"/>
      <c r="AG751" s="7" t="n"/>
      <c r="AH751" s="7" t="n"/>
      <c r="AI751" s="7" t="n"/>
      <c r="AJ751" s="7" t="n"/>
      <c r="AK751" s="7" t="n"/>
      <c r="AL751" s="7" t="n"/>
      <c r="AM751" s="7" t="n">
        <v>58.35</v>
      </c>
      <c r="AN751" s="10" t="n"/>
      <c r="AO751" s="10" t="n"/>
      <c r="AP751" s="10" t="n"/>
      <c r="AQ751" s="10" t="n"/>
    </row>
    <row r="752">
      <c r="A752" s="7" t="inlineStr">
        <is>
          <t>b6-0063</t>
        </is>
      </c>
      <c r="B752" s="7" t="inlineStr">
        <is>
          <t>Point</t>
        </is>
      </c>
      <c r="C752" s="7" t="n"/>
      <c r="D752" s="7" t="inlineStr">
        <is>
          <t>58 C.E.</t>
        </is>
      </c>
      <c r="E752" s="7" t="inlineStr">
        <is>
          <t>கி.பி. 58</t>
        </is>
      </c>
      <c r="F752" s="7" t="inlineStr">
        <is>
          <t>58 CE</t>
        </is>
      </c>
      <c r="G752" s="7" t="inlineStr">
        <is>
          <t>Exact</t>
        </is>
      </c>
      <c r="H752" s="7" t="n"/>
      <c r="I752" s="7" t="n"/>
      <c r="J752" s="7" t="n"/>
      <c r="K752" s="2" t="inlineStr">
        <is>
          <t>King Herod Agrippa II hears Paul’s defense</t>
        </is>
      </c>
      <c r="L752" s="2" t="inlineStr">
        <is>
          <t>இரண்டாம் ஏரோது அகிரிப்பா பவுலின் வாதத்தைக் கேட்கிறார்</t>
        </is>
      </c>
      <c r="M752" s="7" t="inlineStr">
        <is>
          <t>During a courtesy visit to Festus with his sister Bernice, King Herod Agrippa II heard Paul’s defense and concluded that Paul could have been released had he not appealed to Caesar.</t>
        </is>
      </c>
      <c r="N752" s="7" t="inlineStr">
        <is>
          <t>இரண்டாம் ஏரோது அகிரிப்பா பவுலின் வாதத்தைக் கேட்கிறார்.</t>
        </is>
      </c>
      <c r="O752" s="8" t="inlineStr">
        <is>
          <t>Bible</t>
        </is>
      </c>
      <c r="P752" s="7" t="inlineStr">
        <is>
          <t>bible.apostolic</t>
        </is>
      </c>
      <c r="Q752" s="7" t="inlineStr">
        <is>
          <t>trial</t>
        </is>
      </c>
      <c r="R752" s="7" t="inlineStr">
        <is>
          <t>Herod Agrippa II; Bernice; Festus; Paul</t>
        </is>
      </c>
      <c r="S752" s="7" t="inlineStr">
        <is>
          <t>Caesarea</t>
        </is>
      </c>
      <c r="T752" s="7" t="inlineStr">
        <is>
          <t>Acts 25:13–26:32</t>
        </is>
      </c>
      <c r="U752" s="7" t="n"/>
      <c r="V752" s="7" t="n">
        <v>3</v>
      </c>
      <c r="W752" s="7" t="inlineStr">
        <is>
          <t>“Go . . . and Make Disciples” (box: Important Dates in the Spread of Christianity During the First Century C.E.)</t>
        </is>
      </c>
      <c r="X752" s="9" t="inlineStr">
        <is>
          <t>open</t>
        </is>
      </c>
      <c r="Y752" s="9" t="inlineStr">
        <is>
          <t>open</t>
        </is>
      </c>
      <c r="Z752" s="7" t="inlineStr">
        <is>
          <t>https://wol.jw.org/en/wol/d/r1/lp-e/1102009041
https://wol.jw.org/en/wol/d/r1/lp-e/1200002000
https://wol.jw.org/en/wol/d/r1/lp-e/1001070700</t>
        </is>
      </c>
      <c r="AA752" s="7" t="n">
        <v>1</v>
      </c>
      <c r="AB752" s="9" t="inlineStr">
        <is>
          <t>open</t>
        </is>
      </c>
      <c r="AC752" s="7" t="n">
        <v>0</v>
      </c>
      <c r="AD752" s="7" t="n"/>
      <c r="AE752" s="7" t="n"/>
      <c r="AF752" s="7" t="n"/>
      <c r="AG752" s="7" t="n"/>
      <c r="AH752" s="7" t="n"/>
      <c r="AI752" s="7" t="n"/>
      <c r="AJ752" s="7" t="n"/>
      <c r="AK752" s="7" t="n"/>
      <c r="AL752" s="7" t="n"/>
      <c r="AM752" s="7" t="n">
        <v>58.4</v>
      </c>
      <c r="AN752" s="10" t="n"/>
      <c r="AO752" s="10" t="n"/>
      <c r="AP752" s="10" t="n"/>
      <c r="AQ752" s="10" t="n"/>
    </row>
    <row r="753">
      <c r="A753" s="7" t="inlineStr">
        <is>
          <t>b6-0064</t>
        </is>
      </c>
      <c r="B753" s="7" t="inlineStr">
        <is>
          <t>Point</t>
        </is>
      </c>
      <c r="C753" s="7" t="n"/>
      <c r="D753" s="7" t="inlineStr">
        <is>
          <t>c. 58 C.E.</t>
        </is>
      </c>
      <c r="E753" s="7" t="inlineStr">
        <is>
          <t>பொ.ச. 58</t>
        </is>
      </c>
      <c r="F753" s="7" t="inlineStr">
        <is>
          <t>58 CE</t>
        </is>
      </c>
      <c r="G753" s="7" t="inlineStr">
        <is>
          <t>Approx. (c.)</t>
        </is>
      </c>
      <c r="H753" s="7" t="n"/>
      <c r="I753" s="7" t="n"/>
      <c r="J753" s="7" t="n"/>
      <c r="K753" s="2" t="inlineStr">
        <is>
          <t>Paul and other prisoners sent by ship toward Rome</t>
        </is>
      </c>
      <c r="L753" s="2" t="n"/>
      <c r="M753" s="7" t="inlineStr">
        <is>
          <t>After his hearing before Agrippa, Paul was handed over to the army officer Julius and sent by sea toward Rome with other prisoners, in about 58 C.E.</t>
        </is>
      </c>
      <c r="N753" s="7" t="inlineStr">
        <is>
          <t>பெஸ்து வந்தபின் பவுல் ரோமுக்குப் பயணப்பட்ட தேதி பொ.ச. 58 ஆக இருக்கலாமென தோன்றுகிறது.</t>
        </is>
      </c>
      <c r="O753" s="8" t="inlineStr">
        <is>
          <t>Bible</t>
        </is>
      </c>
      <c r="P753" s="7" t="inlineStr">
        <is>
          <t>bible.apostolic</t>
        </is>
      </c>
      <c r="Q753" s="7" t="inlineStr">
        <is>
          <t>journey</t>
        </is>
      </c>
      <c r="R753" s="7" t="inlineStr">
        <is>
          <t>Paul; Luke; Aristarchus; Julius</t>
        </is>
      </c>
      <c r="S753" s="7" t="inlineStr">
        <is>
          <t>Caesarea; Sidon; Myra; Fair Havens</t>
        </is>
      </c>
      <c r="T753" s="7" t="inlineStr">
        <is>
          <t>Acts 27:1</t>
        </is>
      </c>
      <c r="U753" s="7" t="inlineStr">
        <is>
          <t>அப். 27:1</t>
        </is>
      </c>
      <c r="V753" s="7" t="n">
        <v>3</v>
      </c>
      <c r="W753" s="7" t="inlineStr">
        <is>
          <t>Study Number 3—Measuring Events in the Stream of Time</t>
        </is>
      </c>
      <c r="X753" s="9" t="inlineStr">
        <is>
          <t>open</t>
        </is>
      </c>
      <c r="Y753" s="9" t="inlineStr">
        <is>
          <t>open</t>
        </is>
      </c>
      <c r="Z753" s="7" t="inlineStr">
        <is>
          <t>https://wol.jw.org/en/wol/d/r1/lp-e/1101990130
https://wol.jw.org/en/wol/d/r1/lp-e/1200003406
https://wol.jw.org/en/wol/d/r1/lp-e/1001070234</t>
        </is>
      </c>
      <c r="AA753" s="7" t="n">
        <v>2</v>
      </c>
      <c r="AB753" s="9" t="inlineStr">
        <is>
          <t>open</t>
        </is>
      </c>
      <c r="AC753" s="7" t="n">
        <v>0</v>
      </c>
      <c r="AD753" s="7" t="n"/>
      <c r="AE753" s="7" t="n"/>
      <c r="AF753" s="7" t="n"/>
      <c r="AG753" s="7" t="n"/>
      <c r="AH753" s="7" t="n"/>
      <c r="AI753" s="7" t="n"/>
      <c r="AJ753" s="7" t="n"/>
      <c r="AK753" s="7" t="inlineStr">
        <is>
          <t>spread-of-christianity #6 (context)</t>
        </is>
      </c>
      <c r="AL753" s="7" t="n"/>
      <c r="AM753" s="7" t="n">
        <v>58.7</v>
      </c>
      <c r="AN753" s="10" t="n"/>
      <c r="AO753" s="10" t="n"/>
      <c r="AP753" s="10" t="n"/>
      <c r="AQ753" s="10" t="n"/>
    </row>
    <row r="754">
      <c r="A754" s="7" t="inlineStr">
        <is>
          <t>b16-0007</t>
        </is>
      </c>
      <c r="B754" s="11" t="inlineStr">
        <is>
          <t>Span</t>
        </is>
      </c>
      <c r="C754" s="7" t="inlineStr">
        <is>
          <t>journey</t>
        </is>
      </c>
      <c r="D754" s="7" t="inlineStr">
        <is>
          <t>c. 58-61 C.E.</t>
        </is>
      </c>
      <c r="E754" s="7" t="inlineStr">
        <is>
          <t>சுமார் கி.பி. 58-61</t>
        </is>
      </c>
      <c r="F754" s="7" t="inlineStr">
        <is>
          <t>58 CE</t>
        </is>
      </c>
      <c r="G754" s="7" t="inlineStr">
        <is>
          <t>Approx. (c.)</t>
        </is>
      </c>
      <c r="H754" s="7" t="inlineStr">
        <is>
          <t>61 CE</t>
        </is>
      </c>
      <c r="I754" s="7" t="inlineStr">
        <is>
          <t>Approx. (c.)</t>
        </is>
      </c>
      <c r="J754" s="7" t="inlineStr">
        <is>
          <t>c. 3 years</t>
        </is>
      </c>
      <c r="K754" s="2" t="inlineStr">
        <is>
          <t>Paul’s trip to Rome and imprisonment</t>
        </is>
      </c>
      <c r="L754" s="2" t="inlineStr">
        <is>
          <t>ரோமுக்குப் பயணம்; சிறைவாசம்</t>
        </is>
      </c>
      <c r="M754" s="7" t="inlineStr">
        <is>
          <t>NWT Appendix B13 marks Paul’s voyage as a prisoner from Caesarea to Rome and his imprisonment there as one route, dated c. 58-61 C.E.</t>
        </is>
      </c>
      <c r="N754" s="7" t="inlineStr">
        <is>
          <t>ரோமுக்குப் பயணம்; சிறைவாசம் சுமார் கி.பி. 58-61</t>
        </is>
      </c>
      <c r="O754" s="8" t="inlineStr">
        <is>
          <t>Bible</t>
        </is>
      </c>
      <c r="P754" s="7" t="inlineStr">
        <is>
          <t>bible.apostolic</t>
        </is>
      </c>
      <c r="Q754" s="7" t="inlineStr">
        <is>
          <t>journey</t>
        </is>
      </c>
      <c r="R754" s="7" t="inlineStr">
        <is>
          <t>Paul</t>
        </is>
      </c>
      <c r="S754" s="7" t="inlineStr">
        <is>
          <t>Caesarea; Sidon; Myra; Fair Havens; Malta; Puteoli; Rome</t>
        </is>
      </c>
      <c r="T754" s="7" t="n"/>
      <c r="U754" s="7" t="n"/>
      <c r="V754" s="7" t="n">
        <v>2</v>
      </c>
      <c r="W754" s="7" t="inlineStr">
        <is>
          <t>B13 The Spread of Christianity</t>
        </is>
      </c>
      <c r="X754" s="9" t="inlineStr">
        <is>
          <t>open</t>
        </is>
      </c>
      <c r="Y754" s="9" t="inlineStr">
        <is>
          <t>open</t>
        </is>
      </c>
      <c r="Z754" s="7" t="inlineStr">
        <is>
          <t>https://wol.jw.org/en/wol/d/r1/lp-e/1001070234
https://wol.jw.org/en/wol/d/r1/lp-e/1001061234</t>
        </is>
      </c>
      <c r="AA754" s="7" t="n">
        <v>0</v>
      </c>
      <c r="AB754" s="7" t="n"/>
      <c r="AC754" s="7" t="n">
        <v>0</v>
      </c>
      <c r="AD754" s="7" t="n"/>
      <c r="AE754" s="7" t="n"/>
      <c r="AF754" s="7" t="n"/>
      <c r="AG754" s="7" t="n"/>
      <c r="AH754" s="7" t="n"/>
      <c r="AI754" s="7" t="n"/>
      <c r="AJ754" s="7" t="n"/>
      <c r="AK754" s="7" t="inlineStr">
        <is>
          <t>spread-of-christianity #5 (item)</t>
        </is>
      </c>
      <c r="AL754" s="7" t="inlineStr">
        <is>
          <t>B13 prints this range on the map legend. The steps are separate records in b6: b6-0064 (sent by ship, c. 58), b6-0065 (shipwreck on Malta), b6-0066 (arrival at Rome, c. 59), b6-0067 (house arrest, c. 59-61).</t>
        </is>
      </c>
      <c r="AM754" s="7" t="n">
        <v>58.7</v>
      </c>
      <c r="AN754" s="10" t="n"/>
      <c r="AO754" s="10" t="n"/>
      <c r="AP754" s="10" t="n"/>
      <c r="AQ754" s="10" t="n"/>
    </row>
    <row r="755">
      <c r="A755" s="7" t="inlineStr">
        <is>
          <t>b6-0065</t>
        </is>
      </c>
      <c r="B755" s="11" t="inlineStr">
        <is>
          <t>Span</t>
        </is>
      </c>
      <c r="C755" s="7" t="inlineStr">
        <is>
          <t>residence</t>
        </is>
      </c>
      <c r="D755" s="7" t="inlineStr">
        <is>
          <t>c. 58-59 C.E. (shipwreck and wintering)</t>
        </is>
      </c>
      <c r="E755" s="7" t="inlineStr">
        <is>
          <t>பொ.ச. 58-59</t>
        </is>
      </c>
      <c r="F755" s="7" t="inlineStr">
        <is>
          <t>58 CE</t>
        </is>
      </c>
      <c r="G755" s="7" t="inlineStr">
        <is>
          <t>Approx. (c.)</t>
        </is>
      </c>
      <c r="H755" s="7" t="inlineStr">
        <is>
          <t>59 CE</t>
        </is>
      </c>
      <c r="I755" s="7" t="inlineStr">
        <is>
          <t>Approx. (c.)</t>
        </is>
      </c>
      <c r="J755" s="7" t="inlineStr">
        <is>
          <t>c. 1 year</t>
        </is>
      </c>
      <c r="K755" s="2" t="inlineStr">
        <is>
          <t>Shipwreck on Malta; Paul winters there</t>
        </is>
      </c>
      <c r="L755" s="2" t="n"/>
      <c r="M755" s="7" t="inlineStr">
        <is>
          <t>Driven by a storm, the ship carrying Paul ran aground and broke up off Malta; all 276 aboard reached land safely, and they wintered on the island before sailing on to Italy.</t>
        </is>
      </c>
      <c r="N755" s="7" t="inlineStr">
        <is>
          <t>பவுல் பயணம்செய்த கப்பல், சேதத்திற்கு உள்ளான பின்னும் மெலித்தாவில் குளிர்காலத்தைக் கழித்த பின்பும் அந்தப் பயணம் சுமார் பொ.ச. 59-⁠ல் முடிவுற்றது.</t>
        </is>
      </c>
      <c r="O755" s="8" t="inlineStr">
        <is>
          <t>Bible</t>
        </is>
      </c>
      <c r="P755" s="7" t="inlineStr">
        <is>
          <t>bible.apostolic</t>
        </is>
      </c>
      <c r="Q755" s="7" t="inlineStr">
        <is>
          <t>shipwreck</t>
        </is>
      </c>
      <c r="R755" s="7" t="inlineStr">
        <is>
          <t>Paul; Luke</t>
        </is>
      </c>
      <c r="S755" s="7" t="inlineStr">
        <is>
          <t>Malta; Crete</t>
        </is>
      </c>
      <c r="T755" s="7" t="inlineStr">
        <is>
          <t>Acts 27:14-44; Acts 28:1, 11</t>
        </is>
      </c>
      <c r="U755" s="7" t="inlineStr">
        <is>
          <t>அப். 28:1, 11</t>
        </is>
      </c>
      <c r="V755" s="7" t="n">
        <v>2</v>
      </c>
      <c r="W755" s="7" t="inlineStr">
        <is>
          <t>Study Number 3—Measuring Events in the Stream of Time</t>
        </is>
      </c>
      <c r="X755" s="9" t="inlineStr">
        <is>
          <t>open</t>
        </is>
      </c>
      <c r="Y755" s="9" t="inlineStr">
        <is>
          <t>open</t>
        </is>
      </c>
      <c r="Z755" s="7" t="inlineStr">
        <is>
          <t>https://wol.jw.org/en/wol/d/r1/lp-e/1101990130
https://wol.jw.org/en/wol/d/r1/lp-e/1200003406</t>
        </is>
      </c>
      <c r="AA755" s="7" t="n">
        <v>2</v>
      </c>
      <c r="AB755" s="9" t="inlineStr">
        <is>
          <t>open</t>
        </is>
      </c>
      <c r="AC755" s="7" t="n">
        <v>0</v>
      </c>
      <c r="AD755" s="7" t="n"/>
      <c r="AE755" s="7" t="n"/>
      <c r="AF755" s="7" t="n"/>
      <c r="AG755" s="7" t="n"/>
      <c r="AH755" s="7" t="n"/>
      <c r="AI755" s="7" t="n"/>
      <c r="AJ755" s="7" t="n"/>
      <c r="AK755" s="7" t="inlineStr">
        <is>
          <t>spread-of-christianity #7 (context)</t>
        </is>
      </c>
      <c r="AL755" s="7" t="n"/>
      <c r="AM755" s="7" t="n">
        <v>58.85</v>
      </c>
      <c r="AN755" s="10" t="n"/>
      <c r="AO755" s="10" t="n"/>
      <c r="AP755" s="10" t="n"/>
      <c r="AQ755" s="10" t="n"/>
    </row>
    <row r="756">
      <c r="A756" s="7" t="inlineStr">
        <is>
          <t>b6-0066</t>
        </is>
      </c>
      <c r="B756" s="7" t="inlineStr">
        <is>
          <t>Point</t>
        </is>
      </c>
      <c r="C756" s="7" t="n"/>
      <c r="D756" s="7" t="inlineStr">
        <is>
          <t>c. 59 C.E.</t>
        </is>
      </c>
      <c r="E756" s="7" t="inlineStr">
        <is>
          <t>சுமார் பொ.ச. 59</t>
        </is>
      </c>
      <c r="F756" s="7" t="inlineStr">
        <is>
          <t>59 CE</t>
        </is>
      </c>
      <c r="G756" s="7" t="inlineStr">
        <is>
          <t>Approx. (c.)</t>
        </is>
      </c>
      <c r="H756" s="7" t="n"/>
      <c r="I756" s="7" t="n"/>
      <c r="J756" s="7" t="n"/>
      <c r="K756" s="2" t="inlineStr">
        <is>
          <t>Paul arrives at Puteoli and Rome</t>
        </is>
      </c>
      <c r="L756" s="2" t="n"/>
      <c r="M756" s="7" t="inlineStr">
        <is>
          <t>Sailing from Malta via Rhegium, Paul landed at Puteoli about 59 C.E. and traveled the Appian Way to Rome, where brothers met him at the Marketplace of Appius and Three Taverns.</t>
        </is>
      </c>
      <c r="N756" s="7" t="inlineStr">
        <is>
          <t>அந்தப் பயணம் சுமார் பொ.ச. 59-⁠ல் முடிவுற்றது.</t>
        </is>
      </c>
      <c r="O756" s="8" t="inlineStr">
        <is>
          <t>Bible</t>
        </is>
      </c>
      <c r="P756" s="7" t="inlineStr">
        <is>
          <t>bible.apostolic</t>
        </is>
      </c>
      <c r="Q756" s="7" t="inlineStr">
        <is>
          <t>journey</t>
        </is>
      </c>
      <c r="R756" s="7" t="inlineStr">
        <is>
          <t>Paul</t>
        </is>
      </c>
      <c r="S756" s="7" t="inlineStr">
        <is>
          <t>Puteoli; Rome; Marketplace of Appius; Three Taverns</t>
        </is>
      </c>
      <c r="T756" s="7" t="inlineStr">
        <is>
          <t>Acts 28:13-16</t>
        </is>
      </c>
      <c r="U756" s="7" t="inlineStr">
        <is>
          <t>அப். 28:16</t>
        </is>
      </c>
      <c r="V756" s="7" t="n">
        <v>3</v>
      </c>
      <c r="W756" s="7" t="inlineStr">
        <is>
          <t>Acts Study Notes—Chapter 28</t>
        </is>
      </c>
      <c r="X756" s="9" t="inlineStr">
        <is>
          <t>open</t>
        </is>
      </c>
      <c r="Y756" s="7" t="n"/>
      <c r="Z756" s="7" t="inlineStr">
        <is>
          <t>https://wol.jw.org/en/wol/d/r1/lp-e/1001070717
https://wol.jw.org/en/wol/d/r1/lp-e/1101990130
https://wol.jw.org/en/wol/d/r1/lp-e/1200000970</t>
        </is>
      </c>
      <c r="AA756" s="7" t="n">
        <v>0</v>
      </c>
      <c r="AB756" s="7" t="n"/>
      <c r="AC756" s="7" t="n">
        <v>0</v>
      </c>
      <c r="AD756" s="7" t="n"/>
      <c r="AE756" s="7" t="n"/>
      <c r="AF756" s="7" t="n"/>
      <c r="AG756" s="7" t="n"/>
      <c r="AH756" s="7" t="n"/>
      <c r="AI756" s="7" t="n"/>
      <c r="AJ756" s="7" t="n"/>
      <c r="AK756" s="7" t="inlineStr">
        <is>
          <t>spread-of-christianity #8 (context)</t>
        </is>
      </c>
      <c r="AL756" s="7" t="inlineStr">
        <is>
          <t>Insight 'Chronology' gives a wider window (between 59 and 61 C.E.); si and the Study Edition give about 59.</t>
        </is>
      </c>
      <c r="AM756" s="7" t="n">
        <v>59.3</v>
      </c>
      <c r="AN756" s="10" t="n"/>
      <c r="AO756" s="10" t="n"/>
      <c r="AP756" s="10" t="n"/>
      <c r="AQ756" s="10" t="n"/>
    </row>
    <row r="757">
      <c r="A757" s="7" t="inlineStr">
        <is>
          <t>b6-0067</t>
        </is>
      </c>
      <c r="B757" s="11" t="inlineStr">
        <is>
          <t>Span</t>
        </is>
      </c>
      <c r="C757" s="7" t="inlineStr">
        <is>
          <t>imprisonment</t>
        </is>
      </c>
      <c r="D757" s="7" t="inlineStr">
        <is>
          <t>c. 59-61 C.E.</t>
        </is>
      </c>
      <c r="E757" s="7" t="inlineStr">
        <is>
          <t>சுமார் கி.பி. 59-61</t>
        </is>
      </c>
      <c r="F757" s="7" t="inlineStr">
        <is>
          <t>59 CE</t>
        </is>
      </c>
      <c r="G757" s="7" t="inlineStr">
        <is>
          <t>Approx. (c.)</t>
        </is>
      </c>
      <c r="H757" s="7" t="inlineStr">
        <is>
          <t>61 CE</t>
        </is>
      </c>
      <c r="I757" s="7" t="inlineStr">
        <is>
          <t>Approx. (c.)</t>
        </is>
      </c>
      <c r="J757" s="7" t="inlineStr">
        <is>
          <t>c. 2 years</t>
        </is>
      </c>
      <c r="K757" s="2" t="inlineStr">
        <is>
          <t>Paul’s first imprisonment (house arrest) in Rome</t>
        </is>
      </c>
      <c r="L757" s="2" t="inlineStr">
        <is>
          <t>ரோமில் முதல் முறையாக பவுல் சிறையில் அடைக்கப்படுகிறார்</t>
        </is>
      </c>
      <c r="M757" s="7" t="inlineStr">
        <is>
          <t>For two years Paul remained under guard in his own rented house in Rome, preaching the Kingdom to all who came to him; during this time he wrote several letters.</t>
        </is>
      </c>
      <c r="N757" s="7" t="inlineStr">
        <is>
          <t>பவுல் ரோமில் இரண்டு ஆண்டு காலம், அல்லது பொ.ச. 61 வரை, சிறைக்காவலில் பிரசங்கித்துக்கொண்டும் கற்பித்துக்கொண்டும் இருந்தாரென பதிவு காட்டுகிறது.</t>
        </is>
      </c>
      <c r="O757" s="8" t="inlineStr">
        <is>
          <t>Bible</t>
        </is>
      </c>
      <c r="P757" s="7" t="inlineStr">
        <is>
          <t>bible.apostolic</t>
        </is>
      </c>
      <c r="Q757" s="7" t="inlineStr">
        <is>
          <t>imprisonment</t>
        </is>
      </c>
      <c r="R757" s="7" t="inlineStr">
        <is>
          <t>Paul</t>
        </is>
      </c>
      <c r="S757" s="7" t="inlineStr">
        <is>
          <t>Rome</t>
        </is>
      </c>
      <c r="T757" s="7" t="inlineStr">
        <is>
          <t>Acts 28:16, 30, 31</t>
        </is>
      </c>
      <c r="U757" s="7" t="inlineStr">
        <is>
          <t>அப். 28:16, 30, 31</t>
        </is>
      </c>
      <c r="V757" s="7" t="n">
        <v>5</v>
      </c>
      <c r="W757" s="7" t="inlineStr">
        <is>
          <t>Study Number 3—Measuring Events in the Stream of Time</t>
        </is>
      </c>
      <c r="X757" s="9" t="inlineStr">
        <is>
          <t>open</t>
        </is>
      </c>
      <c r="Y757" s="9" t="inlineStr">
        <is>
          <t>open</t>
        </is>
      </c>
      <c r="Z757" s="7" t="inlineStr">
        <is>
          <t>https://wol.jw.org/en/wol/d/r1/lp-e/1101990130
https://wol.jw.org/en/wol/d/r1/lp-e/1200003406
https://wol.jw.org/en/wol/d/r1/lp-e/1200003452
https://wol.jw.org/en/wol/d/r1/lp-e/1102009041
https://wol.jw.org/en/wol/d/r1/lp-e/1001070234</t>
        </is>
      </c>
      <c r="AA757" s="7" t="n">
        <v>1</v>
      </c>
      <c r="AB757" s="9" t="inlineStr">
        <is>
          <t>open</t>
        </is>
      </c>
      <c r="AC757" s="7" t="n">
        <v>0</v>
      </c>
      <c r="AD757" s="7" t="n"/>
      <c r="AE757" s="7" t="n"/>
      <c r="AF757" s="7" t="n"/>
      <c r="AG757" s="7" t="n"/>
      <c r="AH757" s="7" t="n"/>
      <c r="AI757" s="7" t="n"/>
      <c r="AJ757" s="7" t="n"/>
      <c r="AK757" s="7" t="inlineStr">
        <is>
          <t>spread-of-christianity #9 (context)</t>
        </is>
      </c>
      <c r="AL757" s="7" t="n"/>
      <c r="AM757" s="7" t="n">
        <v>59.4</v>
      </c>
      <c r="AN757" s="10" t="n"/>
      <c r="AO757" s="10" t="n"/>
      <c r="AP757" s="10" t="n"/>
      <c r="AQ757" s="10" t="n"/>
    </row>
    <row r="758">
      <c r="A758" s="7" t="inlineStr">
        <is>
          <t>b11-0051</t>
        </is>
      </c>
      <c r="B758" s="7" t="inlineStr">
        <is>
          <t>Point</t>
        </is>
      </c>
      <c r="C758" s="7" t="n"/>
      <c r="D758" s="7" t="inlineStr">
        <is>
          <t>c. 60-65 C.E.</t>
        </is>
      </c>
      <c r="E758" s="7" t="inlineStr">
        <is>
          <t>ஏ. கி.பி. 60-65</t>
        </is>
      </c>
      <c r="F758" s="7" t="inlineStr">
        <is>
          <t>60 CE</t>
        </is>
      </c>
      <c r="G758" s="7" t="inlineStr">
        <is>
          <t>Between (one moment in a window)</t>
        </is>
      </c>
      <c r="H758" s="7" t="n"/>
      <c r="I758" s="7" t="n"/>
      <c r="J758" s="7" t="n"/>
      <c r="K758" s="2" t="inlineStr">
        <is>
          <t>Writing of Mark completed</t>
        </is>
      </c>
      <c r="L758" s="2" t="inlineStr">
        <is>
          <t>மாற்கு — எழுதி முடிக்கப்பட்டது</t>
        </is>
      </c>
      <c r="M758" s="7" t="inlineStr">
        <is>
          <t>The writing of Mark was completed c. 60-65 C.E. Writer: Mark; place written: Rome. Time covered: 29-33 C.E.</t>
        </is>
      </c>
      <c r="N758" s="7" t="inlineStr">
        <is>
          <t>மாற்கு: எழுதியவர்(கள்): மாற்கு; எழுதப்பட்ட இடம்: ரோம்; முடிக்கப்பட்ட வருஷம் (கி.பி.): ஏ. 60-65; காலப்பகுதி: கி.பி. 29-33.</t>
        </is>
      </c>
      <c r="O758" s="8" t="inlineStr">
        <is>
          <t>Bible</t>
        </is>
      </c>
      <c r="P758" s="7" t="inlineStr">
        <is>
          <t>bible.book_writing</t>
        </is>
      </c>
      <c r="Q758" s="7" t="inlineStr">
        <is>
          <t>writing_completed</t>
        </is>
      </c>
      <c r="R758" s="7" t="inlineStr">
        <is>
          <t>Mark</t>
        </is>
      </c>
      <c r="S758" s="7" t="inlineStr">
        <is>
          <t>Rome</t>
        </is>
      </c>
      <c r="T758" s="7" t="inlineStr">
        <is>
          <t>Mark</t>
        </is>
      </c>
      <c r="U758" s="7" t="inlineStr">
        <is>
          <t>மாற்.</t>
        </is>
      </c>
      <c r="V758" s="7" t="n">
        <v>4</v>
      </c>
      <c r="W758" s="7" t="inlineStr">
        <is>
          <t>Table of the Books of the Bible</t>
        </is>
      </c>
      <c r="X758" s="9" t="inlineStr">
        <is>
          <t>open</t>
        </is>
      </c>
      <c r="Y758" s="9" t="inlineStr">
        <is>
          <t>open</t>
        </is>
      </c>
      <c r="Z758" s="7" t="inlineStr">
        <is>
          <t>https://wol.jw.org/en/wol/d/r1/lp-e/1001070071
https://wol.jw.org/en/wol/d/r1/lp-e/1101990102
https://www.jw.org/en/library/bible/study-bible/books-of-the-bible-list/
https://wol.jw.org/en/wol/d/r1/lp-e/1001060002</t>
        </is>
      </c>
      <c r="AA758" s="7" t="n">
        <v>0</v>
      </c>
      <c r="AB758" s="7" t="n"/>
      <c r="AC758" s="7" t="n">
        <v>0</v>
      </c>
      <c r="AD758" s="7" t="n"/>
      <c r="AE758" s="7" t="n"/>
      <c r="AF758" s="7" t="n"/>
      <c r="AG758" s="7" t="n"/>
      <c r="AH758" s="7" t="n"/>
      <c r="AI758" s="7" t="n"/>
      <c r="AJ758" s="7" t="n"/>
      <c r="AK758" s="7" t="inlineStr">
        <is>
          <t>bible-books-written #41 (item)</t>
        </is>
      </c>
      <c r="AL758" s="7" t="inlineStr">
        <is>
          <t>Writer(s): Mark. Place written: Rome. Writing completed: c. 60-65 C.E. Time covered: 29-33 C.E. Date is a range with marker 'approx' applied to the whole range.</t>
        </is>
      </c>
      <c r="AM758" s="7" t="n">
        <v>60.0041</v>
      </c>
      <c r="AN758" s="10" t="n"/>
      <c r="AO758" s="10" t="n"/>
      <c r="AP758" s="10" t="n"/>
      <c r="AQ758" s="10" t="n"/>
    </row>
    <row r="759">
      <c r="A759" s="7" t="inlineStr">
        <is>
          <t>b11-0052</t>
        </is>
      </c>
      <c r="B759" s="7" t="inlineStr">
        <is>
          <t>Point</t>
        </is>
      </c>
      <c r="C759" s="7" t="n"/>
      <c r="D759" s="7" t="inlineStr">
        <is>
          <t>c. 60-61 C.E.</t>
        </is>
      </c>
      <c r="E759" s="7" t="inlineStr">
        <is>
          <t>ஏ. கி.பி. 60-61</t>
        </is>
      </c>
      <c r="F759" s="7" t="inlineStr">
        <is>
          <t>60 CE</t>
        </is>
      </c>
      <c r="G759" s="7" t="inlineStr">
        <is>
          <t>Between (one moment in a window)</t>
        </is>
      </c>
      <c r="H759" s="7" t="n"/>
      <c r="I759" s="7" t="n"/>
      <c r="J759" s="7" t="n"/>
      <c r="K759" s="2" t="inlineStr">
        <is>
          <t>Writing of Ephesians completed</t>
        </is>
      </c>
      <c r="L759" s="2" t="inlineStr">
        <is>
          <t>எபேசியர் — எழுதி முடிக்கப்பட்டது</t>
        </is>
      </c>
      <c r="M759" s="7" t="inlineStr">
        <is>
          <t>The writing of Ephesians was completed c. 60-61 C.E. Writer: Paul; place written: Rome.</t>
        </is>
      </c>
      <c r="N759" s="7" t="inlineStr">
        <is>
          <t>எபேசியர்: எழுதியவர்(கள்): பவுல்; எழுதப்பட்ட இடம்: ரோம்; முடிக்கப்பட்ட வருஷம் (கி.பி.): ஏ. 60-61.</t>
        </is>
      </c>
      <c r="O759" s="8" t="inlineStr">
        <is>
          <t>Bible</t>
        </is>
      </c>
      <c r="P759" s="7" t="inlineStr">
        <is>
          <t>bible.book_writing</t>
        </is>
      </c>
      <c r="Q759" s="7" t="inlineStr">
        <is>
          <t>writing_completed</t>
        </is>
      </c>
      <c r="R759" s="7" t="inlineStr">
        <is>
          <t>Paul</t>
        </is>
      </c>
      <c r="S759" s="7" t="inlineStr">
        <is>
          <t>Rome</t>
        </is>
      </c>
      <c r="T759" s="7" t="inlineStr">
        <is>
          <t>Eph.</t>
        </is>
      </c>
      <c r="U759" s="7" t="inlineStr">
        <is>
          <t>எபே.</t>
        </is>
      </c>
      <c r="V759" s="7" t="n">
        <v>7</v>
      </c>
      <c r="W759" s="7" t="inlineStr">
        <is>
          <t>Table of the Books of the Bible</t>
        </is>
      </c>
      <c r="X759" s="9" t="inlineStr">
        <is>
          <t>open</t>
        </is>
      </c>
      <c r="Y759" s="9" t="inlineStr">
        <is>
          <t>open</t>
        </is>
      </c>
      <c r="Z759" s="7" t="inlineStr">
        <is>
          <t>https://wol.jw.org/en/wol/d/r1/lp-e/1001070071
https://wol.jw.org/en/wol/d/r1/lp-e/1101990110
https://www.jw.org/en/library/bible/study-bible/books-of-the-bible-list/
https://wol.jw.org/en/wol/d/r1/lp-e/1001060002
https://wol.jw.org/en/wol/d/r1/lp-e/1101990130
https://wol.jw.org/en/wol/d/r1/lp-e/1102009041
https://wol.jw.org/en/wol/d/r1/lp-e/1200003406</t>
        </is>
      </c>
      <c r="AA759" s="7" t="n">
        <v>0</v>
      </c>
      <c r="AB759" s="7" t="n"/>
      <c r="AC759" s="7" t="n">
        <v>0</v>
      </c>
      <c r="AD759" s="7" t="n"/>
      <c r="AE759" s="7" t="n"/>
      <c r="AF759" s="7" t="n"/>
      <c r="AG759" s="7" t="n"/>
      <c r="AH759" s="7" t="n"/>
      <c r="AI759" s="7" t="n"/>
      <c r="AJ759" s="7" t="n"/>
      <c r="AK759" s="7" t="inlineStr">
        <is>
          <t>bible-books-written #49 (item)</t>
        </is>
      </c>
      <c r="AL759" s="7" t="inlineStr">
        <is>
          <t>Writer(s): Paul. Place written: Rome. Writing completed: c. 60-61 C.E. Time covered: —. Date is a range with marker 'approx' applied to the whole range.</t>
        </is>
      </c>
      <c r="AM759" s="7" t="n">
        <v>60.0049</v>
      </c>
      <c r="AN759" s="10" t="n"/>
      <c r="AO759" s="10" t="n"/>
      <c r="AP759" s="10" t="n"/>
      <c r="AQ759" s="10" t="n"/>
    </row>
    <row r="760">
      <c r="A760" s="7" t="inlineStr">
        <is>
          <t>b11-0053</t>
        </is>
      </c>
      <c r="B760" s="7" t="inlineStr">
        <is>
          <t>Point</t>
        </is>
      </c>
      <c r="C760" s="7" t="n"/>
      <c r="D760" s="7" t="inlineStr">
        <is>
          <t>c. 60-61 C.E.</t>
        </is>
      </c>
      <c r="E760" s="7" t="inlineStr">
        <is>
          <t>ஏ. கி.பி. 60-61</t>
        </is>
      </c>
      <c r="F760" s="7" t="inlineStr">
        <is>
          <t>60 CE</t>
        </is>
      </c>
      <c r="G760" s="7" t="inlineStr">
        <is>
          <t>Between (one moment in a window)</t>
        </is>
      </c>
      <c r="H760" s="7" t="n"/>
      <c r="I760" s="7" t="n"/>
      <c r="J760" s="7" t="n"/>
      <c r="K760" s="2" t="inlineStr">
        <is>
          <t>Writing of Philippians completed</t>
        </is>
      </c>
      <c r="L760" s="2" t="inlineStr">
        <is>
          <t>பிலிப்பியர் — எழுதி முடிக்கப்பட்டது</t>
        </is>
      </c>
      <c r="M760" s="7" t="inlineStr">
        <is>
          <t>The writing of Philippians was completed c. 60-61 C.E. Writer: Paul; place written: Rome.</t>
        </is>
      </c>
      <c r="N760" s="7" t="inlineStr">
        <is>
          <t>பிலிப்பியர்: எழுதியவர்(கள்): பவுல்; எழுதப்பட்ட இடம்: ரோம்; முடிக்கப்பட்ட வருஷம் (கி.பி.): ஏ. 60-61.</t>
        </is>
      </c>
      <c r="O760" s="8" t="inlineStr">
        <is>
          <t>Bible</t>
        </is>
      </c>
      <c r="P760" s="7" t="inlineStr">
        <is>
          <t>bible.book_writing</t>
        </is>
      </c>
      <c r="Q760" s="7" t="inlineStr">
        <is>
          <t>writing_completed</t>
        </is>
      </c>
      <c r="R760" s="7" t="inlineStr">
        <is>
          <t>Paul</t>
        </is>
      </c>
      <c r="S760" s="7" t="inlineStr">
        <is>
          <t>Rome</t>
        </is>
      </c>
      <c r="T760" s="7" t="inlineStr">
        <is>
          <t>Phil.</t>
        </is>
      </c>
      <c r="U760" s="7" t="inlineStr">
        <is>
          <t>பிலி.</t>
        </is>
      </c>
      <c r="V760" s="7" t="n">
        <v>7</v>
      </c>
      <c r="W760" s="7" t="inlineStr">
        <is>
          <t>Table of the Books of the Bible</t>
        </is>
      </c>
      <c r="X760" s="9" t="inlineStr">
        <is>
          <t>open</t>
        </is>
      </c>
      <c r="Y760" s="9" t="inlineStr">
        <is>
          <t>open</t>
        </is>
      </c>
      <c r="Z760" s="7" t="inlineStr">
        <is>
          <t>https://wol.jw.org/en/wol/d/r1/lp-e/1001070071
https://wol.jw.org/en/wol/d/r1/lp-e/1101990111
https://www.jw.org/en/library/bible/study-bible/books-of-the-bible-list/
https://wol.jw.org/en/wol/d/r1/lp-e/1001060002
https://wol.jw.org/en/wol/d/r1/lp-e/1101990130
https://wol.jw.org/en/wol/d/r1/lp-e/1102009041
https://wol.jw.org/en/wol/d/r1/lp-e/1200003406</t>
        </is>
      </c>
      <c r="AA760" s="7" t="n">
        <v>0</v>
      </c>
      <c r="AB760" s="7" t="n"/>
      <c r="AC760" s="7" t="n">
        <v>0</v>
      </c>
      <c r="AD760" s="7" t="n"/>
      <c r="AE760" s="7" t="n"/>
      <c r="AF760" s="7" t="n"/>
      <c r="AG760" s="7" t="n"/>
      <c r="AH760" s="7" t="n"/>
      <c r="AI760" s="7" t="n"/>
      <c r="AJ760" s="7" t="n"/>
      <c r="AK760" s="7" t="inlineStr">
        <is>
          <t>bible-books-written #50 (item)</t>
        </is>
      </c>
      <c r="AL760" s="7" t="inlineStr">
        <is>
          <t>Writer(s): Paul. Place written: Rome. Writing completed: c. 60-61 C.E. Time covered: —. Date is a range with marker 'approx' applied to the whole range.</t>
        </is>
      </c>
      <c r="AM760" s="7" t="n">
        <v>60.005</v>
      </c>
      <c r="AN760" s="10" t="n"/>
      <c r="AO760" s="10" t="n"/>
      <c r="AP760" s="10" t="n"/>
      <c r="AQ760" s="10" t="n"/>
    </row>
    <row r="761">
      <c r="A761" s="7" t="inlineStr">
        <is>
          <t>b11-0054</t>
        </is>
      </c>
      <c r="B761" s="7" t="inlineStr">
        <is>
          <t>Point</t>
        </is>
      </c>
      <c r="C761" s="7" t="n"/>
      <c r="D761" s="7" t="inlineStr">
        <is>
          <t>c. 60-61 C.E.</t>
        </is>
      </c>
      <c r="E761" s="7" t="inlineStr">
        <is>
          <t>ஏ. கி.பி. 60-61</t>
        </is>
      </c>
      <c r="F761" s="7" t="inlineStr">
        <is>
          <t>60 CE</t>
        </is>
      </c>
      <c r="G761" s="7" t="inlineStr">
        <is>
          <t>Between (one moment in a window)</t>
        </is>
      </c>
      <c r="H761" s="7" t="n"/>
      <c r="I761" s="7" t="n"/>
      <c r="J761" s="7" t="n"/>
      <c r="K761" s="2" t="inlineStr">
        <is>
          <t>Writing of Colossians completed</t>
        </is>
      </c>
      <c r="L761" s="2" t="inlineStr">
        <is>
          <t>கொலோசெயர் — எழுதி முடிக்கப்பட்டது</t>
        </is>
      </c>
      <c r="M761" s="7" t="inlineStr">
        <is>
          <t>The writing of Colossians was completed c. 60-61 C.E. Writer: Paul; place written: Rome.</t>
        </is>
      </c>
      <c r="N761" s="7" t="inlineStr">
        <is>
          <t>கொலோசெயர்: எழுதியவர்(கள்): பவுல்; எழுதப்பட்ட இடம்: ரோம்; முடிக்கப்பட்ட வருஷம் (கி.பி.): ஏ. 60-61.</t>
        </is>
      </c>
      <c r="O761" s="8" t="inlineStr">
        <is>
          <t>Bible</t>
        </is>
      </c>
      <c r="P761" s="7" t="inlineStr">
        <is>
          <t>bible.book_writing</t>
        </is>
      </c>
      <c r="Q761" s="7" t="inlineStr">
        <is>
          <t>writing_completed</t>
        </is>
      </c>
      <c r="R761" s="7" t="inlineStr">
        <is>
          <t>Paul</t>
        </is>
      </c>
      <c r="S761" s="7" t="inlineStr">
        <is>
          <t>Rome</t>
        </is>
      </c>
      <c r="T761" s="7" t="inlineStr">
        <is>
          <t>Col.</t>
        </is>
      </c>
      <c r="U761" s="7" t="inlineStr">
        <is>
          <t>கொலோ.</t>
        </is>
      </c>
      <c r="V761" s="7" t="n">
        <v>7</v>
      </c>
      <c r="W761" s="7" t="inlineStr">
        <is>
          <t>Table of the Books of the Bible</t>
        </is>
      </c>
      <c r="X761" s="9" t="inlineStr">
        <is>
          <t>open</t>
        </is>
      </c>
      <c r="Y761" s="9" t="inlineStr">
        <is>
          <t>open</t>
        </is>
      </c>
      <c r="Z761" s="7" t="inlineStr">
        <is>
          <t>https://wol.jw.org/en/wol/d/r1/lp-e/1001070071
https://wol.jw.org/en/wol/d/r1/lp-e/1101990112
https://www.jw.org/en/library/bible/study-bible/books-of-the-bible-list/
https://wol.jw.org/en/wol/d/r1/lp-e/1001060002
https://wol.jw.org/en/wol/d/r1/lp-e/1101990130
https://wol.jw.org/en/wol/d/r1/lp-e/1102009041
https://wol.jw.org/en/wol/d/r1/lp-e/1200003406</t>
        </is>
      </c>
      <c r="AA761" s="7" t="n">
        <v>0</v>
      </c>
      <c r="AB761" s="7" t="n"/>
      <c r="AC761" s="7" t="n">
        <v>0</v>
      </c>
      <c r="AD761" s="7" t="n"/>
      <c r="AE761" s="7" t="n"/>
      <c r="AF761" s="7" t="n"/>
      <c r="AG761" s="7" t="n"/>
      <c r="AH761" s="7" t="n"/>
      <c r="AI761" s="7" t="n"/>
      <c r="AJ761" s="7" t="n"/>
      <c r="AK761" s="7" t="inlineStr">
        <is>
          <t>bible-books-written #51 (item)</t>
        </is>
      </c>
      <c r="AL761" s="7" t="inlineStr">
        <is>
          <t>Writer(s): Paul. Place written: Rome. Writing completed: c. 60-61 C.E. Time covered: —. Date is a range with marker 'approx' applied to the whole range.</t>
        </is>
      </c>
      <c r="AM761" s="7" t="n">
        <v>60.0051</v>
      </c>
      <c r="AN761" s="10" t="n"/>
      <c r="AO761" s="10" t="n"/>
      <c r="AP761" s="10" t="n"/>
      <c r="AQ761" s="10" t="n"/>
    </row>
    <row r="762">
      <c r="A762" s="7" t="inlineStr">
        <is>
          <t>b11-0055</t>
        </is>
      </c>
      <c r="B762" s="7" t="inlineStr">
        <is>
          <t>Point</t>
        </is>
      </c>
      <c r="C762" s="7" t="n"/>
      <c r="D762" s="7" t="inlineStr">
        <is>
          <t>c. 60-61 C.E.</t>
        </is>
      </c>
      <c r="E762" s="7" t="inlineStr">
        <is>
          <t>ஏ. கி.பி. 60-61</t>
        </is>
      </c>
      <c r="F762" s="7" t="inlineStr">
        <is>
          <t>60 CE</t>
        </is>
      </c>
      <c r="G762" s="7" t="inlineStr">
        <is>
          <t>Between (one moment in a window)</t>
        </is>
      </c>
      <c r="H762" s="7" t="n"/>
      <c r="I762" s="7" t="n"/>
      <c r="J762" s="7" t="n"/>
      <c r="K762" s="2" t="inlineStr">
        <is>
          <t>Writing of Philemon completed</t>
        </is>
      </c>
      <c r="L762" s="2" t="inlineStr">
        <is>
          <t>பிலேமோன் — எழுதி முடிக்கப்பட்டது</t>
        </is>
      </c>
      <c r="M762" s="7" t="inlineStr">
        <is>
          <t>The writing of Philemon was completed c. 60-61 C.E. Writer: Paul; place written: Rome.</t>
        </is>
      </c>
      <c r="N762" s="7" t="inlineStr">
        <is>
          <t>பிலேமோன்: எழுதியவர்(கள்): பவுல்; எழுதப்பட்ட இடம்: ரோம்; முடிக்கப்பட்ட வருஷம் (கி.பி.): ஏ. 60-61.</t>
        </is>
      </c>
      <c r="O762" s="8" t="inlineStr">
        <is>
          <t>Bible</t>
        </is>
      </c>
      <c r="P762" s="7" t="inlineStr">
        <is>
          <t>bible.book_writing</t>
        </is>
      </c>
      <c r="Q762" s="7" t="inlineStr">
        <is>
          <t>writing_completed</t>
        </is>
      </c>
      <c r="R762" s="7" t="inlineStr">
        <is>
          <t>Paul</t>
        </is>
      </c>
      <c r="S762" s="7" t="inlineStr">
        <is>
          <t>Rome</t>
        </is>
      </c>
      <c r="T762" s="7" t="inlineStr">
        <is>
          <t>Philem.</t>
        </is>
      </c>
      <c r="U762" s="7" t="inlineStr">
        <is>
          <t>பிலே.</t>
        </is>
      </c>
      <c r="V762" s="7" t="n">
        <v>7</v>
      </c>
      <c r="W762" s="7" t="inlineStr">
        <is>
          <t>Table of the Books of the Bible</t>
        </is>
      </c>
      <c r="X762" s="9" t="inlineStr">
        <is>
          <t>open</t>
        </is>
      </c>
      <c r="Y762" s="9" t="inlineStr">
        <is>
          <t>open</t>
        </is>
      </c>
      <c r="Z762" s="7" t="inlineStr">
        <is>
          <t>https://wol.jw.org/en/wol/d/r1/lp-e/1001070071
https://wol.jw.org/en/wol/d/r1/lp-e/1101990118
https://www.jw.org/en/library/bible/study-bible/books-of-the-bible-list/
https://wol.jw.org/en/wol/d/r1/lp-e/1001060002
https://wol.jw.org/en/wol/d/r1/lp-e/1101990130
https://wol.jw.org/en/wol/d/r1/lp-e/1102009041
https://wol.jw.org/en/wol/d/r1/lp-e/1200003406</t>
        </is>
      </c>
      <c r="AA762" s="7" t="n">
        <v>0</v>
      </c>
      <c r="AB762" s="7" t="n"/>
      <c r="AC762" s="7" t="n">
        <v>0</v>
      </c>
      <c r="AD762" s="7" t="n"/>
      <c r="AE762" s="7" t="n"/>
      <c r="AF762" s="7" t="n"/>
      <c r="AG762" s="7" t="n"/>
      <c r="AH762" s="7" t="n"/>
      <c r="AI762" s="7" t="n"/>
      <c r="AJ762" s="7" t="n"/>
      <c r="AK762" s="7" t="inlineStr">
        <is>
          <t>bible-books-written #57 (item)</t>
        </is>
      </c>
      <c r="AL762" s="7" t="inlineStr">
        <is>
          <t>Writer(s): Paul. Place written: Rome. Writing completed: c. 60-61 C.E. Time covered: —. Date is a range with marker 'approx' applied to the whole range.</t>
        </is>
      </c>
      <c r="AM762" s="7" t="n">
        <v>60.0057</v>
      </c>
      <c r="AN762" s="10" t="n"/>
      <c r="AO762" s="10" t="n"/>
      <c r="AP762" s="10" t="n"/>
      <c r="AQ762" s="10" t="n"/>
    </row>
    <row r="763">
      <c r="A763" s="7" t="inlineStr">
        <is>
          <t>b6-0072</t>
        </is>
      </c>
      <c r="B763" s="7" t="inlineStr">
        <is>
          <t>Point</t>
        </is>
      </c>
      <c r="C763" s="7" t="n"/>
      <c r="D763" s="7" t="inlineStr">
        <is>
          <t>c. 60-65 C.E.</t>
        </is>
      </c>
      <c r="E763" s="7" t="inlineStr">
        <is>
          <t>ஏ. பொ.ச. 60-65</t>
        </is>
      </c>
      <c r="F763" s="7" t="inlineStr">
        <is>
          <t>60 CE</t>
        </is>
      </c>
      <c r="G763" s="7" t="inlineStr">
        <is>
          <t>Between (one moment in a window)</t>
        </is>
      </c>
      <c r="H763" s="7" t="n"/>
      <c r="I763" s="7" t="n"/>
      <c r="J763" s="7" t="n"/>
      <c r="K763" s="2" t="inlineStr">
        <is>
          <t>Gospel of Mark written</t>
        </is>
      </c>
      <c r="L763" s="2" t="inlineStr">
        <is>
          <t>மாற்கு சுவிசேஷம் எழுதப்படுகிறது</t>
        </is>
      </c>
      <c r="M763" s="7" t="inlineStr">
        <is>
          <t>Mark completed the Gospel of Mark at Rome, about 60-65 C.E.</t>
        </is>
      </c>
      <c r="N763" s="7" t="inlineStr">
        <is>
          <t>எழுத்தாளர்: மாற்கு; எழுதப்பட்ட இடம்: ரோம்; எழுதி முடிக்கப்பட்டது: ஏ. பொ.ச. 60-65.</t>
        </is>
      </c>
      <c r="O763" s="8" t="inlineStr">
        <is>
          <t>Bible</t>
        </is>
      </c>
      <c r="P763" s="7" t="inlineStr">
        <is>
          <t>bible.book_writing</t>
        </is>
      </c>
      <c r="Q763" s="7" t="inlineStr">
        <is>
          <t>writing_completed</t>
        </is>
      </c>
      <c r="R763" s="7" t="inlineStr">
        <is>
          <t>Mark</t>
        </is>
      </c>
      <c r="S763" s="7" t="inlineStr">
        <is>
          <t>Rome</t>
        </is>
      </c>
      <c r="T763" s="7" t="n"/>
      <c r="U763" s="7" t="n"/>
      <c r="V763" s="7" t="n">
        <v>4</v>
      </c>
      <c r="W763" s="7" t="inlineStr">
        <is>
          <t>Table of the Books of the Bible</t>
        </is>
      </c>
      <c r="X763" s="9" t="inlineStr">
        <is>
          <t>open</t>
        </is>
      </c>
      <c r="Y763" s="7" t="n"/>
      <c r="Z763" s="7" t="inlineStr">
        <is>
          <t>https://wol.jw.org/en/wol/d/r1/lp-e/1001060002
https://wol.jw.org/en/wol/d/r1/lp-e/1101990102
https://wol.jw.org/en/wol/d/r1/lp-e/1101990130
https://wol.jw.org/en/wol/d/r1/lp-e/1102009041</t>
        </is>
      </c>
      <c r="AA763" s="7" t="n">
        <v>0</v>
      </c>
      <c r="AB763" s="7" t="n"/>
      <c r="AC763" s="7" t="n">
        <v>0</v>
      </c>
      <c r="AD763" s="7" t="n"/>
      <c r="AE763" s="7" t="n"/>
      <c r="AF763" s="7" t="n"/>
      <c r="AG763" s="7" t="n"/>
      <c r="AH763" s="7" t="n"/>
      <c r="AI763" s="7" t="n"/>
      <c r="AJ763" s="7" t="n"/>
      <c r="AK763" s="7" t="n"/>
      <c r="AL763" s="7" t="n"/>
      <c r="AM763" s="7" t="n">
        <v>60.6</v>
      </c>
      <c r="AN763" s="10" t="n"/>
      <c r="AO763" s="10" t="n"/>
      <c r="AP763" s="10" t="n"/>
      <c r="AQ763" s="10" t="n"/>
    </row>
    <row r="764">
      <c r="A764" s="7" t="inlineStr">
        <is>
          <t>b11-0056</t>
        </is>
      </c>
      <c r="B764" s="7" t="inlineStr">
        <is>
          <t>Point</t>
        </is>
      </c>
      <c r="C764" s="7" t="n"/>
      <c r="D764" s="7" t="inlineStr">
        <is>
          <t>c. 61 C.E.</t>
        </is>
      </c>
      <c r="E764" s="7" t="inlineStr">
        <is>
          <t>ஏ. கி.பி. 61</t>
        </is>
      </c>
      <c r="F764" s="7" t="inlineStr">
        <is>
          <t>61 CE</t>
        </is>
      </c>
      <c r="G764" s="7" t="inlineStr">
        <is>
          <t>Approx. (c.)</t>
        </is>
      </c>
      <c r="H764" s="7" t="n"/>
      <c r="I764" s="7" t="n"/>
      <c r="J764" s="7" t="n"/>
      <c r="K764" s="2" t="inlineStr">
        <is>
          <t>Writing of Acts completed</t>
        </is>
      </c>
      <c r="L764" s="2" t="inlineStr">
        <is>
          <t>அப்போஸ்தலர் — எழுதி முடிக்கப்பட்டது</t>
        </is>
      </c>
      <c r="M764" s="7" t="inlineStr">
        <is>
          <t>The writing of Acts was completed c. 61 C.E. Writer: Luke; place written: Rome. Time covered: 33–c. 61 C.E.</t>
        </is>
      </c>
      <c r="N764" s="7" t="inlineStr">
        <is>
          <t>அப்போஸ்தலர்: எழுதியவர்(கள்): லூக்கா; எழுதப்பட்ட இடம்: ரோம்; முடிக்கப்பட்ட வருஷம் (கி.பி.): ஏ. 61; காலப்பகுதி: கி.பி. 33–ஏ. 61.</t>
        </is>
      </c>
      <c r="O764" s="8" t="inlineStr">
        <is>
          <t>Bible</t>
        </is>
      </c>
      <c r="P764" s="7" t="inlineStr">
        <is>
          <t>bible.book_writing</t>
        </is>
      </c>
      <c r="Q764" s="7" t="inlineStr">
        <is>
          <t>writing_completed</t>
        </is>
      </c>
      <c r="R764" s="7" t="inlineStr">
        <is>
          <t>Luke</t>
        </is>
      </c>
      <c r="S764" s="7" t="inlineStr">
        <is>
          <t>Rome</t>
        </is>
      </c>
      <c r="T764" s="7" t="inlineStr">
        <is>
          <t>Acts</t>
        </is>
      </c>
      <c r="U764" s="7" t="inlineStr">
        <is>
          <t>அப்.</t>
        </is>
      </c>
      <c r="V764" s="7" t="n">
        <v>4</v>
      </c>
      <c r="W764" s="7" t="inlineStr">
        <is>
          <t>Table of the Books of the Bible</t>
        </is>
      </c>
      <c r="X764" s="9" t="inlineStr">
        <is>
          <t>open</t>
        </is>
      </c>
      <c r="Y764" s="9" t="inlineStr">
        <is>
          <t>open</t>
        </is>
      </c>
      <c r="Z764" s="7" t="inlineStr">
        <is>
          <t>https://wol.jw.org/en/wol/d/r1/lp-e/1001070071
https://wol.jw.org/en/wol/d/r1/lp-e/1101990105
https://www.jw.org/en/library/bible/study-bible/books-of-the-bible-list/
https://wol.jw.org/en/wol/d/r1/lp-e/1001060002</t>
        </is>
      </c>
      <c r="AA764" s="7" t="n">
        <v>0</v>
      </c>
      <c r="AB764" s="7" t="n"/>
      <c r="AC764" s="7" t="n">
        <v>0</v>
      </c>
      <c r="AD764" s="7" t="n"/>
      <c r="AE764" s="7" t="n"/>
      <c r="AF764" s="7" t="n"/>
      <c r="AG764" s="7" t="n"/>
      <c r="AH764" s="7" t="n"/>
      <c r="AI764" s="7" t="n"/>
      <c r="AJ764" s="7" t="n"/>
      <c r="AK764" s="7" t="inlineStr">
        <is>
          <t>bible-books-written #44 (item)</t>
        </is>
      </c>
      <c r="AL764" s="7" t="inlineStr">
        <is>
          <t>Writer(s): Luke. Place written: Rome. Writing completed: c. 61 C.E. Time covered: 33–c. 61 C.E.</t>
        </is>
      </c>
      <c r="AM764" s="7" t="n">
        <v>61.0044</v>
      </c>
      <c r="AN764" s="10" t="n"/>
      <c r="AO764" s="10" t="n"/>
      <c r="AP764" s="10" t="n"/>
      <c r="AQ764" s="10" t="n"/>
    </row>
    <row r="765">
      <c r="A765" s="7" t="inlineStr">
        <is>
          <t>b11-0057</t>
        </is>
      </c>
      <c r="B765" s="7" t="inlineStr">
        <is>
          <t>Point</t>
        </is>
      </c>
      <c r="C765" s="7" t="n"/>
      <c r="D765" s="7" t="inlineStr">
        <is>
          <t>c. 61-64 C.E.</t>
        </is>
      </c>
      <c r="E765" s="7" t="inlineStr">
        <is>
          <t>ஏ. கி.பி. 61-64</t>
        </is>
      </c>
      <c r="F765" s="7" t="inlineStr">
        <is>
          <t>61 CE</t>
        </is>
      </c>
      <c r="G765" s="7" t="inlineStr">
        <is>
          <t>Between (one moment in a window)</t>
        </is>
      </c>
      <c r="H765" s="7" t="n"/>
      <c r="I765" s="7" t="n"/>
      <c r="J765" s="7" t="n"/>
      <c r="K765" s="2" t="inlineStr">
        <is>
          <t>Writing of 1 Timothy completed</t>
        </is>
      </c>
      <c r="L765" s="2" t="inlineStr">
        <is>
          <t>1 தீமோத்தேயு — எழுதி முடிக்கப்பட்டது</t>
        </is>
      </c>
      <c r="M765" s="7" t="inlineStr">
        <is>
          <t>The writing of 1 Timothy was completed c. 61-64 C.E. Writer: Paul; place written: Macedonia.</t>
        </is>
      </c>
      <c r="N765" s="7" t="inlineStr">
        <is>
          <t>1 தீமோத்தேயு: எழுதியவர்(கள்): பவுல்; எழுதப்பட்ட இடம்: மக்கெதோனியா; முடிக்கப்பட்ட வருஷம் (கி.பி.): ஏ. 61-64.</t>
        </is>
      </c>
      <c r="O765" s="8" t="inlineStr">
        <is>
          <t>Bible</t>
        </is>
      </c>
      <c r="P765" s="7" t="inlineStr">
        <is>
          <t>bible.book_writing</t>
        </is>
      </c>
      <c r="Q765" s="7" t="inlineStr">
        <is>
          <t>writing_completed</t>
        </is>
      </c>
      <c r="R765" s="7" t="inlineStr">
        <is>
          <t>Paul</t>
        </is>
      </c>
      <c r="S765" s="7" t="inlineStr">
        <is>
          <t>Macedonia</t>
        </is>
      </c>
      <c r="T765" s="7" t="inlineStr">
        <is>
          <t>1 Tim.</t>
        </is>
      </c>
      <c r="U765" s="7" t="inlineStr">
        <is>
          <t>1 தீ.</t>
        </is>
      </c>
      <c r="V765" s="7" t="n">
        <v>6</v>
      </c>
      <c r="W765" s="7" t="inlineStr">
        <is>
          <t>Table of the Books of the Bible</t>
        </is>
      </c>
      <c r="X765" s="9" t="inlineStr">
        <is>
          <t>open</t>
        </is>
      </c>
      <c r="Y765" s="9" t="inlineStr">
        <is>
          <t>open</t>
        </is>
      </c>
      <c r="Z765" s="7" t="inlineStr">
        <is>
          <t>https://wol.jw.org/en/wol/d/r1/lp-e/1001070071
https://wol.jw.org/en/wol/d/r1/lp-e/1101990115
https://www.jw.org/en/library/bible/study-bible/books-of-the-bible-list/
https://wol.jw.org/en/wol/d/r1/lp-e/1001060002
https://wol.jw.org/en/wol/d/r1/lp-e/1101990130
https://wol.jw.org/en/wol/d/r1/lp-e/1102009041</t>
        </is>
      </c>
      <c r="AA765" s="7" t="n">
        <v>0</v>
      </c>
      <c r="AB765" s="7" t="n"/>
      <c r="AC765" s="7" t="n">
        <v>0</v>
      </c>
      <c r="AD765" s="7" t="n"/>
      <c r="AE765" s="7" t="n"/>
      <c r="AF765" s="7" t="n"/>
      <c r="AG765" s="7" t="n"/>
      <c r="AH765" s="7" t="n"/>
      <c r="AI765" s="7" t="n"/>
      <c r="AJ765" s="7" t="n"/>
      <c r="AK765" s="7" t="inlineStr">
        <is>
          <t>bible-books-written #54 (item)</t>
        </is>
      </c>
      <c r="AL765" s="7" t="inlineStr">
        <is>
          <t>Writer(s): Paul. Place written: Macedonia. Writing completed: c. 61-64 C.E. Time covered: —. Date is a range with marker 'approx' applied to the whole range.</t>
        </is>
      </c>
      <c r="AM765" s="7" t="n">
        <v>61.0054</v>
      </c>
      <c r="AN765" s="10" t="n"/>
      <c r="AO765" s="10" t="n"/>
      <c r="AP765" s="10" t="n"/>
      <c r="AQ765" s="10" t="n"/>
    </row>
    <row r="766">
      <c r="A766" s="7" t="inlineStr">
        <is>
          <t>b11-0058</t>
        </is>
      </c>
      <c r="B766" s="7" t="inlineStr">
        <is>
          <t>Point</t>
        </is>
      </c>
      <c r="C766" s="7" t="n"/>
      <c r="D766" s="7" t="inlineStr">
        <is>
          <t>c. 61-64 C.E.</t>
        </is>
      </c>
      <c r="E766" s="7" t="inlineStr">
        <is>
          <t>ஏ. கி.பி. 61-64</t>
        </is>
      </c>
      <c r="F766" s="7" t="inlineStr">
        <is>
          <t>61 CE</t>
        </is>
      </c>
      <c r="G766" s="7" t="inlineStr">
        <is>
          <t>Between (one moment in a window)</t>
        </is>
      </c>
      <c r="H766" s="7" t="n"/>
      <c r="I766" s="7" t="n"/>
      <c r="J766" s="7" t="n"/>
      <c r="K766" s="2" t="inlineStr">
        <is>
          <t>Writing of Titus completed</t>
        </is>
      </c>
      <c r="L766" s="2" t="inlineStr">
        <is>
          <t>தீத்து — எழுதி முடிக்கப்பட்டது</t>
        </is>
      </c>
      <c r="M766" s="7" t="inlineStr">
        <is>
          <t>The writing of Titus was completed c. 61-64 C.E. Writer: Paul; place written: Macedonia (?).</t>
        </is>
      </c>
      <c r="N766" s="7" t="inlineStr">
        <is>
          <t>தீத்து: எழுதியவர்(கள்): பவுல்; எழுதப்பட்ட இடம்: மக்கெதோனியா (?); முடிக்கப்பட்ட வருஷம் (கி.பி.): ஏ. 61-64.</t>
        </is>
      </c>
      <c r="O766" s="8" t="inlineStr">
        <is>
          <t>Bible</t>
        </is>
      </c>
      <c r="P766" s="7" t="inlineStr">
        <is>
          <t>bible.book_writing</t>
        </is>
      </c>
      <c r="Q766" s="7" t="inlineStr">
        <is>
          <t>writing_completed</t>
        </is>
      </c>
      <c r="R766" s="7" t="inlineStr">
        <is>
          <t>Paul</t>
        </is>
      </c>
      <c r="S766" s="7" t="inlineStr">
        <is>
          <t>Macedonia</t>
        </is>
      </c>
      <c r="T766" s="7" t="inlineStr">
        <is>
          <t>Titus</t>
        </is>
      </c>
      <c r="U766" s="7" t="inlineStr">
        <is>
          <t>தீத்.</t>
        </is>
      </c>
      <c r="V766" s="7" t="n">
        <v>6</v>
      </c>
      <c r="W766" s="7" t="inlineStr">
        <is>
          <t>Table of the Books of the Bible</t>
        </is>
      </c>
      <c r="X766" s="9" t="inlineStr">
        <is>
          <t>open</t>
        </is>
      </c>
      <c r="Y766" s="9" t="inlineStr">
        <is>
          <t>open</t>
        </is>
      </c>
      <c r="Z766" s="7" t="inlineStr">
        <is>
          <t>https://wol.jw.org/en/wol/d/r1/lp-e/1001070071
https://wol.jw.org/en/wol/d/r1/lp-e/1101990117
https://www.jw.org/en/library/bible/study-bible/books-of-the-bible-list/
https://wol.jw.org/en/wol/d/r1/lp-e/1001060002
https://wol.jw.org/en/wol/d/r1/lp-e/1101990130
https://wol.jw.org/en/wol/d/r1/lp-e/1102009041</t>
        </is>
      </c>
      <c r="AA766" s="7" t="n">
        <v>0</v>
      </c>
      <c r="AB766" s="7" t="n"/>
      <c r="AC766" s="7" t="n">
        <v>0</v>
      </c>
      <c r="AD766" s="7" t="n"/>
      <c r="AE766" s="7" t="n"/>
      <c r="AF766" s="7" t="n"/>
      <c r="AG766" s="7" t="n"/>
      <c r="AH766" s="7" t="n"/>
      <c r="AI766" s="7" t="n"/>
      <c r="AJ766" s="7" t="n"/>
      <c r="AK766" s="7" t="inlineStr">
        <is>
          <t>bible-books-written #56 (item)</t>
        </is>
      </c>
      <c r="AL766" s="7" t="inlineStr">
        <is>
          <t>Writer(s): Paul. Place written: Macedonia (?). Writing completed: c. 61-64 C.E. Time covered: —. Date is a range with marker 'approx' applied to the whole range.</t>
        </is>
      </c>
      <c r="AM766" s="7" t="n">
        <v>61.0056</v>
      </c>
      <c r="AN766" s="10" t="n"/>
      <c r="AO766" s="10" t="n"/>
      <c r="AP766" s="10" t="n"/>
      <c r="AQ766" s="10" t="n"/>
    </row>
    <row r="767">
      <c r="A767" s="7" t="inlineStr">
        <is>
          <t>b11-0059</t>
        </is>
      </c>
      <c r="B767" s="7" t="inlineStr">
        <is>
          <t>Point</t>
        </is>
      </c>
      <c r="C767" s="7" t="n"/>
      <c r="D767" s="7" t="inlineStr">
        <is>
          <t>c. 61 C.E.</t>
        </is>
      </c>
      <c r="E767" s="7" t="inlineStr">
        <is>
          <t>ஏ. கி.பி. 61</t>
        </is>
      </c>
      <c r="F767" s="7" t="inlineStr">
        <is>
          <t>61 CE</t>
        </is>
      </c>
      <c r="G767" s="7" t="inlineStr">
        <is>
          <t>Approx. (c.)</t>
        </is>
      </c>
      <c r="H767" s="7" t="n"/>
      <c r="I767" s="7" t="n"/>
      <c r="J767" s="7" t="n"/>
      <c r="K767" s="2" t="inlineStr">
        <is>
          <t>Writing of Hebrews completed</t>
        </is>
      </c>
      <c r="L767" s="2" t="inlineStr">
        <is>
          <t>எபிரெயர் — எழுதி முடிக்கப்பட்டது</t>
        </is>
      </c>
      <c r="M767" s="7" t="inlineStr">
        <is>
          <t>The writing of Hebrews was completed c. 61 C.E. Writer: Paul; place written: Rome.</t>
        </is>
      </c>
      <c r="N767" s="7" t="inlineStr">
        <is>
          <t>எபிரெயர்: எழுதியவர்(கள்): பவுல்; எழுதப்பட்ட இடம்: ரோம்; முடிக்கப்பட்ட வருஷம் (கி.பி.): ஏ. 61.</t>
        </is>
      </c>
      <c r="O767" s="8" t="inlineStr">
        <is>
          <t>Bible</t>
        </is>
      </c>
      <c r="P767" s="7" t="inlineStr">
        <is>
          <t>bible.book_writing</t>
        </is>
      </c>
      <c r="Q767" s="7" t="inlineStr">
        <is>
          <t>writing_completed</t>
        </is>
      </c>
      <c r="R767" s="7" t="inlineStr">
        <is>
          <t>Paul</t>
        </is>
      </c>
      <c r="S767" s="7" t="inlineStr">
        <is>
          <t>Rome</t>
        </is>
      </c>
      <c r="T767" s="7" t="inlineStr">
        <is>
          <t>Heb.</t>
        </is>
      </c>
      <c r="U767" s="7" t="inlineStr">
        <is>
          <t>எபி.</t>
        </is>
      </c>
      <c r="V767" s="7" t="n">
        <v>6</v>
      </c>
      <c r="W767" s="7" t="inlineStr">
        <is>
          <t>Table of the Books of the Bible</t>
        </is>
      </c>
      <c r="X767" s="9" t="inlineStr">
        <is>
          <t>open</t>
        </is>
      </c>
      <c r="Y767" s="9" t="inlineStr">
        <is>
          <t>open</t>
        </is>
      </c>
      <c r="Z767" s="7" t="inlineStr">
        <is>
          <t>https://wol.jw.org/en/wol/d/r1/lp-e/1001070071
https://wol.jw.org/en/wol/d/r1/lp-e/1101990119
https://www.jw.org/en/library/bible/study-bible/books-of-the-bible-list/
https://wol.jw.org/en/wol/d/r1/lp-e/1001060002
https://wol.jw.org/en/wol/d/r1/lp-e/1101990130
https://wol.jw.org/en/wol/d/r1/lp-e/1102009041</t>
        </is>
      </c>
      <c r="AA767" s="7" t="n">
        <v>0</v>
      </c>
      <c r="AB767" s="7" t="n"/>
      <c r="AC767" s="7" t="n">
        <v>0</v>
      </c>
      <c r="AD767" s="7" t="n"/>
      <c r="AE767" s="7" t="n"/>
      <c r="AF767" s="7" t="n"/>
      <c r="AG767" s="7" t="n"/>
      <c r="AH767" s="7" t="n"/>
      <c r="AI767" s="7" t="n"/>
      <c r="AJ767" s="7" t="n"/>
      <c r="AK767" s="7" t="inlineStr">
        <is>
          <t>bible-books-written #58 (item)</t>
        </is>
      </c>
      <c r="AL767" s="7" t="inlineStr">
        <is>
          <t>Writer(s): Paul. Place written: Rome. Writing completed: c. 61 C.E. Time covered: —.</t>
        </is>
      </c>
      <c r="AM767" s="7" t="n">
        <v>61.0058</v>
      </c>
      <c r="AN767" s="10" t="n"/>
      <c r="AO767" s="10" t="n"/>
      <c r="AP767" s="10" t="n"/>
      <c r="AQ767" s="10" t="n"/>
    </row>
    <row r="768">
      <c r="A768" s="7" t="inlineStr">
        <is>
          <t>b6-0074</t>
        </is>
      </c>
      <c r="B768" s="7" t="inlineStr">
        <is>
          <t>Point</t>
        </is>
      </c>
      <c r="C768" s="7" t="n"/>
      <c r="D768" s="7" t="inlineStr">
        <is>
          <t>c. 61 C.E.</t>
        </is>
      </c>
      <c r="E768" s="7" t="inlineStr">
        <is>
          <t>ஏ. பொ.ச. 61</t>
        </is>
      </c>
      <c r="F768" s="7" t="inlineStr">
        <is>
          <t>61 CE</t>
        </is>
      </c>
      <c r="G768" s="7" t="inlineStr">
        <is>
          <t>Approx. (c.)</t>
        </is>
      </c>
      <c r="H768" s="7" t="n"/>
      <c r="I768" s="7" t="n"/>
      <c r="J768" s="7" t="n"/>
      <c r="K768" s="2" t="inlineStr">
        <is>
          <t>Book of Acts completed</t>
        </is>
      </c>
      <c r="L768" s="2" t="inlineStr">
        <is>
          <t>அப்போஸ்தலர் எழுதப்படுகிறது</t>
        </is>
      </c>
      <c r="M768" s="7" t="inlineStr">
        <is>
          <t>Luke completed the book of Acts at Rome, about 61 C.E.</t>
        </is>
      </c>
      <c r="N768" s="7" t="inlineStr">
        <is>
          <t>எழுத்தாளர்: லூக்கா; எழுதப்பட்ட இடம்: ரோம்; எழுதி முடிக்கப்பட்டது: ஏ. பொ.ச. 61.</t>
        </is>
      </c>
      <c r="O768" s="8" t="inlineStr">
        <is>
          <t>Bible</t>
        </is>
      </c>
      <c r="P768" s="7" t="inlineStr">
        <is>
          <t>bible.book_writing</t>
        </is>
      </c>
      <c r="Q768" s="7" t="inlineStr">
        <is>
          <t>writing_completed</t>
        </is>
      </c>
      <c r="R768" s="7" t="inlineStr">
        <is>
          <t>Luke</t>
        </is>
      </c>
      <c r="S768" s="7" t="inlineStr">
        <is>
          <t>Rome</t>
        </is>
      </c>
      <c r="T768" s="7" t="n"/>
      <c r="U768" s="7" t="n"/>
      <c r="V768" s="7" t="n">
        <v>4</v>
      </c>
      <c r="W768" s="7" t="inlineStr">
        <is>
          <t>Table of the Books of the Bible</t>
        </is>
      </c>
      <c r="X768" s="9" t="inlineStr">
        <is>
          <t>open</t>
        </is>
      </c>
      <c r="Y768" s="7" t="n"/>
      <c r="Z768" s="7" t="inlineStr">
        <is>
          <t>https://wol.jw.org/en/wol/d/r1/lp-e/1001060002
https://wol.jw.org/en/wol/d/r1/lp-e/1101990105
https://wol.jw.org/en/wol/d/r1/lp-e/1101990130
https://wol.jw.org/en/wol/d/r1/lp-e/1102009041</t>
        </is>
      </c>
      <c r="AA768" s="7" t="n">
        <v>0</v>
      </c>
      <c r="AB768" s="7" t="n"/>
      <c r="AC768" s="7" t="n">
        <v>0</v>
      </c>
      <c r="AD768" s="7" t="n"/>
      <c r="AE768" s="7" t="n"/>
      <c r="AF768" s="7" t="n"/>
      <c r="AG768" s="7" t="n"/>
      <c r="AH768" s="7" t="n"/>
      <c r="AI768" s="7" t="n"/>
      <c r="AJ768" s="7" t="n"/>
      <c r="AK768" s="7" t="n"/>
      <c r="AL768" s="7" t="n"/>
      <c r="AM768" s="7" t="n">
        <v>61.4</v>
      </c>
      <c r="AN768" s="10" t="n"/>
      <c r="AO768" s="10" t="n"/>
      <c r="AP768" s="10" t="n"/>
      <c r="AQ768" s="10" t="n"/>
    </row>
    <row r="769">
      <c r="A769" s="7" t="inlineStr">
        <is>
          <t>b6-0075</t>
        </is>
      </c>
      <c r="B769" s="7" t="inlineStr">
        <is>
          <t>Point</t>
        </is>
      </c>
      <c r="C769" s="7" t="n"/>
      <c r="D769" s="7" t="inlineStr">
        <is>
          <t>c. 61 C.E.</t>
        </is>
      </c>
      <c r="E769" s="7" t="n"/>
      <c r="F769" s="7" t="inlineStr">
        <is>
          <t>61 CE</t>
        </is>
      </c>
      <c r="G769" s="7" t="inlineStr">
        <is>
          <t>Approx. (c.)</t>
        </is>
      </c>
      <c r="H769" s="7" t="n"/>
      <c r="I769" s="7" t="n"/>
      <c r="J769" s="7" t="n"/>
      <c r="K769" s="2" t="inlineStr">
        <is>
          <t>Paul released from house arrest in Rome</t>
        </is>
      </c>
      <c r="L769" s="2" t="n"/>
      <c r="M769" s="7" t="inlineStr">
        <is>
          <t>Paul’s house arrest seems to have ended about 61 C.E., when he apparently was tried and pronounced innocent; the historical record of Acts ends at this point.</t>
        </is>
      </c>
      <c r="N769" s="7" t="inlineStr">
        <is>
          <t>அப்போஸ்தலருடைய நடபடிகளின் சரித்திரப் பதிவு இதோடு முடிகிறது. ஆனாலும், பவுல் விடுதலை செய்யப்பட்டு, தன் மிஷனரி ஊழியத்தில் தொடர்ந்து ஈடுபட்டு... என்பதற்கு அத்தாட்சிகள் உள்ளன.</t>
        </is>
      </c>
      <c r="O769" s="8" t="inlineStr">
        <is>
          <t>Bible</t>
        </is>
      </c>
      <c r="P769" s="7" t="inlineStr">
        <is>
          <t>bible.apostolic</t>
        </is>
      </c>
      <c r="Q769" s="7" t="inlineStr">
        <is>
          <t>release</t>
        </is>
      </c>
      <c r="R769" s="7" t="inlineStr">
        <is>
          <t>Paul</t>
        </is>
      </c>
      <c r="S769" s="7" t="inlineStr">
        <is>
          <t>Rome</t>
        </is>
      </c>
      <c r="T769" s="7" t="inlineStr">
        <is>
          <t>Acts 28:30, 31</t>
        </is>
      </c>
      <c r="U769" s="7" t="n"/>
      <c r="V769" s="7" t="n">
        <v>2</v>
      </c>
      <c r="W769" s="7" t="inlineStr">
        <is>
          <t>Acts Study Notes—Chapter 28</t>
        </is>
      </c>
      <c r="X769" s="9" t="inlineStr">
        <is>
          <t>open</t>
        </is>
      </c>
      <c r="Y769" s="7" t="n"/>
      <c r="Z769" s="7" t="inlineStr">
        <is>
          <t>https://wol.jw.org/en/wol/d/r1/lp-e/1001070717
https://wol.jw.org/en/wol/d/r1/lp-e/1101990130</t>
        </is>
      </c>
      <c r="AA769" s="7" t="n">
        <v>0</v>
      </c>
      <c r="AB769" s="7" t="n"/>
      <c r="AC769" s="7" t="n">
        <v>0</v>
      </c>
      <c r="AD769" s="7" t="n"/>
      <c r="AE769" s="7" t="n"/>
      <c r="AF769" s="7" t="n"/>
      <c r="AG769" s="7" t="n"/>
      <c r="AH769" s="7" t="n"/>
      <c r="AI769" s="7" t="n"/>
      <c r="AJ769" s="7" t="n"/>
      <c r="AK769" s="7" t="n"/>
      <c r="AL769" s="7" t="n"/>
      <c r="AM769" s="7" t="n">
        <v>61.5</v>
      </c>
      <c r="AN769" s="10" t="n"/>
      <c r="AO769" s="10" t="n"/>
      <c r="AP769" s="10" t="n"/>
      <c r="AQ769" s="10" t="n"/>
    </row>
    <row r="770">
      <c r="A770" s="7" t="inlineStr">
        <is>
          <t>b6-0076</t>
        </is>
      </c>
      <c r="B770" s="11" t="inlineStr">
        <is>
          <t>Span</t>
        </is>
      </c>
      <c r="C770" s="7" t="inlineStr">
        <is>
          <t>journey</t>
        </is>
      </c>
      <c r="D770" s="7" t="inlineStr">
        <is>
          <t>c. 61-64 C.E.</t>
        </is>
      </c>
      <c r="E770" s="7" t="n"/>
      <c r="F770" s="7" t="inlineStr">
        <is>
          <t>61 CE</t>
        </is>
      </c>
      <c r="G770" s="7" t="inlineStr">
        <is>
          <t>Approx. (c.)</t>
        </is>
      </c>
      <c r="H770" s="7" t="inlineStr">
        <is>
          <t>64 CE</t>
        </is>
      </c>
      <c r="I770" s="7" t="inlineStr">
        <is>
          <t>Approx. (c.)</t>
        </is>
      </c>
      <c r="J770" s="7" t="inlineStr">
        <is>
          <t>c. 3 years</t>
        </is>
      </c>
      <c r="K770" s="2" t="inlineStr">
        <is>
          <t>Paul’s later missionary travels after his release</t>
        </is>
      </c>
      <c r="L770" s="2" t="n"/>
      <c r="M770" s="7" t="inlineStr">
        <is>
          <t>After his release Paul evidently continued his missionary work, traveling to Crete, Greece, and Macedonia; whether he reached Spain is not known.</t>
        </is>
      </c>
      <c r="N770" s="7" t="inlineStr">
        <is>
          <t>பவுல் விடுதலை செய்யப்பட்டு, தன் மிஷனரி ஊழியத்தில் தொடர்ந்து ஈடுபட்டு, கிரேத்தா, கிரீஸ், மற்றும் மக்கெதோனியாவுக்குப் பயணப்பட்டார் என்பதற்கு அத்தாட்சிகள் உள்ளன. ஸ்பெய்ன் வரை அவர் சென்றாரா என்று தெரியவில்லை.</t>
        </is>
      </c>
      <c r="O770" s="8" t="inlineStr">
        <is>
          <t>Bible</t>
        </is>
      </c>
      <c r="P770" s="7" t="inlineStr">
        <is>
          <t>bible.apostolic</t>
        </is>
      </c>
      <c r="Q770" s="7" t="inlineStr">
        <is>
          <t>journey</t>
        </is>
      </c>
      <c r="R770" s="7" t="inlineStr">
        <is>
          <t>Paul</t>
        </is>
      </c>
      <c r="S770" s="7" t="inlineStr">
        <is>
          <t>Crete; Greece; Macedonia; Nicopolis</t>
        </is>
      </c>
      <c r="T770" s="7" t="inlineStr">
        <is>
          <t>1 Tim. 1:3; Titus 1:5; Rom. 15:24, 28</t>
        </is>
      </c>
      <c r="U770" s="7" t="n"/>
      <c r="V770" s="7" t="n">
        <v>3</v>
      </c>
      <c r="W770" s="7" t="inlineStr">
        <is>
          <t>Study Number 3—Measuring Events in the Stream of Time</t>
        </is>
      </c>
      <c r="X770" s="9" t="inlineStr">
        <is>
          <t>open</t>
        </is>
      </c>
      <c r="Y770" s="9" t="inlineStr">
        <is>
          <t>open</t>
        </is>
      </c>
      <c r="Z770" s="7" t="inlineStr">
        <is>
          <t>https://wol.jw.org/en/wol/d/r1/lp-e/1101990130
https://wol.jw.org/en/wol/d/r1/lp-e/1001070717
https://wol.jw.org/en/wol/d/r1/lp-e/1200003406</t>
        </is>
      </c>
      <c r="AA770" s="7" t="n">
        <v>0</v>
      </c>
      <c r="AB770" s="7" t="n"/>
      <c r="AC770" s="7" t="n">
        <v>0</v>
      </c>
      <c r="AD770" s="7" t="n"/>
      <c r="AE770" s="7" t="n"/>
      <c r="AF770" s="7" t="n"/>
      <c r="AG770" s="7" t="n"/>
      <c r="AH770" s="7" t="n"/>
      <c r="AI770" s="7" t="n"/>
      <c r="AJ770" s="7" t="n"/>
      <c r="AK770" s="7" t="n"/>
      <c r="AL770" s="7" t="inlineStr">
        <is>
          <t>Date range taken from the letters si/NWT table date to this period (1 Timothy, Titus c. 61-64).</t>
        </is>
      </c>
      <c r="AM770" s="7" t="n">
        <v>61.6</v>
      </c>
      <c r="AN770" s="10" t="n"/>
      <c r="AO770" s="10" t="n"/>
      <c r="AP770" s="10" t="n"/>
      <c r="AQ770" s="10" t="n"/>
    </row>
    <row r="771">
      <c r="A771" s="7" t="inlineStr">
        <is>
          <t>b6-0077</t>
        </is>
      </c>
      <c r="B771" s="11" t="inlineStr">
        <is>
          <t>Span</t>
        </is>
      </c>
      <c r="C771" s="7" t="inlineStr">
        <is>
          <t>office</t>
        </is>
      </c>
      <c r="D771" s="7" t="inlineStr">
        <is>
          <t>c. 61-64 C.E.</t>
        </is>
      </c>
      <c r="E771" s="7" t="inlineStr">
        <is>
          <t>சுமார் கி.பி. 61-64</t>
        </is>
      </c>
      <c r="F771" s="7" t="inlineStr">
        <is>
          <t>61 CE</t>
        </is>
      </c>
      <c r="G771" s="7" t="inlineStr">
        <is>
          <t>Approx. (c.)</t>
        </is>
      </c>
      <c r="H771" s="7" t="inlineStr">
        <is>
          <t>64 CE</t>
        </is>
      </c>
      <c r="I771" s="7" t="inlineStr">
        <is>
          <t>Approx. (c.)</t>
        </is>
      </c>
      <c r="J771" s="7" t="inlineStr">
        <is>
          <t>c. 3 years</t>
        </is>
      </c>
      <c r="K771" s="2" t="inlineStr">
        <is>
          <t>Titus left in Crete to organize the congregations</t>
        </is>
      </c>
      <c r="L771" s="2" t="inlineStr">
        <is>
          <t>தீத்து கிரேத்தாவில் விடப்படுகிறார் (தீத். 1:5)</t>
        </is>
      </c>
      <c r="M771" s="7" t="inlineStr">
        <is>
          <t>Paul left Titus in Crete to correct defective things and appoint older men in the congregations there.</t>
        </is>
      </c>
      <c r="N771" s="7" t="inlineStr">
        <is>
          <t>தீத்து கிரேத்தாவில் விடப்படுகிறார் (தீத். 1:5).</t>
        </is>
      </c>
      <c r="O771" s="8" t="inlineStr">
        <is>
          <t>Bible</t>
        </is>
      </c>
      <c r="P771" s="7" t="inlineStr">
        <is>
          <t>bible.apostolic</t>
        </is>
      </c>
      <c r="Q771" s="7" t="inlineStr">
        <is>
          <t>assignment</t>
        </is>
      </c>
      <c r="R771" s="7" t="inlineStr">
        <is>
          <t>Titus; Paul</t>
        </is>
      </c>
      <c r="S771" s="7" t="inlineStr">
        <is>
          <t>Crete</t>
        </is>
      </c>
      <c r="T771" s="7" t="inlineStr">
        <is>
          <t>Titus 1:5</t>
        </is>
      </c>
      <c r="U771" s="7" t="inlineStr">
        <is>
          <t>தீத். 1:5</t>
        </is>
      </c>
      <c r="V771" s="7" t="n">
        <v>1</v>
      </c>
      <c r="W771" s="7" t="inlineStr">
        <is>
          <t>“Go . . . and Make Disciples” (box: Important Dates in the Spread of Christianity During the First Century C.E.)</t>
        </is>
      </c>
      <c r="X771" s="9" t="inlineStr">
        <is>
          <t>open</t>
        </is>
      </c>
      <c r="Y771" s="9" t="inlineStr">
        <is>
          <t>open</t>
        </is>
      </c>
      <c r="Z771" s="7" t="inlineStr">
        <is>
          <t>https://wol.jw.org/en/wol/d/r1/lp-e/1102009041</t>
        </is>
      </c>
      <c r="AA771" s="7" t="n">
        <v>0</v>
      </c>
      <c r="AB771" s="7" t="n"/>
      <c r="AC771" s="7" t="n">
        <v>0</v>
      </c>
      <c r="AD771" s="7" t="n"/>
      <c r="AE771" s="7" t="n"/>
      <c r="AF771" s="7" t="n"/>
      <c r="AG771" s="7" t="n"/>
      <c r="AH771" s="7" t="n"/>
      <c r="AI771" s="7" t="n"/>
      <c r="AJ771" s="7" t="n"/>
      <c r="AK771" s="7" t="n"/>
      <c r="AL771" s="7" t="n"/>
      <c r="AM771" s="7" t="n">
        <v>61.7</v>
      </c>
      <c r="AN771" s="10" t="n"/>
      <c r="AO771" s="10" t="n"/>
      <c r="AP771" s="10" t="n"/>
      <c r="AQ771" s="10" t="n"/>
    </row>
    <row r="772">
      <c r="A772" s="7" t="inlineStr">
        <is>
          <t>b11-0060</t>
        </is>
      </c>
      <c r="B772" s="7" t="inlineStr">
        <is>
          <t>Point</t>
        </is>
      </c>
      <c r="C772" s="7" t="n"/>
      <c r="D772" s="7" t="inlineStr">
        <is>
          <t>b. 62 C.E.</t>
        </is>
      </c>
      <c r="E772" s="7" t="inlineStr">
        <is>
          <t>கி.பி. 62-க்கு முன்</t>
        </is>
      </c>
      <c r="F772" s="7" t="inlineStr">
        <is>
          <t>62 CE</t>
        </is>
      </c>
      <c r="G772" s="7" t="inlineStr">
        <is>
          <t>Before (b.)</t>
        </is>
      </c>
      <c r="H772" s="7" t="n"/>
      <c r="I772" s="7" t="n"/>
      <c r="J772" s="7" t="n"/>
      <c r="K772" s="2" t="inlineStr">
        <is>
          <t>Writing of James completed</t>
        </is>
      </c>
      <c r="L772" s="2" t="inlineStr">
        <is>
          <t>யாக்கோபு — எழுதி முடிக்கப்பட்டது</t>
        </is>
      </c>
      <c r="M772" s="7" t="inlineStr">
        <is>
          <t>The writing of James was completed before 62 C.E. Writer: James (Jesus’ brother); place written: Jerusalem.</t>
        </is>
      </c>
      <c r="N772" s="7" t="inlineStr">
        <is>
          <t>யாக்கோபு: எழுதியவர்(கள்): யாக்கோபு (இயேசுவின் சகோதரர்); எழுதப்பட்ட இடம்: எருசலேம்; முடிக்கப்பட்ட வருஷம் (கி.பி.): 62-க்கு முன்.</t>
        </is>
      </c>
      <c r="O772" s="8" t="inlineStr">
        <is>
          <t>Bible</t>
        </is>
      </c>
      <c r="P772" s="7" t="inlineStr">
        <is>
          <t>bible.book_writing</t>
        </is>
      </c>
      <c r="Q772" s="7" t="inlineStr">
        <is>
          <t>writing_completed</t>
        </is>
      </c>
      <c r="R772" s="7" t="inlineStr">
        <is>
          <t>James (brother of Jesus)</t>
        </is>
      </c>
      <c r="S772" s="7" t="inlineStr">
        <is>
          <t>Jerusalem</t>
        </is>
      </c>
      <c r="T772" s="7" t="inlineStr">
        <is>
          <t>Jas.</t>
        </is>
      </c>
      <c r="U772" s="7" t="inlineStr">
        <is>
          <t>யாக்.</t>
        </is>
      </c>
      <c r="V772" s="7" t="n">
        <v>6</v>
      </c>
      <c r="W772" s="7" t="inlineStr">
        <is>
          <t>Table of the Books of the Bible</t>
        </is>
      </c>
      <c r="X772" s="9" t="inlineStr">
        <is>
          <t>open</t>
        </is>
      </c>
      <c r="Y772" s="9" t="inlineStr">
        <is>
          <t>open</t>
        </is>
      </c>
      <c r="Z772" s="7" t="inlineStr">
        <is>
          <t>https://wol.jw.org/en/wol/d/r1/lp-e/1001070071
https://wol.jw.org/en/wol/d/r1/lp-e/1101990120
https://www.jw.org/en/library/bible/study-bible/books-of-the-bible-list/
https://wol.jw.org/en/wol/d/r1/lp-e/1001060002
https://wol.jw.org/en/wol/d/r1/lp-e/1101990130
https://wol.jw.org/en/wol/d/r1/lp-e/1102009041</t>
        </is>
      </c>
      <c r="AA772" s="7" t="n">
        <v>0</v>
      </c>
      <c r="AB772" s="7" t="n"/>
      <c r="AC772" s="7" t="n">
        <v>0</v>
      </c>
      <c r="AD772" s="7" t="n"/>
      <c r="AE772" s="7" t="n"/>
      <c r="AF772" s="7" t="n"/>
      <c r="AG772" s="7" t="n"/>
      <c r="AH772" s="7" t="n"/>
      <c r="AI772" s="7" t="n"/>
      <c r="AJ772" s="7" t="n"/>
      <c r="AK772" s="7" t="inlineStr">
        <is>
          <t>bible-books-written #59 (item)</t>
        </is>
      </c>
      <c r="AL772" s="7" t="inlineStr">
        <is>
          <t>Writer(s): James (Jesus’ brother). Place written: Jerusalem. Writing completed: b. 62 C.E. Time covered: —. si par. 4: written shortly before 62 C.E. (before the death of James c. 62 C.E. reported by Josephus).</t>
        </is>
      </c>
      <c r="AM772" s="7" t="n">
        <v>61.9959</v>
      </c>
      <c r="AN772" s="10" t="n"/>
      <c r="AO772" s="10" t="n"/>
      <c r="AP772" s="10" t="n"/>
      <c r="AQ772" s="10" t="n"/>
    </row>
    <row r="773">
      <c r="A773" s="7" t="inlineStr">
        <is>
          <t>b11-0061</t>
        </is>
      </c>
      <c r="B773" s="7" t="inlineStr">
        <is>
          <t>Point</t>
        </is>
      </c>
      <c r="C773" s="7" t="n"/>
      <c r="D773" s="7" t="inlineStr">
        <is>
          <t>c. 62-64 C.E.</t>
        </is>
      </c>
      <c r="E773" s="7" t="inlineStr">
        <is>
          <t>ஏ. கி.பி. 62-64</t>
        </is>
      </c>
      <c r="F773" s="7" t="inlineStr">
        <is>
          <t>62 CE</t>
        </is>
      </c>
      <c r="G773" s="7" t="inlineStr">
        <is>
          <t>Between (one moment in a window)</t>
        </is>
      </c>
      <c r="H773" s="7" t="n"/>
      <c r="I773" s="7" t="n"/>
      <c r="J773" s="7" t="n"/>
      <c r="K773" s="2" t="inlineStr">
        <is>
          <t>Writing of 1 Peter completed</t>
        </is>
      </c>
      <c r="L773" s="2" t="inlineStr">
        <is>
          <t>1 பேதுரு — எழுதி முடிக்கப்பட்டது</t>
        </is>
      </c>
      <c r="M773" s="7" t="inlineStr">
        <is>
          <t>The writing of 1 Peter was completed c. 62-64 C.E. Writer: Peter; place written: Babylon.</t>
        </is>
      </c>
      <c r="N773" s="7" t="inlineStr">
        <is>
          <t>1 பேதுரு: எழுதியவர்(கள்): பேதுரு; எழுதப்பட்ட இடம்: பாபிலோன்; முடிக்கப்பட்ட வருஷம் (கி.பி.): ஏ. 62-64.</t>
        </is>
      </c>
      <c r="O773" s="8" t="inlineStr">
        <is>
          <t>Bible</t>
        </is>
      </c>
      <c r="P773" s="7" t="inlineStr">
        <is>
          <t>bible.book_writing</t>
        </is>
      </c>
      <c r="Q773" s="7" t="inlineStr">
        <is>
          <t>writing_completed</t>
        </is>
      </c>
      <c r="R773" s="7" t="inlineStr">
        <is>
          <t>Peter</t>
        </is>
      </c>
      <c r="S773" s="7" t="inlineStr">
        <is>
          <t>Babylon</t>
        </is>
      </c>
      <c r="T773" s="7" t="inlineStr">
        <is>
          <t>1 Pet.</t>
        </is>
      </c>
      <c r="U773" s="7" t="inlineStr">
        <is>
          <t>1 பே.</t>
        </is>
      </c>
      <c r="V773" s="7" t="n">
        <v>7</v>
      </c>
      <c r="W773" s="7" t="inlineStr">
        <is>
          <t>Table of the Books of the Bible</t>
        </is>
      </c>
      <c r="X773" s="9" t="inlineStr">
        <is>
          <t>open</t>
        </is>
      </c>
      <c r="Y773" s="9" t="inlineStr">
        <is>
          <t>open</t>
        </is>
      </c>
      <c r="Z773" s="7" t="inlineStr">
        <is>
          <t>https://wol.jw.org/en/wol/d/r1/lp-e/1001070071
https://wol.jw.org/en/wol/d/r1/lp-e/1101990121
https://www.jw.org/en/library/bible/study-bible/books-of-the-bible-list/
https://wol.jw.org/en/wol/d/r1/lp-e/1001060002
https://wol.jw.org/en/wol/d/r1/lp-e/1101990130
https://wol.jw.org/en/wol/d/r1/lp-e/1102009041
https://wol.jw.org/en/wol/d/r1/lp-e/1200003452</t>
        </is>
      </c>
      <c r="AA773" s="7" t="n">
        <v>0</v>
      </c>
      <c r="AB773" s="7" t="n"/>
      <c r="AC773" s="7" t="n">
        <v>0</v>
      </c>
      <c r="AD773" s="7" t="n"/>
      <c r="AE773" s="7" t="n"/>
      <c r="AF773" s="7" t="n"/>
      <c r="AG773" s="7" t="n"/>
      <c r="AH773" s="7" t="n"/>
      <c r="AI773" s="7" t="n"/>
      <c r="AJ773" s="7" t="n"/>
      <c r="AK773" s="7" t="inlineStr">
        <is>
          <t>bible-books-written #60 (item)</t>
        </is>
      </c>
      <c r="AL773" s="7" t="inlineStr">
        <is>
          <t>Writer(s): Peter. Place written: Babylon. Writing completed: c. 62-64 C.E. Time covered: —. Date is a range with marker 'approx' applied to the whole range.</t>
        </is>
      </c>
      <c r="AM773" s="7" t="n">
        <v>62.006</v>
      </c>
      <c r="AN773" s="10" t="n"/>
      <c r="AO773" s="10" t="n"/>
      <c r="AP773" s="10" t="n"/>
      <c r="AQ773" s="10" t="n"/>
    </row>
    <row r="774">
      <c r="A774" s="7" t="inlineStr">
        <is>
          <t>b11-0062</t>
        </is>
      </c>
      <c r="B774" s="7" t="inlineStr">
        <is>
          <t>Point</t>
        </is>
      </c>
      <c r="C774" s="7" t="n"/>
      <c r="D774" s="7" t="inlineStr">
        <is>
          <t>c. 62 C.E.</t>
        </is>
      </c>
      <c r="E774" s="7" t="inlineStr">
        <is>
          <t>ஏறக்குறைய பொ.ச. 62</t>
        </is>
      </c>
      <c r="F774" s="7" t="inlineStr">
        <is>
          <t>62 CE</t>
        </is>
      </c>
      <c r="G774" s="7" t="inlineStr">
        <is>
          <t>Approx. (c.)</t>
        </is>
      </c>
      <c r="H774" s="7" t="n"/>
      <c r="I774" s="7" t="n"/>
      <c r="J774" s="7" t="n"/>
      <c r="K774" s="2" t="inlineStr">
        <is>
          <t>James, Jesus' brother and writer of James, stoned (per Josephus)</t>
        </is>
      </c>
      <c r="L774" s="2" t="n"/>
      <c r="M774" s="7" t="inlineStr">
        <is>
          <t>According to the historian Josephus, cited in 'All Scripture Is Inspired', James the brother of Jesus was stoned at the instigation of High Priest Ananus after the death of Governor Festus, about 62 C.E.</t>
        </is>
      </c>
      <c r="N774" s="7" t="inlineStr">
        <is>
          <t>சதுசேயனும் பிரதான ஆசாரியனுமாகிய அனானஸேதான் (அனனியாஸ்) யாக்கோபின் மரணத்துக்கு காரணம் என்பதாகவும், அவர் கல்லெறிந்து கொல்லப்பட்டார் என்பதாகவும் சரித்திராசிரியன் ஜொஸிஃபஸ் சொல்கிறார். இது ஏறக்குறைய பொ.ச. 62-ல் ரோம அதிபதி பெஸ்துவின் மரணத்திற்குப் பின், அல்பினஸ் பதவி ஏற்பதற்கு முன் நடந்திருக்க வேண்டும்.</t>
        </is>
      </c>
      <c r="O774" s="8" t="inlineStr">
        <is>
          <t>Bible</t>
        </is>
      </c>
      <c r="P774" s="7" t="inlineStr">
        <is>
          <t>bible.book_writing</t>
        </is>
      </c>
      <c r="Q774" s="7" t="inlineStr">
        <is>
          <t>death</t>
        </is>
      </c>
      <c r="R774" s="7" t="inlineStr">
        <is>
          <t>James (brother of Jesus); Ananus; Festus; Albinus</t>
        </is>
      </c>
      <c r="S774" s="7" t="inlineStr">
        <is>
          <t>Jerusalem</t>
        </is>
      </c>
      <c r="T774" s="7" t="n"/>
      <c r="U774" s="7" t="n"/>
      <c r="V774" s="7" t="n">
        <v>1</v>
      </c>
      <c r="W774" s="7" t="inlineStr">
        <is>
          <t>Bible Book Number 59—James</t>
        </is>
      </c>
      <c r="X774" s="9" t="inlineStr">
        <is>
          <t>open</t>
        </is>
      </c>
      <c r="Y774" s="9" t="inlineStr">
        <is>
          <t>open</t>
        </is>
      </c>
      <c r="Z774" s="7" t="inlineStr">
        <is>
          <t>https://wol.jw.org/en/wol/d/r1/lp-e/1101990120</t>
        </is>
      </c>
      <c r="AA774" s="7" t="n">
        <v>0</v>
      </c>
      <c r="AB774" s="7" t="n"/>
      <c r="AC774" s="7" t="n">
        <v>0</v>
      </c>
      <c r="AD774" s="7" t="n"/>
      <c r="AE774" s="7" t="n"/>
      <c r="AF774" s="7" t="n"/>
      <c r="AG774" s="7" t="n"/>
      <c r="AH774" s="7" t="n"/>
      <c r="AI774" s="7" t="n"/>
      <c r="AJ774" s="7" t="n"/>
      <c r="AK774" s="7" t="n"/>
      <c r="AL774" s="7" t="inlineStr">
        <is>
          <t>Date derives from a secular account (Josephus) as reported in si; date is approximate.</t>
        </is>
      </c>
      <c r="AM774" s="7" t="n">
        <v>62.5</v>
      </c>
      <c r="AN774" s="10" t="n"/>
      <c r="AO774" s="10" t="n"/>
      <c r="AP774" s="10" t="n"/>
      <c r="AQ774" s="10" t="n"/>
    </row>
    <row r="775">
      <c r="A775" s="7" t="inlineStr">
        <is>
          <t>b11-0063</t>
        </is>
      </c>
      <c r="B775" s="7" t="inlineStr">
        <is>
          <t>Point</t>
        </is>
      </c>
      <c r="C775" s="7" t="n"/>
      <c r="D775" s="7" t="inlineStr">
        <is>
          <t>c. 64 C.E.</t>
        </is>
      </c>
      <c r="E775" s="7" t="inlineStr">
        <is>
          <t>ஏ. கி.பி. 64</t>
        </is>
      </c>
      <c r="F775" s="7" t="inlineStr">
        <is>
          <t>64 CE</t>
        </is>
      </c>
      <c r="G775" s="7" t="inlineStr">
        <is>
          <t>Approx. (c.)</t>
        </is>
      </c>
      <c r="H775" s="7" t="n"/>
      <c r="I775" s="7" t="n"/>
      <c r="J775" s="7" t="n"/>
      <c r="K775" s="2" t="inlineStr">
        <is>
          <t>Writing of 2 Peter completed</t>
        </is>
      </c>
      <c r="L775" s="2" t="inlineStr">
        <is>
          <t>2 பேதுரு — எழுதி முடிக்கப்பட்டது</t>
        </is>
      </c>
      <c r="M775" s="7" t="inlineStr">
        <is>
          <t>The writing of 2 Peter was completed c. 64 C.E. Writer: Peter; place written: Babylon (?).</t>
        </is>
      </c>
      <c r="N775" s="7" t="inlineStr">
        <is>
          <t>2 பேதுரு: எழுதியவர்(கள்): பேதுரு; எழுதப்பட்ட இடம்: பாபிலோன் (?); முடிக்கப்பட்ட வருஷம் (கி.பி.): ஏ. 64.</t>
        </is>
      </c>
      <c r="O775" s="8" t="inlineStr">
        <is>
          <t>Bible</t>
        </is>
      </c>
      <c r="P775" s="7" t="inlineStr">
        <is>
          <t>bible.book_writing</t>
        </is>
      </c>
      <c r="Q775" s="7" t="inlineStr">
        <is>
          <t>writing_completed</t>
        </is>
      </c>
      <c r="R775" s="7" t="inlineStr">
        <is>
          <t>Peter</t>
        </is>
      </c>
      <c r="S775" s="7" t="inlineStr">
        <is>
          <t>Babylon</t>
        </is>
      </c>
      <c r="T775" s="7" t="inlineStr">
        <is>
          <t>2 Pet.</t>
        </is>
      </c>
      <c r="U775" s="7" t="inlineStr">
        <is>
          <t>2 பே.</t>
        </is>
      </c>
      <c r="V775" s="7" t="n">
        <v>7</v>
      </c>
      <c r="W775" s="7" t="inlineStr">
        <is>
          <t>Table of the Books of the Bible</t>
        </is>
      </c>
      <c r="X775" s="9" t="inlineStr">
        <is>
          <t>open</t>
        </is>
      </c>
      <c r="Y775" s="9" t="inlineStr">
        <is>
          <t>open</t>
        </is>
      </c>
      <c r="Z775" s="7" t="inlineStr">
        <is>
          <t>https://wol.jw.org/en/wol/d/r1/lp-e/1001070071
https://wol.jw.org/en/wol/d/r1/lp-e/1101990122
https://www.jw.org/en/library/bible/study-bible/books-of-the-bible-list/
https://wol.jw.org/en/wol/d/r1/lp-e/1001060002
https://wol.jw.org/en/wol/d/r1/lp-e/1101990130
https://wol.jw.org/en/wol/d/r1/lp-e/1102009041
https://wol.jw.org/en/wol/d/r1/lp-e/1200003452</t>
        </is>
      </c>
      <c r="AA775" s="7" t="n">
        <v>0</v>
      </c>
      <c r="AB775" s="7" t="n"/>
      <c r="AC775" s="7" t="n">
        <v>0</v>
      </c>
      <c r="AD775" s="7" t="n"/>
      <c r="AE775" s="7" t="n"/>
      <c r="AF775" s="7" t="n"/>
      <c r="AG775" s="7" t="n"/>
      <c r="AH775" s="7" t="n"/>
      <c r="AI775" s="7" t="n"/>
      <c r="AJ775" s="7" t="n"/>
      <c r="AK775" s="7" t="inlineStr">
        <is>
          <t>bible-books-written #61 (item)</t>
        </is>
      </c>
      <c r="AL775" s="7" t="inlineStr">
        <is>
          <t>Writer(s): Peter. Place written: Babylon (?). Writing completed: c. 64 C.E. Time covered: —.</t>
        </is>
      </c>
      <c r="AM775" s="7" t="n">
        <v>64.0061</v>
      </c>
      <c r="AN775" s="10" t="n"/>
      <c r="AO775" s="10" t="n"/>
      <c r="AP775" s="10" t="n"/>
      <c r="AQ775" s="10" t="n"/>
    </row>
    <row r="776">
      <c r="A776" s="7" t="inlineStr">
        <is>
          <t>b6-0083</t>
        </is>
      </c>
      <c r="B776" s="7" t="inlineStr">
        <is>
          <t>Point</t>
        </is>
      </c>
      <c r="C776" s="7" t="n"/>
      <c r="D776" s="7" t="inlineStr">
        <is>
          <t>July 64 C.E.</t>
        </is>
      </c>
      <c r="E776" s="7" t="inlineStr">
        <is>
          <t>பொ.ச. 64 ஜூலை</t>
        </is>
      </c>
      <c r="F776" s="7" t="inlineStr">
        <is>
          <t>64 CE</t>
        </is>
      </c>
      <c r="G776" s="7" t="inlineStr">
        <is>
          <t>Exact</t>
        </is>
      </c>
      <c r="H776" s="7" t="n"/>
      <c r="I776" s="7" t="n"/>
      <c r="J776" s="7" t="n"/>
      <c r="K776" s="2" t="inlineStr">
        <is>
          <t>Great fire ravages Rome</t>
        </is>
      </c>
      <c r="L776" s="2" t="n"/>
      <c r="M776" s="7" t="inlineStr">
        <is>
          <t>A great fire swept through Rome in July 64 C.E., causing extensive damage in 10 of the city’s 14 regions; Nero blamed the Christians.</t>
        </is>
      </c>
      <c r="N776" s="7" t="inlineStr">
        <is>
          <t>பொ.ச. 64 ஜூலையில் ரோம் நகரமே தீப்பற்றி எரிந்து பெரிய நாசத்தை ஏற்படுத்தியது. அந்த நகரத்தின் 14 பிராந்தியங்களில் 10-⁠ல் மிகுதியான சேதம் ஏற்பட்டிருந்தது.</t>
        </is>
      </c>
      <c r="O776" s="12" t="inlineStr">
        <is>
          <t>Bible &amp; church history</t>
        </is>
      </c>
      <c r="P776" s="7" t="inlineStr">
        <is>
          <t>history.persecution</t>
        </is>
      </c>
      <c r="Q776" s="7" t="inlineStr">
        <is>
          <t>disaster</t>
        </is>
      </c>
      <c r="R776" s="7" t="inlineStr">
        <is>
          <t>Nero</t>
        </is>
      </c>
      <c r="S776" s="7" t="inlineStr">
        <is>
          <t>Rome</t>
        </is>
      </c>
      <c r="T776" s="7" t="n"/>
      <c r="U776" s="7" t="n"/>
      <c r="V776" s="7" t="n">
        <v>3</v>
      </c>
      <c r="W776" s="7" t="inlineStr">
        <is>
          <t>Bible Book Number 55—2 Timothy</t>
        </is>
      </c>
      <c r="X776" s="9" t="inlineStr">
        <is>
          <t>open</t>
        </is>
      </c>
      <c r="Y776" s="9" t="inlineStr">
        <is>
          <t>open</t>
        </is>
      </c>
      <c r="Z776" s="7" t="inlineStr">
        <is>
          <t>https://wol.jw.org/en/wol/d/r1/lp-e/1101990116
https://wol.jw.org/en/wol/d/r1/lp-e/1101990130
https://wol.jw.org/en/wol/d/r1/lp-e/1200000970</t>
        </is>
      </c>
      <c r="AA776" s="7" t="n">
        <v>0</v>
      </c>
      <c r="AB776" s="7" t="n"/>
      <c r="AC776" s="7" t="n">
        <v>0</v>
      </c>
      <c r="AD776" s="7" t="n"/>
      <c r="AE776" s="7" t="n"/>
      <c r="AF776" s="7" t="n"/>
      <c r="AG776" s="7" t="n"/>
      <c r="AH776" s="7" t="n"/>
      <c r="AI776" s="7" t="n"/>
      <c r="AJ776" s="7" t="n"/>
      <c r="AK776" s="7" t="n"/>
      <c r="AL776" s="7" t="n"/>
      <c r="AM776" s="7" t="n">
        <v>64.54000000000001</v>
      </c>
      <c r="AN776" s="10" t="n"/>
      <c r="AO776" s="10" t="n"/>
      <c r="AP776" s="10" t="n"/>
      <c r="AQ776" s="10" t="n"/>
    </row>
    <row r="777">
      <c r="A777" s="7" t="inlineStr">
        <is>
          <t>b6-0084</t>
        </is>
      </c>
      <c r="B777" s="7" t="inlineStr">
        <is>
          <t>Point</t>
        </is>
      </c>
      <c r="C777" s="7" t="n"/>
      <c r="D777" s="7" t="inlineStr">
        <is>
          <t>64 C.E.</t>
        </is>
      </c>
      <c r="E777" s="7" t="inlineStr">
        <is>
          <t>ஏறக்குறைய பொ.ச. 64</t>
        </is>
      </c>
      <c r="F777" s="7" t="inlineStr">
        <is>
          <t>64 CE</t>
        </is>
      </c>
      <c r="G777" s="7" t="inlineStr">
        <is>
          <t>Approx. (c.)</t>
        </is>
      </c>
      <c r="H777" s="7" t="n"/>
      <c r="I777" s="7" t="n"/>
      <c r="J777" s="7" t="n"/>
      <c r="K777" s="2" t="inlineStr">
        <is>
          <t>Nero’s persecution of Christians</t>
        </is>
      </c>
      <c r="L777" s="2" t="n"/>
      <c r="M777" s="7" t="inlineStr">
        <is>
          <t>Following the fire, Nero fastened the guilt on the Christians, and a fierce persecution with cruel executions burst upon them in Rome.</t>
        </is>
      </c>
      <c r="N777" s="7" t="inlineStr">
        <is>
          <t>ரோமில் பெருந்தீ பற்றியெரிந்த தேதி பொ.ச. 64-⁠ன் ஜூலை மாதம் என உலக சரித்திரம் குறிப்பிடுகிறது. இதைப் பின்தொடர்ந்து திடீரென கிறிஸ்தவர்களை நீரோ துன்புறுத்தத் தொடங்கினான்.</t>
        </is>
      </c>
      <c r="O777" s="12" t="inlineStr">
        <is>
          <t>Bible &amp; church history</t>
        </is>
      </c>
      <c r="P777" s="7" t="inlineStr">
        <is>
          <t>history.persecution</t>
        </is>
      </c>
      <c r="Q777" s="7" t="inlineStr">
        <is>
          <t>persecution</t>
        </is>
      </c>
      <c r="R777" s="7" t="inlineStr">
        <is>
          <t>Nero</t>
        </is>
      </c>
      <c r="S777" s="7" t="inlineStr">
        <is>
          <t>Rome</t>
        </is>
      </c>
      <c r="T777" s="7" t="inlineStr">
        <is>
          <t>2 Tim. 1:16</t>
        </is>
      </c>
      <c r="U777" s="7" t="inlineStr">
        <is>
          <t>2 தீ. 1:16</t>
        </is>
      </c>
      <c r="V777" s="7" t="n">
        <v>4</v>
      </c>
      <c r="W777" s="7" t="inlineStr">
        <is>
          <t>Study Number 3—Measuring Events in the Stream of Time</t>
        </is>
      </c>
      <c r="X777" s="9" t="inlineStr">
        <is>
          <t>open</t>
        </is>
      </c>
      <c r="Y777" s="9" t="inlineStr">
        <is>
          <t>open</t>
        </is>
      </c>
      <c r="Z777" s="7" t="inlineStr">
        <is>
          <t>https://wol.jw.org/en/wol/d/r1/lp-e/1101990130
https://wol.jw.org/en/wol/d/r1/lp-e/1200000970
https://wol.jw.org/en/wol/d/r1/lp-e/1101990116
https://wol.jw.org/en/wol/d/r1/lp-e/1200003452</t>
        </is>
      </c>
      <c r="AA777" s="7" t="n">
        <v>0</v>
      </c>
      <c r="AB777" s="7" t="n"/>
      <c r="AC777" s="7" t="n">
        <v>0</v>
      </c>
      <c r="AD777" s="7" t="n"/>
      <c r="AE777" s="7" t="n"/>
      <c r="AF777" s="7" t="n"/>
      <c r="AG777" s="7" t="n"/>
      <c r="AH777" s="7" t="n"/>
      <c r="AI777" s="7" t="n"/>
      <c r="AJ777" s="7" t="n"/>
      <c r="AK777" s="7" t="n"/>
      <c r="AL777" s="7" t="n"/>
      <c r="AM777" s="7" t="n">
        <v>64.59999999999999</v>
      </c>
      <c r="AN777" s="10" t="n"/>
      <c r="AO777" s="10" t="n"/>
      <c r="AP777" s="10" t="n"/>
      <c r="AQ777" s="10" t="n"/>
    </row>
    <row r="778">
      <c r="A778" s="7" t="inlineStr">
        <is>
          <t>b11-0064</t>
        </is>
      </c>
      <c r="B778" s="7" t="inlineStr">
        <is>
          <t>Point</t>
        </is>
      </c>
      <c r="C778" s="7" t="n"/>
      <c r="D778" s="7" t="inlineStr">
        <is>
          <t>c. 65 C.E.</t>
        </is>
      </c>
      <c r="E778" s="7" t="inlineStr">
        <is>
          <t>ஏ. கி.பி. 65</t>
        </is>
      </c>
      <c r="F778" s="7" t="inlineStr">
        <is>
          <t>65 CE</t>
        </is>
      </c>
      <c r="G778" s="7" t="inlineStr">
        <is>
          <t>Approx. (c.)</t>
        </is>
      </c>
      <c r="H778" s="7" t="n"/>
      <c r="I778" s="7" t="n"/>
      <c r="J778" s="7" t="n"/>
      <c r="K778" s="2" t="inlineStr">
        <is>
          <t>Writing of 2 Timothy completed</t>
        </is>
      </c>
      <c r="L778" s="2" t="inlineStr">
        <is>
          <t>2 தீமோத்தேயு — எழுதி முடிக்கப்பட்டது</t>
        </is>
      </c>
      <c r="M778" s="7" t="inlineStr">
        <is>
          <t>The writing of 2 Timothy was completed c. 65 C.E. Writer: Paul; place written: Rome.</t>
        </is>
      </c>
      <c r="N778" s="7" t="inlineStr">
        <is>
          <t>2 தீமோத்தேயு: எழுதியவர்(கள்): பவுல்; எழுதப்பட்ட இடம்: ரோம்; முடிக்கப்பட்ட வருஷம் (கி.பி.): ஏ. 65.</t>
        </is>
      </c>
      <c r="O778" s="8" t="inlineStr">
        <is>
          <t>Bible</t>
        </is>
      </c>
      <c r="P778" s="7" t="inlineStr">
        <is>
          <t>bible.book_writing</t>
        </is>
      </c>
      <c r="Q778" s="7" t="inlineStr">
        <is>
          <t>writing_completed</t>
        </is>
      </c>
      <c r="R778" s="7" t="inlineStr">
        <is>
          <t>Paul</t>
        </is>
      </c>
      <c r="S778" s="7" t="inlineStr">
        <is>
          <t>Rome</t>
        </is>
      </c>
      <c r="T778" s="7" t="inlineStr">
        <is>
          <t>2 Tim.</t>
        </is>
      </c>
      <c r="U778" s="7" t="inlineStr">
        <is>
          <t>2 தீ.</t>
        </is>
      </c>
      <c r="V778" s="7" t="n">
        <v>7</v>
      </c>
      <c r="W778" s="7" t="inlineStr">
        <is>
          <t>Table of the Books of the Bible</t>
        </is>
      </c>
      <c r="X778" s="9" t="inlineStr">
        <is>
          <t>open</t>
        </is>
      </c>
      <c r="Y778" s="9" t="inlineStr">
        <is>
          <t>open</t>
        </is>
      </c>
      <c r="Z778" s="7" t="inlineStr">
        <is>
          <t>https://wol.jw.org/en/wol/d/r1/lp-e/1001070071
https://wol.jw.org/en/wol/d/r1/lp-e/1101990116
https://www.jw.org/en/library/bible/study-bible/books-of-the-bible-list/
https://wol.jw.org/en/wol/d/r1/lp-e/1001060002
https://wol.jw.org/en/wol/d/r1/lp-e/1101990130
https://wol.jw.org/en/wol/d/r1/lp-e/1102009041
https://wol.jw.org/en/wol/d/r1/lp-e/1200003406</t>
        </is>
      </c>
      <c r="AA778" s="7" t="n">
        <v>0</v>
      </c>
      <c r="AB778" s="7" t="n"/>
      <c r="AC778" s="7" t="n">
        <v>0</v>
      </c>
      <c r="AD778" s="7" t="n"/>
      <c r="AE778" s="7" t="n"/>
      <c r="AF778" s="7" t="n"/>
      <c r="AG778" s="7" t="n"/>
      <c r="AH778" s="7" t="n"/>
      <c r="AI778" s="7" t="n"/>
      <c r="AJ778" s="7" t="n"/>
      <c r="AK778" s="7" t="inlineStr">
        <is>
          <t>bible-books-written #55 (item)</t>
        </is>
      </c>
      <c r="AL778" s="7" t="inlineStr">
        <is>
          <t>Writer(s): Paul. Place written: Rome. Writing completed: c. 65 C.E. Time covered: —. si par. 3: probably written about 65 C.E., immediately prior to Paul's martyrdom.</t>
        </is>
      </c>
      <c r="AM778" s="7" t="n">
        <v>65.0055</v>
      </c>
      <c r="AN778" s="10" t="n"/>
      <c r="AO778" s="10" t="n"/>
      <c r="AP778" s="10" t="n"/>
      <c r="AQ778" s="10" t="n"/>
    </row>
    <row r="779">
      <c r="A779" s="7" t="inlineStr">
        <is>
          <t>b11-0065</t>
        </is>
      </c>
      <c r="B779" s="7" t="inlineStr">
        <is>
          <t>Point</t>
        </is>
      </c>
      <c r="C779" s="7" t="n"/>
      <c r="D779" s="7" t="inlineStr">
        <is>
          <t>c. 65 C.E.</t>
        </is>
      </c>
      <c r="E779" s="7" t="inlineStr">
        <is>
          <t>ஏ. கி.பி. 65</t>
        </is>
      </c>
      <c r="F779" s="7" t="inlineStr">
        <is>
          <t>65 CE</t>
        </is>
      </c>
      <c r="G779" s="7" t="inlineStr">
        <is>
          <t>Approx. (c.)</t>
        </is>
      </c>
      <c r="H779" s="7" t="n"/>
      <c r="I779" s="7" t="n"/>
      <c r="J779" s="7" t="n"/>
      <c r="K779" s="2" t="inlineStr">
        <is>
          <t>Writing of Jude completed</t>
        </is>
      </c>
      <c r="L779" s="2" t="inlineStr">
        <is>
          <t>யூதா — எழுதி முடிக்கப்பட்டது</t>
        </is>
      </c>
      <c r="M779" s="7" t="inlineStr">
        <is>
          <t>The writing of Jude was completed c. 65 C.E. Writer: Jude (Jesus’ brother); place written: Israel (?).</t>
        </is>
      </c>
      <c r="N779" s="7" t="inlineStr">
        <is>
          <t>யூதா: எழுதியவர்(கள்): யூதா (இயேசுவின் சகோதரர்); எழுதப்பட்ட இடம்: இஸ்ரவேல் (?); முடிக்கப்பட்ட வருஷம் (கி.பி.): ஏ. 65.</t>
        </is>
      </c>
      <c r="O779" s="8" t="inlineStr">
        <is>
          <t>Bible</t>
        </is>
      </c>
      <c r="P779" s="7" t="inlineStr">
        <is>
          <t>bible.book_writing</t>
        </is>
      </c>
      <c r="Q779" s="7" t="inlineStr">
        <is>
          <t>writing_completed</t>
        </is>
      </c>
      <c r="R779" s="7" t="inlineStr">
        <is>
          <t>Jude (brother of Jesus)</t>
        </is>
      </c>
      <c r="S779" s="7" t="inlineStr">
        <is>
          <t>Israel</t>
        </is>
      </c>
      <c r="T779" s="7" t="inlineStr">
        <is>
          <t>Jude</t>
        </is>
      </c>
      <c r="U779" s="7" t="inlineStr">
        <is>
          <t>யூ.</t>
        </is>
      </c>
      <c r="V779" s="7" t="n">
        <v>4</v>
      </c>
      <c r="W779" s="7" t="inlineStr">
        <is>
          <t>Table of the Books of the Bible</t>
        </is>
      </c>
      <c r="X779" s="9" t="inlineStr">
        <is>
          <t>open</t>
        </is>
      </c>
      <c r="Y779" s="9" t="inlineStr">
        <is>
          <t>open</t>
        </is>
      </c>
      <c r="Z779" s="7" t="inlineStr">
        <is>
          <t>https://wol.jw.org/en/wol/d/r1/lp-e/1001070071
https://wol.jw.org/en/wol/d/r1/lp-e/1101990126
https://www.jw.org/en/library/bible/study-bible/books-of-the-bible-list/
https://wol.jw.org/en/wol/d/r1/lp-e/1001060002</t>
        </is>
      </c>
      <c r="AA779" s="7" t="n">
        <v>0</v>
      </c>
      <c r="AB779" s="7" t="n"/>
      <c r="AC779" s="7" t="n">
        <v>2</v>
      </c>
      <c r="AD779" s="7" t="inlineStr">
        <is>
          <t>si gives place written as 'Palestine (?)' (nwtsty: 'Israel (?)'). | Rbi8 place written: 'Palestine (?)' (nwtsty: 'Israel (?)').</t>
        </is>
      </c>
      <c r="AE779" s="7" t="n"/>
      <c r="AF779" s="7" t="n"/>
      <c r="AG779" s="7" t="n"/>
      <c r="AH779" s="7" t="n"/>
      <c r="AI779" s="7" t="n"/>
      <c r="AJ779" s="7" t="n"/>
      <c r="AK779" s="7" t="inlineStr">
        <is>
          <t>bible-books-written #65 (item)</t>
        </is>
      </c>
      <c r="AL779" s="7" t="inlineStr">
        <is>
          <t>Writer(s): Jude (Jesus’ brother). Place written: Israel (?). Writing completed: c. 65 C.E. Time covered: —.</t>
        </is>
      </c>
      <c r="AM779" s="7" t="n">
        <v>65.0065</v>
      </c>
      <c r="AN779" s="10" t="n"/>
      <c r="AO779" s="10" t="n"/>
      <c r="AP779" s="10" t="n"/>
      <c r="AQ779" s="10" t="n"/>
    </row>
    <row r="780">
      <c r="A780" s="7" t="inlineStr">
        <is>
          <t>b6-0085</t>
        </is>
      </c>
      <c r="B780" s="7" t="inlineStr">
        <is>
          <t>Point</t>
        </is>
      </c>
      <c r="C780" s="7" t="n"/>
      <c r="D780" s="7" t="inlineStr">
        <is>
          <t>c. 65 C.E.</t>
        </is>
      </c>
      <c r="E780" s="7" t="inlineStr">
        <is>
          <t>சுமார் கி.பி. 65</t>
        </is>
      </c>
      <c r="F780" s="7" t="inlineStr">
        <is>
          <t>65 CE</t>
        </is>
      </c>
      <c r="G780" s="7" t="inlineStr">
        <is>
          <t>Approx. (c.)</t>
        </is>
      </c>
      <c r="H780" s="7" t="n"/>
      <c r="I780" s="7" t="n"/>
      <c r="J780" s="7" t="n"/>
      <c r="K780" s="2" t="inlineStr">
        <is>
          <t>Paul’s second imprisonment in Rome</t>
        </is>
      </c>
      <c r="L780" s="2" t="inlineStr">
        <is>
          <t>ரோமில் இரண்டாம் முறையாக பவுல் சிறையில் அடைக்கப்படுகிறார்</t>
        </is>
      </c>
      <c r="M780" s="7" t="inlineStr">
        <is>
          <t>Paul was again a prisoner in Rome, this time in chains and under far more severe conditions, expecting execution; few dared to visit him, though Onesiphorus and Luke did.</t>
        </is>
      </c>
      <c r="N780" s="7" t="inlineStr">
        <is>
          <t>பவுல் மறுபடியும் ரோமில் கைதியாக இருந்தார். எனினும், இந்த இரண்டாவது சிறையிருப்பின் சூழ்நிலைமைகள் முதலில் இருந்ததைப் பார்க்கிலும் கடுமையாக இருந்தன. இது பொ.ச. 65 ஆக இருக்கலாம்.</t>
        </is>
      </c>
      <c r="O780" s="8" t="inlineStr">
        <is>
          <t>Bible</t>
        </is>
      </c>
      <c r="P780" s="7" t="inlineStr">
        <is>
          <t>bible.apostolic</t>
        </is>
      </c>
      <c r="Q780" s="7" t="inlineStr">
        <is>
          <t>imprisonment</t>
        </is>
      </c>
      <c r="R780" s="7" t="inlineStr">
        <is>
          <t>Paul; Luke; Onesiphorus</t>
        </is>
      </c>
      <c r="S780" s="7" t="inlineStr">
        <is>
          <t>Rome</t>
        </is>
      </c>
      <c r="T780" s="7" t="inlineStr">
        <is>
          <t>2 Tim. 1:16, 17; 2 Tim. 4:6-11</t>
        </is>
      </c>
      <c r="U780" s="7" t="n"/>
      <c r="V780" s="7" t="n">
        <v>5</v>
      </c>
      <c r="W780" s="7" t="inlineStr">
        <is>
          <t>“Go . . . and Make Disciples” (box: Important Dates in the Spread of Christianity During the First Century C.E.)</t>
        </is>
      </c>
      <c r="X780" s="9" t="inlineStr">
        <is>
          <t>open</t>
        </is>
      </c>
      <c r="Y780" s="9" t="inlineStr">
        <is>
          <t>open</t>
        </is>
      </c>
      <c r="Z780" s="7" t="inlineStr">
        <is>
          <t>https://wol.jw.org/en/wol/d/r1/lp-e/1102009041
https://wol.jw.org/en/wol/d/r1/lp-e/1101990116
https://wol.jw.org/en/wol/d/r1/lp-e/1101990130
https://wol.jw.org/en/wol/d/r1/lp-e/1200003406
https://wol.jw.org/en/wol/d/r1/lp-e/1001070717</t>
        </is>
      </c>
      <c r="AA780" s="7" t="n">
        <v>0</v>
      </c>
      <c r="AB780" s="7" t="n"/>
      <c r="AC780" s="7" t="n">
        <v>0</v>
      </c>
      <c r="AD780" s="7" t="n"/>
      <c r="AE780" s="7" t="n"/>
      <c r="AF780" s="7" t="n"/>
      <c r="AG780" s="7" t="n"/>
      <c r="AH780" s="7" t="n"/>
      <c r="AI780" s="7" t="n"/>
      <c r="AJ780" s="7" t="n"/>
      <c r="AK780" s="7" t="n"/>
      <c r="AL780" s="7" t="n"/>
      <c r="AM780" s="7" t="n">
        <v>65.2</v>
      </c>
      <c r="AN780" s="10" t="n"/>
      <c r="AO780" s="10" t="n"/>
      <c r="AP780" s="10" t="n"/>
      <c r="AQ780" s="10" t="n"/>
    </row>
    <row r="781">
      <c r="A781" s="7" t="inlineStr">
        <is>
          <t>b6-0086</t>
        </is>
      </c>
      <c r="B781" s="7" t="inlineStr">
        <is>
          <t>Point</t>
        </is>
      </c>
      <c r="C781" s="7" t="n"/>
      <c r="D781" s="7" t="inlineStr">
        <is>
          <t>c. 65 C.E.</t>
        </is>
      </c>
      <c r="E781" s="7" t="inlineStr">
        <is>
          <t>சுமார் கி.பி. 65</t>
        </is>
      </c>
      <c r="F781" s="7" t="inlineStr">
        <is>
          <t>65 CE</t>
        </is>
      </c>
      <c r="G781" s="7" t="inlineStr">
        <is>
          <t>Approx. (c.)</t>
        </is>
      </c>
      <c r="H781" s="7" t="n"/>
      <c r="I781" s="7" t="n"/>
      <c r="J781" s="7" t="n"/>
      <c r="K781" s="2" t="inlineStr">
        <is>
          <t>Titus leaves for Dalmatia</t>
        </is>
      </c>
      <c r="L781" s="2" t="inlineStr">
        <is>
          <t>தீத்து தல்மாத்தியாவுக்குச் செல்கிறார் (2 தீ. 4:10)</t>
        </is>
      </c>
      <c r="M781" s="7" t="inlineStr">
        <is>
          <t>During Paul’s final imprisonment, Titus went to Dalmatia, as Paul mentions in his second letter to Timothy.</t>
        </is>
      </c>
      <c r="N781" s="7" t="inlineStr">
        <is>
          <t>தீத்து தல்மாத்தியாவுக்குச் செல்கிறார் (2 தீ. 4:10).</t>
        </is>
      </c>
      <c r="O781" s="8" t="inlineStr">
        <is>
          <t>Bible</t>
        </is>
      </c>
      <c r="P781" s="7" t="inlineStr">
        <is>
          <t>bible.apostolic</t>
        </is>
      </c>
      <c r="Q781" s="7" t="inlineStr">
        <is>
          <t>journey</t>
        </is>
      </c>
      <c r="R781" s="7" t="inlineStr">
        <is>
          <t>Titus</t>
        </is>
      </c>
      <c r="S781" s="7" t="inlineStr">
        <is>
          <t>Dalmatia</t>
        </is>
      </c>
      <c r="T781" s="7" t="inlineStr">
        <is>
          <t>2 Tim. 4:10</t>
        </is>
      </c>
      <c r="U781" s="7" t="inlineStr">
        <is>
          <t>2 தீ. 4:10</t>
        </is>
      </c>
      <c r="V781" s="7" t="n">
        <v>1</v>
      </c>
      <c r="W781" s="7" t="inlineStr">
        <is>
          <t>“Go . . . and Make Disciples” (box: Important Dates in the Spread of Christianity During the First Century C.E.)</t>
        </is>
      </c>
      <c r="X781" s="9" t="inlineStr">
        <is>
          <t>open</t>
        </is>
      </c>
      <c r="Y781" s="9" t="inlineStr">
        <is>
          <t>open</t>
        </is>
      </c>
      <c r="Z781" s="7" t="inlineStr">
        <is>
          <t>https://wol.jw.org/en/wol/d/r1/lp-e/1102009041</t>
        </is>
      </c>
      <c r="AA781" s="7" t="n">
        <v>0</v>
      </c>
      <c r="AB781" s="7" t="n"/>
      <c r="AC781" s="7" t="n">
        <v>0</v>
      </c>
      <c r="AD781" s="7" t="n"/>
      <c r="AE781" s="7" t="n"/>
      <c r="AF781" s="7" t="n"/>
      <c r="AG781" s="7" t="n"/>
      <c r="AH781" s="7" t="n"/>
      <c r="AI781" s="7" t="n"/>
      <c r="AJ781" s="7" t="n"/>
      <c r="AK781" s="7" t="n"/>
      <c r="AL781" s="7" t="n"/>
      <c r="AM781" s="7" t="n">
        <v>65.25</v>
      </c>
      <c r="AN781" s="10" t="n"/>
      <c r="AO781" s="10" t="n"/>
      <c r="AP781" s="10" t="n"/>
      <c r="AQ781" s="10" t="n"/>
    </row>
    <row r="782">
      <c r="A782" s="7" t="inlineStr">
        <is>
          <t>b6-0088</t>
        </is>
      </c>
      <c r="B782" s="7" t="inlineStr">
        <is>
          <t>Point</t>
        </is>
      </c>
      <c r="C782" s="7" t="n"/>
      <c r="D782" s="7" t="inlineStr">
        <is>
          <t>c. 65 C.E.</t>
        </is>
      </c>
      <c r="E782" s="7" t="inlineStr">
        <is>
          <t>ஏ. பொ.ச. 65</t>
        </is>
      </c>
      <c r="F782" s="7" t="inlineStr">
        <is>
          <t>65 CE</t>
        </is>
      </c>
      <c r="G782" s="7" t="inlineStr">
        <is>
          <t>Approx. (c.)</t>
        </is>
      </c>
      <c r="H782" s="7" t="n"/>
      <c r="I782" s="7" t="n"/>
      <c r="J782" s="7" t="n"/>
      <c r="K782" s="2" t="inlineStr">
        <is>
          <t>Jude written</t>
        </is>
      </c>
      <c r="L782" s="2" t="inlineStr">
        <is>
          <t>இயேசுவின் சகோதரரான யூதா, “யூதா” நிருபத்தை எழுதுகிறார்</t>
        </is>
      </c>
      <c r="M782" s="7" t="inlineStr">
        <is>
          <t>Jude (Jesus’ brother) completed the letter Jude at Palestine (?), about 65 C.E.</t>
        </is>
      </c>
      <c r="N782" s="7" t="inlineStr">
        <is>
          <t>எழுத்தாளர்: யூதா; எழுதப்பட்ட இடம்: பலஸ்தீனா (?); எழுதி முடிக்கப்பட்டது: ஏ. பொ.ச. 65.</t>
        </is>
      </c>
      <c r="O782" s="8" t="inlineStr">
        <is>
          <t>Bible</t>
        </is>
      </c>
      <c r="P782" s="7" t="inlineStr">
        <is>
          <t>bible.book_writing</t>
        </is>
      </c>
      <c r="Q782" s="7" t="inlineStr">
        <is>
          <t>writing_completed</t>
        </is>
      </c>
      <c r="R782" s="7" t="inlineStr">
        <is>
          <t>Jude (Jesus’ brother)</t>
        </is>
      </c>
      <c r="S782" s="7" t="inlineStr">
        <is>
          <t>Palestine (?)</t>
        </is>
      </c>
      <c r="T782" s="7" t="inlineStr">
        <is>
          <t>Jude 1, 17, 18</t>
        </is>
      </c>
      <c r="U782" s="7" t="inlineStr">
        <is>
          <t>யூ. 1, 17, 18</t>
        </is>
      </c>
      <c r="V782" s="7" t="n">
        <v>3</v>
      </c>
      <c r="W782" s="7" t="inlineStr">
        <is>
          <t>Table of the Books of the Bible</t>
        </is>
      </c>
      <c r="X782" s="9" t="inlineStr">
        <is>
          <t>open</t>
        </is>
      </c>
      <c r="Y782" s="7" t="n"/>
      <c r="Z782" s="7" t="inlineStr">
        <is>
          <t>https://wol.jw.org/en/wol/d/r1/lp-e/1001060002
https://wol.jw.org/en/wol/d/r1/lp-e/1101990126
https://wol.jw.org/en/wol/d/r1/lp-e/1101990130</t>
        </is>
      </c>
      <c r="AA782" s="7" t="n">
        <v>0</v>
      </c>
      <c r="AB782" s="7" t="n"/>
      <c r="AC782" s="7" t="n">
        <v>0</v>
      </c>
      <c r="AD782" s="7" t="n"/>
      <c r="AE782" s="7" t="n"/>
      <c r="AF782" s="7" t="n"/>
      <c r="AG782" s="7" t="n"/>
      <c r="AH782" s="7" t="n"/>
      <c r="AI782" s="7" t="n"/>
      <c r="AJ782" s="7" t="n"/>
      <c r="AK782" s="7" t="n"/>
      <c r="AL782" s="7" t="n"/>
      <c r="AM782" s="7" t="n">
        <v>65.45</v>
      </c>
      <c r="AN782" s="10" t="n"/>
      <c r="AO782" s="10" t="n"/>
      <c r="AP782" s="10" t="n"/>
      <c r="AQ782" s="10" t="n"/>
    </row>
    <row r="783">
      <c r="A783" s="7" t="inlineStr">
        <is>
          <t>b6-0089</t>
        </is>
      </c>
      <c r="B783" s="7" t="inlineStr">
        <is>
          <t>Point</t>
        </is>
      </c>
      <c r="C783" s="7" t="n"/>
      <c r="D783" s="7" t="inlineStr">
        <is>
          <t>c. 65 C.E.</t>
        </is>
      </c>
      <c r="E783" s="7" t="inlineStr">
        <is>
          <t>சுமார் கி.பி. 65</t>
        </is>
      </c>
      <c r="F783" s="7" t="inlineStr">
        <is>
          <t>65 CE</t>
        </is>
      </c>
      <c r="G783" s="7" t="inlineStr">
        <is>
          <t>Approx. (c.)</t>
        </is>
      </c>
      <c r="H783" s="7" t="n"/>
      <c r="I783" s="7" t="n"/>
      <c r="J783" s="7" t="n"/>
      <c r="K783" s="2" t="inlineStr">
        <is>
          <t>Paul executed in Rome</t>
        </is>
      </c>
      <c r="L783" s="2" t="inlineStr">
        <is>
          <t>பவுல் கொல்லப்படுகிறார்</t>
        </is>
      </c>
      <c r="M783" s="7" t="inlineStr">
        <is>
          <t>Paul likely suffered martyrdom at the hands of Nero shortly after his final imprisonment in Rome, about 65 C.E., having finished the race faithfully.</t>
        </is>
      </c>
      <c r="N783" s="7" t="inlineStr">
        <is>
          <t>ஏறக்குறைய பொ.ச. 65-⁠ல் ரோமில் கடைசியாக சிறையிருந்தபோது, சீக்கிரத்திலேயே நீரோவின் கைகளில் பவுல் இரத்தசாட்சியாக மரித்திருக்கலாம்.</t>
        </is>
      </c>
      <c r="O783" s="8" t="inlineStr">
        <is>
          <t>Bible</t>
        </is>
      </c>
      <c r="P783" s="7" t="inlineStr">
        <is>
          <t>bible.apostolic</t>
        </is>
      </c>
      <c r="Q783" s="7" t="inlineStr">
        <is>
          <t>death</t>
        </is>
      </c>
      <c r="R783" s="7" t="inlineStr">
        <is>
          <t>Paul; Nero</t>
        </is>
      </c>
      <c r="S783" s="7" t="inlineStr">
        <is>
          <t>Rome</t>
        </is>
      </c>
      <c r="T783" s="7" t="inlineStr">
        <is>
          <t>2 Tim. 4:6, 7</t>
        </is>
      </c>
      <c r="U783" s="7" t="inlineStr">
        <is>
          <t>2 தீ. 4:6, 7</t>
        </is>
      </c>
      <c r="V783" s="7" t="n">
        <v>6</v>
      </c>
      <c r="W783" s="7" t="inlineStr">
        <is>
          <t>“Go . . . and Make Disciples” (box: Important Dates in the Spread of Christianity During the First Century C.E.)</t>
        </is>
      </c>
      <c r="X783" s="9" t="inlineStr">
        <is>
          <t>open</t>
        </is>
      </c>
      <c r="Y783" s="9" t="inlineStr">
        <is>
          <t>open</t>
        </is>
      </c>
      <c r="Z783" s="7" t="inlineStr">
        <is>
          <t>https://wol.jw.org/en/wol/d/r1/lp-e/1102009041
https://wol.jw.org/en/wol/d/r1/lp-e/1101990130
https://wol.jw.org/en/wol/d/r1/lp-e/1200003406
https://wol.jw.org/en/wol/d/r1/lp-e/1001070717
https://wol.jw.org/en/wol/d/r1/lp-e/1200000970
https://wol.jw.org/en/wol/d/r1/lp-e/1101990116</t>
        </is>
      </c>
      <c r="AA783" s="7" t="n">
        <v>0</v>
      </c>
      <c r="AB783" s="7" t="n"/>
      <c r="AC783" s="7" t="n">
        <v>0</v>
      </c>
      <c r="AD783" s="7" t="n"/>
      <c r="AE783" s="7" t="n"/>
      <c r="AF783" s="7" t="n"/>
      <c r="AG783" s="7" t="n"/>
      <c r="AH783" s="7" t="n"/>
      <c r="AI783" s="7" t="n"/>
      <c r="AJ783" s="7" t="n"/>
      <c r="AK783" s="7" t="n"/>
      <c r="AL783" s="7" t="n"/>
      <c r="AM783" s="7" t="n">
        <v>65.5</v>
      </c>
      <c r="AN783" s="10" t="n"/>
      <c r="AO783" s="10" t="n"/>
      <c r="AP783" s="10" t="n"/>
      <c r="AQ783" s="10" t="n"/>
    </row>
    <row r="784">
      <c r="A784" s="7" t="inlineStr">
        <is>
          <t>b6-0090</t>
        </is>
      </c>
      <c r="B784" s="7" t="inlineStr">
        <is>
          <t>Point</t>
        </is>
      </c>
      <c r="C784" s="7" t="n"/>
      <c r="D784" s="7" t="inlineStr">
        <is>
          <t>66 C.E.</t>
        </is>
      </c>
      <c r="E784" s="7" t="n"/>
      <c r="F784" s="7" t="inlineStr">
        <is>
          <t>66 CE</t>
        </is>
      </c>
      <c r="G784" s="7" t="inlineStr">
        <is>
          <t>Exact</t>
        </is>
      </c>
      <c r="H784" s="7" t="n"/>
      <c r="I784" s="7" t="n"/>
      <c r="J784" s="7" t="n"/>
      <c r="K784" s="2" t="inlineStr">
        <is>
          <t>Jewish revolt against Rome begins</t>
        </is>
      </c>
      <c r="L784" s="2" t="n"/>
      <c r="M784" s="7" t="inlineStr">
        <is>
          <t>In 66 C.E. the Jews rose in revolt against Roman rule; revolutionaries massacred the Roman garrisons at Masada and Jerusalem, bringing the wrath of Rome on the nation.</t>
        </is>
      </c>
      <c r="N784" s="7" t="n"/>
      <c r="O784" s="8" t="inlineStr">
        <is>
          <t>Bible</t>
        </is>
      </c>
      <c r="P784" s="7" t="inlineStr">
        <is>
          <t>bible.prophecy_fulfilled</t>
        </is>
      </c>
      <c r="Q784" s="7" t="inlineStr">
        <is>
          <t>revolt</t>
        </is>
      </c>
      <c r="R784" s="7" t="n"/>
      <c r="S784" s="7" t="inlineStr">
        <is>
          <t>Jerusalem; Judea</t>
        </is>
      </c>
      <c r="T784" s="7" t="inlineStr">
        <is>
          <t>Luke 21:20</t>
        </is>
      </c>
      <c r="U784" s="7" t="n"/>
      <c r="V784" s="7" t="n">
        <v>4</v>
      </c>
      <c r="W784" s="7" t="inlineStr">
        <is>
          <t>Jerusalem</t>
        </is>
      </c>
      <c r="X784" s="9" t="inlineStr">
        <is>
          <t>open</t>
        </is>
      </c>
      <c r="Y784" s="7" t="n"/>
      <c r="Z784" s="7" t="inlineStr">
        <is>
          <t>https://wol.jw.org/en/wol/d/r1/lp-e/1200002436
https://wol.jw.org/en/wol/d/r1/lp-e/1990760
https://wol.jw.org/en/wol/d/r1/lp-e/1966284
https://wol.jw.org/en/wol/d/r1/lp-e/1001070624</t>
        </is>
      </c>
      <c r="AA784" s="7" t="n">
        <v>1</v>
      </c>
      <c r="AB784" s="9" t="inlineStr">
        <is>
          <t>open</t>
        </is>
      </c>
      <c r="AC784" s="7" t="n">
        <v>0</v>
      </c>
      <c r="AD784" s="7" t="n"/>
      <c r="AE784" s="7" t="n"/>
      <c r="AF784" s="7" t="n"/>
      <c r="AG784" s="7" t="n"/>
      <c r="AH784" s="7" t="n"/>
      <c r="AI784" s="7" t="inlineStr">
        <is>
          <t>Span endpoint – keep</t>
        </is>
      </c>
      <c r="AJ784" s="7" t="inlineStr">
        <is>
          <t>start of Jewish revolt against Rome (b12-0050)</t>
        </is>
      </c>
      <c r="AK784" s="7" t="n"/>
      <c r="AL784" s="7" t="n"/>
      <c r="AM784" s="7" t="n">
        <v>66.40000000000001</v>
      </c>
      <c r="AN784" s="10" t="n"/>
      <c r="AO784" s="10" t="n"/>
      <c r="AP784" s="10" t="n"/>
      <c r="AQ784" s="10" t="n"/>
    </row>
    <row r="785">
      <c r="A785" s="7" t="inlineStr">
        <is>
          <t>b12-0050</t>
        </is>
      </c>
      <c r="B785" s="11" t="inlineStr">
        <is>
          <t>Span</t>
        </is>
      </c>
      <c r="C785" s="7" t="inlineStr">
        <is>
          <t>war</t>
        </is>
      </c>
      <c r="D785" s="7" t="inlineStr">
        <is>
          <t>66 C.E.–70 C.E.</t>
        </is>
      </c>
      <c r="E785" s="7" t="n"/>
      <c r="F785" s="7" t="inlineStr">
        <is>
          <t>66 CE</t>
        </is>
      </c>
      <c r="G785" s="7" t="inlineStr">
        <is>
          <t>Exact</t>
        </is>
      </c>
      <c r="H785" s="7" t="inlineStr">
        <is>
          <t>70 CE</t>
        </is>
      </c>
      <c r="I785" s="7" t="inlineStr">
        <is>
          <t>Exact</t>
        </is>
      </c>
      <c r="J785" s="7" t="n"/>
      <c r="K785" s="2" t="inlineStr">
        <is>
          <t>Jewish revolt against Rome</t>
        </is>
      </c>
      <c r="L785" s="2" t="n"/>
      <c r="M785" s="7" t="inlineStr">
        <is>
          <t>The Jewish revolt broke out in 66 C.E., two years before Nero’s death, and was suppressed when Roman armies destroyed Jerusalem in 70 C.E., in the reign of Vespasian.</t>
        </is>
      </c>
      <c r="N785" s="7" t="n"/>
      <c r="O785" s="8" t="inlineStr">
        <is>
          <t>Bible</t>
        </is>
      </c>
      <c r="P785" s="7" t="inlineStr">
        <is>
          <t>bible.apostolic</t>
        </is>
      </c>
      <c r="Q785" s="7" t="n"/>
      <c r="R785" s="7" t="n"/>
      <c r="S785" s="7" t="inlineStr">
        <is>
          <t>Judea; Jerusalem</t>
        </is>
      </c>
      <c r="T785" s="7" t="inlineStr">
        <is>
          <t>Luke 21:20-24</t>
        </is>
      </c>
      <c r="U785" s="7" t="inlineStr">
        <is>
          <t>லூக். 21:20-24</t>
        </is>
      </c>
      <c r="V785" s="7" t="n">
        <v>1</v>
      </c>
      <c r="W785" s="7" t="inlineStr">
        <is>
          <t>Caesar</t>
        </is>
      </c>
      <c r="X785" s="9" t="inlineStr">
        <is>
          <t>open</t>
        </is>
      </c>
      <c r="Y785" s="7" t="n"/>
      <c r="Z785" s="7" t="inlineStr">
        <is>
          <t>https://wol.jw.org/en/wol/d/r1/lp-e/1200000852</t>
        </is>
      </c>
      <c r="AA785" s="7" t="n">
        <v>0</v>
      </c>
      <c r="AB785" s="7" t="n"/>
      <c r="AC785" s="7" t="n">
        <v>0</v>
      </c>
      <c r="AD785" s="7" t="n"/>
      <c r="AE785" s="7" t="n"/>
      <c r="AF785" s="7" t="inlineStr">
        <is>
          <t>b6-0090</t>
        </is>
      </c>
      <c r="AG785" s="7" t="inlineStr">
        <is>
          <t>b6-0096</t>
        </is>
      </c>
      <c r="AH785" s="7" t="n"/>
      <c r="AI785" s="7" t="n"/>
      <c r="AJ785" s="7" t="n"/>
      <c r="AK785" s="7" t="n"/>
      <c r="AL785" s="7" t="inlineStr">
        <is>
          <t>The last stronghold, Masada, fell in 73 C.E. (b6-0097).</t>
        </is>
      </c>
      <c r="AM785" s="7" t="n">
        <v>66.40000000000001</v>
      </c>
      <c r="AN785" s="10" t="n"/>
      <c r="AO785" s="10" t="n"/>
      <c r="AP785" s="10" t="n"/>
      <c r="AQ785" s="10" t="n"/>
    </row>
    <row r="786">
      <c r="A786" s="7" t="inlineStr">
        <is>
          <t>b6-0091</t>
        </is>
      </c>
      <c r="B786" s="7" t="inlineStr">
        <is>
          <t>Point</t>
        </is>
      </c>
      <c r="C786" s="7" t="n"/>
      <c r="D786" s="7" t="inlineStr">
        <is>
          <t>66 C.E.</t>
        </is>
      </c>
      <c r="E786" s="7" t="n"/>
      <c r="F786" s="7" t="inlineStr">
        <is>
          <t>66 CE</t>
        </is>
      </c>
      <c r="G786" s="7" t="inlineStr">
        <is>
          <t>Exact</t>
        </is>
      </c>
      <c r="H786" s="7" t="n"/>
      <c r="I786" s="7" t="n"/>
      <c r="J786" s="7" t="n"/>
      <c r="K786" s="2" t="inlineStr">
        <is>
          <t>Sicarii (“dagger men”) seize Masada and massacre the Roman garrison</t>
        </is>
      </c>
      <c r="L786" s="2" t="n"/>
      <c r="M786" s="7" t="inlineStr">
        <is>
          <t>A band of Sicarii under Eleazar, son of Jairus, seized the fortress of Masada and massacred its Roman garrison—what Josephus called the true beginning of the war with Rome.</t>
        </is>
      </c>
      <c r="N786" s="7" t="n"/>
      <c r="O786" s="8" t="inlineStr">
        <is>
          <t>Bible</t>
        </is>
      </c>
      <c r="P786" s="7" t="inlineStr">
        <is>
          <t>bible.apostolic</t>
        </is>
      </c>
      <c r="Q786" s="7" t="inlineStr">
        <is>
          <t>battle</t>
        </is>
      </c>
      <c r="R786" s="7" t="inlineStr">
        <is>
          <t>Eleazar (son of Jairus)</t>
        </is>
      </c>
      <c r="S786" s="7" t="inlineStr">
        <is>
          <t>Masada</t>
        </is>
      </c>
      <c r="T786" s="7" t="inlineStr">
        <is>
          <t>Acts 21:38</t>
        </is>
      </c>
      <c r="U786" s="7" t="n"/>
      <c r="V786" s="7" t="n">
        <v>3</v>
      </c>
      <c r="W786" s="7" t="inlineStr">
        <is>
          <t>Dagger Men</t>
        </is>
      </c>
      <c r="X786" s="9" t="inlineStr">
        <is>
          <t>open</t>
        </is>
      </c>
      <c r="Y786" s="7" t="n"/>
      <c r="Z786" s="7" t="inlineStr">
        <is>
          <t>https://wol.jw.org/en/wol/d/r1/lp-e/1200001106
https://wol.jw.org/en/wol/d/r1/lp-e/1966284
https://wol.jw.org/en/wol/d/r1/lp-e/1990760</t>
        </is>
      </c>
      <c r="AA786" s="7" t="n">
        <v>0</v>
      </c>
      <c r="AB786" s="7" t="n"/>
      <c r="AC786" s="7" t="n">
        <v>0</v>
      </c>
      <c r="AD786" s="7" t="n"/>
      <c r="AE786" s="7" t="n"/>
      <c r="AF786" s="7" t="n"/>
      <c r="AG786" s="7" t="n"/>
      <c r="AH786" s="7" t="n"/>
      <c r="AI786" s="7" t="n"/>
      <c r="AJ786" s="7" t="n"/>
      <c r="AK786" s="7" t="n"/>
      <c r="AL786" s="7" t="n"/>
      <c r="AM786" s="7" t="n">
        <v>66.45</v>
      </c>
      <c r="AN786" s="10" t="n"/>
      <c r="AO786" s="10" t="n"/>
      <c r="AP786" s="10" t="n"/>
      <c r="AQ786" s="10" t="n"/>
    </row>
    <row r="787">
      <c r="A787" s="7" t="inlineStr">
        <is>
          <t>b6-0092</t>
        </is>
      </c>
      <c r="B787" s="7" t="inlineStr">
        <is>
          <t>Point</t>
        </is>
      </c>
      <c r="C787" s="7" t="n"/>
      <c r="D787" s="7" t="inlineStr">
        <is>
          <t>66 C.E. (before year’s end)</t>
        </is>
      </c>
      <c r="E787" s="7" t="n"/>
      <c r="F787" s="7" t="inlineStr">
        <is>
          <t>66 CE</t>
        </is>
      </c>
      <c r="G787" s="7" t="inlineStr">
        <is>
          <t>Exact</t>
        </is>
      </c>
      <c r="H787" s="7" t="n"/>
      <c r="I787" s="7" t="n"/>
      <c r="J787" s="7" t="n"/>
      <c r="K787" s="2" t="inlineStr">
        <is>
          <t>Cestius Gallus surrounds Jerusalem, then suddenly withdraws</t>
        </is>
      </c>
      <c r="L787" s="2" t="n"/>
      <c r="M787" s="7" t="inlineStr">
        <is>
          <t>Before 66 C.E. ended, Roman forces under Cestius Gallus surrounded Jerusalem and pushed up to the temple walls—the “disgusting thing” standing in a holy place—then withdrew for no apparent reason, giving Christians the signal to flee.</t>
        </is>
      </c>
      <c r="N787" s="7" t="n"/>
      <c r="O787" s="8" t="inlineStr">
        <is>
          <t>Bible</t>
        </is>
      </c>
      <c r="P787" s="7" t="inlineStr">
        <is>
          <t>bible.prophecy_fulfilled</t>
        </is>
      </c>
      <c r="Q787" s="7" t="inlineStr">
        <is>
          <t>siege</t>
        </is>
      </c>
      <c r="R787" s="7" t="inlineStr">
        <is>
          <t>Cestius Gallus</t>
        </is>
      </c>
      <c r="S787" s="7" t="inlineStr">
        <is>
          <t>Jerusalem</t>
        </is>
      </c>
      <c r="T787" s="7" t="inlineStr">
        <is>
          <t>Matt. 24:15, 16; Luke 21:20-22</t>
        </is>
      </c>
      <c r="U787" s="7" t="n"/>
      <c r="V787" s="7" t="n">
        <v>4</v>
      </c>
      <c r="W787" s="7" t="inlineStr">
        <is>
          <t>Jerusalem</t>
        </is>
      </c>
      <c r="X787" s="9" t="inlineStr">
        <is>
          <t>open</t>
        </is>
      </c>
      <c r="Y787" s="7" t="n"/>
      <c r="Z787" s="7" t="inlineStr">
        <is>
          <t>https://wol.jw.org/en/wol/d/r1/lp-e/1200002436
https://wol.jw.org/en/wol/d/r1/lp-e/1001070624
https://wol.jw.org/en/wol/d/r1/lp-e/1200001193
https://wol.jw.org/en/wol/d/r1/lp-e/1990760</t>
        </is>
      </c>
      <c r="AA787" s="7" t="n">
        <v>1</v>
      </c>
      <c r="AB787" s="9" t="inlineStr">
        <is>
          <t>open</t>
        </is>
      </c>
      <c r="AC787" s="7" t="n">
        <v>0</v>
      </c>
      <c r="AD787" s="7" t="n"/>
      <c r="AE787" s="7" t="n"/>
      <c r="AF787" s="7" t="n"/>
      <c r="AG787" s="7" t="n"/>
      <c r="AH787" s="7" t="n"/>
      <c r="AI787" s="7" t="n"/>
      <c r="AJ787" s="7" t="n"/>
      <c r="AK787" s="7" t="inlineStr">
        <is>
          <t>fulfilled-prophecies-nations #64 (fulfillment)</t>
        </is>
      </c>
      <c r="AL787" s="7" t="n"/>
      <c r="AM787" s="7" t="n">
        <v>66.8</v>
      </c>
      <c r="AN787" s="10" t="n"/>
      <c r="AO787" s="10" t="n"/>
      <c r="AP787" s="10" t="n"/>
      <c r="AQ787" s="10" t="n"/>
    </row>
    <row r="788">
      <c r="A788" s="7" t="inlineStr">
        <is>
          <t>b6-0093</t>
        </is>
      </c>
      <c r="B788" s="7" t="inlineStr">
        <is>
          <t>Point</t>
        </is>
      </c>
      <c r="C788" s="7" t="n"/>
      <c r="D788" s="7" t="inlineStr">
        <is>
          <t>a. 66 C.E. (after Cestius Gallus’ withdrawal)</t>
        </is>
      </c>
      <c r="E788" s="7" t="n"/>
      <c r="F788" s="7" t="inlineStr">
        <is>
          <t>66 CE</t>
        </is>
      </c>
      <c r="G788" s="7" t="inlineStr">
        <is>
          <t>After (a.)</t>
        </is>
      </c>
      <c r="H788" s="7" t="n"/>
      <c r="I788" s="7" t="n"/>
      <c r="J788" s="7" t="n"/>
      <c r="K788" s="2" t="inlineStr">
        <is>
          <t>Christians flee from Jerusalem and Judea to Pella</t>
        </is>
      </c>
      <c r="L788" s="2" t="n"/>
      <c r="M788" s="7" t="inlineStr">
        <is>
          <t>Heeding Jesus’ warning, Christians used the Roman withdrawal to flee; according to Eusebius they went from Jerusalem and Judea across the Jordan to Pella, a city in the mountainous Decapolis/Perea region.</t>
        </is>
      </c>
      <c r="N788" s="7" t="inlineStr">
        <is>
          <t>யூசிபியஸ் சொல்கிறபடி, யூதேயாவிலும் எருசலேமிலும் இருந்த கிறிஸ்தவர்கள் யோர்தான் ஆற்றைக் கடந்து பெல்லா நகரத்துக்குத் தப்பியோடினார்கள்; அந்த நகரம் தெக்கப்போலியில் இருந்த ஒரு மலைப்பிரதேசத்தில் அமைந்திருந்தது.</t>
        </is>
      </c>
      <c r="O788" s="8" t="inlineStr">
        <is>
          <t>Bible</t>
        </is>
      </c>
      <c r="P788" s="7" t="inlineStr">
        <is>
          <t>bible.prophecy_fulfilled</t>
        </is>
      </c>
      <c r="Q788" s="7" t="inlineStr">
        <is>
          <t>flight</t>
        </is>
      </c>
      <c r="R788" s="7" t="n"/>
      <c r="S788" s="7" t="inlineStr">
        <is>
          <t>Jerusalem; Judea; Pella</t>
        </is>
      </c>
      <c r="T788" s="7" t="inlineStr">
        <is>
          <t>Luke 21:20-22; Matt. 24:16</t>
        </is>
      </c>
      <c r="U788" s="7" t="n"/>
      <c r="V788" s="7" t="n">
        <v>3</v>
      </c>
      <c r="W788" s="7" t="inlineStr">
        <is>
          <t>Jerusalem</t>
        </is>
      </c>
      <c r="X788" s="9" t="inlineStr">
        <is>
          <t>open</t>
        </is>
      </c>
      <c r="Y788" s="7" t="n"/>
      <c r="Z788" s="7" t="inlineStr">
        <is>
          <t>https://wol.jw.org/en/wol/d/r1/lp-e/1200002436
https://wol.jw.org/en/wol/d/r1/lp-e/1001070624
https://wol.jw.org/en/wol/d/r1/lp-e/1986606</t>
        </is>
      </c>
      <c r="AA788" s="7" t="n">
        <v>0</v>
      </c>
      <c r="AB788" s="7" t="n"/>
      <c r="AC788" s="7" t="n">
        <v>0</v>
      </c>
      <c r="AD788" s="7" t="n"/>
      <c r="AE788" s="7" t="n"/>
      <c r="AF788" s="7" t="n"/>
      <c r="AG788" s="7" t="n"/>
      <c r="AH788" s="7" t="n"/>
      <c r="AI788" s="7" t="n"/>
      <c r="AJ788" s="7" t="n"/>
      <c r="AK788" s="7" t="inlineStr">
        <is>
          <t>fulfilled-prophecies-nations #65 (fulfillment)</t>
        </is>
      </c>
      <c r="AL788" s="7" t="inlineStr">
        <is>
          <t>Tamil description is the Tamil Study Edition note on Matt. 24:16 (no year stated in that note); title_ta left null because no Tamil heading exists for this event.</t>
        </is>
      </c>
      <c r="AM788" s="7" t="n">
        <v>66.81</v>
      </c>
      <c r="AN788" s="10" t="n"/>
      <c r="AO788" s="10" t="n"/>
      <c r="AP788" s="10" t="n"/>
      <c r="AQ788" s="10" t="n"/>
    </row>
    <row r="789">
      <c r="A789" s="7" t="inlineStr">
        <is>
          <t>b12-0051</t>
        </is>
      </c>
      <c r="B789" s="11" t="inlineStr">
        <is>
          <t>Span</t>
        </is>
      </c>
      <c r="C789" s="7" t="inlineStr">
        <is>
          <t>reign</t>
        </is>
      </c>
      <c r="D789" s="7" t="inlineStr">
        <is>
          <t>68-69 C.E.</t>
        </is>
      </c>
      <c r="E789" s="7" t="n"/>
      <c r="F789" s="7" t="inlineStr">
        <is>
          <t>68 CE</t>
        </is>
      </c>
      <c r="G789" s="7" t="inlineStr">
        <is>
          <t>Exact</t>
        </is>
      </c>
      <c r="H789" s="7" t="inlineStr">
        <is>
          <t>69 CE</t>
        </is>
      </c>
      <c r="I789" s="7" t="inlineStr">
        <is>
          <t>Exact</t>
        </is>
      </c>
      <c r="J789" s="7" t="n"/>
      <c r="K789" s="2" t="inlineStr">
        <is>
          <t>Reign of Galba, Roman emperor</t>
        </is>
      </c>
      <c r="L789" s="2" t="n"/>
      <c r="M789" s="7" t="inlineStr">
        <is>
          <t>Galba briefly ruled after Nero’s death.</t>
        </is>
      </c>
      <c r="N789" s="7" t="n"/>
      <c r="O789" s="8" t="inlineStr">
        <is>
          <t>Bible</t>
        </is>
      </c>
      <c r="P789" s="7" t="inlineStr">
        <is>
          <t>bible.apostolic</t>
        </is>
      </c>
      <c r="Q789" s="7" t="n"/>
      <c r="R789" s="7" t="inlineStr">
        <is>
          <t>Galba</t>
        </is>
      </c>
      <c r="S789" s="7" t="inlineStr">
        <is>
          <t>Rome</t>
        </is>
      </c>
      <c r="T789" s="7" t="n"/>
      <c r="U789" s="7" t="n"/>
      <c r="V789" s="7" t="n">
        <v>1</v>
      </c>
      <c r="W789" s="7" t="inlineStr">
        <is>
          <t>Caesar</t>
        </is>
      </c>
      <c r="X789" s="9" t="inlineStr">
        <is>
          <t>open</t>
        </is>
      </c>
      <c r="Y789" s="7" t="n"/>
      <c r="Z789" s="7" t="inlineStr">
        <is>
          <t>https://wol.jw.org/en/wol/d/r1/lp-e/1200000852</t>
        </is>
      </c>
      <c r="AA789" s="7" t="n">
        <v>0</v>
      </c>
      <c r="AB789" s="7" t="n"/>
      <c r="AC789" s="7" t="n">
        <v>0</v>
      </c>
      <c r="AD789" s="7" t="n"/>
      <c r="AE789" s="7" t="n"/>
      <c r="AF789" s="7" t="n"/>
      <c r="AG789" s="7" t="n"/>
      <c r="AH789" s="7" t="n"/>
      <c r="AI789" s="7" t="n"/>
      <c r="AJ789" s="7" t="n"/>
      <c r="AK789" s="7" t="inlineStr">
        <is>
          <t>roman-emperors #6 (ruler)</t>
        </is>
      </c>
      <c r="AL789" s="7" t="n"/>
      <c r="AM789" s="7" t="n">
        <v>68</v>
      </c>
      <c r="AN789" s="10" t="n"/>
      <c r="AO789" s="10" t="n"/>
      <c r="AP789" s="10" t="n"/>
      <c r="AQ789" s="10" t="n"/>
    </row>
    <row r="790">
      <c r="A790" s="7" t="inlineStr">
        <is>
          <t>b6-0094</t>
        </is>
      </c>
      <c r="B790" s="7" t="inlineStr">
        <is>
          <t>Point</t>
        </is>
      </c>
      <c r="C790" s="7" t="n"/>
      <c r="D790" s="7" t="inlineStr">
        <is>
          <t>68 C.E.</t>
        </is>
      </c>
      <c r="E790" s="7" t="n"/>
      <c r="F790" s="7" t="inlineStr">
        <is>
          <t>68 CE</t>
        </is>
      </c>
      <c r="G790" s="7" t="inlineStr">
        <is>
          <t>Exact</t>
        </is>
      </c>
      <c r="H790" s="7" t="n"/>
      <c r="I790" s="7" t="n"/>
      <c r="J790" s="7" t="n"/>
      <c r="K790" s="2" t="inlineStr">
        <is>
          <t>Nero commits suicide</t>
        </is>
      </c>
      <c r="L790" s="2" t="n"/>
      <c r="M790" s="7" t="inlineStr">
        <is>
          <t>Condemned by the Senate during a revolt, Emperor Nero, who had ruled from 54 C.E., committed suicide in 68 C.E. at about the age of 31.</t>
        </is>
      </c>
      <c r="N790" s="7" t="n"/>
      <c r="O790" s="8" t="inlineStr">
        <is>
          <t>Bible</t>
        </is>
      </c>
      <c r="P790" s="7" t="inlineStr">
        <is>
          <t>bible.apostolic</t>
        </is>
      </c>
      <c r="Q790" s="7" t="inlineStr">
        <is>
          <t>death</t>
        </is>
      </c>
      <c r="R790" s="7" t="inlineStr">
        <is>
          <t>Nero</t>
        </is>
      </c>
      <c r="S790" s="7" t="inlineStr">
        <is>
          <t>Rome</t>
        </is>
      </c>
      <c r="T790" s="7" t="n"/>
      <c r="U790" s="7" t="n"/>
      <c r="V790" s="7" t="n">
        <v>2</v>
      </c>
      <c r="W790" s="7" t="inlineStr">
        <is>
          <t>Caesar</t>
        </is>
      </c>
      <c r="X790" s="9" t="inlineStr">
        <is>
          <t>open</t>
        </is>
      </c>
      <c r="Y790" s="7" t="n"/>
      <c r="Z790" s="7" t="inlineStr">
        <is>
          <t>https://wol.jw.org/en/wol/d/r1/lp-e/1200000852
https://wol.jw.org/en/wol/d/r1/lp-e/1001070714</t>
        </is>
      </c>
      <c r="AA790" s="7" t="n">
        <v>0</v>
      </c>
      <c r="AB790" s="7" t="n"/>
      <c r="AC790" s="7" t="n">
        <v>0</v>
      </c>
      <c r="AD790" s="7" t="n"/>
      <c r="AE790" s="7" t="n"/>
      <c r="AF790" s="7" t="n"/>
      <c r="AG790" s="7" t="n"/>
      <c r="AH790" s="7" t="n"/>
      <c r="AI790" s="7" t="inlineStr">
        <is>
          <t>Covered by span – hide on chart</t>
        </is>
      </c>
      <c r="AJ790" s="7" t="inlineStr">
        <is>
          <t>end of Reign of Nero, Roman emperor (b12-0049)</t>
        </is>
      </c>
      <c r="AK790" s="7" t="n"/>
      <c r="AL790" s="7" t="n"/>
      <c r="AM790" s="7" t="n">
        <v>68.40000000000001</v>
      </c>
      <c r="AN790" s="10" t="n"/>
      <c r="AO790" s="10" t="n"/>
      <c r="AP790" s="10" t="n"/>
      <c r="AQ790" s="10" t="n"/>
    </row>
    <row r="791">
      <c r="A791" s="7" t="inlineStr">
        <is>
          <t>b12-0052</t>
        </is>
      </c>
      <c r="B791" s="11" t="inlineStr">
        <is>
          <t>Span</t>
        </is>
      </c>
      <c r="C791" s="7" t="inlineStr">
        <is>
          <t>reign</t>
        </is>
      </c>
      <c r="D791" s="7" t="inlineStr">
        <is>
          <t>69-79 C.E.</t>
        </is>
      </c>
      <c r="E791" s="7" t="n"/>
      <c r="F791" s="7" t="inlineStr">
        <is>
          <t>69 CE</t>
        </is>
      </c>
      <c r="G791" s="7" t="inlineStr">
        <is>
          <t>Exact</t>
        </is>
      </c>
      <c r="H791" s="7" t="inlineStr">
        <is>
          <t>79 CE</t>
        </is>
      </c>
      <c r="I791" s="7" t="inlineStr">
        <is>
          <t>Exact</t>
        </is>
      </c>
      <c r="J791" s="7" t="n"/>
      <c r="K791" s="2" t="inlineStr">
        <is>
          <t>Reign of Vespasian, Roman emperor</t>
        </is>
      </c>
      <c r="L791" s="2" t="n"/>
      <c r="M791" s="7" t="inlineStr">
        <is>
          <t>During Vespasian’s reign the Jewish revolt was crushed and Jerusalem was destroyed in 70 C.E.</t>
        </is>
      </c>
      <c r="N791" s="7" t="n"/>
      <c r="O791" s="8" t="inlineStr">
        <is>
          <t>Bible</t>
        </is>
      </c>
      <c r="P791" s="7" t="inlineStr">
        <is>
          <t>bible.apostolic</t>
        </is>
      </c>
      <c r="Q791" s="7" t="n"/>
      <c r="R791" s="7" t="inlineStr">
        <is>
          <t>Vespasian</t>
        </is>
      </c>
      <c r="S791" s="7" t="inlineStr">
        <is>
          <t>Rome</t>
        </is>
      </c>
      <c r="T791" s="7" t="n"/>
      <c r="U791" s="7" t="n"/>
      <c r="V791" s="7" t="n">
        <v>1</v>
      </c>
      <c r="W791" s="7" t="inlineStr">
        <is>
          <t>Caesar</t>
        </is>
      </c>
      <c r="X791" s="9" t="inlineStr">
        <is>
          <t>open</t>
        </is>
      </c>
      <c r="Y791" s="7" t="n"/>
      <c r="Z791" s="7" t="inlineStr">
        <is>
          <t>https://wol.jw.org/en/wol/d/r1/lp-e/1200000852</t>
        </is>
      </c>
      <c r="AA791" s="7" t="n">
        <v>0</v>
      </c>
      <c r="AB791" s="7" t="n"/>
      <c r="AC791" s="7" t="n">
        <v>0</v>
      </c>
      <c r="AD791" s="7" t="n"/>
      <c r="AE791" s="7" t="n"/>
      <c r="AF791" s="7" t="n"/>
      <c r="AG791" s="7" t="n"/>
      <c r="AH791" s="7" t="n"/>
      <c r="AI791" s="7" t="n"/>
      <c r="AJ791" s="7" t="n"/>
      <c r="AK791" s="7" t="inlineStr">
        <is>
          <t>roman-emperors #7 (ruler)</t>
        </is>
      </c>
      <c r="AL791" s="7" t="n"/>
      <c r="AM791" s="7" t="n">
        <v>69</v>
      </c>
      <c r="AN791" s="10" t="n"/>
      <c r="AO791" s="10" t="n"/>
      <c r="AP791" s="10" t="n"/>
      <c r="AQ791" s="10" t="n"/>
    </row>
    <row r="792">
      <c r="A792" s="7" t="inlineStr">
        <is>
          <t>b6-0095</t>
        </is>
      </c>
      <c r="B792" s="7" t="inlineStr">
        <is>
          <t>Point</t>
        </is>
      </c>
      <c r="C792" s="7" t="n"/>
      <c r="D792" s="7" t="inlineStr">
        <is>
          <t>70 C.E., April 3</t>
        </is>
      </c>
      <c r="E792" s="7" t="n"/>
      <c r="F792" s="7" t="inlineStr">
        <is>
          <t>70 CE</t>
        </is>
      </c>
      <c r="G792" s="7" t="inlineStr">
        <is>
          <t>Exact</t>
        </is>
      </c>
      <c r="H792" s="7" t="n"/>
      <c r="I792" s="7" t="n"/>
      <c r="J792" s="7" t="n"/>
      <c r="K792" s="2" t="inlineStr">
        <is>
          <t>Roman armies under Titus lay siege to Jerusalem</t>
        </is>
      </c>
      <c r="L792" s="2" t="n"/>
      <c r="M792" s="7" t="inlineStr">
        <is>
          <t>Roman forces under General Titus returned in greater numbers and besieged Jerusalem, then crowded with Passover celebrants, throwing up siege banks and a wall around the city.</t>
        </is>
      </c>
      <c r="N792" s="7" t="n"/>
      <c r="O792" s="8" t="inlineStr">
        <is>
          <t>Bible</t>
        </is>
      </c>
      <c r="P792" s="7" t="inlineStr">
        <is>
          <t>bible.prophecy_fulfilled</t>
        </is>
      </c>
      <c r="Q792" s="7" t="inlineStr">
        <is>
          <t>siege</t>
        </is>
      </c>
      <c r="R792" s="7" t="inlineStr">
        <is>
          <t>Titus (Roman general)</t>
        </is>
      </c>
      <c r="S792" s="7" t="inlineStr">
        <is>
          <t>Jerusalem</t>
        </is>
      </c>
      <c r="T792" s="7" t="inlineStr">
        <is>
          <t>Luke 19:43, 44</t>
        </is>
      </c>
      <c r="U792" s="7" t="n"/>
      <c r="V792" s="7" t="n">
        <v>2</v>
      </c>
      <c r="W792" s="7" t="inlineStr">
        <is>
          <t>Jerusalem</t>
        </is>
      </c>
      <c r="X792" s="9" t="inlineStr">
        <is>
          <t>open</t>
        </is>
      </c>
      <c r="Y792" s="7" t="n"/>
      <c r="Z792" s="7" t="inlineStr">
        <is>
          <t>https://wol.jw.org/en/wol/d/r1/lp-e/1200002436
https://wol.jw.org/en/wol/d/r1/lp-e/1966284</t>
        </is>
      </c>
      <c r="AA792" s="7" t="n">
        <v>0</v>
      </c>
      <c r="AB792" s="7" t="n"/>
      <c r="AC792" s="7" t="n">
        <v>0</v>
      </c>
      <c r="AD792" s="7" t="n"/>
      <c r="AE792" s="7" t="n"/>
      <c r="AF792" s="7" t="n"/>
      <c r="AG792" s="7" t="n"/>
      <c r="AH792" s="7" t="n"/>
      <c r="AI792" s="7" t="inlineStr">
        <is>
          <t>Span endpoint – keep</t>
        </is>
      </c>
      <c r="AJ792" s="7" t="inlineStr">
        <is>
          <t>start of Roman siege and conquest of Jerusalem (b12-0053)</t>
        </is>
      </c>
      <c r="AK792" s="7" t="n"/>
      <c r="AL792" s="7" t="n"/>
      <c r="AM792" s="7" t="n">
        <v>70.25</v>
      </c>
      <c r="AN792" s="10" t="n"/>
      <c r="AO792" s="10" t="n"/>
      <c r="AP792" s="10" t="n"/>
      <c r="AQ792" s="10" t="n"/>
    </row>
    <row r="793">
      <c r="A793" s="7" t="inlineStr">
        <is>
          <t>b12-0053</t>
        </is>
      </c>
      <c r="B793" s="11" t="inlineStr">
        <is>
          <t>Span</t>
        </is>
      </c>
      <c r="C793" s="7" t="inlineStr">
        <is>
          <t>war</t>
        </is>
      </c>
      <c r="D793" s="7" t="inlineStr">
        <is>
          <t>April 3 to August 30, 70 C.E.</t>
        </is>
      </c>
      <c r="E793" s="7" t="n"/>
      <c r="F793" s="7" t="inlineStr">
        <is>
          <t>70 CE</t>
        </is>
      </c>
      <c r="G793" s="7" t="inlineStr">
        <is>
          <t>Exact</t>
        </is>
      </c>
      <c r="H793" s="7" t="inlineStr">
        <is>
          <t>70 CE</t>
        </is>
      </c>
      <c r="I793" s="7" t="inlineStr">
        <is>
          <t>Exact</t>
        </is>
      </c>
      <c r="J793" s="7" t="inlineStr">
        <is>
          <t>4 months and 25 days</t>
        </is>
      </c>
      <c r="K793" s="2" t="inlineStr">
        <is>
          <t>Roman siege and conquest of Jerusalem</t>
        </is>
      </c>
      <c r="L793" s="2" t="n"/>
      <c r="M793" s="7" t="inlineStr">
        <is>
          <t>Roman forces under General Titus besieged Jerusalem, crowded with Passover celebrants, and conquered it in 4 months and 25 days, destroying the city and its temple.</t>
        </is>
      </c>
      <c r="N793" s="7" t="n"/>
      <c r="O793" s="8" t="inlineStr">
        <is>
          <t>Bible</t>
        </is>
      </c>
      <c r="P793" s="7" t="inlineStr">
        <is>
          <t>bible.apostolic</t>
        </is>
      </c>
      <c r="Q793" s="7" t="n"/>
      <c r="R793" s="7" t="inlineStr">
        <is>
          <t>Titus</t>
        </is>
      </c>
      <c r="S793" s="7" t="inlineStr">
        <is>
          <t>Jerusalem</t>
        </is>
      </c>
      <c r="T793" s="7" t="inlineStr">
        <is>
          <t>Luke 19:43, 44; Matt. 24:2</t>
        </is>
      </c>
      <c r="U793" s="7" t="inlineStr">
        <is>
          <t>லூக். 19:43, 44; மத். 24:2</t>
        </is>
      </c>
      <c r="V793" s="7" t="n">
        <v>2</v>
      </c>
      <c r="W793" s="7" t="inlineStr">
        <is>
          <t>Jerusalem</t>
        </is>
      </c>
      <c r="X793" s="9" t="inlineStr">
        <is>
          <t>open</t>
        </is>
      </c>
      <c r="Y793" s="7" t="n"/>
      <c r="Z793" s="7" t="inlineStr">
        <is>
          <t>https://wol.jw.org/en/wol/d/r1/lp-e/1200002436
https://wol.jw.org/en/wol/d/r1/lp-e/1200002436</t>
        </is>
      </c>
      <c r="AA793" s="7" t="n">
        <v>0</v>
      </c>
      <c r="AB793" s="7" t="n"/>
      <c r="AC793" s="7" t="n">
        <v>0</v>
      </c>
      <c r="AD793" s="7" t="n"/>
      <c r="AE793" s="7" t="n"/>
      <c r="AF793" s="7" t="inlineStr">
        <is>
          <t>b6-0095</t>
        </is>
      </c>
      <c r="AG793" s="7" t="inlineStr">
        <is>
          <t>b6-0096</t>
        </is>
      </c>
      <c r="AH793" s="7" t="inlineStr">
        <is>
          <t>b12-0050</t>
        </is>
      </c>
      <c r="AI793" s="7" t="n"/>
      <c r="AJ793" s="7" t="n"/>
      <c r="AK793" s="7" t="inlineStr">
        <is>
          <t>fulfilled-prophecies-nations #66 (fulfillment)</t>
        </is>
      </c>
      <c r="AL793" s="7" t="n"/>
      <c r="AM793" s="7" t="n">
        <v>70.25</v>
      </c>
      <c r="AN793" s="10" t="n"/>
      <c r="AO793" s="10" t="n"/>
      <c r="AP793" s="10" t="n"/>
      <c r="AQ793" s="10" t="n"/>
    </row>
    <row r="794">
      <c r="A794" s="7" t="inlineStr">
        <is>
          <t>b6-0096</t>
        </is>
      </c>
      <c r="B794" s="7" t="inlineStr">
        <is>
          <t>Point</t>
        </is>
      </c>
      <c r="C794" s="7" t="n"/>
      <c r="D794" s="7" t="inlineStr">
        <is>
          <t>70 C.E. (conquest completed August 30)</t>
        </is>
      </c>
      <c r="E794" s="7" t="inlineStr">
        <is>
          <t>பொ.ச. 70</t>
        </is>
      </c>
      <c r="F794" s="7" t="inlineStr">
        <is>
          <t>70 CE</t>
        </is>
      </c>
      <c r="G794" s="7" t="inlineStr">
        <is>
          <t>Exact</t>
        </is>
      </c>
      <c r="H794" s="7" t="n"/>
      <c r="I794" s="7" t="n"/>
      <c r="J794" s="7" t="n"/>
      <c r="K794" s="2" t="inlineStr">
        <is>
          <t>Jerusalem and its temple destroyed by the Romans</t>
        </is>
      </c>
      <c r="L794" s="2" t="inlineStr">
        <is>
          <t>எருசலேமும் அதன் ஆலயமும் ரோமரால் அழிக்கப்பட்டன</t>
        </is>
      </c>
      <c r="M794" s="7" t="inlineStr">
        <is>
          <t>In just 4 months and 25 days, from April 3 to August 30, 70 C.E., the Romans conquered Jerusalem, destroying the city and its temple as Jesus had foretold; genealogical records were lost.</t>
        </is>
      </c>
      <c r="N794" s="7" t="inlineStr">
        <is>
          <t>எருசலேமும் அதன் ஆலயமும் ரோமரால் அழிக்கப்பட்டன. இயேசுவின் தீர்க்கதரிசனம் கி.பி. 70-ல் குறிப்பிடத்தக்க விதத்தில் நிறைவேறியது. அப்போது ரோமர்கள் எருசலேமை அழித்தார்கள்.</t>
        </is>
      </c>
      <c r="O794" s="8" t="inlineStr">
        <is>
          <t>Bible</t>
        </is>
      </c>
      <c r="P794" s="7" t="inlineStr">
        <is>
          <t>bible.prophecy_fulfilled</t>
        </is>
      </c>
      <c r="Q794" s="7" t="inlineStr">
        <is>
          <t>destruction</t>
        </is>
      </c>
      <c r="R794" s="7" t="inlineStr">
        <is>
          <t>Titus (Roman general)</t>
        </is>
      </c>
      <c r="S794" s="7" t="inlineStr">
        <is>
          <t>Jerusalem</t>
        </is>
      </c>
      <c r="T794" s="7" t="inlineStr">
        <is>
          <t>Dan. 9:27; Matt. 23:37, 38; Luke 19:42-44; Matt. 24:2</t>
        </is>
      </c>
      <c r="U794" s="7" t="inlineStr">
        <is>
          <t>தானி. 9:27; மத். 23:37, 38; லூக். 19:42-44</t>
        </is>
      </c>
      <c r="V794" s="7" t="n">
        <v>6</v>
      </c>
      <c r="W794" s="7" t="inlineStr">
        <is>
          <t>Study Number 3—Measuring Events in the Stream of Time</t>
        </is>
      </c>
      <c r="X794" s="9" t="inlineStr">
        <is>
          <t>open</t>
        </is>
      </c>
      <c r="Y794" s="9" t="inlineStr">
        <is>
          <t>open</t>
        </is>
      </c>
      <c r="Z794" s="7" t="inlineStr">
        <is>
          <t>https://wol.jw.org/en/wol/d/r1/lp-e/1101990130
https://wol.jw.org/en/wol/d/r1/lp-e/1200002436
https://wol.jw.org/en/wol/d/r1/lp-e/1001070624
https://wol.jw.org/en/wol/d/r1/lp-e/1200001193
https://wol.jw.org/en/wol/d/r1/lp-e/1001070691
https://wol.jw.org/en/wol/d/r1/lp-e/1966284</t>
        </is>
      </c>
      <c r="AA794" s="7" t="n">
        <v>1</v>
      </c>
      <c r="AB794" s="9" t="inlineStr">
        <is>
          <t>open</t>
        </is>
      </c>
      <c r="AC794" s="7" t="n">
        <v>0</v>
      </c>
      <c r="AD794" s="7" t="n"/>
      <c r="AE794" s="7" t="n"/>
      <c r="AF794" s="7" t="n"/>
      <c r="AG794" s="7" t="n"/>
      <c r="AH794" s="7" t="n"/>
      <c r="AI794" s="7" t="inlineStr">
        <is>
          <t>Span endpoint – keep</t>
        </is>
      </c>
      <c r="AJ794" s="7" t="inlineStr">
        <is>
          <t>end of Jewish revolt against Rome (b12-0050); end of Roman siege and conquest of Jerusalem (b12-0053)</t>
        </is>
      </c>
      <c r="AK794" s="7" t="inlineStr">
        <is>
          <t>daniel-time-prophecies #15 (fulfillment); fulfilled-prophecies-nations #35 (fulfillment); fulfilled-prophecies-nations #67 (fulfillment); world-powers-daniel #18 (step)</t>
        </is>
      </c>
      <c r="AL794" s="7" t="n"/>
      <c r="AM794" s="7" t="n">
        <v>70.66</v>
      </c>
      <c r="AN794" s="10" t="n"/>
      <c r="AO794" s="10" t="n"/>
      <c r="AP794" s="10" t="n"/>
      <c r="AQ794" s="10" t="n"/>
    </row>
    <row r="795">
      <c r="A795" s="7" t="inlineStr">
        <is>
          <t>b6-0097</t>
        </is>
      </c>
      <c r="B795" s="7" t="inlineStr">
        <is>
          <t>Point</t>
        </is>
      </c>
      <c r="C795" s="7" t="n"/>
      <c r="D795" s="7" t="inlineStr">
        <is>
          <t>73 C.E.</t>
        </is>
      </c>
      <c r="E795" s="7" t="n"/>
      <c r="F795" s="7" t="inlineStr">
        <is>
          <t>73 CE</t>
        </is>
      </c>
      <c r="G795" s="7" t="inlineStr">
        <is>
          <t>Exact</t>
        </is>
      </c>
      <c r="H795" s="7" t="n"/>
      <c r="I795" s="7" t="n"/>
      <c r="J795" s="7" t="n"/>
      <c r="K795" s="2" t="inlineStr">
        <is>
          <t>Masada, the last Jewish stronghold, falls to the Romans</t>
        </is>
      </c>
      <c r="L795" s="2" t="n"/>
      <c r="M795" s="7" t="inlineStr">
        <is>
          <t>The Sicarii at Masada defied Rome until 73 C.E., when its defenses were breached; to avoid capture the defenders carried out a mass suicide, ending the Jewish war.</t>
        </is>
      </c>
      <c r="N795" s="7" t="n"/>
      <c r="O795" s="8" t="inlineStr">
        <is>
          <t>Bible</t>
        </is>
      </c>
      <c r="P795" s="7" t="inlineStr">
        <is>
          <t>bible.prophecy_fulfilled</t>
        </is>
      </c>
      <c r="Q795" s="7" t="inlineStr">
        <is>
          <t>battle</t>
        </is>
      </c>
      <c r="R795" s="7" t="n"/>
      <c r="S795" s="7" t="inlineStr">
        <is>
          <t>Masada</t>
        </is>
      </c>
      <c r="T795" s="7" t="inlineStr">
        <is>
          <t>Dan. 9:25-27</t>
        </is>
      </c>
      <c r="U795" s="7" t="n"/>
      <c r="V795" s="7" t="n">
        <v>5</v>
      </c>
      <c r="W795" s="7" t="inlineStr">
        <is>
          <t>Matthew Study Notes—Chapter 24</t>
        </is>
      </c>
      <c r="X795" s="9" t="inlineStr">
        <is>
          <t>open</t>
        </is>
      </c>
      <c r="Y795" s="9" t="inlineStr">
        <is>
          <t>open</t>
        </is>
      </c>
      <c r="Z795" s="7" t="inlineStr">
        <is>
          <t>https://wol.jw.org/en/wol/d/r1/lp-e/1001070624
https://wol.jw.org/en/wol/d/r1/lp-e/1200001193
https://wol.jw.org/en/wol/d/r1/lp-e/1200001106
https://wol.jw.org/en/wol/d/r1/lp-e/1966284
https://wol.jw.org/en/wol/d/r1/lp-e/1990760</t>
        </is>
      </c>
      <c r="AA795" s="7" t="n">
        <v>1</v>
      </c>
      <c r="AB795" s="9" t="inlineStr">
        <is>
          <t>open</t>
        </is>
      </c>
      <c r="AC795" s="7" t="n">
        <v>0</v>
      </c>
      <c r="AD795" s="7" t="n"/>
      <c r="AE795" s="7" t="n"/>
      <c r="AF795" s="7" t="n"/>
      <c r="AG795" s="7" t="n"/>
      <c r="AH795" s="7" t="n"/>
      <c r="AI795" s="7" t="n"/>
      <c r="AJ795" s="7" t="n"/>
      <c r="AK795" s="7" t="n"/>
      <c r="AL795" s="7" t="n"/>
      <c r="AM795" s="7" t="n">
        <v>73.3</v>
      </c>
      <c r="AN795" s="10" t="n"/>
      <c r="AO795" s="10" t="n"/>
      <c r="AP795" s="10" t="n"/>
      <c r="AQ795" s="10" t="n"/>
    </row>
    <row r="796">
      <c r="A796" s="7" t="inlineStr">
        <is>
          <t>b12-0054</t>
        </is>
      </c>
      <c r="B796" s="11" t="inlineStr">
        <is>
          <t>Span</t>
        </is>
      </c>
      <c r="C796" s="7" t="inlineStr">
        <is>
          <t>reign</t>
        </is>
      </c>
      <c r="D796" s="7" t="inlineStr">
        <is>
          <t>79-81 C.E.</t>
        </is>
      </c>
      <c r="E796" s="7" t="n"/>
      <c r="F796" s="7" t="inlineStr">
        <is>
          <t>79 CE</t>
        </is>
      </c>
      <c r="G796" s="7" t="inlineStr">
        <is>
          <t>Exact</t>
        </is>
      </c>
      <c r="H796" s="7" t="inlineStr">
        <is>
          <t>81 CE</t>
        </is>
      </c>
      <c r="I796" s="7" t="inlineStr">
        <is>
          <t>Exact</t>
        </is>
      </c>
      <c r="J796" s="7" t="n"/>
      <c r="K796" s="2" t="inlineStr">
        <is>
          <t>Reign of Titus, Roman emperor</t>
        </is>
      </c>
      <c r="L796" s="2" t="n"/>
      <c r="M796" s="7" t="inlineStr">
        <is>
          <t>Titus, who as general had besieged and destroyed Jerusalem in 70 C.E., ruled as emperor for two years.</t>
        </is>
      </c>
      <c r="N796" s="7" t="n"/>
      <c r="O796" s="8" t="inlineStr">
        <is>
          <t>Bible</t>
        </is>
      </c>
      <c r="P796" s="7" t="inlineStr">
        <is>
          <t>bible.apostolic</t>
        </is>
      </c>
      <c r="Q796" s="7" t="n"/>
      <c r="R796" s="7" t="inlineStr">
        <is>
          <t>Titus</t>
        </is>
      </c>
      <c r="S796" s="7" t="inlineStr">
        <is>
          <t>Rome</t>
        </is>
      </c>
      <c r="T796" s="7" t="n"/>
      <c r="U796" s="7" t="n"/>
      <c r="V796" s="7" t="n">
        <v>1</v>
      </c>
      <c r="W796" s="7" t="inlineStr">
        <is>
          <t>Caesar</t>
        </is>
      </c>
      <c r="X796" s="9" t="inlineStr">
        <is>
          <t>open</t>
        </is>
      </c>
      <c r="Y796" s="7" t="n"/>
      <c r="Z796" s="7" t="inlineStr">
        <is>
          <t>https://wol.jw.org/en/wol/d/r1/lp-e/1200000852</t>
        </is>
      </c>
      <c r="AA796" s="7" t="n">
        <v>0</v>
      </c>
      <c r="AB796" s="7" t="n"/>
      <c r="AC796" s="7" t="n">
        <v>0</v>
      </c>
      <c r="AD796" s="7" t="n"/>
      <c r="AE796" s="7" t="n"/>
      <c r="AF796" s="7" t="n"/>
      <c r="AG796" s="7" t="n"/>
      <c r="AH796" s="7" t="n"/>
      <c r="AI796" s="7" t="n"/>
      <c r="AJ796" s="7" t="n"/>
      <c r="AK796" s="7" t="inlineStr">
        <is>
          <t>roman-emperors #8 (ruler)</t>
        </is>
      </c>
      <c r="AL796" s="7" t="n"/>
      <c r="AM796" s="7" t="n">
        <v>79</v>
      </c>
      <c r="AN796" s="10" t="n"/>
      <c r="AO796" s="10" t="n"/>
      <c r="AP796" s="10" t="n"/>
      <c r="AQ796" s="10" t="n"/>
    </row>
    <row r="797">
      <c r="A797" s="7" t="inlineStr">
        <is>
          <t>b12-0055</t>
        </is>
      </c>
      <c r="B797" s="11" t="inlineStr">
        <is>
          <t>Span</t>
        </is>
      </c>
      <c r="C797" s="7" t="inlineStr">
        <is>
          <t>reign</t>
        </is>
      </c>
      <c r="D797" s="7" t="inlineStr">
        <is>
          <t>81-96 C.E.</t>
        </is>
      </c>
      <c r="E797" s="7" t="n"/>
      <c r="F797" s="7" t="inlineStr">
        <is>
          <t>81 CE</t>
        </is>
      </c>
      <c r="G797" s="7" t="inlineStr">
        <is>
          <t>Exact</t>
        </is>
      </c>
      <c r="H797" s="7" t="inlineStr">
        <is>
          <t>96 CE</t>
        </is>
      </c>
      <c r="I797" s="7" t="inlineStr">
        <is>
          <t>Exact</t>
        </is>
      </c>
      <c r="J797" s="7" t="n"/>
      <c r="K797" s="2" t="inlineStr">
        <is>
          <t>Reign of Domitian, Roman emperor</t>
        </is>
      </c>
      <c r="L797" s="2" t="n"/>
      <c r="M797" s="7" t="inlineStr">
        <is>
          <t>Domitian was a harsh opponent of Christianity; during his rule the apostle John was exiled to Patmos.</t>
        </is>
      </c>
      <c r="N797" s="7" t="n"/>
      <c r="O797" s="8" t="inlineStr">
        <is>
          <t>Bible</t>
        </is>
      </c>
      <c r="P797" s="7" t="inlineStr">
        <is>
          <t>bible.apostolic</t>
        </is>
      </c>
      <c r="Q797" s="7" t="n"/>
      <c r="R797" s="7" t="inlineStr">
        <is>
          <t>Domitian; John</t>
        </is>
      </c>
      <c r="S797" s="7" t="inlineStr">
        <is>
          <t>Rome</t>
        </is>
      </c>
      <c r="T797" s="7" t="inlineStr">
        <is>
          <t>Rev. 1:9</t>
        </is>
      </c>
      <c r="U797" s="7" t="inlineStr">
        <is>
          <t>வெளி. 1:9</t>
        </is>
      </c>
      <c r="V797" s="7" t="n">
        <v>2</v>
      </c>
      <c r="W797" s="7" t="inlineStr">
        <is>
          <t>Caesar</t>
        </is>
      </c>
      <c r="X797" s="9" t="inlineStr">
        <is>
          <t>open</t>
        </is>
      </c>
      <c r="Y797" s="7" t="n"/>
      <c r="Z797" s="7" t="inlineStr">
        <is>
          <t>https://wol.jw.org/en/wol/d/r1/lp-e/1200000852
https://wol.jw.org/en/wol/d/r1/lp-e/1101990130</t>
        </is>
      </c>
      <c r="AA797" s="7" t="n">
        <v>0</v>
      </c>
      <c r="AB797" s="7" t="n"/>
      <c r="AC797" s="7" t="n">
        <v>0</v>
      </c>
      <c r="AD797" s="7" t="n"/>
      <c r="AE797" s="7" t="n"/>
      <c r="AF797" s="7" t="n"/>
      <c r="AG797" s="7" t="n"/>
      <c r="AH797" s="7" t="n"/>
      <c r="AI797" s="7" t="n"/>
      <c r="AJ797" s="7" t="n"/>
      <c r="AK797" s="7" t="inlineStr">
        <is>
          <t>roman-emperors #9 (ruler)</t>
        </is>
      </c>
      <c r="AL797" s="7" t="n"/>
      <c r="AM797" s="7" t="n">
        <v>81</v>
      </c>
      <c r="AN797" s="10" t="n"/>
      <c r="AO797" s="10" t="n"/>
      <c r="AP797" s="10" t="n"/>
      <c r="AQ797" s="10" t="n"/>
    </row>
    <row r="798">
      <c r="A798" s="7" t="inlineStr">
        <is>
          <t>b6-0098</t>
        </is>
      </c>
      <c r="B798" s="11" t="inlineStr">
        <is>
          <t>Span</t>
        </is>
      </c>
      <c r="C798" s="7" t="inlineStr">
        <is>
          <t>persecution</t>
        </is>
      </c>
      <c r="D798" s="7" t="inlineStr">
        <is>
          <t>81-96 C.E.</t>
        </is>
      </c>
      <c r="E798" s="7" t="inlineStr">
        <is>
          <t>பொ.ச. 81-96</t>
        </is>
      </c>
      <c r="F798" s="7" t="inlineStr">
        <is>
          <t>81 CE</t>
        </is>
      </c>
      <c r="G798" s="7" t="inlineStr">
        <is>
          <t>Exact</t>
        </is>
      </c>
      <c r="H798" s="7" t="inlineStr">
        <is>
          <t>96 CE</t>
        </is>
      </c>
      <c r="I798" s="7" t="inlineStr">
        <is>
          <t>Exact</t>
        </is>
      </c>
      <c r="J798" s="7" t="inlineStr">
        <is>
          <t>15 years</t>
        </is>
      </c>
      <c r="K798" s="2" t="inlineStr">
        <is>
          <t>Persecution under Emperor Domitian peaks</t>
        </is>
      </c>
      <c r="L798" s="2" t="n"/>
      <c r="M798" s="7" t="inlineStr">
        <is>
          <t>Persecution of Christians reached a peak during Domitian’s rule (81-96 C.E.), particularly in its last three years; John’s exile to Patmos is generally placed in this reign.</t>
        </is>
      </c>
      <c r="N798" s="7" t="inlineStr">
        <is>
          <t>அப்போஸ்தலன் யோவான் எழுதின ஐந்து புத்தகங்கள், பேரரசன் டொமீஷியன் கொண்டுவந்த துன்புறுத்தல் காலத்தின் முடிவில் எழுதப்பட்டன. இந்த அரசனுடைய ஆட்சிக்காலம் பொ.ச. 81-96 வரையாகும்.</t>
        </is>
      </c>
      <c r="O798" s="12" t="inlineStr">
        <is>
          <t>Bible &amp; church history</t>
        </is>
      </c>
      <c r="P798" s="7" t="inlineStr">
        <is>
          <t>history.persecution</t>
        </is>
      </c>
      <c r="Q798" s="7" t="inlineStr">
        <is>
          <t>persecution</t>
        </is>
      </c>
      <c r="R798" s="7" t="inlineStr">
        <is>
          <t>Domitian</t>
        </is>
      </c>
      <c r="S798" s="7" t="inlineStr">
        <is>
          <t>Rome</t>
        </is>
      </c>
      <c r="T798" s="7" t="inlineStr">
        <is>
          <t>Rev. 1:9</t>
        </is>
      </c>
      <c r="U798" s="7" t="n"/>
      <c r="V798" s="7" t="n">
        <v>2</v>
      </c>
      <c r="W798" s="7" t="inlineStr">
        <is>
          <t>Chronology</t>
        </is>
      </c>
      <c r="X798" s="9" t="inlineStr">
        <is>
          <t>open</t>
        </is>
      </c>
      <c r="Y798" s="7" t="n"/>
      <c r="Z798" s="7" t="inlineStr">
        <is>
          <t>https://wol.jw.org/en/wol/d/r1/lp-e/1200000970
https://wol.jw.org/en/wol/d/r1/lp-e/1101990130</t>
        </is>
      </c>
      <c r="AA798" s="7" t="n">
        <v>0</v>
      </c>
      <c r="AB798" s="7" t="n"/>
      <c r="AC798" s="7" t="n">
        <v>0</v>
      </c>
      <c r="AD798" s="7" t="n"/>
      <c r="AE798" s="7" t="n"/>
      <c r="AF798" s="7" t="n"/>
      <c r="AG798" s="7" t="n"/>
      <c r="AH798" s="7" t="n"/>
      <c r="AI798" s="7" t="n"/>
      <c r="AJ798" s="7" t="n"/>
      <c r="AK798" s="7" t="n"/>
      <c r="AL798" s="7" t="n"/>
      <c r="AM798" s="7" t="n">
        <v>81.5</v>
      </c>
      <c r="AN798" s="10" t="n"/>
      <c r="AO798" s="10" t="n"/>
      <c r="AP798" s="10" t="n"/>
      <c r="AQ798" s="10" t="n"/>
    </row>
    <row r="799">
      <c r="A799" s="7" t="inlineStr">
        <is>
          <t>b12-0056</t>
        </is>
      </c>
      <c r="B799" s="11" t="inlineStr">
        <is>
          <t>Span</t>
        </is>
      </c>
      <c r="C799" s="7" t="inlineStr">
        <is>
          <t>reign</t>
        </is>
      </c>
      <c r="D799" s="7" t="inlineStr">
        <is>
          <t>96-98 C.E.</t>
        </is>
      </c>
      <c r="E799" s="7" t="n"/>
      <c r="F799" s="7" t="inlineStr">
        <is>
          <t>96 CE</t>
        </is>
      </c>
      <c r="G799" s="7" t="inlineStr">
        <is>
          <t>Exact</t>
        </is>
      </c>
      <c r="H799" s="7" t="inlineStr">
        <is>
          <t>98 CE</t>
        </is>
      </c>
      <c r="I799" s="7" t="inlineStr">
        <is>
          <t>Exact</t>
        </is>
      </c>
      <c r="J799" s="7" t="n"/>
      <c r="K799" s="2" t="inlineStr">
        <is>
          <t>Reign of Nerva, Roman emperor</t>
        </is>
      </c>
      <c r="L799" s="2" t="n"/>
      <c r="M799" s="7" t="inlineStr">
        <is>
          <t>Nerva ruled briefly after Domitian.</t>
        </is>
      </c>
      <c r="N799" s="7" t="n"/>
      <c r="O799" s="8" t="inlineStr">
        <is>
          <t>Bible</t>
        </is>
      </c>
      <c r="P799" s="7" t="inlineStr">
        <is>
          <t>bible.apostolic</t>
        </is>
      </c>
      <c r="Q799" s="7" t="n"/>
      <c r="R799" s="7" t="inlineStr">
        <is>
          <t>Nerva</t>
        </is>
      </c>
      <c r="S799" s="7" t="inlineStr">
        <is>
          <t>Rome</t>
        </is>
      </c>
      <c r="T799" s="7" t="n"/>
      <c r="U799" s="7" t="n"/>
      <c r="V799" s="7" t="n">
        <v>1</v>
      </c>
      <c r="W799" s="7" t="inlineStr">
        <is>
          <t>Caesar</t>
        </is>
      </c>
      <c r="X799" s="9" t="inlineStr">
        <is>
          <t>open</t>
        </is>
      </c>
      <c r="Y799" s="7" t="n"/>
      <c r="Z799" s="7" t="inlineStr">
        <is>
          <t>https://wol.jw.org/en/wol/d/r1/lp-e/1200000852</t>
        </is>
      </c>
      <c r="AA799" s="7" t="n">
        <v>0</v>
      </c>
      <c r="AB799" s="7" t="n"/>
      <c r="AC799" s="7" t="n">
        <v>0</v>
      </c>
      <c r="AD799" s="7" t="n"/>
      <c r="AE799" s="7" t="n"/>
      <c r="AF799" s="7" t="n"/>
      <c r="AG799" s="7" t="n"/>
      <c r="AH799" s="7" t="n"/>
      <c r="AI799" s="7" t="n"/>
      <c r="AJ799" s="7" t="n"/>
      <c r="AK799" s="7" t="inlineStr">
        <is>
          <t>roman-emperors #10 (ruler)</t>
        </is>
      </c>
      <c r="AL799" s="7" t="n"/>
      <c r="AM799" s="7" t="n">
        <v>96</v>
      </c>
      <c r="AN799" s="10" t="n"/>
      <c r="AO799" s="10" t="n"/>
      <c r="AP799" s="10" t="n"/>
      <c r="AQ799" s="10" t="n"/>
    </row>
    <row r="800">
      <c r="A800" s="7" t="inlineStr">
        <is>
          <t>b11-0067</t>
        </is>
      </c>
      <c r="B800" s="7" t="inlineStr">
        <is>
          <t>Point</t>
        </is>
      </c>
      <c r="C800" s="7" t="n"/>
      <c r="D800" s="7" t="inlineStr">
        <is>
          <t>c. 96 C.E.</t>
        </is>
      </c>
      <c r="E800" s="7" t="inlineStr">
        <is>
          <t>ஏ. கி.பி. 96</t>
        </is>
      </c>
      <c r="F800" s="7" t="inlineStr">
        <is>
          <t>96 CE</t>
        </is>
      </c>
      <c r="G800" s="7" t="inlineStr">
        <is>
          <t>Approx. (c.)</t>
        </is>
      </c>
      <c r="H800" s="7" t="n"/>
      <c r="I800" s="7" t="n"/>
      <c r="J800" s="7" t="n"/>
      <c r="K800" s="2" t="inlineStr">
        <is>
          <t>Writing of Revelation completed</t>
        </is>
      </c>
      <c r="L800" s="2" t="inlineStr">
        <is>
          <t>வெளிப்படுத்துதல் — எழுதி முடிக்கப்பட்டது</t>
        </is>
      </c>
      <c r="M800" s="7" t="inlineStr">
        <is>
          <t>The writing of Revelation was completed c. 96 C.E. Writer: the apostle John; place written: Patmos.</t>
        </is>
      </c>
      <c r="N800" s="7" t="inlineStr">
        <is>
          <t>வெளிப்படுத்துதல்: எழுதியவர்(கள்): அப்போஸ்தலன் யோவான்; எழுதப்பட்ட இடம்: பத்மு; முடிக்கப்பட்ட வருஷம் (கி.பி.): ஏ. 96.</t>
        </is>
      </c>
      <c r="O800" s="8" t="inlineStr">
        <is>
          <t>Bible</t>
        </is>
      </c>
      <c r="P800" s="7" t="inlineStr">
        <is>
          <t>bible.book_writing</t>
        </is>
      </c>
      <c r="Q800" s="7" t="inlineStr">
        <is>
          <t>writing_completed</t>
        </is>
      </c>
      <c r="R800" s="7" t="inlineStr">
        <is>
          <t>John (apostle)</t>
        </is>
      </c>
      <c r="S800" s="7" t="inlineStr">
        <is>
          <t>Patmos</t>
        </is>
      </c>
      <c r="T800" s="7" t="inlineStr">
        <is>
          <t>Rev.</t>
        </is>
      </c>
      <c r="U800" s="7" t="inlineStr">
        <is>
          <t>வெளி.</t>
        </is>
      </c>
      <c r="V800" s="7" t="n">
        <v>7</v>
      </c>
      <c r="W800" s="7" t="inlineStr">
        <is>
          <t>Table of the Books of the Bible</t>
        </is>
      </c>
      <c r="X800" s="9" t="inlineStr">
        <is>
          <t>open</t>
        </is>
      </c>
      <c r="Y800" s="9" t="inlineStr">
        <is>
          <t>open</t>
        </is>
      </c>
      <c r="Z800" s="7" t="inlineStr">
        <is>
          <t>https://wol.jw.org/en/wol/d/r1/lp-e/1001070071
https://wol.jw.org/en/wol/d/r1/lp-e/1101990127
https://www.jw.org/en/library/bible/study-bible/books-of-the-bible-list/
https://wol.jw.org/en/wol/d/r1/lp-e/1001060002
https://wol.jw.org/en/wol/d/r1/lp-e/1101990130
https://wol.jw.org/en/wol/d/r1/lp-e/1200003717
https://wol.jw.org/en/wol/d/r1/lp-e/1200002489</t>
        </is>
      </c>
      <c r="AA800" s="7" t="n">
        <v>0</v>
      </c>
      <c r="AB800" s="7" t="n"/>
      <c r="AC800" s="7" t="n">
        <v>0</v>
      </c>
      <c r="AD800" s="7" t="n"/>
      <c r="AE800" s="7" t="n"/>
      <c r="AF800" s="7" t="n"/>
      <c r="AG800" s="7" t="n"/>
      <c r="AH800" s="7" t="n"/>
      <c r="AI800" s="7" t="n"/>
      <c r="AJ800" s="7" t="n"/>
      <c r="AK800" s="7" t="inlineStr">
        <is>
          <t>bible-books-written #66 (item); last-days-sign #3 (prophecy); last-days-sign #6 (prophecy); last-days-sign #10 (prophecy); last-days-sign #15 (prophecy); seven-heads-of-the-beast #1 (prophecy)</t>
        </is>
      </c>
      <c r="AL800" s="7" t="inlineStr">
        <is>
          <t>Writer(s): Apostle John. Place written: Patmos. Writing completed: c. 96 C.E. Time covered: —.</t>
        </is>
      </c>
      <c r="AM800" s="7" t="n">
        <v>96.00660000000001</v>
      </c>
      <c r="AN800" s="10" t="n"/>
      <c r="AO800" s="10" t="n"/>
      <c r="AP800" s="10" t="n"/>
      <c r="AQ800" s="10" t="n"/>
    </row>
    <row r="801">
      <c r="A801" s="7" t="inlineStr">
        <is>
          <t>b6-0099</t>
        </is>
      </c>
      <c r="B801" s="7" t="inlineStr">
        <is>
          <t>Point</t>
        </is>
      </c>
      <c r="C801" s="7" t="n"/>
      <c r="D801" s="7" t="inlineStr">
        <is>
          <t>c. 96 C.E.</t>
        </is>
      </c>
      <c r="E801" s="7" t="inlineStr">
        <is>
          <t>ஏறக்குறைய பொ.ச. 96</t>
        </is>
      </c>
      <c r="F801" s="7" t="inlineStr">
        <is>
          <t>96 CE</t>
        </is>
      </c>
      <c r="G801" s="7" t="inlineStr">
        <is>
          <t>Approx. (c.)</t>
        </is>
      </c>
      <c r="H801" s="7" t="n"/>
      <c r="I801" s="7" t="n"/>
      <c r="J801" s="7" t="n"/>
      <c r="K801" s="2" t="inlineStr">
        <is>
          <t>Apostle John exiled on Patmos receives the Revelation</t>
        </is>
      </c>
      <c r="L801" s="2" t="n"/>
      <c r="M801" s="7" t="inlineStr">
        <is>
          <t>In very old age John was exiled to the island of Patmos “for speaking about God and bearing witness to Jesus,” and there he received and wrote down the Revelation, about 96 C.E.</t>
        </is>
      </c>
      <c r="N801" s="7" t="inlineStr">
        <is>
          <t>பத்மு தீவுக்கு நாடுகடத்தப்பட்டபோது யோவான், ஏறக்குறைய பொ.ச. 96-ல் வெளிப்படுத்துதலை எழுதினார்.</t>
        </is>
      </c>
      <c r="O801" s="8" t="inlineStr">
        <is>
          <t>Bible</t>
        </is>
      </c>
      <c r="P801" s="7" t="inlineStr">
        <is>
          <t>bible.apostolic</t>
        </is>
      </c>
      <c r="Q801" s="7" t="inlineStr">
        <is>
          <t>exile</t>
        </is>
      </c>
      <c r="R801" s="7" t="inlineStr">
        <is>
          <t>John (apostle); Domitian</t>
        </is>
      </c>
      <c r="S801" s="7" t="inlineStr">
        <is>
          <t>Patmos</t>
        </is>
      </c>
      <c r="T801" s="7" t="inlineStr">
        <is>
          <t>Rev. 1:1, 2; Rev. 1:9</t>
        </is>
      </c>
      <c r="U801" s="7" t="inlineStr">
        <is>
          <t>வெளி. 1:9</t>
        </is>
      </c>
      <c r="V801" s="7" t="n">
        <v>4</v>
      </c>
      <c r="W801" s="7" t="inlineStr">
        <is>
          <t>John</t>
        </is>
      </c>
      <c r="X801" s="9" t="inlineStr">
        <is>
          <t>open</t>
        </is>
      </c>
      <c r="Y801" s="7" t="n"/>
      <c r="Z801" s="7" t="inlineStr">
        <is>
          <t>https://wol.jw.org/en/wol/d/r1/lp-e/1200002489
https://wol.jw.org/en/wol/d/r1/lp-e/1101990130
https://wol.jw.org/en/wol/d/r1/lp-e/1200003403
https://wol.jw.org/en/wol/d/r1/lp-e/1200000970</t>
        </is>
      </c>
      <c r="AA801" s="7" t="n">
        <v>0</v>
      </c>
      <c r="AB801" s="7" t="n"/>
      <c r="AC801" s="7" t="n">
        <v>0</v>
      </c>
      <c r="AD801" s="7" t="n"/>
      <c r="AE801" s="7" t="n"/>
      <c r="AF801" s="7" t="n"/>
      <c r="AG801" s="7" t="n"/>
      <c r="AH801" s="7" t="n"/>
      <c r="AI801" s="7" t="n"/>
      <c r="AJ801" s="7" t="n"/>
      <c r="AK801" s="7" t="n"/>
      <c r="AL801" s="7" t="n"/>
      <c r="AM801" s="7" t="n">
        <v>96.2</v>
      </c>
      <c r="AN801" s="10" t="n"/>
      <c r="AO801" s="10" t="n"/>
      <c r="AP801" s="10" t="n"/>
      <c r="AQ801" s="10" t="n"/>
    </row>
    <row r="802">
      <c r="A802" s="7" t="inlineStr">
        <is>
          <t>b6-0101</t>
        </is>
      </c>
      <c r="B802" s="7" t="inlineStr">
        <is>
          <t>Point</t>
        </is>
      </c>
      <c r="C802" s="7" t="n"/>
      <c r="D802" s="7" t="inlineStr">
        <is>
          <t>a. 96 C.E. (after Domitian’s death)</t>
        </is>
      </c>
      <c r="E802" s="7" t="n"/>
      <c r="F802" s="7" t="inlineStr">
        <is>
          <t>96 CE</t>
        </is>
      </c>
      <c r="G802" s="7" t="inlineStr">
        <is>
          <t>After (a.)</t>
        </is>
      </c>
      <c r="H802" s="7" t="n"/>
      <c r="I802" s="7" t="n"/>
      <c r="J802" s="7" t="n"/>
      <c r="K802" s="2" t="inlineStr">
        <is>
          <t>John released from Patmos after Domitian’s death</t>
        </is>
      </c>
      <c r="L802" s="2" t="n"/>
      <c r="M802" s="7" t="inlineStr">
        <is>
          <t>According to ancient tradition, John was released after Domitian died in 96 C.E., evidently by his successor Nerva (96-98 C.E.), and went to Ephesus.</t>
        </is>
      </c>
      <c r="N802" s="7" t="inlineStr">
        <is>
          <t>அவருடைய சுவிசேஷமும் மூன்று நிருபங்களும், அவருடைய விடுதலைக்குப் பின் எபேசுவில் அல்லது அதற்கு அண்மையில் எழுதப்பட்டன.</t>
        </is>
      </c>
      <c r="O802" s="8" t="inlineStr">
        <is>
          <t>Bible</t>
        </is>
      </c>
      <c r="P802" s="7" t="inlineStr">
        <is>
          <t>bible.apostolic</t>
        </is>
      </c>
      <c r="Q802" s="7" t="inlineStr">
        <is>
          <t>release</t>
        </is>
      </c>
      <c r="R802" s="7" t="inlineStr">
        <is>
          <t>John (apostle); Domitian; Nerva</t>
        </is>
      </c>
      <c r="S802" s="7" t="inlineStr">
        <is>
          <t>Patmos; Ephesus</t>
        </is>
      </c>
      <c r="T802" s="7" t="n"/>
      <c r="U802" s="7" t="n"/>
      <c r="V802" s="7" t="n">
        <v>4</v>
      </c>
      <c r="W802" s="7" t="inlineStr">
        <is>
          <t>Patmos</t>
        </is>
      </c>
      <c r="X802" s="9" t="inlineStr">
        <is>
          <t>open</t>
        </is>
      </c>
      <c r="Y802" s="7" t="n"/>
      <c r="Z802" s="7" t="inlineStr">
        <is>
          <t>https://wol.jw.org/en/wol/d/r1/lp-e/1200003403
https://wol.jw.org/en/wol/d/r1/lp-e/1200002489
https://wol.jw.org/en/wol/d/r1/lp-e/1200000970
https://wol.jw.org/en/wol/d/r1/lp-e/1101990130</t>
        </is>
      </c>
      <c r="AA802" s="7" t="n">
        <v>0</v>
      </c>
      <c r="AB802" s="7" t="n"/>
      <c r="AC802" s="7" t="n">
        <v>0</v>
      </c>
      <c r="AD802" s="7" t="n"/>
      <c r="AE802" s="7" t="n"/>
      <c r="AF802" s="7" t="n"/>
      <c r="AG802" s="7" t="n"/>
      <c r="AH802" s="7" t="n"/>
      <c r="AI802" s="7" t="n"/>
      <c r="AJ802" s="7" t="n"/>
      <c r="AK802" s="7" t="n"/>
      <c r="AL802" s="7" t="inlineStr">
        <is>
          <t>Insight presents the release as traditional view.</t>
        </is>
      </c>
      <c r="AM802" s="7" t="n">
        <v>96.5</v>
      </c>
      <c r="AN802" s="10" t="n"/>
      <c r="AO802" s="10" t="n"/>
      <c r="AP802" s="10" t="n"/>
      <c r="AQ802" s="10" t="n"/>
    </row>
    <row r="803">
      <c r="A803" s="7" t="inlineStr">
        <is>
          <t>b12-0057</t>
        </is>
      </c>
      <c r="B803" s="11" t="inlineStr">
        <is>
          <t>Span</t>
        </is>
      </c>
      <c r="C803" s="7" t="inlineStr">
        <is>
          <t>reign</t>
        </is>
      </c>
      <c r="D803" s="7" t="inlineStr">
        <is>
          <t>98-117 C.E.</t>
        </is>
      </c>
      <c r="E803" s="7" t="n"/>
      <c r="F803" s="7" t="inlineStr">
        <is>
          <t>98 CE</t>
        </is>
      </c>
      <c r="G803" s="7" t="inlineStr">
        <is>
          <t>Exact</t>
        </is>
      </c>
      <c r="H803" s="7" t="inlineStr">
        <is>
          <t>117 CE</t>
        </is>
      </c>
      <c r="I803" s="7" t="inlineStr">
        <is>
          <t>Exact</t>
        </is>
      </c>
      <c r="J803" s="7" t="n"/>
      <c r="K803" s="2" t="inlineStr">
        <is>
          <t>Reign of Trajan, Roman emperor</t>
        </is>
      </c>
      <c r="L803" s="2" t="n"/>
      <c r="M803" s="7" t="inlineStr">
        <is>
          <t>The Bible canon was likely completed during the first year of Trajan’s reign.</t>
        </is>
      </c>
      <c r="N803" s="7" t="n"/>
      <c r="O803" s="8" t="inlineStr">
        <is>
          <t>Bible</t>
        </is>
      </c>
      <c r="P803" s="7" t="inlineStr">
        <is>
          <t>bible.apostolic</t>
        </is>
      </c>
      <c r="Q803" s="7" t="n"/>
      <c r="R803" s="7" t="inlineStr">
        <is>
          <t>Trajan</t>
        </is>
      </c>
      <c r="S803" s="7" t="inlineStr">
        <is>
          <t>Rome</t>
        </is>
      </c>
      <c r="T803" s="7" t="n"/>
      <c r="U803" s="7" t="n"/>
      <c r="V803" s="7" t="n">
        <v>1</v>
      </c>
      <c r="W803" s="7" t="inlineStr">
        <is>
          <t>Caesar</t>
        </is>
      </c>
      <c r="X803" s="9" t="inlineStr">
        <is>
          <t>open</t>
        </is>
      </c>
      <c r="Y803" s="7" t="n"/>
      <c r="Z803" s="7" t="inlineStr">
        <is>
          <t>https://wol.jw.org/en/wol/d/r1/lp-e/1200000852</t>
        </is>
      </c>
      <c r="AA803" s="7" t="n">
        <v>0</v>
      </c>
      <c r="AB803" s="7" t="n"/>
      <c r="AC803" s="7" t="n">
        <v>0</v>
      </c>
      <c r="AD803" s="7" t="n"/>
      <c r="AE803" s="7" t="n"/>
      <c r="AF803" s="7" t="n"/>
      <c r="AG803" s="7" t="n"/>
      <c r="AH803" s="7" t="n"/>
      <c r="AI803" s="7" t="n"/>
      <c r="AJ803" s="7" t="n"/>
      <c r="AK803" s="7" t="inlineStr">
        <is>
          <t>roman-emperors #11 (ruler)</t>
        </is>
      </c>
      <c r="AL803" s="7" t="n"/>
      <c r="AM803" s="7" t="n">
        <v>98</v>
      </c>
      <c r="AN803" s="10" t="n"/>
      <c r="AO803" s="10" t="n"/>
      <c r="AP803" s="10" t="n"/>
      <c r="AQ803" s="10" t="n"/>
    </row>
    <row r="804">
      <c r="A804" s="7" t="inlineStr">
        <is>
          <t>b11-0068</t>
        </is>
      </c>
      <c r="B804" s="7" t="inlineStr">
        <is>
          <t>Point</t>
        </is>
      </c>
      <c r="C804" s="7" t="n"/>
      <c r="D804" s="7" t="inlineStr">
        <is>
          <t>c. 98 C.E.</t>
        </is>
      </c>
      <c r="E804" s="7" t="inlineStr">
        <is>
          <t>ஏ. கி.பி. 98</t>
        </is>
      </c>
      <c r="F804" s="7" t="inlineStr">
        <is>
          <t>98 CE</t>
        </is>
      </c>
      <c r="G804" s="7" t="inlineStr">
        <is>
          <t>Approx. (c.)</t>
        </is>
      </c>
      <c r="H804" s="7" t="n"/>
      <c r="I804" s="7" t="n"/>
      <c r="J804" s="7" t="n"/>
      <c r="K804" s="2" t="inlineStr">
        <is>
          <t>Writing of John completed</t>
        </is>
      </c>
      <c r="L804" s="2" t="inlineStr">
        <is>
          <t>யோவான் — எழுதி முடிக்கப்பட்டது</t>
        </is>
      </c>
      <c r="M804" s="7" t="inlineStr">
        <is>
          <t>The writing of John was completed c. 98 C.E. Writer: the apostle John; place written: Ephesus, or near. Time covered: After prologue, 29-33 C.E.</t>
        </is>
      </c>
      <c r="N804" s="7" t="inlineStr">
        <is>
          <t>யோவான்: எழுதியவர்(கள்): அப்போஸ்தலன் யோவான்; எழுதப்பட்ட இடம்: எபேசு அல்லது அதற்குப் பக்கத்தில்; முடிக்கப்பட்ட வருஷம் (கி.பி.): ஏ. 98; காலப்பகுதி: முகவுரைக்குப் பின், கி.பி. 29-33.</t>
        </is>
      </c>
      <c r="O804" s="8" t="inlineStr">
        <is>
          <t>Bible</t>
        </is>
      </c>
      <c r="P804" s="7" t="inlineStr">
        <is>
          <t>bible.book_writing</t>
        </is>
      </c>
      <c r="Q804" s="7" t="inlineStr">
        <is>
          <t>writing_completed</t>
        </is>
      </c>
      <c r="R804" s="7" t="inlineStr">
        <is>
          <t>John (apostle)</t>
        </is>
      </c>
      <c r="S804" s="7" t="inlineStr">
        <is>
          <t>Ephesus</t>
        </is>
      </c>
      <c r="T804" s="7" t="inlineStr">
        <is>
          <t>John</t>
        </is>
      </c>
      <c r="U804" s="7" t="inlineStr">
        <is>
          <t>யோவா.</t>
        </is>
      </c>
      <c r="V804" s="7" t="n">
        <v>7</v>
      </c>
      <c r="W804" s="7" t="inlineStr">
        <is>
          <t>Table of the Books of the Bible</t>
        </is>
      </c>
      <c r="X804" s="9" t="inlineStr">
        <is>
          <t>open</t>
        </is>
      </c>
      <c r="Y804" s="9" t="inlineStr">
        <is>
          <t>open</t>
        </is>
      </c>
      <c r="Z804" s="7" t="inlineStr">
        <is>
          <t>https://wol.jw.org/en/wol/d/r1/lp-e/1001070071
https://wol.jw.org/en/wol/d/r1/lp-e/1101990104
https://www.jw.org/en/library/bible/study-bible/books-of-the-bible-list/
https://wol.jw.org/en/wol/d/r1/lp-e/1001060002
https://wol.jw.org/en/wol/d/r1/lp-e/1101990130
https://wol.jw.org/en/wol/d/r1/lp-e/1200002489
https://wol.jw.org/en/wol/d/r1/lp-e/1200000970</t>
        </is>
      </c>
      <c r="AA804" s="7" t="n">
        <v>0</v>
      </c>
      <c r="AB804" s="7" t="n"/>
      <c r="AC804" s="7" t="n">
        <v>0</v>
      </c>
      <c r="AD804" s="7" t="n"/>
      <c r="AE804" s="7" t="n"/>
      <c r="AF804" s="7" t="n"/>
      <c r="AG804" s="7" t="n"/>
      <c r="AH804" s="7" t="n"/>
      <c r="AI804" s="7" t="n"/>
      <c r="AJ804" s="7" t="n"/>
      <c r="AK804" s="7" t="inlineStr">
        <is>
          <t>bible-books-written #43 (item); how-the-bible-came-to-us #6 (step)</t>
        </is>
      </c>
      <c r="AL804" s="7" t="inlineStr">
        <is>
          <t>Writer(s): Apostle John. Place written: Ephesus, or near. Writing completed: c. 98 C.E. Time covered: After prologue, 29-33 C.E. si par. 5: John wrote his Gospel about 98 C.E., after returning from exile on Patmos.</t>
        </is>
      </c>
      <c r="AM804" s="7" t="n">
        <v>98.0043</v>
      </c>
      <c r="AN804" s="10" t="n"/>
      <c r="AO804" s="10" t="n"/>
      <c r="AP804" s="10" t="n"/>
      <c r="AQ804" s="10" t="n"/>
    </row>
    <row r="805">
      <c r="A805" s="7" t="inlineStr">
        <is>
          <t>b11-0069</t>
        </is>
      </c>
      <c r="B805" s="7" t="inlineStr">
        <is>
          <t>Point</t>
        </is>
      </c>
      <c r="C805" s="7" t="n"/>
      <c r="D805" s="7" t="inlineStr">
        <is>
          <t>c. 98 C.E.</t>
        </is>
      </c>
      <c r="E805" s="7" t="inlineStr">
        <is>
          <t>ஏ. கி.பி. 98</t>
        </is>
      </c>
      <c r="F805" s="7" t="inlineStr">
        <is>
          <t>98 CE</t>
        </is>
      </c>
      <c r="G805" s="7" t="inlineStr">
        <is>
          <t>Approx. (c.)</t>
        </is>
      </c>
      <c r="H805" s="7" t="n"/>
      <c r="I805" s="7" t="n"/>
      <c r="J805" s="7" t="n"/>
      <c r="K805" s="2" t="inlineStr">
        <is>
          <t>Writing of 1 John completed</t>
        </is>
      </c>
      <c r="L805" s="2" t="inlineStr">
        <is>
          <t>1 யோவான் — எழுதி முடிக்கப்பட்டது</t>
        </is>
      </c>
      <c r="M805" s="7" t="inlineStr">
        <is>
          <t>The writing of 1 John was completed c. 98 C.E. Writer: the apostle John; place written: Ephesus, or near.</t>
        </is>
      </c>
      <c r="N805" s="7" t="inlineStr">
        <is>
          <t>1 யோவான்: எழுதியவர்(கள்): அப்போஸ்தலன் யோவான்; எழுதப்பட்ட இடம்: எபேசு அல்லது அதற்குப் பக்கத்தில்; முடிக்கப்பட்ட வருஷம் (கி.பி.): ஏ. 98.</t>
        </is>
      </c>
      <c r="O805" s="8" t="inlineStr">
        <is>
          <t>Bible</t>
        </is>
      </c>
      <c r="P805" s="7" t="inlineStr">
        <is>
          <t>bible.book_writing</t>
        </is>
      </c>
      <c r="Q805" s="7" t="inlineStr">
        <is>
          <t>writing_completed</t>
        </is>
      </c>
      <c r="R805" s="7" t="inlineStr">
        <is>
          <t>John (apostle)</t>
        </is>
      </c>
      <c r="S805" s="7" t="inlineStr">
        <is>
          <t>Ephesus</t>
        </is>
      </c>
      <c r="T805" s="7" t="inlineStr">
        <is>
          <t>1 John</t>
        </is>
      </c>
      <c r="U805" s="7" t="inlineStr">
        <is>
          <t>1 யோ.</t>
        </is>
      </c>
      <c r="V805" s="7" t="n">
        <v>4</v>
      </c>
      <c r="W805" s="7" t="inlineStr">
        <is>
          <t>Table of the Books of the Bible</t>
        </is>
      </c>
      <c r="X805" s="9" t="inlineStr">
        <is>
          <t>open</t>
        </is>
      </c>
      <c r="Y805" s="9" t="inlineStr">
        <is>
          <t>open</t>
        </is>
      </c>
      <c r="Z805" s="7" t="inlineStr">
        <is>
          <t>https://wol.jw.org/en/wol/d/r1/lp-e/1001070071
https://wol.jw.org/en/wol/d/r1/lp-e/1101990123
https://www.jw.org/en/library/bible/study-bible/books-of-the-bible-list/
https://wol.jw.org/en/wol/d/r1/lp-e/1001060002</t>
        </is>
      </c>
      <c r="AA805" s="7" t="n">
        <v>0</v>
      </c>
      <c r="AB805" s="7" t="n"/>
      <c r="AC805" s="7" t="n">
        <v>0</v>
      </c>
      <c r="AD805" s="7" t="n"/>
      <c r="AE805" s="7" t="n"/>
      <c r="AF805" s="7" t="n"/>
      <c r="AG805" s="7" t="n"/>
      <c r="AH805" s="7" t="n"/>
      <c r="AI805" s="7" t="n"/>
      <c r="AJ805" s="7" t="n"/>
      <c r="AK805" s="7" t="inlineStr">
        <is>
          <t>bible-books-written #62 (item)</t>
        </is>
      </c>
      <c r="AL805" s="7" t="inlineStr">
        <is>
          <t>Writer(s): Apostle John. Place written: Ephesus, or near. Writing completed: c. 98 C.E. Time covered: —.</t>
        </is>
      </c>
      <c r="AM805" s="7" t="n">
        <v>98.00620000000001</v>
      </c>
      <c r="AN805" s="10" t="n"/>
      <c r="AO805" s="10" t="n"/>
      <c r="AP805" s="10" t="n"/>
      <c r="AQ805" s="10" t="n"/>
    </row>
    <row r="806">
      <c r="A806" s="7" t="inlineStr">
        <is>
          <t>b11-0070</t>
        </is>
      </c>
      <c r="B806" s="7" t="inlineStr">
        <is>
          <t>Point</t>
        </is>
      </c>
      <c r="C806" s="7" t="n"/>
      <c r="D806" s="7" t="inlineStr">
        <is>
          <t>c. 98 C.E.</t>
        </is>
      </c>
      <c r="E806" s="7" t="inlineStr">
        <is>
          <t>ஏ. கி.பி. 98</t>
        </is>
      </c>
      <c r="F806" s="7" t="inlineStr">
        <is>
          <t>98 CE</t>
        </is>
      </c>
      <c r="G806" s="7" t="inlineStr">
        <is>
          <t>Approx. (c.)</t>
        </is>
      </c>
      <c r="H806" s="7" t="n"/>
      <c r="I806" s="7" t="n"/>
      <c r="J806" s="7" t="n"/>
      <c r="K806" s="2" t="inlineStr">
        <is>
          <t>Writing of 2 John completed</t>
        </is>
      </c>
      <c r="L806" s="2" t="inlineStr">
        <is>
          <t>2 யோவான் — எழுதி முடிக்கப்பட்டது</t>
        </is>
      </c>
      <c r="M806" s="7" t="inlineStr">
        <is>
          <t>The writing of 2 John was completed c. 98 C.E. Writer: the apostle John; place written: Ephesus, or near.</t>
        </is>
      </c>
      <c r="N806" s="7" t="inlineStr">
        <is>
          <t>2 யோவான்: எழுதியவர்(கள்): அப்போஸ்தலன் யோவான்; எழுதப்பட்ட இடம்: எபேசு அல்லது அதற்குப் பக்கத்தில்; முடிக்கப்பட்ட வருஷம் (கி.பி.): ஏ. 98.</t>
        </is>
      </c>
      <c r="O806" s="8" t="inlineStr">
        <is>
          <t>Bible</t>
        </is>
      </c>
      <c r="P806" s="7" t="inlineStr">
        <is>
          <t>bible.book_writing</t>
        </is>
      </c>
      <c r="Q806" s="7" t="inlineStr">
        <is>
          <t>writing_completed</t>
        </is>
      </c>
      <c r="R806" s="7" t="inlineStr">
        <is>
          <t>John (apostle)</t>
        </is>
      </c>
      <c r="S806" s="7" t="inlineStr">
        <is>
          <t>Ephesus</t>
        </is>
      </c>
      <c r="T806" s="7" t="inlineStr">
        <is>
          <t>2 John</t>
        </is>
      </c>
      <c r="U806" s="7" t="inlineStr">
        <is>
          <t>2 யோ.</t>
        </is>
      </c>
      <c r="V806" s="7" t="n">
        <v>4</v>
      </c>
      <c r="W806" s="7" t="inlineStr">
        <is>
          <t>Table of the Books of the Bible</t>
        </is>
      </c>
      <c r="X806" s="9" t="inlineStr">
        <is>
          <t>open</t>
        </is>
      </c>
      <c r="Y806" s="9" t="inlineStr">
        <is>
          <t>open</t>
        </is>
      </c>
      <c r="Z806" s="7" t="inlineStr">
        <is>
          <t>https://wol.jw.org/en/wol/d/r1/lp-e/1001070071
https://wol.jw.org/en/wol/d/r1/lp-e/1101990124
https://www.jw.org/en/library/bible/study-bible/books-of-the-bible-list/
https://wol.jw.org/en/wol/d/r1/lp-e/1001060002</t>
        </is>
      </c>
      <c r="AA806" s="7" t="n">
        <v>0</v>
      </c>
      <c r="AB806" s="7" t="n"/>
      <c r="AC806" s="7" t="n">
        <v>0</v>
      </c>
      <c r="AD806" s="7" t="n"/>
      <c r="AE806" s="7" t="n"/>
      <c r="AF806" s="7" t="n"/>
      <c r="AG806" s="7" t="n"/>
      <c r="AH806" s="7" t="n"/>
      <c r="AI806" s="7" t="n"/>
      <c r="AJ806" s="7" t="n"/>
      <c r="AK806" s="7" t="inlineStr">
        <is>
          <t>bible-books-written #63 (item)</t>
        </is>
      </c>
      <c r="AL806" s="7" t="inlineStr">
        <is>
          <t>Writer(s): Apostle John. Place written: Ephesus, or near. Writing completed: c. 98 C.E. Time covered: —.</t>
        </is>
      </c>
      <c r="AM806" s="7" t="n">
        <v>98.0063</v>
      </c>
      <c r="AN806" s="10" t="n"/>
      <c r="AO806" s="10" t="n"/>
      <c r="AP806" s="10" t="n"/>
      <c r="AQ806" s="10" t="n"/>
    </row>
    <row r="807">
      <c r="A807" s="7" t="inlineStr">
        <is>
          <t>b11-0071</t>
        </is>
      </c>
      <c r="B807" s="7" t="inlineStr">
        <is>
          <t>Point</t>
        </is>
      </c>
      <c r="C807" s="7" t="n"/>
      <c r="D807" s="7" t="inlineStr">
        <is>
          <t>c. 98 C.E.</t>
        </is>
      </c>
      <c r="E807" s="7" t="inlineStr">
        <is>
          <t>ஏ. கி.பி. 98</t>
        </is>
      </c>
      <c r="F807" s="7" t="inlineStr">
        <is>
          <t>98 CE</t>
        </is>
      </c>
      <c r="G807" s="7" t="inlineStr">
        <is>
          <t>Approx. (c.)</t>
        </is>
      </c>
      <c r="H807" s="7" t="n"/>
      <c r="I807" s="7" t="n"/>
      <c r="J807" s="7" t="n"/>
      <c r="K807" s="2" t="inlineStr">
        <is>
          <t>Writing of 3 John completed</t>
        </is>
      </c>
      <c r="L807" s="2" t="inlineStr">
        <is>
          <t>3 யோவான் — எழுதி முடிக்கப்பட்டது</t>
        </is>
      </c>
      <c r="M807" s="7" t="inlineStr">
        <is>
          <t>The writing of 3 John was completed c. 98 C.E. Writer: the apostle John; place written: Ephesus, or near.</t>
        </is>
      </c>
      <c r="N807" s="7" t="inlineStr">
        <is>
          <t>3 யோவான்: எழுதியவர்(கள்): அப்போஸ்தலன் யோவான்; எழுதப்பட்ட இடம்: எபேசு அல்லது அதற்குப் பக்கத்தில்; முடிக்கப்பட்ட வருஷம் (கி.பி.): ஏ. 98.</t>
        </is>
      </c>
      <c r="O807" s="8" t="inlineStr">
        <is>
          <t>Bible</t>
        </is>
      </c>
      <c r="P807" s="7" t="inlineStr">
        <is>
          <t>bible.book_writing</t>
        </is>
      </c>
      <c r="Q807" s="7" t="inlineStr">
        <is>
          <t>writing_completed</t>
        </is>
      </c>
      <c r="R807" s="7" t="inlineStr">
        <is>
          <t>John (apostle)</t>
        </is>
      </c>
      <c r="S807" s="7" t="inlineStr">
        <is>
          <t>Ephesus</t>
        </is>
      </c>
      <c r="T807" s="7" t="inlineStr">
        <is>
          <t>3 John</t>
        </is>
      </c>
      <c r="U807" s="7" t="inlineStr">
        <is>
          <t>3 யோ.</t>
        </is>
      </c>
      <c r="V807" s="7" t="n">
        <v>4</v>
      </c>
      <c r="W807" s="7" t="inlineStr">
        <is>
          <t>Table of the Books of the Bible</t>
        </is>
      </c>
      <c r="X807" s="9" t="inlineStr">
        <is>
          <t>open</t>
        </is>
      </c>
      <c r="Y807" s="9" t="inlineStr">
        <is>
          <t>open</t>
        </is>
      </c>
      <c r="Z807" s="7" t="inlineStr">
        <is>
          <t>https://wol.jw.org/en/wol/d/r1/lp-e/1001070071
https://wol.jw.org/en/wol/d/r1/lp-e/1101990125
https://www.jw.org/en/library/bible/study-bible/books-of-the-bible-list/
https://wol.jw.org/en/wol/d/r1/lp-e/1001060002</t>
        </is>
      </c>
      <c r="AA807" s="7" t="n">
        <v>0</v>
      </c>
      <c r="AB807" s="7" t="n"/>
      <c r="AC807" s="7" t="n">
        <v>0</v>
      </c>
      <c r="AD807" s="7" t="n"/>
      <c r="AE807" s="7" t="n"/>
      <c r="AF807" s="7" t="n"/>
      <c r="AG807" s="7" t="n"/>
      <c r="AH807" s="7" t="n"/>
      <c r="AI807" s="7" t="n"/>
      <c r="AJ807" s="7" t="n"/>
      <c r="AK807" s="7" t="inlineStr">
        <is>
          <t>bible-books-written #64 (item)</t>
        </is>
      </c>
      <c r="AL807" s="7" t="inlineStr">
        <is>
          <t>Writer(s): Apostle John. Place written: Ephesus, or near. Writing completed: c. 98 C.E. Time covered: —.</t>
        </is>
      </c>
      <c r="AM807" s="7" t="n">
        <v>98.0064</v>
      </c>
      <c r="AN807" s="10" t="n"/>
      <c r="AO807" s="10" t="n"/>
      <c r="AP807" s="10" t="n"/>
      <c r="AQ807" s="10" t="n"/>
    </row>
    <row r="808">
      <c r="A808" s="7" t="inlineStr">
        <is>
          <t>b6-0103</t>
        </is>
      </c>
      <c r="B808" s="7" t="inlineStr">
        <is>
          <t>Point</t>
        </is>
      </c>
      <c r="C808" s="7" t="n"/>
      <c r="D808" s="7" t="inlineStr">
        <is>
          <t>c. 98 C.E.</t>
        </is>
      </c>
      <c r="E808" s="7" t="inlineStr">
        <is>
          <t>ஏ. பொ.ச. 98</t>
        </is>
      </c>
      <c r="F808" s="7" t="inlineStr">
        <is>
          <t>98 CE</t>
        </is>
      </c>
      <c r="G808" s="7" t="inlineStr">
        <is>
          <t>Approx. (c.)</t>
        </is>
      </c>
      <c r="H808" s="7" t="n"/>
      <c r="I808" s="7" t="n"/>
      <c r="J808" s="7" t="n"/>
      <c r="K808" s="2" t="inlineStr">
        <is>
          <t>1 John written</t>
        </is>
      </c>
      <c r="L808" s="2" t="inlineStr">
        <is>
          <t>“யோவான்” என்ற சுவிசேஷத்தையும் 1, 2, மற்றும் 3 யோவான் என்ற தன் நிருபங்களையும் யோவான் எழுதுகிறார்</t>
        </is>
      </c>
      <c r="M808" s="7" t="inlineStr">
        <is>
          <t>Apostle John completed the letter 1 John at Ephesus, or near, about 98 C.E.</t>
        </is>
      </c>
      <c r="N808" s="7" t="inlineStr">
        <is>
          <t>எழுத்தாளர்: அப்போஸ்தலன் யோவான்; எழுதப்பட்ட இடம்: எபேசு, அல்லது அருகில்; எழுதி முடிக்கப்பட்டது: ஏ. பொ.ச. 98.</t>
        </is>
      </c>
      <c r="O808" s="8" t="inlineStr">
        <is>
          <t>Bible</t>
        </is>
      </c>
      <c r="P808" s="7" t="inlineStr">
        <is>
          <t>bible.book_writing</t>
        </is>
      </c>
      <c r="Q808" s="7" t="inlineStr">
        <is>
          <t>writing_completed</t>
        </is>
      </c>
      <c r="R808" s="7" t="inlineStr">
        <is>
          <t>Apostle John</t>
        </is>
      </c>
      <c r="S808" s="7" t="inlineStr">
        <is>
          <t>Ephesus, or near</t>
        </is>
      </c>
      <c r="T808" s="7" t="n"/>
      <c r="U808" s="7" t="n"/>
      <c r="V808" s="7" t="n">
        <v>4</v>
      </c>
      <c r="W808" s="7" t="inlineStr">
        <is>
          <t>Table of the Books of the Bible</t>
        </is>
      </c>
      <c r="X808" s="9" t="inlineStr">
        <is>
          <t>open</t>
        </is>
      </c>
      <c r="Y808" s="7" t="n"/>
      <c r="Z808" s="7" t="inlineStr">
        <is>
          <t>https://wol.jw.org/en/wol/d/r1/lp-e/1001060002
https://wol.jw.org/en/wol/d/r1/lp-e/1101990123
https://wol.jw.org/en/wol/d/r1/lp-e/1101990130
https://wol.jw.org/en/wol/d/r1/lp-e/1200002489</t>
        </is>
      </c>
      <c r="AA808" s="7" t="n">
        <v>0</v>
      </c>
      <c r="AB808" s="7" t="n"/>
      <c r="AC808" s="7" t="n">
        <v>0</v>
      </c>
      <c r="AD808" s="7" t="n"/>
      <c r="AE808" s="7" t="n"/>
      <c r="AF808" s="7" t="n"/>
      <c r="AG808" s="7" t="n"/>
      <c r="AH808" s="7" t="n"/>
      <c r="AI808" s="7" t="n"/>
      <c r="AJ808" s="7" t="n"/>
      <c r="AK808" s="7" t="n"/>
      <c r="AL808" s="7" t="n"/>
      <c r="AM808" s="7" t="n">
        <v>98.51000000000001</v>
      </c>
      <c r="AN808" s="10" t="n"/>
      <c r="AO808" s="10" t="n"/>
      <c r="AP808" s="10" t="n"/>
      <c r="AQ808" s="10" t="n"/>
    </row>
    <row r="809">
      <c r="A809" s="7" t="inlineStr">
        <is>
          <t>b6-0104</t>
        </is>
      </c>
      <c r="B809" s="7" t="inlineStr">
        <is>
          <t>Point</t>
        </is>
      </c>
      <c r="C809" s="7" t="n"/>
      <c r="D809" s="7" t="inlineStr">
        <is>
          <t>c. 98 C.E.</t>
        </is>
      </c>
      <c r="E809" s="7" t="inlineStr">
        <is>
          <t>ஏ. பொ.ச. 98</t>
        </is>
      </c>
      <c r="F809" s="7" t="inlineStr">
        <is>
          <t>98 CE</t>
        </is>
      </c>
      <c r="G809" s="7" t="inlineStr">
        <is>
          <t>Approx. (c.)</t>
        </is>
      </c>
      <c r="H809" s="7" t="n"/>
      <c r="I809" s="7" t="n"/>
      <c r="J809" s="7" t="n"/>
      <c r="K809" s="2" t="inlineStr">
        <is>
          <t>2 John written</t>
        </is>
      </c>
      <c r="L809" s="2" t="inlineStr">
        <is>
          <t>“யோவான்” என்ற சுவிசேஷத்தையும் 1, 2, மற்றும் 3 யோவான் என்ற தன் நிருபங்களையும் யோவான் எழுதுகிறார்</t>
        </is>
      </c>
      <c r="M809" s="7" t="inlineStr">
        <is>
          <t>Apostle John completed the letter 2 John at Ephesus, or near, about 98 C.E.</t>
        </is>
      </c>
      <c r="N809" s="7" t="inlineStr">
        <is>
          <t>எழுத்தாளர்: அப்போஸ்தலன் யோவான்; எழுதப்பட்ட இடம்: எபேசு, அல்லது அருகில்; எழுதி முடிக்கப்பட்டது: ஏ. பொ.ச. 98.</t>
        </is>
      </c>
      <c r="O809" s="8" t="inlineStr">
        <is>
          <t>Bible</t>
        </is>
      </c>
      <c r="P809" s="7" t="inlineStr">
        <is>
          <t>bible.book_writing</t>
        </is>
      </c>
      <c r="Q809" s="7" t="inlineStr">
        <is>
          <t>writing_completed</t>
        </is>
      </c>
      <c r="R809" s="7" t="inlineStr">
        <is>
          <t>Apostle John</t>
        </is>
      </c>
      <c r="S809" s="7" t="inlineStr">
        <is>
          <t>Ephesus, or near</t>
        </is>
      </c>
      <c r="T809" s="7" t="n"/>
      <c r="U809" s="7" t="n"/>
      <c r="V809" s="7" t="n">
        <v>4</v>
      </c>
      <c r="W809" s="7" t="inlineStr">
        <is>
          <t>Table of the Books of the Bible</t>
        </is>
      </c>
      <c r="X809" s="9" t="inlineStr">
        <is>
          <t>open</t>
        </is>
      </c>
      <c r="Y809" s="7" t="n"/>
      <c r="Z809" s="7" t="inlineStr">
        <is>
          <t>https://wol.jw.org/en/wol/d/r1/lp-e/1001060002
https://wol.jw.org/en/wol/d/r1/lp-e/1101990124
https://wol.jw.org/en/wol/d/r1/lp-e/1101990130
https://wol.jw.org/en/wol/d/r1/lp-e/1200002489</t>
        </is>
      </c>
      <c r="AA809" s="7" t="n">
        <v>0</v>
      </c>
      <c r="AB809" s="7" t="n"/>
      <c r="AC809" s="7" t="n">
        <v>0</v>
      </c>
      <c r="AD809" s="7" t="n"/>
      <c r="AE809" s="7" t="n"/>
      <c r="AF809" s="7" t="n"/>
      <c r="AG809" s="7" t="n"/>
      <c r="AH809" s="7" t="n"/>
      <c r="AI809" s="7" t="n"/>
      <c r="AJ809" s="7" t="n"/>
      <c r="AK809" s="7" t="n"/>
      <c r="AL809" s="7" t="n"/>
      <c r="AM809" s="7" t="n">
        <v>98.52</v>
      </c>
      <c r="AN809" s="10" t="n"/>
      <c r="AO809" s="10" t="n"/>
      <c r="AP809" s="10" t="n"/>
      <c r="AQ809" s="10" t="n"/>
    </row>
    <row r="810">
      <c r="A810" s="7" t="inlineStr">
        <is>
          <t>b6-0105</t>
        </is>
      </c>
      <c r="B810" s="7" t="inlineStr">
        <is>
          <t>Point</t>
        </is>
      </c>
      <c r="C810" s="7" t="n"/>
      <c r="D810" s="7" t="inlineStr">
        <is>
          <t>c. 98 C.E.</t>
        </is>
      </c>
      <c r="E810" s="7" t="inlineStr">
        <is>
          <t>ஏ. பொ.ச. 98</t>
        </is>
      </c>
      <c r="F810" s="7" t="inlineStr">
        <is>
          <t>98 CE</t>
        </is>
      </c>
      <c r="G810" s="7" t="inlineStr">
        <is>
          <t>Approx. (c.)</t>
        </is>
      </c>
      <c r="H810" s="7" t="n"/>
      <c r="I810" s="7" t="n"/>
      <c r="J810" s="7" t="n"/>
      <c r="K810" s="2" t="inlineStr">
        <is>
          <t>3 John written</t>
        </is>
      </c>
      <c r="L810" s="2" t="inlineStr">
        <is>
          <t>“யோவான்” என்ற சுவிசேஷத்தையும் 1, 2, மற்றும் 3 யோவான் என்ற தன் நிருபங்களையும் யோவான் எழுதுகிறார்</t>
        </is>
      </c>
      <c r="M810" s="7" t="inlineStr">
        <is>
          <t>Apostle John completed the letter 3 John at Ephesus, or near, about 98 C.E.</t>
        </is>
      </c>
      <c r="N810" s="7" t="inlineStr">
        <is>
          <t>எழுத்தாளர்: அப்போஸ்தலன் யோவான்; எழுதப்பட்ட இடம்: எபேசு, அல்லது அருகில்; எழுதி முடிக்கப்பட்டது: ஏ. பொ.ச. 98.</t>
        </is>
      </c>
      <c r="O810" s="8" t="inlineStr">
        <is>
          <t>Bible</t>
        </is>
      </c>
      <c r="P810" s="7" t="inlineStr">
        <is>
          <t>bible.book_writing</t>
        </is>
      </c>
      <c r="Q810" s="7" t="inlineStr">
        <is>
          <t>writing_completed</t>
        </is>
      </c>
      <c r="R810" s="7" t="inlineStr">
        <is>
          <t>Apostle John</t>
        </is>
      </c>
      <c r="S810" s="7" t="inlineStr">
        <is>
          <t>Ephesus, or near</t>
        </is>
      </c>
      <c r="T810" s="7" t="n"/>
      <c r="U810" s="7" t="n"/>
      <c r="V810" s="7" t="n">
        <v>4</v>
      </c>
      <c r="W810" s="7" t="inlineStr">
        <is>
          <t>Table of the Books of the Bible</t>
        </is>
      </c>
      <c r="X810" s="9" t="inlineStr">
        <is>
          <t>open</t>
        </is>
      </c>
      <c r="Y810" s="7" t="n"/>
      <c r="Z810" s="7" t="inlineStr">
        <is>
          <t>https://wol.jw.org/en/wol/d/r1/lp-e/1001060002
https://wol.jw.org/en/wol/d/r1/lp-e/1101990125
https://wol.jw.org/en/wol/d/r1/lp-e/1101990130
https://wol.jw.org/en/wol/d/r1/lp-e/1200002489</t>
        </is>
      </c>
      <c r="AA810" s="7" t="n">
        <v>0</v>
      </c>
      <c r="AB810" s="7" t="n"/>
      <c r="AC810" s="7" t="n">
        <v>0</v>
      </c>
      <c r="AD810" s="7" t="n"/>
      <c r="AE810" s="7" t="n"/>
      <c r="AF810" s="7" t="n"/>
      <c r="AG810" s="7" t="n"/>
      <c r="AH810" s="7" t="n"/>
      <c r="AI810" s="7" t="n"/>
      <c r="AJ810" s="7" t="n"/>
      <c r="AK810" s="7" t="n"/>
      <c r="AL810" s="7" t="n"/>
      <c r="AM810" s="7" t="n">
        <v>98.53</v>
      </c>
      <c r="AN810" s="10" t="n"/>
      <c r="AO810" s="10" t="n"/>
      <c r="AP810" s="10" t="n"/>
      <c r="AQ810" s="10" t="n"/>
    </row>
    <row r="811">
      <c r="A811" s="7" t="inlineStr">
        <is>
          <t>b7-0001</t>
        </is>
      </c>
      <c r="B811" s="7" t="inlineStr">
        <is>
          <t>Point</t>
        </is>
      </c>
      <c r="C811" s="7" t="n"/>
      <c r="D811" s="7" t="inlineStr">
        <is>
          <t>c. 100 C.E.</t>
        </is>
      </c>
      <c r="E811" s="7" t="n"/>
      <c r="F811" s="7" t="inlineStr">
        <is>
          <t>100 CE</t>
        </is>
      </c>
      <c r="G811" s="7" t="inlineStr">
        <is>
          <t>Approx. (c.)</t>
        </is>
      </c>
      <c r="H811" s="7" t="n"/>
      <c r="I811" s="7" t="n"/>
      <c r="J811" s="7" t="n"/>
      <c r="K811" s="2" t="inlineStr">
        <is>
          <t>Last apostle, John, dies; apostasy no longer restrained</t>
        </is>
      </c>
      <c r="L811" s="2" t="n"/>
      <c r="M811" s="7" t="inlineStr">
        <is>
          <t>The apostles had acted as a restraint on apostasy for over 60 years. With the death of John about 100 C.E., the apostasy that had begun to creep into the congregation burst forth unrestrained.</t>
        </is>
      </c>
      <c r="N811" s="7" t="n"/>
      <c r="O811" s="12" t="inlineStr">
        <is>
          <t>Bible &amp; church history</t>
        </is>
      </c>
      <c r="P811" s="7" t="inlineStr">
        <is>
          <t>history.apostasy</t>
        </is>
      </c>
      <c r="Q811" s="7" t="inlineStr">
        <is>
          <t>death</t>
        </is>
      </c>
      <c r="R811" s="7" t="inlineStr">
        <is>
          <t>John (apostle)</t>
        </is>
      </c>
      <c r="S811" s="7" t="n"/>
      <c r="T811" s="7" t="inlineStr">
        <is>
          <t>2 Thess. 2:3, 7</t>
        </is>
      </c>
      <c r="U811" s="7" t="n"/>
      <c r="V811" s="7" t="n">
        <v>1</v>
      </c>
      <c r="W811" s="7" t="inlineStr">
        <is>
          <t>The Great Apostasy Develops</t>
        </is>
      </c>
      <c r="X811" s="9" t="inlineStr">
        <is>
          <t>open</t>
        </is>
      </c>
      <c r="Y811" s="7" t="n"/>
      <c r="Z811" s="7" t="inlineStr">
        <is>
          <t>https://wol.jw.org/en/wol/d/r1/lp-e/1101993005#h=15</t>
        </is>
      </c>
      <c r="AA811" s="7" t="n">
        <v>0</v>
      </c>
      <c r="AB811" s="7" t="n"/>
      <c r="AC811" s="7" t="n">
        <v>0</v>
      </c>
      <c r="AD811" s="7" t="n"/>
      <c r="AE811" s="7" t="n"/>
      <c r="AF811" s="7" t="n"/>
      <c r="AG811" s="7" t="n"/>
      <c r="AH811" s="7" t="n"/>
      <c r="AI811" s="7" t="n"/>
      <c r="AJ811" s="7" t="n"/>
      <c r="AK811" s="7" t="inlineStr">
        <is>
          <t>wheat-and-weeds #6 (step)</t>
        </is>
      </c>
      <c r="AL811" s="7" t="n"/>
      <c r="AM811" s="7" t="n">
        <v>100</v>
      </c>
      <c r="AN811" s="10" t="n"/>
      <c r="AO811" s="10" t="n"/>
      <c r="AP811" s="10" t="n"/>
      <c r="AQ811" s="10" t="n"/>
    </row>
    <row r="812">
      <c r="A812" s="7" t="inlineStr">
        <is>
          <t>b6-0107</t>
        </is>
      </c>
      <c r="B812" s="7" t="inlineStr">
        <is>
          <t>Point</t>
        </is>
      </c>
      <c r="C812" s="7" t="n"/>
      <c r="D812" s="7" t="inlineStr">
        <is>
          <t>c. 100 C.E.</t>
        </is>
      </c>
      <c r="E812" s="7" t="inlineStr">
        <is>
          <t>ஏ. பொ.ச. 100</t>
        </is>
      </c>
      <c r="F812" s="7" t="inlineStr">
        <is>
          <t>100 CE</t>
        </is>
      </c>
      <c r="G812" s="7" t="inlineStr">
        <is>
          <t>Approx. (c.)</t>
        </is>
      </c>
      <c r="H812" s="7" t="n"/>
      <c r="I812" s="7" t="n"/>
      <c r="J812" s="7" t="n"/>
      <c r="K812" s="2" t="inlineStr">
        <is>
          <t>Apostle John, the last of the apostles, dies</t>
        </is>
      </c>
      <c r="L812" s="2" t="inlineStr">
        <is>
          <t>கடைசி அப்போஸ்தலராகிய யோவான் மரிக்கிறார்</t>
        </is>
      </c>
      <c r="M812" s="7" t="inlineStr">
        <is>
          <t>John, the last surviving apostle, died about 100 C.E., traditionally at Ephesus during the reign of Trajan, bringing the apostolic period to a close.</t>
        </is>
      </c>
      <c r="N812" s="7" t="inlineStr">
        <is>
          <t>கடைசி அப்போஸ்தலனாகிய இவர் ஏறக்குறைய பொ.ச. 100-⁠ல் மரித்தார்.</t>
        </is>
      </c>
      <c r="O812" s="8" t="inlineStr">
        <is>
          <t>Bible</t>
        </is>
      </c>
      <c r="P812" s="7" t="inlineStr">
        <is>
          <t>bible.apostolic</t>
        </is>
      </c>
      <c r="Q812" s="7" t="inlineStr">
        <is>
          <t>death</t>
        </is>
      </c>
      <c r="R812" s="7" t="inlineStr">
        <is>
          <t>John (apostle); Trajan</t>
        </is>
      </c>
      <c r="S812" s="7" t="inlineStr">
        <is>
          <t>Ephesus</t>
        </is>
      </c>
      <c r="T812" s="7" t="inlineStr">
        <is>
          <t>2 Thess. 2:7; John 21:22, 23</t>
        </is>
      </c>
      <c r="U812" s="7" t="inlineStr">
        <is>
          <t>2 தெ. 2:7</t>
        </is>
      </c>
      <c r="V812" s="7" t="n">
        <v>4</v>
      </c>
      <c r="W812" s="7" t="inlineStr">
        <is>
          <t>Study Number 3—Measuring Events in the Stream of Time</t>
        </is>
      </c>
      <c r="X812" s="9" t="inlineStr">
        <is>
          <t>open</t>
        </is>
      </c>
      <c r="Y812" s="9" t="inlineStr">
        <is>
          <t>open</t>
        </is>
      </c>
      <c r="Z812" s="7" t="inlineStr">
        <is>
          <t>https://wol.jw.org/en/wol/d/r1/lp-e/1101990130
https://wol.jw.org/en/wol/d/r1/lp-e/1200002489
https://wol.jw.org/en/wol/d/r1/lp-e/1200000970
https://wol.jw.org/en/wol/d/r1/lp-e/1101990104</t>
        </is>
      </c>
      <c r="AA812" s="7" t="n">
        <v>0</v>
      </c>
      <c r="AB812" s="7" t="n"/>
      <c r="AC812" s="7" t="n">
        <v>1</v>
      </c>
      <c r="AD812" s="7" t="inlineStr">
        <is>
          <t>si states 'in the third year of Emperor Trajan, 100 C.E.' while Insight 'John' says 'in about 100 C.E.'; approx kept.</t>
        </is>
      </c>
      <c r="AE812" s="7" t="n"/>
      <c r="AF812" s="7" t="n"/>
      <c r="AG812" s="7" t="n"/>
      <c r="AH812" s="7" t="n"/>
      <c r="AI812" s="7" t="n"/>
      <c r="AJ812" s="7" t="n"/>
      <c r="AK812" s="7" t="n"/>
      <c r="AL812" s="7" t="n"/>
      <c r="AM812" s="7" t="n">
        <v>100.3</v>
      </c>
      <c r="AN812" s="10" t="n"/>
      <c r="AO812" s="10" t="n"/>
      <c r="AP812" s="10" t="n"/>
      <c r="AQ812" s="10" t="n"/>
    </row>
    <row r="813">
      <c r="A813" s="7" t="inlineStr">
        <is>
          <t>b6-0108</t>
        </is>
      </c>
      <c r="B813" s="7" t="inlineStr">
        <is>
          <t>Point</t>
        </is>
      </c>
      <c r="C813" s="7" t="n"/>
      <c r="D813" s="7" t="inlineStr">
        <is>
          <t>c. 100 C.E.</t>
        </is>
      </c>
      <c r="E813" s="7" t="n"/>
      <c r="F813" s="7" t="inlineStr">
        <is>
          <t>100 CE</t>
        </is>
      </c>
      <c r="G813" s="7" t="inlineStr">
        <is>
          <t>Approx. (c.)</t>
        </is>
      </c>
      <c r="H813" s="7" t="n"/>
      <c r="I813" s="7" t="n"/>
      <c r="J813" s="7" t="n"/>
      <c r="K813" s="2" t="inlineStr">
        <is>
          <t>Herod Agrippa II dies childless</t>
        </is>
      </c>
      <c r="L813" s="2" t="n"/>
      <c r="M813" s="7" t="inlineStr">
        <is>
          <t>After Jerusalem’s destruction, Herod Agrippa II moved to Rome with his sister Bernice, became a praetor, and died childless about 100 C.E.</t>
        </is>
      </c>
      <c r="N813" s="7" t="n"/>
      <c r="O813" s="8" t="inlineStr">
        <is>
          <t>Bible</t>
        </is>
      </c>
      <c r="P813" s="7" t="inlineStr">
        <is>
          <t>bible.apostolic</t>
        </is>
      </c>
      <c r="Q813" s="7" t="inlineStr">
        <is>
          <t>death</t>
        </is>
      </c>
      <c r="R813" s="7" t="inlineStr">
        <is>
          <t>Herod Agrippa II; Bernice</t>
        </is>
      </c>
      <c r="S813" s="7" t="inlineStr">
        <is>
          <t>Rome</t>
        </is>
      </c>
      <c r="T813" s="7" t="n"/>
      <c r="U813" s="7" t="n"/>
      <c r="V813" s="7" t="n">
        <v>1</v>
      </c>
      <c r="W813" s="7" t="inlineStr">
        <is>
          <t>Herod</t>
        </is>
      </c>
      <c r="X813" s="9" t="inlineStr">
        <is>
          <t>open</t>
        </is>
      </c>
      <c r="Y813" s="7" t="n"/>
      <c r="Z813" s="7" t="inlineStr">
        <is>
          <t>https://wol.jw.org/en/wol/d/r1/lp-e/1200002000</t>
        </is>
      </c>
      <c r="AA813" s="7" t="n">
        <v>0</v>
      </c>
      <c r="AB813" s="7" t="n"/>
      <c r="AC813" s="7" t="n">
        <v>0</v>
      </c>
      <c r="AD813" s="7" t="n"/>
      <c r="AE813" s="7" t="n"/>
      <c r="AF813" s="7" t="n"/>
      <c r="AG813" s="7" t="n"/>
      <c r="AH813" s="7" t="n"/>
      <c r="AI813" s="7" t="n"/>
      <c r="AJ813" s="7" t="n"/>
      <c r="AK813" s="7" t="n"/>
      <c r="AL813" s="7" t="n"/>
      <c r="AM813" s="7" t="n">
        <v>100.4</v>
      </c>
      <c r="AN813" s="10" t="n"/>
      <c r="AO813" s="10" t="n"/>
      <c r="AP813" s="10" t="n"/>
      <c r="AQ813" s="10" t="n"/>
    </row>
    <row r="814">
      <c r="A814" s="7" t="inlineStr">
        <is>
          <t>b17-0003</t>
        </is>
      </c>
      <c r="B814" s="7" t="inlineStr">
        <is>
          <t>Point</t>
        </is>
      </c>
      <c r="C814" s="7" t="n"/>
      <c r="D814" s="7" t="inlineStr">
        <is>
          <t>dawn of the 2nd century C.E.</t>
        </is>
      </c>
      <c r="E814" s="7" t="inlineStr">
        <is>
          <t>இரண்டாம் நூற்றாண்டின் துவக்கத்தில்</t>
        </is>
      </c>
      <c r="F814" s="7" t="inlineStr">
        <is>
          <t>101 CE</t>
        </is>
      </c>
      <c r="G814" s="7" t="inlineStr">
        <is>
          <t>Approx. (c.)</t>
        </is>
      </c>
      <c r="H814" s="7" t="n"/>
      <c r="I814" s="7" t="n"/>
      <c r="J814" s="7" t="n"/>
      <c r="K814" s="2" t="inlineStr">
        <is>
          <t>“The weeds appeared”: imitation Christians become visible</t>
        </is>
      </c>
      <c r="L814" s="2" t="inlineStr">
        <is>
          <t>“களைகள் வளர்ந்திருந்தன,” ஆம், உலகம் என்ற வயலில் போலி கிறிஸ்தவர்கள் தென்பட்டார்கள்</t>
        </is>
      </c>
      <c r="M814" s="7" t="inlineStr">
        <is>
          <t>At the dawn of the second century C.E., imitation Christians became visible in the world field, as foretold in Jesus’ illustration: “the weeds appeared.”</t>
        </is>
      </c>
      <c r="N814" s="7" t="inlineStr">
        <is>
          <t>இரண்டாம் நூற்றாண்டின் துவக்கத்தில் “களைகள் வளர்ந்திருந்தன,” ஆம், உலகம் என்ற வயலில் போலி கிறிஸ்தவர்கள் தென்பட்டார்கள்.</t>
        </is>
      </c>
      <c r="O814" s="12" t="inlineStr">
        <is>
          <t>Bible &amp; church history</t>
        </is>
      </c>
      <c r="P814" s="7" t="inlineStr">
        <is>
          <t>history.apostasy</t>
        </is>
      </c>
      <c r="Q814" s="7" t="inlineStr">
        <is>
          <t>apostasy</t>
        </is>
      </c>
      <c r="R814" s="7" t="n"/>
      <c r="S814" s="7" t="n"/>
      <c r="T814" s="7" t="inlineStr">
        <is>
          <t>Matt. 13:26</t>
        </is>
      </c>
      <c r="U814" s="7" t="inlineStr">
        <is>
          <t>மத். 13:26</t>
        </is>
      </c>
      <c r="V814" s="7" t="n">
        <v>1</v>
      </c>
      <c r="W814" s="7" t="inlineStr">
        <is>
          <t>“Look! I Am With You All the Days”</t>
        </is>
      </c>
      <c r="X814" s="9" t="inlineStr">
        <is>
          <t>open</t>
        </is>
      </c>
      <c r="Y814" s="9" t="inlineStr">
        <is>
          <t>open</t>
        </is>
      </c>
      <c r="Z814" s="7" t="inlineStr">
        <is>
          <t>https://wol.jw.org/en/wol/d/r1/lp-e/2013531</t>
        </is>
      </c>
      <c r="AA814" s="7" t="n">
        <v>0</v>
      </c>
      <c r="AB814" s="7" t="n"/>
      <c r="AC814" s="7" t="n">
        <v>0</v>
      </c>
      <c r="AD814" s="7" t="n"/>
      <c r="AE814" s="7" t="n"/>
      <c r="AF814" s="7" t="n"/>
      <c r="AG814" s="7" t="n"/>
      <c r="AH814" s="7" t="inlineStr">
        <is>
          <t>b17-0002</t>
        </is>
      </c>
      <c r="AI814" s="7" t="n"/>
      <c r="AJ814" s="7" t="n"/>
      <c r="AK814" s="7" t="inlineStr">
        <is>
          <t>wheat-and-weeds #7 (step)</t>
        </is>
      </c>
      <c r="AL814" s="7" t="inlineStr">
        <is>
          <t>'Dawn of the second century' drawn at 101 C.E. (approx). See b7-0001 (last apostle John dies, c. 100 C.E.).</t>
        </is>
      </c>
      <c r="AM814" s="7" t="n">
        <v>101</v>
      </c>
      <c r="AN814" s="10" t="n"/>
      <c r="AO814" s="10" t="n"/>
      <c r="AP814" s="10" t="n"/>
      <c r="AQ814" s="10" t="n"/>
    </row>
    <row r="815">
      <c r="A815" s="7" t="inlineStr">
        <is>
          <t>b7-0002</t>
        </is>
      </c>
      <c r="B815" s="7" t="inlineStr">
        <is>
          <t>Point</t>
        </is>
      </c>
      <c r="C815" s="7" t="n"/>
      <c r="D815" s="7" t="inlineStr">
        <is>
          <t>c. 125 C.E.</t>
        </is>
      </c>
      <c r="E815" s="7" t="inlineStr">
        <is>
          <t>பொ.ச. 125</t>
        </is>
      </c>
      <c r="F815" s="7" t="inlineStr">
        <is>
          <t>125 CE</t>
        </is>
      </c>
      <c r="G815" s="7" t="inlineStr">
        <is>
          <t>Approx. (c.)</t>
        </is>
      </c>
      <c r="H815" s="7" t="n"/>
      <c r="I815" s="7" t="n"/>
      <c r="J815" s="7" t="n"/>
      <c r="K815" s="2" t="inlineStr">
        <is>
          <t>Rylands Papyrus 457 (P52) copied — oldest fragment of the Christian Greek Scriptures</t>
        </is>
      </c>
      <c r="L815" s="2" t="inlineStr">
        <is>
          <t>யோவானின் ரைலன் பப்பைரஸ் (பொ.ச. 125-க்கு முன்)</t>
        </is>
      </c>
      <c r="M815" s="7" t="inlineStr">
        <is>
          <t>A small papyrus fragment of John chapter 18, written in the first half of the second century (possibly about 125 C.E.), is the oldest known manuscript fragment of the Christian Greek Scriptures. Found in Egypt, it shows John's Gospel was circulating there soon after John's death.</t>
        </is>
      </c>
      <c r="N815" s="7" t="inlineStr">
        <is>
          <t>ரைலன்ட்ஸ் பப்பைரஸ் 457 (P52) என்றழைக்கப்படும் யோவான் சுவிசேஷத்தினுடைய ஒரு நகலின் துண்டு இன்னும் இருக்கிறது; இது பொ.ச. 125 ஆண்டைச் சேர்ந்தது.</t>
        </is>
      </c>
      <c r="O815" s="12" t="inlineStr">
        <is>
          <t>Bible &amp; church history</t>
        </is>
      </c>
      <c r="P815" s="7" t="inlineStr">
        <is>
          <t>history.bible_preservation</t>
        </is>
      </c>
      <c r="Q815" s="7" t="inlineStr">
        <is>
          <t>manuscript</t>
        </is>
      </c>
      <c r="R815" s="7" t="n"/>
      <c r="S815" s="7" t="inlineStr">
        <is>
          <t>Egypt; Manchester</t>
        </is>
      </c>
      <c r="T815" s="7" t="n"/>
      <c r="U815" s="7" t="n"/>
      <c r="V815" s="7" t="n">
        <v>4</v>
      </c>
      <c r="W815" s="7" t="inlineStr">
        <is>
          <t>Manuscripts of the Bible</t>
        </is>
      </c>
      <c r="X815" s="9" t="inlineStr">
        <is>
          <t>open</t>
        </is>
      </c>
      <c r="Y815" s="7" t="n"/>
      <c r="Z815" s="7" t="inlineStr">
        <is>
          <t>https://wol.jw.org/en/wol/d/r1/lp-e/1200002893#h=28
https://wol.jw.org/en/wol/d/r1/lp-e/1997603#h=14
https://wol.jw.org/en/wol/d/r1/lp-e/1997603#h=46
https://wol.jw.org/en/wol/d/r1/lp-e/1101990133#h=15</t>
        </is>
      </c>
      <c r="AA815" s="7" t="n">
        <v>1</v>
      </c>
      <c r="AB815" s="9" t="inlineStr">
        <is>
          <t>open</t>
        </is>
      </c>
      <c r="AC815" s="7" t="n">
        <v>1</v>
      </c>
      <c r="AD815" s="7" t="inlineStr">
        <is>
          <t>Watchtower 1997 8/15 chart and text date P52 to "no later than 125 C.E." (before 125); Insight says "possibly about 125 C.E."</t>
        </is>
      </c>
      <c r="AE815" s="7" t="n"/>
      <c r="AF815" s="7" t="n"/>
      <c r="AG815" s="7" t="n"/>
      <c r="AH815" s="7" t="n"/>
      <c r="AI815" s="7" t="n"/>
      <c r="AJ815" s="7" t="n"/>
      <c r="AK815" s="7" t="inlineStr">
        <is>
          <t>how-the-bible-came-to-us #7 (item)</t>
        </is>
      </c>
      <c r="AL815" s="7" t="n"/>
      <c r="AM815" s="7" t="n">
        <v>125</v>
      </c>
      <c r="AN815" s="10" t="n"/>
      <c r="AO815" s="10" t="n"/>
      <c r="AP815" s="10" t="n"/>
      <c r="AQ815" s="10" t="n"/>
    </row>
    <row r="816">
      <c r="A816" s="7" t="inlineStr">
        <is>
          <t>b7-0003</t>
        </is>
      </c>
      <c r="B816" s="7" t="inlineStr">
        <is>
          <t>Point</t>
        </is>
      </c>
      <c r="C816" s="7" t="n"/>
      <c r="D816" s="7" t="inlineStr">
        <is>
          <t>2nd century C.E.</t>
        </is>
      </c>
      <c r="E816" s="7" t="n"/>
      <c r="F816" s="7" t="inlineStr">
        <is>
          <t>150 CE</t>
        </is>
      </c>
      <c r="G816" s="7" t="inlineStr">
        <is>
          <t>Approx. (c.)</t>
        </is>
      </c>
      <c r="H816" s="7" t="n"/>
      <c r="I816" s="7" t="n"/>
      <c r="J816" s="7" t="n"/>
      <c r="K816" s="2" t="inlineStr">
        <is>
          <t>Monarchical "bishop" office begins to develop</t>
        </is>
      </c>
      <c r="L816" s="2" t="inlineStr">
        <is>
          <t>என்றாலும், இரண்டாம் நூற்றாண்டில் அது ஆரம்பமானதென்று அத்தாட்சி காட்டுகிறது.​—ரோமர் 16:3-16; பிலிப்பியர் 1:1</t>
        </is>
      </c>
      <c r="M816" s="7" t="inlineStr">
        <is>
          <t>In the second century the office of a presiding overseer, called e-pi'sko-pos (bishop), began to be distinguished from the other elders, laying the groundwork for a clergy class. Evidence indicates that the one-man episcopate at Rome began to develop in this century.</t>
        </is>
      </c>
      <c r="N816" s="7" t="inlineStr">
        <is>
          <t>என்றாலும், இரண்டாம் நூற்றாண்டில் அது ஆரம்பமானதென்று அத்தாட்சி காட்டுகிறது.​—ரோமர் 16:3-16; பிலிப்பியர் 1:1.</t>
        </is>
      </c>
      <c r="O816" s="12" t="inlineStr">
        <is>
          <t>Bible &amp; church history</t>
        </is>
      </c>
      <c r="P816" s="7" t="inlineStr">
        <is>
          <t>history.apostasy</t>
        </is>
      </c>
      <c r="Q816" s="7" t="inlineStr">
        <is>
          <t>development</t>
        </is>
      </c>
      <c r="R816" s="7" t="n"/>
      <c r="S816" s="7" t="n"/>
      <c r="T816" s="7" t="inlineStr">
        <is>
          <t>Phil. 1:1</t>
        </is>
      </c>
      <c r="U816" s="7" t="n"/>
      <c r="V816" s="7" t="n">
        <v>2</v>
      </c>
      <c r="W816" s="7" t="inlineStr">
        <is>
          <t>The Great Apostasy Develops</t>
        </is>
      </c>
      <c r="X816" s="9" t="inlineStr">
        <is>
          <t>open</t>
        </is>
      </c>
      <c r="Y816" s="7" t="n"/>
      <c r="Z816" s="7" t="inlineStr">
        <is>
          <t>https://wol.jw.org/en/wol/d/r1/lp-e/1101993005#h=19
https://wol.jw.org/en/wol/d/r1/lp-e/1101990043#h=22</t>
        </is>
      </c>
      <c r="AA816" s="7" t="n">
        <v>0</v>
      </c>
      <c r="AB816" s="7" t="n"/>
      <c r="AC816" s="7" t="n">
        <v>0</v>
      </c>
      <c r="AD816" s="7" t="n"/>
      <c r="AE816" s="7" t="n"/>
      <c r="AF816" s="7" t="n"/>
      <c r="AG816" s="7" t="n"/>
      <c r="AH816" s="7" t="n"/>
      <c r="AI816" s="7" t="n"/>
      <c r="AJ816" s="7" t="n"/>
      <c r="AK816" s="7" t="n"/>
      <c r="AL816" s="7" t="n"/>
      <c r="AM816" s="7" t="n">
        <v>150</v>
      </c>
      <c r="AN816" s="10" t="n"/>
      <c r="AO816" s="10" t="n"/>
      <c r="AP816" s="10" t="n"/>
      <c r="AQ816" s="10" t="n"/>
    </row>
    <row r="817">
      <c r="A817" s="7" t="inlineStr">
        <is>
          <t>b7-0004</t>
        </is>
      </c>
      <c r="B817" s="11" t="inlineStr">
        <is>
          <t>Span</t>
        </is>
      </c>
      <c r="C817" s="7" t="inlineStr">
        <is>
          <t>writing</t>
        </is>
      </c>
      <c r="D817" s="7" t="inlineStr">
        <is>
          <t>150-170 C.E.</t>
        </is>
      </c>
      <c r="E817" s="7" t="inlineStr">
        <is>
          <t>பொ.ச. 150</t>
        </is>
      </c>
      <c r="F817" s="7" t="inlineStr">
        <is>
          <t>150 CE</t>
        </is>
      </c>
      <c r="G817" s="7" t="inlineStr">
        <is>
          <t>Exact</t>
        </is>
      </c>
      <c r="H817" s="7" t="inlineStr">
        <is>
          <t>170 CE</t>
        </is>
      </c>
      <c r="I817" s="7" t="inlineStr">
        <is>
          <t>Exact</t>
        </is>
      </c>
      <c r="J817" s="7" t="inlineStr">
        <is>
          <t>20 years</t>
        </is>
      </c>
      <c r="K817" s="2" t="inlineStr">
        <is>
          <t>Tatian produces the Diatessaron, a harmony of the four Gospels</t>
        </is>
      </c>
      <c r="L817" s="2" t="n"/>
      <c r="M817" s="7" t="inlineStr">
        <is>
          <t>As early as 150 to 170 C.E., Tatian, a student of Justin Martyr, compiled the Diatessaron from the same four Gospels found in the Bible today, showing that these were already accepted and circulating.</t>
        </is>
      </c>
      <c r="N817" s="7" t="inlineStr">
        <is>
          <t>பொ.ச. 150 முதல் 170 வரையான காலப்பகுதியிலேயே ஜஸ்டின் மார்டரின் ஒரு மாணவரான டேஷன், டையட்டெஸரான்-ஐ, அதாவது நம்முடைய நவீன பைபிள்களில் காணப்படும் அதே நான்கு சுவிசேஷங்களிலிருந்து சேகரித்த இயேசுவின் வாழ்க்கையைத் தொகுத்து எழுதினார்.a இந்த சுவிசேஷங்களை மாத்திரமே நம்பத்தக்கதாக அவர் கருதியதையும் அவை ஏற்கனவே உபயோகத்தில் இருந்து வந்ததையும் இது சுட்டிக்காட்டியது.</t>
        </is>
      </c>
      <c r="O817" s="12" t="inlineStr">
        <is>
          <t>Bible &amp; church history</t>
        </is>
      </c>
      <c r="P817" s="7" t="inlineStr">
        <is>
          <t>history.bible_preservation</t>
        </is>
      </c>
      <c r="Q817" s="7" t="inlineStr">
        <is>
          <t>writing</t>
        </is>
      </c>
      <c r="R817" s="7" t="inlineStr">
        <is>
          <t>Tatian</t>
        </is>
      </c>
      <c r="S817" s="7" t="n"/>
      <c r="T817" s="7" t="n"/>
      <c r="U817" s="7" t="n"/>
      <c r="V817" s="7" t="n">
        <v>2</v>
      </c>
      <c r="W817" s="7" t="inlineStr">
        <is>
          <t>Part One—How the Bible Came to Us</t>
        </is>
      </c>
      <c r="X817" s="9" t="inlineStr">
        <is>
          <t>open</t>
        </is>
      </c>
      <c r="Y817" s="9" t="inlineStr">
        <is>
          <t>open</t>
        </is>
      </c>
      <c r="Z817" s="7" t="inlineStr">
        <is>
          <t>https://wol.jw.org/en/wol/d/r1/lp-e/1997603#h=14
https://wol.jw.org/en/wol/d/r1/lp-e/1200004554#h=12</t>
        </is>
      </c>
      <c r="AA817" s="7" t="n">
        <v>0</v>
      </c>
      <c r="AB817" s="7" t="n"/>
      <c r="AC817" s="7" t="n">
        <v>0</v>
      </c>
      <c r="AD817" s="7" t="n"/>
      <c r="AE817" s="7" t="n"/>
      <c r="AF817" s="7" t="n"/>
      <c r="AG817" s="7" t="n"/>
      <c r="AH817" s="7" t="n"/>
      <c r="AI817" s="7" t="n"/>
      <c r="AJ817" s="7" t="n"/>
      <c r="AK817" s="7" t="inlineStr">
        <is>
          <t>how-the-bible-came-to-us #8 (item)</t>
        </is>
      </c>
      <c r="AL817" s="7" t="n"/>
      <c r="AM817" s="7" t="n">
        <v>150</v>
      </c>
      <c r="AN817" s="10" t="n"/>
      <c r="AO817" s="10" t="n"/>
      <c r="AP817" s="10" t="n"/>
      <c r="AQ817" s="10" t="n"/>
    </row>
    <row r="818">
      <c r="A818" s="7" t="inlineStr">
        <is>
          <t>b7-0005</t>
        </is>
      </c>
      <c r="B818" s="7" t="inlineStr">
        <is>
          <t>Point</t>
        </is>
      </c>
      <c r="C818" s="7" t="n"/>
      <c r="D818" s="7" t="inlineStr">
        <is>
          <t>mid-2nd century C.E.</t>
        </is>
      </c>
      <c r="E818" s="7" t="n"/>
      <c r="F818" s="7" t="inlineStr">
        <is>
          <t>150 CE</t>
        </is>
      </c>
      <c r="G818" s="7" t="inlineStr">
        <is>
          <t>Approx. (c.)</t>
        </is>
      </c>
      <c r="H818" s="7" t="n"/>
      <c r="I818" s="7" t="n"/>
      <c r="J818" s="7" t="n"/>
      <c r="K818" s="2" t="inlineStr">
        <is>
          <t>Greek philosophy begins to merge with "Christianity"</t>
        </is>
      </c>
      <c r="L818" s="2" t="n"/>
      <c r="M818" s="7" t="inlineStr">
        <is>
          <t>From the middle of the second century, professed Christians trained in Greek philosophy began expressing their faith in its terms. Apostate Christians of that century took on pagan Roman trappings and were imbued with Greek philosophy.</t>
        </is>
      </c>
      <c r="N818" s="7" t="inlineStr">
        <is>
          <t>இப்படிப்பட்ட தெளிவான அறிவுரைகள் இருந்தபோதிலும் இரண்டாவது நூற்றாண்டில் வாழ்ந்த விசுவாசதுரோக கிறிஸ்தவர்கள் புறமத ரோம வழிபாட்டு முறையிலிருந்து பல காரியங்களை ஏற்றுக்கொண்டனர்.</t>
        </is>
      </c>
      <c r="O818" s="12" t="inlineStr">
        <is>
          <t>Bible &amp; church history</t>
        </is>
      </c>
      <c r="P818" s="7" t="inlineStr">
        <is>
          <t>history.apostasy</t>
        </is>
      </c>
      <c r="Q818" s="7" t="inlineStr">
        <is>
          <t>development</t>
        </is>
      </c>
      <c r="R818" s="7" t="n"/>
      <c r="S818" s="7" t="n"/>
      <c r="T818" s="7" t="n"/>
      <c r="U818" s="7" t="n"/>
      <c r="V818" s="7" t="n">
        <v>2</v>
      </c>
      <c r="W818" s="7" t="inlineStr">
        <is>
          <t>The Great Apostasy Develops</t>
        </is>
      </c>
      <c r="X818" s="9" t="inlineStr">
        <is>
          <t>open</t>
        </is>
      </c>
      <c r="Y818" s="7" t="n"/>
      <c r="Z818" s="7" t="inlineStr">
        <is>
          <t>https://wol.jw.org/en/wol/d/r1/lp-e/1101993005#h=26
https://wol.jw.org/en/wol/d/r1/lp-e/1101990043#h=9</t>
        </is>
      </c>
      <c r="AA818" s="7" t="n">
        <v>0</v>
      </c>
      <c r="AB818" s="7" t="n"/>
      <c r="AC818" s="7" t="n">
        <v>0</v>
      </c>
      <c r="AD818" s="7" t="n"/>
      <c r="AE818" s="7" t="n"/>
      <c r="AF818" s="7" t="n"/>
      <c r="AG818" s="7" t="n"/>
      <c r="AH818" s="7" t="n"/>
      <c r="AI818" s="7" t="n"/>
      <c r="AJ818" s="7" t="n"/>
      <c r="AK818" s="7" t="n"/>
      <c r="AL818" s="7" t="n"/>
      <c r="AM818" s="7" t="n">
        <v>150.01</v>
      </c>
      <c r="AN818" s="10" t="n"/>
      <c r="AO818" s="10" t="n"/>
      <c r="AP818" s="10" t="n"/>
      <c r="AQ818" s="10" t="n"/>
    </row>
    <row r="819">
      <c r="A819" s="7" t="inlineStr">
        <is>
          <t>b7-0006</t>
        </is>
      </c>
      <c r="B819" s="7" t="inlineStr">
        <is>
          <t>Point</t>
        </is>
      </c>
      <c r="C819" s="7" t="n"/>
      <c r="D819" s="7" t="inlineStr">
        <is>
          <t>c. 170 C.E.</t>
        </is>
      </c>
      <c r="E819" s="7" t="inlineStr">
        <is>
          <t>சுமார் பொ.ச. 170</t>
        </is>
      </c>
      <c r="F819" s="7" t="inlineStr">
        <is>
          <t>170 CE</t>
        </is>
      </c>
      <c r="G819" s="7" t="inlineStr">
        <is>
          <t>Approx. (c.)</t>
        </is>
      </c>
      <c r="H819" s="7" t="n"/>
      <c r="I819" s="7" t="n"/>
      <c r="J819" s="7" t="n"/>
      <c r="K819" s="2" t="inlineStr">
        <is>
          <t>Muratorian Fragment — earliest known catalog of "New Testament" books</t>
        </is>
      </c>
      <c r="L819" s="2" t="n"/>
      <c r="M819" s="7" t="inlineStr">
        <is>
          <t>About 170 C.E., the earliest known catalog of Christian Greek Scripture books, called the Muratorian Fragment, was produced. It lists most of the books of the Christian Greek Scriptures.</t>
        </is>
      </c>
      <c r="N819" s="7" t="inlineStr">
        <is>
          <t>சுமார் பொ.ச. 170-ல், பழமையானதாக அறியப்பட்டிருந்த முயூரட்டோரியன் துண்டு என்றழைக்கப்பட்ட “புதிய ஏற்பாட்டு” புத்தகங்களின் ஒரு பட்டியல் பிரசுரிக்கப்பட்டது.</t>
        </is>
      </c>
      <c r="O819" s="12" t="inlineStr">
        <is>
          <t>Bible &amp; church history</t>
        </is>
      </c>
      <c r="P819" s="7" t="inlineStr">
        <is>
          <t>history.bible_preservation</t>
        </is>
      </c>
      <c r="Q819" s="7" t="inlineStr">
        <is>
          <t>writing</t>
        </is>
      </c>
      <c r="R819" s="7" t="n"/>
      <c r="S819" s="7" t="n"/>
      <c r="T819" s="7" t="n"/>
      <c r="U819" s="7" t="n"/>
      <c r="V819" s="7" t="n">
        <v>1</v>
      </c>
      <c r="W819" s="7" t="inlineStr">
        <is>
          <t>Part One—How the Bible Came to Us</t>
        </is>
      </c>
      <c r="X819" s="9" t="inlineStr">
        <is>
          <t>open</t>
        </is>
      </c>
      <c r="Y819" s="9" t="inlineStr">
        <is>
          <t>open</t>
        </is>
      </c>
      <c r="Z819" s="7" t="inlineStr">
        <is>
          <t>https://wol.jw.org/en/wol/d/r1/lp-e/1997603#h=14</t>
        </is>
      </c>
      <c r="AA819" s="7" t="n">
        <v>0</v>
      </c>
      <c r="AB819" s="7" t="n"/>
      <c r="AC819" s="7" t="n">
        <v>0</v>
      </c>
      <c r="AD819" s="7" t="n"/>
      <c r="AE819" s="7" t="n"/>
      <c r="AF819" s="7" t="n"/>
      <c r="AG819" s="7" t="n"/>
      <c r="AH819" s="7" t="n"/>
      <c r="AI819" s="7" t="n"/>
      <c r="AJ819" s="7" t="n"/>
      <c r="AK819" s="7" t="inlineStr">
        <is>
          <t>how-the-bible-came-to-us #9 (item)</t>
        </is>
      </c>
      <c r="AL819" s="7" t="n"/>
      <c r="AM819" s="7" t="n">
        <v>170</v>
      </c>
      <c r="AN819" s="10" t="n"/>
      <c r="AO819" s="10" t="n"/>
      <c r="AP819" s="10" t="n"/>
      <c r="AQ819" s="10" t="n"/>
    </row>
    <row r="820">
      <c r="A820" s="7" t="inlineStr">
        <is>
          <t>b7-0007</t>
        </is>
      </c>
      <c r="B820" s="7" t="inlineStr">
        <is>
          <t>Point</t>
        </is>
      </c>
      <c r="C820" s="7" t="n"/>
      <c r="D820" s="7" t="inlineStr">
        <is>
          <t>c. 187 C.E.</t>
        </is>
      </c>
      <c r="E820" s="7" t="inlineStr">
        <is>
          <t>187</t>
        </is>
      </c>
      <c r="F820" s="7" t="inlineStr">
        <is>
          <t>187 CE</t>
        </is>
      </c>
      <c r="G820" s="7" t="inlineStr">
        <is>
          <t>Approx. (c.)</t>
        </is>
      </c>
      <c r="H820" s="7" t="n"/>
      <c r="I820" s="7" t="n"/>
      <c r="J820" s="7" t="n"/>
      <c r="K820" s="2" t="inlineStr">
        <is>
          <t>Irenaeus lists twenty varieties of "Christianity"</t>
        </is>
      </c>
      <c r="L820" s="2" t="n"/>
      <c r="M820" s="7" t="inlineStr">
        <is>
          <t>Within decades of the apostles' death, schisms were evident. About 187 C.E., Irenaeus listed twenty varieties of Christianity.</t>
        </is>
      </c>
      <c r="N820" s="7" t="inlineStr">
        <is>
          <t>சுமார் [பொ.ச.] 187-ல் ஐரேனியஸ் கிறிஸ்தவத்தில் இருபது பிரிவுகளை பட்டியலிட்டார்; சுமார் [பொ.ச.] 384-ல் எபிபேனியஸ் எண்பது பிரிவுகள் இருப்பதாக கணக்கிட்டார்.”​—நாகரிகத்தின் கதை: பகுதி III​—இராயனும் கிறிஸ்துவும்.</t>
        </is>
      </c>
      <c r="O820" s="12" t="inlineStr">
        <is>
          <t>Bible &amp; church history</t>
        </is>
      </c>
      <c r="P820" s="7" t="inlineStr">
        <is>
          <t>history.apostasy</t>
        </is>
      </c>
      <c r="Q820" s="7" t="inlineStr">
        <is>
          <t>schism</t>
        </is>
      </c>
      <c r="R820" s="7" t="inlineStr">
        <is>
          <t>Irenaeus</t>
        </is>
      </c>
      <c r="S820" s="7" t="n"/>
      <c r="T820" s="7" t="n"/>
      <c r="U820" s="7" t="n"/>
      <c r="V820" s="7" t="n">
        <v>1</v>
      </c>
      <c r="W820" s="7" t="inlineStr">
        <is>
          <t>Apostasy—The Way to God Blocked</t>
        </is>
      </c>
      <c r="X820" s="9" t="inlineStr">
        <is>
          <t>open</t>
        </is>
      </c>
      <c r="Y820" s="9" t="inlineStr">
        <is>
          <t>open</t>
        </is>
      </c>
      <c r="Z820" s="7" t="inlineStr">
        <is>
          <t>https://wol.jw.org/en/wol/d/r1/lp-e/1101990043#h=39</t>
        </is>
      </c>
      <c r="AA820" s="7" t="n">
        <v>0</v>
      </c>
      <c r="AB820" s="7" t="n"/>
      <c r="AC820" s="7" t="n">
        <v>0</v>
      </c>
      <c r="AD820" s="7" t="n"/>
      <c r="AE820" s="7" t="n"/>
      <c r="AF820" s="7" t="n"/>
      <c r="AG820" s="7" t="n"/>
      <c r="AH820" s="7" t="n"/>
      <c r="AI820" s="7" t="n"/>
      <c r="AJ820" s="7" t="n"/>
      <c r="AK820" s="7" t="n"/>
      <c r="AL820" s="7" t="n"/>
      <c r="AM820" s="7" t="n">
        <v>187</v>
      </c>
      <c r="AN820" s="10" t="n"/>
      <c r="AO820" s="10" t="n"/>
      <c r="AP820" s="10" t="n"/>
      <c r="AQ820" s="10" t="n"/>
    </row>
    <row r="821">
      <c r="A821" s="7" t="inlineStr">
        <is>
          <t>b7-0008</t>
        </is>
      </c>
      <c r="B821" s="7" t="inlineStr">
        <is>
          <t>Point</t>
        </is>
      </c>
      <c r="C821" s="7" t="n"/>
      <c r="D821" s="7" t="inlineStr">
        <is>
          <t>end of 2nd century C.E.</t>
        </is>
      </c>
      <c r="E821" s="7" t="n"/>
      <c r="F821" s="7" t="inlineStr">
        <is>
          <t>199 CE</t>
        </is>
      </c>
      <c r="G821" s="7" t="inlineStr">
        <is>
          <t>Before (b.)</t>
        </is>
      </c>
      <c r="H821" s="7" t="n"/>
      <c r="I821" s="7" t="n"/>
      <c r="J821" s="7" t="n"/>
      <c r="K821" s="2" t="inlineStr">
        <is>
          <t>Canon of the Christian Greek Scriptures recognized as closed</t>
        </is>
      </c>
      <c r="L821" s="2" t="n"/>
      <c r="M821" s="7" t="inlineStr">
        <is>
          <t>By the end of the second century there was no question that the canon of the Christian Greek Scriptures was closed; writers such as Irenaeus, Clement of Alexandria, and Tertullian treated those writings as having authority equal to the Hebrew Scriptures. The Christian Greek Scriptures had also been translated into Latin by then.</t>
        </is>
      </c>
      <c r="N821" s="7" t="inlineStr">
        <is>
          <t>ஆகவே, இரண்டாம் நூற்றாண்டின் முடிவுக்குள் கிறிஸ்தவ கிரேக்க வேதாகமத்தின் அங்கீகரிக்கப்பட்ட புத்தகத்தொகுப்பு முடிவுக்கு வந்து, இவ்வாறு முழு பைபிளின் அங்கீகரிக்கப்பட்ட புத்தகத்தொகுப்பு பூர்த்தியாயிற்று என்பதிலும் சந்தேகமில்லை.</t>
        </is>
      </c>
      <c r="O821" s="12" t="inlineStr">
        <is>
          <t>Bible &amp; church history</t>
        </is>
      </c>
      <c r="P821" s="7" t="inlineStr">
        <is>
          <t>history.bible_preservation</t>
        </is>
      </c>
      <c r="Q821" s="7" t="inlineStr">
        <is>
          <t>canon</t>
        </is>
      </c>
      <c r="R821" s="7" t="n"/>
      <c r="S821" s="7" t="n"/>
      <c r="T821" s="7" t="n"/>
      <c r="U821" s="7" t="n"/>
      <c r="V821" s="7" t="n">
        <v>3</v>
      </c>
      <c r="W821" s="7" t="inlineStr">
        <is>
          <t>Canon</t>
        </is>
      </c>
      <c r="X821" s="9" t="inlineStr">
        <is>
          <t>open</t>
        </is>
      </c>
      <c r="Y821" s="7" t="n"/>
      <c r="Z821" s="7" t="inlineStr">
        <is>
          <t>https://wol.jw.org/en/wol/d/r1/lp-e/1200000880#h=28
https://wol.jw.org/en/wol/d/r1/lp-e/1200004554#h=14
https://wol.jw.org/en/wol/d/r1/lp-e/1101990133#h=19</t>
        </is>
      </c>
      <c r="AA821" s="7" t="n">
        <v>0</v>
      </c>
      <c r="AB821" s="7" t="n"/>
      <c r="AC821" s="7" t="n">
        <v>0</v>
      </c>
      <c r="AD821" s="7" t="n"/>
      <c r="AE821" s="7" t="n"/>
      <c r="AF821" s="7" t="n"/>
      <c r="AG821" s="7" t="n"/>
      <c r="AH821" s="7" t="n"/>
      <c r="AI821" s="7" t="n"/>
      <c r="AJ821" s="7" t="n"/>
      <c r="AK821" s="7" t="n"/>
      <c r="AL821" s="7" t="n"/>
      <c r="AM821" s="7" t="n">
        <v>199.99</v>
      </c>
      <c r="AN821" s="10" t="n"/>
      <c r="AO821" s="10" t="n"/>
      <c r="AP821" s="10" t="n"/>
      <c r="AQ821" s="10" t="n"/>
    </row>
    <row r="822">
      <c r="A822" s="7" t="inlineStr">
        <is>
          <t>b7-0009</t>
        </is>
      </c>
      <c r="B822" s="7" t="inlineStr">
        <is>
          <t>Point</t>
        </is>
      </c>
      <c r="C822" s="7" t="n"/>
      <c r="D822" s="7" t="inlineStr">
        <is>
          <t>c. 200 C.E.</t>
        </is>
      </c>
      <c r="E822" s="7" t="n"/>
      <c r="F822" s="7" t="inlineStr">
        <is>
          <t>200 CE</t>
        </is>
      </c>
      <c r="G822" s="7" t="inlineStr">
        <is>
          <t>Approx. (c.)</t>
        </is>
      </c>
      <c r="H822" s="7" t="n"/>
      <c r="I822" s="7" t="n"/>
      <c r="J822" s="7" t="n"/>
      <c r="K822" s="2" t="inlineStr">
        <is>
          <t>Symmachus' Greek version of the Hebrew Scriptures</t>
        </is>
      </c>
      <c r="L822" s="2" t="n"/>
      <c r="M822" s="7" t="inlineStr">
        <is>
          <t>Symmachus produced a Greek version of the Hebrew Scriptures, probably about 200 C.E., aiming to convey the sense rather than be literal. Earlier in the second century, Aquila and Theodotion had also made Greek versions.</t>
        </is>
      </c>
      <c r="N822" s="7" t="n"/>
      <c r="O822" s="12" t="inlineStr">
        <is>
          <t>Bible &amp; church history</t>
        </is>
      </c>
      <c r="P822" s="7" t="inlineStr">
        <is>
          <t>history.bible_translation</t>
        </is>
      </c>
      <c r="Q822" s="7" t="inlineStr">
        <is>
          <t>translation</t>
        </is>
      </c>
      <c r="R822" s="7" t="inlineStr">
        <is>
          <t>Symmachus; Aquila; Theodotion</t>
        </is>
      </c>
      <c r="S822" s="7" t="n"/>
      <c r="T822" s="7" t="n"/>
      <c r="U822" s="7" t="n"/>
      <c r="V822" s="7" t="n">
        <v>1</v>
      </c>
      <c r="W822" s="7" t="inlineStr">
        <is>
          <t>Versions</t>
        </is>
      </c>
      <c r="X822" s="9" t="inlineStr">
        <is>
          <t>open</t>
        </is>
      </c>
      <c r="Y822" s="7" t="n"/>
      <c r="Z822" s="7" t="inlineStr">
        <is>
          <t>https://wol.jw.org/en/wol/d/r1/lp-e/1200004554#h=10</t>
        </is>
      </c>
      <c r="AA822" s="7" t="n">
        <v>0</v>
      </c>
      <c r="AB822" s="7" t="n"/>
      <c r="AC822" s="7" t="n">
        <v>0</v>
      </c>
      <c r="AD822" s="7" t="n"/>
      <c r="AE822" s="7" t="n"/>
      <c r="AF822" s="7" t="n"/>
      <c r="AG822" s="7" t="n"/>
      <c r="AH822" s="7" t="n"/>
      <c r="AI822" s="7" t="n"/>
      <c r="AJ822" s="7" t="n"/>
      <c r="AK822" s="7" t="n"/>
      <c r="AL822" s="7" t="n"/>
      <c r="AM822" s="7" t="n">
        <v>200</v>
      </c>
      <c r="AN822" s="10" t="n"/>
      <c r="AO822" s="10" t="n"/>
      <c r="AP822" s="10" t="n"/>
      <c r="AQ822" s="10" t="n"/>
    </row>
    <row r="823">
      <c r="A823" s="7" t="inlineStr">
        <is>
          <t>b7-0010</t>
        </is>
      </c>
      <c r="B823" s="7" t="inlineStr">
        <is>
          <t>Point</t>
        </is>
      </c>
      <c r="C823" s="7" t="n"/>
      <c r="D823" s="7" t="inlineStr">
        <is>
          <t>c. 200 C.E.</t>
        </is>
      </c>
      <c r="E823" s="7" t="n"/>
      <c r="F823" s="7" t="inlineStr">
        <is>
          <t>200 CE</t>
        </is>
      </c>
      <c r="G823" s="7" t="inlineStr">
        <is>
          <t>Approx. (c.)</t>
        </is>
      </c>
      <c r="H823" s="7" t="n"/>
      <c r="I823" s="7" t="n"/>
      <c r="J823" s="7" t="n"/>
      <c r="K823" s="2" t="inlineStr">
        <is>
          <t>Chester Beatty Papyrus No. 2 (P46) — codex of nine letters of Paul</t>
        </is>
      </c>
      <c r="L823" s="2" t="n"/>
      <c r="M823" s="7" t="inlineStr">
        <is>
          <t>P46, believed to be from about 200 C.E., contains nine of Paul's letters including Hebrews, showing that early Christians accepted Hebrews as Paul's inspired writing. The Chester Beatty papyri were made public in 1931.</t>
        </is>
      </c>
      <c r="N823" s="7" t="n"/>
      <c r="O823" s="12" t="inlineStr">
        <is>
          <t>Bible &amp; church history</t>
        </is>
      </c>
      <c r="P823" s="7" t="inlineStr">
        <is>
          <t>history.bible_preservation</t>
        </is>
      </c>
      <c r="Q823" s="7" t="inlineStr">
        <is>
          <t>manuscript</t>
        </is>
      </c>
      <c r="R823" s="7" t="n"/>
      <c r="S823" s="7" t="inlineStr">
        <is>
          <t>Egypt; Dublin</t>
        </is>
      </c>
      <c r="T823" s="7" t="n"/>
      <c r="U823" s="7" t="n"/>
      <c r="V823" s="7" t="n">
        <v>2</v>
      </c>
      <c r="W823" s="7" t="inlineStr">
        <is>
          <t>Manuscripts of the Bible</t>
        </is>
      </c>
      <c r="X823" s="9" t="inlineStr">
        <is>
          <t>open</t>
        </is>
      </c>
      <c r="Y823" s="7" t="n"/>
      <c r="Z823" s="7" t="inlineStr">
        <is>
          <t>https://wol.jw.org/en/wol/d/r1/lp-e/1200002893#h=27
https://wol.jw.org/en/wol/d/r1/lp-e/1101990133#h=17</t>
        </is>
      </c>
      <c r="AA823" s="7" t="n">
        <v>0</v>
      </c>
      <c r="AB823" s="7" t="n"/>
      <c r="AC823" s="7" t="n">
        <v>0</v>
      </c>
      <c r="AD823" s="7" t="n"/>
      <c r="AE823" s="7" t="n"/>
      <c r="AF823" s="7" t="n"/>
      <c r="AG823" s="7" t="n"/>
      <c r="AH823" s="7" t="n"/>
      <c r="AI823" s="7" t="n"/>
      <c r="AJ823" s="7" t="n"/>
      <c r="AK823" s="7" t="inlineStr">
        <is>
          <t>how-the-bible-came-to-us #10 (item)</t>
        </is>
      </c>
      <c r="AL823" s="7" t="n"/>
      <c r="AM823" s="7" t="n">
        <v>200.01</v>
      </c>
      <c r="AN823" s="10" t="n"/>
      <c r="AO823" s="10" t="n"/>
      <c r="AP823" s="10" t="n"/>
      <c r="AQ823" s="10" t="n"/>
    </row>
    <row r="824">
      <c r="A824" s="7" t="inlineStr">
        <is>
          <t>b7-0011</t>
        </is>
      </c>
      <c r="B824" s="7" t="inlineStr">
        <is>
          <t>Point</t>
        </is>
      </c>
      <c r="C824" s="7" t="n"/>
      <c r="D824" s="7" t="inlineStr">
        <is>
          <t>c. 200 C.E.</t>
        </is>
      </c>
      <c r="E824" s="7" t="n"/>
      <c r="F824" s="7" t="inlineStr">
        <is>
          <t>200 CE</t>
        </is>
      </c>
      <c r="G824" s="7" t="inlineStr">
        <is>
          <t>Approx. (c.)</t>
        </is>
      </c>
      <c r="H824" s="7" t="n"/>
      <c r="I824" s="7" t="n"/>
      <c r="J824" s="7" t="n"/>
      <c r="K824" s="2" t="inlineStr">
        <is>
          <t>Bodmer Papyri P66 and P75 written</t>
        </is>
      </c>
      <c r="L824" s="2" t="n"/>
      <c r="M824" s="7" t="inlineStr">
        <is>
          <t>Papyrus Bodmer 2 (P66) and Papyrus Bodmer 14, 15 (P75), both written about 200 C.E., contain much of John and Luke. P75 is textually very close to Vatican Manuscript No. 1209.</t>
        </is>
      </c>
      <c r="N824" s="7" t="n"/>
      <c r="O824" s="12" t="inlineStr">
        <is>
          <t>Bible &amp; church history</t>
        </is>
      </c>
      <c r="P824" s="7" t="inlineStr">
        <is>
          <t>history.bible_preservation</t>
        </is>
      </c>
      <c r="Q824" s="7" t="inlineStr">
        <is>
          <t>manuscript</t>
        </is>
      </c>
      <c r="R824" s="7" t="n"/>
      <c r="S824" s="7" t="n"/>
      <c r="T824" s="7" t="n"/>
      <c r="U824" s="7" t="n"/>
      <c r="V824" s="7" t="n">
        <v>2</v>
      </c>
      <c r="W824" s="7" t="inlineStr">
        <is>
          <t>Manuscripts of the Bible</t>
        </is>
      </c>
      <c r="X824" s="9" t="inlineStr">
        <is>
          <t>open</t>
        </is>
      </c>
      <c r="Y824" s="7" t="n"/>
      <c r="Z824" s="7" t="inlineStr">
        <is>
          <t>https://wol.jw.org/en/wol/d/r1/lp-e/1200002893#h=29
https://wol.jw.org/en/wol/d/r1/lp-e/1101990133#h=18</t>
        </is>
      </c>
      <c r="AA824" s="7" t="n">
        <v>0</v>
      </c>
      <c r="AB824" s="7" t="n"/>
      <c r="AC824" s="7" t="n">
        <v>1</v>
      </c>
      <c r="AD824" s="7" t="inlineStr">
        <is>
          <t>"All Scripture" Study 6 dates P66 and P75 to the early third century C.E.; Insight says about 200 C.E.</t>
        </is>
      </c>
      <c r="AE824" s="7" t="n"/>
      <c r="AF824" s="7" t="n"/>
      <c r="AG824" s="7" t="n"/>
      <c r="AH824" s="7" t="n"/>
      <c r="AI824" s="7" t="n"/>
      <c r="AJ824" s="7" t="n"/>
      <c r="AK824" s="7" t="inlineStr">
        <is>
          <t>how-the-bible-came-to-us #11 (item)</t>
        </is>
      </c>
      <c r="AL824" s="7" t="n"/>
      <c r="AM824" s="7" t="n">
        <v>200.02</v>
      </c>
      <c r="AN824" s="10" t="n"/>
      <c r="AO824" s="10" t="n"/>
      <c r="AP824" s="10" t="n"/>
      <c r="AQ824" s="10" t="n"/>
    </row>
    <row r="825">
      <c r="A825" s="7" t="inlineStr">
        <is>
          <t>b7-0012</t>
        </is>
      </c>
      <c r="B825" s="7" t="inlineStr">
        <is>
          <t>Point</t>
        </is>
      </c>
      <c r="C825" s="7" t="n"/>
      <c r="D825" s="7" t="inlineStr">
        <is>
          <t>c. 245 C.E.</t>
        </is>
      </c>
      <c r="E825" s="7" t="inlineStr">
        <is>
          <t>பொ.ச. 245</t>
        </is>
      </c>
      <c r="F825" s="7" t="inlineStr">
        <is>
          <t>245 CE</t>
        </is>
      </c>
      <c r="G825" s="7" t="inlineStr">
        <is>
          <t>Approx. (c.)</t>
        </is>
      </c>
      <c r="H825" s="7" t="n"/>
      <c r="I825" s="7" t="n"/>
      <c r="J825" s="7" t="n"/>
      <c r="K825" s="2" t="inlineStr">
        <is>
          <t>Origen completes the Hexapla</t>
        </is>
      </c>
      <c r="L825" s="2" t="n"/>
      <c r="M825" s="7" t="inlineStr">
        <is>
          <t>About 245 C.E., Origen of Alexandria completed the Hexapla, a six-column edition of the Hebrew Scriptures including the Hebrew text, a Greek transliteration, and Greek versions. Its Septuagint column contained the divine name in Hebrew characters.</t>
        </is>
      </c>
      <c r="N825" s="7" t="inlineStr">
        <is>
          <t>பொ.ச. 245-ல் முடிக்கப்பட்ட ஆரிகெனின் ஆறு பத்தி ஹெக்ஸப்லா செப்டுவஜின்ட் பைபிளிலும், கடவுளுடைய பெயர் எபிரெய நான்கெழுத்து உருவில் தோன்றுவது கவனத்திற்குரியது.</t>
        </is>
      </c>
      <c r="O825" s="12" t="inlineStr">
        <is>
          <t>Bible &amp; church history</t>
        </is>
      </c>
      <c r="P825" s="7" t="inlineStr">
        <is>
          <t>history.bible_preservation</t>
        </is>
      </c>
      <c r="Q825" s="7" t="inlineStr">
        <is>
          <t>writing</t>
        </is>
      </c>
      <c r="R825" s="7" t="inlineStr">
        <is>
          <t>Origen</t>
        </is>
      </c>
      <c r="S825" s="7" t="inlineStr">
        <is>
          <t>Alexandria</t>
        </is>
      </c>
      <c r="T825" s="7" t="n"/>
      <c r="U825" s="7" t="n"/>
      <c r="V825" s="7" t="n">
        <v>2</v>
      </c>
      <c r="W825" s="7" t="inlineStr">
        <is>
          <t>Versions</t>
        </is>
      </c>
      <c r="X825" s="9" t="inlineStr">
        <is>
          <t>open</t>
        </is>
      </c>
      <c r="Y825" s="7" t="n"/>
      <c r="Z825" s="7" t="inlineStr">
        <is>
          <t>https://wol.jw.org/en/wol/d/r1/lp-e/1200004554#h=11
https://wol.jw.org/en/wol/d/r1/lp-e/1101990132#h=20</t>
        </is>
      </c>
      <c r="AA825" s="7" t="n">
        <v>0</v>
      </c>
      <c r="AB825" s="7" t="n"/>
      <c r="AC825" s="7" t="n">
        <v>0</v>
      </c>
      <c r="AD825" s="7" t="n"/>
      <c r="AE825" s="7" t="n"/>
      <c r="AF825" s="7" t="n"/>
      <c r="AG825" s="7" t="n"/>
      <c r="AH825" s="7" t="n"/>
      <c r="AI825" s="7" t="n"/>
      <c r="AJ825" s="7" t="n"/>
      <c r="AK825" s="7" t="n"/>
      <c r="AL825" s="7" t="n"/>
      <c r="AM825" s="7" t="n">
        <v>245</v>
      </c>
      <c r="AN825" s="10" t="n"/>
      <c r="AO825" s="10" t="n"/>
      <c r="AP825" s="10" t="n"/>
      <c r="AQ825" s="10" t="n"/>
    </row>
    <row r="826">
      <c r="A826" s="7" t="inlineStr">
        <is>
          <t>b7-0013</t>
        </is>
      </c>
      <c r="B826" s="7" t="inlineStr">
        <is>
          <t>Point</t>
        </is>
      </c>
      <c r="C826" s="7" t="n"/>
      <c r="D826" s="7" t="inlineStr">
        <is>
          <t>3rd century C.E.</t>
        </is>
      </c>
      <c r="E826" s="7" t="n"/>
      <c r="F826" s="7" t="inlineStr">
        <is>
          <t>250 CE</t>
        </is>
      </c>
      <c r="G826" s="7" t="inlineStr">
        <is>
          <t>Approx. (c.)</t>
        </is>
      </c>
      <c r="H826" s="7" t="n"/>
      <c r="I826" s="7" t="n"/>
      <c r="J826" s="7" t="n"/>
      <c r="K826" s="2" t="inlineStr">
        <is>
          <t>Bishop of Rome first called "Pope"</t>
        </is>
      </c>
      <c r="L826" s="2" t="n"/>
      <c r="M826" s="7" t="inlineStr">
        <is>
          <t>The title "pope" was not used during the first two centuries. The first Bishop of Rome to be called "Pope" seems to have been Callistus in the third century.</t>
        </is>
      </c>
      <c r="N826" s="7" t="inlineStr">
        <is>
          <t>முன்னாள் ஜெஸ்யூட் மைக்கேல் வால்ஷ் இவ்வாறு விளக்குகிறார்: “மூன்றாவது நூற்றாண்டில்தான் ரோமிலிருந்த பிஷப் ‘போப்’ என்பதாக முதன்முறையாக அழைக்கப்பட்டார்; இந்தப் பட்டப்பெயர் போப் காலிஸ்டிஸுக்கு கொடுக்கப்பட்டது . . .</t>
        </is>
      </c>
      <c r="O826" s="12" t="inlineStr">
        <is>
          <t>Bible &amp; church history</t>
        </is>
      </c>
      <c r="P826" s="7" t="inlineStr">
        <is>
          <t>history.apostasy</t>
        </is>
      </c>
      <c r="Q826" s="7" t="inlineStr">
        <is>
          <t>title</t>
        </is>
      </c>
      <c r="R826" s="7" t="inlineStr">
        <is>
          <t>Callistus</t>
        </is>
      </c>
      <c r="S826" s="7" t="n"/>
      <c r="T826" s="7" t="n"/>
      <c r="U826" s="7" t="n"/>
      <c r="V826" s="7" t="n">
        <v>1</v>
      </c>
      <c r="W826" s="7" t="inlineStr">
        <is>
          <t>Apostasy—The Way to God Blocked</t>
        </is>
      </c>
      <c r="X826" s="9" t="inlineStr">
        <is>
          <t>open</t>
        </is>
      </c>
      <c r="Y826" s="9" t="inlineStr">
        <is>
          <t>open</t>
        </is>
      </c>
      <c r="Z826" s="7" t="inlineStr">
        <is>
          <t>https://wol.jw.org/en/wol/d/r1/lp-e/1101990043#h=23</t>
        </is>
      </c>
      <c r="AA826" s="7" t="n">
        <v>0</v>
      </c>
      <c r="AB826" s="7" t="n"/>
      <c r="AC826" s="7" t="n">
        <v>0</v>
      </c>
      <c r="AD826" s="7" t="n"/>
      <c r="AE826" s="7" t="n"/>
      <c r="AF826" s="7" t="n"/>
      <c r="AG826" s="7" t="n"/>
      <c r="AH826" s="7" t="n"/>
      <c r="AI826" s="7" t="n"/>
      <c r="AJ826" s="7" t="n"/>
      <c r="AK826" s="7" t="n"/>
      <c r="AL826" s="7" t="n"/>
      <c r="AM826" s="7" t="n">
        <v>249.5</v>
      </c>
      <c r="AN826" s="10" t="n"/>
      <c r="AO826" s="10" t="n"/>
      <c r="AP826" s="10" t="n"/>
      <c r="AQ826" s="10" t="n"/>
    </row>
    <row r="827">
      <c r="A827" s="7" t="inlineStr">
        <is>
          <t>b7-0014</t>
        </is>
      </c>
      <c r="B827" s="7" t="inlineStr">
        <is>
          <t>Point</t>
        </is>
      </c>
      <c r="C827" s="7" t="n"/>
      <c r="D827" s="7" t="inlineStr">
        <is>
          <t>by 250 C.E.</t>
        </is>
      </c>
      <c r="E827" s="7" t="n"/>
      <c r="F827" s="7" t="inlineStr">
        <is>
          <t>250 CE</t>
        </is>
      </c>
      <c r="G827" s="7" t="inlineStr">
        <is>
          <t>Before (b.)</t>
        </is>
      </c>
      <c r="H827" s="7" t="n"/>
      <c r="I827" s="7" t="n"/>
      <c r="J827" s="7" t="n"/>
      <c r="K827" s="2" t="inlineStr">
        <is>
          <t>Earliest evidence of the Latin Bible, at Carthage</t>
        </is>
      </c>
      <c r="L827" s="2" t="n"/>
      <c r="M827" s="7" t="inlineStr">
        <is>
          <t>Old Latin translations probably appeared from the latter part of the second century, but the earliest evidence of the Latin Bible is from Carthage, North Africa, at least by 250 C.E.</t>
        </is>
      </c>
      <c r="N827" s="7" t="n"/>
      <c r="O827" s="12" t="inlineStr">
        <is>
          <t>Bible &amp; church history</t>
        </is>
      </c>
      <c r="P827" s="7" t="inlineStr">
        <is>
          <t>history.bible_translation</t>
        </is>
      </c>
      <c r="Q827" s="7" t="inlineStr">
        <is>
          <t>translation</t>
        </is>
      </c>
      <c r="R827" s="7" t="n"/>
      <c r="S827" s="7" t="inlineStr">
        <is>
          <t>Carthage</t>
        </is>
      </c>
      <c r="T827" s="7" t="n"/>
      <c r="U827" s="7" t="n"/>
      <c r="V827" s="7" t="n">
        <v>1</v>
      </c>
      <c r="W827" s="7" t="inlineStr">
        <is>
          <t>Versions</t>
        </is>
      </c>
      <c r="X827" s="9" t="inlineStr">
        <is>
          <t>open</t>
        </is>
      </c>
      <c r="Y827" s="7" t="n"/>
      <c r="Z827" s="7" t="inlineStr">
        <is>
          <t>https://wol.jw.org/en/wol/d/r1/lp-e/1200004554#h=16</t>
        </is>
      </c>
      <c r="AA827" s="7" t="n">
        <v>0</v>
      </c>
      <c r="AB827" s="7" t="n"/>
      <c r="AC827" s="7" t="n">
        <v>0</v>
      </c>
      <c r="AD827" s="7" t="n"/>
      <c r="AE827" s="7" t="n"/>
      <c r="AF827" s="7" t="n"/>
      <c r="AG827" s="7" t="n"/>
      <c r="AH827" s="7" t="n"/>
      <c r="AI827" s="7" t="n"/>
      <c r="AJ827" s="7" t="n"/>
      <c r="AK827" s="7" t="inlineStr">
        <is>
          <t>how-the-bible-came-to-us #13 (item)</t>
        </is>
      </c>
      <c r="AL827" s="7" t="n"/>
      <c r="AM827" s="7" t="n">
        <v>249.99</v>
      </c>
      <c r="AN827" s="10" t="n"/>
      <c r="AO827" s="10" t="n"/>
      <c r="AP827" s="10" t="n"/>
      <c r="AQ827" s="10" t="n"/>
    </row>
    <row r="828">
      <c r="A828" s="7" t="inlineStr">
        <is>
          <t>b7-0015</t>
        </is>
      </c>
      <c r="B828" s="7" t="inlineStr">
        <is>
          <t>Point</t>
        </is>
      </c>
      <c r="C828" s="7" t="n"/>
      <c r="D828" s="7" t="inlineStr">
        <is>
          <t>by 3rd century C.E.</t>
        </is>
      </c>
      <c r="E828" s="7" t="n"/>
      <c r="F828" s="7" t="inlineStr">
        <is>
          <t>250 CE</t>
        </is>
      </c>
      <c r="G828" s="7" t="inlineStr">
        <is>
          <t>Before (b.)</t>
        </is>
      </c>
      <c r="H828" s="7" t="n"/>
      <c r="I828" s="7" t="n"/>
      <c r="J828" s="7" t="n"/>
      <c r="K828" s="2" t="inlineStr">
        <is>
          <t>First Coptic translation of the Christian Greek Scriptures</t>
        </is>
      </c>
      <c r="L828" s="2" t="n"/>
      <c r="M828" s="7" t="inlineStr">
        <is>
          <t>At least by the third century C.E., the first translation of the Christian Greek Scriptures had been made for the Coptic natives of Egypt; Sahidic and Bohairic versions were probably produced in the third and fourth centuries.</t>
        </is>
      </c>
      <c r="N828" s="7" t="n"/>
      <c r="O828" s="12" t="inlineStr">
        <is>
          <t>Bible &amp; church history</t>
        </is>
      </c>
      <c r="P828" s="7" t="inlineStr">
        <is>
          <t>history.bible_translation</t>
        </is>
      </c>
      <c r="Q828" s="7" t="inlineStr">
        <is>
          <t>translation</t>
        </is>
      </c>
      <c r="R828" s="7" t="n"/>
      <c r="S828" s="7" t="inlineStr">
        <is>
          <t>Egypt</t>
        </is>
      </c>
      <c r="T828" s="7" t="n"/>
      <c r="U828" s="7" t="n"/>
      <c r="V828" s="7" t="n">
        <v>1</v>
      </c>
      <c r="W828" s="7" t="inlineStr">
        <is>
          <t>Versions</t>
        </is>
      </c>
      <c r="X828" s="9" t="inlineStr">
        <is>
          <t>open</t>
        </is>
      </c>
      <c r="Y828" s="7" t="n"/>
      <c r="Z828" s="7" t="inlineStr">
        <is>
          <t>https://wol.jw.org/en/wol/d/r1/lp-e/1200004554#h=19</t>
        </is>
      </c>
      <c r="AA828" s="7" t="n">
        <v>0</v>
      </c>
      <c r="AB828" s="7" t="n"/>
      <c r="AC828" s="7" t="n">
        <v>0</v>
      </c>
      <c r="AD828" s="7" t="n"/>
      <c r="AE828" s="7" t="n"/>
      <c r="AF828" s="7" t="n"/>
      <c r="AG828" s="7" t="n"/>
      <c r="AH828" s="7" t="n"/>
      <c r="AI828" s="7" t="n"/>
      <c r="AJ828" s="7" t="n"/>
      <c r="AK828" s="7" t="inlineStr">
        <is>
          <t>how-the-bible-came-to-us #12 (item)</t>
        </is>
      </c>
      <c r="AL828" s="7" t="n"/>
      <c r="AM828" s="7" t="n">
        <v>250.29</v>
      </c>
      <c r="AN828" s="10" t="n"/>
      <c r="AO828" s="10" t="n"/>
      <c r="AP828" s="10" t="n"/>
      <c r="AQ828" s="10" t="n"/>
    </row>
    <row r="829">
      <c r="A829" s="7" t="inlineStr">
        <is>
          <t>b7-0016</t>
        </is>
      </c>
      <c r="B829" s="7" t="inlineStr">
        <is>
          <t>Point</t>
        </is>
      </c>
      <c r="C829" s="7" t="n"/>
      <c r="D829" s="7" t="inlineStr">
        <is>
          <t>c. 252 C.E.</t>
        </is>
      </c>
      <c r="E829" s="7" t="n"/>
      <c r="F829" s="7" t="inlineStr">
        <is>
          <t>252 CE</t>
        </is>
      </c>
      <c r="G829" s="7" t="inlineStr">
        <is>
          <t>Approx. (c.)</t>
        </is>
      </c>
      <c r="H829" s="7" t="n"/>
      <c r="I829" s="7" t="n"/>
      <c r="J829" s="7" t="n"/>
      <c r="K829" s="2" t="inlineStr">
        <is>
          <t>Council of Carthage confirms infant baptism</t>
        </is>
      </c>
      <c r="L829" s="2" t="n"/>
      <c r="M829" s="7" t="inlineStr">
        <is>
          <t>The practice of baptizing infants, mentioned by Origen as church custom, was confirmed by a Council of Carthage about 252 C.E.</t>
        </is>
      </c>
      <c r="N829" s="7" t="n"/>
      <c r="O829" s="12" t="inlineStr">
        <is>
          <t>Bible &amp; church history</t>
        </is>
      </c>
      <c r="P829" s="7" t="inlineStr">
        <is>
          <t>history.apostasy</t>
        </is>
      </c>
      <c r="Q829" s="7" t="inlineStr">
        <is>
          <t>council</t>
        </is>
      </c>
      <c r="R829" s="7" t="n"/>
      <c r="S829" s="7" t="inlineStr">
        <is>
          <t>Carthage</t>
        </is>
      </c>
      <c r="T829" s="7" t="n"/>
      <c r="U829" s="7" t="n"/>
      <c r="V829" s="7" t="n">
        <v>2</v>
      </c>
      <c r="W829" s="7" t="inlineStr">
        <is>
          <t>Baptism</t>
        </is>
      </c>
      <c r="X829" s="9" t="inlineStr">
        <is>
          <t>open</t>
        </is>
      </c>
      <c r="Y829" s="9" t="inlineStr">
        <is>
          <t>open</t>
        </is>
      </c>
      <c r="Z829" s="7" t="inlineStr">
        <is>
          <t>https://wol.jw.org/en/wol/d/r1/lp-e/1101989212#h=14
https://wol.jw.org/en/wol/d/r1/lp-e/1986201#h=35</t>
        </is>
      </c>
      <c r="AA829" s="7" t="n">
        <v>0</v>
      </c>
      <c r="AB829" s="7" t="n"/>
      <c r="AC829" s="7" t="n">
        <v>1</v>
      </c>
      <c r="AD829" s="7" t="inlineStr">
        <is>
          <t>Watchtower 1986 3/15 chart gives 253 for the Council of Carthage declaring babies should be baptized; Reasoning (rs) gives c. 252 C.E.</t>
        </is>
      </c>
      <c r="AE829" s="7" t="n"/>
      <c r="AF829" s="7" t="n"/>
      <c r="AG829" s="7" t="n"/>
      <c r="AH829" s="7" t="n"/>
      <c r="AI829" s="7" t="n"/>
      <c r="AJ829" s="7" t="n"/>
      <c r="AK829" s="7" t="n"/>
      <c r="AL829" s="7" t="n"/>
      <c r="AM829" s="7" t="n">
        <v>252</v>
      </c>
      <c r="AN829" s="10" t="n"/>
      <c r="AO829" s="10" t="n"/>
      <c r="AP829" s="10" t="n"/>
      <c r="AQ829" s="10" t="n"/>
    </row>
    <row r="830">
      <c r="A830" s="7" t="inlineStr">
        <is>
          <t>b7-0017</t>
        </is>
      </c>
      <c r="B830" s="7" t="inlineStr">
        <is>
          <t>Point</t>
        </is>
      </c>
      <c r="C830" s="7" t="n"/>
      <c r="D830" s="7" t="inlineStr">
        <is>
          <t>c. 258 C.E.</t>
        </is>
      </c>
      <c r="E830" s="7" t="n"/>
      <c r="F830" s="7" t="inlineStr">
        <is>
          <t>258 CE</t>
        </is>
      </c>
      <c r="G830" s="7" t="inlineStr">
        <is>
          <t>Approx. (c.)</t>
        </is>
      </c>
      <c r="H830" s="7" t="n"/>
      <c r="I830" s="7" t="n"/>
      <c r="J830" s="7" t="n"/>
      <c r="K830" s="2" t="inlineStr">
        <is>
          <t>Clergy-laity distinction becomes prominent (death of Cyprian)</t>
        </is>
      </c>
      <c r="L830" s="2" t="n"/>
      <c r="M830" s="7" t="inlineStr">
        <is>
          <t>Cyprian, "bishop" of Carthage, strongly advocated the authority of bishops as a group separate from presbyters, deacons, and laity. From his time (he died about 258 C.E.) the distinction between clergy and laity became prominent, and from the third century the term clerus was applied almost exclusively to the ministry.</t>
        </is>
      </c>
      <c r="N830" s="7" t="n"/>
      <c r="O830" s="12" t="inlineStr">
        <is>
          <t>Bible &amp; church history</t>
        </is>
      </c>
      <c r="P830" s="7" t="inlineStr">
        <is>
          <t>history.apostasy</t>
        </is>
      </c>
      <c r="Q830" s="7" t="inlineStr">
        <is>
          <t>development</t>
        </is>
      </c>
      <c r="R830" s="7" t="inlineStr">
        <is>
          <t>Cyprian</t>
        </is>
      </c>
      <c r="S830" s="7" t="n"/>
      <c r="T830" s="7" t="inlineStr">
        <is>
          <t>1 Pet. 2:9</t>
        </is>
      </c>
      <c r="U830" s="7" t="n"/>
      <c r="V830" s="7" t="n">
        <v>1</v>
      </c>
      <c r="W830" s="7" t="inlineStr">
        <is>
          <t>The Great Apostasy Develops</t>
        </is>
      </c>
      <c r="X830" s="9" t="inlineStr">
        <is>
          <t>open</t>
        </is>
      </c>
      <c r="Y830" s="7" t="n"/>
      <c r="Z830" s="7" t="inlineStr">
        <is>
          <t>https://wol.jw.org/en/wol/d/r1/lp-e/1101993005#h=21</t>
        </is>
      </c>
      <c r="AA830" s="7" t="n">
        <v>0</v>
      </c>
      <c r="AB830" s="7" t="n"/>
      <c r="AC830" s="7" t="n">
        <v>0</v>
      </c>
      <c r="AD830" s="7" t="n"/>
      <c r="AE830" s="7" t="n"/>
      <c r="AF830" s="7" t="n"/>
      <c r="AG830" s="7" t="n"/>
      <c r="AH830" s="7" t="n"/>
      <c r="AI830" s="7" t="n"/>
      <c r="AJ830" s="7" t="n"/>
      <c r="AK830" s="7" t="n"/>
      <c r="AL830" s="7" t="n"/>
      <c r="AM830" s="7" t="n">
        <v>258</v>
      </c>
      <c r="AN830" s="10" t="n"/>
      <c r="AO830" s="10" t="n"/>
      <c r="AP830" s="10" t="n"/>
      <c r="AQ830" s="10" t="n"/>
    </row>
    <row r="831">
      <c r="A831" s="7" t="inlineStr">
        <is>
          <t>b17-0004</t>
        </is>
      </c>
      <c r="B831" s="7" t="inlineStr">
        <is>
          <t>Point</t>
        </is>
      </c>
      <c r="C831" s="7" t="n"/>
      <c r="D831" s="7" t="inlineStr">
        <is>
          <t>by the 4th century C.E.</t>
        </is>
      </c>
      <c r="E831" s="7" t="inlineStr">
        <is>
          <t>நான்காம் நூற்றாண்டிற்குள்</t>
        </is>
      </c>
      <c r="F831" s="7" t="inlineStr">
        <is>
          <t>400 CE</t>
        </is>
      </c>
      <c r="G831" s="7" t="inlineStr">
        <is>
          <t>Before (b.)</t>
        </is>
      </c>
      <c r="H831" s="7" t="n"/>
      <c r="I831" s="7" t="n"/>
      <c r="J831" s="7" t="n"/>
      <c r="K831" s="2" t="inlineStr">
        <is>
          <t>Weedlike Christians greatly outnumber anointed Christians</t>
        </is>
      </c>
      <c r="L831" s="2" t="inlineStr">
        <is>
          <t>களைகளைப் போன்ற இந்த கிறிஸ்தவர்கள் பரலோக நம்பிக்கையுள்ள கிறிஸ்தவர்களைவிட அதிகமாக இருந்தார்கள்</t>
        </is>
      </c>
      <c r="M831" s="7" t="inlineStr">
        <is>
          <t>By the fourth century, weedlike (imitation) Christians had greatly outnumbered the anointed Christians, so that during that long period it is not known for certain who belonged to the wheat class.</t>
        </is>
      </c>
      <c r="N831" s="7" t="inlineStr">
        <is>
          <t>நான்காம் நூற்றாண்டிற்குள், களைகளைப் போன்ற இந்த கிறிஸ்தவர்கள் பரலோக நம்பிக்கையுள்ள கிறிஸ்தவர்களைவிட அதிகமாக இருந்தார்கள்.</t>
        </is>
      </c>
      <c r="O831" s="12" t="inlineStr">
        <is>
          <t>Bible &amp; church history</t>
        </is>
      </c>
      <c r="P831" s="7" t="inlineStr">
        <is>
          <t>history.apostasy</t>
        </is>
      </c>
      <c r="Q831" s="7" t="inlineStr">
        <is>
          <t>apostasy</t>
        </is>
      </c>
      <c r="R831" s="7" t="n"/>
      <c r="S831" s="7" t="n"/>
      <c r="T831" s="7" t="inlineStr">
        <is>
          <t>Matt. 13:28</t>
        </is>
      </c>
      <c r="U831" s="7" t="inlineStr">
        <is>
          <t>மத். 13:28</t>
        </is>
      </c>
      <c r="V831" s="7" t="n">
        <v>1</v>
      </c>
      <c r="W831" s="7" t="inlineStr">
        <is>
          <t>“Look! I Am With You All the Days”</t>
        </is>
      </c>
      <c r="X831" s="9" t="inlineStr">
        <is>
          <t>open</t>
        </is>
      </c>
      <c r="Y831" s="9" t="inlineStr">
        <is>
          <t>open</t>
        </is>
      </c>
      <c r="Z831" s="7" t="inlineStr">
        <is>
          <t>https://wol.jw.org/en/wol/d/r1/lp-e/2013531</t>
        </is>
      </c>
      <c r="AA831" s="7" t="n">
        <v>0</v>
      </c>
      <c r="AB831" s="7" t="n"/>
      <c r="AC831" s="7" t="n">
        <v>0</v>
      </c>
      <c r="AD831" s="7" t="n"/>
      <c r="AE831" s="7" t="n"/>
      <c r="AF831" s="7" t="n"/>
      <c r="AG831" s="7" t="n"/>
      <c r="AH831" s="7" t="inlineStr">
        <is>
          <t>b17-0002</t>
        </is>
      </c>
      <c r="AI831" s="7" t="n"/>
      <c r="AJ831" s="7" t="n"/>
      <c r="AK831" s="7" t="inlineStr">
        <is>
          <t>wheat-and-weeds #10 (step)</t>
        </is>
      </c>
      <c r="AL831" s="7" t="inlineStr">
        <is>
          <t>'By the fourth century': precision 'before' 400 C.E.; sort_key places it at the start of the 4th century.</t>
        </is>
      </c>
      <c r="AM831" s="7" t="n">
        <v>300.5</v>
      </c>
      <c r="AN831" s="10" t="n"/>
      <c r="AO831" s="10" t="n"/>
      <c r="AP831" s="10" t="n"/>
      <c r="AQ831" s="10" t="n"/>
    </row>
    <row r="832">
      <c r="A832" s="7" t="inlineStr">
        <is>
          <t>b7-0018</t>
        </is>
      </c>
      <c r="B832" s="7" t="inlineStr">
        <is>
          <t>Point</t>
        </is>
      </c>
      <c r="C832" s="7" t="n"/>
      <c r="D832" s="7" t="inlineStr">
        <is>
          <t>303 C.E., February 23-24</t>
        </is>
      </c>
      <c r="E832" s="7" t="inlineStr">
        <is>
          <t>பொ.ச. 303</t>
        </is>
      </c>
      <c r="F832" s="7" t="inlineStr">
        <is>
          <t>303 CE</t>
        </is>
      </c>
      <c r="G832" s="7" t="inlineStr">
        <is>
          <t>Between (one moment in a window)</t>
        </is>
      </c>
      <c r="H832" s="7" t="n"/>
      <c r="I832" s="7" t="n"/>
      <c r="J832" s="7" t="n"/>
      <c r="K832" s="2" t="inlineStr">
        <is>
          <t>Diocletian orders churches razed and copies of the Scriptures burned</t>
        </is>
      </c>
      <c r="L832" s="2" t="n"/>
      <c r="M832" s="7" t="inlineStr">
        <is>
          <t>On February 23, 303 C.E., Emperor Diocletian reportedly watched soldiers burn copies of the Scriptures in a church; the next day he decreed that Bibles throughout the empire be publicly burned and Christian meeting places razed. The persecution continued for a decade, yet copies survived.</t>
        </is>
      </c>
      <c r="N832" s="7" t="inlineStr">
        <is>
          <t>உதாரணமாக, பொ.ச. 303-ஆம் ஆண்டு பிப்ரவரி 23-ஆம் தேதி பொழுது புலர்ந்ததும் ரோமப் பேரரசர் டையோகிளிஷனுடைய போர் வீரர்கள் ஒரு சர்ச்சின் கதவுகளை நொறுக்கிப்போட்டு உள்ளே போய் வேதாகமத்தின் பிரதிகளை எரித்தபோது அவர் கண்குளிர அதைக் கண்டுகளித்தார் எனக் கூறப்படுகிறது.</t>
        </is>
      </c>
      <c r="O832" s="12" t="inlineStr">
        <is>
          <t>Bible &amp; church history</t>
        </is>
      </c>
      <c r="P832" s="7" t="inlineStr">
        <is>
          <t>history.persecution</t>
        </is>
      </c>
      <c r="Q832" s="7" t="inlineStr">
        <is>
          <t>decree</t>
        </is>
      </c>
      <c r="R832" s="7" t="inlineStr">
        <is>
          <t>Diocletian</t>
        </is>
      </c>
      <c r="S832" s="7" t="inlineStr">
        <is>
          <t>Roman Empire</t>
        </is>
      </c>
      <c r="T832" s="7" t="n"/>
      <c r="U832" s="7" t="n"/>
      <c r="V832" s="7" t="n">
        <v>6</v>
      </c>
      <c r="W832" s="7" t="inlineStr">
        <is>
          <t>How the Bible Came to Us</t>
        </is>
      </c>
      <c r="X832" s="9" t="inlineStr">
        <is>
          <t>open</t>
        </is>
      </c>
      <c r="Y832" s="9" t="inlineStr">
        <is>
          <t>open</t>
        </is>
      </c>
      <c r="Z832" s="7" t="inlineStr">
        <is>
          <t>https://wol.jw.org/en/wol/d/r1/lp-e/102007409#h=9
https://wol.jw.org/en/wol/d/r1/lp-e/102011442#h=12
https://wol.jw.org/en/wol/d/r1/lp-e/1997723#h=9
https://wol.jw.org/en/wol/d/r1/lp-e/1101989032#h=13
https://wol.jw.org/en/wol/d/r1/lp-e/2015921#h=21
https://wol.jw.org/en/wol/d/r1/lp-e/1001070203#h=9</t>
        </is>
      </c>
      <c r="AA832" s="7" t="n">
        <v>0</v>
      </c>
      <c r="AB832" s="7" t="n"/>
      <c r="AC832" s="7" t="n">
        <v>0</v>
      </c>
      <c r="AD832" s="7" t="n"/>
      <c r="AE832" s="7" t="n"/>
      <c r="AF832" s="7" t="n"/>
      <c r="AG832" s="7" t="n"/>
      <c r="AH832" s="7" t="n"/>
      <c r="AI832" s="7" t="n"/>
      <c r="AJ832" s="7" t="n"/>
      <c r="AK832" s="7" t="inlineStr">
        <is>
          <t>how-the-bible-came-to-us #14 (context)</t>
        </is>
      </c>
      <c r="AL832" s="7" t="n"/>
      <c r="AM832" s="7" t="n">
        <v>303.1425</v>
      </c>
      <c r="AN832" s="10" t="n"/>
      <c r="AO832" s="10" t="n"/>
      <c r="AP832" s="10" t="n"/>
      <c r="AQ832" s="10" t="n"/>
    </row>
    <row r="833">
      <c r="A833" s="7" t="inlineStr">
        <is>
          <t>b7-0019</t>
        </is>
      </c>
      <c r="B833" s="7" t="inlineStr">
        <is>
          <t>Point</t>
        </is>
      </c>
      <c r="C833" s="7" t="n"/>
      <c r="D833" s="7" t="inlineStr">
        <is>
          <t>306 C.E.</t>
        </is>
      </c>
      <c r="E833" s="7" t="inlineStr">
        <is>
          <t>பொ.ச. 306</t>
        </is>
      </c>
      <c r="F833" s="7" t="inlineStr">
        <is>
          <t>306 CE</t>
        </is>
      </c>
      <c r="G833" s="7" t="inlineStr">
        <is>
          <t>Exact</t>
        </is>
      </c>
      <c r="H833" s="7" t="n"/>
      <c r="I833" s="7" t="n"/>
      <c r="J833" s="7" t="n"/>
      <c r="K833" s="2" t="inlineStr">
        <is>
          <t>Constantine succeeds his father as emperor</t>
        </is>
      </c>
      <c r="L833" s="2" t="n"/>
      <c r="M833" s="7" t="inlineStr">
        <is>
          <t>In 306 C.E., Constantine succeeded his father and eventually, with Licinius, became coruler of the Roman Empire. Insight gives his reign as 306-337 C.E.</t>
        </is>
      </c>
      <c r="N833" s="7" t="inlineStr">
        <is>
          <t>இந்த மத மாற்றம் எவ்வாறு நிகழ்ந்தது? பொ.ச. 306-ல் கான்ஸ்டன்டீன் அவருடைய தந்தையின் மறைவுக்குப் பின், லிசினஸ் என்பவரோடு சேர்ந்து ரோம பேரரசை ஆட்சி செய்தார்.</t>
        </is>
      </c>
      <c r="O833" s="12" t="inlineStr">
        <is>
          <t>Bible &amp; church history</t>
        </is>
      </c>
      <c r="P833" s="7" t="inlineStr">
        <is>
          <t>history.apostasy</t>
        </is>
      </c>
      <c r="Q833" s="7" t="inlineStr">
        <is>
          <t>accession</t>
        </is>
      </c>
      <c r="R833" s="7" t="inlineStr">
        <is>
          <t>Constantine</t>
        </is>
      </c>
      <c r="S833" s="7" t="n"/>
      <c r="T833" s="7" t="n"/>
      <c r="U833" s="7" t="n"/>
      <c r="V833" s="7" t="n">
        <v>2</v>
      </c>
      <c r="W833" s="7" t="inlineStr">
        <is>
          <t>Apostasy—The Way to God Blocked</t>
        </is>
      </c>
      <c r="X833" s="9" t="inlineStr">
        <is>
          <t>open</t>
        </is>
      </c>
      <c r="Y833" s="9" t="inlineStr">
        <is>
          <t>open</t>
        </is>
      </c>
      <c r="Z833" s="7" t="inlineStr">
        <is>
          <t>https://wol.jw.org/en/wol/d/r1/lp-e/1101990043#h=28
https://wol.jw.org/en/wol/d/r1/lp-e/1200003763#h=9</t>
        </is>
      </c>
      <c r="AA833" s="7" t="n">
        <v>0</v>
      </c>
      <c r="AB833" s="7" t="n"/>
      <c r="AC833" s="7" t="n">
        <v>0</v>
      </c>
      <c r="AD833" s="7" t="n"/>
      <c r="AE833" s="7" t="n"/>
      <c r="AF833" s="7" t="n"/>
      <c r="AG833" s="7" t="n"/>
      <c r="AH833" s="7" t="n"/>
      <c r="AI833" s="7" t="n"/>
      <c r="AJ833" s="7" t="n"/>
      <c r="AK833" s="7" t="n"/>
      <c r="AL833" s="7" t="n"/>
      <c r="AM833" s="7" t="n">
        <v>306</v>
      </c>
      <c r="AN833" s="10" t="n"/>
      <c r="AO833" s="10" t="n"/>
      <c r="AP833" s="10" t="n"/>
      <c r="AQ833" s="10" t="n"/>
    </row>
    <row r="834">
      <c r="A834" s="7" t="inlineStr">
        <is>
          <t>b7-0020</t>
        </is>
      </c>
      <c r="B834" s="7" t="inlineStr">
        <is>
          <t>Point</t>
        </is>
      </c>
      <c r="C834" s="7" t="n"/>
      <c r="D834" s="7" t="inlineStr">
        <is>
          <t>312 C.E.</t>
        </is>
      </c>
      <c r="E834" s="7" t="inlineStr">
        <is>
          <t>பொ.ச. 312</t>
        </is>
      </c>
      <c r="F834" s="7" t="inlineStr">
        <is>
          <t>312 CE</t>
        </is>
      </c>
      <c r="G834" s="7" t="inlineStr">
        <is>
          <t>Exact</t>
        </is>
      </c>
      <c r="H834" s="7" t="n"/>
      <c r="I834" s="7" t="n"/>
      <c r="J834" s="7" t="n"/>
      <c r="K834" s="2" t="inlineStr">
        <is>
          <t>Constantine's victory at the Milvian Bridge under a "Christian" sign</t>
        </is>
      </c>
      <c r="L834" s="2" t="n"/>
      <c r="M834" s="7" t="inlineStr">
        <is>
          <t>Before a battle near Rome at the Milvian Bridge in 312 C.E., Constantine claimed a dream told him to paint the chi-rho monogram on his soldiers' shields; his forces then defeated Maxentius.</t>
        </is>
      </c>
      <c r="N834" s="7" t="inlineStr">
        <is>
          <t>பொ.ச. 312-ல் ரோமுக்கு அருகில் மில்வியன் பிரிட்ஜில் போர் தொடுக்கச் செல்வதற்கு முன் “கிறிஸ்தவ” அடையாளத்தை தன் படைவீரர்களின் கேடயங்களில் பொறிக்கும்படி தனக்கு சொப்பனத்தில் சொல்லப்பட்டதாக அவர் கூறினார்.</t>
        </is>
      </c>
      <c r="O834" s="12" t="inlineStr">
        <is>
          <t>Bible &amp; church history</t>
        </is>
      </c>
      <c r="P834" s="7" t="inlineStr">
        <is>
          <t>history.apostasy</t>
        </is>
      </c>
      <c r="Q834" s="7" t="inlineStr">
        <is>
          <t>battle</t>
        </is>
      </c>
      <c r="R834" s="7" t="inlineStr">
        <is>
          <t>Constantine; Maxentius</t>
        </is>
      </c>
      <c r="S834" s="7" t="inlineStr">
        <is>
          <t>Milvian Bridge; Rome</t>
        </is>
      </c>
      <c r="T834" s="7" t="n"/>
      <c r="U834" s="7" t="n"/>
      <c r="V834" s="7" t="n">
        <v>1</v>
      </c>
      <c r="W834" s="7" t="inlineStr">
        <is>
          <t>Apostasy—The Way to God Blocked</t>
        </is>
      </c>
      <c r="X834" s="9" t="inlineStr">
        <is>
          <t>open</t>
        </is>
      </c>
      <c r="Y834" s="9" t="inlineStr">
        <is>
          <t>open</t>
        </is>
      </c>
      <c r="Z834" s="7" t="inlineStr">
        <is>
          <t>https://wol.jw.org/en/wol/d/r1/lp-e/1101990043#h=28</t>
        </is>
      </c>
      <c r="AA834" s="7" t="n">
        <v>0</v>
      </c>
      <c r="AB834" s="7" t="n"/>
      <c r="AC834" s="7" t="n">
        <v>0</v>
      </c>
      <c r="AD834" s="7" t="n"/>
      <c r="AE834" s="7" t="n"/>
      <c r="AF834" s="7" t="n"/>
      <c r="AG834" s="7" t="n"/>
      <c r="AH834" s="7" t="n"/>
      <c r="AI834" s="7" t="n"/>
      <c r="AJ834" s="7" t="n"/>
      <c r="AK834" s="7" t="n"/>
      <c r="AL834" s="7" t="n"/>
      <c r="AM834" s="7" t="n">
        <v>312</v>
      </c>
      <c r="AN834" s="10" t="n"/>
      <c r="AO834" s="10" t="n"/>
      <c r="AP834" s="10" t="n"/>
      <c r="AQ834" s="10" t="n"/>
    </row>
    <row r="835">
      <c r="A835" s="7" t="inlineStr">
        <is>
          <t>b7-0021</t>
        </is>
      </c>
      <c r="B835" s="7" t="inlineStr">
        <is>
          <t>Point</t>
        </is>
      </c>
      <c r="C835" s="7" t="n"/>
      <c r="D835" s="7" t="inlineStr">
        <is>
          <t>313 C.E.</t>
        </is>
      </c>
      <c r="E835" s="7" t="inlineStr">
        <is>
          <t>பொ.ச. 313</t>
        </is>
      </c>
      <c r="F835" s="7" t="inlineStr">
        <is>
          <t>313 CE</t>
        </is>
      </c>
      <c r="G835" s="7" t="inlineStr">
        <is>
          <t>Exact</t>
        </is>
      </c>
      <c r="H835" s="7" t="n"/>
      <c r="I835" s="7" t="n"/>
      <c r="J835" s="7" t="n"/>
      <c r="K835" s="2" t="inlineStr">
        <is>
          <t>Constantine legalizes "Christianity" — Christendom begins</t>
        </is>
      </c>
      <c r="L835" s="2" t="n"/>
      <c r="M835" s="7" t="inlineStr">
        <is>
          <t>In 313 C.E., Constantine and Licinius granted religious freedom, giving legal recognition to a Christianity that had by then become largely apostate. Church and State began working hand in hand, marking the start of Christendom.</t>
        </is>
      </c>
      <c r="N835" s="7" t="inlineStr">
        <is>
          <t>ரோம பேரரசின் இந்தப் புதிய மதத்துக்கு பொ.ச. 313-ஆம் ஆண்டு ஒரு திருப்புக்கட்டமாக இருந்தது; அந்த வருடத்தில்தான் கான்ஸ்டன்டீன் அரசன் “கிறிஸ்தவத்துக்கு” “மதம் மாறினார்.”</t>
        </is>
      </c>
      <c r="O835" s="12" t="inlineStr">
        <is>
          <t>Bible &amp; church history</t>
        </is>
      </c>
      <c r="P835" s="7" t="inlineStr">
        <is>
          <t>history.apostasy</t>
        </is>
      </c>
      <c r="Q835" s="7" t="inlineStr">
        <is>
          <t>decree</t>
        </is>
      </c>
      <c r="R835" s="7" t="inlineStr">
        <is>
          <t>Constantine; Licinius</t>
        </is>
      </c>
      <c r="S835" s="7" t="n"/>
      <c r="T835" s="7" t="n"/>
      <c r="U835" s="7" t="n"/>
      <c r="V835" s="7" t="n">
        <v>5</v>
      </c>
      <c r="W835" s="7" t="inlineStr">
        <is>
          <t>Apostasy—The Way to God Blocked</t>
        </is>
      </c>
      <c r="X835" s="9" t="inlineStr">
        <is>
          <t>open</t>
        </is>
      </c>
      <c r="Y835" s="9" t="inlineStr">
        <is>
          <t>open</t>
        </is>
      </c>
      <c r="Z835" s="7" t="inlineStr">
        <is>
          <t>https://wol.jw.org/en/wol/d/r1/lp-e/1101990043#h=28
https://wol.jw.org/en/wol/d/r1/lp-e/2016843#h=19
https://wol.jw.org/en/wol/d/r1/lp-e/1993481#h=23
https://wol.jw.org/en/wol/d/r1/lp-e/1101993005#h=33
https://wol.jw.org/en/wol/d/r1/lp-e/1101989032#h=29</t>
        </is>
      </c>
      <c r="AA835" s="7" t="n">
        <v>0</v>
      </c>
      <c r="AB835" s="7" t="n"/>
      <c r="AC835" s="7" t="n">
        <v>0</v>
      </c>
      <c r="AD835" s="7" t="n"/>
      <c r="AE835" s="7" t="n"/>
      <c r="AF835" s="7" t="n"/>
      <c r="AG835" s="7" t="n"/>
      <c r="AH835" s="7" t="n"/>
      <c r="AI835" s="7" t="n"/>
      <c r="AJ835" s="7" t="n"/>
      <c r="AK835" s="7" t="inlineStr">
        <is>
          <t>wheat-and-weeds #8 (context)</t>
        </is>
      </c>
      <c r="AL835" s="7" t="n"/>
      <c r="AM835" s="7" t="n">
        <v>313</v>
      </c>
      <c r="AN835" s="10" t="n"/>
      <c r="AO835" s="10" t="n"/>
      <c r="AP835" s="10" t="n"/>
      <c r="AQ835" s="10" t="n"/>
    </row>
    <row r="836">
      <c r="A836" s="7" t="inlineStr">
        <is>
          <t>b7-0022</t>
        </is>
      </c>
      <c r="B836" s="7" t="inlineStr">
        <is>
          <t>Point</t>
        </is>
      </c>
      <c r="C836" s="7" t="n"/>
      <c r="D836" s="7" t="inlineStr">
        <is>
          <t>321 C.E.</t>
        </is>
      </c>
      <c r="E836" s="7" t="n"/>
      <c r="F836" s="7" t="inlineStr">
        <is>
          <t>321 CE</t>
        </is>
      </c>
      <c r="G836" s="7" t="inlineStr">
        <is>
          <t>Exact</t>
        </is>
      </c>
      <c r="H836" s="7" t="n"/>
      <c r="I836" s="7" t="n"/>
      <c r="J836" s="7" t="n"/>
      <c r="K836" s="2" t="inlineStr">
        <is>
          <t>Constantine decrees Sunday a day of rest</t>
        </is>
      </c>
      <c r="L836" s="2" t="n"/>
      <c r="M836" s="7" t="inlineStr">
        <is>
          <t>In 321 C.E., Constantine decreed Sunday (dies Solis) a day of rest for all but farmers; literal Sabbath observance had not been part of first-century Christianity.</t>
        </is>
      </c>
      <c r="N836" s="7" t="n"/>
      <c r="O836" s="12" t="inlineStr">
        <is>
          <t>Bible &amp; church history</t>
        </is>
      </c>
      <c r="P836" s="7" t="inlineStr">
        <is>
          <t>history.apostasy</t>
        </is>
      </c>
      <c r="Q836" s="7" t="inlineStr">
        <is>
          <t>decree</t>
        </is>
      </c>
      <c r="R836" s="7" t="inlineStr">
        <is>
          <t>Constantine</t>
        </is>
      </c>
      <c r="S836" s="7" t="n"/>
      <c r="T836" s="7" t="n"/>
      <c r="U836" s="7" t="n"/>
      <c r="V836" s="7" t="n">
        <v>1</v>
      </c>
      <c r="W836" s="7" t="inlineStr">
        <is>
          <t>Sabbath Day</t>
        </is>
      </c>
      <c r="X836" s="9" t="inlineStr">
        <is>
          <t>open</t>
        </is>
      </c>
      <c r="Y836" s="7" t="n"/>
      <c r="Z836" s="7" t="inlineStr">
        <is>
          <t>https://wol.jw.org/en/wol/d/r1/lp-e/1200003778#h=15</t>
        </is>
      </c>
      <c r="AA836" s="7" t="n">
        <v>0</v>
      </c>
      <c r="AB836" s="7" t="n"/>
      <c r="AC836" s="7" t="n">
        <v>0</v>
      </c>
      <c r="AD836" s="7" t="n"/>
      <c r="AE836" s="7" t="n"/>
      <c r="AF836" s="7" t="n"/>
      <c r="AG836" s="7" t="n"/>
      <c r="AH836" s="7" t="n"/>
      <c r="AI836" s="7" t="n"/>
      <c r="AJ836" s="7" t="n"/>
      <c r="AK836" s="7" t="n"/>
      <c r="AL836" s="7" t="n"/>
      <c r="AM836" s="7" t="n">
        <v>321</v>
      </c>
      <c r="AN836" s="10" t="n"/>
      <c r="AO836" s="10" t="n"/>
      <c r="AP836" s="10" t="n"/>
      <c r="AQ836" s="10" t="n"/>
    </row>
    <row r="837">
      <c r="A837" s="7" t="inlineStr">
        <is>
          <t>b7-0023</t>
        </is>
      </c>
      <c r="B837" s="7" t="inlineStr">
        <is>
          <t>Point</t>
        </is>
      </c>
      <c r="C837" s="7" t="n"/>
      <c r="D837" s="7" t="inlineStr">
        <is>
          <t>325 C.E.</t>
        </is>
      </c>
      <c r="E837" s="7" t="inlineStr">
        <is>
          <t>பொ.ச. 325</t>
        </is>
      </c>
      <c r="F837" s="7" t="inlineStr">
        <is>
          <t>325 CE</t>
        </is>
      </c>
      <c r="G837" s="7" t="inlineStr">
        <is>
          <t>Exact</t>
        </is>
      </c>
      <c r="H837" s="7" t="n"/>
      <c r="I837" s="7" t="n"/>
      <c r="J837" s="7" t="n"/>
      <c r="K837" s="2" t="inlineStr">
        <is>
          <t>Council of Nicaea under Constantine; Nicene Creed</t>
        </is>
      </c>
      <c r="L837" s="2" t="n"/>
      <c r="M837" s="7" t="inlineStr">
        <is>
          <t>Constantine called a council of bishops at Nicaea in 325 C.E. to settle disputes over the relation of the Son to God; only a fraction of bishops attended. The resulting Nicene Creed, biased toward Trinitarian thought, declared the Son "true God," and Arius, who refused to acknowledge Jesus as God, was exiled.</t>
        </is>
      </c>
      <c r="N837" s="7" t="inlineStr">
        <is>
          <t>தன் ஆட்சியில் ஒற்றுமை நிலவ வேண்டுமென கான்ஸ்டன்டீன் விரும்பினார், ஆகவே பொ.ச. 325-ல் அவருடைய ராஜ்யத்தின் கிழக்கே கிரேக்க மொழி பேசும் பிராந்தியத்திலிருந்த நைசியா என்ற இடத்தில், பிஷப்புகளாலான ஆலோசனைக் குழு ஒன்றைக் கூட்டினார்.</t>
        </is>
      </c>
      <c r="O837" s="12" t="inlineStr">
        <is>
          <t>Bible &amp; church history</t>
        </is>
      </c>
      <c r="P837" s="7" t="inlineStr">
        <is>
          <t>history.apostasy</t>
        </is>
      </c>
      <c r="Q837" s="7" t="inlineStr">
        <is>
          <t>council</t>
        </is>
      </c>
      <c r="R837" s="7" t="inlineStr">
        <is>
          <t>Constantine; Arius</t>
        </is>
      </c>
      <c r="S837" s="7" t="inlineStr">
        <is>
          <t>Nicaea</t>
        </is>
      </c>
      <c r="T837" s="7" t="n"/>
      <c r="U837" s="7" t="n"/>
      <c r="V837" s="7" t="n">
        <v>5</v>
      </c>
      <c r="W837" s="7" t="inlineStr">
        <is>
          <t>Apostasy—The Way to God Blocked</t>
        </is>
      </c>
      <c r="X837" s="9" t="inlineStr">
        <is>
          <t>open</t>
        </is>
      </c>
      <c r="Y837" s="9" t="inlineStr">
        <is>
          <t>open</t>
        </is>
      </c>
      <c r="Z837" s="7" t="inlineStr">
        <is>
          <t>https://wol.jw.org/en/wol/d/r1/lp-e/1101990043#h=35
https://wol.jw.org/en/wol/d/r1/lp-e/1101989303#h=2
https://wol.jw.org/en/wol/d/r1/lp-e/1991804#h=13
https://wol.jw.org/en/wol/d/r1/lp-e/1101989032#h=29
https://wol.jw.org/en/wol/d/r1/lp-e/2016843#h=19</t>
        </is>
      </c>
      <c r="AA837" s="7" t="n">
        <v>0</v>
      </c>
      <c r="AB837" s="7" t="n"/>
      <c r="AC837" s="7" t="n">
        <v>1</v>
      </c>
      <c r="AD837" s="7" t="inlineStr">
        <is>
          <t>ti brochure says about 300 bishops attended; sh says "anywhere from 250 to 318".</t>
        </is>
      </c>
      <c r="AE837" s="7" t="n"/>
      <c r="AF837" s="7" t="n"/>
      <c r="AG837" s="7" t="n"/>
      <c r="AH837" s="7" t="n"/>
      <c r="AI837" s="7" t="n"/>
      <c r="AJ837" s="7" t="n"/>
      <c r="AK837" s="7" t="inlineStr">
        <is>
          <t>wheat-and-weeds #9 (context)</t>
        </is>
      </c>
      <c r="AL837" s="7" t="n"/>
      <c r="AM837" s="7" t="n">
        <v>325</v>
      </c>
      <c r="AN837" s="10" t="n"/>
      <c r="AO837" s="10" t="n"/>
      <c r="AP837" s="10" t="n"/>
      <c r="AQ837" s="10" t="n"/>
    </row>
    <row r="838">
      <c r="A838" s="7" t="inlineStr">
        <is>
          <t>b7-0024</t>
        </is>
      </c>
      <c r="B838" s="7" t="inlineStr">
        <is>
          <t>Point</t>
        </is>
      </c>
      <c r="C838" s="7" t="n"/>
      <c r="D838" s="7" t="inlineStr">
        <is>
          <t>330 C.E.</t>
        </is>
      </c>
      <c r="E838" s="7" t="n"/>
      <c r="F838" s="7" t="inlineStr">
        <is>
          <t>330 CE</t>
        </is>
      </c>
      <c r="G838" s="7" t="inlineStr">
        <is>
          <t>Exact</t>
        </is>
      </c>
      <c r="H838" s="7" t="n"/>
      <c r="I838" s="7" t="n"/>
      <c r="J838" s="7" t="n"/>
      <c r="K838" s="2" t="inlineStr">
        <is>
          <t>Constantine moves capital to Byzantium (Constantinople)</t>
        </is>
      </c>
      <c r="L838" s="2" t="n"/>
      <c r="M838" s="7" t="inlineStr">
        <is>
          <t>In 330 C.E., Constantine moved his capital from Rome to Byzantium and renamed it Constantinople. Over the centuries this polarized the church between Latin-speaking Rome and Greek-speaking Constantinople.</t>
        </is>
      </c>
      <c r="N838" s="7" t="n"/>
      <c r="O838" s="12" t="inlineStr">
        <is>
          <t>Bible &amp; church history</t>
        </is>
      </c>
      <c r="P838" s="7" t="inlineStr">
        <is>
          <t>history.apostasy</t>
        </is>
      </c>
      <c r="Q838" s="7" t="inlineStr">
        <is>
          <t>founding</t>
        </is>
      </c>
      <c r="R838" s="7" t="inlineStr">
        <is>
          <t>Constantine</t>
        </is>
      </c>
      <c r="S838" s="7" t="inlineStr">
        <is>
          <t>Constantinople</t>
        </is>
      </c>
      <c r="T838" s="7" t="n"/>
      <c r="U838" s="7" t="n"/>
      <c r="V838" s="7" t="n">
        <v>2</v>
      </c>
      <c r="W838" s="7" t="inlineStr">
        <is>
          <t>The Forgotten Glory of the Byzantine Empire</t>
        </is>
      </c>
      <c r="X838" s="9" t="inlineStr">
        <is>
          <t>open</t>
        </is>
      </c>
      <c r="Y838" s="7" t="n"/>
      <c r="Z838" s="7" t="inlineStr">
        <is>
          <t>https://wol.jw.org/en/wol/d/r1/lp-e/102001725#h=4
https://wol.jw.org/en/wol/d/r1/lp-e/1101990043#h=40</t>
        </is>
      </c>
      <c r="AA838" s="7" t="n">
        <v>0</v>
      </c>
      <c r="AB838" s="7" t="n"/>
      <c r="AC838" s="7" t="n">
        <v>0</v>
      </c>
      <c r="AD838" s="7" t="n"/>
      <c r="AE838" s="7" t="n"/>
      <c r="AF838" s="7" t="n"/>
      <c r="AG838" s="7" t="n"/>
      <c r="AH838" s="7" t="n"/>
      <c r="AI838" s="7" t="n"/>
      <c r="AJ838" s="7" t="n"/>
      <c r="AK838" s="7" t="n"/>
      <c r="AL838" s="7" t="n"/>
      <c r="AM838" s="7" t="n">
        <v>330</v>
      </c>
      <c r="AN838" s="10" t="n"/>
      <c r="AO838" s="10" t="n"/>
      <c r="AP838" s="10" t="n"/>
      <c r="AQ838" s="10" t="n"/>
    </row>
    <row r="839">
      <c r="A839" s="7" t="inlineStr">
        <is>
          <t>b7-0025</t>
        </is>
      </c>
      <c r="B839" s="7" t="inlineStr">
        <is>
          <t>Point</t>
        </is>
      </c>
      <c r="C839" s="7" t="n"/>
      <c r="D839" s="7" t="inlineStr">
        <is>
          <t>4th century C.E.</t>
        </is>
      </c>
      <c r="E839" s="7" t="n"/>
      <c r="F839" s="7" t="inlineStr">
        <is>
          <t>350 CE</t>
        </is>
      </c>
      <c r="G839" s="7" t="inlineStr">
        <is>
          <t>Approx. (c.)</t>
        </is>
      </c>
      <c r="H839" s="7" t="n"/>
      <c r="I839" s="7" t="n"/>
      <c r="J839" s="7" t="n"/>
      <c r="K839" s="2" t="inlineStr">
        <is>
          <t>Codex Vaticanus (Vatican Manuscript No. 1209) produced</t>
        </is>
      </c>
      <c r="L839" s="2" t="inlineStr">
        <is>
          <t>ஒன்று ரோமிலும், மற்றொன்று இங்கிலாந்திலுள்ள லண்டனிலிருக்கும் பிரிட்டிஷ் நூலகத்திலும் காணப்படுகின்றன</t>
        </is>
      </c>
      <c r="M839" s="7" t="inlineStr">
        <is>
          <t>The Vatican Manuscript No. 1209, an uncial vellum codex of the fourth century C.E., possibly produced in Alexandria, originally contained the entire Bible in Greek. It has been in the Vatican Library at least since the 15th century; a full photographic facsimile was not published until 1889-1890.</t>
        </is>
      </c>
      <c r="N839" s="7" t="inlineStr">
        <is>
          <t>ஒன்று ரோமிலும், மற்றொன்று இங்கிலாந்திலுள்ள லண்டனிலிருக்கும் பிரிட்டிஷ் நூலகத்திலும் காணப்படுகின்றன.</t>
        </is>
      </c>
      <c r="O839" s="12" t="inlineStr">
        <is>
          <t>Bible &amp; church history</t>
        </is>
      </c>
      <c r="P839" s="7" t="inlineStr">
        <is>
          <t>history.bible_preservation</t>
        </is>
      </c>
      <c r="Q839" s="7" t="inlineStr">
        <is>
          <t>manuscript</t>
        </is>
      </c>
      <c r="R839" s="7" t="n"/>
      <c r="S839" s="7" t="inlineStr">
        <is>
          <t>Rome; Alexandria</t>
        </is>
      </c>
      <c r="T839" s="7" t="n"/>
      <c r="U839" s="7" t="n"/>
      <c r="V839" s="7" t="n">
        <v>3</v>
      </c>
      <c r="W839" s="7" t="inlineStr">
        <is>
          <t>Manuscripts of the Bible</t>
        </is>
      </c>
      <c r="X839" s="9" t="inlineStr">
        <is>
          <t>open</t>
        </is>
      </c>
      <c r="Y839" s="7" t="n"/>
      <c r="Z839" s="7" t="inlineStr">
        <is>
          <t>https://wol.jw.org/en/wol/d/r1/lp-e/1200002893#h=35
https://wol.jw.org/en/wol/d/r1/lp-e/1200004554#h=9
https://wol.jw.org/en/wol/d/r1/lp-e/102007409#h=9</t>
        </is>
      </c>
      <c r="AA839" s="7" t="n">
        <v>0</v>
      </c>
      <c r="AB839" s="7" t="n"/>
      <c r="AC839" s="7" t="n">
        <v>0</v>
      </c>
      <c r="AD839" s="7" t="n"/>
      <c r="AE839" s="7" t="n"/>
      <c r="AF839" s="7" t="n"/>
      <c r="AG839" s="7" t="n"/>
      <c r="AH839" s="7" t="n"/>
      <c r="AI839" s="7" t="n"/>
      <c r="AJ839" s="7" t="n"/>
      <c r="AK839" s="7" t="inlineStr">
        <is>
          <t>how-the-bible-came-to-us #15 (item)</t>
        </is>
      </c>
      <c r="AL839" s="7" t="n"/>
      <c r="AM839" s="7" t="n">
        <v>350</v>
      </c>
      <c r="AN839" s="10" t="n"/>
      <c r="AO839" s="10" t="n"/>
      <c r="AP839" s="10" t="n"/>
      <c r="AQ839" s="10" t="n"/>
    </row>
    <row r="840">
      <c r="A840" s="7" t="inlineStr">
        <is>
          <t>b7-0026</t>
        </is>
      </c>
      <c r="B840" s="7" t="inlineStr">
        <is>
          <t>Point</t>
        </is>
      </c>
      <c r="C840" s="7" t="n"/>
      <c r="D840" s="7" t="inlineStr">
        <is>
          <t>4th century C.E.</t>
        </is>
      </c>
      <c r="E840" s="7" t="n"/>
      <c r="F840" s="7" t="inlineStr">
        <is>
          <t>350 CE</t>
        </is>
      </c>
      <c r="G840" s="7" t="inlineStr">
        <is>
          <t>Approx. (c.)</t>
        </is>
      </c>
      <c r="H840" s="7" t="n"/>
      <c r="I840" s="7" t="n"/>
      <c r="J840" s="7" t="n"/>
      <c r="K840" s="2" t="inlineStr">
        <is>
          <t>Codex Sinaiticus (Sinaitic Manuscript) produced</t>
        </is>
      </c>
      <c r="L840" s="2" t="inlineStr">
        <is>
          <t>இது கோடெக்ஸ் சினியாட்டிகஸ் என்றழைக்கப்படுகிறது, ஜெரோம் லத்தீன் வல்கேட்-ஐ முடிப்பதற்கு சுமார் 50 ஆண்டுகளுக்கு முன்பாகும்</t>
        </is>
      </c>
      <c r="M840" s="7" t="inlineStr">
        <is>
          <t>The Sinaitic Manuscript, a fourth-century vellum codex, once contained the entire Bible in Greek and still has all the Christian Greek Scriptures. It was probably produced about 50 years before Jerome completed the Vulgate; most of it is now in the British Library.</t>
        </is>
      </c>
      <c r="N840" s="7" t="inlineStr">
        <is>
          <t>இது கோடெக்ஸ் சினியாட்டிகஸ் என்றழைக்கப்படுகிறது, ஜெரோம் லத்தீன் வல்கேட்-ஐ முடிப்பதற்கு சுமார் 50 ஆண்டுகளுக்கு முன்பாகும்.</t>
        </is>
      </c>
      <c r="O840" s="12" t="inlineStr">
        <is>
          <t>Bible &amp; church history</t>
        </is>
      </c>
      <c r="P840" s="7" t="inlineStr">
        <is>
          <t>history.bible_preservation</t>
        </is>
      </c>
      <c r="Q840" s="7" t="inlineStr">
        <is>
          <t>manuscript</t>
        </is>
      </c>
      <c r="R840" s="7" t="n"/>
      <c r="S840" s="7" t="inlineStr">
        <is>
          <t>Mount Sinai; London</t>
        </is>
      </c>
      <c r="T840" s="7" t="n"/>
      <c r="U840" s="7" t="n"/>
      <c r="V840" s="7" t="n">
        <v>3</v>
      </c>
      <c r="W840" s="7" t="inlineStr">
        <is>
          <t>Manuscripts of the Bible</t>
        </is>
      </c>
      <c r="X840" s="9" t="inlineStr">
        <is>
          <t>open</t>
        </is>
      </c>
      <c r="Y840" s="7" t="n"/>
      <c r="Z840" s="7" t="inlineStr">
        <is>
          <t>https://wol.jw.org/en/wol/d/r1/lp-e/1200002893#h=36
https://wol.jw.org/en/wol/d/r1/lp-e/1200000756#h=31
https://wol.jw.org/en/wol/d/r1/lp-e/1997763#h=18</t>
        </is>
      </c>
      <c r="AA840" s="7" t="n">
        <v>2</v>
      </c>
      <c r="AB840" s="9" t="inlineStr">
        <is>
          <t>open</t>
        </is>
      </c>
      <c r="AC840" s="7" t="n">
        <v>0</v>
      </c>
      <c r="AD840" s="7" t="n"/>
      <c r="AE840" s="7" t="n"/>
      <c r="AF840" s="7" t="n"/>
      <c r="AG840" s="7" t="n"/>
      <c r="AH840" s="7" t="n"/>
      <c r="AI840" s="7" t="n"/>
      <c r="AJ840" s="7" t="n"/>
      <c r="AK840" s="7" t="inlineStr">
        <is>
          <t>how-the-bible-came-to-us #16 (item)</t>
        </is>
      </c>
      <c r="AL840" s="7" t="n"/>
      <c r="AM840" s="7" t="n">
        <v>350.01</v>
      </c>
      <c r="AN840" s="10" t="n"/>
      <c r="AO840" s="10" t="n"/>
      <c r="AP840" s="10" t="n"/>
      <c r="AQ840" s="10" t="n"/>
    </row>
    <row r="841">
      <c r="A841" s="7" t="inlineStr">
        <is>
          <t>b7-0027</t>
        </is>
      </c>
      <c r="B841" s="11" t="inlineStr">
        <is>
          <t>Span</t>
        </is>
      </c>
      <c r="C841" s="7" t="inlineStr">
        <is>
          <t>reign</t>
        </is>
      </c>
      <c r="D841" s="7" t="inlineStr">
        <is>
          <t>361-363 C.E.</t>
        </is>
      </c>
      <c r="E841" s="7" t="inlineStr">
        <is>
          <t>பொ.ச. 361-363</t>
        </is>
      </c>
      <c r="F841" s="7" t="inlineStr">
        <is>
          <t>361 CE</t>
        </is>
      </c>
      <c r="G841" s="7" t="inlineStr">
        <is>
          <t>Exact</t>
        </is>
      </c>
      <c r="H841" s="7" t="inlineStr">
        <is>
          <t>363 CE</t>
        </is>
      </c>
      <c r="I841" s="7" t="inlineStr">
        <is>
          <t>Exact</t>
        </is>
      </c>
      <c r="J841" s="7" t="inlineStr">
        <is>
          <t>2 years</t>
        </is>
      </c>
      <c r="K841" s="2" t="inlineStr">
        <is>
          <t>Emperor Julian attempts to restore paganism</t>
        </is>
      </c>
      <c r="L841" s="2" t="n"/>
      <c r="M841" s="7" t="inlineStr">
        <is>
          <t>After Constantine, Emperor Julian (361-363 C.E.) tried to oppose Christianity and restore paganism, but failed.</t>
        </is>
      </c>
      <c r="N841" s="7" t="inlineStr">
        <is>
          <t>கான்ஸ்டன்டீனுக்குப் பிறகு, பேரரசராகிய ஜூலியன் (பொ.ச. 361-363) கிறிஸ்தவத்தை எதிர்க்கவும் புறமதத்தைத் திரும்ப நிலைநாட்டவும் முயற்சி எடுத்தார்.</t>
        </is>
      </c>
      <c r="O841" s="12" t="inlineStr">
        <is>
          <t>Bible &amp; church history</t>
        </is>
      </c>
      <c r="P841" s="7" t="inlineStr">
        <is>
          <t>history.apostasy</t>
        </is>
      </c>
      <c r="Q841" s="7" t="inlineStr">
        <is>
          <t>reign</t>
        </is>
      </c>
      <c r="R841" s="7" t="inlineStr">
        <is>
          <t>Julian</t>
        </is>
      </c>
      <c r="S841" s="7" t="n"/>
      <c r="T841" s="7" t="n"/>
      <c r="U841" s="7" t="n"/>
      <c r="V841" s="7" t="n">
        <v>1</v>
      </c>
      <c r="W841" s="7" t="inlineStr">
        <is>
          <t>How Christendom Became a Part of This World</t>
        </is>
      </c>
      <c r="X841" s="9" t="inlineStr">
        <is>
          <t>open</t>
        </is>
      </c>
      <c r="Y841" s="9" t="inlineStr">
        <is>
          <t>open</t>
        </is>
      </c>
      <c r="Z841" s="7" t="inlineStr">
        <is>
          <t>https://wol.jw.org/en/wol/d/r1/lp-e/1993481#h=8</t>
        </is>
      </c>
      <c r="AA841" s="7" t="n">
        <v>0</v>
      </c>
      <c r="AB841" s="7" t="n"/>
      <c r="AC841" s="7" t="n">
        <v>0</v>
      </c>
      <c r="AD841" s="7" t="n"/>
      <c r="AE841" s="7" t="n"/>
      <c r="AF841" s="7" t="n"/>
      <c r="AG841" s="7" t="n"/>
      <c r="AH841" s="7" t="n"/>
      <c r="AI841" s="7" t="n"/>
      <c r="AJ841" s="7" t="n"/>
      <c r="AK841" s="7" t="n"/>
      <c r="AL841" s="7" t="n"/>
      <c r="AM841" s="7" t="n">
        <v>361</v>
      </c>
      <c r="AN841" s="10" t="n"/>
      <c r="AO841" s="10" t="n"/>
      <c r="AP841" s="10" t="n"/>
      <c r="AQ841" s="10" t="n"/>
    </row>
    <row r="842">
      <c r="A842" s="7" t="inlineStr">
        <is>
          <t>b7-0028</t>
        </is>
      </c>
      <c r="B842" s="7" t="inlineStr">
        <is>
          <t>Point</t>
        </is>
      </c>
      <c r="C842" s="7" t="n"/>
      <c r="D842" s="7" t="inlineStr">
        <is>
          <t>367 C.E.</t>
        </is>
      </c>
      <c r="E842" s="7" t="n"/>
      <c r="F842" s="7" t="inlineStr">
        <is>
          <t>367 CE</t>
        </is>
      </c>
      <c r="G842" s="7" t="inlineStr">
        <is>
          <t>Exact</t>
        </is>
      </c>
      <c r="H842" s="7" t="n"/>
      <c r="I842" s="7" t="n"/>
      <c r="J842" s="7" t="n"/>
      <c r="K842" s="2" t="inlineStr">
        <is>
          <t>Council of Laodicea acknowledges the Bible canon</t>
        </is>
      </c>
      <c r="L842" s="2" t="n"/>
      <c r="M842" s="7" t="inlineStr">
        <is>
          <t>Early councils such as Laodicea (367 C.E.) acknowledged, but did not establish, the Bible canon already authorized by God's spirit, substantially accepting the Jewish canon and rejecting the Apocrypha.</t>
        </is>
      </c>
      <c r="N842" s="7" t="n"/>
      <c r="O842" s="12" t="inlineStr">
        <is>
          <t>Bible &amp; church history</t>
        </is>
      </c>
      <c r="P842" s="7" t="inlineStr">
        <is>
          <t>history.bible_preservation</t>
        </is>
      </c>
      <c r="Q842" s="7" t="inlineStr">
        <is>
          <t>council</t>
        </is>
      </c>
      <c r="R842" s="7" t="n"/>
      <c r="S842" s="7" t="inlineStr">
        <is>
          <t>Laodicea</t>
        </is>
      </c>
      <c r="T842" s="7" t="n"/>
      <c r="U842" s="7" t="n"/>
      <c r="V842" s="7" t="n">
        <v>1</v>
      </c>
      <c r="W842" s="7" t="inlineStr">
        <is>
          <t>Canon</t>
        </is>
      </c>
      <c r="X842" s="9" t="inlineStr">
        <is>
          <t>open</t>
        </is>
      </c>
      <c r="Y842" s="7" t="n"/>
      <c r="Z842" s="7" t="inlineStr">
        <is>
          <t>https://wol.jw.org/en/wol/d/r1/lp-e/1200000880#h=18</t>
        </is>
      </c>
      <c r="AA842" s="7" t="n">
        <v>0</v>
      </c>
      <c r="AB842" s="7" t="n"/>
      <c r="AC842" s="7" t="n">
        <v>0</v>
      </c>
      <c r="AD842" s="7" t="n"/>
      <c r="AE842" s="7" t="n"/>
      <c r="AF842" s="7" t="n"/>
      <c r="AG842" s="7" t="n"/>
      <c r="AH842" s="7" t="n"/>
      <c r="AI842" s="7" t="n"/>
      <c r="AJ842" s="7" t="n"/>
      <c r="AK842" s="7" t="n"/>
      <c r="AL842" s="7" t="n"/>
      <c r="AM842" s="7" t="n">
        <v>367</v>
      </c>
      <c r="AN842" s="10" t="n"/>
      <c r="AO842" s="10" t="n"/>
      <c r="AP842" s="10" t="n"/>
      <c r="AQ842" s="10" t="n"/>
    </row>
    <row r="843">
      <c r="A843" s="7" t="inlineStr">
        <is>
          <t>b7-0029</t>
        </is>
      </c>
      <c r="B843" s="7" t="inlineStr">
        <is>
          <t>Point</t>
        </is>
      </c>
      <c r="C843" s="7" t="n"/>
      <c r="D843" s="7" t="inlineStr">
        <is>
          <t>379 C.E.</t>
        </is>
      </c>
      <c r="E843" s="7" t="inlineStr">
        <is>
          <t>கி.பி. 379-395</t>
        </is>
      </c>
      <c r="F843" s="7" t="inlineStr">
        <is>
          <t>379 CE</t>
        </is>
      </c>
      <c r="G843" s="7" t="inlineStr">
        <is>
          <t>Exact</t>
        </is>
      </c>
      <c r="H843" s="7" t="n"/>
      <c r="I843" s="7" t="n"/>
      <c r="J843" s="7" t="n"/>
      <c r="K843" s="2" t="inlineStr">
        <is>
          <t>Theodosius I becomes emperor (379-395 C.E.)</t>
        </is>
      </c>
      <c r="L843" s="2" t="inlineStr">
        <is>
          <t>பேரரசரான தியடோஷியஸ் காலத்தில் (கி.பி. 379-395), பொய்மத ரோம சாம்ராஜ்யம் கிறிஸ்தவ நாடாக ஆனதென்று சரித்திர ஆசிரியர்கள் சொல்கிறார்கள்</t>
        </is>
      </c>
      <c r="M843" s="7" t="inlineStr">
        <is>
          <t>Theodosius I ruled 379-395 C.E.; under him the Catholic Church became the official religion of the Roman Empire.</t>
        </is>
      </c>
      <c r="N843" s="7" t="inlineStr">
        <is>
          <t>பேரரசரான தியடோஷியஸ் காலத்தில் (கி.பி. 379-395), பொய்மத ரோம சாம்ராஜ்யம் கிறிஸ்தவ நாடாக ஆனதென்று சரித்திர ஆசிரியர்கள் சொல்கிறார்கள்.</t>
        </is>
      </c>
      <c r="O843" s="12" t="inlineStr">
        <is>
          <t>Bible &amp; church history</t>
        </is>
      </c>
      <c r="P843" s="7" t="inlineStr">
        <is>
          <t>history.apostasy</t>
        </is>
      </c>
      <c r="Q843" s="7" t="inlineStr">
        <is>
          <t>accession</t>
        </is>
      </c>
      <c r="R843" s="7" t="inlineStr">
        <is>
          <t>Theodosius I</t>
        </is>
      </c>
      <c r="S843" s="7" t="n"/>
      <c r="T843" s="7" t="n"/>
      <c r="U843" s="7" t="n"/>
      <c r="V843" s="7" t="n">
        <v>2</v>
      </c>
      <c r="W843" s="7" t="inlineStr">
        <is>
          <t>Called Out of Darkness</t>
        </is>
      </c>
      <c r="X843" s="9" t="inlineStr">
        <is>
          <t>open</t>
        </is>
      </c>
      <c r="Y843" s="9" t="inlineStr">
        <is>
          <t>open</t>
        </is>
      </c>
      <c r="Z843" s="7" t="inlineStr">
        <is>
          <t>https://wol.jw.org/en/wol/d/r1/lp-e/2016843#h=19
https://wol.jw.org/en/wol/d/r1/lp-e/1993481#h=25</t>
        </is>
      </c>
      <c r="AA843" s="7" t="n">
        <v>0</v>
      </c>
      <c r="AB843" s="7" t="n"/>
      <c r="AC843" s="7" t="n">
        <v>0</v>
      </c>
      <c r="AD843" s="7" t="n"/>
      <c r="AE843" s="7" t="n"/>
      <c r="AF843" s="7" t="n"/>
      <c r="AG843" s="7" t="n"/>
      <c r="AH843" s="7" t="n"/>
      <c r="AI843" s="7" t="n"/>
      <c r="AJ843" s="7" t="n"/>
      <c r="AK843" s="7" t="n"/>
      <c r="AL843" s="7" t="n"/>
      <c r="AM843" s="7" t="n">
        <v>379</v>
      </c>
      <c r="AN843" s="10" t="n"/>
      <c r="AO843" s="10" t="n"/>
      <c r="AP843" s="10" t="n"/>
      <c r="AQ843" s="10" t="n"/>
    </row>
    <row r="844">
      <c r="A844" s="7" t="inlineStr">
        <is>
          <t>b7-0030</t>
        </is>
      </c>
      <c r="B844" s="7" t="inlineStr">
        <is>
          <t>Point</t>
        </is>
      </c>
      <c r="C844" s="7" t="n"/>
      <c r="D844" s="7" t="inlineStr">
        <is>
          <t>380 C.E.</t>
        </is>
      </c>
      <c r="E844" s="7" t="inlineStr">
        <is>
          <t>பொ.ச. 380</t>
        </is>
      </c>
      <c r="F844" s="7" t="inlineStr">
        <is>
          <t>380 CE</t>
        </is>
      </c>
      <c r="G844" s="7" t="inlineStr">
        <is>
          <t>Exact</t>
        </is>
      </c>
      <c r="H844" s="7" t="n"/>
      <c r="I844" s="7" t="n"/>
      <c r="J844" s="7" t="n"/>
      <c r="K844" s="2" t="inlineStr">
        <is>
          <t>Theodosius' edict requires all to profess the faith of Pope Damasus</t>
        </is>
      </c>
      <c r="L844" s="2" t="n"/>
      <c r="M844" s="7" t="inlineStr">
        <is>
          <t>Theodosius' edict of 380 C.E. ordered all his subjects to profess the faith of Pope Damasus and the Trinitarian bishop of Alexandria, depriving dissidents of freedom of worship.</t>
        </is>
      </c>
      <c r="N844" s="7" t="inlineStr">
        <is>
          <t>ஷான்ரேமீ பலான்க் எழுதினார்: “தியோடோஷியஸ், புறமதத்தை எதிர்த்துப் போராடிக்கொண்டிருக்கையில், பாரம்பரிய [கத்தோலிக்க] சர்ச்சின் ஆதரவிற்காகவும் முன்வந்தார்; பொ.ச. 380-ன் அவருடைய ஆணையில், தன்னுடைய எல்லா பிரஜைகளும் போப் டாமஸஸ் மற்றும் அலெக்சான்டிரியாவின் [திரித்துவ] பிஷப்பின் விசுவாசத்தைப் பற்றிக்கொள்ளவேண்டும் என்று கட்டளையிட்டு, ஏற்க மறுத்தவர்கள் மதச் சுதந்திரத்தை இழக்கச்செய்தார்.</t>
        </is>
      </c>
      <c r="O844" s="12" t="inlineStr">
        <is>
          <t>Bible &amp; church history</t>
        </is>
      </c>
      <c r="P844" s="7" t="inlineStr">
        <is>
          <t>history.apostasy</t>
        </is>
      </c>
      <c r="Q844" s="7" t="inlineStr">
        <is>
          <t>decree</t>
        </is>
      </c>
      <c r="R844" s="7" t="inlineStr">
        <is>
          <t>Theodosius I; Damasus</t>
        </is>
      </c>
      <c r="S844" s="7" t="n"/>
      <c r="T844" s="7" t="n"/>
      <c r="U844" s="7" t="n"/>
      <c r="V844" s="7" t="n">
        <v>1</v>
      </c>
      <c r="W844" s="7" t="inlineStr">
        <is>
          <t>How Christendom Became a Part of This World</t>
        </is>
      </c>
      <c r="X844" s="9" t="inlineStr">
        <is>
          <t>open</t>
        </is>
      </c>
      <c r="Y844" s="9" t="inlineStr">
        <is>
          <t>open</t>
        </is>
      </c>
      <c r="Z844" s="7" t="inlineStr">
        <is>
          <t>https://wol.jw.org/en/wol/d/r1/lp-e/1993481#h=27</t>
        </is>
      </c>
      <c r="AA844" s="7" t="n">
        <v>0</v>
      </c>
      <c r="AB844" s="7" t="n"/>
      <c r="AC844" s="7" t="n">
        <v>0</v>
      </c>
      <c r="AD844" s="7" t="n"/>
      <c r="AE844" s="7" t="n"/>
      <c r="AF844" s="7" t="n"/>
      <c r="AG844" s="7" t="n"/>
      <c r="AH844" s="7" t="n"/>
      <c r="AI844" s="7" t="n"/>
      <c r="AJ844" s="7" t="n"/>
      <c r="AK844" s="7" t="n"/>
      <c r="AL844" s="7" t="n"/>
      <c r="AM844" s="7" t="n">
        <v>380</v>
      </c>
      <c r="AN844" s="10" t="n"/>
      <c r="AO844" s="10" t="n"/>
      <c r="AP844" s="10" t="n"/>
      <c r="AQ844" s="10" t="n"/>
    </row>
    <row r="845">
      <c r="A845" s="7" t="inlineStr">
        <is>
          <t>b7-0031</t>
        </is>
      </c>
      <c r="B845" s="7" t="inlineStr">
        <is>
          <t>Point</t>
        </is>
      </c>
      <c r="C845" s="7" t="n"/>
      <c r="D845" s="7" t="inlineStr">
        <is>
          <t>before 381 C.E.</t>
        </is>
      </c>
      <c r="E845" s="7" t="inlineStr">
        <is>
          <t>பொ.ச. 381</t>
        </is>
      </c>
      <c r="F845" s="7" t="inlineStr">
        <is>
          <t>381 CE</t>
        </is>
      </c>
      <c r="G845" s="7" t="inlineStr">
        <is>
          <t>Before (b.)</t>
        </is>
      </c>
      <c r="H845" s="7" t="n"/>
      <c r="I845" s="7" t="n"/>
      <c r="J845" s="7" t="n"/>
      <c r="K845" s="2" t="inlineStr">
        <is>
          <t>Ulfilas completes Gothic Bible, inventing the Gothic alphabet</t>
        </is>
      </c>
      <c r="L845" s="2" t="inlineStr">
        <is>
          <t>பொ.ச. 381-க்கு முன்னரே, அவர் கிட்டத்தட்ட முழு பைபிளையும் காத்திக் மொழியில் மொழிபெயர்த்து முடித்துவிட்டார்</t>
        </is>
      </c>
      <c r="M845" s="7" t="inlineStr">
        <is>
          <t>In the fourth century, Ulfilas invented a 27-letter Gothic alphabet and translated nearly the entire Bible into Gothic, completing it before 381 C.E. He reportedly omitted the books of Kings (Samuel and Kings) because of their accounts of warfare.</t>
        </is>
      </c>
      <c r="N845" s="7" t="inlineStr">
        <is>
          <t>பொ.ச. 381-க்கு முன்னரே, அவர் கிட்டத்தட்ட முழு பைபிளையும் காத்திக் மொழியில் மொழிபெயர்த்து முடித்துவிட்டார்.</t>
        </is>
      </c>
      <c r="O845" s="12" t="inlineStr">
        <is>
          <t>Bible &amp; church history</t>
        </is>
      </c>
      <c r="P845" s="7" t="inlineStr">
        <is>
          <t>history.bible_translation</t>
        </is>
      </c>
      <c r="Q845" s="7" t="inlineStr">
        <is>
          <t>translation</t>
        </is>
      </c>
      <c r="R845" s="7" t="inlineStr">
        <is>
          <t>Ulfilas</t>
        </is>
      </c>
      <c r="S845" s="7" t="n"/>
      <c r="T845" s="7" t="n"/>
      <c r="U845" s="7" t="n"/>
      <c r="V845" s="7" t="n">
        <v>3</v>
      </c>
      <c r="W845" s="7" t="inlineStr">
        <is>
          <t>A Book That “Speaks” Living Languages</t>
        </is>
      </c>
      <c r="X845" s="9" t="inlineStr">
        <is>
          <t>open</t>
        </is>
      </c>
      <c r="Y845" s="9" t="inlineStr">
        <is>
          <t>open</t>
        </is>
      </c>
      <c r="Z845" s="7" t="inlineStr">
        <is>
          <t>https://wol.jw.org/en/wol/d/r1/lp-e/1101997025#h=5
https://wol.jw.org/en/wol/d/r1/lp-e/1997603#h=15
https://wol.jw.org/en/wol/d/r1/lp-e/1200004554#h=20</t>
        </is>
      </c>
      <c r="AA845" s="7" t="n">
        <v>0</v>
      </c>
      <c r="AB845" s="7" t="n"/>
      <c r="AC845" s="7" t="n">
        <v>0</v>
      </c>
      <c r="AD845" s="7" t="n"/>
      <c r="AE845" s="7" t="n"/>
      <c r="AF845" s="7" t="n"/>
      <c r="AG845" s="7" t="n"/>
      <c r="AH845" s="7" t="n"/>
      <c r="AI845" s="7" t="n"/>
      <c r="AJ845" s="7" t="n"/>
      <c r="AK845" s="7" t="inlineStr">
        <is>
          <t>how-the-bible-came-to-us #17 (item)</t>
        </is>
      </c>
      <c r="AL845" s="7" t="n"/>
      <c r="AM845" s="7" t="n">
        <v>380.99</v>
      </c>
      <c r="AN845" s="10" t="n"/>
      <c r="AO845" s="10" t="n"/>
      <c r="AP845" s="10" t="n"/>
      <c r="AQ845" s="10" t="n"/>
    </row>
    <row r="846">
      <c r="A846" s="7" t="inlineStr">
        <is>
          <t>b7-0032</t>
        </is>
      </c>
      <c r="B846" s="7" t="inlineStr">
        <is>
          <t>Point</t>
        </is>
      </c>
      <c r="C846" s="7" t="n"/>
      <c r="D846" s="7" t="inlineStr">
        <is>
          <t>381 C.E.</t>
        </is>
      </c>
      <c r="E846" s="7" t="inlineStr">
        <is>
          <t>பொ.ச. 381</t>
        </is>
      </c>
      <c r="F846" s="7" t="inlineStr">
        <is>
          <t>381 CE</t>
        </is>
      </c>
      <c r="G846" s="7" t="inlineStr">
        <is>
          <t>Exact</t>
        </is>
      </c>
      <c r="H846" s="7" t="n"/>
      <c r="I846" s="7" t="n"/>
      <c r="J846" s="7" t="n"/>
      <c r="K846" s="2" t="inlineStr">
        <is>
          <t>Council of Constantinople refines the Trinity; holy spirit declared a person</t>
        </is>
      </c>
      <c r="L846" s="2" t="n"/>
      <c r="M846" s="7" t="inlineStr">
        <is>
          <t>Theodosius convened the Council of Constantinople in 381 C.E. to clarify the Nicene formula. It declared that the holy spirit should be worshiped and glorified as the Father and Son, defining the holy spirit as a distinct divine person, and again condemned all "heresies."</t>
        </is>
      </c>
      <c r="N846" s="7" t="inlineStr">
        <is>
          <t>நைசியா ஆலோசனை சபையின் விசுவாசப் பிரமாணமே தன் ராஜ்யத்தில் ஏற்புடைய கோட்பாடென அவன் நிலைநாட்டி, இந்தக் கொள்கைமுறையைத் தெளிவுபடுத்த பொ.ச. 381-ல் கான்ஸ்டான்டிநோப்பில் ஆலோசனை சபையைக் கூட்டினான்.</t>
        </is>
      </c>
      <c r="O846" s="12" t="inlineStr">
        <is>
          <t>Bible &amp; church history</t>
        </is>
      </c>
      <c r="P846" s="7" t="inlineStr">
        <is>
          <t>history.apostasy</t>
        </is>
      </c>
      <c r="Q846" s="7" t="inlineStr">
        <is>
          <t>council</t>
        </is>
      </c>
      <c r="R846" s="7" t="inlineStr">
        <is>
          <t>Theodosius I</t>
        </is>
      </c>
      <c r="S846" s="7" t="inlineStr">
        <is>
          <t>Constantinople</t>
        </is>
      </c>
      <c r="T846" s="7" t="n"/>
      <c r="U846" s="7" t="n"/>
      <c r="V846" s="7" t="n">
        <v>4</v>
      </c>
      <c r="W846" s="7" t="inlineStr">
        <is>
          <t>How Did the Trinity Doctrine Develop?</t>
        </is>
      </c>
      <c r="X846" s="9" t="inlineStr">
        <is>
          <t>open</t>
        </is>
      </c>
      <c r="Y846" s="9" t="inlineStr">
        <is>
          <t>open</t>
        </is>
      </c>
      <c r="Z846" s="7" t="inlineStr">
        <is>
          <t>https://wol.jw.org/en/wol/d/r1/lp-e/1101989303#h=11
https://wol.jw.org/en/wol/d/r1/lp-e/1991804#h=16
https://wol.jw.org/en/wol/d/r1/lp-e/502014219#h=28
https://wol.jw.org/en/wol/d/r1/lp-e/1993481#h=27</t>
        </is>
      </c>
      <c r="AA846" s="7" t="n">
        <v>0</v>
      </c>
      <c r="AB846" s="7" t="n"/>
      <c r="AC846" s="7" t="n">
        <v>0</v>
      </c>
      <c r="AD846" s="7" t="n"/>
      <c r="AE846" s="7" t="n"/>
      <c r="AF846" s="7" t="n"/>
      <c r="AG846" s="7" t="n"/>
      <c r="AH846" s="7" t="n"/>
      <c r="AI846" s="7" t="n"/>
      <c r="AJ846" s="7" t="n"/>
      <c r="AK846" s="7" t="n"/>
      <c r="AL846" s="7" t="n"/>
      <c r="AM846" s="7" t="n">
        <v>381</v>
      </c>
      <c r="AN846" s="10" t="n"/>
      <c r="AO846" s="10" t="n"/>
      <c r="AP846" s="10" t="n"/>
      <c r="AQ846" s="10" t="n"/>
    </row>
    <row r="847">
      <c r="A847" s="7" t="inlineStr">
        <is>
          <t>b7-0033</t>
        </is>
      </c>
      <c r="B847" s="7" t="inlineStr">
        <is>
          <t>Point</t>
        </is>
      </c>
      <c r="C847" s="7" t="n"/>
      <c r="D847" s="7" t="inlineStr">
        <is>
          <t>c. 381 C.E. (last quarter of 4th century)</t>
        </is>
      </c>
      <c r="E847" s="7" t="n"/>
      <c r="F847" s="7" t="inlineStr">
        <is>
          <t>381 CE</t>
        </is>
      </c>
      <c r="G847" s="7" t="inlineStr">
        <is>
          <t>Approx. (c.)</t>
        </is>
      </c>
      <c r="H847" s="7" t="n"/>
      <c r="I847" s="7" t="n"/>
      <c r="J847" s="7" t="n"/>
      <c r="K847" s="2" t="inlineStr">
        <is>
          <t>Trinitarian Catholicism becomes official state religion of the Roman Empire</t>
        </is>
      </c>
      <c r="L847" s="2" t="n"/>
      <c r="M847" s="7" t="inlineStr">
        <is>
          <t>In the last quarter of the fourth century, Theodosius I banned paganism and made Trinitarian "Christianity" the official religion of the empire, about 20 years after Julian. Church and State became closely united.</t>
        </is>
      </c>
      <c r="N847" s="7" t="n"/>
      <c r="O847" s="12" t="inlineStr">
        <is>
          <t>Bible &amp; church history</t>
        </is>
      </c>
      <c r="P847" s="7" t="inlineStr">
        <is>
          <t>history.apostasy</t>
        </is>
      </c>
      <c r="Q847" s="7" t="inlineStr">
        <is>
          <t>decree</t>
        </is>
      </c>
      <c r="R847" s="7" t="inlineStr">
        <is>
          <t>Theodosius I</t>
        </is>
      </c>
      <c r="S847" s="7" t="n"/>
      <c r="T847" s="7" t="n"/>
      <c r="U847" s="7" t="n"/>
      <c r="V847" s="7" t="n">
        <v>3</v>
      </c>
      <c r="W847" s="7" t="inlineStr">
        <is>
          <t>How Christendom Became a Part of This World</t>
        </is>
      </c>
      <c r="X847" s="9" t="inlineStr">
        <is>
          <t>open</t>
        </is>
      </c>
      <c r="Y847" s="9" t="inlineStr">
        <is>
          <t>open</t>
        </is>
      </c>
      <c r="Z847" s="7" t="inlineStr">
        <is>
          <t>https://wol.jw.org/en/wol/d/r1/lp-e/1993481#h=8
https://wol.jw.org/en/wol/d/r1/lp-e/1993481#h=25
https://wol.jw.org/en/wol/d/r1/lp-e/2016843#h=19</t>
        </is>
      </c>
      <c r="AA847" s="7" t="n">
        <v>0</v>
      </c>
      <c r="AB847" s="7" t="n"/>
      <c r="AC847" s="7" t="n">
        <v>0</v>
      </c>
      <c r="AD847" s="7" t="n"/>
      <c r="AE847" s="7" t="n"/>
      <c r="AF847" s="7" t="n"/>
      <c r="AG847" s="7" t="n"/>
      <c r="AH847" s="7" t="n"/>
      <c r="AI847" s="7" t="n"/>
      <c r="AJ847" s="7" t="n"/>
      <c r="AK847" s="7" t="n"/>
      <c r="AL847" s="7" t="n"/>
      <c r="AM847" s="7" t="n">
        <v>381.5</v>
      </c>
      <c r="AN847" s="10" t="n"/>
      <c r="AO847" s="10" t="n"/>
      <c r="AP847" s="10" t="n"/>
      <c r="AQ847" s="10" t="n"/>
    </row>
    <row r="848">
      <c r="A848" s="7" t="inlineStr">
        <is>
          <t>b7-0034</t>
        </is>
      </c>
      <c r="B848" s="7" t="inlineStr">
        <is>
          <t>Point</t>
        </is>
      </c>
      <c r="C848" s="7" t="n"/>
      <c r="D848" s="7" t="inlineStr">
        <is>
          <t>382 C.E.</t>
        </is>
      </c>
      <c r="E848" s="7" t="n"/>
      <c r="F848" s="7" t="inlineStr">
        <is>
          <t>382 CE</t>
        </is>
      </c>
      <c r="G848" s="7" t="inlineStr">
        <is>
          <t>Exact</t>
        </is>
      </c>
      <c r="H848" s="7" t="n"/>
      <c r="I848" s="7" t="n"/>
      <c r="J848" s="7" t="n"/>
      <c r="K848" s="2" t="inlineStr">
        <is>
          <t>Synod in Constantinople affirms full divinity of the holy spirit</t>
        </is>
      </c>
      <c r="L848" s="2" t="n"/>
      <c r="M848" s="7" t="inlineStr">
        <is>
          <t>One year after the Council of Constantinople, in 382 C.E., another synod met there and affirmed the full divinity of the holy spirit.</t>
        </is>
      </c>
      <c r="N848" s="7" t="n"/>
      <c r="O848" s="12" t="inlineStr">
        <is>
          <t>Bible &amp; church history</t>
        </is>
      </c>
      <c r="P848" s="7" t="inlineStr">
        <is>
          <t>history.apostasy</t>
        </is>
      </c>
      <c r="Q848" s="7" t="inlineStr">
        <is>
          <t>council</t>
        </is>
      </c>
      <c r="R848" s="7" t="n"/>
      <c r="S848" s="7" t="inlineStr">
        <is>
          <t>Constantinople</t>
        </is>
      </c>
      <c r="T848" s="7" t="n"/>
      <c r="U848" s="7" t="n"/>
      <c r="V848" s="7" t="n">
        <v>1</v>
      </c>
      <c r="W848" s="7" t="inlineStr">
        <is>
          <t>Part 1—Did Jesus and His Disciples Teach the Trinity Doctrine?</t>
        </is>
      </c>
      <c r="X848" s="9" t="inlineStr">
        <is>
          <t>open</t>
        </is>
      </c>
      <c r="Y848" s="7" t="n"/>
      <c r="Z848" s="7" t="inlineStr">
        <is>
          <t>https://wol.jw.org/en/wol/d/r1/lp-e/1991804#h=16</t>
        </is>
      </c>
      <c r="AA848" s="7" t="n">
        <v>0</v>
      </c>
      <c r="AB848" s="7" t="n"/>
      <c r="AC848" s="7" t="n">
        <v>0</v>
      </c>
      <c r="AD848" s="7" t="n"/>
      <c r="AE848" s="7" t="n"/>
      <c r="AF848" s="7" t="n"/>
      <c r="AG848" s="7" t="n"/>
      <c r="AH848" s="7" t="n"/>
      <c r="AI848" s="7" t="n"/>
      <c r="AJ848" s="7" t="n"/>
      <c r="AK848" s="7" t="n"/>
      <c r="AL848" s="7" t="n"/>
      <c r="AM848" s="7" t="n">
        <v>382</v>
      </c>
      <c r="AN848" s="10" t="n"/>
      <c r="AO848" s="10" t="n"/>
      <c r="AP848" s="10" t="n"/>
      <c r="AQ848" s="10" t="n"/>
    </row>
    <row r="849">
      <c r="A849" s="7" t="inlineStr">
        <is>
          <t>b7-0035</t>
        </is>
      </c>
      <c r="B849" s="7" t="inlineStr">
        <is>
          <t>Point</t>
        </is>
      </c>
      <c r="C849" s="7" t="n"/>
      <c r="D849" s="7" t="inlineStr">
        <is>
          <t>382 C.E.</t>
        </is>
      </c>
      <c r="E849" s="7" t="n"/>
      <c r="F849" s="7" t="inlineStr">
        <is>
          <t>382 CE</t>
        </is>
      </c>
      <c r="G849" s="7" t="inlineStr">
        <is>
          <t>Exact</t>
        </is>
      </c>
      <c r="H849" s="7" t="n"/>
      <c r="I849" s="7" t="n"/>
      <c r="J849" s="7" t="n"/>
      <c r="K849" s="2" t="inlineStr">
        <is>
          <t>Pope Damasus presents the Tome of Damasus supporting the Trinity</t>
        </is>
      </c>
      <c r="L849" s="2" t="n"/>
      <c r="M849" s="7" t="inlineStr">
        <is>
          <t>In 382 C.E., before a council in Rome, Pope Damasus presented a collection of teachings to be condemned, called the Tome of Damasus, which expressed Trinitarian doctrine.</t>
        </is>
      </c>
      <c r="N849" s="7" t="n"/>
      <c r="O849" s="12" t="inlineStr">
        <is>
          <t>Bible &amp; church history</t>
        </is>
      </c>
      <c r="P849" s="7" t="inlineStr">
        <is>
          <t>history.apostasy</t>
        </is>
      </c>
      <c r="Q849" s="7" t="inlineStr">
        <is>
          <t>council</t>
        </is>
      </c>
      <c r="R849" s="7" t="inlineStr">
        <is>
          <t>Damasus</t>
        </is>
      </c>
      <c r="S849" s="7" t="inlineStr">
        <is>
          <t>Rome</t>
        </is>
      </c>
      <c r="T849" s="7" t="n"/>
      <c r="U849" s="7" t="n"/>
      <c r="V849" s="7" t="n">
        <v>1</v>
      </c>
      <c r="W849" s="7" t="inlineStr">
        <is>
          <t>Part 1—Did Jesus and His Disciples Teach the Trinity Doctrine?</t>
        </is>
      </c>
      <c r="X849" s="9" t="inlineStr">
        <is>
          <t>open</t>
        </is>
      </c>
      <c r="Y849" s="7" t="n"/>
      <c r="Z849" s="7" t="inlineStr">
        <is>
          <t>https://wol.jw.org/en/wol/d/r1/lp-e/1991804#h=16</t>
        </is>
      </c>
      <c r="AA849" s="7" t="n">
        <v>0</v>
      </c>
      <c r="AB849" s="7" t="n"/>
      <c r="AC849" s="7" t="n">
        <v>0</v>
      </c>
      <c r="AD849" s="7" t="n"/>
      <c r="AE849" s="7" t="n"/>
      <c r="AF849" s="7" t="n"/>
      <c r="AG849" s="7" t="n"/>
      <c r="AH849" s="7" t="n"/>
      <c r="AI849" s="7" t="n"/>
      <c r="AJ849" s="7" t="n"/>
      <c r="AK849" s="7" t="n"/>
      <c r="AL849" s="7" t="n"/>
      <c r="AM849" s="7" t="n">
        <v>382.01</v>
      </c>
      <c r="AN849" s="10" t="n"/>
      <c r="AO849" s="10" t="n"/>
      <c r="AP849" s="10" t="n"/>
      <c r="AQ849" s="10" t="n"/>
    </row>
    <row r="850">
      <c r="A850" s="7" t="inlineStr">
        <is>
          <t>b7-0036</t>
        </is>
      </c>
      <c r="B850" s="7" t="inlineStr">
        <is>
          <t>Point</t>
        </is>
      </c>
      <c r="C850" s="7" t="n"/>
      <c r="D850" s="7" t="inlineStr">
        <is>
          <t>382 C.E.</t>
        </is>
      </c>
      <c r="E850" s="7" t="inlineStr">
        <is>
          <t>பொ.ச. 382</t>
        </is>
      </c>
      <c r="F850" s="7" t="inlineStr">
        <is>
          <t>382 CE</t>
        </is>
      </c>
      <c r="G850" s="7" t="inlineStr">
        <is>
          <t>Exact</t>
        </is>
      </c>
      <c r="H850" s="7" t="n"/>
      <c r="I850" s="7" t="n"/>
      <c r="J850" s="7" t="n"/>
      <c r="K850" s="2" t="inlineStr">
        <is>
          <t>Pope Damasus commissions Jerome to prepare an authoritative Latin Bible</t>
        </is>
      </c>
      <c r="L850" s="2" t="inlineStr">
        <is>
          <t>ஆகவே பொ.ச. 382-ல் போப் டெமாசிஸ் தன்னுடைய செயலர் ஜெரோமை ஒரு நம்பத்தகுந்த லத்தீன் பைபிளை தயார்செய்யும்படியாக பணித்தார்</t>
        </is>
      </c>
      <c r="M850" s="7" t="inlineStr">
        <is>
          <t>Because Old Latin versions varied in style and accuracy, in 382 C.E. Pope Damasus commissioned his secretary Jerome to revise the Latin text, beginning with the Gospels.</t>
        </is>
      </c>
      <c r="N850" s="7" t="inlineStr">
        <is>
          <t>ஆகவே பொ.ச. 382-ல் போப் டெமாசிஸ் தன்னுடைய செயலர் ஜெரோமை ஒரு நம்பத்தகுந்த லத்தீன் பைபிளை தயார்செய்யும்படியாக பணித்தார்.</t>
        </is>
      </c>
      <c r="O850" s="12" t="inlineStr">
        <is>
          <t>Bible &amp; church history</t>
        </is>
      </c>
      <c r="P850" s="7" t="inlineStr">
        <is>
          <t>history.bible_translation</t>
        </is>
      </c>
      <c r="Q850" s="7" t="inlineStr">
        <is>
          <t>commission</t>
        </is>
      </c>
      <c r="R850" s="7" t="inlineStr">
        <is>
          <t>Jerome; Damasus</t>
        </is>
      </c>
      <c r="S850" s="7" t="n"/>
      <c r="T850" s="7" t="n"/>
      <c r="U850" s="7" t="n"/>
      <c r="V850" s="7" t="n">
        <v>2</v>
      </c>
      <c r="W850" s="7" t="inlineStr">
        <is>
          <t>Part One—How the Bible Came to Us</t>
        </is>
      </c>
      <c r="X850" s="9" t="inlineStr">
        <is>
          <t>open</t>
        </is>
      </c>
      <c r="Y850" s="9" t="inlineStr">
        <is>
          <t>open</t>
        </is>
      </c>
      <c r="Z850" s="7" t="inlineStr">
        <is>
          <t>https://wol.jw.org/en/wol/d/r1/lp-e/1997603#h=17
https://wol.jw.org/en/wol/d/r1/lp-e/2009251#h=9</t>
        </is>
      </c>
      <c r="AA850" s="7" t="n">
        <v>0</v>
      </c>
      <c r="AB850" s="7" t="n"/>
      <c r="AC850" s="7" t="n">
        <v>0</v>
      </c>
      <c r="AD850" s="7" t="n"/>
      <c r="AE850" s="7" t="n"/>
      <c r="AF850" s="7" t="n"/>
      <c r="AG850" s="7" t="n"/>
      <c r="AH850" s="7" t="n"/>
      <c r="AI850" s="7" t="inlineStr">
        <is>
          <t>Span endpoint – keep</t>
        </is>
      </c>
      <c r="AJ850" s="7" t="inlineStr">
        <is>
          <t>start of Jerome’s work on the Latin Vulgate (b12-0058)</t>
        </is>
      </c>
      <c r="AK850" s="7" t="inlineStr">
        <is>
          <t>how-the-bible-came-to-us #18 (step)</t>
        </is>
      </c>
      <c r="AL850" s="7" t="n"/>
      <c r="AM850" s="7" t="n">
        <v>382.02</v>
      </c>
      <c r="AN850" s="10" t="n"/>
      <c r="AO850" s="10" t="n"/>
      <c r="AP850" s="10" t="n"/>
      <c r="AQ850" s="10" t="n"/>
    </row>
    <row r="851">
      <c r="A851" s="7" t="inlineStr">
        <is>
          <t>b12-0058</t>
        </is>
      </c>
      <c r="B851" s="11" t="inlineStr">
        <is>
          <t>Span</t>
        </is>
      </c>
      <c r="C851" s="7" t="inlineStr">
        <is>
          <t>translation</t>
        </is>
      </c>
      <c r="D851" s="7" t="inlineStr">
        <is>
          <t>382 C.E.–405 C.E.</t>
        </is>
      </c>
      <c r="E851" s="7" t="n"/>
      <c r="F851" s="7" t="inlineStr">
        <is>
          <t>382 CE</t>
        </is>
      </c>
      <c r="G851" s="7" t="inlineStr">
        <is>
          <t>Exact</t>
        </is>
      </c>
      <c r="H851" s="7" t="inlineStr">
        <is>
          <t>405 CE</t>
        </is>
      </c>
      <c r="I851" s="7" t="inlineStr">
        <is>
          <t>Exact</t>
        </is>
      </c>
      <c r="J851" s="7" t="n"/>
      <c r="K851" s="2" t="inlineStr">
        <is>
          <t>Jerome’s work on the Latin Vulgate</t>
        </is>
      </c>
      <c r="L851" s="2" t="n"/>
      <c r="M851" s="7" t="inlineStr">
        <is>
          <t>Commissioned by Pope Damasus in 382 C.E., Jerome first revised the Latin Gospels and then translated the Hebrew Scriptures directly from Hebrew, completing the Latin Vulgate in 405 C.E.</t>
        </is>
      </c>
      <c r="N851" s="7" t="inlineStr">
        <is>
          <t>ஆகவே பொ.ச. 382-ல் போப் டெமாசிஸ் தன்னுடைய செயலர் ஜெரோமை ஒரு நம்பத்தகுந்த லத்தீன் பைபிளை தயார்செய்யும்படியாக பணித்தார்.</t>
        </is>
      </c>
      <c r="O851" s="12" t="inlineStr">
        <is>
          <t>Bible &amp; church history</t>
        </is>
      </c>
      <c r="P851" s="7" t="inlineStr">
        <is>
          <t>history.bible_translation</t>
        </is>
      </c>
      <c r="Q851" s="7" t="n"/>
      <c r="R851" s="7" t="inlineStr">
        <is>
          <t>Jerome; Damasus</t>
        </is>
      </c>
      <c r="S851" s="7" t="inlineStr">
        <is>
          <t>Rome; Bethlehem</t>
        </is>
      </c>
      <c r="T851" s="7" t="n"/>
      <c r="U851" s="7" t="n"/>
      <c r="V851" s="7" t="n">
        <v>2</v>
      </c>
      <c r="W851" s="7" t="inlineStr">
        <is>
          <t>Part One—How the Bible Came to Us</t>
        </is>
      </c>
      <c r="X851" s="9" t="inlineStr">
        <is>
          <t>open</t>
        </is>
      </c>
      <c r="Y851" s="9" t="inlineStr">
        <is>
          <t>open</t>
        </is>
      </c>
      <c r="Z851" s="7" t="inlineStr">
        <is>
          <t>https://wol.jw.org/en/wol/d/r1/lp-e/1997603
https://wol.jw.org/en/wol/d/r1/lp-e/1200004554</t>
        </is>
      </c>
      <c r="AA851" s="7" t="n">
        <v>0</v>
      </c>
      <c r="AB851" s="7" t="n"/>
      <c r="AC851" s="7" t="n">
        <v>1</v>
      </c>
      <c r="AD851" s="7" t="inlineStr">
        <is>
          <t>The Watchtower 1997 (“How the Bible Came to Us”) says “Jerome completed his work about 400 C.E.”; Insight “Versions” gives 405 C.E. Insight value kept.</t>
        </is>
      </c>
      <c r="AE851" s="7" t="n"/>
      <c r="AF851" s="7" t="inlineStr">
        <is>
          <t>b7-0036</t>
        </is>
      </c>
      <c r="AG851" s="7" t="inlineStr">
        <is>
          <t>b7-0042</t>
        </is>
      </c>
      <c r="AH851" s="7" t="n"/>
      <c r="AI851" s="7" t="n"/>
      <c r="AJ851" s="7" t="n"/>
      <c r="AK851" s="7" t="n"/>
      <c r="AL851" s="7" t="n"/>
      <c r="AM851" s="7" t="n">
        <v>382.02</v>
      </c>
      <c r="AN851" s="10" t="n"/>
      <c r="AO851" s="10" t="n"/>
      <c r="AP851" s="10" t="n"/>
      <c r="AQ851" s="10" t="n"/>
    </row>
    <row r="852">
      <c r="A852" s="7" t="inlineStr">
        <is>
          <t>b7-0037</t>
        </is>
      </c>
      <c r="B852" s="7" t="inlineStr">
        <is>
          <t>Point</t>
        </is>
      </c>
      <c r="C852" s="7" t="n"/>
      <c r="D852" s="7" t="inlineStr">
        <is>
          <t>383 or 384 C.E.</t>
        </is>
      </c>
      <c r="E852" s="7" t="n"/>
      <c r="F852" s="7" t="inlineStr">
        <is>
          <t>383 CE</t>
        </is>
      </c>
      <c r="G852" s="7" t="inlineStr">
        <is>
          <t>Approx. (c.)</t>
        </is>
      </c>
      <c r="H852" s="7" t="n"/>
      <c r="I852" s="7" t="n"/>
      <c r="J852" s="7" t="n"/>
      <c r="K852" s="2" t="inlineStr">
        <is>
          <t>Jerome's revised Latin Gospels published</t>
        </is>
      </c>
      <c r="L852" s="2" t="n"/>
      <c r="M852" s="7" t="inlineStr">
        <is>
          <t>Jerome first revised the Old Latin Christian Scriptures against the Greek, beginning with the Gospels, which were published in 383 or 384 C.E.</t>
        </is>
      </c>
      <c r="N852" s="7" t="n"/>
      <c r="O852" s="12" t="inlineStr">
        <is>
          <t>Bible &amp; church history</t>
        </is>
      </c>
      <c r="P852" s="7" t="inlineStr">
        <is>
          <t>history.bible_translation</t>
        </is>
      </c>
      <c r="Q852" s="7" t="inlineStr">
        <is>
          <t>release</t>
        </is>
      </c>
      <c r="R852" s="7" t="inlineStr">
        <is>
          <t>Jerome</t>
        </is>
      </c>
      <c r="S852" s="7" t="n"/>
      <c r="T852" s="7" t="n"/>
      <c r="U852" s="7" t="n"/>
      <c r="V852" s="7" t="n">
        <v>1</v>
      </c>
      <c r="W852" s="7" t="inlineStr">
        <is>
          <t>Versions</t>
        </is>
      </c>
      <c r="X852" s="9" t="inlineStr">
        <is>
          <t>open</t>
        </is>
      </c>
      <c r="Y852" s="7" t="n"/>
      <c r="Z852" s="7" t="inlineStr">
        <is>
          <t>https://wol.jw.org/en/wol/d/r1/lp-e/1200004554#h=17</t>
        </is>
      </c>
      <c r="AA852" s="7" t="n">
        <v>0</v>
      </c>
      <c r="AB852" s="7" t="n"/>
      <c r="AC852" s="7" t="n">
        <v>0</v>
      </c>
      <c r="AD852" s="7" t="n"/>
      <c r="AE852" s="7" t="n"/>
      <c r="AF852" s="7" t="n"/>
      <c r="AG852" s="7" t="n"/>
      <c r="AH852" s="7" t="n"/>
      <c r="AI852" s="7" t="n"/>
      <c r="AJ852" s="7" t="n"/>
      <c r="AK852" s="7" t="n"/>
      <c r="AL852" s="7" t="n"/>
      <c r="AM852" s="7" t="n">
        <v>383</v>
      </c>
      <c r="AN852" s="10" t="n"/>
      <c r="AO852" s="10" t="n"/>
      <c r="AP852" s="10" t="n"/>
      <c r="AQ852" s="10" t="n"/>
    </row>
    <row r="853">
      <c r="A853" s="7" t="inlineStr">
        <is>
          <t>b7-0038</t>
        </is>
      </c>
      <c r="B853" s="7" t="inlineStr">
        <is>
          <t>Point</t>
        </is>
      </c>
      <c r="C853" s="7" t="n"/>
      <c r="D853" s="7" t="inlineStr">
        <is>
          <t>c. 384 C.E.</t>
        </is>
      </c>
      <c r="E853" s="7" t="inlineStr">
        <is>
          <t>384</t>
        </is>
      </c>
      <c r="F853" s="7" t="inlineStr">
        <is>
          <t>384 CE</t>
        </is>
      </c>
      <c r="G853" s="7" t="inlineStr">
        <is>
          <t>Approx. (c.)</t>
        </is>
      </c>
      <c r="H853" s="7" t="n"/>
      <c r="I853" s="7" t="n"/>
      <c r="J853" s="7" t="n"/>
      <c r="K853" s="2" t="inlineStr">
        <is>
          <t>Epiphanius counts eighty varieties of "Christianity"</t>
        </is>
      </c>
      <c r="L853" s="2" t="n"/>
      <c r="M853" s="7" t="inlineStr">
        <is>
          <t>Whereas Irenaeus had listed twenty varieties about 187 C.E., by about 384 C.E. Epiphanius counted eighty.</t>
        </is>
      </c>
      <c r="N853" s="7" t="inlineStr">
        <is>
          <t>சுமார் [பொ.ச.] 187-ல் ஐரேனியஸ் கிறிஸ்தவத்தில் இருபது பிரிவுகளை பட்டியலிட்டார்; சுமார் [பொ.ச.] 384-ல் எபிபேனியஸ் எண்பது பிரிவுகள் இருப்பதாக கணக்கிட்டார்.”​—நாகரிகத்தின் கதை: பகுதி III​—இராயனும் கிறிஸ்துவும்.</t>
        </is>
      </c>
      <c r="O853" s="12" t="inlineStr">
        <is>
          <t>Bible &amp; church history</t>
        </is>
      </c>
      <c r="P853" s="7" t="inlineStr">
        <is>
          <t>history.apostasy</t>
        </is>
      </c>
      <c r="Q853" s="7" t="inlineStr">
        <is>
          <t>schism</t>
        </is>
      </c>
      <c r="R853" s="7" t="inlineStr">
        <is>
          <t>Epiphanius</t>
        </is>
      </c>
      <c r="S853" s="7" t="n"/>
      <c r="T853" s="7" t="n"/>
      <c r="U853" s="7" t="n"/>
      <c r="V853" s="7" t="n">
        <v>1</v>
      </c>
      <c r="W853" s="7" t="inlineStr">
        <is>
          <t>Apostasy—The Way to God Blocked</t>
        </is>
      </c>
      <c r="X853" s="9" t="inlineStr">
        <is>
          <t>open</t>
        </is>
      </c>
      <c r="Y853" s="9" t="inlineStr">
        <is>
          <t>open</t>
        </is>
      </c>
      <c r="Z853" s="7" t="inlineStr">
        <is>
          <t>https://wol.jw.org/en/wol/d/r1/lp-e/1101990043#h=39</t>
        </is>
      </c>
      <c r="AA853" s="7" t="n">
        <v>0</v>
      </c>
      <c r="AB853" s="7" t="n"/>
      <c r="AC853" s="7" t="n">
        <v>0</v>
      </c>
      <c r="AD853" s="7" t="n"/>
      <c r="AE853" s="7" t="n"/>
      <c r="AF853" s="7" t="n"/>
      <c r="AG853" s="7" t="n"/>
      <c r="AH853" s="7" t="n"/>
      <c r="AI853" s="7" t="n"/>
      <c r="AJ853" s="7" t="n"/>
      <c r="AK853" s="7" t="n"/>
      <c r="AL853" s="7" t="n"/>
      <c r="AM853" s="7" t="n">
        <v>384</v>
      </c>
      <c r="AN853" s="10" t="n"/>
      <c r="AO853" s="10" t="n"/>
      <c r="AP853" s="10" t="n"/>
      <c r="AQ853" s="10" t="n"/>
    </row>
    <row r="854">
      <c r="A854" s="7" t="inlineStr">
        <is>
          <t>b7-0039</t>
        </is>
      </c>
      <c r="B854" s="7" t="inlineStr">
        <is>
          <t>Point</t>
        </is>
      </c>
      <c r="C854" s="7" t="n"/>
      <c r="D854" s="7" t="inlineStr">
        <is>
          <t>386 C.E.</t>
        </is>
      </c>
      <c r="E854" s="7" t="inlineStr">
        <is>
          <t>பொ.ச. 386</t>
        </is>
      </c>
      <c r="F854" s="7" t="inlineStr">
        <is>
          <t>386 CE</t>
        </is>
      </c>
      <c r="G854" s="7" t="inlineStr">
        <is>
          <t>Exact</t>
        </is>
      </c>
      <c r="H854" s="7" t="n"/>
      <c r="I854" s="7" t="n"/>
      <c r="J854" s="7" t="n"/>
      <c r="K854" s="2" t="inlineStr">
        <is>
          <t>Jerome moves to Bethlehem to study Hebrew</t>
        </is>
      </c>
      <c r="L854" s="2" t="n"/>
      <c r="M854" s="7" t="inlineStr">
        <is>
          <t>Insisting on translating the Hebrew Scriptures from the original, Jerome moved to Bethlehem in 386 C.E. to study Hebrew with a rabbi's help, provoking controversy among those, like Augustine, who viewed the Septuagint as inspired.</t>
        </is>
      </c>
      <c r="N854" s="7" t="inlineStr">
        <is>
          <t>இதன் காரணமாக, பொ.ச. 386-ல் எபிரெய மொழியைக் கற்றுக்கொள்வதற்கும் ஒரு ரபியின் உதவியை நாடுவதற்கும் அவர் பெத்லகேமுக்கு இடம் மாறிச்சென்றார்.</t>
        </is>
      </c>
      <c r="O854" s="12" t="inlineStr">
        <is>
          <t>Bible &amp; church history</t>
        </is>
      </c>
      <c r="P854" s="7" t="inlineStr">
        <is>
          <t>history.bible_translation</t>
        </is>
      </c>
      <c r="Q854" s="7" t="inlineStr">
        <is>
          <t>journey</t>
        </is>
      </c>
      <c r="R854" s="7" t="inlineStr">
        <is>
          <t>Jerome; Augustine</t>
        </is>
      </c>
      <c r="S854" s="7" t="inlineStr">
        <is>
          <t>Bethlehem</t>
        </is>
      </c>
      <c r="T854" s="7" t="n"/>
      <c r="U854" s="7" t="n"/>
      <c r="V854" s="7" t="n">
        <v>1</v>
      </c>
      <c r="W854" s="7" t="inlineStr">
        <is>
          <t>Part One—How the Bible Came to Us</t>
        </is>
      </c>
      <c r="X854" s="9" t="inlineStr">
        <is>
          <t>open</t>
        </is>
      </c>
      <c r="Y854" s="9" t="inlineStr">
        <is>
          <t>open</t>
        </is>
      </c>
      <c r="Z854" s="7" t="inlineStr">
        <is>
          <t>https://wol.jw.org/en/wol/d/r1/lp-e/1997603#h=18</t>
        </is>
      </c>
      <c r="AA854" s="7" t="n">
        <v>0</v>
      </c>
      <c r="AB854" s="7" t="n"/>
      <c r="AC854" s="7" t="n">
        <v>0</v>
      </c>
      <c r="AD854" s="7" t="n"/>
      <c r="AE854" s="7" t="n"/>
      <c r="AF854" s="7" t="n"/>
      <c r="AG854" s="7" t="n"/>
      <c r="AH854" s="7" t="n"/>
      <c r="AI854" s="7" t="n"/>
      <c r="AJ854" s="7" t="n"/>
      <c r="AK854" s="7" t="n"/>
      <c r="AL854" s="7" t="n"/>
      <c r="AM854" s="7" t="n">
        <v>386</v>
      </c>
      <c r="AN854" s="10" t="n"/>
      <c r="AO854" s="10" t="n"/>
      <c r="AP854" s="10" t="n"/>
      <c r="AQ854" s="10" t="n"/>
    </row>
    <row r="855">
      <c r="A855" s="7" t="inlineStr">
        <is>
          <t>b7-0040</t>
        </is>
      </c>
      <c r="B855" s="7" t="inlineStr">
        <is>
          <t>Point</t>
        </is>
      </c>
      <c r="C855" s="7" t="n"/>
      <c r="D855" s="7" t="inlineStr">
        <is>
          <t>395 C.E.</t>
        </is>
      </c>
      <c r="E855" s="7" t="inlineStr">
        <is>
          <t>பொ.ச. 395</t>
        </is>
      </c>
      <c r="F855" s="7" t="inlineStr">
        <is>
          <t>395 CE</t>
        </is>
      </c>
      <c r="G855" s="7" t="inlineStr">
        <is>
          <t>Exact</t>
        </is>
      </c>
      <c r="H855" s="7" t="n"/>
      <c r="I855" s="7" t="n"/>
      <c r="J855" s="7" t="n"/>
      <c r="K855" s="2" t="inlineStr">
        <is>
          <t>Roman Empire divided into East and West at Theodosius' death</t>
        </is>
      </c>
      <c r="L855" s="2" t="inlineStr">
        <is>
          <t>பொ.ச. 395-ல் முதலாம் தியோடோஷியஸ் இறந்தபோது, ரோம பேரரசு அதிகாரப்பூர்வமாக இரண்டாகப் பிரிக்கப்பட்டது</t>
        </is>
      </c>
      <c r="M855" s="7" t="inlineStr">
        <is>
          <t>When Theodosius I died in 395 C.E., the empire was officially divided, with the Eastern capital at Constantinople and the Western later at Ravenna; Christendom became divided politically and religiously.</t>
        </is>
      </c>
      <c r="N855" s="7" t="inlineStr">
        <is>
          <t>பொ.ச. 395-ல் முதலாம் தியோடோஷியஸ் இறந்தபோது, ரோம பேரரசு அதிகாரப்பூர்வமாக இரண்டாகப் பிரிக்கப்பட்டது.</t>
        </is>
      </c>
      <c r="O855" s="12" t="inlineStr">
        <is>
          <t>Bible &amp; church history</t>
        </is>
      </c>
      <c r="P855" s="7" t="inlineStr">
        <is>
          <t>history.apostasy</t>
        </is>
      </c>
      <c r="Q855" s="7" t="inlineStr">
        <is>
          <t>division</t>
        </is>
      </c>
      <c r="R855" s="7" t="n"/>
      <c r="S855" s="7" t="inlineStr">
        <is>
          <t>Constantinople; Ravenna</t>
        </is>
      </c>
      <c r="T855" s="7" t="n"/>
      <c r="U855" s="7" t="n"/>
      <c r="V855" s="7" t="n">
        <v>2</v>
      </c>
      <c r="W855" s="7" t="inlineStr">
        <is>
          <t>How Christendom Became a Part of This World</t>
        </is>
      </c>
      <c r="X855" s="9" t="inlineStr">
        <is>
          <t>open</t>
        </is>
      </c>
      <c r="Y855" s="9" t="inlineStr">
        <is>
          <t>open</t>
        </is>
      </c>
      <c r="Z855" s="7" t="inlineStr">
        <is>
          <t>https://wol.jw.org/en/wol/d/r1/lp-e/1993481#h=12
https://wol.jw.org/en/wol/d/r1/lp-e/102001725#h=44</t>
        </is>
      </c>
      <c r="AA855" s="7" t="n">
        <v>0</v>
      </c>
      <c r="AB855" s="7" t="n"/>
      <c r="AC855" s="7" t="n">
        <v>0</v>
      </c>
      <c r="AD855" s="7" t="n"/>
      <c r="AE855" s="7" t="n"/>
      <c r="AF855" s="7" t="n"/>
      <c r="AG855" s="7" t="n"/>
      <c r="AH855" s="7" t="n"/>
      <c r="AI855" s="7" t="n"/>
      <c r="AJ855" s="7" t="n"/>
      <c r="AK855" s="7" t="n"/>
      <c r="AL855" s="7" t="n"/>
      <c r="AM855" s="7" t="n">
        <v>395</v>
      </c>
      <c r="AN855" s="10" t="n"/>
      <c r="AO855" s="10" t="n"/>
      <c r="AP855" s="10" t="n"/>
      <c r="AQ855" s="10" t="n"/>
    </row>
    <row r="856">
      <c r="A856" s="7" t="inlineStr">
        <is>
          <t>b7-0041</t>
        </is>
      </c>
      <c r="B856" s="7" t="inlineStr">
        <is>
          <t>Point</t>
        </is>
      </c>
      <c r="C856" s="7" t="n"/>
      <c r="D856" s="7" t="inlineStr">
        <is>
          <t>397 C.E.</t>
        </is>
      </c>
      <c r="E856" s="7" t="n"/>
      <c r="F856" s="7" t="inlineStr">
        <is>
          <t>397 CE</t>
        </is>
      </c>
      <c r="G856" s="7" t="inlineStr">
        <is>
          <t>Exact</t>
        </is>
      </c>
      <c r="H856" s="7" t="n"/>
      <c r="I856" s="7" t="n"/>
      <c r="J856" s="7" t="n"/>
      <c r="K856" s="2" t="inlineStr">
        <is>
          <t>Council of Carthage includes Apocryphal books in the canon</t>
        </is>
      </c>
      <c r="L856" s="2" t="n"/>
      <c r="M856" s="7" t="inlineStr">
        <is>
          <t>Following Augustine's lead, the Catholic Church included Apocryphal writings in the canon determined by the Council of Carthage in 397 C.E.</t>
        </is>
      </c>
      <c r="N856" s="7" t="n"/>
      <c r="O856" s="12" t="inlineStr">
        <is>
          <t>Bible &amp; church history</t>
        </is>
      </c>
      <c r="P856" s="7" t="inlineStr">
        <is>
          <t>history.apostasy</t>
        </is>
      </c>
      <c r="Q856" s="7" t="inlineStr">
        <is>
          <t>council</t>
        </is>
      </c>
      <c r="R856" s="7" t="inlineStr">
        <is>
          <t>Augustine</t>
        </is>
      </c>
      <c r="S856" s="7" t="inlineStr">
        <is>
          <t>Carthage</t>
        </is>
      </c>
      <c r="T856" s="7" t="n"/>
      <c r="U856" s="7" t="n"/>
      <c r="V856" s="7" t="n">
        <v>1</v>
      </c>
      <c r="W856" s="7" t="inlineStr">
        <is>
          <t>Apocrypha</t>
        </is>
      </c>
      <c r="X856" s="9" t="inlineStr">
        <is>
          <t>open</t>
        </is>
      </c>
      <c r="Y856" s="7" t="n"/>
      <c r="Z856" s="7" t="inlineStr">
        <is>
          <t>https://wol.jw.org/en/wol/d/r1/lp-e/1200000305#h=13</t>
        </is>
      </c>
      <c r="AA856" s="7" t="n">
        <v>0</v>
      </c>
      <c r="AB856" s="7" t="n"/>
      <c r="AC856" s="7" t="n">
        <v>0</v>
      </c>
      <c r="AD856" s="7" t="n"/>
      <c r="AE856" s="7" t="n"/>
      <c r="AF856" s="7" t="n"/>
      <c r="AG856" s="7" t="n"/>
      <c r="AH856" s="7" t="n"/>
      <c r="AI856" s="7" t="n"/>
      <c r="AJ856" s="7" t="n"/>
      <c r="AK856" s="7" t="n"/>
      <c r="AL856" s="7" t="n"/>
      <c r="AM856" s="7" t="n">
        <v>397</v>
      </c>
      <c r="AN856" s="10" t="n"/>
      <c r="AO856" s="10" t="n"/>
      <c r="AP856" s="10" t="n"/>
      <c r="AQ856" s="10" t="n"/>
    </row>
    <row r="857">
      <c r="A857" s="7" t="inlineStr">
        <is>
          <t>b7-0042</t>
        </is>
      </c>
      <c r="B857" s="7" t="inlineStr">
        <is>
          <t>Point</t>
        </is>
      </c>
      <c r="C857" s="7" t="n"/>
      <c r="D857" s="7" t="inlineStr">
        <is>
          <t>405 C.E.</t>
        </is>
      </c>
      <c r="E857" s="7" t="n"/>
      <c r="F857" s="7" t="inlineStr">
        <is>
          <t>405 CE</t>
        </is>
      </c>
      <c r="G857" s="7" t="inlineStr">
        <is>
          <t>Exact</t>
        </is>
      </c>
      <c r="H857" s="7" t="n"/>
      <c r="I857" s="7" t="n"/>
      <c r="J857" s="7" t="n"/>
      <c r="K857" s="2" t="inlineStr">
        <is>
          <t>Jerome completes the Latin Vulgate</t>
        </is>
      </c>
      <c r="L857" s="2" t="inlineStr">
        <is>
          <t>12 ஜெரோம் லத்தீன் வல்கேட்டை சுமார் பொ.ச. 400-ல் எழுதிமுடிக்கிறார்</t>
        </is>
      </c>
      <c r="M857" s="7" t="inlineStr">
        <is>
          <t>Jerome labored on his Latin translation from the Hebrew from about 390 to 405 C.E., completing the Vulgate in 405 C.E. He took a stand against the Apocryphal books. Initially received with hostility, the version later became the commonly accepted Bible of Western Europe.</t>
        </is>
      </c>
      <c r="N857" s="7" t="n"/>
      <c r="O857" s="12" t="inlineStr">
        <is>
          <t>Bible &amp; church history</t>
        </is>
      </c>
      <c r="P857" s="7" t="inlineStr">
        <is>
          <t>history.bible_translation</t>
        </is>
      </c>
      <c r="Q857" s="7" t="inlineStr">
        <is>
          <t>writing_completed</t>
        </is>
      </c>
      <c r="R857" s="7" t="inlineStr">
        <is>
          <t>Jerome</t>
        </is>
      </c>
      <c r="S857" s="7" t="n"/>
      <c r="T857" s="7" t="n"/>
      <c r="U857" s="7" t="n"/>
      <c r="V857" s="7" t="n">
        <v>6</v>
      </c>
      <c r="W857" s="7" t="inlineStr">
        <is>
          <t>Apocrypha</t>
        </is>
      </c>
      <c r="X857" s="9" t="inlineStr">
        <is>
          <t>open</t>
        </is>
      </c>
      <c r="Y857" s="7" t="n"/>
      <c r="Z857" s="7" t="inlineStr">
        <is>
          <t>https://wol.jw.org/en/wol/d/r1/lp-e/1200000305#h=12
https://wol.jw.org/en/wol/d/r1/lp-e/1200004554#h=17
https://wol.jw.org/en/wol/d/r1/lp-e/1997603#h=18
https://wol.jw.org/en/wol/d/r1/lp-e/1997603#h=49
https://wol.jw.org/en/wol/d/r1/lp-e/1997763#h=39
https://wol.jw.org/en/wol/d/r1/lp-e/1200000756#h=9</t>
        </is>
      </c>
      <c r="AA857" s="7" t="n">
        <v>0</v>
      </c>
      <c r="AB857" s="7" t="n"/>
      <c r="AC857" s="7" t="n">
        <v>1</v>
      </c>
      <c r="AD857" s="7" t="inlineStr">
        <is>
          <t>Watchtower 1997 8/15 and 10/15 charts, and Insight feature "How We Got the Bible", give c. 400 C.E.; Insight "Apocrypha"/"Versions" give 405 C.E. (kept as primary).</t>
        </is>
      </c>
      <c r="AE857" s="7" t="n"/>
      <c r="AF857" s="7" t="n"/>
      <c r="AG857" s="7" t="n"/>
      <c r="AH857" s="7" t="n"/>
      <c r="AI857" s="7" t="inlineStr">
        <is>
          <t>Span endpoint – keep</t>
        </is>
      </c>
      <c r="AJ857" s="7" t="inlineStr">
        <is>
          <t>end of Jerome’s work on the Latin Vulgate (b12-0058)</t>
        </is>
      </c>
      <c r="AK857" s="7" t="inlineStr">
        <is>
          <t>how-the-bible-came-to-us #19 (step)</t>
        </is>
      </c>
      <c r="AL857" s="7" t="n"/>
      <c r="AM857" s="7" t="n">
        <v>405</v>
      </c>
      <c r="AN857" s="10" t="n"/>
      <c r="AO857" s="10" t="n"/>
      <c r="AP857" s="10" t="n"/>
      <c r="AQ857" s="10" t="n"/>
    </row>
    <row r="858">
      <c r="A858" s="7" t="inlineStr">
        <is>
          <t>b7-0043</t>
        </is>
      </c>
      <c r="B858" s="7" t="inlineStr">
        <is>
          <t>Point</t>
        </is>
      </c>
      <c r="C858" s="7" t="n"/>
      <c r="D858" s="7" t="inlineStr">
        <is>
          <t>410 C.E.</t>
        </is>
      </c>
      <c r="E858" s="7" t="inlineStr">
        <is>
          <t>பொ.ச. 410</t>
        </is>
      </c>
      <c r="F858" s="7" t="inlineStr">
        <is>
          <t>410 CE</t>
        </is>
      </c>
      <c r="G858" s="7" t="inlineStr">
        <is>
          <t>Exact</t>
        </is>
      </c>
      <c r="H858" s="7" t="n"/>
      <c r="I858" s="7" t="n"/>
      <c r="J858" s="7" t="n"/>
      <c r="K858" s="2" t="inlineStr">
        <is>
          <t>"Christianized" Goths sack Rome</t>
        </is>
      </c>
      <c r="L858" s="2" t="inlineStr">
        <is>
          <t>இருப்பினும், “கிறிஸ்தவமாக்கப்பட்ட” காதிக் மொழிக்காரர்கள் பொ.ச. 410-ல் ரோமை கொள்ளையிடுவதை இந்த நடவடிக்கை தடைசெய்யவில்லை!</t>
        </is>
      </c>
      <c r="M858" s="7" t="inlineStr">
        <is>
          <t>Despite Ulfilas leaving warlike books out of the Gothic Bible, the "Christianized" Goths sacked Rome in 410 C.E.</t>
        </is>
      </c>
      <c r="N858" s="7" t="inlineStr">
        <is>
          <t>இருப்பினும், “கிறிஸ்தவமாக்கப்பட்ட” காதிக் மொழிக்காரர்கள் பொ.ச. 410-ல் ரோமை கொள்ளையிடுவதை இந்த நடவடிக்கை தடைசெய்யவில்லை!</t>
        </is>
      </c>
      <c r="O858" s="12" t="inlineStr">
        <is>
          <t>Bible &amp; church history</t>
        </is>
      </c>
      <c r="P858" s="7" t="inlineStr">
        <is>
          <t>history.apostasy</t>
        </is>
      </c>
      <c r="Q858" s="7" t="inlineStr">
        <is>
          <t>battle</t>
        </is>
      </c>
      <c r="R858" s="7" t="n"/>
      <c r="S858" s="7" t="inlineStr">
        <is>
          <t>Rome</t>
        </is>
      </c>
      <c r="T858" s="7" t="n"/>
      <c r="U858" s="7" t="n"/>
      <c r="V858" s="7" t="n">
        <v>1</v>
      </c>
      <c r="W858" s="7" t="inlineStr">
        <is>
          <t>Part One—How the Bible Came to Us</t>
        </is>
      </c>
      <c r="X858" s="9" t="inlineStr">
        <is>
          <t>open</t>
        </is>
      </c>
      <c r="Y858" s="9" t="inlineStr">
        <is>
          <t>open</t>
        </is>
      </c>
      <c r="Z858" s="7" t="inlineStr">
        <is>
          <t>https://wol.jw.org/en/wol/d/r1/lp-e/1997603#h=15</t>
        </is>
      </c>
      <c r="AA858" s="7" t="n">
        <v>0</v>
      </c>
      <c r="AB858" s="7" t="n"/>
      <c r="AC858" s="7" t="n">
        <v>0</v>
      </c>
      <c r="AD858" s="7" t="n"/>
      <c r="AE858" s="7" t="n"/>
      <c r="AF858" s="7" t="n"/>
      <c r="AG858" s="7" t="n"/>
      <c r="AH858" s="7" t="n"/>
      <c r="AI858" s="7" t="n"/>
      <c r="AJ858" s="7" t="n"/>
      <c r="AK858" s="7" t="n"/>
      <c r="AL858" s="7" t="n"/>
      <c r="AM858" s="7" t="n">
        <v>410</v>
      </c>
      <c r="AN858" s="10" t="n"/>
      <c r="AO858" s="10" t="n"/>
      <c r="AP858" s="10" t="n"/>
      <c r="AQ858" s="10" t="n"/>
    </row>
    <row r="859">
      <c r="A859" s="7" t="inlineStr">
        <is>
          <t>b7-0044</t>
        </is>
      </c>
      <c r="B859" s="7" t="inlineStr">
        <is>
          <t>Point</t>
        </is>
      </c>
      <c r="C859" s="7" t="n"/>
      <c r="D859" s="7" t="inlineStr">
        <is>
          <t>early 5th century C.E.</t>
        </is>
      </c>
      <c r="E859" s="7" t="n"/>
      <c r="F859" s="7" t="inlineStr">
        <is>
          <t>413 CE</t>
        </is>
      </c>
      <c r="G859" s="7" t="inlineStr">
        <is>
          <t>Approx. (c.)</t>
        </is>
      </c>
      <c r="H859" s="7" t="n"/>
      <c r="I859" s="7" t="n"/>
      <c r="J859" s="7" t="n"/>
      <c r="K859" s="2" t="inlineStr">
        <is>
          <t>Augustine's "The City of God" teaches the Church is the Kingdom</t>
        </is>
      </c>
      <c r="L859" s="2" t="n"/>
      <c r="M859" s="7" t="inlineStr">
        <is>
          <t>In the early fifth century, Augustine (354-430 C.E.) wrote The City of God, teaching that the Kingdom of God had already begun with the institution of the Catholic Church. This completed the "relocation" of the Kingdom from heaven to earth.</t>
        </is>
      </c>
      <c r="N859" s="7" t="inlineStr">
        <is>
          <t>பொ.ச. ஐந்தாம் நூற்றாண்டின் ஆரம்பத்தில், ரோமன் கத்தோலிக்க “புனிதர்” அகஸ்டின் கடவுளின் நகரம் (The City of God) என்ற தன்னுடைய பெரிய இலக்கியப் படைப்பை எழுதினார்.</t>
        </is>
      </c>
      <c r="O859" s="12" t="inlineStr">
        <is>
          <t>Bible &amp; church history</t>
        </is>
      </c>
      <c r="P859" s="7" t="inlineStr">
        <is>
          <t>history.apostasy</t>
        </is>
      </c>
      <c r="Q859" s="7" t="inlineStr">
        <is>
          <t>writing</t>
        </is>
      </c>
      <c r="R859" s="7" t="inlineStr">
        <is>
          <t>Augustine</t>
        </is>
      </c>
      <c r="S859" s="7" t="n"/>
      <c r="T859" s="7" t="n"/>
      <c r="U859" s="7" t="n"/>
      <c r="V859" s="7" t="n">
        <v>2</v>
      </c>
      <c r="W859" s="7" t="inlineStr">
        <is>
          <t>How Christendom Became a Part of This World</t>
        </is>
      </c>
      <c r="X859" s="9" t="inlineStr">
        <is>
          <t>open</t>
        </is>
      </c>
      <c r="Y859" s="9" t="inlineStr">
        <is>
          <t>open</t>
        </is>
      </c>
      <c r="Z859" s="7" t="inlineStr">
        <is>
          <t>https://wol.jw.org/en/wol/d/r1/lp-e/1993481#h=10
https://wol.jw.org/en/wol/d/r1/lp-e/1101993005#h=32</t>
        </is>
      </c>
      <c r="AA859" s="7" t="n">
        <v>0</v>
      </c>
      <c r="AB859" s="7" t="n"/>
      <c r="AC859" s="7" t="n">
        <v>0</v>
      </c>
      <c r="AD859" s="7" t="n"/>
      <c r="AE859" s="7" t="n"/>
      <c r="AF859" s="7" t="n"/>
      <c r="AG859" s="7" t="n"/>
      <c r="AH859" s="7" t="n"/>
      <c r="AI859" s="7" t="n"/>
      <c r="AJ859" s="7" t="n"/>
      <c r="AK859" s="7" t="n"/>
      <c r="AL859" s="7" t="n"/>
      <c r="AM859" s="7" t="n">
        <v>413</v>
      </c>
      <c r="AN859" s="10" t="n"/>
      <c r="AO859" s="10" t="n"/>
      <c r="AP859" s="10" t="n"/>
      <c r="AQ859" s="10" t="n"/>
    </row>
    <row r="860">
      <c r="A860" s="7" t="inlineStr">
        <is>
          <t>b7-0045</t>
        </is>
      </c>
      <c r="B860" s="7" t="inlineStr">
        <is>
          <t>Point</t>
        </is>
      </c>
      <c r="C860" s="7" t="n"/>
      <c r="D860" s="7" t="inlineStr">
        <is>
          <t>first half of 5th century C.E.</t>
        </is>
      </c>
      <c r="E860" s="7" t="n"/>
      <c r="F860" s="7" t="inlineStr">
        <is>
          <t>425 CE</t>
        </is>
      </c>
      <c r="G860" s="7" t="inlineStr">
        <is>
          <t>Approx. (c.)</t>
        </is>
      </c>
      <c r="H860" s="7" t="n"/>
      <c r="I860" s="7" t="n"/>
      <c r="J860" s="7" t="n"/>
      <c r="K860" s="2" t="inlineStr">
        <is>
          <t>Codex Alexandrinus produced</t>
        </is>
      </c>
      <c r="L860" s="2" t="n"/>
      <c r="M860" s="7" t="inlineStr">
        <is>
          <t>The Alexandrine Manuscript, a Greek uncial containing most of the Bible including Revelation, is generally considered to be from the first half of the fifth century C.E. It is preserved in the British Library.</t>
        </is>
      </c>
      <c r="N860" s="7" t="n"/>
      <c r="O860" s="12" t="inlineStr">
        <is>
          <t>Bible &amp; church history</t>
        </is>
      </c>
      <c r="P860" s="7" t="inlineStr">
        <is>
          <t>history.bible_preservation</t>
        </is>
      </c>
      <c r="Q860" s="7" t="inlineStr">
        <is>
          <t>manuscript</t>
        </is>
      </c>
      <c r="R860" s="7" t="n"/>
      <c r="S860" s="7" t="inlineStr">
        <is>
          <t>London</t>
        </is>
      </c>
      <c r="T860" s="7" t="n"/>
      <c r="U860" s="7" t="n"/>
      <c r="V860" s="7" t="n">
        <v>1</v>
      </c>
      <c r="W860" s="7" t="inlineStr">
        <is>
          <t>Manuscripts of the Bible</t>
        </is>
      </c>
      <c r="X860" s="9" t="inlineStr">
        <is>
          <t>open</t>
        </is>
      </c>
      <c r="Y860" s="7" t="n"/>
      <c r="Z860" s="7" t="inlineStr">
        <is>
          <t>https://wol.jw.org/en/wol/d/r1/lp-e/1200002893#h=37</t>
        </is>
      </c>
      <c r="AA860" s="7" t="n">
        <v>0</v>
      </c>
      <c r="AB860" s="7" t="n"/>
      <c r="AC860" s="7" t="n">
        <v>0</v>
      </c>
      <c r="AD860" s="7" t="n"/>
      <c r="AE860" s="7" t="n"/>
      <c r="AF860" s="7" t="n"/>
      <c r="AG860" s="7" t="n"/>
      <c r="AH860" s="7" t="n"/>
      <c r="AI860" s="7" t="n"/>
      <c r="AJ860" s="7" t="n"/>
      <c r="AK860" s="7" t="n"/>
      <c r="AL860" s="7" t="n"/>
      <c r="AM860" s="7" t="n">
        <v>425</v>
      </c>
      <c r="AN860" s="10" t="n"/>
      <c r="AO860" s="10" t="n"/>
      <c r="AP860" s="10" t="n"/>
      <c r="AQ860" s="10" t="n"/>
    </row>
    <row r="861">
      <c r="A861" s="7" t="inlineStr">
        <is>
          <t>b7-0046</t>
        </is>
      </c>
      <c r="B861" s="11" t="inlineStr">
        <is>
          <t>Span</t>
        </is>
      </c>
      <c r="C861" s="7" t="inlineStr">
        <is>
          <t>office</t>
        </is>
      </c>
      <c r="D861" s="7" t="inlineStr">
        <is>
          <t>440-461 C.E.</t>
        </is>
      </c>
      <c r="E861" s="7" t="inlineStr">
        <is>
          <t>பொ.ச. 440-461</t>
        </is>
      </c>
      <c r="F861" s="7" t="inlineStr">
        <is>
          <t>440 CE</t>
        </is>
      </c>
      <c r="G861" s="7" t="inlineStr">
        <is>
          <t>Exact</t>
        </is>
      </c>
      <c r="H861" s="7" t="inlineStr">
        <is>
          <t>461 CE</t>
        </is>
      </c>
      <c r="I861" s="7" t="inlineStr">
        <is>
          <t>Exact</t>
        </is>
      </c>
      <c r="J861" s="7" t="inlineStr">
        <is>
          <t>21 years</t>
        </is>
      </c>
      <c r="K861" s="2" t="inlineStr">
        <is>
          <t>Pope Leo I asserts primacy and takes title Pontifex Maximus</t>
        </is>
      </c>
      <c r="L861" s="2" t="inlineStr">
        <is>
          <t>ஆரம்ப கால ரோம பிஷப்புகளில் தன்னுடைய அதிகாரத்தை முதன்முதலாக செலுத்த ஆரம்பித்தவர் முதலாம் போப் லியோ (போப், பொ.ச. 440-461) ஆவார்</t>
        </is>
      </c>
      <c r="M861" s="7" t="inlineStr">
        <is>
          <t>Leo I (pope, 440-461 C.E.) was one of the first bishops of Rome to impose his authority. He appropriated the pagan title Pontifex Maximus and claimed primacy for St. Peter's church based on Matthew 16:18, 19.</t>
        </is>
      </c>
      <c r="N861" s="7" t="inlineStr">
        <is>
          <t>ஆரம்ப கால ரோம பிஷப்புகளில் தன்னுடைய அதிகாரத்தை முதன்முதலாக செலுத்த ஆரம்பித்தவர் முதலாம் போப் லியோ (போப், பொ.ச. 440-461) ஆவார்.</t>
        </is>
      </c>
      <c r="O861" s="12" t="inlineStr">
        <is>
          <t>Bible &amp; church history</t>
        </is>
      </c>
      <c r="P861" s="7" t="inlineStr">
        <is>
          <t>history.apostasy</t>
        </is>
      </c>
      <c r="Q861" s="7" t="inlineStr">
        <is>
          <t>papacy</t>
        </is>
      </c>
      <c r="R861" s="7" t="inlineStr">
        <is>
          <t>Leo I</t>
        </is>
      </c>
      <c r="S861" s="7" t="inlineStr">
        <is>
          <t>Rome</t>
        </is>
      </c>
      <c r="T861" s="7" t="inlineStr">
        <is>
          <t>Matt. 16:18, 19</t>
        </is>
      </c>
      <c r="U861" s="7" t="n"/>
      <c r="V861" s="7" t="n">
        <v>1</v>
      </c>
      <c r="W861" s="7" t="inlineStr">
        <is>
          <t>Apostasy—The Way to God Blocked</t>
        </is>
      </c>
      <c r="X861" s="9" t="inlineStr">
        <is>
          <t>open</t>
        </is>
      </c>
      <c r="Y861" s="9" t="inlineStr">
        <is>
          <t>open</t>
        </is>
      </c>
      <c r="Z861" s="7" t="inlineStr">
        <is>
          <t>https://wol.jw.org/en/wol/d/r1/lp-e/1101990043#h=24</t>
        </is>
      </c>
      <c r="AA861" s="7" t="n">
        <v>0</v>
      </c>
      <c r="AB861" s="7" t="n"/>
      <c r="AC861" s="7" t="n">
        <v>0</v>
      </c>
      <c r="AD861" s="7" t="n"/>
      <c r="AE861" s="7" t="n"/>
      <c r="AF861" s="7" t="n"/>
      <c r="AG861" s="7" t="n"/>
      <c r="AH861" s="7" t="n"/>
      <c r="AI861" s="7" t="n"/>
      <c r="AJ861" s="7" t="n"/>
      <c r="AK861" s="7" t="n"/>
      <c r="AL861" s="7" t="n"/>
      <c r="AM861" s="7" t="n">
        <v>440</v>
      </c>
      <c r="AN861" s="10" t="n"/>
      <c r="AO861" s="10" t="n"/>
      <c r="AP861" s="10" t="n"/>
      <c r="AQ861" s="10" t="n"/>
    </row>
    <row r="862">
      <c r="A862" s="7" t="inlineStr">
        <is>
          <t>b7-0047</t>
        </is>
      </c>
      <c r="B862" s="7" t="inlineStr">
        <is>
          <t>Point</t>
        </is>
      </c>
      <c r="C862" s="7" t="n"/>
      <c r="D862" s="7" t="inlineStr">
        <is>
          <t>451 C.E.</t>
        </is>
      </c>
      <c r="E862" s="7" t="inlineStr">
        <is>
          <t>பொ.ச. 451</t>
        </is>
      </c>
      <c r="F862" s="7" t="inlineStr">
        <is>
          <t>451 CE</t>
        </is>
      </c>
      <c r="G862" s="7" t="inlineStr">
        <is>
          <t>Exact</t>
        </is>
      </c>
      <c r="H862" s="7" t="n"/>
      <c r="I862" s="7" t="n"/>
      <c r="J862" s="7" t="n"/>
      <c r="K862" s="2" t="inlineStr">
        <is>
          <t>Council of Chalcedon defines Christ's "natures"</t>
        </is>
      </c>
      <c r="L862" s="2" t="inlineStr">
        <is>
          <t>கிறிஸ்துவின் வித்தியாசமான “இயல்புகளை” வரையறுப்பதற்காக பொ.ச. 451-ல் கால்ஸிடான் என்ற இடத்தில் மற்றொரு ஆலோசனைக் குழு கூடியது</t>
        </is>
      </c>
      <c r="M862" s="7" t="inlineStr">
        <is>
          <t>A council held at Chalcedon in 451 C.E. defined the character of Christ's "natures." Eastern churches disagreed, leading to the Coptic Church and the "Jacobite" churches.</t>
        </is>
      </c>
      <c r="N862" s="7" t="inlineStr">
        <is>
          <t>கிறிஸ்துவின் வித்தியாசமான “இயல்புகளை” வரையறுப்பதற்காக பொ.ச. 451-ல் கால்ஸிடான் என்ற இடத்தில் மற்றொரு ஆலோசனைக் குழு கூடியது.</t>
        </is>
      </c>
      <c r="O862" s="12" t="inlineStr">
        <is>
          <t>Bible &amp; church history</t>
        </is>
      </c>
      <c r="P862" s="7" t="inlineStr">
        <is>
          <t>history.apostasy</t>
        </is>
      </c>
      <c r="Q862" s="7" t="inlineStr">
        <is>
          <t>council</t>
        </is>
      </c>
      <c r="R862" s="7" t="n"/>
      <c r="S862" s="7" t="inlineStr">
        <is>
          <t>Chalcedon</t>
        </is>
      </c>
      <c r="T862" s="7" t="n"/>
      <c r="U862" s="7" t="n"/>
      <c r="V862" s="7" t="n">
        <v>2</v>
      </c>
      <c r="W862" s="7" t="inlineStr">
        <is>
          <t>Apostasy—The Way to God Blocked</t>
        </is>
      </c>
      <c r="X862" s="9" t="inlineStr">
        <is>
          <t>open</t>
        </is>
      </c>
      <c r="Y862" s="9" t="inlineStr">
        <is>
          <t>open</t>
        </is>
      </c>
      <c r="Z862" s="7" t="inlineStr">
        <is>
          <t>https://wol.jw.org/en/wol/d/r1/lp-e/1101990043#h=41
https://wol.jw.org/en/wol/d/r1/lp-e/1200000880#h=18</t>
        </is>
      </c>
      <c r="AA862" s="7" t="n">
        <v>0</v>
      </c>
      <c r="AB862" s="7" t="n"/>
      <c r="AC862" s="7" t="n">
        <v>0</v>
      </c>
      <c r="AD862" s="7" t="n"/>
      <c r="AE862" s="7" t="n"/>
      <c r="AF862" s="7" t="n"/>
      <c r="AG862" s="7" t="n"/>
      <c r="AH862" s="7" t="n"/>
      <c r="AI862" s="7" t="n"/>
      <c r="AJ862" s="7" t="n"/>
      <c r="AK862" s="7" t="n"/>
      <c r="AL862" s="7" t="n"/>
      <c r="AM862" s="7" t="n">
        <v>451</v>
      </c>
      <c r="AN862" s="10" t="n"/>
      <c r="AO862" s="10" t="n"/>
      <c r="AP862" s="10" t="n"/>
      <c r="AQ862" s="10" t="n"/>
    </row>
    <row r="863">
      <c r="A863" s="7" t="inlineStr">
        <is>
          <t>b7-0048</t>
        </is>
      </c>
      <c r="B863" s="7" t="inlineStr">
        <is>
          <t>Point</t>
        </is>
      </c>
      <c r="C863" s="7" t="n"/>
      <c r="D863" s="7" t="inlineStr">
        <is>
          <t>459-464 C.E.</t>
        </is>
      </c>
      <c r="E863" s="7" t="n"/>
      <c r="F863" s="7" t="inlineStr">
        <is>
          <t>459 CE</t>
        </is>
      </c>
      <c r="G863" s="7" t="inlineStr">
        <is>
          <t>Between (one moment in a window)</t>
        </is>
      </c>
      <c r="H863" s="7" t="n"/>
      <c r="I863" s="7" t="n"/>
      <c r="J863" s="7" t="n"/>
      <c r="K863" s="2" t="inlineStr">
        <is>
          <t>Oldest dated Bible manuscripts: Syriac Peshitta copies</t>
        </is>
      </c>
      <c r="L863" s="2" t="n"/>
      <c r="M863" s="7" t="inlineStr">
        <is>
          <t>A Peshitta palimpsest of Isaiah signed 459-460 C.E. and a Pentateuch manuscript dated about 464 C.E. are the oldest dated Bible manuscripts in any language. The Peshitta was in general use among Syriac-speaking people from the fifth century.</t>
        </is>
      </c>
      <c r="N863" s="7" t="n"/>
      <c r="O863" s="12" t="inlineStr">
        <is>
          <t>Bible &amp; church history</t>
        </is>
      </c>
      <c r="P863" s="7" t="inlineStr">
        <is>
          <t>history.bible_preservation</t>
        </is>
      </c>
      <c r="Q863" s="7" t="inlineStr">
        <is>
          <t>manuscript</t>
        </is>
      </c>
      <c r="R863" s="7" t="n"/>
      <c r="S863" s="7" t="n"/>
      <c r="T863" s="7" t="n"/>
      <c r="U863" s="7" t="n"/>
      <c r="V863" s="7" t="n">
        <v>1</v>
      </c>
      <c r="W863" s="7" t="inlineStr">
        <is>
          <t>Versions</t>
        </is>
      </c>
      <c r="X863" s="9" t="inlineStr">
        <is>
          <t>open</t>
        </is>
      </c>
      <c r="Y863" s="7" t="n"/>
      <c r="Z863" s="7" t="inlineStr">
        <is>
          <t>https://wol.jw.org/en/wol/d/r1/lp-e/1200004554#h=15</t>
        </is>
      </c>
      <c r="AA863" s="7" t="n">
        <v>0</v>
      </c>
      <c r="AB863" s="7" t="n"/>
      <c r="AC863" s="7" t="n">
        <v>0</v>
      </c>
      <c r="AD863" s="7" t="n"/>
      <c r="AE863" s="7" t="n"/>
      <c r="AF863" s="7" t="n"/>
      <c r="AG863" s="7" t="n"/>
      <c r="AH863" s="7" t="n"/>
      <c r="AI863" s="7" t="n"/>
      <c r="AJ863" s="7" t="n"/>
      <c r="AK863" s="7" t="inlineStr">
        <is>
          <t>how-the-bible-came-to-us #20 (item)</t>
        </is>
      </c>
      <c r="AL863" s="7" t="n"/>
      <c r="AM863" s="7" t="n">
        <v>459</v>
      </c>
      <c r="AN863" s="10" t="n"/>
      <c r="AO863" s="10" t="n"/>
      <c r="AP863" s="10" t="n"/>
      <c r="AQ863" s="10" t="n"/>
    </row>
    <row r="864">
      <c r="A864" s="7" t="inlineStr">
        <is>
          <t>b7-0049</t>
        </is>
      </c>
      <c r="B864" s="7" t="inlineStr">
        <is>
          <t>Point</t>
        </is>
      </c>
      <c r="C864" s="7" t="n"/>
      <c r="D864" s="7" t="inlineStr">
        <is>
          <t>476 C.E.</t>
        </is>
      </c>
      <c r="E864" s="7" t="inlineStr">
        <is>
          <t>பொ.ச. 476</t>
        </is>
      </c>
      <c r="F864" s="7" t="inlineStr">
        <is>
          <t>476 CE</t>
        </is>
      </c>
      <c r="G864" s="7" t="inlineStr">
        <is>
          <t>Exact</t>
        </is>
      </c>
      <c r="H864" s="7" t="n"/>
      <c r="I864" s="7" t="n"/>
      <c r="J864" s="7" t="n"/>
      <c r="K864" s="2" t="inlineStr">
        <is>
          <t>Western Roman Empire ends; Roman Church fills the vacuum</t>
        </is>
      </c>
      <c r="L864" s="2" t="inlineStr">
        <is>
          <t>மேற்கில், படையெடுக்கும் ஜெர்மானிய இனத்தவரால், கடைசி ரோமப் பேரரசர் பொ.ச. 476-ல் முடிதுறக்கச் செய்யப்பட்டார்</t>
        </is>
      </c>
      <c r="M864" s="7" t="inlineStr">
        <is>
          <t>In 476 C.E., the last Western Roman emperor was deposed by Germanic tribes. The church of the bishop of Rome then saw itself as successor of the extinct empire.</t>
        </is>
      </c>
      <c r="N864" s="7" t="inlineStr">
        <is>
          <t>மேற்கில், படையெடுக்கும் ஜெர்மானிய இனத்தவரால், கடைசி ரோமப் பேரரசர் பொ.ச. 476-ல் முடிதுறக்கச் செய்யப்பட்டார்.</t>
        </is>
      </c>
      <c r="O864" s="12" t="inlineStr">
        <is>
          <t>Bible &amp; church history</t>
        </is>
      </c>
      <c r="P864" s="7" t="inlineStr">
        <is>
          <t>history.apostasy</t>
        </is>
      </c>
      <c r="Q864" s="7" t="inlineStr">
        <is>
          <t>fall</t>
        </is>
      </c>
      <c r="R864" s="7" t="n"/>
      <c r="S864" s="7" t="inlineStr">
        <is>
          <t>Rome</t>
        </is>
      </c>
      <c r="T864" s="7" t="n"/>
      <c r="U864" s="7" t="n"/>
      <c r="V864" s="7" t="n">
        <v>2</v>
      </c>
      <c r="W864" s="7" t="inlineStr">
        <is>
          <t>How Christendom Became a Part of This World</t>
        </is>
      </c>
      <c r="X864" s="9" t="inlineStr">
        <is>
          <t>open</t>
        </is>
      </c>
      <c r="Y864" s="9" t="inlineStr">
        <is>
          <t>open</t>
        </is>
      </c>
      <c r="Z864" s="7" t="inlineStr">
        <is>
          <t>https://wol.jw.org/en/wol/d/r1/lp-e/1993481#h=13
https://wol.jw.org/en/wol/d/r1/lp-e/1200003763#h=9</t>
        </is>
      </c>
      <c r="AA864" s="7" t="n">
        <v>0</v>
      </c>
      <c r="AB864" s="7" t="n"/>
      <c r="AC864" s="7" t="n">
        <v>0</v>
      </c>
      <c r="AD864" s="7" t="n"/>
      <c r="AE864" s="7" t="n"/>
      <c r="AF864" s="7" t="n"/>
      <c r="AG864" s="7" t="n"/>
      <c r="AH864" s="7" t="n"/>
      <c r="AI864" s="7" t="n"/>
      <c r="AJ864" s="7" t="n"/>
      <c r="AK864" s="7" t="n"/>
      <c r="AL864" s="7" t="n"/>
      <c r="AM864" s="7" t="n">
        <v>476</v>
      </c>
      <c r="AN864" s="10" t="n"/>
      <c r="AO864" s="10" t="n"/>
      <c r="AP864" s="10" t="n"/>
      <c r="AQ864" s="10" t="n"/>
    </row>
    <row r="865">
      <c r="A865" s="7" t="inlineStr">
        <is>
          <t>b7-0050</t>
        </is>
      </c>
      <c r="B865" s="11" t="inlineStr">
        <is>
          <t>Span</t>
        </is>
      </c>
      <c r="C865" s="7" t="inlineStr">
        <is>
          <t>copying</t>
        </is>
      </c>
      <c r="D865" s="7" t="inlineStr">
        <is>
          <t>6th-10th centuries C.E.</t>
        </is>
      </c>
      <c r="E865" s="7" t="n"/>
      <c r="F865" s="7" t="inlineStr">
        <is>
          <t>500 CE</t>
        </is>
      </c>
      <c r="G865" s="7" t="inlineStr">
        <is>
          <t>Exact</t>
        </is>
      </c>
      <c r="H865" s="7" t="inlineStr">
        <is>
          <t>1000 CE</t>
        </is>
      </c>
      <c r="I865" s="7" t="inlineStr">
        <is>
          <t>Exact</t>
        </is>
      </c>
      <c r="J865" s="7" t="inlineStr">
        <is>
          <t>500 years</t>
        </is>
      </c>
      <c r="K865" s="2" t="inlineStr">
        <is>
          <t>Masoretes copy and preserve the Hebrew Scripture text</t>
        </is>
      </c>
      <c r="L865" s="2" t="inlineStr">
        <is>
          <t>மசோரிட்டிக் வாசகம் தயாரிக்கப்பட்டது</t>
        </is>
      </c>
      <c r="M865" s="7" t="inlineStr">
        <is>
          <t>From about the sixth to the tenth centuries C.E., Jewish scribes called Masoretes developed systematic copying methods, counting lines and letters and adding vowel points and marginal notes (Masora), without changing the wording of the text.</t>
        </is>
      </c>
      <c r="N865" s="7" t="inlineStr">
        <is>
          <t>(எஸ்றா 7:6) பொ.ச. ஆறாம் நூற்றாண்டுக்கும் பத்தாம் நூற்றாண்டுக்கும் இடையில் எபிரெய வேதாகமத்தை (“பழைய ஏற்பாட்டை”) நகலெடுத்த மசோரெட்டுகள், பிழைகளைத் தவிர்ப்பதற்காக வேதாகமத்திலிருந்த எழுத்துக்களை எண்ணி எழுதினார்களாம்.</t>
        </is>
      </c>
      <c r="O865" s="12" t="inlineStr">
        <is>
          <t>Bible &amp; church history</t>
        </is>
      </c>
      <c r="P865" s="7" t="inlineStr">
        <is>
          <t>history.bible_preservation</t>
        </is>
      </c>
      <c r="Q865" s="7" t="inlineStr">
        <is>
          <t>copying</t>
        </is>
      </c>
      <c r="R865" s="7" t="n"/>
      <c r="S865" s="7" t="n"/>
      <c r="T865" s="7" t="n"/>
      <c r="U865" s="7" t="n"/>
      <c r="V865" s="7" t="n">
        <v>5</v>
      </c>
      <c r="W865" s="7" t="inlineStr">
        <is>
          <t>Part One—How the Bible Came to Us</t>
        </is>
      </c>
      <c r="X865" s="9" t="inlineStr">
        <is>
          <t>open</t>
        </is>
      </c>
      <c r="Y865" s="9" t="inlineStr">
        <is>
          <t>open</t>
        </is>
      </c>
      <c r="Z865" s="7" t="inlineStr">
        <is>
          <t>https://wol.jw.org/en/wol/d/r1/lp-e/1997603#h=21
https://wol.jw.org/en/wol/d/r1/lp-e/102007409#h=6
https://wol.jw.org/en/wol/d/r1/lp-e/1001070203#h=8
https://wol.jw.org/en/wol/d/r1/lp-e/1200002893#h=19
https://wol.jw.org/en/wol/d/r1/lp-e/1997603#h=52</t>
        </is>
      </c>
      <c r="AA865" s="7" t="n">
        <v>0</v>
      </c>
      <c r="AB865" s="7" t="n"/>
      <c r="AC865" s="7" t="n">
        <v>0</v>
      </c>
      <c r="AD865" s="7" t="n"/>
      <c r="AE865" s="7" t="n"/>
      <c r="AF865" s="7" t="n"/>
      <c r="AG865" s="7" t="n"/>
      <c r="AH865" s="7" t="n"/>
      <c r="AI865" s="7" t="n"/>
      <c r="AJ865" s="7" t="n"/>
      <c r="AK865" s="7" t="inlineStr">
        <is>
          <t>how-the-bible-came-to-us #21 (step)</t>
        </is>
      </c>
      <c r="AL865" s="7" t="n"/>
      <c r="AM865" s="7" t="n">
        <v>500</v>
      </c>
      <c r="AN865" s="10" t="n"/>
      <c r="AO865" s="10" t="n"/>
      <c r="AP865" s="10" t="n"/>
      <c r="AQ865" s="10" t="n"/>
    </row>
    <row r="866">
      <c r="A866" s="7" t="inlineStr">
        <is>
          <t>b7-0051</t>
        </is>
      </c>
      <c r="B866" s="7" t="inlineStr">
        <is>
          <t>Point</t>
        </is>
      </c>
      <c r="C866" s="7" t="n"/>
      <c r="D866" s="7" t="inlineStr">
        <is>
          <t>c. 508 C.E.</t>
        </is>
      </c>
      <c r="E866" s="7" t="n"/>
      <c r="F866" s="7" t="inlineStr">
        <is>
          <t>508 CE</t>
        </is>
      </c>
      <c r="G866" s="7" t="inlineStr">
        <is>
          <t>Approx. (c.)</t>
        </is>
      </c>
      <c r="H866" s="7" t="n"/>
      <c r="I866" s="7" t="n"/>
      <c r="J866" s="7" t="n"/>
      <c r="K866" s="2" t="inlineStr">
        <is>
          <t>Philoxenian revision adds missing books to the Syriac Bible</t>
        </is>
      </c>
      <c r="L866" s="2" t="n"/>
      <c r="M866" s="7" t="inlineStr">
        <is>
          <t>About 508 C.E., Philoxenus, bishop of Hierapolis, had Polycarp revise the Peshitta Christian Scriptures, the first time Second Peter, Second and Third John, Jude, and Revelation were added to a Syriac version.</t>
        </is>
      </c>
      <c r="N866" s="7" t="n"/>
      <c r="O866" s="12" t="inlineStr">
        <is>
          <t>Bible &amp; church history</t>
        </is>
      </c>
      <c r="P866" s="7" t="inlineStr">
        <is>
          <t>history.bible_translation</t>
        </is>
      </c>
      <c r="Q866" s="7" t="inlineStr">
        <is>
          <t>revision</t>
        </is>
      </c>
      <c r="R866" s="7" t="inlineStr">
        <is>
          <t>Philoxenus; Polycarp (Syriac reviser)</t>
        </is>
      </c>
      <c r="S866" s="7" t="n"/>
      <c r="T866" s="7" t="n"/>
      <c r="U866" s="7" t="n"/>
      <c r="V866" s="7" t="n">
        <v>1</v>
      </c>
      <c r="W866" s="7" t="inlineStr">
        <is>
          <t>Versions</t>
        </is>
      </c>
      <c r="X866" s="9" t="inlineStr">
        <is>
          <t>open</t>
        </is>
      </c>
      <c r="Y866" s="7" t="n"/>
      <c r="Z866" s="7" t="inlineStr">
        <is>
          <t>https://wol.jw.org/en/wol/d/r1/lp-e/1200004554#h=13</t>
        </is>
      </c>
      <c r="AA866" s="7" t="n">
        <v>0</v>
      </c>
      <c r="AB866" s="7" t="n"/>
      <c r="AC866" s="7" t="n">
        <v>0</v>
      </c>
      <c r="AD866" s="7" t="n"/>
      <c r="AE866" s="7" t="n"/>
      <c r="AF866" s="7" t="n"/>
      <c r="AG866" s="7" t="n"/>
      <c r="AH866" s="7" t="n"/>
      <c r="AI866" s="7" t="n"/>
      <c r="AJ866" s="7" t="n"/>
      <c r="AK866" s="7" t="n"/>
      <c r="AL866" s="7" t="n"/>
      <c r="AM866" s="7" t="n">
        <v>508</v>
      </c>
      <c r="AN866" s="10" t="n"/>
      <c r="AO866" s="10" t="n"/>
      <c r="AP866" s="10" t="n"/>
      <c r="AQ866" s="10" t="n"/>
    </row>
    <row r="867">
      <c r="A867" s="7" t="inlineStr">
        <is>
          <t>b7-0052</t>
        </is>
      </c>
      <c r="B867" s="7" t="inlineStr">
        <is>
          <t>Point</t>
        </is>
      </c>
      <c r="C867" s="7" t="n"/>
      <c r="D867" s="7" t="inlineStr">
        <is>
          <t>c. 636 C.E.</t>
        </is>
      </c>
      <c r="E867" s="7" t="n"/>
      <c r="F867" s="7" t="inlineStr">
        <is>
          <t>636 CE</t>
        </is>
      </c>
      <c r="G867" s="7" t="inlineStr">
        <is>
          <t>Approx. (c.)</t>
        </is>
      </c>
      <c r="H867" s="7" t="n"/>
      <c r="I867" s="7" t="n"/>
      <c r="J867" s="7" t="n"/>
      <c r="K867" s="2" t="inlineStr">
        <is>
          <t>Isidore of Seville: only Hebrew, Greek, and Latin are sacred languages</t>
        </is>
      </c>
      <c r="L867" s="2" t="n"/>
      <c r="M867" s="7" t="inlineStr">
        <is>
          <t>Spanish bishop Isidore of Seville (560-636 C.E.) argued that Hebrew, Greek, and Latin were the only sacred languages, an idea later used to keep the Bible from the common people.</t>
        </is>
      </c>
      <c r="N867" s="7" t="n"/>
      <c r="O867" s="12" t="inlineStr">
        <is>
          <t>Bible &amp; church history</t>
        </is>
      </c>
      <c r="P867" s="7" t="inlineStr">
        <is>
          <t>history.apostasy</t>
        </is>
      </c>
      <c r="Q867" s="7" t="inlineStr">
        <is>
          <t>teaching</t>
        </is>
      </c>
      <c r="R867" s="7" t="inlineStr">
        <is>
          <t>Isidore of Seville</t>
        </is>
      </c>
      <c r="S867" s="7" t="n"/>
      <c r="T867" s="7" t="n"/>
      <c r="U867" s="7" t="n"/>
      <c r="V867" s="7" t="n">
        <v>1</v>
      </c>
      <c r="W867" s="7" t="inlineStr">
        <is>
          <t>They Tried to Keep God’s Word From the Masses</t>
        </is>
      </c>
      <c r="X867" s="9" t="inlineStr">
        <is>
          <t>open</t>
        </is>
      </c>
      <c r="Y867" s="7" t="n"/>
      <c r="Z867" s="7" t="inlineStr">
        <is>
          <t>https://wol.jw.org/en/wol/d/r1/lp-e/102011443#h=30</t>
        </is>
      </c>
      <c r="AA867" s="7" t="n">
        <v>0</v>
      </c>
      <c r="AB867" s="7" t="n"/>
      <c r="AC867" s="7" t="n">
        <v>0</v>
      </c>
      <c r="AD867" s="7" t="n"/>
      <c r="AE867" s="7" t="n"/>
      <c r="AF867" s="7" t="n"/>
      <c r="AG867" s="7" t="n"/>
      <c r="AH867" s="7" t="n"/>
      <c r="AI867" s="7" t="n"/>
      <c r="AJ867" s="7" t="n"/>
      <c r="AK867" s="7" t="n"/>
      <c r="AL867" s="7" t="n"/>
      <c r="AM867" s="7" t="n">
        <v>636</v>
      </c>
      <c r="AN867" s="10" t="n"/>
      <c r="AO867" s="10" t="n"/>
      <c r="AP867" s="10" t="n"/>
      <c r="AQ867" s="10" t="n"/>
    </row>
    <row r="868">
      <c r="A868" s="7" t="inlineStr">
        <is>
          <t>b7-0053</t>
        </is>
      </c>
      <c r="B868" s="7" t="inlineStr">
        <is>
          <t>Point</t>
        </is>
      </c>
      <c r="C868" s="7" t="n"/>
      <c r="D868" s="7" t="inlineStr">
        <is>
          <t>724 C.E.</t>
        </is>
      </c>
      <c r="E868" s="7" t="n"/>
      <c r="F868" s="7" t="inlineStr">
        <is>
          <t>724 CE</t>
        </is>
      </c>
      <c r="G868" s="7" t="inlineStr">
        <is>
          <t>Exact</t>
        </is>
      </c>
      <c r="H868" s="7" t="n"/>
      <c r="I868" s="7" t="n"/>
      <c r="J868" s="7" t="n"/>
      <c r="K868" s="2" t="inlineStr">
        <is>
          <t>Earliest recorded Arabic Bible version, made in Spain</t>
        </is>
      </c>
      <c r="L868" s="2" t="n"/>
      <c r="M868" s="7" t="inlineStr">
        <is>
          <t>Parts of the Bible may have been translated into Arabic as early as the seventh century, but the earliest record is of a version made in Spain in 724 C.E.</t>
        </is>
      </c>
      <c r="N868" s="7" t="n"/>
      <c r="O868" s="12" t="inlineStr">
        <is>
          <t>Bible &amp; church history</t>
        </is>
      </c>
      <c r="P868" s="7" t="inlineStr">
        <is>
          <t>history.bible_translation</t>
        </is>
      </c>
      <c r="Q868" s="7" t="inlineStr">
        <is>
          <t>translation</t>
        </is>
      </c>
      <c r="R868" s="7" t="n"/>
      <c r="S868" s="7" t="inlineStr">
        <is>
          <t>Spain</t>
        </is>
      </c>
      <c r="T868" s="7" t="n"/>
      <c r="U868" s="7" t="n"/>
      <c r="V868" s="7" t="n">
        <v>1</v>
      </c>
      <c r="W868" s="7" t="inlineStr">
        <is>
          <t>Versions</t>
        </is>
      </c>
      <c r="X868" s="9" t="inlineStr">
        <is>
          <t>open</t>
        </is>
      </c>
      <c r="Y868" s="7" t="n"/>
      <c r="Z868" s="7" t="inlineStr">
        <is>
          <t>https://wol.jw.org/en/wol/d/r1/lp-e/1200004554#h=21</t>
        </is>
      </c>
      <c r="AA868" s="7" t="n">
        <v>0</v>
      </c>
      <c r="AB868" s="7" t="n"/>
      <c r="AC868" s="7" t="n">
        <v>0</v>
      </c>
      <c r="AD868" s="7" t="n"/>
      <c r="AE868" s="7" t="n"/>
      <c r="AF868" s="7" t="n"/>
      <c r="AG868" s="7" t="n"/>
      <c r="AH868" s="7" t="n"/>
      <c r="AI868" s="7" t="n"/>
      <c r="AJ868" s="7" t="n"/>
      <c r="AK868" s="7" t="n"/>
      <c r="AL868" s="7" t="n"/>
      <c r="AM868" s="7" t="n">
        <v>724</v>
      </c>
      <c r="AN868" s="10" t="n"/>
      <c r="AO868" s="10" t="n"/>
      <c r="AP868" s="10" t="n"/>
      <c r="AQ868" s="10" t="n"/>
    </row>
    <row r="869">
      <c r="A869" s="7" t="inlineStr">
        <is>
          <t>b7-0054</t>
        </is>
      </c>
      <c r="B869" s="7" t="inlineStr">
        <is>
          <t>Point</t>
        </is>
      </c>
      <c r="C869" s="7" t="n"/>
      <c r="D869" s="7" t="inlineStr">
        <is>
          <t>8th century C.E.</t>
        </is>
      </c>
      <c r="E869" s="7" t="n"/>
      <c r="F869" s="7" t="inlineStr">
        <is>
          <t>750 CE</t>
        </is>
      </c>
      <c r="G869" s="7" t="inlineStr">
        <is>
          <t>Approx. (c.)</t>
        </is>
      </c>
      <c r="H869" s="7" t="n"/>
      <c r="I869" s="7" t="n"/>
      <c r="J869" s="7" t="n"/>
      <c r="K869" s="2" t="inlineStr">
        <is>
          <t>Eastern bishops' iconoclastic period</t>
        </is>
      </c>
      <c r="L869" s="2" t="n"/>
      <c r="M869" s="7" t="inlineStr">
        <is>
          <t>During the eighth century, Eastern bishops rebelled against the veneration of images in what is called their iconoclastic period, though in time they returned to icons.</t>
        </is>
      </c>
      <c r="N869" s="7" t="inlineStr">
        <is>
          <t>எட்டாவது நூற்றாண்டின்போது, கிழக்கத்திய பிஷப்புகள் இந்த விக்கிரகாராதனைக்கு எதிராக கிளர்ச்சி செய்து சிலைகளை உடைத்து நொறுக்குவதில் முழுவீச்சுடன் இறங்கினர்.</t>
        </is>
      </c>
      <c r="O869" s="12" t="inlineStr">
        <is>
          <t>Bible &amp; church history</t>
        </is>
      </c>
      <c r="P869" s="7" t="inlineStr">
        <is>
          <t>history.apostasy</t>
        </is>
      </c>
      <c r="Q869" s="7" t="inlineStr">
        <is>
          <t>controversy</t>
        </is>
      </c>
      <c r="R869" s="7" t="n"/>
      <c r="S869" s="7" t="n"/>
      <c r="T869" s="7" t="inlineStr">
        <is>
          <t>Ex. 20:4-6</t>
        </is>
      </c>
      <c r="U869" s="7" t="n"/>
      <c r="V869" s="7" t="n">
        <v>1</v>
      </c>
      <c r="W869" s="7" t="inlineStr">
        <is>
          <t>Apostasy—The Way to God Blocked</t>
        </is>
      </c>
      <c r="X869" s="9" t="inlineStr">
        <is>
          <t>open</t>
        </is>
      </c>
      <c r="Y869" s="9" t="inlineStr">
        <is>
          <t>open</t>
        </is>
      </c>
      <c r="Z869" s="7" t="inlineStr">
        <is>
          <t>https://wol.jw.org/en/wol/d/r1/lp-e/1101990043#h=42</t>
        </is>
      </c>
      <c r="AA869" s="7" t="n">
        <v>0</v>
      </c>
      <c r="AB869" s="7" t="n"/>
      <c r="AC869" s="7" t="n">
        <v>0</v>
      </c>
      <c r="AD869" s="7" t="n"/>
      <c r="AE869" s="7" t="n"/>
      <c r="AF869" s="7" t="n"/>
      <c r="AG869" s="7" t="n"/>
      <c r="AH869" s="7" t="n"/>
      <c r="AI869" s="7" t="n"/>
      <c r="AJ869" s="7" t="n"/>
      <c r="AK869" s="7" t="n"/>
      <c r="AL869" s="7" t="n"/>
      <c r="AM869" s="7" t="n">
        <v>750</v>
      </c>
      <c r="AN869" s="10" t="n"/>
      <c r="AO869" s="10" t="n"/>
      <c r="AP869" s="10" t="n"/>
      <c r="AQ869" s="10" t="n"/>
    </row>
    <row r="870">
      <c r="A870" s="7" t="inlineStr">
        <is>
          <t>b7-0055</t>
        </is>
      </c>
      <c r="B870" s="7" t="inlineStr">
        <is>
          <t>Point</t>
        </is>
      </c>
      <c r="C870" s="7" t="n"/>
      <c r="D870" s="7" t="inlineStr">
        <is>
          <t>800 C.E.</t>
        </is>
      </c>
      <c r="E870" s="7" t="inlineStr">
        <is>
          <t>பொ.ச. 800</t>
        </is>
      </c>
      <c r="F870" s="7" t="inlineStr">
        <is>
          <t>800 CE</t>
        </is>
      </c>
      <c r="G870" s="7" t="inlineStr">
        <is>
          <t>Exact</t>
        </is>
      </c>
      <c r="H870" s="7" t="n"/>
      <c r="I870" s="7" t="n"/>
      <c r="J870" s="7" t="n"/>
      <c r="K870" s="2" t="inlineStr">
        <is>
          <t>Pope Leo III crowns Charlemagne emperor</t>
        </is>
      </c>
      <c r="L870" s="2" t="n"/>
      <c r="M870" s="7" t="inlineStr">
        <is>
          <t>Papal power was illustrated when Pope Leo III crowned Charlemagne emperor of the Holy Roman Empire in 800 C.E.</t>
        </is>
      </c>
      <c r="N870" s="7" t="inlineStr">
        <is>
          <t>அதுமட்டுமல்ல, மூன்றாம் போப் லியோ பொ.ச. 800-ல் புனித ரோம சாம்ராஜ்யத்துக்கு அரசனாக சார்லிமேனை முடிசூட்டியது அப்படிப்பட்ட ஆன்மீக அதிகாரத்திற்கு கூடுதலான எடுத்துக்காட்டாக இருந்தது.</t>
        </is>
      </c>
      <c r="O870" s="12" t="inlineStr">
        <is>
          <t>Bible &amp; church history</t>
        </is>
      </c>
      <c r="P870" s="7" t="inlineStr">
        <is>
          <t>history.apostasy</t>
        </is>
      </c>
      <c r="Q870" s="7" t="inlineStr">
        <is>
          <t>coronation</t>
        </is>
      </c>
      <c r="R870" s="7" t="inlineStr">
        <is>
          <t>Leo III; Charlemagne</t>
        </is>
      </c>
      <c r="S870" s="7" t="n"/>
      <c r="T870" s="7" t="n"/>
      <c r="U870" s="7" t="n"/>
      <c r="V870" s="7" t="n">
        <v>1</v>
      </c>
      <c r="W870" s="7" t="inlineStr">
        <is>
          <t>Apostasy—The Way to God Blocked</t>
        </is>
      </c>
      <c r="X870" s="9" t="inlineStr">
        <is>
          <t>open</t>
        </is>
      </c>
      <c r="Y870" s="9" t="inlineStr">
        <is>
          <t>open</t>
        </is>
      </c>
      <c r="Z870" s="7" t="inlineStr">
        <is>
          <t>https://wol.jw.org/en/wol/d/r1/lp-e/1101990043#h=24</t>
        </is>
      </c>
      <c r="AA870" s="7" t="n">
        <v>0</v>
      </c>
      <c r="AB870" s="7" t="n"/>
      <c r="AC870" s="7" t="n">
        <v>0</v>
      </c>
      <c r="AD870" s="7" t="n"/>
      <c r="AE870" s="7" t="n"/>
      <c r="AF870" s="7" t="n"/>
      <c r="AG870" s="7" t="n"/>
      <c r="AH870" s="7" t="n"/>
      <c r="AI870" s="7" t="n"/>
      <c r="AJ870" s="7" t="n"/>
      <c r="AK870" s="7" t="n"/>
      <c r="AL870" s="7" t="n"/>
      <c r="AM870" s="7" t="n">
        <v>800</v>
      </c>
      <c r="AN870" s="10" t="n"/>
      <c r="AO870" s="10" t="n"/>
      <c r="AP870" s="10" t="n"/>
      <c r="AQ870" s="10" t="n"/>
    </row>
    <row r="871">
      <c r="A871" s="7" t="inlineStr">
        <is>
          <t>b7-0056</t>
        </is>
      </c>
      <c r="B871" s="7" t="inlineStr">
        <is>
          <t>Point</t>
        </is>
      </c>
      <c r="C871" s="7" t="n"/>
      <c r="D871" s="7" t="inlineStr">
        <is>
          <t>862 C.E.</t>
        </is>
      </c>
      <c r="E871" s="7" t="inlineStr">
        <is>
          <t>பொ.ச. 862</t>
        </is>
      </c>
      <c r="F871" s="7" t="inlineStr">
        <is>
          <t>862 CE</t>
        </is>
      </c>
      <c r="G871" s="7" t="inlineStr">
        <is>
          <t>Exact</t>
        </is>
      </c>
      <c r="H871" s="7" t="n"/>
      <c r="I871" s="7" t="n"/>
      <c r="J871" s="7" t="n"/>
      <c r="K871" s="2" t="inlineStr">
        <is>
          <t>Prince Rostislav of Moravia requests teachers of the Scriptures</t>
        </is>
      </c>
      <c r="L871" s="2" t="n"/>
      <c r="M871" s="7" t="inlineStr">
        <is>
          <t>In 862 C.E., Rostislav, prince of Moravia, asked Byzantine Emperor Michael III to send teachers who could make the Scriptures known in the Slavic tongue. The emperor sent the brothers Cyril and Methodius.</t>
        </is>
      </c>
      <c r="N871" s="7" t="inlineStr">
        <is>
          <t>பொ.ச. 862-⁠ல் மொராவிய (இன்று, கிழக்கத்திய செக்கியா, மேற்கத்திய ஸ்லோவாகியா, மேற்கத்திய ஹங்கேரி) இளவரசன் ராஸ்டிஸ்லாவ், பைசாண்டிய பேரரசர் மூன்றாம் மைக்கேலிடம் ஆரம்ப பாராவிலுள்ள அந்த வேண்டுகோளை விடுத்தார்.</t>
        </is>
      </c>
      <c r="O871" s="12" t="inlineStr">
        <is>
          <t>Bible &amp; church history</t>
        </is>
      </c>
      <c r="P871" s="7" t="inlineStr">
        <is>
          <t>history.bible_translation</t>
        </is>
      </c>
      <c r="Q871" s="7" t="inlineStr">
        <is>
          <t>request</t>
        </is>
      </c>
      <c r="R871" s="7" t="inlineStr">
        <is>
          <t>Rostislav; Michael III</t>
        </is>
      </c>
      <c r="S871" s="7" t="inlineStr">
        <is>
          <t>Moravia</t>
        </is>
      </c>
      <c r="T871" s="7" t="n"/>
      <c r="U871" s="7" t="n"/>
      <c r="V871" s="7" t="n">
        <v>1</v>
      </c>
      <c r="W871" s="7" t="inlineStr">
        <is>
          <t>Cyril and Methodius—Bible Translators Who Invented an Alphabet</t>
        </is>
      </c>
      <c r="X871" s="9" t="inlineStr">
        <is>
          <t>open</t>
        </is>
      </c>
      <c r="Y871" s="9" t="inlineStr">
        <is>
          <t>open</t>
        </is>
      </c>
      <c r="Z871" s="7" t="inlineStr">
        <is>
          <t>https://wol.jw.org/en/wol/d/r1/lp-e/2001166#h=10</t>
        </is>
      </c>
      <c r="AA871" s="7" t="n">
        <v>0</v>
      </c>
      <c r="AB871" s="7" t="n"/>
      <c r="AC871" s="7" t="n">
        <v>0</v>
      </c>
      <c r="AD871" s="7" t="n"/>
      <c r="AE871" s="7" t="n"/>
      <c r="AF871" s="7" t="n"/>
      <c r="AG871" s="7" t="n"/>
      <c r="AH871" s="7" t="n"/>
      <c r="AI871" s="7" t="n"/>
      <c r="AJ871" s="7" t="n"/>
      <c r="AK871" s="7" t="n"/>
      <c r="AL871" s="7" t="n"/>
      <c r="AM871" s="7" t="n">
        <v>862</v>
      </c>
      <c r="AN871" s="10" t="n"/>
      <c r="AO871" s="10" t="n"/>
      <c r="AP871" s="10" t="n"/>
      <c r="AQ871" s="10" t="n"/>
    </row>
    <row r="872">
      <c r="A872" s="7" t="inlineStr">
        <is>
          <t>b7-0057</t>
        </is>
      </c>
      <c r="B872" s="7" t="inlineStr">
        <is>
          <t>Point</t>
        </is>
      </c>
      <c r="C872" s="7" t="n"/>
      <c r="D872" s="7" t="inlineStr">
        <is>
          <t>863 C.E.</t>
        </is>
      </c>
      <c r="E872" s="7" t="inlineStr">
        <is>
          <t>பொ.ச. 863</t>
        </is>
      </c>
      <c r="F872" s="7" t="inlineStr">
        <is>
          <t>863 CE</t>
        </is>
      </c>
      <c r="G872" s="7" t="inlineStr">
        <is>
          <t>Exact</t>
        </is>
      </c>
      <c r="H872" s="7" t="n"/>
      <c r="I872" s="7" t="n"/>
      <c r="J872" s="7" t="n"/>
      <c r="K872" s="2" t="inlineStr">
        <is>
          <t>Cyril and Methodius begin Slavonic Bible translation in Moravia</t>
        </is>
      </c>
      <c r="L872" s="2" t="inlineStr">
        <is>
          <t>பொ.ச. 863-ல் மோராவியாவில் சிரில்</t>
        </is>
      </c>
      <c r="M872" s="7" t="inlineStr">
        <is>
          <t>In 863 C.E., the Greek-speaking brothers Cyril and Methodius began their mission in Moravia. They devised the Glagolitic alphabet (later superseded by Cyrillic) and translated Biblical texts into Slavonic.</t>
        </is>
      </c>
      <c r="N872" s="7" t="inlineStr">
        <is>
          <t>பொ.ச. 863-⁠ல் சிரிலும் மெத்தோடியஸும் மொராவியாவில் தங்கள் பணியை ஆரம்பித்தனர்.</t>
        </is>
      </c>
      <c r="O872" s="12" t="inlineStr">
        <is>
          <t>Bible &amp; church history</t>
        </is>
      </c>
      <c r="P872" s="7" t="inlineStr">
        <is>
          <t>history.bible_translation</t>
        </is>
      </c>
      <c r="Q872" s="7" t="inlineStr">
        <is>
          <t>translation</t>
        </is>
      </c>
      <c r="R872" s="7" t="inlineStr">
        <is>
          <t>Cyril; Methodius</t>
        </is>
      </c>
      <c r="S872" s="7" t="inlineStr">
        <is>
          <t>Moravia</t>
        </is>
      </c>
      <c r="T872" s="7" t="n"/>
      <c r="U872" s="7" t="n"/>
      <c r="V872" s="7" t="n">
        <v>6</v>
      </c>
      <c r="W872" s="7" t="inlineStr">
        <is>
          <t>Cyril and Methodius—Bible Translators Who Invented an Alphabet</t>
        </is>
      </c>
      <c r="X872" s="9" t="inlineStr">
        <is>
          <t>open</t>
        </is>
      </c>
      <c r="Y872" s="9" t="inlineStr">
        <is>
          <t>open</t>
        </is>
      </c>
      <c r="Z872" s="7" t="inlineStr">
        <is>
          <t>https://wol.jw.org/en/wol/d/r1/lp-e/2001166#h=17
https://wol.jw.org/en/wol/d/r1/lp-e/1997603#h=19
https://wol.jw.org/en/wol/d/r1/lp-e/1997603#h=55
https://wol.jw.org/en/wol/d/r1/lp-e/1101997025#h=6
https://wol.jw.org/en/wol/d/r1/lp-e/102011443#h=6
https://wol.jw.org/en/wol/d/r1/lp-e/1200004554#h=21</t>
        </is>
      </c>
      <c r="AA872" s="7" t="n">
        <v>0</v>
      </c>
      <c r="AB872" s="7" t="n"/>
      <c r="AC872" s="7" t="n">
        <v>0</v>
      </c>
      <c r="AD872" s="7" t="n"/>
      <c r="AE872" s="7" t="n"/>
      <c r="AF872" s="7" t="n"/>
      <c r="AG872" s="7" t="n"/>
      <c r="AH872" s="7" t="n"/>
      <c r="AI872" s="7" t="n"/>
      <c r="AJ872" s="7" t="n"/>
      <c r="AK872" s="7" t="inlineStr">
        <is>
          <t>how-the-bible-came-to-us #22 (step)</t>
        </is>
      </c>
      <c r="AL872" s="7" t="n"/>
      <c r="AM872" s="7" t="n">
        <v>863</v>
      </c>
      <c r="AN872" s="10" t="n"/>
      <c r="AO872" s="10" t="n"/>
      <c r="AP872" s="10" t="n"/>
      <c r="AQ872" s="10" t="n"/>
    </row>
    <row r="873">
      <c r="A873" s="7" t="inlineStr">
        <is>
          <t>b7-0058</t>
        </is>
      </c>
      <c r="B873" s="7" t="inlineStr">
        <is>
          <t>Point</t>
        </is>
      </c>
      <c r="C873" s="7" t="n"/>
      <c r="D873" s="7" t="inlineStr">
        <is>
          <t>867 C.E.</t>
        </is>
      </c>
      <c r="E873" s="7" t="inlineStr">
        <is>
          <t>பொ.ச. 867</t>
        </is>
      </c>
      <c r="F873" s="7" t="inlineStr">
        <is>
          <t>867 CE</t>
        </is>
      </c>
      <c r="G873" s="7" t="inlineStr">
        <is>
          <t>Exact</t>
        </is>
      </c>
      <c r="H873" s="7" t="n"/>
      <c r="I873" s="7" t="n"/>
      <c r="J873" s="7" t="n"/>
      <c r="K873" s="2" t="inlineStr">
        <is>
          <t>Cyril and Methodius go to Rome to defend use of Slavonic</t>
        </is>
      </c>
      <c r="L873" s="2" t="n"/>
      <c r="M873" s="7" t="inlineStr">
        <is>
          <t>Facing Frankish clergy who held that only Latin, Greek, and Hebrew were fit for worship, the brothers journeyed to Rome in 867 C.E. to seek papal support for the Slavonic script.</t>
        </is>
      </c>
      <c r="N873" s="7" t="inlineStr">
        <is>
          <t>தாங்கள் புதிதாக எழுத்துரு கொடுத்த மொழியை போப் ஆதரிப்பார் என்ற நம்பிக்கையில் சகோதரர்கள் இருவரும் பொ.ச. 867-⁠ல் ரோமுக்குப் பயணப்பட்டனர்.</t>
        </is>
      </c>
      <c r="O873" s="12" t="inlineStr">
        <is>
          <t>Bible &amp; church history</t>
        </is>
      </c>
      <c r="P873" s="7" t="inlineStr">
        <is>
          <t>history.bible_translation</t>
        </is>
      </c>
      <c r="Q873" s="7" t="inlineStr">
        <is>
          <t>journey</t>
        </is>
      </c>
      <c r="R873" s="7" t="inlineStr">
        <is>
          <t>Cyril; Methodius</t>
        </is>
      </c>
      <c r="S873" s="7" t="inlineStr">
        <is>
          <t>Rome</t>
        </is>
      </c>
      <c r="T873" s="7" t="n"/>
      <c r="U873" s="7" t="n"/>
      <c r="V873" s="7" t="n">
        <v>1</v>
      </c>
      <c r="W873" s="7" t="inlineStr">
        <is>
          <t>Cyril and Methodius—Bible Translators Who Invented an Alphabet</t>
        </is>
      </c>
      <c r="X873" s="9" t="inlineStr">
        <is>
          <t>open</t>
        </is>
      </c>
      <c r="Y873" s="9" t="inlineStr">
        <is>
          <t>open</t>
        </is>
      </c>
      <c r="Z873" s="7" t="inlineStr">
        <is>
          <t>https://wol.jw.org/en/wol/d/r1/lp-e/2001166#h=18</t>
        </is>
      </c>
      <c r="AA873" s="7" t="n">
        <v>0</v>
      </c>
      <c r="AB873" s="7" t="n"/>
      <c r="AC873" s="7" t="n">
        <v>0</v>
      </c>
      <c r="AD873" s="7" t="n"/>
      <c r="AE873" s="7" t="n"/>
      <c r="AF873" s="7" t="n"/>
      <c r="AG873" s="7" t="n"/>
      <c r="AH873" s="7" t="n"/>
      <c r="AI873" s="7" t="n"/>
      <c r="AJ873" s="7" t="n"/>
      <c r="AK873" s="7" t="n"/>
      <c r="AL873" s="7" t="n"/>
      <c r="AM873" s="7" t="n">
        <v>867</v>
      </c>
      <c r="AN873" s="10" t="n"/>
      <c r="AO873" s="10" t="n"/>
      <c r="AP873" s="10" t="n"/>
      <c r="AQ873" s="10" t="n"/>
    </row>
    <row r="874">
      <c r="A874" s="7" t="inlineStr">
        <is>
          <t>b7-0059</t>
        </is>
      </c>
      <c r="B874" s="7" t="inlineStr">
        <is>
          <t>Point</t>
        </is>
      </c>
      <c r="C874" s="7" t="n"/>
      <c r="D874" s="7" t="inlineStr">
        <is>
          <t>869 C.E.</t>
        </is>
      </c>
      <c r="E874" s="7" t="inlineStr">
        <is>
          <t>பொ.ச. 827-869</t>
        </is>
      </c>
      <c r="F874" s="7" t="inlineStr">
        <is>
          <t>869 CE</t>
        </is>
      </c>
      <c r="G874" s="7" t="inlineStr">
        <is>
          <t>Exact</t>
        </is>
      </c>
      <c r="H874" s="7" t="n"/>
      <c r="I874" s="7" t="n"/>
      <c r="J874" s="7" t="n"/>
      <c r="K874" s="2" t="inlineStr">
        <is>
          <t>Cyril dies</t>
        </is>
      </c>
      <c r="L874" s="2" t="inlineStr">
        <is>
          <t>சிரிலும் (பொ.ச. 827-869, இயற்பெயர் கான்ஸ்டன்டைன்) மெத்தோடியஸும் (பொ.ச. 825-885) கிரீஸிலுள்ள தெசலோனிகாவில் உயர் குடியில் பிறந்தனர்</t>
        </is>
      </c>
      <c r="M874" s="7" t="inlineStr">
        <is>
          <t>Cyril (827-869 C.E.), originally named Constantine, co-inventor of the Slavonic script, died in 869 C.E.</t>
        </is>
      </c>
      <c r="N874" s="7" t="inlineStr">
        <is>
          <t>சிரிலும் (பொ.ச. 827-869, இயற்பெயர் கான்ஸ்டன்டைன்) மெத்தோடியஸும் (பொ.ச. 825-885) கிரீஸிலுள்ள தெசலோனிகாவில் உயர் குடியில் பிறந்தனர்.</t>
        </is>
      </c>
      <c r="O874" s="12" t="inlineStr">
        <is>
          <t>Bible &amp; church history</t>
        </is>
      </c>
      <c r="P874" s="7" t="inlineStr">
        <is>
          <t>history.bible_translation</t>
        </is>
      </c>
      <c r="Q874" s="7" t="inlineStr">
        <is>
          <t>death</t>
        </is>
      </c>
      <c r="R874" s="7" t="inlineStr">
        <is>
          <t>Cyril</t>
        </is>
      </c>
      <c r="S874" s="7" t="n"/>
      <c r="T874" s="7" t="n"/>
      <c r="U874" s="7" t="n"/>
      <c r="V874" s="7" t="n">
        <v>1</v>
      </c>
      <c r="W874" s="7" t="inlineStr">
        <is>
          <t>Cyril and Methodius—Bible Translators Who Invented an Alphabet</t>
        </is>
      </c>
      <c r="X874" s="9" t="inlineStr">
        <is>
          <t>open</t>
        </is>
      </c>
      <c r="Y874" s="9" t="inlineStr">
        <is>
          <t>open</t>
        </is>
      </c>
      <c r="Z874" s="7" t="inlineStr">
        <is>
          <t>https://wol.jw.org/en/wol/d/r1/lp-e/2001166#h=5</t>
        </is>
      </c>
      <c r="AA874" s="7" t="n">
        <v>0</v>
      </c>
      <c r="AB874" s="7" t="n"/>
      <c r="AC874" s="7" t="n">
        <v>0</v>
      </c>
      <c r="AD874" s="7" t="n"/>
      <c r="AE874" s="7" t="n"/>
      <c r="AF874" s="7" t="n"/>
      <c r="AG874" s="7" t="n"/>
      <c r="AH874" s="7" t="n"/>
      <c r="AI874" s="7" t="n"/>
      <c r="AJ874" s="7" t="n"/>
      <c r="AK874" s="7" t="n"/>
      <c r="AL874" s="7" t="n"/>
      <c r="AM874" s="7" t="n">
        <v>869</v>
      </c>
      <c r="AN874" s="10" t="n"/>
      <c r="AO874" s="10" t="n"/>
      <c r="AP874" s="10" t="n"/>
      <c r="AQ874" s="10" t="n"/>
    </row>
    <row r="875">
      <c r="A875" s="7" t="inlineStr">
        <is>
          <t>b7-0060</t>
        </is>
      </c>
      <c r="B875" s="7" t="inlineStr">
        <is>
          <t>Point</t>
        </is>
      </c>
      <c r="C875" s="7" t="n"/>
      <c r="D875" s="7" t="inlineStr">
        <is>
          <t>870 C.E.</t>
        </is>
      </c>
      <c r="E875" s="7" t="inlineStr">
        <is>
          <t>பொ.ச. 870</t>
        </is>
      </c>
      <c r="F875" s="7" t="inlineStr">
        <is>
          <t>870 CE</t>
        </is>
      </c>
      <c r="G875" s="7" t="inlineStr">
        <is>
          <t>Exact</t>
        </is>
      </c>
      <c r="H875" s="7" t="n"/>
      <c r="I875" s="7" t="n"/>
      <c r="J875" s="7" t="n"/>
      <c r="K875" s="2" t="inlineStr">
        <is>
          <t>Methodius arrested and imprisoned by Frankish opponents</t>
        </is>
      </c>
      <c r="L875" s="2" t="inlineStr">
        <is>
          <t>ஆனால் பொ.ச. 870-⁠ல், நேட்ராவின் இளவரசன் ஸ்வாட்டோப்ளக் உதவியோடு, ஃப்ரான்கிய பிஷப் ஹெர்மான்ரிக் என்பவர் மெத்தோடியஸை சிறைபிடித்தார்</t>
        </is>
      </c>
      <c r="M875" s="7" t="inlineStr">
        <is>
          <t>In 870 C.E., the Frankish bishop Hermanrich, helped by Prince Svatopluk, arrested Methodius, who was imprisoned for two and a half years until Pope John VIII ordered his release.</t>
        </is>
      </c>
      <c r="N875" s="7" t="inlineStr">
        <is>
          <t>ஆனால் பொ.ச. 870-⁠ல், நேட்ராவின் இளவரசன் ஸ்வாட்டோப்ளக் உதவியோடு, ஃப்ரான்கிய பிஷப் ஹெர்மான்ரிக் என்பவர் மெத்தோடியஸை சிறைபிடித்தார்.</t>
        </is>
      </c>
      <c r="O875" s="12" t="inlineStr">
        <is>
          <t>Bible &amp; church history</t>
        </is>
      </c>
      <c r="P875" s="7" t="inlineStr">
        <is>
          <t>history.persecution</t>
        </is>
      </c>
      <c r="Q875" s="7" t="inlineStr">
        <is>
          <t>arrest</t>
        </is>
      </c>
      <c r="R875" s="7" t="inlineStr">
        <is>
          <t>Methodius; Hermanrich</t>
        </is>
      </c>
      <c r="S875" s="7" t="n"/>
      <c r="T875" s="7" t="n"/>
      <c r="U875" s="7" t="n"/>
      <c r="V875" s="7" t="n">
        <v>1</v>
      </c>
      <c r="W875" s="7" t="inlineStr">
        <is>
          <t>Cyril and Methodius—Bible Translators Who Invented an Alphabet</t>
        </is>
      </c>
      <c r="X875" s="9" t="inlineStr">
        <is>
          <t>open</t>
        </is>
      </c>
      <c r="Y875" s="9" t="inlineStr">
        <is>
          <t>open</t>
        </is>
      </c>
      <c r="Z875" s="7" t="inlineStr">
        <is>
          <t>https://wol.jw.org/en/wol/d/r1/lp-e/2001166#h=21</t>
        </is>
      </c>
      <c r="AA875" s="7" t="n">
        <v>0</v>
      </c>
      <c r="AB875" s="7" t="n"/>
      <c r="AC875" s="7" t="n">
        <v>0</v>
      </c>
      <c r="AD875" s="7" t="n"/>
      <c r="AE875" s="7" t="n"/>
      <c r="AF875" s="7" t="n"/>
      <c r="AG875" s="7" t="n"/>
      <c r="AH875" s="7" t="n"/>
      <c r="AI875" s="7" t="n"/>
      <c r="AJ875" s="7" t="n"/>
      <c r="AK875" s="7" t="n"/>
      <c r="AL875" s="7" t="n"/>
      <c r="AM875" s="7" t="n">
        <v>870</v>
      </c>
      <c r="AN875" s="10" t="n"/>
      <c r="AO875" s="10" t="n"/>
      <c r="AP875" s="10" t="n"/>
      <c r="AQ875" s="10" t="n"/>
    </row>
    <row r="876">
      <c r="A876" s="7" t="inlineStr">
        <is>
          <t>b7-0061</t>
        </is>
      </c>
      <c r="B876" s="7" t="inlineStr">
        <is>
          <t>Point</t>
        </is>
      </c>
      <c r="C876" s="7" t="n"/>
      <c r="D876" s="7" t="inlineStr">
        <is>
          <t>876 C.E.</t>
        </is>
      </c>
      <c r="E876" s="7" t="inlineStr">
        <is>
          <t>876</t>
        </is>
      </c>
      <c r="F876" s="7" t="inlineStr">
        <is>
          <t>876 CE</t>
        </is>
      </c>
      <c r="G876" s="7" t="inlineStr">
        <is>
          <t>Exact</t>
        </is>
      </c>
      <c r="H876" s="7" t="n"/>
      <c r="I876" s="7" t="n"/>
      <c r="J876" s="7" t="n"/>
      <c r="K876" s="2" t="inlineStr">
        <is>
          <t>Synod at Constantinople condemns the pope over the filioque clause</t>
        </is>
      </c>
      <c r="L876" s="2" t="n"/>
      <c r="M876" s="7" t="inlineStr">
        <is>
          <t>The Western church added filioque ("and from the Son") to the Nicene Creed. In 876 a synod at Constantinople condemned the pope for his political activities and for not correcting the filioque "heresy."</t>
        </is>
      </c>
      <c r="N876" s="7" t="inlineStr">
        <is>
          <t>ஆறாம் நூற்றாண்டில் செய்யப்பட்ட இந்தத் திருத்தத்தால் ஒரு பிளவு ஏற்பட்டது; “கான்ஸ்டான்டிநோப்பிளில் 876-ல் கூடிய [பிஷப்புகளின்] பேரவை போப்பை அவருடைய அரசியல் நடவடிக்கைகளுக்காகவும் மதபேதத்திற்கு வழிநடத்திய ஃபிலியோக்யு என்ற வார்த்தையை திருத்த தவறியதற்காகவும் கண்டனம் செய்தது.</t>
        </is>
      </c>
      <c r="O876" s="12" t="inlineStr">
        <is>
          <t>Bible &amp; church history</t>
        </is>
      </c>
      <c r="P876" s="7" t="inlineStr">
        <is>
          <t>history.apostasy</t>
        </is>
      </c>
      <c r="Q876" s="7" t="inlineStr">
        <is>
          <t>council</t>
        </is>
      </c>
      <c r="R876" s="7" t="n"/>
      <c r="S876" s="7" t="inlineStr">
        <is>
          <t>Constantinople</t>
        </is>
      </c>
      <c r="T876" s="7" t="n"/>
      <c r="U876" s="7" t="n"/>
      <c r="V876" s="7" t="n">
        <v>1</v>
      </c>
      <c r="W876" s="7" t="inlineStr">
        <is>
          <t>Apostasy—The Way to God Blocked</t>
        </is>
      </c>
      <c r="X876" s="9" t="inlineStr">
        <is>
          <t>open</t>
        </is>
      </c>
      <c r="Y876" s="9" t="inlineStr">
        <is>
          <t>open</t>
        </is>
      </c>
      <c r="Z876" s="7" t="inlineStr">
        <is>
          <t>https://wol.jw.org/en/wol/d/r1/lp-e/1101990043#h=43</t>
        </is>
      </c>
      <c r="AA876" s="7" t="n">
        <v>0</v>
      </c>
      <c r="AB876" s="7" t="n"/>
      <c r="AC876" s="7" t="n">
        <v>0</v>
      </c>
      <c r="AD876" s="7" t="n"/>
      <c r="AE876" s="7" t="n"/>
      <c r="AF876" s="7" t="n"/>
      <c r="AG876" s="7" t="n"/>
      <c r="AH876" s="7" t="n"/>
      <c r="AI876" s="7" t="n"/>
      <c r="AJ876" s="7" t="n"/>
      <c r="AK876" s="7" t="n"/>
      <c r="AL876" s="7" t="n"/>
      <c r="AM876" s="7" t="n">
        <v>876</v>
      </c>
      <c r="AN876" s="10" t="n"/>
      <c r="AO876" s="10" t="n"/>
      <c r="AP876" s="10" t="n"/>
      <c r="AQ876" s="10" t="n"/>
    </row>
    <row r="877">
      <c r="A877" s="7" t="inlineStr">
        <is>
          <t>b7-0062</t>
        </is>
      </c>
      <c r="B877" s="7" t="inlineStr">
        <is>
          <t>Point</t>
        </is>
      </c>
      <c r="C877" s="7" t="n"/>
      <c r="D877" s="7" t="inlineStr">
        <is>
          <t>885 C.E.</t>
        </is>
      </c>
      <c r="E877" s="7" t="inlineStr">
        <is>
          <t>பொ.ச. 885</t>
        </is>
      </c>
      <c r="F877" s="7" t="inlineStr">
        <is>
          <t>885 CE</t>
        </is>
      </c>
      <c r="G877" s="7" t="inlineStr">
        <is>
          <t>Exact</t>
        </is>
      </c>
      <c r="H877" s="7" t="n"/>
      <c r="I877" s="7" t="n"/>
      <c r="J877" s="7" t="n"/>
      <c r="K877" s="2" t="inlineStr">
        <is>
          <t>Methodius dies; disciples expelled from Moravia</t>
        </is>
      </c>
      <c r="L877" s="2" t="inlineStr">
        <is>
          <t>பொ.ச. 885-⁠ல் மெத்தோடியஸின் மரணத்திற்குப்பின், ஃப்ரான்கிய எதிரிகள் இவருடைய சீஷர்களை மொராவியாவிலிருந்து வெளியேற்றினர்</t>
        </is>
      </c>
      <c r="M877" s="7" t="inlineStr">
        <is>
          <t>After Methodius died in 885 C.E., his disciples were expelled from Moravia and took refuge in Bohemia, southern Poland, and Bulgaria, spreading the Slavonic written language.</t>
        </is>
      </c>
      <c r="N877" s="7" t="inlineStr">
        <is>
          <t>பொ.ச. 885-⁠ல் மெத்தோடியஸின் மரணத்திற்குப்பின், ஃப்ரான்கிய எதிரிகள் இவருடைய சீஷர்களை மொராவியாவிலிருந்து வெளியேற்றினர்.</t>
        </is>
      </c>
      <c r="O877" s="12" t="inlineStr">
        <is>
          <t>Bible &amp; church history</t>
        </is>
      </c>
      <c r="P877" s="7" t="inlineStr">
        <is>
          <t>history.bible_translation</t>
        </is>
      </c>
      <c r="Q877" s="7" t="inlineStr">
        <is>
          <t>death</t>
        </is>
      </c>
      <c r="R877" s="7" t="inlineStr">
        <is>
          <t>Methodius</t>
        </is>
      </c>
      <c r="S877" s="7" t="inlineStr">
        <is>
          <t>Moravia; Bulgaria</t>
        </is>
      </c>
      <c r="T877" s="7" t="n"/>
      <c r="U877" s="7" t="n"/>
      <c r="V877" s="7" t="n">
        <v>1</v>
      </c>
      <c r="W877" s="7" t="inlineStr">
        <is>
          <t>Cyril and Methodius—Bible Translators Who Invented an Alphabet</t>
        </is>
      </c>
      <c r="X877" s="9" t="inlineStr">
        <is>
          <t>open</t>
        </is>
      </c>
      <c r="Y877" s="9" t="inlineStr">
        <is>
          <t>open</t>
        </is>
      </c>
      <c r="Z877" s="7" t="inlineStr">
        <is>
          <t>https://wol.jw.org/en/wol/d/r1/lp-e/2001166#h=27</t>
        </is>
      </c>
      <c r="AA877" s="7" t="n">
        <v>0</v>
      </c>
      <c r="AB877" s="7" t="n"/>
      <c r="AC877" s="7" t="n">
        <v>0</v>
      </c>
      <c r="AD877" s="7" t="n"/>
      <c r="AE877" s="7" t="n"/>
      <c r="AF877" s="7" t="n"/>
      <c r="AG877" s="7" t="n"/>
      <c r="AH877" s="7" t="n"/>
      <c r="AI877" s="7" t="n"/>
      <c r="AJ877" s="7" t="n"/>
      <c r="AK877" s="7" t="n"/>
      <c r="AL877" s="7" t="n"/>
      <c r="AM877" s="7" t="n">
        <v>885</v>
      </c>
      <c r="AN877" s="10" t="n"/>
      <c r="AO877" s="10" t="n"/>
      <c r="AP877" s="10" t="n"/>
      <c r="AQ877" s="10" t="n"/>
    </row>
    <row r="878">
      <c r="A878" s="7" t="inlineStr">
        <is>
          <t>b7-0063</t>
        </is>
      </c>
      <c r="B878" s="7" t="inlineStr">
        <is>
          <t>Point</t>
        </is>
      </c>
      <c r="C878" s="7" t="n"/>
      <c r="D878" s="7" t="inlineStr">
        <is>
          <t>c. 895 C.E.</t>
        </is>
      </c>
      <c r="E878" s="7" t="inlineStr">
        <is>
          <t>பொ.ச. 895</t>
        </is>
      </c>
      <c r="F878" s="7" t="inlineStr">
        <is>
          <t>895 CE</t>
        </is>
      </c>
      <c r="G878" s="7" t="inlineStr">
        <is>
          <t>Approx. (c.)</t>
        </is>
      </c>
      <c r="H878" s="7" t="n"/>
      <c r="I878" s="7" t="n"/>
      <c r="J878" s="7" t="n"/>
      <c r="K878" s="2" t="inlineStr">
        <is>
          <t>Cairo Karaite Codex of the Prophets completed by Moses ben Asher</t>
        </is>
      </c>
      <c r="L878" s="2" t="inlineStr">
        <is>
          <t>தேதி பொ.ச. 895</t>
        </is>
      </c>
      <c r="M878" s="7" t="inlineStr">
        <is>
          <t>The Cairo Karaite Codex of the Prophets, with Masora and vocalization, was completed in about 895 C.E. by the noted Masorete Moses ben Asher of Tiberias.</t>
        </is>
      </c>
      <c r="N878" s="7" t="inlineStr">
        <is>
          <t>தேதி பொ.ச. 895</t>
        </is>
      </c>
      <c r="O878" s="12" t="inlineStr">
        <is>
          <t>Bible &amp; church history</t>
        </is>
      </c>
      <c r="P878" s="7" t="inlineStr">
        <is>
          <t>history.bible_preservation</t>
        </is>
      </c>
      <c r="Q878" s="7" t="inlineStr">
        <is>
          <t>manuscript</t>
        </is>
      </c>
      <c r="R878" s="7" t="inlineStr">
        <is>
          <t>Moses ben Asher</t>
        </is>
      </c>
      <c r="S878" s="7" t="n"/>
      <c r="T878" s="7" t="n"/>
      <c r="U878" s="7" t="n"/>
      <c r="V878" s="7" t="n">
        <v>2</v>
      </c>
      <c r="W878" s="7" t="inlineStr">
        <is>
          <t>Manuscripts of the Bible</t>
        </is>
      </c>
      <c r="X878" s="9" t="inlineStr">
        <is>
          <t>open</t>
        </is>
      </c>
      <c r="Y878" s="7" t="n"/>
      <c r="Z878" s="7" t="inlineStr">
        <is>
          <t>https://wol.jw.org/en/wol/d/r1/lp-e/1200002893#h=23
https://wol.jw.org/en/wol/d/r1/lp-e/1101990132#h=211</t>
        </is>
      </c>
      <c r="AA878" s="7" t="n">
        <v>0</v>
      </c>
      <c r="AB878" s="7" t="n"/>
      <c r="AC878" s="7" t="n">
        <v>0</v>
      </c>
      <c r="AD878" s="7" t="n"/>
      <c r="AE878" s="7" t="n"/>
      <c r="AF878" s="7" t="n"/>
      <c r="AG878" s="7" t="n"/>
      <c r="AH878" s="7" t="n"/>
      <c r="AI878" s="7" t="n"/>
      <c r="AJ878" s="7" t="n"/>
      <c r="AK878" s="7" t="n"/>
      <c r="AL878" s="7" t="n"/>
      <c r="AM878" s="7" t="n">
        <v>895</v>
      </c>
      <c r="AN878" s="10" t="n"/>
      <c r="AO878" s="10" t="n"/>
      <c r="AP878" s="10" t="n"/>
      <c r="AQ878" s="10" t="n"/>
    </row>
    <row r="879">
      <c r="A879" s="7" t="inlineStr">
        <is>
          <t>b7-0064</t>
        </is>
      </c>
      <c r="B879" s="7" t="inlineStr">
        <is>
          <t>Point</t>
        </is>
      </c>
      <c r="C879" s="7" t="n"/>
      <c r="D879" s="7" t="inlineStr">
        <is>
          <t>916 C.E.</t>
        </is>
      </c>
      <c r="E879" s="7" t="inlineStr">
        <is>
          <t>பொ.ச. 916</t>
        </is>
      </c>
      <c r="F879" s="7" t="inlineStr">
        <is>
          <t>916 CE</t>
        </is>
      </c>
      <c r="G879" s="7" t="inlineStr">
        <is>
          <t>Exact</t>
        </is>
      </c>
      <c r="H879" s="7" t="n"/>
      <c r="I879" s="7" t="n"/>
      <c r="J879" s="7" t="n"/>
      <c r="K879" s="2" t="inlineStr">
        <is>
          <t>Petersburg Codex of the Latter Prophets</t>
        </is>
      </c>
      <c r="L879" s="2" t="n"/>
      <c r="M879" s="7" t="inlineStr">
        <is>
          <t>The Petersburg Codex of the Latter Prophets, of 916 C.E., exhibits the Babylonian system of vowel pointing and is preserved in St. Petersburg.</t>
        </is>
      </c>
      <c r="N879" s="7" t="inlineStr">
        <is>
          <t>பொ.ச. 916-⁠ல் எழுதப்பட்ட தீர்க்கதரிசிகளின் பீட்டர்ஸ்பர்க் கோடக்ஸில், இந்த பாபிலோனிய குறியீட்டு முறையை பயன்படுத்தியிருக்கின்றனர்; இந்த கையெழுத்துப்பிரதி, ரஷ்யாவின் லெனின்கிராட் பொது நூல் நிலையத்தில் பாதுகாக்கப்படுகிறது.</t>
        </is>
      </c>
      <c r="O879" s="12" t="inlineStr">
        <is>
          <t>Bible &amp; church history</t>
        </is>
      </c>
      <c r="P879" s="7" t="inlineStr">
        <is>
          <t>history.bible_preservation</t>
        </is>
      </c>
      <c r="Q879" s="7" t="inlineStr">
        <is>
          <t>manuscript</t>
        </is>
      </c>
      <c r="R879" s="7" t="n"/>
      <c r="S879" s="7" t="inlineStr">
        <is>
          <t>St. Petersburg</t>
        </is>
      </c>
      <c r="T879" s="7" t="n"/>
      <c r="U879" s="7" t="n"/>
      <c r="V879" s="7" t="n">
        <v>2</v>
      </c>
      <c r="W879" s="7" t="inlineStr">
        <is>
          <t>Manuscripts of the Bible</t>
        </is>
      </c>
      <c r="X879" s="9" t="inlineStr">
        <is>
          <t>open</t>
        </is>
      </c>
      <c r="Y879" s="7" t="n"/>
      <c r="Z879" s="7" t="inlineStr">
        <is>
          <t>https://wol.jw.org/en/wol/d/r1/lp-e/1200002893#h=23
https://wol.jw.org/en/wol/d/r1/lp-e/1101990132#h=29</t>
        </is>
      </c>
      <c r="AA879" s="7" t="n">
        <v>0</v>
      </c>
      <c r="AB879" s="7" t="n"/>
      <c r="AC879" s="7" t="n">
        <v>0</v>
      </c>
      <c r="AD879" s="7" t="n"/>
      <c r="AE879" s="7" t="n"/>
      <c r="AF879" s="7" t="n"/>
      <c r="AG879" s="7" t="n"/>
      <c r="AH879" s="7" t="n"/>
      <c r="AI879" s="7" t="n"/>
      <c r="AJ879" s="7" t="n"/>
      <c r="AK879" s="7" t="n"/>
      <c r="AL879" s="7" t="n"/>
      <c r="AM879" s="7" t="n">
        <v>916</v>
      </c>
      <c r="AN879" s="10" t="n"/>
      <c r="AO879" s="10" t="n"/>
      <c r="AP879" s="10" t="n"/>
      <c r="AQ879" s="10" t="n"/>
    </row>
    <row r="880">
      <c r="A880" s="7" t="inlineStr">
        <is>
          <t>b7-0065</t>
        </is>
      </c>
      <c r="B880" s="7" t="inlineStr">
        <is>
          <t>Point</t>
        </is>
      </c>
      <c r="C880" s="7" t="n"/>
      <c r="D880" s="7" t="inlineStr">
        <is>
          <t>c. 930 C.E.</t>
        </is>
      </c>
      <c r="E880" s="7" t="inlineStr">
        <is>
          <t>சுமார் கி.பி. 930</t>
        </is>
      </c>
      <c r="F880" s="7" t="inlineStr">
        <is>
          <t>930 CE</t>
        </is>
      </c>
      <c r="G880" s="7" t="inlineStr">
        <is>
          <t>Approx. (c.)</t>
        </is>
      </c>
      <c r="H880" s="7" t="n"/>
      <c r="I880" s="7" t="n"/>
      <c r="J880" s="7" t="n"/>
      <c r="K880" s="2" t="inlineStr">
        <is>
          <t>Aleppo Codex pointed and annotated by Aaron ben Asher</t>
        </is>
      </c>
      <c r="L880" s="2" t="n"/>
      <c r="M880" s="7" t="inlineStr">
        <is>
          <t>The Aleppo Codex, an important Hebrew Masoretic manuscript, was corrected, punctuated, and furnished with the Masora about 930 C.E. by Aaron ben Asher. Until 1947 it contained the entire Hebrew Scriptures.</t>
        </is>
      </c>
      <c r="N880" s="7" t="inlineStr">
        <is>
          <t>சுமார் கி.பி. 930-ஐச் சேர்ந்த முக்கியமான எபிரெய மசோரெட்டிக் கையெழுத்துப் பிரதியான அலெப்போ கோடெக்சில் இருக்கும் ஏசாயா 40-வது அதிகாரம்</t>
        </is>
      </c>
      <c r="O880" s="12" t="inlineStr">
        <is>
          <t>Bible &amp; church history</t>
        </is>
      </c>
      <c r="P880" s="7" t="inlineStr">
        <is>
          <t>history.bible_preservation</t>
        </is>
      </c>
      <c r="Q880" s="7" t="inlineStr">
        <is>
          <t>manuscript</t>
        </is>
      </c>
      <c r="R880" s="7" t="inlineStr">
        <is>
          <t>Aaron ben Asher</t>
        </is>
      </c>
      <c r="S880" s="7" t="inlineStr">
        <is>
          <t>Aleppo</t>
        </is>
      </c>
      <c r="T880" s="7" t="n"/>
      <c r="U880" s="7" t="n"/>
      <c r="V880" s="7" t="n">
        <v>4</v>
      </c>
      <c r="W880" s="7" t="inlineStr">
        <is>
          <t>A3 How the Bible Came to Us</t>
        </is>
      </c>
      <c r="X880" s="9" t="inlineStr">
        <is>
          <t>open</t>
        </is>
      </c>
      <c r="Y880" s="9" t="inlineStr">
        <is>
          <t>open</t>
        </is>
      </c>
      <c r="Z880" s="7" t="inlineStr">
        <is>
          <t>https://wol.jw.org/en/wol/d/r1/lp-e/1001070203#h=30
https://wol.jw.org/en/wol/d/r1/lp-e/1200002893#h=23
https://wol.jw.org/en/wol/d/r1/lp-e/1101990132#h=199
https://wol.jw.org/en/wol/d/r1/lp-e/1200000756#h=26</t>
        </is>
      </c>
      <c r="AA880" s="7" t="n">
        <v>2</v>
      </c>
      <c r="AB880" s="9" t="inlineStr">
        <is>
          <t>open</t>
        </is>
      </c>
      <c r="AC880" s="7" t="n">
        <v>0</v>
      </c>
      <c r="AD880" s="7" t="n"/>
      <c r="AE880" s="7" t="n"/>
      <c r="AF880" s="7" t="n"/>
      <c r="AG880" s="7" t="n"/>
      <c r="AH880" s="7" t="n"/>
      <c r="AI880" s="7" t="n"/>
      <c r="AJ880" s="7" t="n"/>
      <c r="AK880" s="7" t="inlineStr">
        <is>
          <t>how-the-bible-came-to-us #23 (item)</t>
        </is>
      </c>
      <c r="AL880" s="7" t="n"/>
      <c r="AM880" s="7" t="n">
        <v>930</v>
      </c>
      <c r="AN880" s="10" t="n"/>
      <c r="AO880" s="10" t="n"/>
      <c r="AP880" s="10" t="n"/>
      <c r="AQ880" s="10" t="n"/>
    </row>
    <row r="881">
      <c r="A881" s="7" t="inlineStr">
        <is>
          <t>b7-0066</t>
        </is>
      </c>
      <c r="B881" s="7" t="inlineStr">
        <is>
          <t>Point</t>
        </is>
      </c>
      <c r="C881" s="7" t="n"/>
      <c r="D881" s="7" t="inlineStr">
        <is>
          <t>1008 C.E.</t>
        </is>
      </c>
      <c r="E881" s="7" t="inlineStr">
        <is>
          <t>கி.பி. 1008/1009</t>
        </is>
      </c>
      <c r="F881" s="7" t="inlineStr">
        <is>
          <t>1008 CE</t>
        </is>
      </c>
      <c r="G881" s="7" t="inlineStr">
        <is>
          <t>Exact</t>
        </is>
      </c>
      <c r="H881" s="7" t="n"/>
      <c r="I881" s="7" t="n"/>
      <c r="J881" s="7" t="n"/>
      <c r="K881" s="2" t="inlineStr">
        <is>
          <t>Leningrad Codex copied — oldest complete Masoretic manuscript</t>
        </is>
      </c>
      <c r="L881" s="2" t="inlineStr">
        <is>
          <t>இது கி.பி. 1008/1009-ஆம் வருஷத்தைச் சேர்ந்தது</t>
        </is>
      </c>
      <c r="M881" s="7" t="inlineStr">
        <is>
          <t>The Leningrad Manuscript No. B 19A, the oldest dated manuscript of the complete Hebrew Scriptures, was copied in 1008 C.E. It is the base text of modern critical editions used for the New World Translation.</t>
        </is>
      </c>
      <c r="N881" s="7" t="inlineStr">
        <is>
          <t>இது கி.பி. 1008/1009-ஆம் வருஷத்தைச் சேர்ந்தது.</t>
        </is>
      </c>
      <c r="O881" s="12" t="inlineStr">
        <is>
          <t>Bible &amp; church history</t>
        </is>
      </c>
      <c r="P881" s="7" t="inlineStr">
        <is>
          <t>history.bible_preservation</t>
        </is>
      </c>
      <c r="Q881" s="7" t="inlineStr">
        <is>
          <t>manuscript</t>
        </is>
      </c>
      <c r="R881" s="7" t="n"/>
      <c r="S881" s="7" t="inlineStr">
        <is>
          <t>St. Petersburg</t>
        </is>
      </c>
      <c r="T881" s="7" t="n"/>
      <c r="U881" s="7" t="n"/>
      <c r="V881" s="7" t="n">
        <v>3</v>
      </c>
      <c r="W881" s="7" t="inlineStr">
        <is>
          <t>A3 How the Bible Came to Us</t>
        </is>
      </c>
      <c r="X881" s="9" t="inlineStr">
        <is>
          <t>open</t>
        </is>
      </c>
      <c r="Y881" s="9" t="inlineStr">
        <is>
          <t>open</t>
        </is>
      </c>
      <c r="Z881" s="7" t="inlineStr">
        <is>
          <t>https://wol.jw.org/en/wol/d/r1/lp-e/1001070203#h=8
https://wol.jw.org/en/wol/d/r1/lp-e/1200002893#h=23
https://wol.jw.org/en/wol/d/r1/lp-e/1101990132#h=218</t>
        </is>
      </c>
      <c r="AA881" s="7" t="n">
        <v>0</v>
      </c>
      <c r="AB881" s="7" t="n"/>
      <c r="AC881" s="7" t="n">
        <v>1</v>
      </c>
      <c r="AD881" s="7" t="inlineStr">
        <is>
          <t>NWT Study Edition App. A3 dates the Leningrad Codex 1008/1009 C.E.; Insight says copied in 1008 C.E.</t>
        </is>
      </c>
      <c r="AE881" s="7" t="n"/>
      <c r="AF881" s="7" t="n"/>
      <c r="AG881" s="7" t="n"/>
      <c r="AH881" s="7" t="n"/>
      <c r="AI881" s="7" t="n"/>
      <c r="AJ881" s="7" t="n"/>
      <c r="AK881" s="7" t="inlineStr">
        <is>
          <t>how-the-bible-came-to-us #24 (item)</t>
        </is>
      </c>
      <c r="AL881" s="7" t="n"/>
      <c r="AM881" s="7" t="n">
        <v>1008</v>
      </c>
      <c r="AN881" s="10" t="n"/>
      <c r="AO881" s="10" t="n"/>
      <c r="AP881" s="10" t="n"/>
      <c r="AQ881" s="10" t="n"/>
    </row>
    <row r="882">
      <c r="A882" s="7" t="inlineStr">
        <is>
          <t>b7-0067</t>
        </is>
      </c>
      <c r="B882" s="7" t="inlineStr">
        <is>
          <t>Point</t>
        </is>
      </c>
      <c r="C882" s="7" t="n"/>
      <c r="D882" s="7" t="inlineStr">
        <is>
          <t>1054 C.E.</t>
        </is>
      </c>
      <c r="E882" s="7" t="inlineStr">
        <is>
          <t>1054</t>
        </is>
      </c>
      <c r="F882" s="7" t="inlineStr">
        <is>
          <t>1054 CE</t>
        </is>
      </c>
      <c r="G882" s="7" t="inlineStr">
        <is>
          <t>Exact</t>
        </is>
      </c>
      <c r="H882" s="7" t="n"/>
      <c r="I882" s="7" t="n"/>
      <c r="J882" s="7" t="n"/>
      <c r="K882" s="2" t="inlineStr">
        <is>
          <t>Final break between Eastern and Western churches</t>
        </is>
      </c>
      <c r="L882" s="2" t="n"/>
      <c r="M882" s="7" t="inlineStr">
        <is>
          <t>In 1054 the pope's representative excommunicated the patriarch of Constantinople, who cursed the pope in return. The split led to the Eastern Orthodox Churches and the division between Roman Catholicism and Eastern Orthodoxy.</t>
        </is>
      </c>
      <c r="N882" s="7" t="inlineStr">
        <is>
          <t>(மனிதனின் மதங்கள்) கான்ஸ்டான்டிநோப்பிளில் இருந்த ஒரு தலைமை குருவை 1054-ஆம் ஆண்டில் போப்பின் பிரதிநிதி திருச்சபையிலிருந்து நீக்கினார், அவரோ பதிலுக்கு போப்பை சபித்தார்.</t>
        </is>
      </c>
      <c r="O882" s="12" t="inlineStr">
        <is>
          <t>Bible &amp; church history</t>
        </is>
      </c>
      <c r="P882" s="7" t="inlineStr">
        <is>
          <t>history.apostasy</t>
        </is>
      </c>
      <c r="Q882" s="7" t="inlineStr">
        <is>
          <t>schism</t>
        </is>
      </c>
      <c r="R882" s="7" t="n"/>
      <c r="S882" s="7" t="inlineStr">
        <is>
          <t>Constantinople; Rome</t>
        </is>
      </c>
      <c r="T882" s="7" t="n"/>
      <c r="U882" s="7" t="n"/>
      <c r="V882" s="7" t="n">
        <v>3</v>
      </c>
      <c r="W882" s="7" t="inlineStr">
        <is>
          <t>Apostasy—The Way to God Blocked</t>
        </is>
      </c>
      <c r="X882" s="9" t="inlineStr">
        <is>
          <t>open</t>
        </is>
      </c>
      <c r="Y882" s="9" t="inlineStr">
        <is>
          <t>open</t>
        </is>
      </c>
      <c r="Z882" s="7" t="inlineStr">
        <is>
          <t>https://wol.jw.org/en/wol/d/r1/lp-e/1101990043#h=43
https://wol.jw.org/en/wol/d/r1/lp-e/102011443#h=7
https://wol.jw.org/en/wol/d/r1/lp-e/101997724#h=10</t>
        </is>
      </c>
      <c r="AA882" s="7" t="n">
        <v>0</v>
      </c>
      <c r="AB882" s="7" t="n"/>
      <c r="AC882" s="7" t="n">
        <v>0</v>
      </c>
      <c r="AD882" s="7" t="n"/>
      <c r="AE882" s="7" t="n"/>
      <c r="AF882" s="7" t="n"/>
      <c r="AG882" s="7" t="n"/>
      <c r="AH882" s="7" t="n"/>
      <c r="AI882" s="7" t="n"/>
      <c r="AJ882" s="7" t="n"/>
      <c r="AK882" s="7" t="n"/>
      <c r="AL882" s="7" t="n"/>
      <c r="AM882" s="7" t="n">
        <v>1054</v>
      </c>
      <c r="AN882" s="10" t="n"/>
      <c r="AO882" s="10" t="n"/>
      <c r="AP882" s="10" t="n"/>
      <c r="AQ882" s="10" t="n"/>
    </row>
    <row r="883">
      <c r="A883" s="7" t="inlineStr">
        <is>
          <t>b7-0068</t>
        </is>
      </c>
      <c r="B883" s="7" t="inlineStr">
        <is>
          <t>Point</t>
        </is>
      </c>
      <c r="C883" s="7" t="n"/>
      <c r="D883" s="7" t="inlineStr">
        <is>
          <t>1079 C.E.</t>
        </is>
      </c>
      <c r="E883" s="7" t="inlineStr">
        <is>
          <t>1079</t>
        </is>
      </c>
      <c r="F883" s="7" t="inlineStr">
        <is>
          <t>1079 CE</t>
        </is>
      </c>
      <c r="G883" s="7" t="inlineStr">
        <is>
          <t>Exact</t>
        </is>
      </c>
      <c r="H883" s="7" t="n"/>
      <c r="I883" s="7" t="n"/>
      <c r="J883" s="7" t="n"/>
      <c r="K883" s="2" t="inlineStr">
        <is>
          <t>Pope Gregory VII bans the vernacular (Slavonic) Scriptures</t>
        </is>
      </c>
      <c r="L883" s="2" t="inlineStr">
        <is>
          <t>பொ.ச. 1079-ல் பிராந்திய மொழியில்பைபிளுக்கு எதிரான உத்தரவு</t>
        </is>
      </c>
      <c r="M883" s="7" t="inlineStr">
        <is>
          <t>In 1079, replying to Duke Vratislaus of Bohemia, Pope Gregory VII refused permission to use Slavonic in church services, writing that it pleased God that Scripture be "a secret in certain places." It was the first of many medieval edicts against vernacular versions.</t>
        </is>
      </c>
      <c r="N883" s="7" t="inlineStr">
        <is>
          <t>1079-ல், ஏழாவது போப் க்ரிகரி, தாய் மொழியில் பைபிளை தயாரிப்பதையும் சிலசமயங்களில் அவற்றை வைத்திருப்பதையும்கூட தடைசெய்யும் சர்ச்சின் இடைக்கால உத்தரவுகள் பலவற்றில் முதலாவதானதைப் பிறப்பித்தார்.</t>
        </is>
      </c>
      <c r="O883" s="12" t="inlineStr">
        <is>
          <t>Bible &amp; church history</t>
        </is>
      </c>
      <c r="P883" s="7" t="inlineStr">
        <is>
          <t>history.apostasy</t>
        </is>
      </c>
      <c r="Q883" s="7" t="inlineStr">
        <is>
          <t>decree</t>
        </is>
      </c>
      <c r="R883" s="7" t="inlineStr">
        <is>
          <t>Gregory VII; Vratislaus</t>
        </is>
      </c>
      <c r="S883" s="7" t="inlineStr">
        <is>
          <t>Bohemia</t>
        </is>
      </c>
      <c r="T883" s="7" t="n"/>
      <c r="U883" s="7" t="n"/>
      <c r="V883" s="7" t="n">
        <v>3</v>
      </c>
      <c r="W883" s="7" t="inlineStr">
        <is>
          <t>Part One—How the Bible Came to Us</t>
        </is>
      </c>
      <c r="X883" s="9" t="inlineStr">
        <is>
          <t>open</t>
        </is>
      </c>
      <c r="Y883" s="9" t="inlineStr">
        <is>
          <t>open</t>
        </is>
      </c>
      <c r="Z883" s="7" t="inlineStr">
        <is>
          <t>https://wol.jw.org/en/wol/d/r1/lp-e/1997603#h=24
https://wol.jw.org/en/wol/d/r1/lp-e/1997603#h=58
https://wol.jw.org/en/wol/d/r1/lp-e/102011443#h=9</t>
        </is>
      </c>
      <c r="AA883" s="7" t="n">
        <v>0</v>
      </c>
      <c r="AB883" s="7" t="n"/>
      <c r="AC883" s="7" t="n">
        <v>0</v>
      </c>
      <c r="AD883" s="7" t="n"/>
      <c r="AE883" s="7" t="n"/>
      <c r="AF883" s="7" t="n"/>
      <c r="AG883" s="7" t="n"/>
      <c r="AH883" s="7" t="n"/>
      <c r="AI883" s="7" t="n"/>
      <c r="AJ883" s="7" t="n"/>
      <c r="AK883" s="7" t="n"/>
      <c r="AL883" s="7" t="n"/>
      <c r="AM883" s="7" t="n">
        <v>1079</v>
      </c>
      <c r="AN883" s="10" t="n"/>
      <c r="AO883" s="10" t="n"/>
      <c r="AP883" s="10" t="n"/>
      <c r="AQ883" s="10" t="n"/>
    </row>
    <row r="884">
      <c r="A884" s="7" t="inlineStr">
        <is>
          <t>b7-0069</t>
        </is>
      </c>
      <c r="B884" s="7" t="inlineStr">
        <is>
          <t>Point</t>
        </is>
      </c>
      <c r="C884" s="7" t="n"/>
      <c r="D884" s="7" t="inlineStr">
        <is>
          <t>1095 C.E., November 27</t>
        </is>
      </c>
      <c r="E884" s="7" t="inlineStr">
        <is>
          <t>1095</t>
        </is>
      </c>
      <c r="F884" s="7" t="inlineStr">
        <is>
          <t>1095 CE</t>
        </is>
      </c>
      <c r="G884" s="7" t="inlineStr">
        <is>
          <t>Exact</t>
        </is>
      </c>
      <c r="H884" s="7" t="n"/>
      <c r="I884" s="7" t="n"/>
      <c r="J884" s="7" t="n"/>
      <c r="K884" s="2" t="inlineStr">
        <is>
          <t>Pope Urban II launches the Crusade appeal at Clermont</t>
        </is>
      </c>
      <c r="L884" s="2" t="inlineStr">
        <is>
          <t>நவம்பர் 27, 1095-ல் பிரான்ஸிலுள்ள கிளர்மான்டில் நடைபெற்ற ஒரு அவைக்கு முன்பாக அர்பன் தன்னுடைய அழைப்பாணையை விடுத்தார்</t>
        </is>
      </c>
      <c r="M884" s="7" t="inlineStr">
        <is>
          <t>On November 27, 1095, before a council at Clermont, France, Pope Urban II appealed for a war against the Muslims, promising remission of sins to those who died on the way or in battle.</t>
        </is>
      </c>
      <c r="N884" s="7" t="inlineStr">
        <is>
          <t>நவம்பர் 27, 1095-ல் பிரான்ஸிலுள்ள கிளர்மான்டில் நடைபெற்ற ஒரு அவைக்கு முன்பாக அர்பன் தன்னுடைய அழைப்பாணையை விடுத்தார்.</t>
        </is>
      </c>
      <c r="O884" s="12" t="inlineStr">
        <is>
          <t>Bible &amp; church history</t>
        </is>
      </c>
      <c r="P884" s="7" t="inlineStr">
        <is>
          <t>history.apostasy</t>
        </is>
      </c>
      <c r="Q884" s="7" t="inlineStr">
        <is>
          <t>decree</t>
        </is>
      </c>
      <c r="R884" s="7" t="inlineStr">
        <is>
          <t>Urban II</t>
        </is>
      </c>
      <c r="S884" s="7" t="inlineStr">
        <is>
          <t>Clermont</t>
        </is>
      </c>
      <c r="T884" s="7" t="n"/>
      <c r="U884" s="7" t="n"/>
      <c r="V884" s="7" t="n">
        <v>1</v>
      </c>
      <c r="W884" s="7" t="inlineStr">
        <is>
          <t>The Crusades—A ‘Tragic Illusion’</t>
        </is>
      </c>
      <c r="X884" s="9" t="inlineStr">
        <is>
          <t>open</t>
        </is>
      </c>
      <c r="Y884" s="9" t="inlineStr">
        <is>
          <t>open</t>
        </is>
      </c>
      <c r="Z884" s="7" t="inlineStr">
        <is>
          <t>https://wol.jw.org/en/wol/d/r1/lp-e/101997724#h=13</t>
        </is>
      </c>
      <c r="AA884" s="7" t="n">
        <v>0</v>
      </c>
      <c r="AB884" s="7" t="n"/>
      <c r="AC884" s="7" t="n">
        <v>0</v>
      </c>
      <c r="AD884" s="7" t="n"/>
      <c r="AE884" s="7" t="n"/>
      <c r="AF884" s="7" t="n"/>
      <c r="AG884" s="7" t="n"/>
      <c r="AH884" s="7" t="n"/>
      <c r="AI884" s="7" t="n"/>
      <c r="AJ884" s="7" t="n"/>
      <c r="AK884" s="7" t="n"/>
      <c r="AL884" s="7" t="n"/>
      <c r="AM884" s="7" t="n">
        <v>1095.9032</v>
      </c>
      <c r="AN884" s="10" t="n"/>
      <c r="AO884" s="10" t="n"/>
      <c r="AP884" s="10" t="n"/>
      <c r="AQ884" s="10" t="n"/>
    </row>
    <row r="885">
      <c r="A885" s="7" t="inlineStr">
        <is>
          <t>b7-0070</t>
        </is>
      </c>
      <c r="B885" s="7" t="inlineStr">
        <is>
          <t>Point</t>
        </is>
      </c>
      <c r="C885" s="7" t="n"/>
      <c r="D885" s="7" t="inlineStr">
        <is>
          <t>1096 C.E.</t>
        </is>
      </c>
      <c r="E885" s="7" t="inlineStr">
        <is>
          <t>1096</t>
        </is>
      </c>
      <c r="F885" s="7" t="inlineStr">
        <is>
          <t>1096 CE</t>
        </is>
      </c>
      <c r="G885" s="7" t="inlineStr">
        <is>
          <t>Exact</t>
        </is>
      </c>
      <c r="H885" s="7" t="n"/>
      <c r="I885" s="7" t="n"/>
      <c r="J885" s="7" t="n"/>
      <c r="K885" s="2" t="inlineStr">
        <is>
          <t>First Crusade sets out</t>
        </is>
      </c>
      <c r="L885" s="2" t="inlineStr">
        <is>
          <t>ஏறக்குறைய தொளாயிரம் ஆண்டுகளுக்கு முன்பு, 1096-ல், முதலாவது சிலுவைப் போர் ஆரம்பிக்கும் தறுவாயில் இருந்தது</t>
        </is>
      </c>
      <c r="M885" s="7" t="inlineStr">
        <is>
          <t>In 1096 the First Crusade began, the first of eight major Crusades accompanied by massacres committed in the name of God and Christ. A mob led by Peter the Hermit left Cologne on April 20, 1096; the official departure date was August 15, 1096.</t>
        </is>
      </c>
      <c r="N885" s="7" t="inlineStr">
        <is>
          <t>ஏறக்குறைய தொளாயிரம் ஆண்டுகளுக்கு முன்பு, 1096-ல், முதலாவது சிலுவைப் போர் ஆரம்பிக்கும் தறுவாயில் இருந்தது.</t>
        </is>
      </c>
      <c r="O885" s="12" t="inlineStr">
        <is>
          <t>Bible &amp; church history</t>
        </is>
      </c>
      <c r="P885" s="7" t="inlineStr">
        <is>
          <t>history.apostasy</t>
        </is>
      </c>
      <c r="Q885" s="7" t="inlineStr">
        <is>
          <t>war</t>
        </is>
      </c>
      <c r="R885" s="7" t="inlineStr">
        <is>
          <t>Peter the Hermit; Urban II</t>
        </is>
      </c>
      <c r="S885" s="7" t="n"/>
      <c r="T885" s="7" t="n"/>
      <c r="U885" s="7" t="n"/>
      <c r="V885" s="7" t="n">
        <v>2</v>
      </c>
      <c r="W885" s="7" t="inlineStr">
        <is>
          <t>The Crusades—A ‘Tragic Illusion’</t>
        </is>
      </c>
      <c r="X885" s="9" t="inlineStr">
        <is>
          <t>open</t>
        </is>
      </c>
      <c r="Y885" s="9" t="inlineStr">
        <is>
          <t>open</t>
        </is>
      </c>
      <c r="Z885" s="7" t="inlineStr">
        <is>
          <t>https://wol.jw.org/en/wol/d/r1/lp-e/101997724#h=3
https://wol.jw.org/en/wol/d/r1/lp-e/101997724#h=15</t>
        </is>
      </c>
      <c r="AA885" s="7" t="n">
        <v>0</v>
      </c>
      <c r="AB885" s="7" t="n"/>
      <c r="AC885" s="7" t="n">
        <v>0</v>
      </c>
      <c r="AD885" s="7" t="n"/>
      <c r="AE885" s="7" t="n"/>
      <c r="AF885" s="7" t="n"/>
      <c r="AG885" s="7" t="n"/>
      <c r="AH885" s="7" t="n"/>
      <c r="AI885" s="7" t="inlineStr">
        <is>
          <t>Span endpoint – keep</t>
        </is>
      </c>
      <c r="AJ885" s="7" t="inlineStr">
        <is>
          <t>start of The First Crusade (b12-0059); start of The Crusades (b12-0060)</t>
        </is>
      </c>
      <c r="AK885" s="7" t="n"/>
      <c r="AL885" s="7" t="n"/>
      <c r="AM885" s="7" t="n">
        <v>1096</v>
      </c>
      <c r="AN885" s="10" t="n"/>
      <c r="AO885" s="10" t="n"/>
      <c r="AP885" s="10" t="n"/>
      <c r="AQ885" s="10" t="n"/>
    </row>
    <row r="886">
      <c r="A886" s="7" t="inlineStr">
        <is>
          <t>b12-0059</t>
        </is>
      </c>
      <c r="B886" s="11" t="inlineStr">
        <is>
          <t>Span</t>
        </is>
      </c>
      <c r="C886" s="7" t="inlineStr">
        <is>
          <t>campaign</t>
        </is>
      </c>
      <c r="D886" s="7" t="inlineStr">
        <is>
          <t>1096–July 15, 1099</t>
        </is>
      </c>
      <c r="E886" s="7" t="n"/>
      <c r="F886" s="7" t="inlineStr">
        <is>
          <t>1096 CE</t>
        </is>
      </c>
      <c r="G886" s="7" t="inlineStr">
        <is>
          <t>Exact</t>
        </is>
      </c>
      <c r="H886" s="7" t="inlineStr">
        <is>
          <t>1099 CE</t>
        </is>
      </c>
      <c r="I886" s="7" t="inlineStr">
        <is>
          <t>Exact</t>
        </is>
      </c>
      <c r="J886" s="7" t="n"/>
      <c r="K886" s="2" t="inlineStr">
        <is>
          <t>The First Crusade</t>
        </is>
      </c>
      <c r="L886" s="2" t="n"/>
      <c r="M886" s="7" t="inlineStr">
        <is>
          <t>Crusader armies set out in 1096 and, after a long march, took Jerusalem on July 15, 1099, with a massacre of its inhabitants.</t>
        </is>
      </c>
      <c r="N886" s="7" t="inlineStr">
        <is>
          <t>ஜூலை 15, 1099-ல் ஜெரூசலம் சிலுவைப் போர் வீரர்களிடம் வீழ்ச்சியடைந்தது.</t>
        </is>
      </c>
      <c r="O886" s="12" t="inlineStr">
        <is>
          <t>Bible &amp; church history</t>
        </is>
      </c>
      <c r="P886" s="7" t="inlineStr">
        <is>
          <t>history.apostasy</t>
        </is>
      </c>
      <c r="Q886" s="7" t="n"/>
      <c r="R886" s="7" t="n"/>
      <c r="S886" s="7" t="inlineStr">
        <is>
          <t>Jerusalem</t>
        </is>
      </c>
      <c r="T886" s="7" t="n"/>
      <c r="U886" s="7" t="n"/>
      <c r="V886" s="7" t="n">
        <v>2</v>
      </c>
      <c r="W886" s="7" t="inlineStr">
        <is>
          <t>The Crusades—A ‘Tragic Illusion’</t>
        </is>
      </c>
      <c r="X886" s="9" t="inlineStr">
        <is>
          <t>open</t>
        </is>
      </c>
      <c r="Y886" s="9" t="inlineStr">
        <is>
          <t>open</t>
        </is>
      </c>
      <c r="Z886" s="7" t="inlineStr">
        <is>
          <t>https://wol.jw.org/en/wol/d/r1/lp-e/101997724
https://wol.jw.org/en/wol/d/r1/lp-e/101997724</t>
        </is>
      </c>
      <c r="AA886" s="7" t="n">
        <v>0</v>
      </c>
      <c r="AB886" s="7" t="n"/>
      <c r="AC886" s="7" t="n">
        <v>0</v>
      </c>
      <c r="AD886" s="7" t="n"/>
      <c r="AE886" s="7" t="n"/>
      <c r="AF886" s="7" t="inlineStr">
        <is>
          <t>b7-0070</t>
        </is>
      </c>
      <c r="AG886" s="7" t="inlineStr">
        <is>
          <t>b7-0071</t>
        </is>
      </c>
      <c r="AH886" s="7" t="inlineStr">
        <is>
          <t>b12-0060</t>
        </is>
      </c>
      <c r="AI886" s="7" t="n"/>
      <c r="AJ886" s="7" t="n"/>
      <c r="AK886" s="7" t="n"/>
      <c r="AL886" s="7" t="n"/>
      <c r="AM886" s="7" t="n">
        <v>1096</v>
      </c>
      <c r="AN886" s="10" t="n"/>
      <c r="AO886" s="10" t="n"/>
      <c r="AP886" s="10" t="n"/>
      <c r="AQ886" s="10" t="n"/>
    </row>
    <row r="887">
      <c r="A887" s="7" t="inlineStr">
        <is>
          <t>b12-0060</t>
        </is>
      </c>
      <c r="B887" s="11" t="inlineStr">
        <is>
          <t>Span</t>
        </is>
      </c>
      <c r="C887" s="7" t="inlineStr">
        <is>
          <t>war</t>
        </is>
      </c>
      <c r="D887" s="7" t="inlineStr">
        <is>
          <t>1096–1291</t>
        </is>
      </c>
      <c r="E887" s="7" t="n"/>
      <c r="F887" s="7" t="inlineStr">
        <is>
          <t>1096 CE</t>
        </is>
      </c>
      <c r="G887" s="7" t="inlineStr">
        <is>
          <t>Exact</t>
        </is>
      </c>
      <c r="H887" s="7" t="inlineStr">
        <is>
          <t>1291 CE</t>
        </is>
      </c>
      <c r="I887" s="7" t="inlineStr">
        <is>
          <t>Exact</t>
        </is>
      </c>
      <c r="J887" s="7" t="inlineStr">
        <is>
          <t>two centuries</t>
        </is>
      </c>
      <c r="K887" s="2" t="inlineStr">
        <is>
          <t>The Crusades</t>
        </is>
      </c>
      <c r="L887" s="2" t="n"/>
      <c r="M887" s="7" t="inlineStr">
        <is>
          <t>Launched by Pope Urban II, the Crusades were two centuries of so-called holy wars against the Muslims for control of Jerusalem, from the First Crusade in 1096 to the fall of Acre, the last crusader stronghold, in 1291.</t>
        </is>
      </c>
      <c r="N887" s="7" t="inlineStr">
        <is>
          <t>1291-ல் சிலுவைப் போர் வீரர்களின் கடைசி அரணான பட்டணமாகிய ஏக்கர் முஸ்லிம்களிடம் வீழ்ச்சியடைந்தது.</t>
        </is>
      </c>
      <c r="O887" s="12" t="inlineStr">
        <is>
          <t>Bible &amp; church history</t>
        </is>
      </c>
      <c r="P887" s="7" t="inlineStr">
        <is>
          <t>history.apostasy</t>
        </is>
      </c>
      <c r="Q887" s="7" t="n"/>
      <c r="R887" s="7" t="inlineStr">
        <is>
          <t>Urban II</t>
        </is>
      </c>
      <c r="S887" s="7" t="inlineStr">
        <is>
          <t>Jerusalem; Acre</t>
        </is>
      </c>
      <c r="T887" s="7" t="n"/>
      <c r="U887" s="7" t="n"/>
      <c r="V887" s="7" t="n">
        <v>3</v>
      </c>
      <c r="W887" s="7" t="inlineStr">
        <is>
          <t>The Crusades—A ‘Tragic Illusion’</t>
        </is>
      </c>
      <c r="X887" s="9" t="inlineStr">
        <is>
          <t>open</t>
        </is>
      </c>
      <c r="Y887" s="9" t="inlineStr">
        <is>
          <t>open</t>
        </is>
      </c>
      <c r="Z887" s="7" t="inlineStr">
        <is>
          <t>https://wol.jw.org/en/wol/d/r1/lp-e/101997724
https://wol.jw.org/en/wol/d/r1/lp-e/101997724
https://wol.jw.org/en/wol/d/r1/lp-e/101997724</t>
        </is>
      </c>
      <c r="AA887" s="7" t="n">
        <v>0</v>
      </c>
      <c r="AB887" s="7" t="n"/>
      <c r="AC887" s="7" t="n">
        <v>0</v>
      </c>
      <c r="AD887" s="7" t="n"/>
      <c r="AE887" s="7" t="n"/>
      <c r="AF887" s="7" t="inlineStr">
        <is>
          <t>b7-0070</t>
        </is>
      </c>
      <c r="AG887" s="7" t="inlineStr">
        <is>
          <t>b7-0083</t>
        </is>
      </c>
      <c r="AH887" s="7" t="n"/>
      <c r="AI887" s="7" t="n"/>
      <c r="AJ887" s="7" t="n"/>
      <c r="AK887" s="7" t="n"/>
      <c r="AL887" s="7" t="n"/>
      <c r="AM887" s="7" t="n">
        <v>1096</v>
      </c>
      <c r="AN887" s="10" t="n"/>
      <c r="AO887" s="10" t="n"/>
      <c r="AP887" s="10" t="n"/>
      <c r="AQ887" s="10" t="n"/>
    </row>
    <row r="888">
      <c r="A888" s="7" t="inlineStr">
        <is>
          <t>b7-0071</t>
        </is>
      </c>
      <c r="B888" s="7" t="inlineStr">
        <is>
          <t>Point</t>
        </is>
      </c>
      <c r="C888" s="7" t="n"/>
      <c r="D888" s="7" t="inlineStr">
        <is>
          <t>1099 C.E., July 15</t>
        </is>
      </c>
      <c r="E888" s="7" t="inlineStr">
        <is>
          <t>1099</t>
        </is>
      </c>
      <c r="F888" s="7" t="inlineStr">
        <is>
          <t>1099 CE</t>
        </is>
      </c>
      <c r="G888" s="7" t="inlineStr">
        <is>
          <t>Exact</t>
        </is>
      </c>
      <c r="H888" s="7" t="n"/>
      <c r="I888" s="7" t="n"/>
      <c r="J888" s="7" t="n"/>
      <c r="K888" s="2" t="inlineStr">
        <is>
          <t>Jerusalem falls to the crusaders amid massacre</t>
        </is>
      </c>
      <c r="L888" s="2" t="inlineStr">
        <is>
          <t>ஜூலை 15, 1099-ல் ஜெரூசலம் சிலுவைப் போர் வீரர்களிடம் வீழ்ச்சியடைந்தது</t>
        </is>
      </c>
      <c r="M888" s="7" t="inlineStr">
        <is>
          <t>On July 15, 1099, Jerusalem fell to the crusaders, who slaughtered its inhabitants and tried to justify the violence in the name of religion.</t>
        </is>
      </c>
      <c r="N888" s="7" t="inlineStr">
        <is>
          <t>ஜூலை 15, 1099-ல் ஜெரூசலம் சிலுவைப் போர் வீரர்களிடம் வீழ்ச்சியடைந்தது.</t>
        </is>
      </c>
      <c r="O888" s="12" t="inlineStr">
        <is>
          <t>Bible &amp; church history</t>
        </is>
      </c>
      <c r="P888" s="7" t="inlineStr">
        <is>
          <t>history.apostasy</t>
        </is>
      </c>
      <c r="Q888" s="7" t="inlineStr">
        <is>
          <t>battle</t>
        </is>
      </c>
      <c r="R888" s="7" t="n"/>
      <c r="S888" s="7" t="inlineStr">
        <is>
          <t>Jerusalem</t>
        </is>
      </c>
      <c r="T888" s="7" t="n"/>
      <c r="U888" s="7" t="n"/>
      <c r="V888" s="7" t="n">
        <v>1</v>
      </c>
      <c r="W888" s="7" t="inlineStr">
        <is>
          <t>The Crusades—A ‘Tragic Illusion’</t>
        </is>
      </c>
      <c r="X888" s="9" t="inlineStr">
        <is>
          <t>open</t>
        </is>
      </c>
      <c r="Y888" s="9" t="inlineStr">
        <is>
          <t>open</t>
        </is>
      </c>
      <c r="Z888" s="7" t="inlineStr">
        <is>
          <t>https://wol.jw.org/en/wol/d/r1/lp-e/101997724#h=24</t>
        </is>
      </c>
      <c r="AA888" s="7" t="n">
        <v>0</v>
      </c>
      <c r="AB888" s="7" t="n"/>
      <c r="AC888" s="7" t="n">
        <v>0</v>
      </c>
      <c r="AD888" s="7" t="n"/>
      <c r="AE888" s="7" t="n"/>
      <c r="AF888" s="7" t="n"/>
      <c r="AG888" s="7" t="n"/>
      <c r="AH888" s="7" t="n"/>
      <c r="AI888" s="7" t="inlineStr">
        <is>
          <t>Span endpoint – keep</t>
        </is>
      </c>
      <c r="AJ888" s="7" t="inlineStr">
        <is>
          <t>end of The First Crusade (b12-0059)</t>
        </is>
      </c>
      <c r="AK888" s="7" t="n"/>
      <c r="AL888" s="7" t="n"/>
      <c r="AM888" s="7" t="n">
        <v>1099.5376</v>
      </c>
      <c r="AN888" s="10" t="n"/>
      <c r="AO888" s="10" t="n"/>
      <c r="AP888" s="10" t="n"/>
      <c r="AQ888" s="10" t="n"/>
    </row>
    <row r="889">
      <c r="A889" s="7" t="inlineStr">
        <is>
          <t>b7-0072</t>
        </is>
      </c>
      <c r="B889" s="7" t="inlineStr">
        <is>
          <t>Point</t>
        </is>
      </c>
      <c r="C889" s="7" t="n"/>
      <c r="D889" s="7" t="inlineStr">
        <is>
          <t>c. 1170 C.E.</t>
        </is>
      </c>
      <c r="E889" s="7" t="inlineStr">
        <is>
          <t>சுமார் 1170</t>
        </is>
      </c>
      <c r="F889" s="7" t="inlineStr">
        <is>
          <t>1170 CE</t>
        </is>
      </c>
      <c r="G889" s="7" t="inlineStr">
        <is>
          <t>Approx. (c.)</t>
        </is>
      </c>
      <c r="H889" s="7" t="n"/>
      <c r="I889" s="7" t="n"/>
      <c r="J889" s="7" t="n"/>
      <c r="K889" s="2" t="inlineStr">
        <is>
          <t>Vaudès (Peter Waldo) starts the Waldensian preaching movement</t>
        </is>
      </c>
      <c r="L889" s="2" t="inlineStr">
        <is>
          <t>அந்த இயக்கம் சுமார் 1170-⁠ம் வருடத்தில் தொடங்கியதாக அநேக வரலாற்றாசிரியர்கள் ஒத்துக்கொள்கின்றனர்</t>
        </is>
      </c>
      <c r="M889" s="7" t="inlineStr">
        <is>
          <t>About 1170, Vaudès, a wealthy merchant of Lyons, gave up his riches to preach the Gospel and had parts of the Bible translated into the language of southern France. His followers, the Waldenses, rejected purgatory, indulgences, and other Catholic teachings.</t>
        </is>
      </c>
      <c r="N889" s="7" t="inlineStr">
        <is>
          <t>அந்த இயக்கம் சுமார் 1170-⁠ம் வருடத்தில் தொடங்கியதாக அநேக வரலாற்றாசிரியர்கள் ஒத்துக்கொள்கின்றனர்.</t>
        </is>
      </c>
      <c r="O889" s="12" t="inlineStr">
        <is>
          <t>Bible &amp; church history</t>
        </is>
      </c>
      <c r="P889" s="7" t="inlineStr">
        <is>
          <t>history.reform</t>
        </is>
      </c>
      <c r="Q889" s="7" t="inlineStr">
        <is>
          <t>movement</t>
        </is>
      </c>
      <c r="R889" s="7" t="inlineStr">
        <is>
          <t>Vaudès (Peter Waldo)</t>
        </is>
      </c>
      <c r="S889" s="7" t="inlineStr">
        <is>
          <t>Lyons</t>
        </is>
      </c>
      <c r="T889" s="7" t="n"/>
      <c r="U889" s="7" t="n"/>
      <c r="V889" s="7" t="n">
        <v>2</v>
      </c>
      <c r="W889" s="7" t="inlineStr">
        <is>
          <t>The Waldenses—From Heresy to Protestantism</t>
        </is>
      </c>
      <c r="X889" s="9" t="inlineStr">
        <is>
          <t>open</t>
        </is>
      </c>
      <c r="Y889" s="9" t="inlineStr">
        <is>
          <t>open</t>
        </is>
      </c>
      <c r="Z889" s="7" t="inlineStr">
        <is>
          <t>https://wol.jw.org/en/wol/d/r1/lp-e/2002205#h=7
https://wol.jw.org/en/wol/d/r1/lp-e/1101990043#h=44</t>
        </is>
      </c>
      <c r="AA889" s="7" t="n">
        <v>0</v>
      </c>
      <c r="AB889" s="7" t="n"/>
      <c r="AC889" s="7" t="n">
        <v>0</v>
      </c>
      <c r="AD889" s="7" t="n"/>
      <c r="AE889" s="7" t="n"/>
      <c r="AF889" s="7" t="n"/>
      <c r="AG889" s="7" t="n"/>
      <c r="AH889" s="7" t="n"/>
      <c r="AI889" s="7" t="n"/>
      <c r="AJ889" s="7" t="n"/>
      <c r="AK889" s="7" t="n"/>
      <c r="AL889" s="7" t="n"/>
      <c r="AM889" s="7" t="n">
        <v>1170</v>
      </c>
      <c r="AN889" s="10" t="n"/>
      <c r="AO889" s="10" t="n"/>
      <c r="AP889" s="10" t="n"/>
      <c r="AQ889" s="10" t="n"/>
    </row>
    <row r="890">
      <c r="A890" s="7" t="inlineStr">
        <is>
          <t>b7-0073</t>
        </is>
      </c>
      <c r="B890" s="7" t="inlineStr">
        <is>
          <t>Point</t>
        </is>
      </c>
      <c r="C890" s="7" t="n"/>
      <c r="D890" s="7" t="inlineStr">
        <is>
          <t>1179 C.E.</t>
        </is>
      </c>
      <c r="E890" s="7" t="inlineStr">
        <is>
          <t>1179</t>
        </is>
      </c>
      <c r="F890" s="7" t="inlineStr">
        <is>
          <t>1179 CE</t>
        </is>
      </c>
      <c r="G890" s="7" t="inlineStr">
        <is>
          <t>Exact</t>
        </is>
      </c>
      <c r="H890" s="7" t="n"/>
      <c r="I890" s="7" t="n"/>
      <c r="J890" s="7" t="n"/>
      <c r="K890" s="2" t="inlineStr">
        <is>
          <t>Vaudès seeks papal authorization to preach; lay preaching forbidden</t>
        </is>
      </c>
      <c r="L890" s="2" t="n"/>
      <c r="M890" s="7" t="inlineStr">
        <is>
          <t>In 1179 Vaudès sought authorization to preach from Pope Alexander III, which was granted only on condition of local priests' approval. The archbishop of Lyons then forbade lay preaching; Vaudès replied by quoting Acts 5:29.</t>
        </is>
      </c>
      <c r="N890" s="7" t="inlineStr">
        <is>
          <t>வால்டென்ஸ்களை ஒன்றும் அறியாதவர்களும் படிப்பறிவற்றவர்களுமாக மதகுருமார் கருதினர்; ஆனால் 1179-⁠ல், பிரசங்கிப்பதற்கு அதிகாரப்பூர்வமான அனுமதியளிக்கும்படி போப் மூன்றாம் அலெக்ஸாண்டரிடம் வாடீ கேட்டுக்கொண்டார்.</t>
        </is>
      </c>
      <c r="O890" s="12" t="inlineStr">
        <is>
          <t>Bible &amp; church history</t>
        </is>
      </c>
      <c r="P890" s="7" t="inlineStr">
        <is>
          <t>history.reform</t>
        </is>
      </c>
      <c r="Q890" s="7" t="inlineStr">
        <is>
          <t>petition</t>
        </is>
      </c>
      <c r="R890" s="7" t="inlineStr">
        <is>
          <t>Vaudès (Peter Waldo); Alexander III</t>
        </is>
      </c>
      <c r="S890" s="7" t="n"/>
      <c r="T890" s="7" t="inlineStr">
        <is>
          <t>Acts 5:29</t>
        </is>
      </c>
      <c r="U890" s="7" t="n"/>
      <c r="V890" s="7" t="n">
        <v>1</v>
      </c>
      <c r="W890" s="7" t="inlineStr">
        <is>
          <t>The Waldenses—From Heresy to Protestantism</t>
        </is>
      </c>
      <c r="X890" s="9" t="inlineStr">
        <is>
          <t>open</t>
        </is>
      </c>
      <c r="Y890" s="9" t="inlineStr">
        <is>
          <t>open</t>
        </is>
      </c>
      <c r="Z890" s="7" t="inlineStr">
        <is>
          <t>https://wol.jw.org/en/wol/d/r1/lp-e/2002205#h=10</t>
        </is>
      </c>
      <c r="AA890" s="7" t="n">
        <v>0</v>
      </c>
      <c r="AB890" s="7" t="n"/>
      <c r="AC890" s="7" t="n">
        <v>0</v>
      </c>
      <c r="AD890" s="7" t="n"/>
      <c r="AE890" s="7" t="n"/>
      <c r="AF890" s="7" t="n"/>
      <c r="AG890" s="7" t="n"/>
      <c r="AH890" s="7" t="n"/>
      <c r="AI890" s="7" t="n"/>
      <c r="AJ890" s="7" t="n"/>
      <c r="AK890" s="7" t="n"/>
      <c r="AL890" s="7" t="n"/>
      <c r="AM890" s="7" t="n">
        <v>1179</v>
      </c>
      <c r="AN890" s="10" t="n"/>
      <c r="AO890" s="10" t="n"/>
      <c r="AP890" s="10" t="n"/>
      <c r="AQ890" s="10" t="n"/>
    </row>
    <row r="891">
      <c r="A891" s="7" t="inlineStr">
        <is>
          <t>b7-0074</t>
        </is>
      </c>
      <c r="B891" s="7" t="inlineStr">
        <is>
          <t>Point</t>
        </is>
      </c>
      <c r="C891" s="7" t="n"/>
      <c r="D891" s="7" t="inlineStr">
        <is>
          <t>1184 C.E.</t>
        </is>
      </c>
      <c r="E891" s="7" t="inlineStr">
        <is>
          <t>1184</t>
        </is>
      </c>
      <c r="F891" s="7" t="inlineStr">
        <is>
          <t>1184 CE</t>
        </is>
      </c>
      <c r="G891" s="7" t="inlineStr">
        <is>
          <t>Exact</t>
        </is>
      </c>
      <c r="H891" s="7" t="n"/>
      <c r="I891" s="7" t="n"/>
      <c r="J891" s="7" t="n"/>
      <c r="K891" s="2" t="inlineStr">
        <is>
          <t>Pope Lucius III establishes the Inquisition at Verona</t>
        </is>
      </c>
      <c r="L891" s="2" t="inlineStr">
        <is>
          <t>கவுன்சில் ஆஃப் வெரோனாவில் மூன்றாம் போப் லூஸியஸ் என்பவர் இந்த ஒடுக்குமுறை விசாரணை மன்றத்தை 1184-ல் நிறுவினார்</t>
        </is>
      </c>
      <c r="M891" s="7" t="inlineStr">
        <is>
          <t>Pope Lucius III established the Inquisition at the Council of Verona in 1184; later popes perfected its procedures, and in the 13th century Gregory IX set up inquisitorial tribunals across Europe.</t>
        </is>
      </c>
      <c r="N891" s="7" t="inlineStr">
        <is>
          <t>கவுன்சில் ஆஃப் வெரோனாவில் மூன்றாம் போப் லூஸியஸ் என்பவர் இந்த ஒடுக்குமுறை விசாரணை மன்றத்தை 1184-ல் நிறுவினார்.</t>
        </is>
      </c>
      <c r="O891" s="12" t="inlineStr">
        <is>
          <t>Bible &amp; church history</t>
        </is>
      </c>
      <c r="P891" s="7" t="inlineStr">
        <is>
          <t>history.persecution</t>
        </is>
      </c>
      <c r="Q891" s="7" t="inlineStr">
        <is>
          <t>institution</t>
        </is>
      </c>
      <c r="R891" s="7" t="inlineStr">
        <is>
          <t>Lucius III</t>
        </is>
      </c>
      <c r="S891" s="7" t="inlineStr">
        <is>
          <t>Verona</t>
        </is>
      </c>
      <c r="T891" s="7" t="n"/>
      <c r="U891" s="7" t="n"/>
      <c r="V891" s="7" t="n">
        <v>2</v>
      </c>
      <c r="W891" s="7" t="inlineStr">
        <is>
          <t>The Trial and Execution of a “Heretic”</t>
        </is>
      </c>
      <c r="X891" s="9" t="inlineStr">
        <is>
          <t>open</t>
        </is>
      </c>
      <c r="Y891" s="9" t="inlineStr">
        <is>
          <t>open</t>
        </is>
      </c>
      <c r="Z891" s="7" t="inlineStr">
        <is>
          <t>https://wol.jw.org/en/wol/d/r1/lp-e/101997327#h=5
https://wol.jw.org/en/wol/d/r1/lp-e/1101990043#h=48</t>
        </is>
      </c>
      <c r="AA891" s="7" t="n">
        <v>0</v>
      </c>
      <c r="AB891" s="7" t="n"/>
      <c r="AC891" s="7" t="n">
        <v>0</v>
      </c>
      <c r="AD891" s="7" t="n"/>
      <c r="AE891" s="7" t="n"/>
      <c r="AF891" s="7" t="n"/>
      <c r="AG891" s="7" t="n"/>
      <c r="AH891" s="7" t="n"/>
      <c r="AI891" s="7" t="n"/>
      <c r="AJ891" s="7" t="n"/>
      <c r="AK891" s="7" t="n"/>
      <c r="AL891" s="7" t="n"/>
      <c r="AM891" s="7" t="n">
        <v>1184</v>
      </c>
      <c r="AN891" s="10" t="n"/>
      <c r="AO891" s="10" t="n"/>
      <c r="AP891" s="10" t="n"/>
      <c r="AQ891" s="10" t="n"/>
    </row>
    <row r="892">
      <c r="A892" s="7" t="inlineStr">
        <is>
          <t>b7-0075</t>
        </is>
      </c>
      <c r="B892" s="7" t="inlineStr">
        <is>
          <t>Point</t>
        </is>
      </c>
      <c r="C892" s="7" t="n"/>
      <c r="D892" s="7" t="inlineStr">
        <is>
          <t>1199 C.E.</t>
        </is>
      </c>
      <c r="E892" s="7" t="inlineStr">
        <is>
          <t>1199</t>
        </is>
      </c>
      <c r="F892" s="7" t="inlineStr">
        <is>
          <t>1199 CE</t>
        </is>
      </c>
      <c r="G892" s="7" t="inlineStr">
        <is>
          <t>Exact</t>
        </is>
      </c>
      <c r="H892" s="7" t="n"/>
      <c r="I892" s="7" t="n"/>
      <c r="J892" s="7" t="n"/>
      <c r="K892" s="2" t="inlineStr">
        <is>
          <t>Pope Innocent III condemns lay translation and discussion of the Bible</t>
        </is>
      </c>
      <c r="L892" s="2" t="n"/>
      <c r="M892" s="7" t="inlineStr">
        <is>
          <t>In 1199 Pope Innocent III wrote against "heretics" who translated the Bible into French and discussed it, applying Matthew 7:6 to them. His letter was later cited to justify banning the Bible's use and translation. The bishop of Metz had complained of such Bible reading, likely by the Waldenses.</t>
        </is>
      </c>
      <c r="N892" s="7" t="inlineStr">
        <is>
          <t>b 1199-⁠ம் வருடத்திலேயே, மக்கள் தங்கள் சொந்த மொழியில் பைபிளை வாசித்து அதைக் குறித்து கலந்து பேசுகிறார்கள் என்பதாக போப் மூன்றாம் இன்னசென்ட்டிடம் வடகிழக்கு பிரான்ஸிலுள்ள மெட்ஸின் பிஷப் முறையிட்டார்.</t>
        </is>
      </c>
      <c r="O892" s="12" t="inlineStr">
        <is>
          <t>Bible &amp; church history</t>
        </is>
      </c>
      <c r="P892" s="7" t="inlineStr">
        <is>
          <t>history.apostasy</t>
        </is>
      </c>
      <c r="Q892" s="7" t="inlineStr">
        <is>
          <t>decree</t>
        </is>
      </c>
      <c r="R892" s="7" t="inlineStr">
        <is>
          <t>Innocent III</t>
        </is>
      </c>
      <c r="S892" s="7" t="n"/>
      <c r="T892" s="7" t="inlineStr">
        <is>
          <t>Matt. 7:6</t>
        </is>
      </c>
      <c r="U892" s="7" t="n"/>
      <c r="V892" s="7" t="n">
        <v>2</v>
      </c>
      <c r="W892" s="7" t="inlineStr">
        <is>
          <t>They Tried to Keep God’s Word From the Masses</t>
        </is>
      </c>
      <c r="X892" s="9" t="inlineStr">
        <is>
          <t>open</t>
        </is>
      </c>
      <c r="Y892" s="7" t="n"/>
      <c r="Z892" s="7" t="inlineStr">
        <is>
          <t>https://wol.jw.org/en/wol/d/r1/lp-e/102011443#h=12
https://wol.jw.org/en/wol/d/r1/lp-e/2002205#h=31</t>
        </is>
      </c>
      <c r="AA892" s="7" t="n">
        <v>0</v>
      </c>
      <c r="AB892" s="7" t="n"/>
      <c r="AC892" s="7" t="n">
        <v>0</v>
      </c>
      <c r="AD892" s="7" t="n"/>
      <c r="AE892" s="7" t="n"/>
      <c r="AF892" s="7" t="n"/>
      <c r="AG892" s="7" t="n"/>
      <c r="AH892" s="7" t="n"/>
      <c r="AI892" s="7" t="n"/>
      <c r="AJ892" s="7" t="n"/>
      <c r="AK892" s="7" t="n"/>
      <c r="AL892" s="7" t="n"/>
      <c r="AM892" s="7" t="n">
        <v>1199</v>
      </c>
      <c r="AN892" s="10" t="n"/>
      <c r="AO892" s="10" t="n"/>
      <c r="AP892" s="10" t="n"/>
      <c r="AQ892" s="10" t="n"/>
    </row>
    <row r="893">
      <c r="A893" s="7" t="inlineStr">
        <is>
          <t>b7-0076</t>
        </is>
      </c>
      <c r="B893" s="11" t="inlineStr">
        <is>
          <t>Span</t>
        </is>
      </c>
      <c r="C893" s="7" t="inlineStr">
        <is>
          <t>war</t>
        </is>
      </c>
      <c r="D893" s="7" t="inlineStr">
        <is>
          <t>1209-1229 C.E.</t>
        </is>
      </c>
      <c r="E893" s="7" t="inlineStr">
        <is>
          <t>1209-29</t>
        </is>
      </c>
      <c r="F893" s="7" t="inlineStr">
        <is>
          <t>1209 CE</t>
        </is>
      </c>
      <c r="G893" s="7" t="inlineStr">
        <is>
          <t>Exact</t>
        </is>
      </c>
      <c r="H893" s="7" t="inlineStr">
        <is>
          <t>1229 CE</t>
        </is>
      </c>
      <c r="I893" s="7" t="inlineStr">
        <is>
          <t>Exact</t>
        </is>
      </c>
      <c r="J893" s="7" t="inlineStr">
        <is>
          <t>20 years</t>
        </is>
      </c>
      <c r="K893" s="2" t="inlineStr">
        <is>
          <t>Albigensian Crusade against the Cathari of southern France</t>
        </is>
      </c>
      <c r="L893" s="2" t="inlineStr">
        <is>
          <t>அது அல்பிஜென்சியர்களின் சிலுவைப்போர் (1209-29) என அறியப்படலாயிற்று. d</t>
        </is>
      </c>
      <c r="M893" s="7" t="inlineStr">
        <is>
          <t>Pope Innocent III ordered the Albigenses (Cathari) persecuted, and a crusade (1209-1229) followed, including the massacre of 20,000 at Béziers. Peace came in 1229 with the Albigenses defeated, and the Council of Narbonne forbade laymen to possess any part of the Bible.</t>
        </is>
      </c>
      <c r="N893" s="7" t="inlineStr">
        <is>
          <t>அது அல்பிஜென்சியர்களின் சிலுவைப்போர் (1209-29) என அறியப்படலாயிற்று. d</t>
        </is>
      </c>
      <c r="O893" s="12" t="inlineStr">
        <is>
          <t>Bible &amp; church history</t>
        </is>
      </c>
      <c r="P893" s="7" t="inlineStr">
        <is>
          <t>history.persecution</t>
        </is>
      </c>
      <c r="Q893" s="7" t="inlineStr">
        <is>
          <t>war</t>
        </is>
      </c>
      <c r="R893" s="7" t="inlineStr">
        <is>
          <t>Innocent III</t>
        </is>
      </c>
      <c r="S893" s="7" t="inlineStr">
        <is>
          <t>Languedoc; Béziers</t>
        </is>
      </c>
      <c r="T893" s="7" t="n"/>
      <c r="U893" s="7" t="n"/>
      <c r="V893" s="7" t="n">
        <v>3</v>
      </c>
      <c r="W893" s="7" t="inlineStr">
        <is>
          <t>The Troubadours—More Than Singers of Love Songs</t>
        </is>
      </c>
      <c r="X893" s="9" t="inlineStr">
        <is>
          <t>open</t>
        </is>
      </c>
      <c r="Y893" s="9" t="inlineStr">
        <is>
          <t>open</t>
        </is>
      </c>
      <c r="Z893" s="7" t="inlineStr">
        <is>
          <t>https://wol.jw.org/en/wol/d/r1/lp-e/101998086#h=28
https://wol.jw.org/en/wol/d/r1/lp-e/1101990043#h=47
https://wol.jw.org/en/wol/d/r1/lp-e/2002205#h=15</t>
        </is>
      </c>
      <c r="AA893" s="7" t="n">
        <v>0</v>
      </c>
      <c r="AB893" s="7" t="n"/>
      <c r="AC893" s="7" t="n">
        <v>0</v>
      </c>
      <c r="AD893" s="7" t="n"/>
      <c r="AE893" s="7" t="n"/>
      <c r="AF893" s="7" t="n"/>
      <c r="AG893" s="7" t="n"/>
      <c r="AH893" s="7" t="n"/>
      <c r="AI893" s="7" t="n"/>
      <c r="AJ893" s="7" t="n"/>
      <c r="AK893" s="7" t="n"/>
      <c r="AL893" s="7" t="n"/>
      <c r="AM893" s="7" t="n">
        <v>1209</v>
      </c>
      <c r="AN893" s="10" t="n"/>
      <c r="AO893" s="10" t="n"/>
      <c r="AP893" s="10" t="n"/>
      <c r="AQ893" s="10" t="n"/>
    </row>
    <row r="894">
      <c r="A894" s="7" t="inlineStr">
        <is>
          <t>b7-0077</t>
        </is>
      </c>
      <c r="B894" s="7" t="inlineStr">
        <is>
          <t>Point</t>
        </is>
      </c>
      <c r="C894" s="7" t="n"/>
      <c r="D894" s="7" t="inlineStr">
        <is>
          <t>1215 C.E.</t>
        </is>
      </c>
      <c r="E894" s="7" t="inlineStr">
        <is>
          <t>1215</t>
        </is>
      </c>
      <c r="F894" s="7" t="inlineStr">
        <is>
          <t>1215 CE</t>
        </is>
      </c>
      <c r="G894" s="7" t="inlineStr">
        <is>
          <t>Exact</t>
        </is>
      </c>
      <c r="H894" s="7" t="n"/>
      <c r="I894" s="7" t="n"/>
      <c r="J894" s="7" t="n"/>
      <c r="K894" s="2" t="inlineStr">
        <is>
          <t>Fourth Lateran Council anathematizes the Waldenses</t>
        </is>
      </c>
      <c r="L894" s="2" t="inlineStr">
        <is>
          <t>வால்டென்ஸ்களுக்கு எதிராக 1215-⁠ல் நான்காவது லேட்டரன் பொதுக் குழு போட்ட தடையால் சர்ச் கண்டனங்கள் உச்சக்கட்டத்தை எட்டின</t>
        </is>
      </c>
      <c r="M894" s="7" t="inlineStr">
        <is>
          <t>Church condemnations that progressively drove the Waldenses into "heresy" culminated in the anathema issued against them by the Fourth Lateran Council in 1215.</t>
        </is>
      </c>
      <c r="N894" s="7" t="inlineStr">
        <is>
          <t>வால்டென்ஸ்களுக்கு எதிராக 1215-⁠ல் நான்காவது லேட்டரன் பொதுக் குழு போட்ட தடையால் சர்ச் கண்டனங்கள் உச்சக்கட்டத்தை எட்டின.</t>
        </is>
      </c>
      <c r="O894" s="12" t="inlineStr">
        <is>
          <t>Bible &amp; church history</t>
        </is>
      </c>
      <c r="P894" s="7" t="inlineStr">
        <is>
          <t>history.persecution</t>
        </is>
      </c>
      <c r="Q894" s="7" t="inlineStr">
        <is>
          <t>council</t>
        </is>
      </c>
      <c r="R894" s="7" t="n"/>
      <c r="S894" s="7" t="n"/>
      <c r="T894" s="7" t="n"/>
      <c r="U894" s="7" t="n"/>
      <c r="V894" s="7" t="n">
        <v>1</v>
      </c>
      <c r="W894" s="7" t="inlineStr">
        <is>
          <t>The Waldenses—From Heresy to Protestantism</t>
        </is>
      </c>
      <c r="X894" s="9" t="inlineStr">
        <is>
          <t>open</t>
        </is>
      </c>
      <c r="Y894" s="9" t="inlineStr">
        <is>
          <t>open</t>
        </is>
      </c>
      <c r="Z894" s="7" t="inlineStr">
        <is>
          <t>https://wol.jw.org/en/wol/d/r1/lp-e/2002205#h=12</t>
        </is>
      </c>
      <c r="AA894" s="7" t="n">
        <v>0</v>
      </c>
      <c r="AB894" s="7" t="n"/>
      <c r="AC894" s="7" t="n">
        <v>0</v>
      </c>
      <c r="AD894" s="7" t="n"/>
      <c r="AE894" s="7" t="n"/>
      <c r="AF894" s="7" t="n"/>
      <c r="AG894" s="7" t="n"/>
      <c r="AH894" s="7" t="n"/>
      <c r="AI894" s="7" t="n"/>
      <c r="AJ894" s="7" t="n"/>
      <c r="AK894" s="7" t="n"/>
      <c r="AL894" s="7" t="n"/>
      <c r="AM894" s="7" t="n">
        <v>1215</v>
      </c>
      <c r="AN894" s="10" t="n"/>
      <c r="AO894" s="10" t="n"/>
      <c r="AP894" s="10" t="n"/>
      <c r="AQ894" s="10" t="n"/>
    </row>
    <row r="895">
      <c r="A895" s="7" t="inlineStr">
        <is>
          <t>b7-0078</t>
        </is>
      </c>
      <c r="B895" s="7" t="inlineStr">
        <is>
          <t>Point</t>
        </is>
      </c>
      <c r="C895" s="7" t="n"/>
      <c r="D895" s="7" t="inlineStr">
        <is>
          <t>1217 C.E.</t>
        </is>
      </c>
      <c r="E895" s="7" t="inlineStr">
        <is>
          <t>1217</t>
        </is>
      </c>
      <c r="F895" s="7" t="inlineStr">
        <is>
          <t>1217 CE</t>
        </is>
      </c>
      <c r="G895" s="7" t="inlineStr">
        <is>
          <t>Exact</t>
        </is>
      </c>
      <c r="H895" s="7" t="n"/>
      <c r="I895" s="7" t="n"/>
      <c r="J895" s="7" t="n"/>
      <c r="K895" s="2" t="inlineStr">
        <is>
          <t>Vaudès dies; Waldenses dispersed by persecution</t>
        </is>
      </c>
      <c r="L895" s="2" t="n"/>
      <c r="M895" s="7" t="inlineStr">
        <is>
          <t>Vaudès died in 1217, and persecution dispersed his followers into the French Alpine valleys, Germany, northern Italy, and Central and Eastern Europe.</t>
        </is>
      </c>
      <c r="N895" s="7" t="inlineStr">
        <is>
          <t>1217-⁠ம் வருடம் வாடீ இறந்தார்; அவரைப் பின்பற்றியவர்கள், துன்புறுத்துதல் காரணமாக பிரான்ஸின் மலைப்பாங்கான பள்ளத்தாக்குகள், ஜெர்மனி, வட இத்தாலி, மத்திய மற்றும் கிழக்கு ஐரோப்பிய நாடுகள் என நாலாபுறமும் சிதறிப் போனார்கள்.</t>
        </is>
      </c>
      <c r="O895" s="12" t="inlineStr">
        <is>
          <t>Bible &amp; church history</t>
        </is>
      </c>
      <c r="P895" s="7" t="inlineStr">
        <is>
          <t>history.reform</t>
        </is>
      </c>
      <c r="Q895" s="7" t="inlineStr">
        <is>
          <t>death</t>
        </is>
      </c>
      <c r="R895" s="7" t="inlineStr">
        <is>
          <t>Vaudès (Peter Waldo)</t>
        </is>
      </c>
      <c r="S895" s="7" t="n"/>
      <c r="T895" s="7" t="n"/>
      <c r="U895" s="7" t="n"/>
      <c r="V895" s="7" t="n">
        <v>1</v>
      </c>
      <c r="W895" s="7" t="inlineStr">
        <is>
          <t>The Waldenses—From Heresy to Protestantism</t>
        </is>
      </c>
      <c r="X895" s="9" t="inlineStr">
        <is>
          <t>open</t>
        </is>
      </c>
      <c r="Y895" s="9" t="inlineStr">
        <is>
          <t>open</t>
        </is>
      </c>
      <c r="Z895" s="7" t="inlineStr">
        <is>
          <t>https://wol.jw.org/en/wol/d/r1/lp-e/2002205#h=14</t>
        </is>
      </c>
      <c r="AA895" s="7" t="n">
        <v>0</v>
      </c>
      <c r="AB895" s="7" t="n"/>
      <c r="AC895" s="7" t="n">
        <v>0</v>
      </c>
      <c r="AD895" s="7" t="n"/>
      <c r="AE895" s="7" t="n"/>
      <c r="AF895" s="7" t="n"/>
      <c r="AG895" s="7" t="n"/>
      <c r="AH895" s="7" t="n"/>
      <c r="AI895" s="7" t="n"/>
      <c r="AJ895" s="7" t="n"/>
      <c r="AK895" s="7" t="n"/>
      <c r="AL895" s="7" t="n"/>
      <c r="AM895" s="7" t="n">
        <v>1217</v>
      </c>
      <c r="AN895" s="10" t="n"/>
      <c r="AO895" s="10" t="n"/>
      <c r="AP895" s="10" t="n"/>
      <c r="AQ895" s="10" t="n"/>
    </row>
    <row r="896">
      <c r="A896" s="7" t="inlineStr">
        <is>
          <t>b7-0079</t>
        </is>
      </c>
      <c r="B896" s="7" t="inlineStr">
        <is>
          <t>Point</t>
        </is>
      </c>
      <c r="C896" s="7" t="n"/>
      <c r="D896" s="7" t="inlineStr">
        <is>
          <t>1229 C.E.</t>
        </is>
      </c>
      <c r="E896" s="7" t="inlineStr">
        <is>
          <t>1229</t>
        </is>
      </c>
      <c r="F896" s="7" t="inlineStr">
        <is>
          <t>1229 CE</t>
        </is>
      </c>
      <c r="G896" s="7" t="inlineStr">
        <is>
          <t>Exact</t>
        </is>
      </c>
      <c r="H896" s="7" t="n"/>
      <c r="I896" s="7" t="n"/>
      <c r="J896" s="7" t="n"/>
      <c r="K896" s="2" t="inlineStr">
        <is>
          <t>Council of Toulouse bans laymen from possessing vernacular Bibles</t>
        </is>
      </c>
      <c r="L896" s="2" t="n"/>
      <c r="M896" s="7" t="inlineStr">
        <is>
          <t>In 1229 the Council of Toulouse, aiming at the Albigenses and Waldenses, prohibited laymen from possessing the books of the Old or New Testament in the common language; only liturgical books in Latin were allowed.</t>
        </is>
      </c>
      <c r="N896" s="7" t="inlineStr">
        <is>
          <t>எந்த பைபிள் புத்தகத்தையும் யாரும் வைத்திருக்கக் கூடாது என்று டெளலோஸ் குழு தடை செய்ததன் மூலம் 1229-ல் இவர்களைக் கட்டுப்படுத்த முயன்றது.</t>
        </is>
      </c>
      <c r="O896" s="12" t="inlineStr">
        <is>
          <t>Bible &amp; church history</t>
        </is>
      </c>
      <c r="P896" s="7" t="inlineStr">
        <is>
          <t>history.apostasy</t>
        </is>
      </c>
      <c r="Q896" s="7" t="inlineStr">
        <is>
          <t>decree</t>
        </is>
      </c>
      <c r="R896" s="7" t="n"/>
      <c r="S896" s="7" t="inlineStr">
        <is>
          <t>Toulouse</t>
        </is>
      </c>
      <c r="T896" s="7" t="n"/>
      <c r="U896" s="7" t="n"/>
      <c r="V896" s="7" t="n">
        <v>3</v>
      </c>
      <c r="W896" s="7" t="inlineStr">
        <is>
          <t>Apostasy—The Way to God Blocked</t>
        </is>
      </c>
      <c r="X896" s="9" t="inlineStr">
        <is>
          <t>open</t>
        </is>
      </c>
      <c r="Y896" s="9" t="inlineStr">
        <is>
          <t>open</t>
        </is>
      </c>
      <c r="Z896" s="7" t="inlineStr">
        <is>
          <t>https://wol.jw.org/en/wol/d/r1/lp-e/1101990043#h=44
https://wol.jw.org/en/wol/d/r1/lp-e/2013122#h=17
https://wol.jw.org/en/wol/d/r1/lp-e/1992442#h=13</t>
        </is>
      </c>
      <c r="AA896" s="7" t="n">
        <v>0</v>
      </c>
      <c r="AB896" s="7" t="n"/>
      <c r="AC896" s="7" t="n">
        <v>0</v>
      </c>
      <c r="AD896" s="7" t="n"/>
      <c r="AE896" s="7" t="n"/>
      <c r="AF896" s="7" t="n"/>
      <c r="AG896" s="7" t="n"/>
      <c r="AH896" s="7" t="n"/>
      <c r="AI896" s="7" t="n"/>
      <c r="AJ896" s="7" t="n"/>
      <c r="AK896" s="7" t="n"/>
      <c r="AL896" s="7" t="n"/>
      <c r="AM896" s="7" t="n">
        <v>1229.5</v>
      </c>
      <c r="AN896" s="10" t="n"/>
      <c r="AO896" s="10" t="n"/>
      <c r="AP896" s="10" t="n"/>
      <c r="AQ896" s="10" t="n"/>
    </row>
    <row r="897">
      <c r="A897" s="7" t="inlineStr">
        <is>
          <t>b7-0080</t>
        </is>
      </c>
      <c r="B897" s="7" t="inlineStr">
        <is>
          <t>Point</t>
        </is>
      </c>
      <c r="C897" s="7" t="n"/>
      <c r="D897" s="7" t="inlineStr">
        <is>
          <t>1230 C.E.</t>
        </is>
      </c>
      <c r="E897" s="7" t="inlineStr">
        <is>
          <t>1230</t>
        </is>
      </c>
      <c r="F897" s="7" t="inlineStr">
        <is>
          <t>1230 CE</t>
        </is>
      </c>
      <c r="G897" s="7" t="inlineStr">
        <is>
          <t>Exact</t>
        </is>
      </c>
      <c r="H897" s="7" t="n"/>
      <c r="I897" s="7" t="n"/>
      <c r="J897" s="7" t="n"/>
      <c r="K897" s="2" t="inlineStr">
        <is>
          <t>Waldenses stop preaching in public</t>
        </is>
      </c>
      <c r="L897" s="2" t="inlineStr">
        <is>
          <t>1230-⁠ல் அவர்கள் இனியும் வெளிப்படையாக பிரசங்கித்து வரவில்லை</t>
        </is>
      </c>
      <c r="M897" s="7" t="inlineStr">
        <is>
          <t>Fearing the Inquisition, by 1230 the Waldenses no longer preached in public, devoting themselves instead to maintaining existing believers.</t>
        </is>
      </c>
      <c r="N897" s="7" t="inlineStr">
        <is>
          <t>1230-⁠ல் அவர்கள் இனியும் வெளிப்படையாக பிரசங்கித்து வரவில்லை.</t>
        </is>
      </c>
      <c r="O897" s="12" t="inlineStr">
        <is>
          <t>Bible &amp; church history</t>
        </is>
      </c>
      <c r="P897" s="7" t="inlineStr">
        <is>
          <t>history.persecution</t>
        </is>
      </c>
      <c r="Q897" s="7" t="inlineStr">
        <is>
          <t>development</t>
        </is>
      </c>
      <c r="R897" s="7" t="n"/>
      <c r="S897" s="7" t="n"/>
      <c r="T897" s="7" t="n"/>
      <c r="U897" s="7" t="n"/>
      <c r="V897" s="7" t="n">
        <v>1</v>
      </c>
      <c r="W897" s="7" t="inlineStr">
        <is>
          <t>The Waldenses—From Heresy to Protestantism</t>
        </is>
      </c>
      <c r="X897" s="9" t="inlineStr">
        <is>
          <t>open</t>
        </is>
      </c>
      <c r="Y897" s="9" t="inlineStr">
        <is>
          <t>open</t>
        </is>
      </c>
      <c r="Z897" s="7" t="inlineStr">
        <is>
          <t>https://wol.jw.org/en/wol/d/r1/lp-e/2002205#h=15</t>
        </is>
      </c>
      <c r="AA897" s="7" t="n">
        <v>0</v>
      </c>
      <c r="AB897" s="7" t="n"/>
      <c r="AC897" s="7" t="n">
        <v>0</v>
      </c>
      <c r="AD897" s="7" t="n"/>
      <c r="AE897" s="7" t="n"/>
      <c r="AF897" s="7" t="n"/>
      <c r="AG897" s="7" t="n"/>
      <c r="AH897" s="7" t="n"/>
      <c r="AI897" s="7" t="n"/>
      <c r="AJ897" s="7" t="n"/>
      <c r="AK897" s="7" t="n"/>
      <c r="AL897" s="7" t="n"/>
      <c r="AM897" s="7" t="n">
        <v>1230</v>
      </c>
      <c r="AN897" s="10" t="n"/>
      <c r="AO897" s="10" t="n"/>
      <c r="AP897" s="10" t="n"/>
      <c r="AQ897" s="10" t="n"/>
    </row>
    <row r="898">
      <c r="A898" s="7" t="inlineStr">
        <is>
          <t>b7-0081</t>
        </is>
      </c>
      <c r="B898" s="7" t="inlineStr">
        <is>
          <t>Point</t>
        </is>
      </c>
      <c r="C898" s="7" t="n"/>
      <c r="D898" s="7" t="inlineStr">
        <is>
          <t>1231 C.E.</t>
        </is>
      </c>
      <c r="E898" s="7" t="inlineStr">
        <is>
          <t>1231</t>
        </is>
      </c>
      <c r="F898" s="7" t="inlineStr">
        <is>
          <t>1231 CE</t>
        </is>
      </c>
      <c r="G898" s="7" t="inlineStr">
        <is>
          <t>Exact</t>
        </is>
      </c>
      <c r="H898" s="7" t="n"/>
      <c r="I898" s="7" t="n"/>
      <c r="J898" s="7" t="n"/>
      <c r="K898" s="2" t="inlineStr">
        <is>
          <t>Medieval Inquisition begins in Italy and France</t>
        </is>
      </c>
      <c r="L898" s="2" t="inlineStr">
        <is>
          <t>இவை 1231-ல் இத்தாலியிலும் பிரான்ஸிலும் நிறுவப்பட்டன</t>
        </is>
      </c>
      <c r="M898" s="7" t="inlineStr">
        <is>
          <t>The medieval Inquisition began in 1231 in Italy and France.</t>
        </is>
      </c>
      <c r="N898" s="7" t="inlineStr">
        <is>
          <t>இவை 1231-ல் இத்தாலியிலும் பிரான்ஸிலும் நிறுவப்பட்டன.</t>
        </is>
      </c>
      <c r="O898" s="12" t="inlineStr">
        <is>
          <t>Bible &amp; church history</t>
        </is>
      </c>
      <c r="P898" s="7" t="inlineStr">
        <is>
          <t>history.persecution</t>
        </is>
      </c>
      <c r="Q898" s="7" t="inlineStr">
        <is>
          <t>institution</t>
        </is>
      </c>
      <c r="R898" s="7" t="n"/>
      <c r="S898" s="7" t="inlineStr">
        <is>
          <t>Italy; France</t>
        </is>
      </c>
      <c r="T898" s="7" t="n"/>
      <c r="U898" s="7" t="n"/>
      <c r="V898" s="7" t="n">
        <v>1</v>
      </c>
      <c r="W898" s="7" t="inlineStr">
        <is>
          <t>Secret Archives Opened</t>
        </is>
      </c>
      <c r="X898" s="9" t="inlineStr">
        <is>
          <t>open</t>
        </is>
      </c>
      <c r="Y898" s="9" t="inlineStr">
        <is>
          <t>open</t>
        </is>
      </c>
      <c r="Z898" s="7" t="inlineStr">
        <is>
          <t>https://wol.jw.org/en/wol/d/r1/lp-e/101998884#h=20</t>
        </is>
      </c>
      <c r="AA898" s="7" t="n">
        <v>0</v>
      </c>
      <c r="AB898" s="7" t="n"/>
      <c r="AC898" s="7" t="n">
        <v>0</v>
      </c>
      <c r="AD898" s="7" t="n"/>
      <c r="AE898" s="7" t="n"/>
      <c r="AF898" s="7" t="n"/>
      <c r="AG898" s="7" t="n"/>
      <c r="AH898" s="7" t="n"/>
      <c r="AI898" s="7" t="n"/>
      <c r="AJ898" s="7" t="n"/>
      <c r="AK898" s="7" t="n"/>
      <c r="AL898" s="7" t="n"/>
      <c r="AM898" s="7" t="n">
        <v>1231</v>
      </c>
      <c r="AN898" s="10" t="n"/>
      <c r="AO898" s="10" t="n"/>
      <c r="AP898" s="10" t="n"/>
      <c r="AQ898" s="10" t="n"/>
    </row>
    <row r="899">
      <c r="A899" s="7" t="inlineStr">
        <is>
          <t>b7-0082</t>
        </is>
      </c>
      <c r="B899" s="7" t="inlineStr">
        <is>
          <t>Point</t>
        </is>
      </c>
      <c r="C899" s="7" t="n"/>
      <c r="D899" s="7" t="inlineStr">
        <is>
          <t>1234 C.E.</t>
        </is>
      </c>
      <c r="E899" s="7" t="inlineStr">
        <is>
          <t>1234</t>
        </is>
      </c>
      <c r="F899" s="7" t="inlineStr">
        <is>
          <t>1234 CE</t>
        </is>
      </c>
      <c r="G899" s="7" t="inlineStr">
        <is>
          <t>Exact</t>
        </is>
      </c>
      <c r="H899" s="7" t="n"/>
      <c r="I899" s="7" t="n"/>
      <c r="J899" s="7" t="n"/>
      <c r="K899" s="2" t="inlineStr">
        <is>
          <t>Assembly at Tarragona under James I of Aragon bans vernacular Bibles</t>
        </is>
      </c>
      <c r="L899" s="2" t="inlineStr">
        <is>
          <t>1234-ஆம் ஆண்டில் ஸ்பெயினிலுள்ள டாரகோனாவில் முதலாம் ஜேம்ஸின் தலைமையில் நடத்தப்பட்ட மாநாட்டில் இதேபோன்ற தடை விதிக்கப்பட்டது. . .</t>
        </is>
      </c>
      <c r="M899" s="7" t="inlineStr">
        <is>
          <t>An assembly held at Tarragona, Spain, under James I of Aragon issued a prohibition similar to that of Toulouse against vernacular Bibles.</t>
        </is>
      </c>
      <c r="N899" s="7" t="inlineStr">
        <is>
          <t>1234-ஆம் ஆண்டில் ஸ்பெயினிலுள்ள டாரகோனாவில் முதலாம் ஜேம்ஸின் தலைமையில் நடத்தப்பட்ட மாநாட்டில் இதேபோன்ற தடை விதிக்கப்பட்டது. . . .</t>
        </is>
      </c>
      <c r="O899" s="12" t="inlineStr">
        <is>
          <t>Bible &amp; church history</t>
        </is>
      </c>
      <c r="P899" s="7" t="inlineStr">
        <is>
          <t>history.apostasy</t>
        </is>
      </c>
      <c r="Q899" s="7" t="inlineStr">
        <is>
          <t>decree</t>
        </is>
      </c>
      <c r="R899" s="7" t="inlineStr">
        <is>
          <t>James I of Aragon</t>
        </is>
      </c>
      <c r="S899" s="7" t="inlineStr">
        <is>
          <t>Tarragona</t>
        </is>
      </c>
      <c r="T899" s="7" t="n"/>
      <c r="U899" s="7" t="n"/>
      <c r="V899" s="7" t="n">
        <v>2</v>
      </c>
      <c r="W899" s="7" t="inlineStr">
        <is>
          <t>This Is Our Spiritual Heritage</t>
        </is>
      </c>
      <c r="X899" s="9" t="inlineStr">
        <is>
          <t>open</t>
        </is>
      </c>
      <c r="Y899" s="9" t="inlineStr">
        <is>
          <t>open</t>
        </is>
      </c>
      <c r="Z899" s="7" t="inlineStr">
        <is>
          <t>https://wol.jw.org/en/wol/d/r1/lp-e/2013122#h=17
https://wol.jw.org/en/wol/d/r1/lp-e/1992442#h=13</t>
        </is>
      </c>
      <c r="AA899" s="7" t="n">
        <v>0</v>
      </c>
      <c r="AB899" s="7" t="n"/>
      <c r="AC899" s="7" t="n">
        <v>1</v>
      </c>
      <c r="AD899" s="7" t="inlineStr">
        <is>
          <t>Watchtower 1992 6/15 dates James I of Aragon's similar decree "four years" after 1229 (i.e., 1233); Watchtower 2013 2/15 quotes the Enciclopedia Cattolica giving 1234 for the Tarragona assembly.</t>
        </is>
      </c>
      <c r="AE899" s="7" t="n"/>
      <c r="AF899" s="7" t="n"/>
      <c r="AG899" s="7" t="n"/>
      <c r="AH899" s="7" t="n"/>
      <c r="AI899" s="7" t="n"/>
      <c r="AJ899" s="7" t="n"/>
      <c r="AK899" s="7" t="n"/>
      <c r="AL899" s="7" t="n"/>
      <c r="AM899" s="7" t="n">
        <v>1234</v>
      </c>
      <c r="AN899" s="10" t="n"/>
      <c r="AO899" s="10" t="n"/>
      <c r="AP899" s="10" t="n"/>
      <c r="AQ899" s="10" t="n"/>
    </row>
    <row r="900">
      <c r="A900" s="7" t="inlineStr">
        <is>
          <t>b7-0083</t>
        </is>
      </c>
      <c r="B900" s="7" t="inlineStr">
        <is>
          <t>Point</t>
        </is>
      </c>
      <c r="C900" s="7" t="n"/>
      <c r="D900" s="7" t="inlineStr">
        <is>
          <t>1291 C.E.</t>
        </is>
      </c>
      <c r="E900" s="7" t="inlineStr">
        <is>
          <t>1291</t>
        </is>
      </c>
      <c r="F900" s="7" t="inlineStr">
        <is>
          <t>1291 CE</t>
        </is>
      </c>
      <c r="G900" s="7" t="inlineStr">
        <is>
          <t>Exact</t>
        </is>
      </c>
      <c r="H900" s="7" t="n"/>
      <c r="I900" s="7" t="n"/>
      <c r="J900" s="7" t="n"/>
      <c r="K900" s="2" t="inlineStr">
        <is>
          <t>Acre, last crusader stronghold, falls</t>
        </is>
      </c>
      <c r="L900" s="2" t="inlineStr">
        <is>
          <t>1291-ல் சிலுவைப் போர் வீரர்களின் கடைசி அரணான பட்டணமாகிய ஏக்கர் முஸ்லிம்களிடம் வீழ்ச்சியடைந்தது</t>
        </is>
      </c>
      <c r="M900" s="7" t="inlineStr">
        <is>
          <t>In 1291 Acre, the last crusader stronghold, fell to the Muslims, ending two centuries of Crusades in which political and economic interests dominated. The last major Crusade had begun in 1270.</t>
        </is>
      </c>
      <c r="N900" s="7" t="inlineStr">
        <is>
          <t>1291-ல் சிலுவைப் போர் வீரர்களின் கடைசி அரணான பட்டணமாகிய ஏக்கர் முஸ்லிம்களிடம் வீழ்ச்சியடைந்தது.</t>
        </is>
      </c>
      <c r="O900" s="12" t="inlineStr">
        <is>
          <t>Bible &amp; church history</t>
        </is>
      </c>
      <c r="P900" s="7" t="inlineStr">
        <is>
          <t>history.apostasy</t>
        </is>
      </c>
      <c r="Q900" s="7" t="inlineStr">
        <is>
          <t>battle</t>
        </is>
      </c>
      <c r="R900" s="7" t="n"/>
      <c r="S900" s="7" t="inlineStr">
        <is>
          <t>Acre</t>
        </is>
      </c>
      <c r="T900" s="7" t="n"/>
      <c r="U900" s="7" t="n"/>
      <c r="V900" s="7" t="n">
        <v>2</v>
      </c>
      <c r="W900" s="7" t="inlineStr">
        <is>
          <t>The Crusades—A ‘Tragic Illusion’</t>
        </is>
      </c>
      <c r="X900" s="9" t="inlineStr">
        <is>
          <t>open</t>
        </is>
      </c>
      <c r="Y900" s="9" t="inlineStr">
        <is>
          <t>open</t>
        </is>
      </c>
      <c r="Z900" s="7" t="inlineStr">
        <is>
          <t>https://wol.jw.org/en/wol/d/r1/lp-e/101997724#h=29
https://wol.jw.org/en/wol/d/r1/lp-e/101997724#h=4</t>
        </is>
      </c>
      <c r="AA900" s="7" t="n">
        <v>0</v>
      </c>
      <c r="AB900" s="7" t="n"/>
      <c r="AC900" s="7" t="n">
        <v>0</v>
      </c>
      <c r="AD900" s="7" t="n"/>
      <c r="AE900" s="7" t="n"/>
      <c r="AF900" s="7" t="n"/>
      <c r="AG900" s="7" t="n"/>
      <c r="AH900" s="7" t="n"/>
      <c r="AI900" s="7" t="inlineStr">
        <is>
          <t>Span endpoint – keep</t>
        </is>
      </c>
      <c r="AJ900" s="7" t="inlineStr">
        <is>
          <t>end of The Crusades (b12-0060)</t>
        </is>
      </c>
      <c r="AK900" s="7" t="n"/>
      <c r="AL900" s="7" t="n"/>
      <c r="AM900" s="7" t="n">
        <v>1291</v>
      </c>
      <c r="AN900" s="10" t="n"/>
      <c r="AO900" s="10" t="n"/>
      <c r="AP900" s="10" t="n"/>
      <c r="AQ900" s="10" t="n"/>
    </row>
    <row r="901">
      <c r="A901" s="7" t="inlineStr">
        <is>
          <t>b7-0084</t>
        </is>
      </c>
      <c r="B901" s="7" t="inlineStr">
        <is>
          <t>Point</t>
        </is>
      </c>
      <c r="C901" s="7" t="n"/>
      <c r="D901" s="7" t="inlineStr">
        <is>
          <t>c. 1330</t>
        </is>
      </c>
      <c r="E901" s="7" t="inlineStr">
        <is>
          <t>1330</t>
        </is>
      </c>
      <c r="F901" s="7" t="inlineStr">
        <is>
          <t>1330 CE</t>
        </is>
      </c>
      <c r="G901" s="7" t="inlineStr">
        <is>
          <t>Approx. (c.)</t>
        </is>
      </c>
      <c r="H901" s="7" t="n"/>
      <c r="I901" s="7" t="n"/>
      <c r="J901" s="7" t="n"/>
      <c r="K901" s="2" t="inlineStr">
        <is>
          <t>John Wycliffe born</t>
        </is>
      </c>
      <c r="L901" s="2" t="n"/>
      <c r="M901" s="7" t="inlineStr">
        <is>
          <t>John Wycliffe, later called "the morning star of the Reformation," was born about 1330, when church services in England were conducted in Latin.</t>
        </is>
      </c>
      <c r="N901" s="7" t="inlineStr">
        <is>
          <t>“மத சீர்திருத்த இயக்கத்தின் விடிவெள்ளி” என்று அழைக்கப்பட்ட ஜான் விக்ளிஃப் (1330?-84) என்பவர் ஒரு கத்தோலிக்க மதகுருவாகவும் இங்கிலாந்திலுள்ள ஆக்ஸ்ஃபர்டில் இறையியல் பேராசிரியராகவும் பணிபுரிந்து வந்தார்.</t>
        </is>
      </c>
      <c r="O901" s="12" t="inlineStr">
        <is>
          <t>Bible &amp; church history</t>
        </is>
      </c>
      <c r="P901" s="7" t="inlineStr">
        <is>
          <t>history.reform</t>
        </is>
      </c>
      <c r="Q901" s="7" t="inlineStr">
        <is>
          <t>birth</t>
        </is>
      </c>
      <c r="R901" s="7" t="inlineStr">
        <is>
          <t>John Wycliffe</t>
        </is>
      </c>
      <c r="S901" s="7" t="inlineStr">
        <is>
          <t>England</t>
        </is>
      </c>
      <c r="T901" s="7" t="n"/>
      <c r="U901" s="7" t="n"/>
      <c r="V901" s="7" t="n">
        <v>2</v>
      </c>
      <c r="W901" s="7" t="inlineStr">
        <is>
          <t>They Loved the Word of God</t>
        </is>
      </c>
      <c r="X901" s="9" t="inlineStr">
        <is>
          <t>open</t>
        </is>
      </c>
      <c r="Y901" s="7" t="n"/>
      <c r="Z901" s="7" t="inlineStr">
        <is>
          <t>https://wol.jw.org/en/wol/d/r1/lp-e/2009402#h=5
https://wol.jw.org/en/wol/d/r1/lp-e/1101990045#h=16</t>
        </is>
      </c>
      <c r="AA901" s="7" t="n">
        <v>0</v>
      </c>
      <c r="AB901" s="7" t="n"/>
      <c r="AC901" s="7" t="n">
        <v>0</v>
      </c>
      <c r="AD901" s="7" t="n"/>
      <c r="AE901" s="7" t="n"/>
      <c r="AF901" s="7" t="n"/>
      <c r="AG901" s="7" t="n"/>
      <c r="AH901" s="7" t="n"/>
      <c r="AI901" s="7" t="inlineStr">
        <is>
          <t>Covered by span – hide on chart</t>
        </is>
      </c>
      <c r="AJ901" s="7" t="inlineStr">
        <is>
          <t>start of Life of John Wycliffe (d1-0025)</t>
        </is>
      </c>
      <c r="AK901" s="7" t="n"/>
      <c r="AL901" s="7" t="n"/>
      <c r="AM901" s="7" t="n">
        <v>1330</v>
      </c>
      <c r="AN901" s="10" t="n"/>
      <c r="AO901" s="10" t="n"/>
      <c r="AP901" s="10" t="n"/>
      <c r="AQ901" s="10" t="n"/>
    </row>
    <row r="902">
      <c r="A902" s="7" t="inlineStr">
        <is>
          <t>d1-0025</t>
        </is>
      </c>
      <c r="B902" s="11" t="inlineStr">
        <is>
          <t>Span</t>
        </is>
      </c>
      <c r="C902" s="7" t="inlineStr">
        <is>
          <t>lifespan</t>
        </is>
      </c>
      <c r="D902" s="7" t="inlineStr">
        <is>
          <t>c. 1330 – 1384, December 31</t>
        </is>
      </c>
      <c r="E902" s="7" t="inlineStr">
        <is>
          <t>1330 – 1384</t>
        </is>
      </c>
      <c r="F902" s="7" t="inlineStr">
        <is>
          <t>1330 CE</t>
        </is>
      </c>
      <c r="G902" s="7" t="inlineStr">
        <is>
          <t>Approx. (c.)</t>
        </is>
      </c>
      <c r="H902" s="7" t="inlineStr">
        <is>
          <t>1384 CE</t>
        </is>
      </c>
      <c r="I902" s="7" t="inlineStr">
        <is>
          <t>Exact</t>
        </is>
      </c>
      <c r="J902" s="7" t="inlineStr">
        <is>
          <t>c. 54 years</t>
        </is>
      </c>
      <c r="K902" s="2" t="inlineStr">
        <is>
          <t>Life of John Wycliffe</t>
        </is>
      </c>
      <c r="L902" s="2" t="n"/>
      <c r="M902" s="7" t="inlineStr">
        <is>
          <t>John Wycliffe: from John Wycliffe born (c. 1330) to John Wycliffe dies (1384, December 31). Dates as given in the cited jw.org publications.</t>
        </is>
      </c>
      <c r="N902" s="7" t="n"/>
      <c r="O902" s="12" t="inlineStr">
        <is>
          <t>Bible &amp; church history</t>
        </is>
      </c>
      <c r="P902" s="7" t="inlineStr">
        <is>
          <t>history.reform</t>
        </is>
      </c>
      <c r="Q902" s="7" t="inlineStr">
        <is>
          <t>lifespan</t>
        </is>
      </c>
      <c r="R902" s="7" t="inlineStr">
        <is>
          <t>John Wycliffe</t>
        </is>
      </c>
      <c r="S902" s="7" t="inlineStr">
        <is>
          <t>England</t>
        </is>
      </c>
      <c r="T902" s="7" t="n"/>
      <c r="U902" s="7" t="n"/>
      <c r="V902" s="7" t="n">
        <v>3</v>
      </c>
      <c r="W902" s="7" t="inlineStr">
        <is>
          <t>They Loved the Word of God</t>
        </is>
      </c>
      <c r="X902" s="9" t="inlineStr">
        <is>
          <t>open</t>
        </is>
      </c>
      <c r="Y902" s="7" t="n"/>
      <c r="Z902" s="7" t="inlineStr">
        <is>
          <t>https://wol.jw.org/en/wol/d/r1/lp-e/2009402#h=5
https://wol.jw.org/en/wol/d/r1/lp-e/1101990045#h=16
https://wol.jw.org/en/wol/d/r1/lp-e/1997685#h=5</t>
        </is>
      </c>
      <c r="AA902" s="7" t="n">
        <v>0</v>
      </c>
      <c r="AB902" s="7" t="n"/>
      <c r="AC902" s="7" t="n">
        <v>0</v>
      </c>
      <c r="AD902" s="7" t="n"/>
      <c r="AE902" s="7" t="inlineStr">
        <is>
          <t>Built from b7-0084 (start) and b7-0087 (end).</t>
        </is>
      </c>
      <c r="AF902" s="7" t="inlineStr">
        <is>
          <t>b7-0084</t>
        </is>
      </c>
      <c r="AG902" s="7" t="inlineStr">
        <is>
          <t>b7-0087</t>
        </is>
      </c>
      <c r="AH902" s="7" t="n"/>
      <c r="AI902" s="7" t="n"/>
      <c r="AJ902" s="7" t="n"/>
      <c r="AK902" s="7" t="n"/>
      <c r="AL902" s="7" t="n"/>
      <c r="AM902" s="7" t="n">
        <v>1330</v>
      </c>
      <c r="AN902" s="10" t="n"/>
      <c r="AO902" s="10" t="n"/>
      <c r="AP902" s="10" t="n"/>
      <c r="AQ902" s="10" t="n"/>
    </row>
    <row r="903">
      <c r="A903" s="7" t="inlineStr">
        <is>
          <t>b7-0085</t>
        </is>
      </c>
      <c r="B903" s="7" t="inlineStr">
        <is>
          <t>Point</t>
        </is>
      </c>
      <c r="C903" s="7" t="n"/>
      <c r="D903" s="7" t="inlineStr">
        <is>
          <t>1382</t>
        </is>
      </c>
      <c r="E903" s="7" t="inlineStr">
        <is>
          <t>1382</t>
        </is>
      </c>
      <c r="F903" s="7" t="inlineStr">
        <is>
          <t>1382 CE</t>
        </is>
      </c>
      <c r="G903" s="7" t="inlineStr">
        <is>
          <t>Exact</t>
        </is>
      </c>
      <c r="H903" s="7" t="n"/>
      <c r="I903" s="7" t="n"/>
      <c r="J903" s="7" t="n"/>
      <c r="K903" s="2" t="inlineStr">
        <is>
          <t>Anne of Bohemia, reader of Wycliffe's Gospels, marries Richard II</t>
        </is>
      </c>
      <c r="L903" s="2" t="inlineStr">
        <is>
          <t>இவர் 1382-ல் இங்கிலாந்தின் எதிர்கால அரசர் இரண்டாம் ரிச்சர்டை திருமணம் செய்திருந்தார்</t>
        </is>
      </c>
      <c r="M903" s="7" t="inlineStr">
        <is>
          <t>Anne of Bohemia, who studied Wycliffe's English Gospels, married King Richard II of England in 1382. She encouraged Prague students to study at Oxford, carrying Wycliffe's works back to Prague, which later supported Jan Hus.</t>
        </is>
      </c>
      <c r="N903" s="7" t="inlineStr">
        <is>
          <t>இவர் 1382-ல் இங்கிலாந்தின் எதிர்கால அரசர் இரண்டாம் ரிச்சர்டை திருமணம் செய்திருந்தார்.</t>
        </is>
      </c>
      <c r="O903" s="12" t="inlineStr">
        <is>
          <t>Bible &amp; church history</t>
        </is>
      </c>
      <c r="P903" s="7" t="inlineStr">
        <is>
          <t>history.reform</t>
        </is>
      </c>
      <c r="Q903" s="7" t="inlineStr">
        <is>
          <t>marriage</t>
        </is>
      </c>
      <c r="R903" s="7" t="inlineStr">
        <is>
          <t>Anne of Bohemia; Richard II</t>
        </is>
      </c>
      <c r="S903" s="7" t="inlineStr">
        <is>
          <t>England; Prague</t>
        </is>
      </c>
      <c r="T903" s="7" t="n"/>
      <c r="U903" s="7" t="n"/>
      <c r="V903" s="7" t="n">
        <v>1</v>
      </c>
      <c r="W903" s="7" t="inlineStr">
        <is>
          <t>Part Two—How the Bible Came to Us</t>
        </is>
      </c>
      <c r="X903" s="9" t="inlineStr">
        <is>
          <t>open</t>
        </is>
      </c>
      <c r="Y903" s="9" t="inlineStr">
        <is>
          <t>open</t>
        </is>
      </c>
      <c r="Z903" s="7" t="inlineStr">
        <is>
          <t>https://wol.jw.org/en/wol/d/r1/lp-e/1997685#h=8</t>
        </is>
      </c>
      <c r="AA903" s="7" t="n">
        <v>0</v>
      </c>
      <c r="AB903" s="7" t="n"/>
      <c r="AC903" s="7" t="n">
        <v>0</v>
      </c>
      <c r="AD903" s="7" t="n"/>
      <c r="AE903" s="7" t="n"/>
      <c r="AF903" s="7" t="n"/>
      <c r="AG903" s="7" t="n"/>
      <c r="AH903" s="7" t="n"/>
      <c r="AI903" s="7" t="n"/>
      <c r="AJ903" s="7" t="n"/>
      <c r="AK903" s="7" t="n"/>
      <c r="AL903" s="7" t="n"/>
      <c r="AM903" s="7" t="n">
        <v>1381.9</v>
      </c>
      <c r="AN903" s="10" t="n"/>
      <c r="AO903" s="10" t="n"/>
      <c r="AP903" s="10" t="n"/>
      <c r="AQ903" s="10" t="n"/>
    </row>
    <row r="904">
      <c r="A904" s="7" t="inlineStr">
        <is>
          <t>b7-0086</t>
        </is>
      </c>
      <c r="B904" s="7" t="inlineStr">
        <is>
          <t>Point</t>
        </is>
      </c>
      <c r="C904" s="7" t="n"/>
      <c r="D904" s="7" t="inlineStr">
        <is>
          <t>c. 1382</t>
        </is>
      </c>
      <c r="E904" s="7" t="inlineStr">
        <is>
          <t>சுமார் 1382</t>
        </is>
      </c>
      <c r="F904" s="7" t="inlineStr">
        <is>
          <t>1382 CE</t>
        </is>
      </c>
      <c r="G904" s="7" t="inlineStr">
        <is>
          <t>Approx. (c.)</t>
        </is>
      </c>
      <c r="H904" s="7" t="n"/>
      <c r="I904" s="7" t="n"/>
      <c r="J904" s="7" t="n"/>
      <c r="K904" s="2" t="inlineStr">
        <is>
          <t>Wycliffe's English Bible released</t>
        </is>
      </c>
      <c r="L904" s="2" t="inlineStr">
        <is>
          <t>வைக்கிளிப்பின் பைபிளின் துவக்கம் (1384-க்கு முன்)</t>
        </is>
      </c>
      <c r="M904" s="7" t="inlineStr">
        <is>
          <t>About 1382, shortly before Wycliffe died, his team released the first English version of the entire Bible, translated from the Latin Vulgate and copied by hand. His followers, the Lollards, circulated it throughout England; a revised, easier version followed about ten years later.</t>
        </is>
      </c>
      <c r="N904" s="7" t="inlineStr">
        <is>
          <t>சுமார் 1382-ஆம் வருடத்தில், ஜான் வைக்கிளிப்பும் அவருடைய தோழர்களும் சேர்ந்து பைபிளை ஆங்கில மொழியில் முதன்முதலாக மொழிபெயர்த்து வெளியிட்டார்கள்.</t>
        </is>
      </c>
      <c r="O904" s="12" t="inlineStr">
        <is>
          <t>Bible &amp; church history</t>
        </is>
      </c>
      <c r="P904" s="7" t="inlineStr">
        <is>
          <t>history.bible_translation</t>
        </is>
      </c>
      <c r="Q904" s="7" t="inlineStr">
        <is>
          <t>release</t>
        </is>
      </c>
      <c r="R904" s="7" t="inlineStr">
        <is>
          <t>John Wycliffe</t>
        </is>
      </c>
      <c r="S904" s="7" t="inlineStr">
        <is>
          <t>England</t>
        </is>
      </c>
      <c r="T904" s="7" t="n"/>
      <c r="U904" s="7" t="n"/>
      <c r="V904" s="7" t="n">
        <v>5</v>
      </c>
      <c r="W904" s="7" t="inlineStr">
        <is>
          <t>They Loved the Word of God</t>
        </is>
      </c>
      <c r="X904" s="9" t="inlineStr">
        <is>
          <t>open</t>
        </is>
      </c>
      <c r="Y904" s="7" t="n"/>
      <c r="Z904" s="7" t="inlineStr">
        <is>
          <t>https://wol.jw.org/en/wol/d/r1/lp-e/2009402#h=8
https://wol.jw.org/en/wol/d/r1/lp-e/2013122#h=18
https://wol.jw.org/en/wol/d/r1/lp-e/102011446#h=5
https://wol.jw.org/en/wol/d/r1/lp-e/1997685#h=41
https://wol.jw.org/en/wol/d/r1/lp-e/1997685#h=5</t>
        </is>
      </c>
      <c r="AA904" s="7" t="n">
        <v>0</v>
      </c>
      <c r="AB904" s="7" t="n"/>
      <c r="AC904" s="7" t="n">
        <v>2</v>
      </c>
      <c r="AD904" s="7" t="inlineStr">
        <is>
          <t>Awake! 2011 12 says "about 1380" | Watchtower 1997 9/15 chart: "Wycliffe Bible begun (b. 1384)"</t>
        </is>
      </c>
      <c r="AE904" s="7" t="n"/>
      <c r="AF904" s="7" t="n"/>
      <c r="AG904" s="7" t="n"/>
      <c r="AH904" s="7" t="n"/>
      <c r="AI904" s="7" t="n"/>
      <c r="AJ904" s="7" t="n"/>
      <c r="AK904" s="7" t="inlineStr">
        <is>
          <t>how-the-bible-came-to-us #25 (step)</t>
        </is>
      </c>
      <c r="AL904" s="7" t="n"/>
      <c r="AM904" s="7" t="n">
        <v>1382</v>
      </c>
      <c r="AN904" s="10" t="n"/>
      <c r="AO904" s="10" t="n"/>
      <c r="AP904" s="10" t="n"/>
      <c r="AQ904" s="10" t="n"/>
    </row>
    <row r="905">
      <c r="A905" s="7" t="inlineStr">
        <is>
          <t>b7-0087</t>
        </is>
      </c>
      <c r="B905" s="7" t="inlineStr">
        <is>
          <t>Point</t>
        </is>
      </c>
      <c r="C905" s="7" t="n"/>
      <c r="D905" s="7" t="inlineStr">
        <is>
          <t>1384, December 31</t>
        </is>
      </c>
      <c r="E905" s="7" t="inlineStr">
        <is>
          <t>1384</t>
        </is>
      </c>
      <c r="F905" s="7" t="inlineStr">
        <is>
          <t>1384 CE</t>
        </is>
      </c>
      <c r="G905" s="7" t="inlineStr">
        <is>
          <t>Exact</t>
        </is>
      </c>
      <c r="H905" s="7" t="n"/>
      <c r="I905" s="7" t="n"/>
      <c r="J905" s="7" t="n"/>
      <c r="K905" s="2" t="inlineStr">
        <is>
          <t>John Wycliffe dies</t>
        </is>
      </c>
      <c r="L905" s="2" t="n"/>
      <c r="M905" s="7" t="inlineStr">
        <is>
          <t>Because of his prominence, Wycliffe was allowed to die in peace on the last day of 1384, though his Lollard followers were later persecuted.</t>
        </is>
      </c>
      <c r="N905" s="7" t="inlineStr">
        <is>
          <t>ஆட்சியாளர்கள் மத்தியிலும் அறிஞர்களின் மத்தியிலும் விக்ளிஃபுக்கு செல்வாக்கு இருந்ததால் அவருக்கு மரண தண்டனை அளிக்கப்படவில்லை, மாறாக 1384-ம் ஆண்டின் கடைசி நாளில் இயற்கை மரணம் எய்தும்படி விடப்பட்டார்.</t>
        </is>
      </c>
      <c r="O905" s="12" t="inlineStr">
        <is>
          <t>Bible &amp; church history</t>
        </is>
      </c>
      <c r="P905" s="7" t="inlineStr">
        <is>
          <t>history.reform</t>
        </is>
      </c>
      <c r="Q905" s="7" t="inlineStr">
        <is>
          <t>death</t>
        </is>
      </c>
      <c r="R905" s="7" t="inlineStr">
        <is>
          <t>John Wycliffe</t>
        </is>
      </c>
      <c r="S905" s="7" t="n"/>
      <c r="T905" s="7" t="n"/>
      <c r="U905" s="7" t="n"/>
      <c r="V905" s="7" t="n">
        <v>2</v>
      </c>
      <c r="W905" s="7" t="inlineStr">
        <is>
          <t>The Reformation—The Search Took a New Turn</t>
        </is>
      </c>
      <c r="X905" s="9" t="inlineStr">
        <is>
          <t>open</t>
        </is>
      </c>
      <c r="Y905" s="9" t="inlineStr">
        <is>
          <t>open</t>
        </is>
      </c>
      <c r="Z905" s="7" t="inlineStr">
        <is>
          <t>https://wol.jw.org/en/wol/d/r1/lp-e/1101990045#h=18
https://wol.jw.org/en/wol/d/r1/lp-e/1997685#h=5</t>
        </is>
      </c>
      <c r="AA905" s="7" t="n">
        <v>0</v>
      </c>
      <c r="AB905" s="7" t="n"/>
      <c r="AC905" s="7" t="n">
        <v>0</v>
      </c>
      <c r="AD905" s="7" t="n"/>
      <c r="AE905" s="7" t="n"/>
      <c r="AF905" s="7" t="n"/>
      <c r="AG905" s="7" t="n"/>
      <c r="AH905" s="7" t="n"/>
      <c r="AI905" s="7" t="inlineStr">
        <is>
          <t>Covered by span – hide on chart</t>
        </is>
      </c>
      <c r="AJ905" s="7" t="inlineStr">
        <is>
          <t>end of Life of John Wycliffe (d1-0025)</t>
        </is>
      </c>
      <c r="AK905" s="7" t="n"/>
      <c r="AL905" s="7" t="n"/>
      <c r="AM905" s="7" t="n">
        <v>1384.9973</v>
      </c>
      <c r="AN905" s="10" t="n"/>
      <c r="AO905" s="10" t="n"/>
      <c r="AP905" s="10" t="n"/>
      <c r="AQ905" s="10" t="n"/>
    </row>
    <row r="906">
      <c r="A906" s="7" t="inlineStr">
        <is>
          <t>b7-0088</t>
        </is>
      </c>
      <c r="B906" s="7" t="inlineStr">
        <is>
          <t>Point</t>
        </is>
      </c>
      <c r="C906" s="7" t="n"/>
      <c r="D906" s="7" t="inlineStr">
        <is>
          <t>1403</t>
        </is>
      </c>
      <c r="E906" s="7" t="n"/>
      <c r="F906" s="7" t="inlineStr">
        <is>
          <t>1403 CE</t>
        </is>
      </c>
      <c r="G906" s="7" t="inlineStr">
        <is>
          <t>Exact</t>
        </is>
      </c>
      <c r="H906" s="7" t="n"/>
      <c r="I906" s="7" t="n"/>
      <c r="J906" s="7" t="n"/>
      <c r="K906" s="2" t="inlineStr">
        <is>
          <t>Authorities order Jan Hus to stop preaching Wycliffe's ideas</t>
        </is>
      </c>
      <c r="L906" s="2" t="n"/>
      <c r="M906" s="7" t="inlineStr">
        <is>
          <t>In 1403 authorities ordered Jan Hus, rector of the University of Prague, to stop preaching Wycliffe's antipapal ideas, and Wycliffe's books were publicly burned.</t>
        </is>
      </c>
      <c r="N906" s="7" t="n"/>
      <c r="O906" s="12" t="inlineStr">
        <is>
          <t>Bible &amp; church history</t>
        </is>
      </c>
      <c r="P906" s="7" t="inlineStr">
        <is>
          <t>history.reform</t>
        </is>
      </c>
      <c r="Q906" s="7" t="inlineStr">
        <is>
          <t>decree</t>
        </is>
      </c>
      <c r="R906" s="7" t="inlineStr">
        <is>
          <t>Jan Hus</t>
        </is>
      </c>
      <c r="S906" s="7" t="inlineStr">
        <is>
          <t>Prague</t>
        </is>
      </c>
      <c r="T906" s="7" t="n"/>
      <c r="U906" s="7" t="n"/>
      <c r="V906" s="7" t="n">
        <v>1</v>
      </c>
      <c r="W906" s="7" t="inlineStr">
        <is>
          <t>The Reformation—The Search Took a New Turn</t>
        </is>
      </c>
      <c r="X906" s="9" t="inlineStr">
        <is>
          <t>open</t>
        </is>
      </c>
      <c r="Y906" s="9" t="inlineStr">
        <is>
          <t>open</t>
        </is>
      </c>
      <c r="Z906" s="7" t="inlineStr">
        <is>
          <t>https://wol.jw.org/en/wol/d/r1/lp-e/1101990045#h=19</t>
        </is>
      </c>
      <c r="AA906" s="7" t="n">
        <v>0</v>
      </c>
      <c r="AB906" s="7" t="n"/>
      <c r="AC906" s="7" t="n">
        <v>1</v>
      </c>
      <c r="AD906" s="7" t="inlineStr">
        <is>
          <t>The Tamil edition of sh chap. 13 (same paragraph) reads that in 1403 the order to stop preaching came to Wycliffe; the English says it was given to Hus. Tamil description left blank for this reason.</t>
        </is>
      </c>
      <c r="AE906" s="7" t="n"/>
      <c r="AF906" s="7" t="n"/>
      <c r="AG906" s="7" t="n"/>
      <c r="AH906" s="7" t="n"/>
      <c r="AI906" s="7" t="n"/>
      <c r="AJ906" s="7" t="n"/>
      <c r="AK906" s="7" t="n"/>
      <c r="AL906" s="7" t="n"/>
      <c r="AM906" s="7" t="n">
        <v>1403</v>
      </c>
      <c r="AN906" s="10" t="n"/>
      <c r="AO906" s="10" t="n"/>
      <c r="AP906" s="10" t="n"/>
      <c r="AQ906" s="10" t="n"/>
    </row>
    <row r="907">
      <c r="A907" s="7" t="inlineStr">
        <is>
          <t>b7-0089</t>
        </is>
      </c>
      <c r="B907" s="7" t="inlineStr">
        <is>
          <t>Point</t>
        </is>
      </c>
      <c r="C907" s="7" t="n"/>
      <c r="D907" s="7" t="inlineStr">
        <is>
          <t>1410</t>
        </is>
      </c>
      <c r="E907" s="7" t="inlineStr">
        <is>
          <t>1410</t>
        </is>
      </c>
      <c r="F907" s="7" t="inlineStr">
        <is>
          <t>1410 CE</t>
        </is>
      </c>
      <c r="G907" s="7" t="inlineStr">
        <is>
          <t>Exact</t>
        </is>
      </c>
      <c r="H907" s="7" t="n"/>
      <c r="I907" s="7" t="n"/>
      <c r="J907" s="7" t="n"/>
      <c r="K907" s="2" t="inlineStr">
        <is>
          <t>Jan Hus condemned and excommunicated</t>
        </is>
      </c>
      <c r="L907" s="2" t="n"/>
      <c r="M907" s="7" t="inlineStr">
        <is>
          <t>After writing stinging indictments of church practices, including the sale of indulgences, Hus was condemned and excommunicated in 1410.</t>
        </is>
      </c>
      <c r="N907" s="7" t="inlineStr">
        <is>
          <t>ஆனால் ஹஸ், ரோமன் சர்ச்சின் படுமோசமான சில பழக்கவழக்கங்களை கடுமையாக கண்டித்து தொடர்ந்து புத்தகங்கள் எழுதினார்; அதில் பாவ மன்னிப்புச் சீட்டுகள் விற்கப்படுவதை பெரிதும் கண்டித்தார்.a கடைசியாக, 1410-ல் குற்றவாளியென்று தீர்க்கப்பட்டு சர்ச்சிலிருந்தே விலக்கப்பட்டார்.</t>
        </is>
      </c>
      <c r="O907" s="12" t="inlineStr">
        <is>
          <t>Bible &amp; church history</t>
        </is>
      </c>
      <c r="P907" s="7" t="inlineStr">
        <is>
          <t>history.reform</t>
        </is>
      </c>
      <c r="Q907" s="7" t="inlineStr">
        <is>
          <t>excommunication</t>
        </is>
      </c>
      <c r="R907" s="7" t="inlineStr">
        <is>
          <t>Jan Hus</t>
        </is>
      </c>
      <c r="S907" s="7" t="n"/>
      <c r="T907" s="7" t="n"/>
      <c r="U907" s="7" t="n"/>
      <c r="V907" s="7" t="n">
        <v>1</v>
      </c>
      <c r="W907" s="7" t="inlineStr">
        <is>
          <t>The Reformation—The Search Took a New Turn</t>
        </is>
      </c>
      <c r="X907" s="9" t="inlineStr">
        <is>
          <t>open</t>
        </is>
      </c>
      <c r="Y907" s="9" t="inlineStr">
        <is>
          <t>open</t>
        </is>
      </c>
      <c r="Z907" s="7" t="inlineStr">
        <is>
          <t>https://wol.jw.org/en/wol/d/r1/lp-e/1101990045#h=19</t>
        </is>
      </c>
      <c r="AA907" s="7" t="n">
        <v>0</v>
      </c>
      <c r="AB907" s="7" t="n"/>
      <c r="AC907" s="7" t="n">
        <v>0</v>
      </c>
      <c r="AD907" s="7" t="n"/>
      <c r="AE907" s="7" t="n"/>
      <c r="AF907" s="7" t="n"/>
      <c r="AG907" s="7" t="n"/>
      <c r="AH907" s="7" t="n"/>
      <c r="AI907" s="7" t="n"/>
      <c r="AJ907" s="7" t="n"/>
      <c r="AK907" s="7" t="n"/>
      <c r="AL907" s="7" t="n"/>
      <c r="AM907" s="7" t="n">
        <v>1410</v>
      </c>
      <c r="AN907" s="10" t="n"/>
      <c r="AO907" s="10" t="n"/>
      <c r="AP907" s="10" t="n"/>
      <c r="AQ907" s="10" t="n"/>
    </row>
    <row r="908">
      <c r="A908" s="7" t="inlineStr">
        <is>
          <t>b7-0090</t>
        </is>
      </c>
      <c r="B908" s="7" t="inlineStr">
        <is>
          <t>Point</t>
        </is>
      </c>
      <c r="C908" s="7" t="n"/>
      <c r="D908" s="7" t="inlineStr">
        <is>
          <t>1412</t>
        </is>
      </c>
      <c r="E908" s="7" t="inlineStr">
        <is>
          <t>1412</t>
        </is>
      </c>
      <c r="F908" s="7" t="inlineStr">
        <is>
          <t>1412 CE</t>
        </is>
      </c>
      <c r="G908" s="7" t="inlineStr">
        <is>
          <t>Exact</t>
        </is>
      </c>
      <c r="H908" s="7" t="n"/>
      <c r="I908" s="7" t="n"/>
      <c r="J908" s="7" t="n"/>
      <c r="K908" s="2" t="inlineStr">
        <is>
          <t>Archbishop Arundel denounces Wycliffe for translating the Scriptures</t>
        </is>
      </c>
      <c r="L908" s="2" t="n"/>
      <c r="M908" s="7" t="inlineStr">
        <is>
          <t>In a 1412 letter to Pope John XXIII, Archbishop Arundel called Wycliffe a "son of the old serpent," condemning him above all for devising "a new translation of the scriptures into the mother tongue."</t>
        </is>
      </c>
      <c r="N908" s="7" t="inlineStr">
        <is>
          <t>1412-ல் போப் ஜான் XXIII-க்கு எழுதிய கடிதமொன்றில், பேராயர் அரண்டெல், இவரை “அந்த உதவாக்கரையான, எரிச்சலைமூட்டும் பயல் ஜான் வைக்கிளிப், நினைத்தாலே குமட்டிக்கொண்டு வரும் அந்த மனிதன், பழைய பாம்பின் மைந்தன், அந்திக்கிறிஸ்துவின் முன்னோடியும் பிள்ளையும்” என்பதாக குறிப்பிட்டிருந்தார்.</t>
        </is>
      </c>
      <c r="O908" s="12" t="inlineStr">
        <is>
          <t>Bible &amp; church history</t>
        </is>
      </c>
      <c r="P908" s="7" t="inlineStr">
        <is>
          <t>history.apostasy</t>
        </is>
      </c>
      <c r="Q908" s="7" t="inlineStr">
        <is>
          <t>letter</t>
        </is>
      </c>
      <c r="R908" s="7" t="inlineStr">
        <is>
          <t>Arundel; John Wycliffe</t>
        </is>
      </c>
      <c r="S908" s="7" t="n"/>
      <c r="T908" s="7" t="n"/>
      <c r="U908" s="7" t="n"/>
      <c r="V908" s="7" t="n">
        <v>1</v>
      </c>
      <c r="W908" s="7" t="inlineStr">
        <is>
          <t>Part Two—How the Bible Came to Us</t>
        </is>
      </c>
      <c r="X908" s="9" t="inlineStr">
        <is>
          <t>open</t>
        </is>
      </c>
      <c r="Y908" s="9" t="inlineStr">
        <is>
          <t>open</t>
        </is>
      </c>
      <c r="Z908" s="7" t="inlineStr">
        <is>
          <t>https://wol.jw.org/en/wol/d/r1/lp-e/1997685#h=7</t>
        </is>
      </c>
      <c r="AA908" s="7" t="n">
        <v>0</v>
      </c>
      <c r="AB908" s="7" t="n"/>
      <c r="AC908" s="7" t="n">
        <v>0</v>
      </c>
      <c r="AD908" s="7" t="n"/>
      <c r="AE908" s="7" t="n"/>
      <c r="AF908" s="7" t="n"/>
      <c r="AG908" s="7" t="n"/>
      <c r="AH908" s="7" t="n"/>
      <c r="AI908" s="7" t="n"/>
      <c r="AJ908" s="7" t="n"/>
      <c r="AK908" s="7" t="n"/>
      <c r="AL908" s="7" t="n"/>
      <c r="AM908" s="7" t="n">
        <v>1412</v>
      </c>
      <c r="AN908" s="10" t="n"/>
      <c r="AO908" s="10" t="n"/>
      <c r="AP908" s="10" t="n"/>
      <c r="AQ908" s="10" t="n"/>
    </row>
    <row r="909">
      <c r="A909" s="7" t="inlineStr">
        <is>
          <t>b7-0091</t>
        </is>
      </c>
      <c r="B909" s="7" t="inlineStr">
        <is>
          <t>Point</t>
        </is>
      </c>
      <c r="C909" s="7" t="n"/>
      <c r="D909" s="7" t="inlineStr">
        <is>
          <t>1414</t>
        </is>
      </c>
      <c r="E909" s="7" t="inlineStr">
        <is>
          <t>1414</t>
        </is>
      </c>
      <c r="F909" s="7" t="inlineStr">
        <is>
          <t>1414 CE</t>
        </is>
      </c>
      <c r="G909" s="7" t="inlineStr">
        <is>
          <t>Exact</t>
        </is>
      </c>
      <c r="H909" s="7" t="n"/>
      <c r="I909" s="7" t="n"/>
      <c r="J909" s="7" t="n"/>
      <c r="K909" s="2" t="inlineStr">
        <is>
          <t>Hus summoned to the Council of Constance under false safe-conduct</t>
        </is>
      </c>
      <c r="L909" s="2" t="n"/>
      <c r="M909" s="7" t="inlineStr">
        <is>
          <t>Falsely promised safe-conduct, Hus was tricked into coming before the Council of Constance in 1414 to defend his views before 2,933 clergymen.</t>
        </is>
      </c>
      <c r="N909" s="7" t="inlineStr">
        <is>
          <t>1414-ல், ஹஸ்ஸுக்கு பாதுகாப்பு தரப்படுவதாக பொய்யாய் வாக்கு கொடுத்து அவருடைய கருத்துக்களுக்கு விளக்கமளிக்க ஜெர்மனியில் கேத்தலிக் கவுன்சில் ஆஃப் கான்ஸ்டன்ஸ்-க்கு முன்பாக வரும்படியாக தந்திரமாக ஏற்பாடு செய்யப்பட்டது.</t>
        </is>
      </c>
      <c r="O909" s="12" t="inlineStr">
        <is>
          <t>Bible &amp; church history</t>
        </is>
      </c>
      <c r="P909" s="7" t="inlineStr">
        <is>
          <t>history.persecution</t>
        </is>
      </c>
      <c r="Q909" s="7" t="inlineStr">
        <is>
          <t>trial</t>
        </is>
      </c>
      <c r="R909" s="7" t="inlineStr">
        <is>
          <t>Jan Hus</t>
        </is>
      </c>
      <c r="S909" s="7" t="inlineStr">
        <is>
          <t>Constance</t>
        </is>
      </c>
      <c r="T909" s="7" t="n"/>
      <c r="U909" s="7" t="n"/>
      <c r="V909" s="7" t="n">
        <v>1</v>
      </c>
      <c r="W909" s="7" t="inlineStr">
        <is>
          <t>Part Two—How the Bible Came to Us</t>
        </is>
      </c>
      <c r="X909" s="9" t="inlineStr">
        <is>
          <t>open</t>
        </is>
      </c>
      <c r="Y909" s="9" t="inlineStr">
        <is>
          <t>open</t>
        </is>
      </c>
      <c r="Z909" s="7" t="inlineStr">
        <is>
          <t>https://wol.jw.org/en/wol/d/r1/lp-e/1997685#h=11</t>
        </is>
      </c>
      <c r="AA909" s="7" t="n">
        <v>0</v>
      </c>
      <c r="AB909" s="7" t="n"/>
      <c r="AC909" s="7" t="n">
        <v>0</v>
      </c>
      <c r="AD909" s="7" t="n"/>
      <c r="AE909" s="7" t="n"/>
      <c r="AF909" s="7" t="n"/>
      <c r="AG909" s="7" t="n"/>
      <c r="AH909" s="7" t="n"/>
      <c r="AI909" s="7" t="n"/>
      <c r="AJ909" s="7" t="n"/>
      <c r="AK909" s="7" t="n"/>
      <c r="AL909" s="7" t="n"/>
      <c r="AM909" s="7" t="n">
        <v>1414</v>
      </c>
      <c r="AN909" s="10" t="n"/>
      <c r="AO909" s="10" t="n"/>
      <c r="AP909" s="10" t="n"/>
      <c r="AQ909" s="10" t="n"/>
    </row>
    <row r="910">
      <c r="A910" s="7" t="inlineStr">
        <is>
          <t>b7-0092</t>
        </is>
      </c>
      <c r="B910" s="7" t="inlineStr">
        <is>
          <t>Point</t>
        </is>
      </c>
      <c r="C910" s="7" t="n"/>
      <c r="D910" s="7" t="inlineStr">
        <is>
          <t>1415</t>
        </is>
      </c>
      <c r="E910" s="7" t="inlineStr">
        <is>
          <t>1415</t>
        </is>
      </c>
      <c r="F910" s="7" t="inlineStr">
        <is>
          <t>1415 CE</t>
        </is>
      </c>
      <c r="G910" s="7" t="inlineStr">
        <is>
          <t>Exact</t>
        </is>
      </c>
      <c r="H910" s="7" t="n"/>
      <c r="I910" s="7" t="n"/>
      <c r="J910" s="7" t="n"/>
      <c r="K910" s="2" t="inlineStr">
        <is>
          <t>Jan Hus burned at the stake</t>
        </is>
      </c>
      <c r="L910" s="2" t="inlineStr">
        <is>
          <t>ஹஸ் 1415-ல் ஹஸ்ஸிற்கு மரண தண்டனை நிறைவேற்றப்பட்டது</t>
        </is>
      </c>
      <c r="M910" s="7" t="inlineStr">
        <is>
          <t>Refusing to recant unless proved wrong from the Scriptures, Hus was condemned as a heretic by the Council of Constance and burned at the stake in 1415, praying aloud.</t>
        </is>
      </c>
      <c r="N910" s="7" t="inlineStr">
        <is>
          <t>ஆனால் அவர்களுடைய அதிகாரத்துக்கு விடப்பட்ட ஒரு சவாலே அவரை 1415-ல் கழுமரத்தில் எரிப்பதற்கு போதுமான காரணமாக இருந்தது; அவர் எரிக்கப்படுகையில் உரக்க ஜெபித்துக்கொண்டிருந்தார்.</t>
        </is>
      </c>
      <c r="O910" s="12" t="inlineStr">
        <is>
          <t>Bible &amp; church history</t>
        </is>
      </c>
      <c r="P910" s="7" t="inlineStr">
        <is>
          <t>history.persecution</t>
        </is>
      </c>
      <c r="Q910" s="7" t="inlineStr">
        <is>
          <t>execution</t>
        </is>
      </c>
      <c r="R910" s="7" t="inlineStr">
        <is>
          <t>Jan Hus</t>
        </is>
      </c>
      <c r="S910" s="7" t="inlineStr">
        <is>
          <t>Constance</t>
        </is>
      </c>
      <c r="T910" s="7" t="n"/>
      <c r="U910" s="7" t="n"/>
      <c r="V910" s="7" t="n">
        <v>4</v>
      </c>
      <c r="W910" s="7" t="inlineStr">
        <is>
          <t>Part Two—How the Bible Came to Us</t>
        </is>
      </c>
      <c r="X910" s="9" t="inlineStr">
        <is>
          <t>open</t>
        </is>
      </c>
      <c r="Y910" s="9" t="inlineStr">
        <is>
          <t>open</t>
        </is>
      </c>
      <c r="Z910" s="7" t="inlineStr">
        <is>
          <t>https://wol.jw.org/en/wol/d/r1/lp-e/1997685#h=11
https://wol.jw.org/en/wol/d/r1/lp-e/1997685#h=43
https://wol.jw.org/en/wol/d/r1/lp-e/1101990045#h=20
https://wol.jw.org/en/wol/d/r1/lp-e/2003686#h=16</t>
        </is>
      </c>
      <c r="AA910" s="7" t="n">
        <v>0</v>
      </c>
      <c r="AB910" s="7" t="n"/>
      <c r="AC910" s="7" t="n">
        <v>0</v>
      </c>
      <c r="AD910" s="7" t="n"/>
      <c r="AE910" s="7" t="n"/>
      <c r="AF910" s="7" t="n"/>
      <c r="AG910" s="7" t="n"/>
      <c r="AH910" s="7" t="n"/>
      <c r="AI910" s="7" t="n"/>
      <c r="AJ910" s="7" t="n"/>
      <c r="AK910" s="7" t="n"/>
      <c r="AL910" s="7" t="n"/>
      <c r="AM910" s="7" t="n">
        <v>1415</v>
      </c>
      <c r="AN910" s="10" t="n"/>
      <c r="AO910" s="10" t="n"/>
      <c r="AP910" s="10" t="n"/>
      <c r="AQ910" s="10" t="n"/>
    </row>
    <row r="911">
      <c r="A911" s="7" t="inlineStr">
        <is>
          <t>b7-0093</t>
        </is>
      </c>
      <c r="B911" s="7" t="inlineStr">
        <is>
          <t>Point</t>
        </is>
      </c>
      <c r="C911" s="7" t="n"/>
      <c r="D911" s="7" t="inlineStr">
        <is>
          <t>1415</t>
        </is>
      </c>
      <c r="E911" s="7" t="n"/>
      <c r="F911" s="7" t="inlineStr">
        <is>
          <t>1415 CE</t>
        </is>
      </c>
      <c r="G911" s="7" t="inlineStr">
        <is>
          <t>Exact</t>
        </is>
      </c>
      <c r="H911" s="7" t="n"/>
      <c r="I911" s="7" t="n"/>
      <c r="J911" s="7" t="n"/>
      <c r="K911" s="2" t="inlineStr">
        <is>
          <t>Council of Constance orders Wycliffe's bones exhumed and burned</t>
        </is>
      </c>
      <c r="L911" s="2" t="n"/>
      <c r="M911" s="7" t="inlineStr">
        <is>
          <t>The same council decreed that Wycliffe's bones be dug up and burned, although he had been dead over 30 years.</t>
        </is>
      </c>
      <c r="N911" s="7" t="inlineStr">
        <is>
          <t>ஜான் வைக்கிளிப்பை கண்டனம் செய்து அவமானப்படுத்தும் கடைசி செயலாக, இங்கிலாந்தில் அவருடைய எலும்புகளை தோண்டியெடுத்து எரித்துவிட உத்தரவையும் இதே கவுன்சில் பிறப்பித்தது.</t>
        </is>
      </c>
      <c r="O911" s="12" t="inlineStr">
        <is>
          <t>Bible &amp; church history</t>
        </is>
      </c>
      <c r="P911" s="7" t="inlineStr">
        <is>
          <t>history.persecution</t>
        </is>
      </c>
      <c r="Q911" s="7" t="inlineStr">
        <is>
          <t>decree</t>
        </is>
      </c>
      <c r="R911" s="7" t="inlineStr">
        <is>
          <t>John Wycliffe</t>
        </is>
      </c>
      <c r="S911" s="7" t="n"/>
      <c r="T911" s="7" t="n"/>
      <c r="U911" s="7" t="n"/>
      <c r="V911" s="7" t="n">
        <v>2</v>
      </c>
      <c r="W911" s="7" t="inlineStr">
        <is>
          <t>The Reformation—The Search Took a New Turn</t>
        </is>
      </c>
      <c r="X911" s="9" t="inlineStr">
        <is>
          <t>open</t>
        </is>
      </c>
      <c r="Y911" s="9" t="inlineStr">
        <is>
          <t>open</t>
        </is>
      </c>
      <c r="Z911" s="7" t="inlineStr">
        <is>
          <t>https://wol.jw.org/en/wol/d/r1/lp-e/1101990045#h=20
https://wol.jw.org/en/wol/d/r1/lp-e/1997685#h=12</t>
        </is>
      </c>
      <c r="AA911" s="7" t="n">
        <v>0</v>
      </c>
      <c r="AB911" s="7" t="n"/>
      <c r="AC911" s="7" t="n">
        <v>0</v>
      </c>
      <c r="AD911" s="7" t="n"/>
      <c r="AE911" s="7" t="n"/>
      <c r="AF911" s="7" t="n"/>
      <c r="AG911" s="7" t="n"/>
      <c r="AH911" s="7" t="n"/>
      <c r="AI911" s="7" t="n"/>
      <c r="AJ911" s="7" t="n"/>
      <c r="AK911" s="7" t="n"/>
      <c r="AL911" s="7" t="n"/>
      <c r="AM911" s="7" t="n">
        <v>1415.1</v>
      </c>
      <c r="AN911" s="10" t="n"/>
      <c r="AO911" s="10" t="n"/>
      <c r="AP911" s="10" t="n"/>
      <c r="AQ911" s="10" t="n"/>
    </row>
    <row r="912">
      <c r="A912" s="7" t="inlineStr">
        <is>
          <t>b7-0094</t>
        </is>
      </c>
      <c r="B912" s="7" t="inlineStr">
        <is>
          <t>Point</t>
        </is>
      </c>
      <c r="C912" s="7" t="n"/>
      <c r="D912" s="7" t="inlineStr">
        <is>
          <t>1428</t>
        </is>
      </c>
      <c r="E912" s="7" t="inlineStr">
        <is>
          <t>1428</t>
        </is>
      </c>
      <c r="F912" s="7" t="inlineStr">
        <is>
          <t>1428 CE</t>
        </is>
      </c>
      <c r="G912" s="7" t="inlineStr">
        <is>
          <t>Exact</t>
        </is>
      </c>
      <c r="H912" s="7" t="n"/>
      <c r="I912" s="7" t="n"/>
      <c r="J912" s="7" t="n"/>
      <c r="K912" s="2" t="inlineStr">
        <is>
          <t>Wycliffe's bones exhumed and burned at papal demand</t>
        </is>
      </c>
      <c r="L912" s="2" t="inlineStr">
        <is>
          <t>இந்த உத்தரவு அத்தனைக் கீழ்த்தரமான செயலாக இருந்த காரணத்தால் 1428-ல் போப் அதை வற்புறுத்தும் வரையில் இது செய்யப்படவே இல்லை</t>
        </is>
      </c>
      <c r="M912" s="7" t="inlineStr">
        <is>
          <t>The directive to exhume and burn Wycliffe's bones was so repugnant that it was not carried out until 1428, upon demand by the pope.</t>
        </is>
      </c>
      <c r="N912" s="7" t="inlineStr">
        <is>
          <t>இந்த உத்தரவு அத்தனைக் கீழ்த்தரமான செயலாக இருந்த காரணத்தால் 1428-ல் போப் அதை வற்புறுத்தும் வரையில் இது செய்யப்படவே இல்லை.</t>
        </is>
      </c>
      <c r="O912" s="12" t="inlineStr">
        <is>
          <t>Bible &amp; church history</t>
        </is>
      </c>
      <c r="P912" s="7" t="inlineStr">
        <is>
          <t>history.persecution</t>
        </is>
      </c>
      <c r="Q912" s="7" t="inlineStr">
        <is>
          <t>desecration</t>
        </is>
      </c>
      <c r="R912" s="7" t="inlineStr">
        <is>
          <t>John Wycliffe</t>
        </is>
      </c>
      <c r="S912" s="7" t="n"/>
      <c r="T912" s="7" t="n"/>
      <c r="U912" s="7" t="n"/>
      <c r="V912" s="7" t="n">
        <v>1</v>
      </c>
      <c r="W912" s="7" t="inlineStr">
        <is>
          <t>Part Two—How the Bible Came to Us</t>
        </is>
      </c>
      <c r="X912" s="9" t="inlineStr">
        <is>
          <t>open</t>
        </is>
      </c>
      <c r="Y912" s="9" t="inlineStr">
        <is>
          <t>open</t>
        </is>
      </c>
      <c r="Z912" s="7" t="inlineStr">
        <is>
          <t>https://wol.jw.org/en/wol/d/r1/lp-e/1997685#h=12</t>
        </is>
      </c>
      <c r="AA912" s="7" t="n">
        <v>0</v>
      </c>
      <c r="AB912" s="7" t="n"/>
      <c r="AC912" s="7" t="n">
        <v>0</v>
      </c>
      <c r="AD912" s="7" t="n"/>
      <c r="AE912" s="7" t="n"/>
      <c r="AF912" s="7" t="n"/>
      <c r="AG912" s="7" t="n"/>
      <c r="AH912" s="7" t="n"/>
      <c r="AI912" s="7" t="n"/>
      <c r="AJ912" s="7" t="n"/>
      <c r="AK912" s="7" t="n"/>
      <c r="AL912" s="7" t="n"/>
      <c r="AM912" s="7" t="n">
        <v>1428</v>
      </c>
      <c r="AN912" s="10" t="n"/>
      <c r="AO912" s="10" t="n"/>
      <c r="AP912" s="10" t="n"/>
      <c r="AQ912" s="10" t="n"/>
    </row>
    <row r="913">
      <c r="A913" s="7" t="inlineStr">
        <is>
          <t>b7-0095</t>
        </is>
      </c>
      <c r="B913" s="7" t="inlineStr">
        <is>
          <t>Point</t>
        </is>
      </c>
      <c r="C913" s="7" t="n"/>
      <c r="D913" s="7" t="inlineStr">
        <is>
          <t>by 1450</t>
        </is>
      </c>
      <c r="E913" s="7" t="inlineStr">
        <is>
          <t>1450</t>
        </is>
      </c>
      <c r="F913" s="7" t="inlineStr">
        <is>
          <t>1450 CE</t>
        </is>
      </c>
      <c r="G913" s="7" t="inlineStr">
        <is>
          <t>Before (b.)</t>
        </is>
      </c>
      <c r="H913" s="7" t="n"/>
      <c r="I913" s="7" t="n"/>
      <c r="J913" s="7" t="n"/>
      <c r="K913" s="2" t="inlineStr">
        <is>
          <t>Gutenberg begins printing with movable type</t>
        </is>
      </c>
      <c r="L913" s="2" t="inlineStr">
        <is>
          <t>1450-க்குள் ஹஸ் மரித்து 35 ஆண்டுகளே ஆனபின்பு, ஜோஹானஸ் குட்டன்பர்க் அச்சுக்கோர்த்து அச்சடிக்க ஜெர்மனியில் அச்சுவேலையை ஆரம்பித்தார்</t>
        </is>
      </c>
      <c r="M913" s="7" t="inlineStr">
        <is>
          <t>By 1450, only 35 years after Hus' death, Johannes Gutenberg began printing with movable type in Germany. The invention in the mid-15th century helped spread the Bible and loosen the church's grip.</t>
        </is>
      </c>
      <c r="N913" s="7" t="inlineStr">
        <is>
          <t>1450-க்குள் ஹஸ் மரித்து 35 ஆண்டுகளே ஆனபின்பு, ஜோஹானஸ் குட்டன்பர்க் அச்சுக்கோர்த்து அச்சடிக்க ஜெர்மனியில் அச்சுவேலையை ஆரம்பித்தார்.</t>
        </is>
      </c>
      <c r="O913" s="12" t="inlineStr">
        <is>
          <t>Bible &amp; church history</t>
        </is>
      </c>
      <c r="P913" s="7" t="inlineStr">
        <is>
          <t>history.bible_preservation</t>
        </is>
      </c>
      <c r="Q913" s="7" t="inlineStr">
        <is>
          <t>invention</t>
        </is>
      </c>
      <c r="R913" s="7" t="inlineStr">
        <is>
          <t>Johannes Gutenberg</t>
        </is>
      </c>
      <c r="S913" s="7" t="inlineStr">
        <is>
          <t>Mainz</t>
        </is>
      </c>
      <c r="T913" s="7" t="n"/>
      <c r="U913" s="7" t="n"/>
      <c r="V913" s="7" t="n">
        <v>2</v>
      </c>
      <c r="W913" s="7" t="inlineStr">
        <is>
          <t>Part Two—How the Bible Came to Us</t>
        </is>
      </c>
      <c r="X913" s="9" t="inlineStr">
        <is>
          <t>open</t>
        </is>
      </c>
      <c r="Y913" s="9" t="inlineStr">
        <is>
          <t>open</t>
        </is>
      </c>
      <c r="Z913" s="7" t="inlineStr">
        <is>
          <t>https://wol.jw.org/en/wol/d/r1/lp-e/1997685#h=14
https://wol.jw.org/en/wol/d/r1/lp-e/2016843#h=23</t>
        </is>
      </c>
      <c r="AA913" s="7" t="n">
        <v>1</v>
      </c>
      <c r="AB913" s="9" t="inlineStr">
        <is>
          <t>open</t>
        </is>
      </c>
      <c r="AC913" s="7" t="n">
        <v>0</v>
      </c>
      <c r="AD913" s="7" t="n"/>
      <c r="AE913" s="7" t="n"/>
      <c r="AF913" s="7" t="n"/>
      <c r="AG913" s="7" t="n"/>
      <c r="AH913" s="7" t="n"/>
      <c r="AI913" s="7" t="n"/>
      <c r="AJ913" s="7" t="n"/>
      <c r="AK913" s="7" t="inlineStr">
        <is>
          <t>how-the-bible-came-to-us #26 (step)</t>
        </is>
      </c>
      <c r="AL913" s="7" t="n"/>
      <c r="AM913" s="7" t="n">
        <v>1449.99</v>
      </c>
      <c r="AN913" s="10" t="n"/>
      <c r="AO913" s="10" t="n"/>
      <c r="AP913" s="10" t="n"/>
      <c r="AQ913" s="10" t="n"/>
    </row>
    <row r="914">
      <c r="A914" s="7" t="inlineStr">
        <is>
          <t>b7-0096</t>
        </is>
      </c>
      <c r="B914" s="7" t="inlineStr">
        <is>
          <t>Point</t>
        </is>
      </c>
      <c r="C914" s="7" t="n"/>
      <c r="D914" s="7" t="inlineStr">
        <is>
          <t>c. 1455</t>
        </is>
      </c>
      <c r="E914" s="7" t="inlineStr">
        <is>
          <t>சுமார் 1455</t>
        </is>
      </c>
      <c r="F914" s="7" t="inlineStr">
        <is>
          <t>1455 CE</t>
        </is>
      </c>
      <c r="G914" s="7" t="inlineStr">
        <is>
          <t>Approx. (c.)</t>
        </is>
      </c>
      <c r="H914" s="7" t="n"/>
      <c r="I914" s="7" t="n"/>
      <c r="J914" s="7" t="n"/>
      <c r="K914" s="2" t="inlineStr">
        <is>
          <t>Gutenberg completes the first printed Bible (Latin Vulgate)</t>
        </is>
      </c>
      <c r="L914" s="2" t="inlineStr">
        <is>
          <t>குட்டன்பர்க்—முதலாவது அச்சிடப்பட்ட பைபிள் சுமார் 1455</t>
        </is>
      </c>
      <c r="M914" s="7" t="inlineStr">
        <is>
          <t>Gutenberg's first great work, an edition of the Latin Vulgate, was completed about 1455; his press in Mainz was operating in 1455. By the turn of the century there were presses in 60 German towns.</t>
        </is>
      </c>
      <c r="N914" s="7" t="inlineStr">
        <is>
          <t>அவருடைய முதலாவது மிகப் பெரிய படைப்பு, சுமார் 1455-ல் பூர்த்தியான லத்தீன் வல்கேட் பதிப்பாகும்.</t>
        </is>
      </c>
      <c r="O914" s="12" t="inlineStr">
        <is>
          <t>Bible &amp; church history</t>
        </is>
      </c>
      <c r="P914" s="7" t="inlineStr">
        <is>
          <t>history.bible_preservation</t>
        </is>
      </c>
      <c r="Q914" s="7" t="inlineStr">
        <is>
          <t>release</t>
        </is>
      </c>
      <c r="R914" s="7" t="inlineStr">
        <is>
          <t>Johannes Gutenberg</t>
        </is>
      </c>
      <c r="S914" s="7" t="inlineStr">
        <is>
          <t>Mainz</t>
        </is>
      </c>
      <c r="T914" s="7" t="n"/>
      <c r="U914" s="7" t="n"/>
      <c r="V914" s="7" t="n">
        <v>4</v>
      </c>
      <c r="W914" s="7" t="inlineStr">
        <is>
          <t>Part Two—How the Bible Came to Us</t>
        </is>
      </c>
      <c r="X914" s="9" t="inlineStr">
        <is>
          <t>open</t>
        </is>
      </c>
      <c r="Y914" s="9" t="inlineStr">
        <is>
          <t>open</t>
        </is>
      </c>
      <c r="Z914" s="7" t="inlineStr">
        <is>
          <t>https://wol.jw.org/en/wol/d/r1/lp-e/1997685#h=14
https://wol.jw.org/en/wol/d/r1/lp-e/1997685#h=44
https://wol.jw.org/en/wol/d/r1/lp-e/1997763#h=40
https://wol.jw.org/en/wol/d/r1/lp-e/2003686#h=12</t>
        </is>
      </c>
      <c r="AA914" s="7" t="n">
        <v>0</v>
      </c>
      <c r="AB914" s="7" t="n"/>
      <c r="AC914" s="7" t="n">
        <v>0</v>
      </c>
      <c r="AD914" s="7" t="n"/>
      <c r="AE914" s="7" t="n"/>
      <c r="AF914" s="7" t="n"/>
      <c r="AG914" s="7" t="n"/>
      <c r="AH914" s="7" t="n"/>
      <c r="AI914" s="7" t="n"/>
      <c r="AJ914" s="7" t="n"/>
      <c r="AK914" s="7" t="inlineStr">
        <is>
          <t>how-the-bible-came-to-us #27 (step)</t>
        </is>
      </c>
      <c r="AL914" s="7" t="n"/>
      <c r="AM914" s="7" t="n">
        <v>1455</v>
      </c>
      <c r="AN914" s="10" t="n"/>
      <c r="AO914" s="10" t="n"/>
      <c r="AP914" s="10" t="n"/>
      <c r="AQ914" s="10" t="n"/>
    </row>
    <row r="915">
      <c r="A915" s="7" t="inlineStr">
        <is>
          <t>b7-0097</t>
        </is>
      </c>
      <c r="B915" s="7" t="inlineStr">
        <is>
          <t>Point</t>
        </is>
      </c>
      <c r="C915" s="7" t="n"/>
      <c r="D915" s="7" t="inlineStr">
        <is>
          <t>1478</t>
        </is>
      </c>
      <c r="E915" s="7" t="inlineStr">
        <is>
          <t>1478</t>
        </is>
      </c>
      <c r="F915" s="7" t="inlineStr">
        <is>
          <t>1478 CE</t>
        </is>
      </c>
      <c r="G915" s="7" t="inlineStr">
        <is>
          <t>Exact</t>
        </is>
      </c>
      <c r="H915" s="7" t="n"/>
      <c r="I915" s="7" t="n"/>
      <c r="J915" s="7" t="n"/>
      <c r="K915" s="2" t="inlineStr">
        <is>
          <t>Spanish Inquisition established</t>
        </is>
      </c>
      <c r="L915" s="2" t="n"/>
      <c r="M915" s="7" t="inlineStr">
        <is>
          <t>The Spanish Inquisition was established in 1478 by a bull of Pope Sixtus IV at the request of Ferdinand and Isabella. It ended the possession of Romance-language Bibles in Spain.</t>
        </is>
      </c>
      <c r="N915" s="7" t="inlineStr">
        <is>
          <t>கூட்டாட்சி நடத்திய பெர்னான்டோவும் இஸபெல்லாவும் விடுத்த வேண்டுகோளுக்கு இணங்கி, நான்காம் போப் சிக்டஸ் என்பவர் இந்த இழிவான ஸ்பானிய ஒடுக்குமுறை விசாரணை மன்றத்தை 1478-ல் நிறுவினார்.</t>
        </is>
      </c>
      <c r="O915" s="12" t="inlineStr">
        <is>
          <t>Bible &amp; church history</t>
        </is>
      </c>
      <c r="P915" s="7" t="inlineStr">
        <is>
          <t>history.persecution</t>
        </is>
      </c>
      <c r="Q915" s="7" t="inlineStr">
        <is>
          <t>institution</t>
        </is>
      </c>
      <c r="R915" s="7" t="inlineStr">
        <is>
          <t>Sixtus IV; Ferdinand; Isabella</t>
        </is>
      </c>
      <c r="S915" s="7" t="inlineStr">
        <is>
          <t>Spain</t>
        </is>
      </c>
      <c r="T915" s="7" t="n"/>
      <c r="U915" s="7" t="n"/>
      <c r="V915" s="7" t="n">
        <v>2</v>
      </c>
      <c r="W915" s="7" t="inlineStr">
        <is>
          <t>The Trial and Execution of a “Heretic”</t>
        </is>
      </c>
      <c r="X915" s="9" t="inlineStr">
        <is>
          <t>open</t>
        </is>
      </c>
      <c r="Y915" s="9" t="inlineStr">
        <is>
          <t>open</t>
        </is>
      </c>
      <c r="Z915" s="7" t="inlineStr">
        <is>
          <t>https://wol.jw.org/en/wol/d/r1/lp-e/101997327#h=6
https://wol.jw.org/en/wol/d/r1/lp-e/1992442#h=14</t>
        </is>
      </c>
      <c r="AA915" s="7" t="n">
        <v>0</v>
      </c>
      <c r="AB915" s="7" t="n"/>
      <c r="AC915" s="7" t="n">
        <v>0</v>
      </c>
      <c r="AD915" s="7" t="n"/>
      <c r="AE915" s="7" t="n"/>
      <c r="AF915" s="7" t="n"/>
      <c r="AG915" s="7" t="n"/>
      <c r="AH915" s="7" t="n"/>
      <c r="AI915" s="7" t="inlineStr">
        <is>
          <t>Span endpoint – keep</t>
        </is>
      </c>
      <c r="AJ915" s="7" t="inlineStr">
        <is>
          <t>start of The Spanish Inquisition (b12-0061)</t>
        </is>
      </c>
      <c r="AK915" s="7" t="n"/>
      <c r="AL915" s="7" t="n"/>
      <c r="AM915" s="7" t="n">
        <v>1478</v>
      </c>
      <c r="AN915" s="10" t="n"/>
      <c r="AO915" s="10" t="n"/>
      <c r="AP915" s="10" t="n"/>
      <c r="AQ915" s="10" t="n"/>
    </row>
    <row r="916">
      <c r="A916" s="7" t="inlineStr">
        <is>
          <t>b12-0061</t>
        </is>
      </c>
      <c r="B916" s="11" t="inlineStr">
        <is>
          <t>Span</t>
        </is>
      </c>
      <c r="C916" s="7" t="inlineStr">
        <is>
          <t>persecution</t>
        </is>
      </c>
      <c r="D916" s="7" t="inlineStr">
        <is>
          <t>1478–1834</t>
        </is>
      </c>
      <c r="E916" s="7" t="n"/>
      <c r="F916" s="7" t="inlineStr">
        <is>
          <t>1478 CE</t>
        </is>
      </c>
      <c r="G916" s="7" t="inlineStr">
        <is>
          <t>Exact</t>
        </is>
      </c>
      <c r="H916" s="7" t="inlineStr">
        <is>
          <t>1834 CE</t>
        </is>
      </c>
      <c r="I916" s="7" t="inlineStr">
        <is>
          <t>Exact</t>
        </is>
      </c>
      <c r="J916" s="7" t="n"/>
      <c r="K916" s="2" t="inlineStr">
        <is>
          <t>The Spanish Inquisition</t>
        </is>
      </c>
      <c r="L916" s="2" t="n"/>
      <c r="M916" s="7" t="inlineStr">
        <is>
          <t>Authorized by Pope Sixtus IV in 1478, the Spanish Inquisition persecuted Jews, Muslims, and others judged heretics; it was abolished under Napoleon, restored, and finally suppressed in 1834.</t>
        </is>
      </c>
      <c r="N916" s="7" t="inlineStr">
        <is>
          <t>நெப்போலியனின் வீழ்ச்சியின்போது, இது தற்காலிகமாகத் தலைதூக்கியது, ஆனால் 1834-ல் முழுவதுமாக ஒடுக்கப்பட்டது.</t>
        </is>
      </c>
      <c r="O916" s="12" t="inlineStr">
        <is>
          <t>Bible &amp; church history</t>
        </is>
      </c>
      <c r="P916" s="7" t="inlineStr">
        <is>
          <t>history.persecution</t>
        </is>
      </c>
      <c r="Q916" s="7" t="n"/>
      <c r="R916" s="7" t="inlineStr">
        <is>
          <t>Sixtus IV</t>
        </is>
      </c>
      <c r="S916" s="7" t="inlineStr">
        <is>
          <t>Spain</t>
        </is>
      </c>
      <c r="T916" s="7" t="n"/>
      <c r="U916" s="7" t="n"/>
      <c r="V916" s="7" t="n">
        <v>3</v>
      </c>
      <c r="W916" s="7" t="inlineStr">
        <is>
          <t>The Terrifying Inquisition</t>
        </is>
      </c>
      <c r="X916" s="9" t="inlineStr">
        <is>
          <t>open</t>
        </is>
      </c>
      <c r="Y916" s="9" t="inlineStr">
        <is>
          <t>open</t>
        </is>
      </c>
      <c r="Z916" s="7" t="inlineStr">
        <is>
          <t>https://wol.jw.org/en/wol/d/r1/lp-e/101986288
https://wol.jw.org/en/wol/d/r1/lp-e/101986288
https://wol.jw.org/en/wol/d/r1/lp-e/101997327</t>
        </is>
      </c>
      <c r="AA916" s="7" t="n">
        <v>0</v>
      </c>
      <c r="AB916" s="7" t="n"/>
      <c r="AC916" s="7" t="n">
        <v>0</v>
      </c>
      <c r="AD916" s="7" t="n"/>
      <c r="AE916" s="7" t="n"/>
      <c r="AF916" s="7" t="inlineStr">
        <is>
          <t>b7-0097</t>
        </is>
      </c>
      <c r="AG916" s="7" t="n"/>
      <c r="AH916" s="7" t="n"/>
      <c r="AI916" s="7" t="n"/>
      <c r="AJ916" s="7" t="n"/>
      <c r="AK916" s="7" t="n"/>
      <c r="AL916" s="7" t="n"/>
      <c r="AM916" s="7" t="n">
        <v>1478</v>
      </c>
      <c r="AN916" s="10" t="n"/>
      <c r="AO916" s="10" t="n"/>
      <c r="AP916" s="10" t="n"/>
      <c r="AQ916" s="10" t="n"/>
    </row>
    <row r="917">
      <c r="A917" s="7" t="inlineStr">
        <is>
          <t>b7-0098</t>
        </is>
      </c>
      <c r="B917" s="7" t="inlineStr">
        <is>
          <t>Point</t>
        </is>
      </c>
      <c r="C917" s="7" t="n"/>
      <c r="D917" s="7" t="inlineStr">
        <is>
          <t>1483, November</t>
        </is>
      </c>
      <c r="E917" s="7" t="inlineStr">
        <is>
          <t>1483</t>
        </is>
      </c>
      <c r="F917" s="7" t="inlineStr">
        <is>
          <t>1483 CE</t>
        </is>
      </c>
      <c r="G917" s="7" t="inlineStr">
        <is>
          <t>Exact</t>
        </is>
      </c>
      <c r="H917" s="7" t="n"/>
      <c r="I917" s="7" t="n"/>
      <c r="J917" s="7" t="n"/>
      <c r="K917" s="2" t="inlineStr">
        <is>
          <t>Martin Luther born</t>
        </is>
      </c>
      <c r="L917" s="2" t="inlineStr">
        <is>
          <t>மார்ட்டின் லூத்தர், நவம்பர் 1483-⁠ல், ஜெர்மனியிலுள்ள ஐஸ்லேபன் என்ற ஊரில் பிறந்தார்</t>
        </is>
      </c>
      <c r="M917" s="7" t="inlineStr">
        <is>
          <t>Martin Luther was born in Eisleben, Germany, in November 1483.</t>
        </is>
      </c>
      <c r="N917" s="7" t="inlineStr">
        <is>
          <t>மார்ட்டின் லூத்தர், நவம்பர் 1483-⁠ல், ஜெர்மனியிலுள்ள ஐஸ்லேபன் என்ற ஊரில் பிறந்தார்.</t>
        </is>
      </c>
      <c r="O917" s="12" t="inlineStr">
        <is>
          <t>Bible &amp; church history</t>
        </is>
      </c>
      <c r="P917" s="7" t="inlineStr">
        <is>
          <t>history.reform</t>
        </is>
      </c>
      <c r="Q917" s="7" t="inlineStr">
        <is>
          <t>birth</t>
        </is>
      </c>
      <c r="R917" s="7" t="inlineStr">
        <is>
          <t>Martin Luther</t>
        </is>
      </c>
      <c r="S917" s="7" t="inlineStr">
        <is>
          <t>Eisleben</t>
        </is>
      </c>
      <c r="T917" s="7" t="n"/>
      <c r="U917" s="7" t="n"/>
      <c r="V917" s="7" t="n">
        <v>2</v>
      </c>
      <c r="W917" s="7" t="inlineStr">
        <is>
          <t>Martin Luther—The Man and His Legacy</t>
        </is>
      </c>
      <c r="X917" s="9" t="inlineStr">
        <is>
          <t>open</t>
        </is>
      </c>
      <c r="Y917" s="9" t="inlineStr">
        <is>
          <t>open</t>
        </is>
      </c>
      <c r="Z917" s="7" t="inlineStr">
        <is>
          <t>https://wol.jw.org/en/wol/d/r1/lp-e/2003686#h=5
https://wol.jw.org/en/wol/d/r1/lp-e/1101990045#h=26</t>
        </is>
      </c>
      <c r="AA917" s="7" t="n">
        <v>0</v>
      </c>
      <c r="AB917" s="7" t="n"/>
      <c r="AC917" s="7" t="n">
        <v>0</v>
      </c>
      <c r="AD917" s="7" t="n"/>
      <c r="AE917" s="7" t="n"/>
      <c r="AF917" s="7" t="n"/>
      <c r="AG917" s="7" t="n"/>
      <c r="AH917" s="7" t="n"/>
      <c r="AI917" s="7" t="inlineStr">
        <is>
          <t>Covered by span – hide on chart</t>
        </is>
      </c>
      <c r="AJ917" s="7" t="inlineStr">
        <is>
          <t>start of Life of Martin Luther (d1-0026)</t>
        </is>
      </c>
      <c r="AK917" s="7" t="n"/>
      <c r="AL917" s="7" t="n"/>
      <c r="AM917" s="7" t="n">
        <v>1483.8333</v>
      </c>
      <c r="AN917" s="10" t="n"/>
      <c r="AO917" s="10" t="n"/>
      <c r="AP917" s="10" t="n"/>
      <c r="AQ917" s="10" t="n"/>
    </row>
    <row r="918">
      <c r="A918" s="7" t="inlineStr">
        <is>
          <t>d1-0026</t>
        </is>
      </c>
      <c r="B918" s="11" t="inlineStr">
        <is>
          <t>Span</t>
        </is>
      </c>
      <c r="C918" s="7" t="inlineStr">
        <is>
          <t>lifespan</t>
        </is>
      </c>
      <c r="D918" s="7" t="inlineStr">
        <is>
          <t>1483, November – 1546, February</t>
        </is>
      </c>
      <c r="E918" s="7" t="inlineStr">
        <is>
          <t>1483 – 1546</t>
        </is>
      </c>
      <c r="F918" s="7" t="inlineStr">
        <is>
          <t>1483 CE</t>
        </is>
      </c>
      <c r="G918" s="7" t="inlineStr">
        <is>
          <t>Exact</t>
        </is>
      </c>
      <c r="H918" s="7" t="inlineStr">
        <is>
          <t>1546 CE</t>
        </is>
      </c>
      <c r="I918" s="7" t="inlineStr">
        <is>
          <t>Exact</t>
        </is>
      </c>
      <c r="J918" s="7" t="inlineStr">
        <is>
          <t>62 years</t>
        </is>
      </c>
      <c r="K918" s="2" t="inlineStr">
        <is>
          <t>Life of Martin Luther</t>
        </is>
      </c>
      <c r="L918" s="2" t="n"/>
      <c r="M918" s="7" t="inlineStr">
        <is>
          <t>Martin Luther: from Martin Luther born (1483, November) to Martin Luther dies (1546, February). Dates as given in the cited jw.org publications.</t>
        </is>
      </c>
      <c r="N918" s="7" t="n"/>
      <c r="O918" s="12" t="inlineStr">
        <is>
          <t>Bible &amp; church history</t>
        </is>
      </c>
      <c r="P918" s="7" t="inlineStr">
        <is>
          <t>history.reform</t>
        </is>
      </c>
      <c r="Q918" s="7" t="inlineStr">
        <is>
          <t>lifespan</t>
        </is>
      </c>
      <c r="R918" s="7" t="inlineStr">
        <is>
          <t>Martin Luther</t>
        </is>
      </c>
      <c r="S918" s="7" t="inlineStr">
        <is>
          <t>Eisleben</t>
        </is>
      </c>
      <c r="T918" s="7" t="n"/>
      <c r="U918" s="7" t="n"/>
      <c r="V918" s="7" t="n">
        <v>2</v>
      </c>
      <c r="W918" s="7" t="inlineStr">
        <is>
          <t>Martin Luther—The Man and His Legacy</t>
        </is>
      </c>
      <c r="X918" s="9" t="inlineStr">
        <is>
          <t>open</t>
        </is>
      </c>
      <c r="Y918" s="9" t="inlineStr">
        <is>
          <t>open</t>
        </is>
      </c>
      <c r="Z918" s="7" t="inlineStr">
        <is>
          <t>https://wol.jw.org/en/wol/d/r1/lp-e/2003686#h=5
https://wol.jw.org/en/wol/d/r1/lp-e/1101990045#h=26</t>
        </is>
      </c>
      <c r="AA918" s="7" t="n">
        <v>0</v>
      </c>
      <c r="AB918" s="7" t="n"/>
      <c r="AC918" s="7" t="n">
        <v>0</v>
      </c>
      <c r="AD918" s="7" t="n"/>
      <c r="AE918" s="7" t="inlineStr">
        <is>
          <t>Built from b7-0098 (start) and b7-0141 (end).</t>
        </is>
      </c>
      <c r="AF918" s="7" t="inlineStr">
        <is>
          <t>b7-0098</t>
        </is>
      </c>
      <c r="AG918" s="7" t="inlineStr">
        <is>
          <t>b7-0141</t>
        </is>
      </c>
      <c r="AH918" s="7" t="n"/>
      <c r="AI918" s="7" t="n"/>
      <c r="AJ918" s="7" t="n"/>
      <c r="AK918" s="7" t="n"/>
      <c r="AL918" s="7" t="n"/>
      <c r="AM918" s="7" t="n">
        <v>1483.8333</v>
      </c>
      <c r="AN918" s="10" t="n"/>
      <c r="AO918" s="10" t="n"/>
      <c r="AP918" s="10" t="n"/>
      <c r="AQ918" s="10" t="n"/>
    </row>
    <row r="919">
      <c r="A919" s="7" t="inlineStr">
        <is>
          <t>b7-0099</t>
        </is>
      </c>
      <c r="B919" s="7" t="inlineStr">
        <is>
          <t>Point</t>
        </is>
      </c>
      <c r="C919" s="7" t="n"/>
      <c r="D919" s="7" t="inlineStr">
        <is>
          <t>1492</t>
        </is>
      </c>
      <c r="E919" s="7" t="inlineStr">
        <is>
          <t>1492</t>
        </is>
      </c>
      <c r="F919" s="7" t="inlineStr">
        <is>
          <t>1492 CE</t>
        </is>
      </c>
      <c r="G919" s="7" t="inlineStr">
        <is>
          <t>Exact</t>
        </is>
      </c>
      <c r="H919" s="7" t="n"/>
      <c r="I919" s="7" t="n"/>
      <c r="J919" s="7" t="n"/>
      <c r="K919" s="2" t="inlineStr">
        <is>
          <t>Twenty handwritten Bibles burned at Salamanca</t>
        </is>
      </c>
      <c r="L919" s="2" t="inlineStr">
        <is>
          <t>1492-ல் சல்மான்கா நகரில் மட்டுமே, 20 விலையேறப்பெற்ற பைபிள் கையெழுத்துப் பிரதிகள் எரிக்கப்பட்டன</t>
        </is>
      </c>
      <c r="M919" s="7" t="inlineStr">
        <is>
          <t>In 1492, in the city of Salamanca alone, 20 priceless handwritten copies of the Bible were burned.</t>
        </is>
      </c>
      <c r="N919" s="7" t="inlineStr">
        <is>
          <t>1492-ல் சல்மான்கா நகரில் மட்டுமே, 20 விலையேறப்பெற்ற பைபிள் கையெழுத்துப் பிரதிகள் எரிக்கப்பட்டன.</t>
        </is>
      </c>
      <c r="O919" s="12" t="inlineStr">
        <is>
          <t>Bible &amp; church history</t>
        </is>
      </c>
      <c r="P919" s="7" t="inlineStr">
        <is>
          <t>history.persecution</t>
        </is>
      </c>
      <c r="Q919" s="7" t="inlineStr">
        <is>
          <t>destruction</t>
        </is>
      </c>
      <c r="R919" s="7" t="n"/>
      <c r="S919" s="7" t="inlineStr">
        <is>
          <t>Salamanca</t>
        </is>
      </c>
      <c r="T919" s="7" t="n"/>
      <c r="U919" s="7" t="n"/>
      <c r="V919" s="7" t="n">
        <v>1</v>
      </c>
      <c r="W919" s="7" t="inlineStr">
        <is>
          <t>The Spanish Bible’s Battle for Survival</t>
        </is>
      </c>
      <c r="X919" s="9" t="inlineStr">
        <is>
          <t>open</t>
        </is>
      </c>
      <c r="Y919" s="9" t="inlineStr">
        <is>
          <t>open</t>
        </is>
      </c>
      <c r="Z919" s="7" t="inlineStr">
        <is>
          <t>https://wol.jw.org/en/wol/d/r1/lp-e/1992442#h=14</t>
        </is>
      </c>
      <c r="AA919" s="7" t="n">
        <v>0</v>
      </c>
      <c r="AB919" s="7" t="n"/>
      <c r="AC919" s="7" t="n">
        <v>0</v>
      </c>
      <c r="AD919" s="7" t="n"/>
      <c r="AE919" s="7" t="n"/>
      <c r="AF919" s="7" t="n"/>
      <c r="AG919" s="7" t="n"/>
      <c r="AH919" s="7" t="n"/>
      <c r="AI919" s="7" t="n"/>
      <c r="AJ919" s="7" t="n"/>
      <c r="AK919" s="7" t="n"/>
      <c r="AL919" s="7" t="n"/>
      <c r="AM919" s="7" t="n">
        <v>1492</v>
      </c>
      <c r="AN919" s="10" t="n"/>
      <c r="AO919" s="10" t="n"/>
      <c r="AP919" s="10" t="n"/>
      <c r="AQ919" s="10" t="n"/>
    </row>
    <row r="920">
      <c r="A920" s="7" t="inlineStr">
        <is>
          <t>b7-0100</t>
        </is>
      </c>
      <c r="B920" s="7" t="inlineStr">
        <is>
          <t>Point</t>
        </is>
      </c>
      <c r="C920" s="7" t="n"/>
      <c r="D920" s="7" t="inlineStr">
        <is>
          <t>by 1495</t>
        </is>
      </c>
      <c r="E920" s="7" t="inlineStr">
        <is>
          <t>1495</t>
        </is>
      </c>
      <c r="F920" s="7" t="inlineStr">
        <is>
          <t>1495 CE</t>
        </is>
      </c>
      <c r="G920" s="7" t="inlineStr">
        <is>
          <t>Before (b.)</t>
        </is>
      </c>
      <c r="H920" s="7" t="n"/>
      <c r="I920" s="7" t="n"/>
      <c r="J920" s="7" t="n"/>
      <c r="K920" s="2" t="inlineStr">
        <is>
          <t>Bible printed in twelve languages</t>
        </is>
      </c>
      <c r="L920" s="2" t="n"/>
      <c r="M920" s="7" t="inlineStr">
        <is>
          <t>By 1495 all or part of the Bible had been printed in German, Italian, French, Czech, Dutch, Hebrew, Catalan, Greek, Spanish, Slavonic, Portuguese, and Serbian, in that order.</t>
        </is>
      </c>
      <c r="N920" s="7" t="inlineStr">
        <is>
          <t>1495-க்குள் முழு பைபிளோ அல்லது பைபிளின் ஒரு பகுதியோ ஜெர்மன், இத்தாலி, பிரெஞ்சு, செக், டச்சு, எபிரெயு, காடலோனி, கிரேக்கு, ஸ்பானிஷ், ஸ்லாவிக், போர்ச்சுகீஷ் மற்றும் செர்பிய மொழி என்ற வரிசையில் அச்சடிக்கப்பட்டுவிட்டது.</t>
        </is>
      </c>
      <c r="O920" s="12" t="inlineStr">
        <is>
          <t>Bible &amp; church history</t>
        </is>
      </c>
      <c r="P920" s="7" t="inlineStr">
        <is>
          <t>history.bible_preservation</t>
        </is>
      </c>
      <c r="Q920" s="7" t="inlineStr">
        <is>
          <t>printing</t>
        </is>
      </c>
      <c r="R920" s="7" t="n"/>
      <c r="S920" s="7" t="n"/>
      <c r="T920" s="7" t="n"/>
      <c r="U920" s="7" t="n"/>
      <c r="V920" s="7" t="n">
        <v>1</v>
      </c>
      <c r="W920" s="7" t="inlineStr">
        <is>
          <t>Part Two—How the Bible Came to Us</t>
        </is>
      </c>
      <c r="X920" s="9" t="inlineStr">
        <is>
          <t>open</t>
        </is>
      </c>
      <c r="Y920" s="9" t="inlineStr">
        <is>
          <t>open</t>
        </is>
      </c>
      <c r="Z920" s="7" t="inlineStr">
        <is>
          <t>https://wol.jw.org/en/wol/d/r1/lp-e/1997685#h=14</t>
        </is>
      </c>
      <c r="AA920" s="7" t="n">
        <v>0</v>
      </c>
      <c r="AB920" s="7" t="n"/>
      <c r="AC920" s="7" t="n">
        <v>0</v>
      </c>
      <c r="AD920" s="7" t="n"/>
      <c r="AE920" s="7" t="n"/>
      <c r="AF920" s="7" t="n"/>
      <c r="AG920" s="7" t="n"/>
      <c r="AH920" s="7" t="n"/>
      <c r="AI920" s="7" t="n"/>
      <c r="AJ920" s="7" t="n"/>
      <c r="AK920" s="7" t="inlineStr">
        <is>
          <t>how-the-bible-came-to-us #28 (item)</t>
        </is>
      </c>
      <c r="AL920" s="7" t="n"/>
      <c r="AM920" s="7" t="n">
        <v>1494.99</v>
      </c>
      <c r="AN920" s="10" t="n"/>
      <c r="AO920" s="10" t="n"/>
      <c r="AP920" s="10" t="n"/>
      <c r="AQ920" s="10" t="n"/>
    </row>
    <row r="921">
      <c r="A921" s="7" t="inlineStr">
        <is>
          <t>b7-0101</t>
        </is>
      </c>
      <c r="B921" s="7" t="inlineStr">
        <is>
          <t>Point</t>
        </is>
      </c>
      <c r="C921" s="7" t="n"/>
      <c r="D921" s="7" t="inlineStr">
        <is>
          <t>1497</t>
        </is>
      </c>
      <c r="E921" s="7" t="inlineStr">
        <is>
          <t>1497</t>
        </is>
      </c>
      <c r="F921" s="7" t="inlineStr">
        <is>
          <t>1497 CE</t>
        </is>
      </c>
      <c r="G921" s="7" t="inlineStr">
        <is>
          <t>Exact</t>
        </is>
      </c>
      <c r="H921" s="7" t="n"/>
      <c r="I921" s="7" t="n"/>
      <c r="J921" s="7" t="n"/>
      <c r="K921" s="2" t="inlineStr">
        <is>
          <t>Savonarola excommunicated</t>
        </is>
      </c>
      <c r="L921" s="2" t="inlineStr">
        <is>
          <t>1497-ல் இவரை திருச்சபையிலிருந்து போப் விலக்கி வைத்தார்</t>
        </is>
      </c>
      <c r="M921" s="7" t="inlineStr">
        <is>
          <t>Dominican monk Girolamo Savonarola of Florence, who denounced corruption in Church and State, was excommunicated by the pope in 1497.</t>
        </is>
      </c>
      <c r="N921" s="7" t="inlineStr">
        <is>
          <t>1497-ல் இவரை திருச்சபையிலிருந்து போப் விலக்கி வைத்தார்.</t>
        </is>
      </c>
      <c r="O921" s="12" t="inlineStr">
        <is>
          <t>Bible &amp; church history</t>
        </is>
      </c>
      <c r="P921" s="7" t="inlineStr">
        <is>
          <t>history.reform</t>
        </is>
      </c>
      <c r="Q921" s="7" t="inlineStr">
        <is>
          <t>excommunication</t>
        </is>
      </c>
      <c r="R921" s="7" t="inlineStr">
        <is>
          <t>Girolamo Savonarola</t>
        </is>
      </c>
      <c r="S921" s="7" t="inlineStr">
        <is>
          <t>Florence</t>
        </is>
      </c>
      <c r="T921" s="7" t="n"/>
      <c r="U921" s="7" t="n"/>
      <c r="V921" s="7" t="n">
        <v>1</v>
      </c>
      <c r="W921" s="7" t="inlineStr">
        <is>
          <t>The Reformation—The Search Took a New Turn</t>
        </is>
      </c>
      <c r="X921" s="9" t="inlineStr">
        <is>
          <t>open</t>
        </is>
      </c>
      <c r="Y921" s="9" t="inlineStr">
        <is>
          <t>open</t>
        </is>
      </c>
      <c r="Z921" s="7" t="inlineStr">
        <is>
          <t>https://wol.jw.org/en/wol/d/r1/lp-e/1101990045#h=21</t>
        </is>
      </c>
      <c r="AA921" s="7" t="n">
        <v>0</v>
      </c>
      <c r="AB921" s="7" t="n"/>
      <c r="AC921" s="7" t="n">
        <v>0</v>
      </c>
      <c r="AD921" s="7" t="n"/>
      <c r="AE921" s="7" t="n"/>
      <c r="AF921" s="7" t="n"/>
      <c r="AG921" s="7" t="n"/>
      <c r="AH921" s="7" t="n"/>
      <c r="AI921" s="7" t="n"/>
      <c r="AJ921" s="7" t="n"/>
      <c r="AK921" s="7" t="n"/>
      <c r="AL921" s="7" t="n"/>
      <c r="AM921" s="7" t="n">
        <v>1497</v>
      </c>
      <c r="AN921" s="10" t="n"/>
      <c r="AO921" s="10" t="n"/>
      <c r="AP921" s="10" t="n"/>
      <c r="AQ921" s="10" t="n"/>
    </row>
    <row r="922">
      <c r="A922" s="7" t="inlineStr">
        <is>
          <t>b7-0102</t>
        </is>
      </c>
      <c r="B922" s="7" t="inlineStr">
        <is>
          <t>Point</t>
        </is>
      </c>
      <c r="C922" s="7" t="n"/>
      <c r="D922" s="7" t="inlineStr">
        <is>
          <t>1498</t>
        </is>
      </c>
      <c r="E922" s="7" t="n"/>
      <c r="F922" s="7" t="inlineStr">
        <is>
          <t>1498 CE</t>
        </is>
      </c>
      <c r="G922" s="7" t="inlineStr">
        <is>
          <t>Exact</t>
        </is>
      </c>
      <c r="H922" s="7" t="n"/>
      <c r="I922" s="7" t="n"/>
      <c r="J922" s="7" t="n"/>
      <c r="K922" s="2" t="inlineStr">
        <is>
          <t>Savonarola arrested, tortured, and hanged</t>
        </is>
      </c>
      <c r="L922" s="2" t="inlineStr">
        <is>
          <t>அடுத்த ஆண்டு கைது செய்யப்பட்டு, சித்திரவதை செய்யப்பட்டு தூக்கிலிடப்பட்டார்</t>
        </is>
      </c>
      <c r="M922" s="7" t="inlineStr">
        <is>
          <t>In 1498 Savonarola was arrested, tortured, and hanged; his body was burned and the ashes thrown into the Arno.</t>
        </is>
      </c>
      <c r="N922" s="7" t="inlineStr">
        <is>
          <t>அடுத்த ஆண்டு கைது செய்யப்பட்டு, சித்திரவதை செய்யப்பட்டு தூக்கிலிடப்பட்டார்.</t>
        </is>
      </c>
      <c r="O922" s="12" t="inlineStr">
        <is>
          <t>Bible &amp; church history</t>
        </is>
      </c>
      <c r="P922" s="7" t="inlineStr">
        <is>
          <t>history.persecution</t>
        </is>
      </c>
      <c r="Q922" s="7" t="inlineStr">
        <is>
          <t>execution</t>
        </is>
      </c>
      <c r="R922" s="7" t="inlineStr">
        <is>
          <t>Girolamo Savonarola</t>
        </is>
      </c>
      <c r="S922" s="7" t="inlineStr">
        <is>
          <t>Florence</t>
        </is>
      </c>
      <c r="T922" s="7" t="n"/>
      <c r="U922" s="7" t="n"/>
      <c r="V922" s="7" t="n">
        <v>1</v>
      </c>
      <c r="W922" s="7" t="inlineStr">
        <is>
          <t>The Reformation—The Search Took a New Turn</t>
        </is>
      </c>
      <c r="X922" s="9" t="inlineStr">
        <is>
          <t>open</t>
        </is>
      </c>
      <c r="Y922" s="9" t="inlineStr">
        <is>
          <t>open</t>
        </is>
      </c>
      <c r="Z922" s="7" t="inlineStr">
        <is>
          <t>https://wol.jw.org/en/wol/d/r1/lp-e/1101990045#h=21</t>
        </is>
      </c>
      <c r="AA922" s="7" t="n">
        <v>0</v>
      </c>
      <c r="AB922" s="7" t="n"/>
      <c r="AC922" s="7" t="n">
        <v>0</v>
      </c>
      <c r="AD922" s="7" t="n"/>
      <c r="AE922" s="7" t="n"/>
      <c r="AF922" s="7" t="n"/>
      <c r="AG922" s="7" t="n"/>
      <c r="AH922" s="7" t="n"/>
      <c r="AI922" s="7" t="n"/>
      <c r="AJ922" s="7" t="n"/>
      <c r="AK922" s="7" t="n"/>
      <c r="AL922" s="7" t="n"/>
      <c r="AM922" s="7" t="n">
        <v>1498</v>
      </c>
      <c r="AN922" s="10" t="n"/>
      <c r="AO922" s="10" t="n"/>
      <c r="AP922" s="10" t="n"/>
      <c r="AQ922" s="10" t="n"/>
    </row>
    <row r="923">
      <c r="A923" s="7" t="inlineStr">
        <is>
          <t>b7-0103</t>
        </is>
      </c>
      <c r="B923" s="7" t="inlineStr">
        <is>
          <t>Point</t>
        </is>
      </c>
      <c r="C923" s="7" t="n"/>
      <c r="D923" s="7" t="inlineStr">
        <is>
          <t>1501</t>
        </is>
      </c>
      <c r="E923" s="7" t="inlineStr">
        <is>
          <t>1501</t>
        </is>
      </c>
      <c r="F923" s="7" t="inlineStr">
        <is>
          <t>1501 CE</t>
        </is>
      </c>
      <c r="G923" s="7" t="inlineStr">
        <is>
          <t>Exact</t>
        </is>
      </c>
      <c r="H923" s="7" t="n"/>
      <c r="I923" s="7" t="n"/>
      <c r="J923" s="7" t="n"/>
      <c r="K923" s="2" t="inlineStr">
        <is>
          <t>Luther enters University of Erfurt and first reads the Bible</t>
        </is>
      </c>
      <c r="L923" s="2" t="inlineStr">
        <is>
          <t>மார்ட்டின் 1501-⁠ல் எர்ஃபர்ட் பல்கலைக்கழகத்தில் மாணவராக சேர்ந்தார்</t>
        </is>
      </c>
      <c r="M923" s="7" t="inlineStr">
        <is>
          <t>In 1501 Martin Luther became a student at the University of Erfurt, where he read the Bible for the first time in its library.</t>
        </is>
      </c>
      <c r="N923" s="7" t="inlineStr">
        <is>
          <t>மார்ட்டின் 1501-⁠ல் எர்ஃபர்ட் பல்கலைக்கழகத்தில் மாணவராக சேர்ந்தார்.</t>
        </is>
      </c>
      <c r="O923" s="12" t="inlineStr">
        <is>
          <t>Bible &amp; church history</t>
        </is>
      </c>
      <c r="P923" s="7" t="inlineStr">
        <is>
          <t>history.reform</t>
        </is>
      </c>
      <c r="Q923" s="7" t="inlineStr">
        <is>
          <t>education</t>
        </is>
      </c>
      <c r="R923" s="7" t="inlineStr">
        <is>
          <t>Martin Luther</t>
        </is>
      </c>
      <c r="S923" s="7" t="inlineStr">
        <is>
          <t>Erfurt</t>
        </is>
      </c>
      <c r="T923" s="7" t="n"/>
      <c r="U923" s="7" t="n"/>
      <c r="V923" s="7" t="n">
        <v>1</v>
      </c>
      <c r="W923" s="7" t="inlineStr">
        <is>
          <t>Martin Luther—The Man and His Legacy</t>
        </is>
      </c>
      <c r="X923" s="9" t="inlineStr">
        <is>
          <t>open</t>
        </is>
      </c>
      <c r="Y923" s="9" t="inlineStr">
        <is>
          <t>open</t>
        </is>
      </c>
      <c r="Z923" s="7" t="inlineStr">
        <is>
          <t>https://wol.jw.org/en/wol/d/r1/lp-e/2003686#h=5</t>
        </is>
      </c>
      <c r="AA923" s="7" t="n">
        <v>0</v>
      </c>
      <c r="AB923" s="7" t="n"/>
      <c r="AC923" s="7" t="n">
        <v>0</v>
      </c>
      <c r="AD923" s="7" t="n"/>
      <c r="AE923" s="7" t="n"/>
      <c r="AF923" s="7" t="n"/>
      <c r="AG923" s="7" t="n"/>
      <c r="AH923" s="7" t="n"/>
      <c r="AI923" s="7" t="n"/>
      <c r="AJ923" s="7" t="n"/>
      <c r="AK923" s="7" t="n"/>
      <c r="AL923" s="7" t="n"/>
      <c r="AM923" s="7" t="n">
        <v>1501</v>
      </c>
      <c r="AN923" s="10" t="n"/>
      <c r="AO923" s="10" t="n"/>
      <c r="AP923" s="10" t="n"/>
      <c r="AQ923" s="10" t="n"/>
    </row>
    <row r="924">
      <c r="A924" s="7" t="inlineStr">
        <is>
          <t>b7-0104</t>
        </is>
      </c>
      <c r="B924" s="11" t="inlineStr">
        <is>
          <t>Span</t>
        </is>
      </c>
      <c r="C924" s="7" t="inlineStr">
        <is>
          <t>publication</t>
        </is>
      </c>
      <c r="D924" s="7" t="inlineStr">
        <is>
          <t>1514-1517</t>
        </is>
      </c>
      <c r="E924" s="7" t="n"/>
      <c r="F924" s="7" t="inlineStr">
        <is>
          <t>1514 CE</t>
        </is>
      </c>
      <c r="G924" s="7" t="inlineStr">
        <is>
          <t>Exact</t>
        </is>
      </c>
      <c r="H924" s="7" t="inlineStr">
        <is>
          <t>1517 CE</t>
        </is>
      </c>
      <c r="I924" s="7" t="inlineStr">
        <is>
          <t>Exact</t>
        </is>
      </c>
      <c r="J924" s="7" t="inlineStr">
        <is>
          <t>3 years</t>
        </is>
      </c>
      <c r="K924" s="2" t="inlineStr">
        <is>
          <t>Complutensian Polyglot — first printed Greek "New Testament"</t>
        </is>
      </c>
      <c r="L924" s="2" t="n"/>
      <c r="M924" s="7" t="inlineStr">
        <is>
          <t>The first printed edition of the Christian Greek Scriptures appeared in the Complutensian Polyglott (Greek and Latin) of 1514-1517.</t>
        </is>
      </c>
      <c r="N924" s="7" t="n"/>
      <c r="O924" s="12" t="inlineStr">
        <is>
          <t>Bible &amp; church history</t>
        </is>
      </c>
      <c r="P924" s="7" t="inlineStr">
        <is>
          <t>history.bible_preservation</t>
        </is>
      </c>
      <c r="Q924" s="7" t="inlineStr">
        <is>
          <t>printing</t>
        </is>
      </c>
      <c r="R924" s="7" t="n"/>
      <c r="S924" s="7" t="n"/>
      <c r="T924" s="7" t="n"/>
      <c r="U924" s="7" t="n"/>
      <c r="V924" s="7" t="n">
        <v>2</v>
      </c>
      <c r="W924" s="7" t="inlineStr">
        <is>
          <t>Manuscripts of the Bible</t>
        </is>
      </c>
      <c r="X924" s="9" t="inlineStr">
        <is>
          <t>open</t>
        </is>
      </c>
      <c r="Y924" s="7" t="n"/>
      <c r="Z924" s="7" t="inlineStr">
        <is>
          <t>https://wol.jw.org/en/wol/d/r1/lp-e/1200002893#h=13
https://wol.jw.org/en/wol/d/r1/lp-e/1101990133#h=25</t>
        </is>
      </c>
      <c r="AA924" s="7" t="n">
        <v>0</v>
      </c>
      <c r="AB924" s="7" t="n"/>
      <c r="AC924" s="7" t="n">
        <v>1</v>
      </c>
      <c r="AD924" s="7" t="inlineStr">
        <is>
          <t>"All Scripture" Study 6 refers to "the Complutensian Polyglott of 1522"; Insight dates it 1514-1517.</t>
        </is>
      </c>
      <c r="AE924" s="7" t="n"/>
      <c r="AF924" s="7" t="n"/>
      <c r="AG924" s="7" t="n"/>
      <c r="AH924" s="7" t="n"/>
      <c r="AI924" s="7" t="n"/>
      <c r="AJ924" s="7" t="n"/>
      <c r="AK924" s="7" t="n"/>
      <c r="AL924" s="7" t="n"/>
      <c r="AM924" s="7" t="n">
        <v>1514</v>
      </c>
      <c r="AN924" s="10" t="n"/>
      <c r="AO924" s="10" t="n"/>
      <c r="AP924" s="10" t="n"/>
      <c r="AQ924" s="10" t="n"/>
    </row>
    <row r="925">
      <c r="A925" s="7" t="inlineStr">
        <is>
          <t>b7-0105</t>
        </is>
      </c>
      <c r="B925" s="7" t="inlineStr">
        <is>
          <t>Point</t>
        </is>
      </c>
      <c r="C925" s="7" t="n"/>
      <c r="D925" s="7" t="inlineStr">
        <is>
          <t>1516</t>
        </is>
      </c>
      <c r="E925" s="7" t="inlineStr">
        <is>
          <t>1516</t>
        </is>
      </c>
      <c r="F925" s="7" t="inlineStr">
        <is>
          <t>1516 CE</t>
        </is>
      </c>
      <c r="G925" s="7" t="inlineStr">
        <is>
          <t>Exact</t>
        </is>
      </c>
      <c r="H925" s="7" t="n"/>
      <c r="I925" s="7" t="n"/>
      <c r="J925" s="7" t="n"/>
      <c r="K925" s="2" t="inlineStr">
        <is>
          <t>Erasmus publishes first complete printed Greek text</t>
        </is>
      </c>
      <c r="L925" s="2" t="inlineStr">
        <is>
          <t>இராஸ்மஸ் கிரேக்க வாசகம் 1516</t>
        </is>
      </c>
      <c r="M925" s="7" t="inlineStr">
        <is>
          <t>In 1516 Dutch scholar Desiderius Erasmus published the first complete printed edition of the Greek text of the Christian Scriptures. It contained errors but was improved in four editions from 1519 to 1535 and became the basis for Luther's and Tyndale's translations.</t>
        </is>
      </c>
      <c r="N925" s="7" t="inlineStr">
        <is>
          <t>டச்சு கல்விமான் டெசிடீரியஸ் இராஸ்மஸ், 1516-ல் முழு கிரேக்க வாசகத்தின் முதல் அச்சுப் பதிப்பை உண்டுபண்ணினார்.</t>
        </is>
      </c>
      <c r="O925" s="12" t="inlineStr">
        <is>
          <t>Bible &amp; church history</t>
        </is>
      </c>
      <c r="P925" s="7" t="inlineStr">
        <is>
          <t>history.bible_preservation</t>
        </is>
      </c>
      <c r="Q925" s="7" t="inlineStr">
        <is>
          <t>release</t>
        </is>
      </c>
      <c r="R925" s="7" t="inlineStr">
        <is>
          <t>Desiderius Erasmus</t>
        </is>
      </c>
      <c r="S925" s="7" t="n"/>
      <c r="T925" s="7" t="n"/>
      <c r="U925" s="7" t="n"/>
      <c r="V925" s="7" t="n">
        <v>4</v>
      </c>
      <c r="W925" s="7" t="inlineStr">
        <is>
          <t>Part Two—How the Bible Came to Us</t>
        </is>
      </c>
      <c r="X925" s="9" t="inlineStr">
        <is>
          <t>open</t>
        </is>
      </c>
      <c r="Y925" s="9" t="inlineStr">
        <is>
          <t>open</t>
        </is>
      </c>
      <c r="Z925" s="7" t="inlineStr">
        <is>
          <t>https://wol.jw.org/en/wol/d/r1/lp-e/1997685#h=15
https://wol.jw.org/en/wol/d/r1/lp-e/1997685#h=47
https://wol.jw.org/en/wol/d/r1/lp-e/1200002893#h=13
https://wol.jw.org/en/wol/d/r1/lp-e/1101990133#h=22</t>
        </is>
      </c>
      <c r="AA925" s="7" t="n">
        <v>0</v>
      </c>
      <c r="AB925" s="7" t="n"/>
      <c r="AC925" s="7" t="n">
        <v>0</v>
      </c>
      <c r="AD925" s="7" t="n"/>
      <c r="AE925" s="7" t="n"/>
      <c r="AF925" s="7" t="n"/>
      <c r="AG925" s="7" t="n"/>
      <c r="AH925" s="7" t="n"/>
      <c r="AI925" s="7" t="n"/>
      <c r="AJ925" s="7" t="n"/>
      <c r="AK925" s="7" t="inlineStr">
        <is>
          <t>how-the-bible-came-to-us #29 (step)</t>
        </is>
      </c>
      <c r="AL925" s="7" t="n"/>
      <c r="AM925" s="7" t="n">
        <v>1516</v>
      </c>
      <c r="AN925" s="10" t="n"/>
      <c r="AO925" s="10" t="n"/>
      <c r="AP925" s="10" t="n"/>
      <c r="AQ925" s="10" t="n"/>
    </row>
    <row r="926">
      <c r="A926" s="7" t="inlineStr">
        <is>
          <t>b7-0106</t>
        </is>
      </c>
      <c r="B926" s="7" t="inlineStr">
        <is>
          <t>Point</t>
        </is>
      </c>
      <c r="C926" s="7" t="n"/>
      <c r="D926" s="7" t="inlineStr">
        <is>
          <t>1517, October 31</t>
        </is>
      </c>
      <c r="E926" s="7" t="inlineStr">
        <is>
          <t>1517</t>
        </is>
      </c>
      <c r="F926" s="7" t="inlineStr">
        <is>
          <t>1517 CE</t>
        </is>
      </c>
      <c r="G926" s="7" t="inlineStr">
        <is>
          <t>Exact</t>
        </is>
      </c>
      <c r="H926" s="7" t="n"/>
      <c r="I926" s="7" t="n"/>
      <c r="J926" s="7" t="n"/>
      <c r="K926" s="2" t="inlineStr">
        <is>
          <t>Luther posts his 95 theses — start of the Protestant Reformation</t>
        </is>
      </c>
      <c r="L926" s="2" t="inlineStr">
        <is>
          <t>புராட்டஸ்டன்டு சீர்திருத்த இயக்கம் 1517-ம் ஆண்டு அக்டோபர் 31-ல் அதிகாரப்பூர்வமாக தொடங்கியதென்று சொல்லலாம்</t>
        </is>
      </c>
      <c r="M926" s="7" t="inlineStr">
        <is>
          <t>Indignant at John Tetzel's sale of indulgences, Martin Luther, according to tradition, nailed 95 theses to the castle church door at Wittenberg on October 31, 1517. Printed and spread widely, they made church reform a Europe-wide controversy.</t>
        </is>
      </c>
      <c r="N926" s="7" t="inlineStr">
        <is>
          <t>புராட்டஸ்டன்டு சீர்திருத்த இயக்கம் 1517-ம் ஆண்டு அக்டோபர் 31-ல் அதிகாரப்பூர்வமாக தொடங்கியதென்று சொல்லலாம்.</t>
        </is>
      </c>
      <c r="O926" s="12" t="inlineStr">
        <is>
          <t>Bible &amp; church history</t>
        </is>
      </c>
      <c r="P926" s="7" t="inlineStr">
        <is>
          <t>history.reform</t>
        </is>
      </c>
      <c r="Q926" s="7" t="inlineStr">
        <is>
          <t>protest</t>
        </is>
      </c>
      <c r="R926" s="7" t="inlineStr">
        <is>
          <t>Martin Luther; John Tetzel</t>
        </is>
      </c>
      <c r="S926" s="7" t="inlineStr">
        <is>
          <t>Wittenberg</t>
        </is>
      </c>
      <c r="T926" s="7" t="n"/>
      <c r="U926" s="7" t="n"/>
      <c r="V926" s="7" t="n">
        <v>3</v>
      </c>
      <c r="W926" s="7" t="inlineStr">
        <is>
          <t>The Reformation—The Search Took a New Turn</t>
        </is>
      </c>
      <c r="X926" s="9" t="inlineStr">
        <is>
          <t>open</t>
        </is>
      </c>
      <c r="Y926" s="9" t="inlineStr">
        <is>
          <t>open</t>
        </is>
      </c>
      <c r="Z926" s="7" t="inlineStr">
        <is>
          <t>https://wol.jw.org/en/wol/d/r1/lp-e/1101990045#h=26
https://wol.jw.org/en/wol/d/r1/lp-e/2003686#h=10
https://wol.jw.org/en/wol/d/r1/lp-e/2010647#h=7</t>
        </is>
      </c>
      <c r="AA926" s="7" t="n">
        <v>0</v>
      </c>
      <c r="AB926" s="7" t="n"/>
      <c r="AC926" s="7" t="n">
        <v>0</v>
      </c>
      <c r="AD926" s="7" t="n"/>
      <c r="AE926" s="7" t="n"/>
      <c r="AF926" s="7" t="n"/>
      <c r="AG926" s="7" t="n"/>
      <c r="AH926" s="7" t="n"/>
      <c r="AI926" s="7" t="n"/>
      <c r="AJ926" s="7" t="n"/>
      <c r="AK926" s="7" t="n"/>
      <c r="AL926" s="7" t="n"/>
      <c r="AM926" s="7" t="n">
        <v>1517.8306</v>
      </c>
      <c r="AN926" s="10" t="n"/>
      <c r="AO926" s="10" t="n"/>
      <c r="AP926" s="10" t="n"/>
      <c r="AQ926" s="10" t="n"/>
    </row>
    <row r="927">
      <c r="A927" s="7" t="inlineStr">
        <is>
          <t>b7-0107</t>
        </is>
      </c>
      <c r="B927" s="7" t="inlineStr">
        <is>
          <t>Point</t>
        </is>
      </c>
      <c r="C927" s="7" t="n"/>
      <c r="D927" s="7" t="inlineStr">
        <is>
          <t>1518</t>
        </is>
      </c>
      <c r="E927" s="7" t="inlineStr">
        <is>
          <t>1518</t>
        </is>
      </c>
      <c r="F927" s="7" t="inlineStr">
        <is>
          <t>1518 CE</t>
        </is>
      </c>
      <c r="G927" s="7" t="inlineStr">
        <is>
          <t>Exact</t>
        </is>
      </c>
      <c r="H927" s="7" t="n"/>
      <c r="I927" s="7" t="n"/>
      <c r="J927" s="7" t="n"/>
      <c r="K927" s="2" t="inlineStr">
        <is>
          <t>Erasmus: "The shamelessness of the Roman Curia has reached its climax"</t>
        </is>
      </c>
      <c r="L927" s="2" t="n"/>
      <c r="M927" s="7" t="inlineStr">
        <is>
          <t>In 1518, amid papal corruption, Catholic scholar Erasmus wrote that the shamelessness of the Roman Curia had reached its climax.</t>
        </is>
      </c>
      <c r="N927" s="7" t="inlineStr">
        <is>
          <t>ஆக, “ரோம நிர்வாக குழுவின் வெட்கக்கேடான நிலை உச்சக்கட்டத்தை எட்டியது” என 1518-ல் டச்சு கத்தோலிக்க அறிஞர் ஈராஸ்மஸ் எழுதியது நூற்றுக்கு நூறு உண்மை.</t>
        </is>
      </c>
      <c r="O927" s="12" t="inlineStr">
        <is>
          <t>Bible &amp; church history</t>
        </is>
      </c>
      <c r="P927" s="7" t="inlineStr">
        <is>
          <t>history.apostasy</t>
        </is>
      </c>
      <c r="Q927" s="7" t="inlineStr">
        <is>
          <t>writing</t>
        </is>
      </c>
      <c r="R927" s="7" t="inlineStr">
        <is>
          <t>Desiderius Erasmus</t>
        </is>
      </c>
      <c r="S927" s="7" t="n"/>
      <c r="T927" s="7" t="n"/>
      <c r="U927" s="7" t="n"/>
      <c r="V927" s="7" t="n">
        <v>1</v>
      </c>
      <c r="W927" s="7" t="inlineStr">
        <is>
          <t>The Reformation—The Search Took a New Turn</t>
        </is>
      </c>
      <c r="X927" s="9" t="inlineStr">
        <is>
          <t>open</t>
        </is>
      </c>
      <c r="Y927" s="9" t="inlineStr">
        <is>
          <t>open</t>
        </is>
      </c>
      <c r="Z927" s="7" t="inlineStr">
        <is>
          <t>https://wol.jw.org/en/wol/d/r1/lp-e/1101990045#h=8</t>
        </is>
      </c>
      <c r="AA927" s="7" t="n">
        <v>0</v>
      </c>
      <c r="AB927" s="7" t="n"/>
      <c r="AC927" s="7" t="n">
        <v>0</v>
      </c>
      <c r="AD927" s="7" t="n"/>
      <c r="AE927" s="7" t="n"/>
      <c r="AF927" s="7" t="n"/>
      <c r="AG927" s="7" t="n"/>
      <c r="AH927" s="7" t="n"/>
      <c r="AI927" s="7" t="n"/>
      <c r="AJ927" s="7" t="n"/>
      <c r="AK927" s="7" t="n"/>
      <c r="AL927" s="7" t="n"/>
      <c r="AM927" s="7" t="n">
        <v>1518</v>
      </c>
      <c r="AN927" s="10" t="n"/>
      <c r="AO927" s="10" t="n"/>
      <c r="AP927" s="10" t="n"/>
      <c r="AQ927" s="10" t="n"/>
    </row>
    <row r="928">
      <c r="A928" s="7" t="inlineStr">
        <is>
          <t>b7-0108</t>
        </is>
      </c>
      <c r="B928" s="7" t="inlineStr">
        <is>
          <t>Point</t>
        </is>
      </c>
      <c r="C928" s="7" t="n"/>
      <c r="D928" s="7" t="inlineStr">
        <is>
          <t>c. 1519</t>
        </is>
      </c>
      <c r="E928" s="7" t="inlineStr">
        <is>
          <t>சுமார் 1519</t>
        </is>
      </c>
      <c r="F928" s="7" t="inlineStr">
        <is>
          <t>1519 CE</t>
        </is>
      </c>
      <c r="G928" s="7" t="inlineStr">
        <is>
          <t>Approx. (c.)</t>
        </is>
      </c>
      <c r="H928" s="7" t="n"/>
      <c r="I928" s="7" t="n"/>
      <c r="J928" s="7" t="n"/>
      <c r="K928" s="2" t="inlineStr">
        <is>
          <t>Zwingli begins preaching reform in Zurich</t>
        </is>
      </c>
      <c r="L928" s="2" t="n"/>
      <c r="M928" s="7" t="inlineStr">
        <is>
          <t>Around 1519, Catholic priest Ulrich (Huldrych) Zwingli, then living in Zurich, began preaching against indulgences, Mariolatry, clerical celibacy, and other Catholic doctrines.</t>
        </is>
      </c>
      <c r="N928" s="7" t="inlineStr">
        <is>
          <t>சுமார் 1519-ல் பாவ மன்னிப்பு, மரியாள் வழிபாடு, குருமார் மணத்துறவு போன்ற இன்னும் பிற கத்தோலிக்க சர்ச்சின் கோட்பாடுகளையெல்லாம் தாக்கி ஸ்விங்லி பிரச்சாரம் செய்ய ஆரம்பித்தார்.</t>
        </is>
      </c>
      <c r="O928" s="12" t="inlineStr">
        <is>
          <t>Bible &amp; church history</t>
        </is>
      </c>
      <c r="P928" s="7" t="inlineStr">
        <is>
          <t>history.reform</t>
        </is>
      </c>
      <c r="Q928" s="7" t="inlineStr">
        <is>
          <t>preaching</t>
        </is>
      </c>
      <c r="R928" s="7" t="inlineStr">
        <is>
          <t>Ulrich Zwingli</t>
        </is>
      </c>
      <c r="S928" s="7" t="inlineStr">
        <is>
          <t>Zurich</t>
        </is>
      </c>
      <c r="T928" s="7" t="n"/>
      <c r="U928" s="7" t="n"/>
      <c r="V928" s="7" t="n">
        <v>2</v>
      </c>
      <c r="W928" s="7" t="inlineStr">
        <is>
          <t>The Reformation—The Search Took a New Turn</t>
        </is>
      </c>
      <c r="X928" s="9" t="inlineStr">
        <is>
          <t>open</t>
        </is>
      </c>
      <c r="Y928" s="9" t="inlineStr">
        <is>
          <t>open</t>
        </is>
      </c>
      <c r="Z928" s="7" t="inlineStr">
        <is>
          <t>https://wol.jw.org/en/wol/d/r1/lp-e/1101990045#h=43
https://wol.jw.org/en/wol/d/r1/lp-e/501100071#h=8</t>
        </is>
      </c>
      <c r="AA928" s="7" t="n">
        <v>0</v>
      </c>
      <c r="AB928" s="7" t="n"/>
      <c r="AC928" s="7" t="n">
        <v>0</v>
      </c>
      <c r="AD928" s="7" t="n"/>
      <c r="AE928" s="7" t="n"/>
      <c r="AF928" s="7" t="n"/>
      <c r="AG928" s="7" t="n"/>
      <c r="AH928" s="7" t="n"/>
      <c r="AI928" s="7" t="n"/>
      <c r="AJ928" s="7" t="n"/>
      <c r="AK928" s="7" t="n"/>
      <c r="AL928" s="7" t="n"/>
      <c r="AM928" s="7" t="n">
        <v>1519</v>
      </c>
      <c r="AN928" s="10" t="n"/>
      <c r="AO928" s="10" t="n"/>
      <c r="AP928" s="10" t="n"/>
      <c r="AQ928" s="10" t="n"/>
    </row>
    <row r="929">
      <c r="A929" s="7" t="inlineStr">
        <is>
          <t>b7-0109</t>
        </is>
      </c>
      <c r="B929" s="7" t="inlineStr">
        <is>
          <t>Point</t>
        </is>
      </c>
      <c r="C929" s="7" t="n"/>
      <c r="D929" s="7" t="inlineStr">
        <is>
          <t>1520, June 15</t>
        </is>
      </c>
      <c r="E929" s="7" t="inlineStr">
        <is>
          <t>1520</t>
        </is>
      </c>
      <c r="F929" s="7" t="inlineStr">
        <is>
          <t>1520 CE</t>
        </is>
      </c>
      <c r="G929" s="7" t="inlineStr">
        <is>
          <t>Exact</t>
        </is>
      </c>
      <c r="H929" s="7" t="n"/>
      <c r="I929" s="7" t="n"/>
      <c r="J929" s="7" t="n"/>
      <c r="K929" s="2" t="inlineStr">
        <is>
          <t>Pope Leo X's bull against books containing "heresies"</t>
        </is>
      </c>
      <c r="L929" s="2" t="n"/>
      <c r="M929" s="7" t="inlineStr">
        <is>
          <t>On June 15, 1520, Pope Leo X issued a bull ordering that no book containing "heresies" be printed, sold, or read in any Catholic land.</t>
        </is>
      </c>
      <c r="N929" s="7" t="inlineStr">
        <is>
          <t>ஜூன் 15, 1520-ல், “முரண் சமய கருத்துக்கள்” அடங்கிய எந்தவொரு புத்தகத்தையும் எந்தக் கத்தோலிக்க நாடெங்கும் அச்சடிக்கவோ விற்கவோ வாசிக்கவோ கூடாது என்ற ஆணையைப் பத்தாம் போப் லியோ பிறப்பித்தார்; மேலும் உலக அதிகாரங்கள் அந்த ஆணையைத் தங்கள் ஆட்சி எல்லைகளில் அமல்படுத்துமாறு கோரினார்.</t>
        </is>
      </c>
      <c r="O929" s="12" t="inlineStr">
        <is>
          <t>Bible &amp; church history</t>
        </is>
      </c>
      <c r="P929" s="7" t="inlineStr">
        <is>
          <t>history.apostasy</t>
        </is>
      </c>
      <c r="Q929" s="7" t="inlineStr">
        <is>
          <t>decree</t>
        </is>
      </c>
      <c r="R929" s="7" t="inlineStr">
        <is>
          <t>Leo X</t>
        </is>
      </c>
      <c r="S929" s="7" t="n"/>
      <c r="T929" s="7" t="n"/>
      <c r="U929" s="7" t="n"/>
      <c r="V929" s="7" t="n">
        <v>1</v>
      </c>
      <c r="W929" s="7" t="inlineStr">
        <is>
          <t>A Printer Who Left His Mark</t>
        </is>
      </c>
      <c r="X929" s="9" t="inlineStr">
        <is>
          <t>open</t>
        </is>
      </c>
      <c r="Y929" s="9" t="inlineStr">
        <is>
          <t>open</t>
        </is>
      </c>
      <c r="Z929" s="7" t="inlineStr">
        <is>
          <t>https://wol.jw.org/en/wol/d/r1/lp-e/1995282#h=15</t>
        </is>
      </c>
      <c r="AA929" s="7" t="n">
        <v>0</v>
      </c>
      <c r="AB929" s="7" t="n"/>
      <c r="AC929" s="7" t="n">
        <v>0</v>
      </c>
      <c r="AD929" s="7" t="n"/>
      <c r="AE929" s="7" t="n"/>
      <c r="AF929" s="7" t="n"/>
      <c r="AG929" s="7" t="n"/>
      <c r="AH929" s="7" t="n"/>
      <c r="AI929" s="7" t="n"/>
      <c r="AJ929" s="7" t="n"/>
      <c r="AK929" s="7" t="n"/>
      <c r="AL929" s="7" t="n"/>
      <c r="AM929" s="7" t="n">
        <v>1520.4543</v>
      </c>
      <c r="AN929" s="10" t="n"/>
      <c r="AO929" s="10" t="n"/>
      <c r="AP929" s="10" t="n"/>
      <c r="AQ929" s="10" t="n"/>
    </row>
    <row r="930">
      <c r="A930" s="7" t="inlineStr">
        <is>
          <t>b7-0110</t>
        </is>
      </c>
      <c r="B930" s="7" t="inlineStr">
        <is>
          <t>Point</t>
        </is>
      </c>
      <c r="C930" s="7" t="n"/>
      <c r="D930" s="7" t="inlineStr">
        <is>
          <t>1520</t>
        </is>
      </c>
      <c r="E930" s="7" t="inlineStr">
        <is>
          <t>1520</t>
        </is>
      </c>
      <c r="F930" s="7" t="inlineStr">
        <is>
          <t>1520 CE</t>
        </is>
      </c>
      <c r="G930" s="7" t="inlineStr">
        <is>
          <t>Exact</t>
        </is>
      </c>
      <c r="H930" s="7" t="n"/>
      <c r="I930" s="7" t="n"/>
      <c r="J930" s="7" t="n"/>
      <c r="K930" s="2" t="inlineStr">
        <is>
          <t>Papal bull against Luther; Luther burns it publicly</t>
        </is>
      </c>
      <c r="L930" s="2" t="inlineStr">
        <is>
          <t>லூத்தர் பிரச்சாரம் செய்யக்கூடாதென்றும், அவருடைய புத்தகங்களெல்லாம் எரிக்கப்பட வேண்டுமென்றும் 1520-ல் போப் ஓர் அரசாணை பிறப்பித்தார்</t>
        </is>
      </c>
      <c r="M930" s="7" t="inlineStr">
        <is>
          <t>In 1520 the pope issued a bull forbidding Luther to preach and ordering his books burned; Luther defiantly burned the bull in public.</t>
        </is>
      </c>
      <c r="N930" s="7" t="inlineStr">
        <is>
          <t>லூத்தர் பிரச்சாரம் செய்யக்கூடாதென்றும், அவருடைய புத்தகங்களெல்லாம் எரிக்கப்பட வேண்டுமென்றும் 1520-ல் போப் ஓர் அரசாணை பிறப்பித்தார்.</t>
        </is>
      </c>
      <c r="O930" s="12" t="inlineStr">
        <is>
          <t>Bible &amp; church history</t>
        </is>
      </c>
      <c r="P930" s="7" t="inlineStr">
        <is>
          <t>history.reform</t>
        </is>
      </c>
      <c r="Q930" s="7" t="inlineStr">
        <is>
          <t>protest</t>
        </is>
      </c>
      <c r="R930" s="7" t="inlineStr">
        <is>
          <t>Martin Luther; Leo X</t>
        </is>
      </c>
      <c r="S930" s="7" t="n"/>
      <c r="T930" s="7" t="n"/>
      <c r="U930" s="7" t="n"/>
      <c r="V930" s="7" t="n">
        <v>2</v>
      </c>
      <c r="W930" s="7" t="inlineStr">
        <is>
          <t>The Reformation—The Search Took a New Turn</t>
        </is>
      </c>
      <c r="X930" s="9" t="inlineStr">
        <is>
          <t>open</t>
        </is>
      </c>
      <c r="Y930" s="9" t="inlineStr">
        <is>
          <t>open</t>
        </is>
      </c>
      <c r="Z930" s="7" t="inlineStr">
        <is>
          <t>https://wol.jw.org/en/wol/d/r1/lp-e/1101990045#h=34
https://wol.jw.org/en/wol/d/r1/lp-e/2003686#h=15</t>
        </is>
      </c>
      <c r="AA930" s="7" t="n">
        <v>0</v>
      </c>
      <c r="AB930" s="7" t="n"/>
      <c r="AC930" s="7" t="n">
        <v>0</v>
      </c>
      <c r="AD930" s="7" t="n"/>
      <c r="AE930" s="7" t="n"/>
      <c r="AF930" s="7" t="n"/>
      <c r="AG930" s="7" t="n"/>
      <c r="AH930" s="7" t="n"/>
      <c r="AI930" s="7" t="n"/>
      <c r="AJ930" s="7" t="n"/>
      <c r="AK930" s="7" t="n"/>
      <c r="AL930" s="7" t="n"/>
      <c r="AM930" s="7" t="n">
        <v>1520.6</v>
      </c>
      <c r="AN930" s="10" t="n"/>
      <c r="AO930" s="10" t="n"/>
      <c r="AP930" s="10" t="n"/>
      <c r="AQ930" s="10" t="n"/>
    </row>
    <row r="931">
      <c r="A931" s="7" t="inlineStr">
        <is>
          <t>b7-0111</t>
        </is>
      </c>
      <c r="B931" s="7" t="inlineStr">
        <is>
          <t>Point</t>
        </is>
      </c>
      <c r="C931" s="7" t="n"/>
      <c r="D931" s="7" t="inlineStr">
        <is>
          <t>1521</t>
        </is>
      </c>
      <c r="E931" s="7" t="inlineStr">
        <is>
          <t>1521</t>
        </is>
      </c>
      <c r="F931" s="7" t="inlineStr">
        <is>
          <t>1521 CE</t>
        </is>
      </c>
      <c r="G931" s="7" t="inlineStr">
        <is>
          <t>Exact</t>
        </is>
      </c>
      <c r="H931" s="7" t="n"/>
      <c r="I931" s="7" t="n"/>
      <c r="J931" s="7" t="n"/>
      <c r="K931" s="2" t="inlineStr">
        <is>
          <t>Luther excommunicated; outlawed at the Diet of Worms</t>
        </is>
      </c>
      <c r="L931" s="2" t="inlineStr">
        <is>
          <t>1521-⁠ல் பத்தாம் போப் லியோ, லூத்தரை சபை நீக்கம் செய்தார்</t>
        </is>
      </c>
      <c r="M931" s="7" t="inlineStr">
        <is>
          <t>Pope Leo X excommunicated Luther in 1521. In April 1521 Luther appeared before Emperor Charles V at the Diet of Worms, refused to recant unless proved wrong from the Bible, and was declared an outlaw by the Edict of Worms.</t>
        </is>
      </c>
      <c r="N931" s="7" t="inlineStr">
        <is>
          <t>1521-⁠ல் பத்தாம் போப் லியோ, லூத்தரை சபை நீக்கம் செய்தார்.</t>
        </is>
      </c>
      <c r="O931" s="12" t="inlineStr">
        <is>
          <t>Bible &amp; church history</t>
        </is>
      </c>
      <c r="P931" s="7" t="inlineStr">
        <is>
          <t>history.reform</t>
        </is>
      </c>
      <c r="Q931" s="7" t="inlineStr">
        <is>
          <t>excommunication</t>
        </is>
      </c>
      <c r="R931" s="7" t="inlineStr">
        <is>
          <t>Martin Luther; Leo X; Charles V</t>
        </is>
      </c>
      <c r="S931" s="7" t="inlineStr">
        <is>
          <t>Worms</t>
        </is>
      </c>
      <c r="T931" s="7" t="n"/>
      <c r="U931" s="7" t="n"/>
      <c r="V931" s="7" t="n">
        <v>3</v>
      </c>
      <c r="W931" s="7" t="inlineStr">
        <is>
          <t>Martin Luther—The Man and His Legacy</t>
        </is>
      </c>
      <c r="X931" s="9" t="inlineStr">
        <is>
          <t>open</t>
        </is>
      </c>
      <c r="Y931" s="9" t="inlineStr">
        <is>
          <t>open</t>
        </is>
      </c>
      <c r="Z931" s="7" t="inlineStr">
        <is>
          <t>https://wol.jw.org/en/wol/d/r1/lp-e/2003686#h=15
https://wol.jw.org/en/wol/d/r1/lp-e/1101990045#h=34
https://wol.jw.org/en/wol/d/r1/lp-e/102011443#h=16</t>
        </is>
      </c>
      <c r="AA931" s="7" t="n">
        <v>0</v>
      </c>
      <c r="AB931" s="7" t="n"/>
      <c r="AC931" s="7" t="n">
        <v>0</v>
      </c>
      <c r="AD931" s="7" t="n"/>
      <c r="AE931" s="7" t="n"/>
      <c r="AF931" s="7" t="n"/>
      <c r="AG931" s="7" t="n"/>
      <c r="AH931" s="7" t="n"/>
      <c r="AI931" s="7" t="n"/>
      <c r="AJ931" s="7" t="n"/>
      <c r="AK931" s="7" t="n"/>
      <c r="AL931" s="7" t="n"/>
      <c r="AM931" s="7" t="n">
        <v>1521</v>
      </c>
      <c r="AN931" s="10" t="n"/>
      <c r="AO931" s="10" t="n"/>
      <c r="AP931" s="10" t="n"/>
      <c r="AQ931" s="10" t="n"/>
    </row>
    <row r="932">
      <c r="A932" s="7" t="inlineStr">
        <is>
          <t>b7-0112</t>
        </is>
      </c>
      <c r="B932" s="7" t="inlineStr">
        <is>
          <t>Point</t>
        </is>
      </c>
      <c r="C932" s="7" t="n"/>
      <c r="D932" s="7" t="inlineStr">
        <is>
          <t>1522</t>
        </is>
      </c>
      <c r="E932" s="7" t="inlineStr">
        <is>
          <t>1522</t>
        </is>
      </c>
      <c r="F932" s="7" t="inlineStr">
        <is>
          <t>1522 CE</t>
        </is>
      </c>
      <c r="G932" s="7" t="inlineStr">
        <is>
          <t>Exact</t>
        </is>
      </c>
      <c r="H932" s="7" t="n"/>
      <c r="I932" s="7" t="n"/>
      <c r="J932" s="7" t="n"/>
      <c r="K932" s="2" t="inlineStr">
        <is>
          <t>Zwingli charged with heresy; resigns as Catholic priest</t>
        </is>
      </c>
      <c r="L932" s="2" t="n"/>
      <c r="M932" s="7" t="inlineStr">
        <is>
          <t>In 1522, after the clergy moved against practices contrary to church doctrine, Zwingli was charged with heresy and resigned from the Catholic priesthood.</t>
        </is>
      </c>
      <c r="N932" s="7" t="inlineStr">
        <is>
          <t>1522-ல் குருமார்கள் சூரிச்சில் இருந்த அரசியல்வாதிகளை கைக்குள் போட்டுக்கொண்டு, சர்ச் போதனைகளுக்கு எதிராக மக்கள் நடக்காமல் பார்த்துக்கொண்டார்கள்.</t>
        </is>
      </c>
      <c r="O932" s="12" t="inlineStr">
        <is>
          <t>Bible &amp; church history</t>
        </is>
      </c>
      <c r="P932" s="7" t="inlineStr">
        <is>
          <t>history.reform</t>
        </is>
      </c>
      <c r="Q932" s="7" t="inlineStr">
        <is>
          <t>resignation</t>
        </is>
      </c>
      <c r="R932" s="7" t="inlineStr">
        <is>
          <t>Ulrich Zwingli</t>
        </is>
      </c>
      <c r="S932" s="7" t="inlineStr">
        <is>
          <t>Zurich</t>
        </is>
      </c>
      <c r="T932" s="7" t="n"/>
      <c r="U932" s="7" t="n"/>
      <c r="V932" s="7" t="n">
        <v>1</v>
      </c>
      <c r="W932" s="7" t="inlineStr">
        <is>
          <t>Huldrych Zwingli’s Search for Bible Truth</t>
        </is>
      </c>
      <c r="X932" s="9" t="inlineStr">
        <is>
          <t>open</t>
        </is>
      </c>
      <c r="Y932" s="9" t="inlineStr">
        <is>
          <t>open</t>
        </is>
      </c>
      <c r="Z932" s="7" t="inlineStr">
        <is>
          <t>https://wol.jw.org/en/wol/d/r1/lp-e/501100071#h=12</t>
        </is>
      </c>
      <c r="AA932" s="7" t="n">
        <v>0</v>
      </c>
      <c r="AB932" s="7" t="n"/>
      <c r="AC932" s="7" t="n">
        <v>0</v>
      </c>
      <c r="AD932" s="7" t="n"/>
      <c r="AE932" s="7" t="n"/>
      <c r="AF932" s="7" t="n"/>
      <c r="AG932" s="7" t="n"/>
      <c r="AH932" s="7" t="n"/>
      <c r="AI932" s="7" t="n"/>
      <c r="AJ932" s="7" t="n"/>
      <c r="AK932" s="7" t="n"/>
      <c r="AL932" s="7" t="n"/>
      <c r="AM932" s="7" t="n">
        <v>1522.1</v>
      </c>
      <c r="AN932" s="10" t="n"/>
      <c r="AO932" s="10" t="n"/>
      <c r="AP932" s="10" t="n"/>
      <c r="AQ932" s="10" t="n"/>
    </row>
    <row r="933">
      <c r="A933" s="7" t="inlineStr">
        <is>
          <t>b7-0113</t>
        </is>
      </c>
      <c r="B933" s="7" t="inlineStr">
        <is>
          <t>Point</t>
        </is>
      </c>
      <c r="C933" s="7" t="n"/>
      <c r="D933" s="7" t="inlineStr">
        <is>
          <t>1522, September</t>
        </is>
      </c>
      <c r="E933" s="7" t="inlineStr">
        <is>
          <t>1522</t>
        </is>
      </c>
      <c r="F933" s="7" t="inlineStr">
        <is>
          <t>1522 CE</t>
        </is>
      </c>
      <c r="G933" s="7" t="inlineStr">
        <is>
          <t>Exact</t>
        </is>
      </c>
      <c r="H933" s="7" t="n"/>
      <c r="I933" s="7" t="n"/>
      <c r="J933" s="7" t="n"/>
      <c r="K933" s="2" t="inlineStr">
        <is>
          <t>Luther's German "New Testament" (September Bible) published</t>
        </is>
      </c>
      <c r="L933" s="2" t="n"/>
      <c r="M933" s="7" t="inlineStr">
        <is>
          <t>While hiding at Wartburg castle, Luther translated Erasmus' Greek text into German. Published in September 1522 without naming the translator, the "September Bible" was in staggering demand and was the first translation to use Erasmus' text.</t>
        </is>
      </c>
      <c r="N933" s="7" t="inlineStr">
        <is>
          <t>செப்டம்பர் 1522-⁠ல் பிரசுரிக்கப்பட்ட அது, செப்டம்பர் பைபிள் என அழைக்கப்பட்டது; மொழிபெயர்த்தவர் லூத்தர் என்று அதில் குறிப்பிடப்படவில்லை.</t>
        </is>
      </c>
      <c r="O933" s="12" t="inlineStr">
        <is>
          <t>Bible &amp; church history</t>
        </is>
      </c>
      <c r="P933" s="7" t="inlineStr">
        <is>
          <t>history.bible_translation</t>
        </is>
      </c>
      <c r="Q933" s="7" t="inlineStr">
        <is>
          <t>release</t>
        </is>
      </c>
      <c r="R933" s="7" t="inlineStr">
        <is>
          <t>Martin Luther</t>
        </is>
      </c>
      <c r="S933" s="7" t="inlineStr">
        <is>
          <t>Wartburg; Wittenberg</t>
        </is>
      </c>
      <c r="T933" s="7" t="n"/>
      <c r="U933" s="7" t="n"/>
      <c r="V933" s="7" t="n">
        <v>3</v>
      </c>
      <c r="W933" s="7" t="inlineStr">
        <is>
          <t>Martin Luther—The Man and His Legacy</t>
        </is>
      </c>
      <c r="X933" s="9" t="inlineStr">
        <is>
          <t>open</t>
        </is>
      </c>
      <c r="Y933" s="9" t="inlineStr">
        <is>
          <t>open</t>
        </is>
      </c>
      <c r="Z933" s="7" t="inlineStr">
        <is>
          <t>https://wol.jw.org/en/wol/d/r1/lp-e/2003686#h=19
https://wol.jw.org/en/wol/d/r1/lp-e/1101990133#h=23
https://wol.jw.org/en/wol/d/r1/lp-e/1101990134#h=114</t>
        </is>
      </c>
      <c r="AA933" s="7" t="n">
        <v>0</v>
      </c>
      <c r="AB933" s="7" t="n"/>
      <c r="AC933" s="7" t="n">
        <v>0</v>
      </c>
      <c r="AD933" s="7" t="n"/>
      <c r="AE933" s="7" t="n"/>
      <c r="AF933" s="7" t="n"/>
      <c r="AG933" s="7" t="n"/>
      <c r="AH933" s="7" t="n"/>
      <c r="AI933" s="7" t="n"/>
      <c r="AJ933" s="7" t="n"/>
      <c r="AK933" s="7" t="inlineStr">
        <is>
          <t>how-the-bible-came-to-us #30 (step)</t>
        </is>
      </c>
      <c r="AL933" s="7" t="n"/>
      <c r="AM933" s="7" t="n">
        <v>1522.6667</v>
      </c>
      <c r="AN933" s="10" t="n"/>
      <c r="AO933" s="10" t="n"/>
      <c r="AP933" s="10" t="n"/>
      <c r="AQ933" s="10" t="n"/>
    </row>
    <row r="934">
      <c r="A934" s="7" t="inlineStr">
        <is>
          <t>b7-0114</t>
        </is>
      </c>
      <c r="B934" s="7" t="inlineStr">
        <is>
          <t>Point</t>
        </is>
      </c>
      <c r="C934" s="7" t="n"/>
      <c r="D934" s="7" t="inlineStr">
        <is>
          <t>1523</t>
        </is>
      </c>
      <c r="E934" s="7" t="inlineStr">
        <is>
          <t>1523</t>
        </is>
      </c>
      <c r="F934" s="7" t="inlineStr">
        <is>
          <t>1523 CE</t>
        </is>
      </c>
      <c r="G934" s="7" t="inlineStr">
        <is>
          <t>Exact</t>
        </is>
      </c>
      <c r="H934" s="7" t="n"/>
      <c r="I934" s="7" t="n"/>
      <c r="J934" s="7" t="n"/>
      <c r="K934" s="2" t="inlineStr">
        <is>
          <t>Tyndale seeks Bishop Tunstall's support, then leaves England</t>
        </is>
      </c>
      <c r="L934" s="2" t="inlineStr">
        <is>
          <t>ஆகவே 1523-ல் டின்டேல், மொழிபெயர்ப்பு திட்டத்துக்கு அனுமதியும் ஆதரவும் திரட்டுவதற்கு லண்டனுக்கு பிஷப் டன்ஸ்டாலிடம் சென்றார்</t>
        </is>
      </c>
      <c r="M934" s="7" t="inlineStr">
        <is>
          <t>Determined that even a plowboy should know the Scriptures, Tyndale went to London in 1523 to seek Bishop Tunstall's backing for a translation. Rebuffed, he left England, never to return.</t>
        </is>
      </c>
      <c r="N934" s="7" t="inlineStr">
        <is>
          <t>ஆகவே 1523-ல் டின்டேல், மொழிபெயர்ப்பு திட்டத்துக்கு அனுமதியும் ஆதரவும் திரட்டுவதற்கு லண்டனுக்கு பிஷப் டன்ஸ்டாலிடம் சென்றார்.</t>
        </is>
      </c>
      <c r="O934" s="12" t="inlineStr">
        <is>
          <t>Bible &amp; church history</t>
        </is>
      </c>
      <c r="P934" s="7" t="inlineStr">
        <is>
          <t>history.bible_translation</t>
        </is>
      </c>
      <c r="Q934" s="7" t="inlineStr">
        <is>
          <t>journey</t>
        </is>
      </c>
      <c r="R934" s="7" t="inlineStr">
        <is>
          <t>William Tyndale; Cuthbert Tunstall</t>
        </is>
      </c>
      <c r="S934" s="7" t="inlineStr">
        <is>
          <t>London</t>
        </is>
      </c>
      <c r="T934" s="7" t="n"/>
      <c r="U934" s="7" t="n"/>
      <c r="V934" s="7" t="n">
        <v>1</v>
      </c>
      <c r="W934" s="7" t="inlineStr">
        <is>
          <t>Part Two—How the Bible Came to Us</t>
        </is>
      </c>
      <c r="X934" s="9" t="inlineStr">
        <is>
          <t>open</t>
        </is>
      </c>
      <c r="Y934" s="9" t="inlineStr">
        <is>
          <t>open</t>
        </is>
      </c>
      <c r="Z934" s="7" t="inlineStr">
        <is>
          <t>https://wol.jw.org/en/wol/d/r1/lp-e/1997685#h=19</t>
        </is>
      </c>
      <c r="AA934" s="7" t="n">
        <v>0</v>
      </c>
      <c r="AB934" s="7" t="n"/>
      <c r="AC934" s="7" t="n">
        <v>0</v>
      </c>
      <c r="AD934" s="7" t="n"/>
      <c r="AE934" s="7" t="n"/>
      <c r="AF934" s="7" t="n"/>
      <c r="AG934" s="7" t="n"/>
      <c r="AH934" s="7" t="n"/>
      <c r="AI934" s="7" t="n"/>
      <c r="AJ934" s="7" t="n"/>
      <c r="AK934" s="7" t="n"/>
      <c r="AL934" s="7" t="n"/>
      <c r="AM934" s="7" t="n">
        <v>1523</v>
      </c>
      <c r="AN934" s="10" t="n"/>
      <c r="AO934" s="10" t="n"/>
      <c r="AP934" s="10" t="n"/>
      <c r="AQ934" s="10" t="n"/>
    </row>
    <row r="935">
      <c r="A935" s="7" t="inlineStr">
        <is>
          <t>b7-0115</t>
        </is>
      </c>
      <c r="B935" s="7" t="inlineStr">
        <is>
          <t>Point</t>
        </is>
      </c>
      <c r="C935" s="7" t="n"/>
      <c r="D935" s="7" t="inlineStr">
        <is>
          <t>1524</t>
        </is>
      </c>
      <c r="E935" s="7" t="n"/>
      <c r="F935" s="7" t="inlineStr">
        <is>
          <t>1524 CE</t>
        </is>
      </c>
      <c r="G935" s="7" t="inlineStr">
        <is>
          <t>Exact</t>
        </is>
      </c>
      <c r="H935" s="7" t="n"/>
      <c r="I935" s="7" t="n"/>
      <c r="J935" s="7" t="n"/>
      <c r="K935" s="2" t="inlineStr">
        <is>
          <t>Tyndale begins translating from Hebrew and Greek in Germany</t>
        </is>
      </c>
      <c r="L935" s="2" t="n"/>
      <c r="M935" s="7" t="inlineStr">
        <is>
          <t>In 1524 Tyndale, having left England for Germany, began translating directly from the original Hebrew and Greek, later employing a press in Cologne.</t>
        </is>
      </c>
      <c r="N935" s="7" t="n"/>
      <c r="O935" s="12" t="inlineStr">
        <is>
          <t>Bible &amp; church history</t>
        </is>
      </c>
      <c r="P935" s="7" t="inlineStr">
        <is>
          <t>history.bible_translation</t>
        </is>
      </c>
      <c r="Q935" s="7" t="inlineStr">
        <is>
          <t>translation</t>
        </is>
      </c>
      <c r="R935" s="7" t="inlineStr">
        <is>
          <t>William Tyndale</t>
        </is>
      </c>
      <c r="S935" s="7" t="inlineStr">
        <is>
          <t>Germany; Cologne</t>
        </is>
      </c>
      <c r="T935" s="7" t="n"/>
      <c r="U935" s="7" t="n"/>
      <c r="V935" s="7" t="n">
        <v>1</v>
      </c>
      <c r="W935" s="7" t="inlineStr">
        <is>
          <t>They Loved the Word of God</t>
        </is>
      </c>
      <c r="X935" s="9" t="inlineStr">
        <is>
          <t>open</t>
        </is>
      </c>
      <c r="Y935" s="7" t="n"/>
      <c r="Z935" s="7" t="inlineStr">
        <is>
          <t>https://wol.jw.org/en/wol/d/r1/lp-e/2009402#h=12</t>
        </is>
      </c>
      <c r="AA935" s="7" t="n">
        <v>0</v>
      </c>
      <c r="AB935" s="7" t="n"/>
      <c r="AC935" s="7" t="n">
        <v>0</v>
      </c>
      <c r="AD935" s="7" t="n"/>
      <c r="AE935" s="7" t="n"/>
      <c r="AF935" s="7" t="n"/>
      <c r="AG935" s="7" t="n"/>
      <c r="AH935" s="7" t="n"/>
      <c r="AI935" s="7" t="n"/>
      <c r="AJ935" s="7" t="n"/>
      <c r="AK935" s="7" t="n"/>
      <c r="AL935" s="7" t="n"/>
      <c r="AM935" s="7" t="n">
        <v>1524</v>
      </c>
      <c r="AN935" s="10" t="n"/>
      <c r="AO935" s="10" t="n"/>
      <c r="AP935" s="10" t="n"/>
      <c r="AQ935" s="10" t="n"/>
    </row>
    <row r="936">
      <c r="A936" s="7" t="inlineStr">
        <is>
          <t>b7-0116</t>
        </is>
      </c>
      <c r="B936" s="7" t="inlineStr">
        <is>
          <t>Point</t>
        </is>
      </c>
      <c r="C936" s="7" t="n"/>
      <c r="D936" s="7" t="inlineStr">
        <is>
          <t>1525</t>
        </is>
      </c>
      <c r="E936" s="7" t="inlineStr">
        <is>
          <t>1525</t>
        </is>
      </c>
      <c r="F936" s="7" t="inlineStr">
        <is>
          <t>1525 CE</t>
        </is>
      </c>
      <c r="G936" s="7" t="inlineStr">
        <is>
          <t>Exact</t>
        </is>
      </c>
      <c r="H936" s="7" t="n"/>
      <c r="I936" s="7" t="n"/>
      <c r="J936" s="7" t="n"/>
      <c r="K936" s="2" t="inlineStr">
        <is>
          <t>Tyndale's "New Testament" completed; Cologne printing raided</t>
        </is>
      </c>
      <c r="L936" s="2" t="n"/>
      <c r="M936" s="7" t="inlineStr">
        <is>
          <t>Tyndale completed his English translation of the Christian Greek Scriptures from Erasmus' text by 1525, in exile. That year his printer in Cologne was raided, and Tyndale escaped up the Rhine with some of the pages.</t>
        </is>
      </c>
      <c r="N936" s="7" t="inlineStr">
        <is>
          <t>இந்த மொழிபெயர்ப்பாளர்தான் வில்லியம் டின்டேல்; 1525-ல் ஜெர்மனியிலுள்ள கொலோனில் தடைசெய்யப்பட்டிருந்த தன்னுடைய ஆங்கிலமொழி “புதிய ஏற்பாட்டை” அவர் பிரசுரிக்க முயற்சிசெய்துகொண்டிருந்தார்.</t>
        </is>
      </c>
      <c r="O936" s="12" t="inlineStr">
        <is>
          <t>Bible &amp; church history</t>
        </is>
      </c>
      <c r="P936" s="7" t="inlineStr">
        <is>
          <t>history.bible_translation</t>
        </is>
      </c>
      <c r="Q936" s="7" t="inlineStr">
        <is>
          <t>writing_completed</t>
        </is>
      </c>
      <c r="R936" s="7" t="inlineStr">
        <is>
          <t>William Tyndale</t>
        </is>
      </c>
      <c r="S936" s="7" t="inlineStr">
        <is>
          <t>Cologne</t>
        </is>
      </c>
      <c r="T936" s="7" t="n"/>
      <c r="U936" s="7" t="n"/>
      <c r="V936" s="7" t="n">
        <v>3</v>
      </c>
      <c r="W936" s="7" t="inlineStr">
        <is>
          <t>Part One—How the Bible Came to Us</t>
        </is>
      </c>
      <c r="X936" s="9" t="inlineStr">
        <is>
          <t>open</t>
        </is>
      </c>
      <c r="Y936" s="9" t="inlineStr">
        <is>
          <t>open</t>
        </is>
      </c>
      <c r="Z936" s="7" t="inlineStr">
        <is>
          <t>https://wol.jw.org/en/wol/d/r1/lp-e/1997603#h=5
https://wol.jw.org/en/wol/d/r1/lp-e/1101990133#h=23
https://wol.jw.org/en/wol/d/r1/lp-e/102011446#h=6</t>
        </is>
      </c>
      <c r="AA936" s="7" t="n">
        <v>0</v>
      </c>
      <c r="AB936" s="7" t="n"/>
      <c r="AC936" s="7" t="n">
        <v>0</v>
      </c>
      <c r="AD936" s="7" t="n"/>
      <c r="AE936" s="7" t="n"/>
      <c r="AF936" s="7" t="n"/>
      <c r="AG936" s="7" t="n"/>
      <c r="AH936" s="7" t="n"/>
      <c r="AI936" s="7" t="n"/>
      <c r="AJ936" s="7" t="n"/>
      <c r="AK936" s="7" t="n"/>
      <c r="AL936" s="7" t="n"/>
      <c r="AM936" s="7" t="n">
        <v>1525</v>
      </c>
      <c r="AN936" s="10" t="n"/>
      <c r="AO936" s="10" t="n"/>
      <c r="AP936" s="10" t="n"/>
      <c r="AQ936" s="10" t="n"/>
    </row>
    <row r="937">
      <c r="A937" s="7" t="inlineStr">
        <is>
          <t>b7-0117</t>
        </is>
      </c>
      <c r="B937" s="7" t="inlineStr">
        <is>
          <t>Point</t>
        </is>
      </c>
      <c r="C937" s="7" t="n"/>
      <c r="D937" s="7" t="inlineStr">
        <is>
          <t>1525</t>
        </is>
      </c>
      <c r="E937" s="7" t="inlineStr">
        <is>
          <t>1525</t>
        </is>
      </c>
      <c r="F937" s="7" t="inlineStr">
        <is>
          <t>1525 CE</t>
        </is>
      </c>
      <c r="G937" s="7" t="inlineStr">
        <is>
          <t>Exact</t>
        </is>
      </c>
      <c r="H937" s="7" t="n"/>
      <c r="I937" s="7" t="n"/>
      <c r="J937" s="7" t="n"/>
      <c r="K937" s="2" t="inlineStr">
        <is>
          <t>Luther marries Katharina von Bora</t>
        </is>
      </c>
      <c r="L937" s="2" t="inlineStr">
        <is>
          <t>1525-⁠ல் மார்ட்டின் லூத்தர், முன்னாள் கன்னியாஸ்திரீ காட்டாரினா ஃபான் போரா என்பவரை மணந்தார்</t>
        </is>
      </c>
      <c r="M937" s="7" t="inlineStr">
        <is>
          <t>In 1525 Martin Luther married Katharina von Bora, a former nun.</t>
        </is>
      </c>
      <c r="N937" s="7" t="inlineStr">
        <is>
          <t>1525-⁠ல் மார்ட்டின் லூத்தர், முன்னாள் கன்னியாஸ்திரீ காட்டாரினா ஃபான் போரா என்பவரை மணந்தார்.</t>
        </is>
      </c>
      <c r="O937" s="12" t="inlineStr">
        <is>
          <t>Bible &amp; church history</t>
        </is>
      </c>
      <c r="P937" s="7" t="inlineStr">
        <is>
          <t>history.reform</t>
        </is>
      </c>
      <c r="Q937" s="7" t="inlineStr">
        <is>
          <t>marriage</t>
        </is>
      </c>
      <c r="R937" s="7" t="inlineStr">
        <is>
          <t>Martin Luther; Katharina von Bora</t>
        </is>
      </c>
      <c r="S937" s="7" t="n"/>
      <c r="T937" s="7" t="n"/>
      <c r="U937" s="7" t="n"/>
      <c r="V937" s="7" t="n">
        <v>2</v>
      </c>
      <c r="W937" s="7" t="inlineStr">
        <is>
          <t>Martin Luther—The Man and His Legacy</t>
        </is>
      </c>
      <c r="X937" s="9" t="inlineStr">
        <is>
          <t>open</t>
        </is>
      </c>
      <c r="Y937" s="9" t="inlineStr">
        <is>
          <t>open</t>
        </is>
      </c>
      <c r="Z937" s="7" t="inlineStr">
        <is>
          <t>https://wol.jw.org/en/wol/d/r1/lp-e/2003686#h=20
https://wol.jw.org/en/wol/d/r1/lp-e/1101990045#h=67</t>
        </is>
      </c>
      <c r="AA937" s="7" t="n">
        <v>0</v>
      </c>
      <c r="AB937" s="7" t="n"/>
      <c r="AC937" s="7" t="n">
        <v>0</v>
      </c>
      <c r="AD937" s="7" t="n"/>
      <c r="AE937" s="7" t="n"/>
      <c r="AF937" s="7" t="n"/>
      <c r="AG937" s="7" t="n"/>
      <c r="AH937" s="7" t="n"/>
      <c r="AI937" s="7" t="n"/>
      <c r="AJ937" s="7" t="n"/>
      <c r="AK937" s="7" t="n"/>
      <c r="AL937" s="7" t="n"/>
      <c r="AM937" s="7" t="n">
        <v>1525.1</v>
      </c>
      <c r="AN937" s="10" t="n"/>
      <c r="AO937" s="10" t="n"/>
      <c r="AP937" s="10" t="n"/>
      <c r="AQ937" s="10" t="n"/>
    </row>
    <row r="938">
      <c r="A938" s="7" t="inlineStr">
        <is>
          <t>b7-0118</t>
        </is>
      </c>
      <c r="B938" s="7" t="inlineStr">
        <is>
          <t>Point</t>
        </is>
      </c>
      <c r="C938" s="7" t="n"/>
      <c r="D938" s="7" t="inlineStr">
        <is>
          <t>1526</t>
        </is>
      </c>
      <c r="E938" s="7" t="inlineStr">
        <is>
          <t>1526</t>
        </is>
      </c>
      <c r="F938" s="7" t="inlineStr">
        <is>
          <t>1526 CE</t>
        </is>
      </c>
      <c r="G938" s="7" t="inlineStr">
        <is>
          <t>Exact</t>
        </is>
      </c>
      <c r="H938" s="7" t="n"/>
      <c r="I938" s="7" t="n"/>
      <c r="J938" s="7" t="n"/>
      <c r="K938" s="2" t="inlineStr">
        <is>
          <t>Tyndale's English "New Testament" printed at Worms reaches England</t>
        </is>
      </c>
      <c r="L938" s="2" t="inlineStr">
        <is>
          <t>டின்டேலின். “புதிய ஏற்பாடு” 1526</t>
        </is>
      </c>
      <c r="M938" s="7" t="inlineStr">
        <is>
          <t>At least 3,000 copies of Tyndale's English "New Testament" were printed at Worms and began to be distributed in England early in 1526. Authorities burned copies publicly; Bishop Tunstall's purchases for burning unknowingly financed further editions.</t>
        </is>
      </c>
      <c r="N938" s="7" t="inlineStr">
        <is>
          <t>இவை இங்கிலாந்துக்கு அனுப்பி வைக்கப்பட்டு 1526 ஆரம்பத்தில் அங்கே விநியோகிக்கப்பட்டன.</t>
        </is>
      </c>
      <c r="O938" s="12" t="inlineStr">
        <is>
          <t>Bible &amp; church history</t>
        </is>
      </c>
      <c r="P938" s="7" t="inlineStr">
        <is>
          <t>history.bible_translation</t>
        </is>
      </c>
      <c r="Q938" s="7" t="inlineStr">
        <is>
          <t>release</t>
        </is>
      </c>
      <c r="R938" s="7" t="inlineStr">
        <is>
          <t>William Tyndale; Cuthbert Tunstall</t>
        </is>
      </c>
      <c r="S938" s="7" t="inlineStr">
        <is>
          <t>Worms; England</t>
        </is>
      </c>
      <c r="T938" s="7" t="n"/>
      <c r="U938" s="7" t="n"/>
      <c r="V938" s="7" t="n">
        <v>4</v>
      </c>
      <c r="W938" s="7" t="inlineStr">
        <is>
          <t>Part Two—How the Bible Came to Us</t>
        </is>
      </c>
      <c r="X938" s="9" t="inlineStr">
        <is>
          <t>open</t>
        </is>
      </c>
      <c r="Y938" s="9" t="inlineStr">
        <is>
          <t>open</t>
        </is>
      </c>
      <c r="Z938" s="7" t="inlineStr">
        <is>
          <t>https://wol.jw.org/en/wol/d/r1/lp-e/1997685#h=19
https://wol.jw.org/en/wol/d/r1/lp-e/1997685#h=48
https://wol.jw.org/en/wol/d/r1/lp-e/1101997025#h=7
https://wol.jw.org/en/wol/d/r1/lp-e/1101990045#h=57</t>
        </is>
      </c>
      <c r="AA938" s="7" t="n">
        <v>1</v>
      </c>
      <c r="AB938" s="9" t="inlineStr">
        <is>
          <t>open</t>
        </is>
      </c>
      <c r="AC938" s="7" t="n">
        <v>1</v>
      </c>
      <c r="AD938" s="7" t="inlineStr">
        <is>
          <t>Awake! 2011 12 says Tyndale's New Testament was translated "by 1525"; si says completed 1525; printed copies reached England in 1526.</t>
        </is>
      </c>
      <c r="AE938" s="7" t="n"/>
      <c r="AF938" s="7" t="n"/>
      <c r="AG938" s="7" t="n"/>
      <c r="AH938" s="7" t="n"/>
      <c r="AI938" s="7" t="n"/>
      <c r="AJ938" s="7" t="n"/>
      <c r="AK938" s="7" t="inlineStr">
        <is>
          <t>how-the-bible-came-to-us #31 (step)</t>
        </is>
      </c>
      <c r="AL938" s="7" t="n"/>
      <c r="AM938" s="7" t="n">
        <v>1526</v>
      </c>
      <c r="AN938" s="10" t="n"/>
      <c r="AO938" s="10" t="n"/>
      <c r="AP938" s="10" t="n"/>
      <c r="AQ938" s="10" t="n"/>
    </row>
    <row r="939">
      <c r="A939" s="7" t="inlineStr">
        <is>
          <t>b7-0119</t>
        </is>
      </c>
      <c r="B939" s="7" t="inlineStr">
        <is>
          <t>Point</t>
        </is>
      </c>
      <c r="C939" s="7" t="n"/>
      <c r="D939" s="7" t="inlineStr">
        <is>
          <t>1526</t>
        </is>
      </c>
      <c r="E939" s="7" t="inlineStr">
        <is>
          <t>1526</t>
        </is>
      </c>
      <c r="F939" s="7" t="inlineStr">
        <is>
          <t>1526 CE</t>
        </is>
      </c>
      <c r="G939" s="7" t="inlineStr">
        <is>
          <t>Exact</t>
        </is>
      </c>
      <c r="H939" s="7" t="n"/>
      <c r="I939" s="7" t="n"/>
      <c r="J939" s="7" t="n"/>
      <c r="K939" s="2" t="inlineStr">
        <is>
          <t>Robert Estienne takes over his father's Paris press</t>
        </is>
      </c>
      <c r="L939" s="2" t="n"/>
      <c r="M939" s="7" t="inlineStr">
        <is>
          <t>In 1526 Robert Estienne, a scholar of Latin, Greek, and Hebrew, took over his father Henri's press in Paris; Bible editions became a major focus of his work.</t>
        </is>
      </c>
      <c r="N939" s="7" t="inlineStr">
        <is>
          <t>1526-ல் ஆன்ரீயின் அச்சகத்தை எடுத்து நடத்தியபோது, ராபெர் ஏட்டியென் ஏற்கெனவே உயர்ந்த மொழித் தராதரங்களில் நிபுணராக அறியப்பட்டிருந்தார்.</t>
        </is>
      </c>
      <c r="O939" s="12" t="inlineStr">
        <is>
          <t>Bible &amp; church history</t>
        </is>
      </c>
      <c r="P939" s="7" t="inlineStr">
        <is>
          <t>history.bible_preservation</t>
        </is>
      </c>
      <c r="Q939" s="7" t="inlineStr">
        <is>
          <t>printing</t>
        </is>
      </c>
      <c r="R939" s="7" t="inlineStr">
        <is>
          <t>Robert Estienne</t>
        </is>
      </c>
      <c r="S939" s="7" t="inlineStr">
        <is>
          <t>Paris</t>
        </is>
      </c>
      <c r="T939" s="7" t="n"/>
      <c r="U939" s="7" t="n"/>
      <c r="V939" s="7" t="n">
        <v>1</v>
      </c>
      <c r="W939" s="7" t="inlineStr">
        <is>
          <t>A Printer Who Left His Mark</t>
        </is>
      </c>
      <c r="X939" s="9" t="inlineStr">
        <is>
          <t>open</t>
        </is>
      </c>
      <c r="Y939" s="9" t="inlineStr">
        <is>
          <t>open</t>
        </is>
      </c>
      <c r="Z939" s="7" t="inlineStr">
        <is>
          <t>https://wol.jw.org/en/wol/d/r1/lp-e/1995282#h=5</t>
        </is>
      </c>
      <c r="AA939" s="7" t="n">
        <v>0</v>
      </c>
      <c r="AB939" s="7" t="n"/>
      <c r="AC939" s="7" t="n">
        <v>0</v>
      </c>
      <c r="AD939" s="7" t="n"/>
      <c r="AE939" s="7" t="n"/>
      <c r="AF939" s="7" t="n"/>
      <c r="AG939" s="7" t="n"/>
      <c r="AH939" s="7" t="n"/>
      <c r="AI939" s="7" t="n"/>
      <c r="AJ939" s="7" t="n"/>
      <c r="AK939" s="7" t="n"/>
      <c r="AL939" s="7" t="n"/>
      <c r="AM939" s="7" t="n">
        <v>1526.2</v>
      </c>
      <c r="AN939" s="10" t="n"/>
      <c r="AO939" s="10" t="n"/>
      <c r="AP939" s="10" t="n"/>
      <c r="AQ939" s="10" t="n"/>
    </row>
    <row r="940">
      <c r="A940" s="7" t="inlineStr">
        <is>
          <t>b7-0120</t>
        </is>
      </c>
      <c r="B940" s="7" t="inlineStr">
        <is>
          <t>Point</t>
        </is>
      </c>
      <c r="C940" s="7" t="n"/>
      <c r="D940" s="7" t="inlineStr">
        <is>
          <t>1528</t>
        </is>
      </c>
      <c r="E940" s="7" t="n"/>
      <c r="F940" s="7" t="inlineStr">
        <is>
          <t>1528 CE</t>
        </is>
      </c>
      <c r="G940" s="7" t="inlineStr">
        <is>
          <t>Exact</t>
        </is>
      </c>
      <c r="H940" s="7" t="n"/>
      <c r="I940" s="7" t="n"/>
      <c r="J940" s="7" t="n"/>
      <c r="K940" s="2" t="inlineStr">
        <is>
          <t>Miles Coverdale preaches against Catholic practices and flees England</t>
        </is>
      </c>
      <c r="L940" s="2" t="n"/>
      <c r="M940" s="7" t="inlineStr">
        <is>
          <t>By 1528 Coverdale was preaching against image worship, confession, and the Mass; his life in danger, he left England for the Continent for about seven years.</t>
        </is>
      </c>
      <c r="N940" s="7" t="n"/>
      <c r="O940" s="12" t="inlineStr">
        <is>
          <t>Bible &amp; church history</t>
        </is>
      </c>
      <c r="P940" s="7" t="inlineStr">
        <is>
          <t>history.reform</t>
        </is>
      </c>
      <c r="Q940" s="7" t="inlineStr">
        <is>
          <t>journey</t>
        </is>
      </c>
      <c r="R940" s="7" t="inlineStr">
        <is>
          <t>Miles Coverdale</t>
        </is>
      </c>
      <c r="S940" s="7" t="n"/>
      <c r="T940" s="7" t="n"/>
      <c r="U940" s="7" t="n"/>
      <c r="V940" s="7" t="n">
        <v>1</v>
      </c>
      <c r="W940" s="7" t="inlineStr">
        <is>
          <t>Coverdale and the First Complete Printed English Bible</t>
        </is>
      </c>
      <c r="X940" s="9" t="inlineStr">
        <is>
          <t>open</t>
        </is>
      </c>
      <c r="Y940" s="7" t="n"/>
      <c r="Z940" s="7" t="inlineStr">
        <is>
          <t>https://wol.jw.org/en/wol/d/r1/lp-e/2012408#h=6</t>
        </is>
      </c>
      <c r="AA940" s="7" t="n">
        <v>0</v>
      </c>
      <c r="AB940" s="7" t="n"/>
      <c r="AC940" s="7" t="n">
        <v>0</v>
      </c>
      <c r="AD940" s="7" t="n"/>
      <c r="AE940" s="7" t="n"/>
      <c r="AF940" s="7" t="n"/>
      <c r="AG940" s="7" t="n"/>
      <c r="AH940" s="7" t="n"/>
      <c r="AI940" s="7" t="n"/>
      <c r="AJ940" s="7" t="n"/>
      <c r="AK940" s="7" t="n"/>
      <c r="AL940" s="7" t="n"/>
      <c r="AM940" s="7" t="n">
        <v>1528</v>
      </c>
      <c r="AN940" s="10" t="n"/>
      <c r="AO940" s="10" t="n"/>
      <c r="AP940" s="10" t="n"/>
      <c r="AQ940" s="10" t="n"/>
    </row>
    <row r="941">
      <c r="A941" s="7" t="inlineStr">
        <is>
          <t>b7-0121</t>
        </is>
      </c>
      <c r="B941" s="7" t="inlineStr">
        <is>
          <t>Point</t>
        </is>
      </c>
      <c r="C941" s="7" t="n"/>
      <c r="D941" s="7" t="inlineStr">
        <is>
          <t>1529</t>
        </is>
      </c>
      <c r="E941" s="7" t="inlineStr">
        <is>
          <t>1529</t>
        </is>
      </c>
      <c r="F941" s="7" t="inlineStr">
        <is>
          <t>1529 CE</t>
        </is>
      </c>
      <c r="G941" s="7" t="inlineStr">
        <is>
          <t>Exact</t>
        </is>
      </c>
      <c r="H941" s="7" t="n"/>
      <c r="I941" s="7" t="n"/>
      <c r="J941" s="7" t="n"/>
      <c r="K941" s="2" t="inlineStr">
        <is>
          <t>German princes protest — origin of the name "Protestant"</t>
        </is>
      </c>
      <c r="L941" s="2" t="n"/>
      <c r="M941" s="7" t="inlineStr">
        <is>
          <t>In 1526 the emperor let each German state choose Lutheran or Catholic religion, but in 1529 he reversed the decision; some princes protested, and the name Protestant was coined.</t>
        </is>
      </c>
      <c r="N941" s="7" t="inlineStr">
        <is>
          <t>ஆனால் 1529-ல் இந்தத் தீர்மானத்தை பேரரசர் மாற்றியபோது ஜெர்மானிய பிரபுக்கள் சிலர் அதற்கு எதிர்ப்பு தெரிவித்தனர் (புரட்டஸ்ட் செய்தனர்); ஆகவே, இந்தச் சீர்திருத்த இயக்கத்திற்கு புராட்டஸ்டன்டு என்ற பெயர் சூட்டப்பட்டது.</t>
        </is>
      </c>
      <c r="O941" s="12" t="inlineStr">
        <is>
          <t>Bible &amp; church history</t>
        </is>
      </c>
      <c r="P941" s="7" t="inlineStr">
        <is>
          <t>history.reform</t>
        </is>
      </c>
      <c r="Q941" s="7" t="inlineStr">
        <is>
          <t>protest</t>
        </is>
      </c>
      <c r="R941" s="7" t="n"/>
      <c r="S941" s="7" t="n"/>
      <c r="T941" s="7" t="n"/>
      <c r="U941" s="7" t="n"/>
      <c r="V941" s="7" t="n">
        <v>1</v>
      </c>
      <c r="W941" s="7" t="inlineStr">
        <is>
          <t>The Reformation—The Search Took a New Turn</t>
        </is>
      </c>
      <c r="X941" s="9" t="inlineStr">
        <is>
          <t>open</t>
        </is>
      </c>
      <c r="Y941" s="9" t="inlineStr">
        <is>
          <t>open</t>
        </is>
      </c>
      <c r="Z941" s="7" t="inlineStr">
        <is>
          <t>https://wol.jw.org/en/wol/d/r1/lp-e/1101990045#h=37</t>
        </is>
      </c>
      <c r="AA941" s="7" t="n">
        <v>0</v>
      </c>
      <c r="AB941" s="7" t="n"/>
      <c r="AC941" s="7" t="n">
        <v>0</v>
      </c>
      <c r="AD941" s="7" t="n"/>
      <c r="AE941" s="7" t="n"/>
      <c r="AF941" s="7" t="n"/>
      <c r="AG941" s="7" t="n"/>
      <c r="AH941" s="7" t="n"/>
      <c r="AI941" s="7" t="n"/>
      <c r="AJ941" s="7" t="n"/>
      <c r="AK941" s="7" t="n"/>
      <c r="AL941" s="7" t="n"/>
      <c r="AM941" s="7" t="n">
        <v>1529</v>
      </c>
      <c r="AN941" s="10" t="n"/>
      <c r="AO941" s="10" t="n"/>
      <c r="AP941" s="10" t="n"/>
      <c r="AQ941" s="10" t="n"/>
    </row>
    <row r="942">
      <c r="A942" s="7" t="inlineStr">
        <is>
          <t>b7-0122</t>
        </is>
      </c>
      <c r="B942" s="7" t="inlineStr">
        <is>
          <t>Point</t>
        </is>
      </c>
      <c r="C942" s="7" t="n"/>
      <c r="D942" s="7" t="inlineStr">
        <is>
          <t>1530</t>
        </is>
      </c>
      <c r="E942" s="7" t="inlineStr">
        <is>
          <t>1530</t>
        </is>
      </c>
      <c r="F942" s="7" t="inlineStr">
        <is>
          <t>1530 CE</t>
        </is>
      </c>
      <c r="G942" s="7" t="inlineStr">
        <is>
          <t>Exact</t>
        </is>
      </c>
      <c r="H942" s="7" t="n"/>
      <c r="I942" s="7" t="n"/>
      <c r="J942" s="7" t="n"/>
      <c r="K942" s="2" t="inlineStr">
        <is>
          <t>Tyndale's Pentateuch — first English translation from Hebrew; uses "Jehovah"</t>
        </is>
      </c>
      <c r="L942" s="2" t="inlineStr">
        <is>
          <t>1530-ல், டின்டேல் எபிரெய வேதாகமத்தின் முதல் ஐந்து புத்தகங்களாகிய ஐந்தாகமத்தின் (Pentateuch) பதிப்பை வெளியிட்டார்</t>
        </is>
      </c>
      <c r="M942" s="7" t="inlineStr">
        <is>
          <t>In 1530 Tyndale produced an edition of the Pentateuch, becoming the first to translate from Hebrew directly into English and the first English translator to use the name Jehovah.</t>
        </is>
      </c>
      <c r="N942" s="7" t="inlineStr">
        <is>
          <t>1530-ல், டின்டேல் எபிரெய வேதாகமத்தின் முதல் ஐந்து புத்தகங்களாகிய ஐந்தாகமத்தின் (Pentateuch) பதிப்பை வெளியிட்டார்.</t>
        </is>
      </c>
      <c r="O942" s="12" t="inlineStr">
        <is>
          <t>Bible &amp; church history</t>
        </is>
      </c>
      <c r="P942" s="7" t="inlineStr">
        <is>
          <t>history.bible_translation</t>
        </is>
      </c>
      <c r="Q942" s="7" t="inlineStr">
        <is>
          <t>release</t>
        </is>
      </c>
      <c r="R942" s="7" t="inlineStr">
        <is>
          <t>William Tyndale</t>
        </is>
      </c>
      <c r="S942" s="7" t="n"/>
      <c r="T942" s="7" t="n"/>
      <c r="U942" s="7" t="n"/>
      <c r="V942" s="7" t="n">
        <v>2</v>
      </c>
      <c r="W942" s="7" t="inlineStr">
        <is>
          <t>Part Two—How the Bible Came to Us</t>
        </is>
      </c>
      <c r="X942" s="9" t="inlineStr">
        <is>
          <t>open</t>
        </is>
      </c>
      <c r="Y942" s="9" t="inlineStr">
        <is>
          <t>open</t>
        </is>
      </c>
      <c r="Z942" s="7" t="inlineStr">
        <is>
          <t>https://wol.jw.org/en/wol/d/r1/lp-e/1997685#h=25
https://wol.jw.org/en/wol/d/r1/lp-e/102007409#h=14</t>
        </is>
      </c>
      <c r="AA942" s="7" t="n">
        <v>0</v>
      </c>
      <c r="AB942" s="7" t="n"/>
      <c r="AC942" s="7" t="n">
        <v>0</v>
      </c>
      <c r="AD942" s="7" t="n"/>
      <c r="AE942" s="7" t="n"/>
      <c r="AF942" s="7" t="n"/>
      <c r="AG942" s="7" t="n"/>
      <c r="AH942" s="7" t="n"/>
      <c r="AI942" s="7" t="n"/>
      <c r="AJ942" s="7" t="n"/>
      <c r="AK942" s="7" t="inlineStr">
        <is>
          <t>how-the-bible-came-to-us #32 (step)</t>
        </is>
      </c>
      <c r="AL942" s="7" t="n"/>
      <c r="AM942" s="7" t="n">
        <v>1530</v>
      </c>
      <c r="AN942" s="10" t="n"/>
      <c r="AO942" s="10" t="n"/>
      <c r="AP942" s="10" t="n"/>
      <c r="AQ942" s="10" t="n"/>
    </row>
    <row r="943">
      <c r="A943" s="7" t="inlineStr">
        <is>
          <t>b7-0123</t>
        </is>
      </c>
      <c r="B943" s="7" t="inlineStr">
        <is>
          <t>Point</t>
        </is>
      </c>
      <c r="C943" s="7" t="n"/>
      <c r="D943" s="7" t="inlineStr">
        <is>
          <t>1530</t>
        </is>
      </c>
      <c r="E943" s="7" t="inlineStr">
        <is>
          <t>1530</t>
        </is>
      </c>
      <c r="F943" s="7" t="inlineStr">
        <is>
          <t>1530 CE</t>
        </is>
      </c>
      <c r="G943" s="7" t="inlineStr">
        <is>
          <t>Exact</t>
        </is>
      </c>
      <c r="H943" s="7" t="n"/>
      <c r="I943" s="7" t="n"/>
      <c r="J943" s="7" t="n"/>
      <c r="K943" s="2" t="inlineStr">
        <is>
          <t>Antonio Brucioli's Italian translation from Erasmus' text</t>
        </is>
      </c>
      <c r="L943" s="2" t="inlineStr">
        <is>
          <t>இத்தாலியின் அன்சோனியோ புரூசியோலி, 1530-ல் இராஸ்மஸின் வாக்கியத்தை இத்தாலிய மொழியில் மொழிபெயர்த்தார்</t>
        </is>
      </c>
      <c r="M943" s="7" t="inlineStr">
        <is>
          <t>Antonio Brucioli of Italy translated Erasmus' Greek text into Italian in 1530.</t>
        </is>
      </c>
      <c r="N943" s="7" t="inlineStr">
        <is>
          <t>இத்தாலியின் அன்சோனியோ புரூசியோலி, 1530-ல் இராஸ்மஸின் வாக்கியத்தை இத்தாலிய மொழியில் மொழிபெயர்த்தார்.</t>
        </is>
      </c>
      <c r="O943" s="12" t="inlineStr">
        <is>
          <t>Bible &amp; church history</t>
        </is>
      </c>
      <c r="P943" s="7" t="inlineStr">
        <is>
          <t>history.bible_translation</t>
        </is>
      </c>
      <c r="Q943" s="7" t="inlineStr">
        <is>
          <t>translation</t>
        </is>
      </c>
      <c r="R943" s="7" t="inlineStr">
        <is>
          <t>Antonio Brucioli</t>
        </is>
      </c>
      <c r="S943" s="7" t="inlineStr">
        <is>
          <t>Italy</t>
        </is>
      </c>
      <c r="T943" s="7" t="n"/>
      <c r="U943" s="7" t="n"/>
      <c r="V943" s="7" t="n">
        <v>1</v>
      </c>
      <c r="W943" s="7" t="inlineStr">
        <is>
          <t>Study Number 6—The Christian Greek Text of the Holy Scriptures</t>
        </is>
      </c>
      <c r="X943" s="9" t="inlineStr">
        <is>
          <t>open</t>
        </is>
      </c>
      <c r="Y943" s="9" t="inlineStr">
        <is>
          <t>open</t>
        </is>
      </c>
      <c r="Z943" s="7" t="inlineStr">
        <is>
          <t>https://wol.jw.org/en/wol/d/r1/lp-e/1101990133#h=23</t>
        </is>
      </c>
      <c r="AA943" s="7" t="n">
        <v>0</v>
      </c>
      <c r="AB943" s="7" t="n"/>
      <c r="AC943" s="7" t="n">
        <v>0</v>
      </c>
      <c r="AD943" s="7" t="n"/>
      <c r="AE943" s="7" t="n"/>
      <c r="AF943" s="7" t="n"/>
      <c r="AG943" s="7" t="n"/>
      <c r="AH943" s="7" t="n"/>
      <c r="AI943" s="7" t="n"/>
      <c r="AJ943" s="7" t="n"/>
      <c r="AK943" s="7" t="n"/>
      <c r="AL943" s="7" t="n"/>
      <c r="AM943" s="7" t="n">
        <v>1530.1</v>
      </c>
      <c r="AN943" s="10" t="n"/>
      <c r="AO943" s="10" t="n"/>
      <c r="AP943" s="10" t="n"/>
      <c r="AQ943" s="10" t="n"/>
    </row>
    <row r="944">
      <c r="A944" s="7" t="inlineStr">
        <is>
          <t>b7-0124</t>
        </is>
      </c>
      <c r="B944" s="7" t="inlineStr">
        <is>
          <t>Point</t>
        </is>
      </c>
      <c r="C944" s="7" t="n"/>
      <c r="D944" s="7" t="inlineStr">
        <is>
          <t>1530</t>
        </is>
      </c>
      <c r="E944" s="7" t="inlineStr">
        <is>
          <t>1530</t>
        </is>
      </c>
      <c r="F944" s="7" t="inlineStr">
        <is>
          <t>1530 CE</t>
        </is>
      </c>
      <c r="G944" s="7" t="inlineStr">
        <is>
          <t>Exact</t>
        </is>
      </c>
      <c r="H944" s="7" t="n"/>
      <c r="I944" s="7" t="n"/>
      <c r="J944" s="7" t="n"/>
      <c r="K944" s="2" t="inlineStr">
        <is>
          <t>Augsburg Confession rejected; Protestant-Catholic rift irreconcilable</t>
        </is>
      </c>
      <c r="L944" s="2" t="inlineStr">
        <is>
          <t>அடுத்த வருடம் 1530-ல், ஆக்ஸ்பர்க் கூட்டத்தில் இரு தரப்பினருக்கும் இடையே சமரசம் செய்து வைக்க பேரரசர் முயற்சிகளை மேற்கொண்டார்</t>
        </is>
      </c>
      <c r="M944" s="7" t="inlineStr">
        <is>
          <t>At the Diet of Augsburg in 1530, the Lutherans presented the Augsburg Confession composed by Melanchthon; its rejection by Rome made the rift between Protestantism and Catholicism irreconcilable.</t>
        </is>
      </c>
      <c r="N944" s="7" t="inlineStr">
        <is>
          <t>அடுத்த வருடம் 1530-ல், ஆக்ஸ்பர்க் கூட்டத்தில் இரு தரப்பினருக்கும் இடையே சமரசம் செய்து வைக்க பேரரசர் முயற்சிகளை மேற்கொண்டார்.</t>
        </is>
      </c>
      <c r="O944" s="12" t="inlineStr">
        <is>
          <t>Bible &amp; church history</t>
        </is>
      </c>
      <c r="P944" s="7" t="inlineStr">
        <is>
          <t>history.reform</t>
        </is>
      </c>
      <c r="Q944" s="7" t="inlineStr">
        <is>
          <t>council</t>
        </is>
      </c>
      <c r="R944" s="7" t="inlineStr">
        <is>
          <t>Philipp Melanchthon</t>
        </is>
      </c>
      <c r="S944" s="7" t="inlineStr">
        <is>
          <t>Augsburg</t>
        </is>
      </c>
      <c r="T944" s="7" t="n"/>
      <c r="U944" s="7" t="n"/>
      <c r="V944" s="7" t="n">
        <v>1</v>
      </c>
      <c r="W944" s="7" t="inlineStr">
        <is>
          <t>The Reformation—The Search Took a New Turn</t>
        </is>
      </c>
      <c r="X944" s="9" t="inlineStr">
        <is>
          <t>open</t>
        </is>
      </c>
      <c r="Y944" s="9" t="inlineStr">
        <is>
          <t>open</t>
        </is>
      </c>
      <c r="Z944" s="7" t="inlineStr">
        <is>
          <t>https://wol.jw.org/en/wol/d/r1/lp-e/1101990045#h=37</t>
        </is>
      </c>
      <c r="AA944" s="7" t="n">
        <v>0</v>
      </c>
      <c r="AB944" s="7" t="n"/>
      <c r="AC944" s="7" t="n">
        <v>0</v>
      </c>
      <c r="AD944" s="7" t="n"/>
      <c r="AE944" s="7" t="n"/>
      <c r="AF944" s="7" t="n"/>
      <c r="AG944" s="7" t="n"/>
      <c r="AH944" s="7" t="n"/>
      <c r="AI944" s="7" t="n"/>
      <c r="AJ944" s="7" t="n"/>
      <c r="AK944" s="7" t="n"/>
      <c r="AL944" s="7" t="n"/>
      <c r="AM944" s="7" t="n">
        <v>1530.2</v>
      </c>
      <c r="AN944" s="10" t="n"/>
      <c r="AO944" s="10" t="n"/>
      <c r="AP944" s="10" t="n"/>
      <c r="AQ944" s="10" t="n"/>
    </row>
    <row r="945">
      <c r="A945" s="7" t="inlineStr">
        <is>
          <t>b7-0125</t>
        </is>
      </c>
      <c r="B945" s="7" t="inlineStr">
        <is>
          <t>Point</t>
        </is>
      </c>
      <c r="C945" s="7" t="n"/>
      <c r="D945" s="7" t="inlineStr">
        <is>
          <t>1531</t>
        </is>
      </c>
      <c r="E945" s="7" t="n"/>
      <c r="F945" s="7" t="inlineStr">
        <is>
          <t>1531 CE</t>
        </is>
      </c>
      <c r="G945" s="7" t="inlineStr">
        <is>
          <t>Exact</t>
        </is>
      </c>
      <c r="H945" s="7" t="n"/>
      <c r="I945" s="7" t="n"/>
      <c r="J945" s="7" t="n"/>
      <c r="K945" s="2" t="inlineStr">
        <is>
          <t>Zurich Bible (German) produced by Zwingli's group</t>
        </is>
      </c>
      <c r="L945" s="2" t="inlineStr">
        <is>
          <t>1520-ல் சில நிபுணர்களின் ஒரு தொகுதியோடு சேர்ந்து அவர் வேலை செய்தார்</t>
        </is>
      </c>
      <c r="M945" s="7" t="inlineStr">
        <is>
          <t>During the 1520s Zwingli led scholars translating from Hebrew and Greek; the resulting Zurich Bible (Zürcher) is dated 1531.</t>
        </is>
      </c>
      <c r="N945" s="7" t="inlineStr">
        <is>
          <t>1520-ல் சில நிபுணர்களின் ஒரு தொகுதியோடு சேர்ந்து அவர் வேலை செய்தார்.</t>
        </is>
      </c>
      <c r="O945" s="12" t="inlineStr">
        <is>
          <t>Bible &amp; church history</t>
        </is>
      </c>
      <c r="P945" s="7" t="inlineStr">
        <is>
          <t>history.bible_translation</t>
        </is>
      </c>
      <c r="Q945" s="7" t="inlineStr">
        <is>
          <t>release</t>
        </is>
      </c>
      <c r="R945" s="7" t="inlineStr">
        <is>
          <t>Ulrich Zwingli</t>
        </is>
      </c>
      <c r="S945" s="7" t="inlineStr">
        <is>
          <t>Zurich</t>
        </is>
      </c>
      <c r="T945" s="7" t="n"/>
      <c r="U945" s="7" t="n"/>
      <c r="V945" s="7" t="n">
        <v>2</v>
      </c>
      <c r="W945" s="7" t="inlineStr">
        <is>
          <t>Huldrych Zwingli’s Search for Bible Truth</t>
        </is>
      </c>
      <c r="X945" s="9" t="inlineStr">
        <is>
          <t>open</t>
        </is>
      </c>
      <c r="Y945" s="9" t="inlineStr">
        <is>
          <t>open</t>
        </is>
      </c>
      <c r="Z945" s="7" t="inlineStr">
        <is>
          <t>https://wol.jw.org/en/wol/d/r1/lp-e/501100071#h=15
https://wol.jw.org/en/wol/d/r1/lp-e/1101990134#h=115</t>
        </is>
      </c>
      <c r="AA945" s="7" t="n">
        <v>0</v>
      </c>
      <c r="AB945" s="7" t="n"/>
      <c r="AC945" s="7" t="n">
        <v>0</v>
      </c>
      <c r="AD945" s="7" t="n"/>
      <c r="AE945" s="7" t="n"/>
      <c r="AF945" s="7" t="n"/>
      <c r="AG945" s="7" t="n"/>
      <c r="AH945" s="7" t="n"/>
      <c r="AI945" s="7" t="n"/>
      <c r="AJ945" s="7" t="n"/>
      <c r="AK945" s="7" t="n"/>
      <c r="AL945" s="7" t="n"/>
      <c r="AM945" s="7" t="n">
        <v>1531</v>
      </c>
      <c r="AN945" s="10" t="n"/>
      <c r="AO945" s="10" t="n"/>
      <c r="AP945" s="10" t="n"/>
      <c r="AQ945" s="10" t="n"/>
    </row>
    <row r="946">
      <c r="A946" s="7" t="inlineStr">
        <is>
          <t>b7-0126</t>
        </is>
      </c>
      <c r="B946" s="7" t="inlineStr">
        <is>
          <t>Point</t>
        </is>
      </c>
      <c r="C946" s="7" t="n"/>
      <c r="D946" s="7" t="inlineStr">
        <is>
          <t>1531</t>
        </is>
      </c>
      <c r="E946" s="7" t="inlineStr">
        <is>
          <t>1531</t>
        </is>
      </c>
      <c r="F946" s="7" t="inlineStr">
        <is>
          <t>1531 CE</t>
        </is>
      </c>
      <c r="G946" s="7" t="inlineStr">
        <is>
          <t>Exact</t>
        </is>
      </c>
      <c r="H946" s="7" t="n"/>
      <c r="I946" s="7" t="n"/>
      <c r="J946" s="7" t="n"/>
      <c r="K946" s="2" t="inlineStr">
        <is>
          <t>Zwingli killed at the battle of Kappel</t>
        </is>
      </c>
      <c r="L946" s="2" t="inlineStr">
        <is>
          <t>போர் படையில் குருவாக சேவித்த ஸ்விங்லி, காப்பெல் போரில் சக் ஏரியின் அருகில் 1531-ல் கொல்லப்பட்டார்</t>
        </is>
      </c>
      <c r="M946" s="7" t="inlineStr">
        <is>
          <t>Civil war broke out between Swiss Protestants and Catholics; Zwingli, serving as army chaplain, was killed in the battle of Kappel in 1531.</t>
        </is>
      </c>
      <c r="N946" s="7" t="inlineStr">
        <is>
          <t>போர் படையில் குருவாக சேவித்த ஸ்விங்லி, காப்பெல் போரில் சக் ஏரியின் அருகில் 1531-ல் கொல்லப்பட்டார்.</t>
        </is>
      </c>
      <c r="O946" s="12" t="inlineStr">
        <is>
          <t>Bible &amp; church history</t>
        </is>
      </c>
      <c r="P946" s="7" t="inlineStr">
        <is>
          <t>history.reform</t>
        </is>
      </c>
      <c r="Q946" s="7" t="inlineStr">
        <is>
          <t>death</t>
        </is>
      </c>
      <c r="R946" s="7" t="inlineStr">
        <is>
          <t>Ulrich Zwingli</t>
        </is>
      </c>
      <c r="S946" s="7" t="inlineStr">
        <is>
          <t>Kappel</t>
        </is>
      </c>
      <c r="T946" s="7" t="n"/>
      <c r="U946" s="7" t="n"/>
      <c r="V946" s="7" t="n">
        <v>1</v>
      </c>
      <c r="W946" s="7" t="inlineStr">
        <is>
          <t>The Reformation—The Search Took a New Turn</t>
        </is>
      </c>
      <c r="X946" s="9" t="inlineStr">
        <is>
          <t>open</t>
        </is>
      </c>
      <c r="Y946" s="9" t="inlineStr">
        <is>
          <t>open</t>
        </is>
      </c>
      <c r="Z946" s="7" t="inlineStr">
        <is>
          <t>https://wol.jw.org/en/wol/d/r1/lp-e/1101990045#h=45</t>
        </is>
      </c>
      <c r="AA946" s="7" t="n">
        <v>0</v>
      </c>
      <c r="AB946" s="7" t="n"/>
      <c r="AC946" s="7" t="n">
        <v>0</v>
      </c>
      <c r="AD946" s="7" t="n"/>
      <c r="AE946" s="7" t="n"/>
      <c r="AF946" s="7" t="n"/>
      <c r="AG946" s="7" t="n"/>
      <c r="AH946" s="7" t="n"/>
      <c r="AI946" s="7" t="n"/>
      <c r="AJ946" s="7" t="n"/>
      <c r="AK946" s="7" t="n"/>
      <c r="AL946" s="7" t="n"/>
      <c r="AM946" s="7" t="n">
        <v>1531.1</v>
      </c>
      <c r="AN946" s="10" t="n"/>
      <c r="AO946" s="10" t="n"/>
      <c r="AP946" s="10" t="n"/>
      <c r="AQ946" s="10" t="n"/>
    </row>
    <row r="947">
      <c r="A947" s="7" t="inlineStr">
        <is>
          <t>b7-0127</t>
        </is>
      </c>
      <c r="B947" s="7" t="inlineStr">
        <is>
          <t>Point</t>
        </is>
      </c>
      <c r="C947" s="7" t="n"/>
      <c r="D947" s="7" t="inlineStr">
        <is>
          <t>1534</t>
        </is>
      </c>
      <c r="E947" s="7" t="inlineStr">
        <is>
          <t>1534</t>
        </is>
      </c>
      <c r="F947" s="7" t="inlineStr">
        <is>
          <t>1534 CE</t>
        </is>
      </c>
      <c r="G947" s="7" t="inlineStr">
        <is>
          <t>Exact</t>
        </is>
      </c>
      <c r="H947" s="7" t="n"/>
      <c r="I947" s="7" t="n"/>
      <c r="J947" s="7" t="n"/>
      <c r="K947" s="2" t="inlineStr">
        <is>
          <t>Henry VIII's Act of Supremacy breaks England from Rome</t>
        </is>
      </c>
      <c r="L947" s="2" t="n"/>
      <c r="M947" s="7" t="inlineStr">
        <is>
          <t>In 1534 Henry VIII declared the Act of Supremacy, making himself head of the Church of England. He was also open to making the Bible available in English.</t>
        </is>
      </c>
      <c r="N947" s="7" t="inlineStr">
        <is>
          <t>மதத்தின் பாதுகாவலர் என்று போப்பால் பெயர் சூட்டப்பட்ட எட்டாம் ஹென்றி (1491-1547) 1534-ல் ஆதிக்கச் சட்டத்தை (Act of Supremacy) இயற்றி இங்கிலாந்தின் திருச்சபை தலைவராக தன்னை ஆக்கிக்கொண்டபோது ரோமன் கத்தோலிக்க மதத்திலிருந்து பிரிவது முறைப்படி நடந்தது.</t>
        </is>
      </c>
      <c r="O947" s="12" t="inlineStr">
        <is>
          <t>Bible &amp; church history</t>
        </is>
      </c>
      <c r="P947" s="7" t="inlineStr">
        <is>
          <t>history.reform</t>
        </is>
      </c>
      <c r="Q947" s="7" t="inlineStr">
        <is>
          <t>decree</t>
        </is>
      </c>
      <c r="R947" s="7" t="inlineStr">
        <is>
          <t>Henry VIII</t>
        </is>
      </c>
      <c r="S947" s="7" t="inlineStr">
        <is>
          <t>England</t>
        </is>
      </c>
      <c r="T947" s="7" t="n"/>
      <c r="U947" s="7" t="n"/>
      <c r="V947" s="7" t="n">
        <v>2</v>
      </c>
      <c r="W947" s="7" t="inlineStr">
        <is>
          <t>The Reformation—The Search Took a New Turn</t>
        </is>
      </c>
      <c r="X947" s="9" t="inlineStr">
        <is>
          <t>open</t>
        </is>
      </c>
      <c r="Y947" s="9" t="inlineStr">
        <is>
          <t>open</t>
        </is>
      </c>
      <c r="Z947" s="7" t="inlineStr">
        <is>
          <t>https://wol.jw.org/en/wol/d/r1/lp-e/1101990045#h=58
https://wol.jw.org/en/wol/d/r1/lp-e/2012408#h=9</t>
        </is>
      </c>
      <c r="AA947" s="7" t="n">
        <v>0</v>
      </c>
      <c r="AB947" s="7" t="n"/>
      <c r="AC947" s="7" t="n">
        <v>0</v>
      </c>
      <c r="AD947" s="7" t="n"/>
      <c r="AE947" s="7" t="n"/>
      <c r="AF947" s="7" t="n"/>
      <c r="AG947" s="7" t="n"/>
      <c r="AH947" s="7" t="n"/>
      <c r="AI947" s="7" t="n"/>
      <c r="AJ947" s="7" t="n"/>
      <c r="AK947" s="7" t="n"/>
      <c r="AL947" s="7" t="n"/>
      <c r="AM947" s="7" t="n">
        <v>1534</v>
      </c>
      <c r="AN947" s="10" t="n"/>
      <c r="AO947" s="10" t="n"/>
      <c r="AP947" s="10" t="n"/>
      <c r="AQ947" s="10" t="n"/>
    </row>
    <row r="948">
      <c r="A948" s="7" t="inlineStr">
        <is>
          <t>b7-0128</t>
        </is>
      </c>
      <c r="B948" s="7" t="inlineStr">
        <is>
          <t>Point</t>
        </is>
      </c>
      <c r="C948" s="7" t="n"/>
      <c r="D948" s="7" t="inlineStr">
        <is>
          <t>1534</t>
        </is>
      </c>
      <c r="E948" s="7" t="inlineStr">
        <is>
          <t>1534</t>
        </is>
      </c>
      <c r="F948" s="7" t="inlineStr">
        <is>
          <t>1534 CE</t>
        </is>
      </c>
      <c r="G948" s="7" t="inlineStr">
        <is>
          <t>Exact</t>
        </is>
      </c>
      <c r="H948" s="7" t="n"/>
      <c r="I948" s="7" t="n"/>
      <c r="J948" s="7" t="n"/>
      <c r="K948" s="2" t="inlineStr">
        <is>
          <t>Luther completes the Hebrew Scriptures — complete German Bible</t>
        </is>
      </c>
      <c r="L948" s="2" t="inlineStr">
        <is>
          <t>1534-⁠க்குள்ளாக லூத்தர் எபிரெய வேதாகமத்தை மொழிபெயர்த்து முடித்திருந்தார்</t>
        </is>
      </c>
      <c r="M948" s="7" t="inlineStr">
        <is>
          <t>By 1534 Luther finished translating the Hebrew Scriptures. His understandable Bible helped lay the basis for a standardized written German language.</t>
        </is>
      </c>
      <c r="N948" s="7" t="inlineStr">
        <is>
          <t>1534-⁠க்குள்ளாக லூத்தர் எபிரெய வேதாகமத்தை மொழிபெயர்த்து முடித்திருந்தார்.</t>
        </is>
      </c>
      <c r="O948" s="12" t="inlineStr">
        <is>
          <t>Bible &amp; church history</t>
        </is>
      </c>
      <c r="P948" s="7" t="inlineStr">
        <is>
          <t>history.bible_translation</t>
        </is>
      </c>
      <c r="Q948" s="7" t="inlineStr">
        <is>
          <t>writing_completed</t>
        </is>
      </c>
      <c r="R948" s="7" t="inlineStr">
        <is>
          <t>Martin Luther</t>
        </is>
      </c>
      <c r="S948" s="7" t="n"/>
      <c r="T948" s="7" t="n"/>
      <c r="U948" s="7" t="n"/>
      <c r="V948" s="7" t="n">
        <v>1</v>
      </c>
      <c r="W948" s="7" t="inlineStr">
        <is>
          <t>Martin Luther—The Man and His Legacy</t>
        </is>
      </c>
      <c r="X948" s="9" t="inlineStr">
        <is>
          <t>open</t>
        </is>
      </c>
      <c r="Y948" s="9" t="inlineStr">
        <is>
          <t>open</t>
        </is>
      </c>
      <c r="Z948" s="7" t="inlineStr">
        <is>
          <t>https://wol.jw.org/en/wol/d/r1/lp-e/2003686#h=22</t>
        </is>
      </c>
      <c r="AA948" s="7" t="n">
        <v>0</v>
      </c>
      <c r="AB948" s="7" t="n"/>
      <c r="AC948" s="7" t="n">
        <v>0</v>
      </c>
      <c r="AD948" s="7" t="n"/>
      <c r="AE948" s="7" t="n"/>
      <c r="AF948" s="7" t="n"/>
      <c r="AG948" s="7" t="n"/>
      <c r="AH948" s="7" t="n"/>
      <c r="AI948" s="7" t="n"/>
      <c r="AJ948" s="7" t="n"/>
      <c r="AK948" s="7" t="inlineStr">
        <is>
          <t>how-the-bible-came-to-us #33 (step)</t>
        </is>
      </c>
      <c r="AL948" s="7" t="n"/>
      <c r="AM948" s="7" t="n">
        <v>1534.1</v>
      </c>
      <c r="AN948" s="10" t="n"/>
      <c r="AO948" s="10" t="n"/>
      <c r="AP948" s="10" t="n"/>
      <c r="AQ948" s="10" t="n"/>
    </row>
    <row r="949">
      <c r="A949" s="7" t="inlineStr">
        <is>
          <t>b7-0129</t>
        </is>
      </c>
      <c r="B949" s="7" t="inlineStr">
        <is>
          <t>Point</t>
        </is>
      </c>
      <c r="C949" s="7" t="n"/>
      <c r="D949" s="7" t="inlineStr">
        <is>
          <t>1534</t>
        </is>
      </c>
      <c r="E949" s="7" t="inlineStr">
        <is>
          <t>1534</t>
        </is>
      </c>
      <c r="F949" s="7" t="inlineStr">
        <is>
          <t>1534 CE</t>
        </is>
      </c>
      <c r="G949" s="7" t="inlineStr">
        <is>
          <t>Exact</t>
        </is>
      </c>
      <c r="H949" s="7" t="n"/>
      <c r="I949" s="7" t="n"/>
      <c r="J949" s="7" t="n"/>
      <c r="K949" s="2" t="inlineStr">
        <is>
          <t>Anabaptist band seizes Münster</t>
        </is>
      </c>
      <c r="L949" s="2" t="n"/>
      <c r="M949" s="7" t="inlineStr">
        <is>
          <t>In 1534 a band of Anabaptists captured Münster, attempting a communal "New Jerusalem"; it was violently put down.</t>
        </is>
      </c>
      <c r="N949" s="7" t="inlineStr">
        <is>
          <t>தீவிர மதப்பற்றுமிக்க அனபாப்டிஸ்ட்டுகளின் ஒரு சிறிய குழுவினர் போர் புரிவதில்லை என்ற தங்கள் கொள்கையைக் கைவிட்டு, 1534-ல் போர் புரிந்து மன்ஸ்டர் நகரத்தைக் கைப்பற்றினர்; பலதார முறைமையை பின்பற்றும் சமுதாயமாக புதிய எருசலேமை நிறுவ முற்பட்டனர்.</t>
        </is>
      </c>
      <c r="O949" s="12" t="inlineStr">
        <is>
          <t>Bible &amp; church history</t>
        </is>
      </c>
      <c r="P949" s="7" t="inlineStr">
        <is>
          <t>history.reform</t>
        </is>
      </c>
      <c r="Q949" s="7" t="inlineStr">
        <is>
          <t>uprising</t>
        </is>
      </c>
      <c r="R949" s="7" t="n"/>
      <c r="S949" s="7" t="inlineStr">
        <is>
          <t>Münster</t>
        </is>
      </c>
      <c r="T949" s="7" t="n"/>
      <c r="U949" s="7" t="n"/>
      <c r="V949" s="7" t="n">
        <v>1</v>
      </c>
      <c r="W949" s="7" t="inlineStr">
        <is>
          <t>The Reformation—The Search Took a New Turn</t>
        </is>
      </c>
      <c r="X949" s="9" t="inlineStr">
        <is>
          <t>open</t>
        </is>
      </c>
      <c r="Y949" s="9" t="inlineStr">
        <is>
          <t>open</t>
        </is>
      </c>
      <c r="Z949" s="7" t="inlineStr">
        <is>
          <t>https://wol.jw.org/en/wol/d/r1/lp-e/1101990045#h=48</t>
        </is>
      </c>
      <c r="AA949" s="7" t="n">
        <v>0</v>
      </c>
      <c r="AB949" s="7" t="n"/>
      <c r="AC949" s="7" t="n">
        <v>0</v>
      </c>
      <c r="AD949" s="7" t="n"/>
      <c r="AE949" s="7" t="n"/>
      <c r="AF949" s="7" t="n"/>
      <c r="AG949" s="7" t="n"/>
      <c r="AH949" s="7" t="n"/>
      <c r="AI949" s="7" t="n"/>
      <c r="AJ949" s="7" t="n"/>
      <c r="AK949" s="7" t="n"/>
      <c r="AL949" s="7" t="n"/>
      <c r="AM949" s="7" t="n">
        <v>1534.2</v>
      </c>
      <c r="AN949" s="10" t="n"/>
      <c r="AO949" s="10" t="n"/>
      <c r="AP949" s="10" t="n"/>
      <c r="AQ949" s="10" t="n"/>
    </row>
    <row r="950">
      <c r="A950" s="7" t="inlineStr">
        <is>
          <t>b7-0130</t>
        </is>
      </c>
      <c r="B950" s="7" t="inlineStr">
        <is>
          <t>Point</t>
        </is>
      </c>
      <c r="C950" s="7" t="n"/>
      <c r="D950" s="7" t="inlineStr">
        <is>
          <t>1535</t>
        </is>
      </c>
      <c r="E950" s="7" t="inlineStr">
        <is>
          <t>1535</t>
        </is>
      </c>
      <c r="F950" s="7" t="inlineStr">
        <is>
          <t>1535 CE</t>
        </is>
      </c>
      <c r="G950" s="7" t="inlineStr">
        <is>
          <t>Exact</t>
        </is>
      </c>
      <c r="H950" s="7" t="n"/>
      <c r="I950" s="7" t="n"/>
      <c r="J950" s="7" t="n"/>
      <c r="K950" s="2" t="inlineStr">
        <is>
          <t>Coverdale Bible — first complete printed English Bible</t>
        </is>
      </c>
      <c r="L950" s="2" t="inlineStr">
        <is>
          <t>உதாரணமாக, 1535-ஆம் வருடத்தில், மில்ஸ் கவர்டேல் மொழிபெயர்த்த ஆங்கில பைபிள் வெளியிடப்பட்டது</t>
        </is>
      </c>
      <c r="M950" s="7" t="inlineStr">
        <is>
          <t>In 1535 Miles Coverdale's complete English Bible was printed on the Continent, using Tyndale's "New Testament" and Genesis-Chronicles, with other parts from Latin and Luther's German. Dedicated to Henry VIII and lacking Tyndale's notes, it gained royal consent.</t>
        </is>
      </c>
      <c r="N950" s="7" t="inlineStr">
        <is>
          <t>உதாரணமாக, 1535-ஆம் வருடத்தில், மில்ஸ் கவர்டேல் மொழிபெயர்த்த ஆங்கில பைபிள் வெளியிடப்பட்டது.</t>
        </is>
      </c>
      <c r="O950" s="12" t="inlineStr">
        <is>
          <t>Bible &amp; church history</t>
        </is>
      </c>
      <c r="P950" s="7" t="inlineStr">
        <is>
          <t>history.bible_translation</t>
        </is>
      </c>
      <c r="Q950" s="7" t="inlineStr">
        <is>
          <t>release</t>
        </is>
      </c>
      <c r="R950" s="7" t="inlineStr">
        <is>
          <t>Miles Coverdale; Henry VIII</t>
        </is>
      </c>
      <c r="S950" s="7" t="n"/>
      <c r="T950" s="7" t="n"/>
      <c r="U950" s="7" t="n"/>
      <c r="V950" s="7" t="n">
        <v>4</v>
      </c>
      <c r="W950" s="7" t="inlineStr">
        <is>
          <t>Coverdale and the First Complete Printed English Bible</t>
        </is>
      </c>
      <c r="X950" s="9" t="inlineStr">
        <is>
          <t>open</t>
        </is>
      </c>
      <c r="Y950" s="7" t="n"/>
      <c r="Z950" s="7" t="inlineStr">
        <is>
          <t>https://wol.jw.org/en/wol/d/r1/lp-e/2012408#h=2
https://wol.jw.org/en/wol/d/r1/lp-e/2013122#h=19
https://wol.jw.org/en/wol/d/r1/lp-e/102011446#h=6
https://wol.jw.org/en/wol/d/r1/lp-e/1101990045#h=57</t>
        </is>
      </c>
      <c r="AA950" s="7" t="n">
        <v>0</v>
      </c>
      <c r="AB950" s="7" t="n"/>
      <c r="AC950" s="7" t="n">
        <v>0</v>
      </c>
      <c r="AD950" s="7" t="n"/>
      <c r="AE950" s="7" t="n"/>
      <c r="AF950" s="7" t="n"/>
      <c r="AG950" s="7" t="n"/>
      <c r="AH950" s="7" t="n"/>
      <c r="AI950" s="7" t="n"/>
      <c r="AJ950" s="7" t="n"/>
      <c r="AK950" s="7" t="n"/>
      <c r="AL950" s="7" t="n"/>
      <c r="AM950" s="7" t="n">
        <v>1535</v>
      </c>
      <c r="AN950" s="10" t="n"/>
      <c r="AO950" s="10" t="n"/>
      <c r="AP950" s="10" t="n"/>
      <c r="AQ950" s="10" t="n"/>
    </row>
    <row r="951">
      <c r="A951" s="7" t="inlineStr">
        <is>
          <t>b7-0131</t>
        </is>
      </c>
      <c r="B951" s="7" t="inlineStr">
        <is>
          <t>Point</t>
        </is>
      </c>
      <c r="C951" s="7" t="n"/>
      <c r="D951" s="7" t="inlineStr">
        <is>
          <t>1535</t>
        </is>
      </c>
      <c r="E951" s="7" t="inlineStr">
        <is>
          <t>1535</t>
        </is>
      </c>
      <c r="F951" s="7" t="inlineStr">
        <is>
          <t>1535 CE</t>
        </is>
      </c>
      <c r="G951" s="7" t="inlineStr">
        <is>
          <t>Exact</t>
        </is>
      </c>
      <c r="H951" s="7" t="n"/>
      <c r="I951" s="7" t="n"/>
      <c r="J951" s="7" t="n"/>
      <c r="K951" s="2" t="inlineStr">
        <is>
          <t>Olivétan Bible — first French Bible from the original languages</t>
        </is>
      </c>
      <c r="L951" s="2" t="inlineStr">
        <is>
          <t>இப்படி 1535-⁠ல் அச்சிடப்பட்ட பைபிள் ஆலிவேட்டான் பைபிள் என்று பின்னர் அறியப்பட்டது</t>
        </is>
      </c>
      <c r="M951" s="7" t="inlineStr">
        <is>
          <t>Encouraged by Protestants, the Waldenses sponsored the first translation of the Bible from the original languages into French, printed in 1535 and later known as the Olivétan Bible.</t>
        </is>
      </c>
      <c r="N951" s="7" t="inlineStr">
        <is>
          <t>இப்படி 1535-⁠ல் அச்சிடப்பட்ட பைபிள் ஆலிவேட்டான் பைபிள் என்று பின்னர் அறியப்பட்டது.</t>
        </is>
      </c>
      <c r="O951" s="12" t="inlineStr">
        <is>
          <t>Bible &amp; church history</t>
        </is>
      </c>
      <c r="P951" s="7" t="inlineStr">
        <is>
          <t>history.bible_translation</t>
        </is>
      </c>
      <c r="Q951" s="7" t="inlineStr">
        <is>
          <t>release</t>
        </is>
      </c>
      <c r="R951" s="7" t="n"/>
      <c r="S951" s="7" t="inlineStr">
        <is>
          <t>France</t>
        </is>
      </c>
      <c r="T951" s="7" t="n"/>
      <c r="U951" s="7" t="n"/>
      <c r="V951" s="7" t="n">
        <v>1</v>
      </c>
      <c r="W951" s="7" t="inlineStr">
        <is>
          <t>The Waldenses—From Heresy to Protestantism</t>
        </is>
      </c>
      <c r="X951" s="9" t="inlineStr">
        <is>
          <t>open</t>
        </is>
      </c>
      <c r="Y951" s="9" t="inlineStr">
        <is>
          <t>open</t>
        </is>
      </c>
      <c r="Z951" s="7" t="inlineStr">
        <is>
          <t>https://wol.jw.org/en/wol/d/r1/lp-e/2002205#h=25</t>
        </is>
      </c>
      <c r="AA951" s="7" t="n">
        <v>0</v>
      </c>
      <c r="AB951" s="7" t="n"/>
      <c r="AC951" s="7" t="n">
        <v>0</v>
      </c>
      <c r="AD951" s="7" t="n"/>
      <c r="AE951" s="7" t="n"/>
      <c r="AF951" s="7" t="n"/>
      <c r="AG951" s="7" t="n"/>
      <c r="AH951" s="7" t="n"/>
      <c r="AI951" s="7" t="n"/>
      <c r="AJ951" s="7" t="n"/>
      <c r="AK951" s="7" t="n"/>
      <c r="AL951" s="7" t="n"/>
      <c r="AM951" s="7" t="n">
        <v>1535.1</v>
      </c>
      <c r="AN951" s="10" t="n"/>
      <c r="AO951" s="10" t="n"/>
      <c r="AP951" s="10" t="n"/>
      <c r="AQ951" s="10" t="n"/>
    </row>
    <row r="952">
      <c r="A952" s="7" t="inlineStr">
        <is>
          <t>b7-0132</t>
        </is>
      </c>
      <c r="B952" s="7" t="inlineStr">
        <is>
          <t>Point</t>
        </is>
      </c>
      <c r="C952" s="7" t="n"/>
      <c r="D952" s="7" t="inlineStr">
        <is>
          <t>1536</t>
        </is>
      </c>
      <c r="E952" s="7" t="n"/>
      <c r="F952" s="7" t="inlineStr">
        <is>
          <t>1536 CE</t>
        </is>
      </c>
      <c r="G952" s="7" t="inlineStr">
        <is>
          <t>Exact</t>
        </is>
      </c>
      <c r="H952" s="7" t="n"/>
      <c r="I952" s="7" t="n"/>
      <c r="J952" s="7" t="n"/>
      <c r="K952" s="2" t="inlineStr">
        <is>
          <t>Calvin publishes "Institutes of the Christian Religion"</t>
        </is>
      </c>
      <c r="L952" s="2" t="inlineStr">
        <is>
          <t>புராட்டஸ்டன்டு கருத்துகளை ஆதரித்து, இன்ஸ்டிட்யூட்ஸ் ஆஃப் த கிறிஸ்டியன் ரிலிஜன் என்ற புத்தகத்தை வெளியிட்டார்</t>
        </is>
      </c>
      <c r="M952" s="7" t="inlineStr">
        <is>
          <t>In 1536 John Calvin published Institutes of the Christian Religion, addressed to King Francis I in defense of French Protestants; it became the doctrinal foundation of the Reformed churches.</t>
        </is>
      </c>
      <c r="N952" s="7" t="inlineStr">
        <is>
          <t>புராட்டஸ்டன்டு கருத்துகளை ஆதரித்து, இன்ஸ்டிட்யூட்ஸ் ஆஃப் த கிறிஸ்டியன் ரிலிஜன் என்ற புத்தகத்தை வெளியிட்டார்.</t>
        </is>
      </c>
      <c r="O952" s="12" t="inlineStr">
        <is>
          <t>Bible &amp; church history</t>
        </is>
      </c>
      <c r="P952" s="7" t="inlineStr">
        <is>
          <t>history.reform</t>
        </is>
      </c>
      <c r="Q952" s="7" t="inlineStr">
        <is>
          <t>writing</t>
        </is>
      </c>
      <c r="R952" s="7" t="inlineStr">
        <is>
          <t>John Calvin</t>
        </is>
      </c>
      <c r="S952" s="7" t="inlineStr">
        <is>
          <t>Basel; Geneva</t>
        </is>
      </c>
      <c r="T952" s="7" t="n"/>
      <c r="U952" s="7" t="n"/>
      <c r="V952" s="7" t="n">
        <v>2</v>
      </c>
      <c r="W952" s="7" t="inlineStr">
        <is>
          <t>500 Years of Calvinism—What Has It Achieved?</t>
        </is>
      </c>
      <c r="X952" s="9" t="inlineStr">
        <is>
          <t>open</t>
        </is>
      </c>
      <c r="Y952" s="7" t="n"/>
      <c r="Z952" s="7" t="inlineStr">
        <is>
          <t>https://wol.jw.org/en/wol/d/r1/lp-e/2010647#h=8
https://wol.jw.org/en/wol/d/r1/lp-e/1101990045#h=50</t>
        </is>
      </c>
      <c r="AA952" s="7" t="n">
        <v>0</v>
      </c>
      <c r="AB952" s="7" t="n"/>
      <c r="AC952" s="7" t="n">
        <v>0</v>
      </c>
      <c r="AD952" s="7" t="n"/>
      <c r="AE952" s="7" t="n"/>
      <c r="AF952" s="7" t="n"/>
      <c r="AG952" s="7" t="n"/>
      <c r="AH952" s="7" t="n"/>
      <c r="AI952" s="7" t="n"/>
      <c r="AJ952" s="7" t="n"/>
      <c r="AK952" s="7" t="n"/>
      <c r="AL952" s="7" t="n"/>
      <c r="AM952" s="7" t="n">
        <v>1536</v>
      </c>
      <c r="AN952" s="10" t="n"/>
      <c r="AO952" s="10" t="n"/>
      <c r="AP952" s="10" t="n"/>
      <c r="AQ952" s="10" t="n"/>
    </row>
    <row r="953">
      <c r="A953" s="7" t="inlineStr">
        <is>
          <t>b7-0133</t>
        </is>
      </c>
      <c r="B953" s="7" t="inlineStr">
        <is>
          <t>Point</t>
        </is>
      </c>
      <c r="C953" s="7" t="n"/>
      <c r="D953" s="7" t="inlineStr">
        <is>
          <t>1536, October</t>
        </is>
      </c>
      <c r="E953" s="7" t="inlineStr">
        <is>
          <t>1536</t>
        </is>
      </c>
      <c r="F953" s="7" t="inlineStr">
        <is>
          <t>1536 CE</t>
        </is>
      </c>
      <c r="G953" s="7" t="inlineStr">
        <is>
          <t>Exact</t>
        </is>
      </c>
      <c r="H953" s="7" t="n"/>
      <c r="I953" s="7" t="n"/>
      <c r="J953" s="7" t="n"/>
      <c r="K953" s="2" t="inlineStr">
        <is>
          <t>William Tyndale strangled and burned at Vilvoorde</t>
        </is>
      </c>
      <c r="L953" s="2" t="inlineStr">
        <is>
          <t>டின்டேலுக்கு 1536-ல் மரண தண்டனை நிறைவேற்றப்பட்டது</t>
        </is>
      </c>
      <c r="M953" s="7" t="inlineStr">
        <is>
          <t>Betrayed for money in Antwerp, Tyndale was strangled and his body burned at Vilvoorde, Belgium, in October 1536. His last words were reportedly: "Lord, open the King of England's eyes."</t>
        </is>
      </c>
      <c r="N953" s="7" t="inlineStr">
        <is>
          <t>1536-ல் பெல்ஜியத்தில் வில்வோர்டியில் அவருக்கு மரணதண்டனை நிறைவேற்றப்பட்டபோது, “கர்த்தாவே! இங்கிலாந்து அரசனின் கண்களைத் திறந்தருளும்” என்பதே அவர் பொறுக்க முடியாமல் சொன்ன கடைசி வார்த்தைகளாகும்.</t>
        </is>
      </c>
      <c r="O953" s="12" t="inlineStr">
        <is>
          <t>Bible &amp; church history</t>
        </is>
      </c>
      <c r="P953" s="7" t="inlineStr">
        <is>
          <t>history.persecution</t>
        </is>
      </c>
      <c r="Q953" s="7" t="inlineStr">
        <is>
          <t>execution</t>
        </is>
      </c>
      <c r="R953" s="7" t="inlineStr">
        <is>
          <t>William Tyndale; Thomas More</t>
        </is>
      </c>
      <c r="S953" s="7" t="inlineStr">
        <is>
          <t>Vilvoorde; Antwerp</t>
        </is>
      </c>
      <c r="T953" s="7" t="n"/>
      <c r="U953" s="7" t="n"/>
      <c r="V953" s="7" t="n">
        <v>5</v>
      </c>
      <c r="W953" s="7" t="inlineStr">
        <is>
          <t>Part Two—How the Bible Came to Us</t>
        </is>
      </c>
      <c r="X953" s="9" t="inlineStr">
        <is>
          <t>open</t>
        </is>
      </c>
      <c r="Y953" s="9" t="inlineStr">
        <is>
          <t>open</t>
        </is>
      </c>
      <c r="Z953" s="7" t="inlineStr">
        <is>
          <t>https://wol.jw.org/en/wol/d/r1/lp-e/1997685#h=30
https://wol.jw.org/en/wol/d/r1/lp-e/1997685#h=49
https://wol.jw.org/en/wol/d/r1/lp-e/2009402#h=15
https://wol.jw.org/en/wol/d/r1/lp-e/2013122#h=18
https://wol.jw.org/en/wol/d/r1/lp-e/1101997025#h=7</t>
        </is>
      </c>
      <c r="AA953" s="7" t="n">
        <v>1</v>
      </c>
      <c r="AB953" s="9" t="inlineStr">
        <is>
          <t>open</t>
        </is>
      </c>
      <c r="AC953" s="7" t="n">
        <v>0</v>
      </c>
      <c r="AD953" s="7" t="n"/>
      <c r="AE953" s="7" t="n"/>
      <c r="AF953" s="7" t="n"/>
      <c r="AG953" s="7" t="n"/>
      <c r="AH953" s="7" t="n"/>
      <c r="AI953" s="7" t="n"/>
      <c r="AJ953" s="7" t="n"/>
      <c r="AK953" s="7" t="inlineStr">
        <is>
          <t>how-the-bible-came-to-us #34 (context)</t>
        </is>
      </c>
      <c r="AL953" s="7" t="n"/>
      <c r="AM953" s="7" t="n">
        <v>1536.75</v>
      </c>
      <c r="AN953" s="10" t="n"/>
      <c r="AO953" s="10" t="n"/>
      <c r="AP953" s="10" t="n"/>
      <c r="AQ953" s="10" t="n"/>
    </row>
    <row r="954">
      <c r="A954" s="7" t="inlineStr">
        <is>
          <t>b7-0134</t>
        </is>
      </c>
      <c r="B954" s="7" t="inlineStr">
        <is>
          <t>Point</t>
        </is>
      </c>
      <c r="C954" s="7" t="n"/>
      <c r="D954" s="7" t="inlineStr">
        <is>
          <t>1537</t>
        </is>
      </c>
      <c r="E954" s="7" t="n"/>
      <c r="F954" s="7" t="inlineStr">
        <is>
          <t>1537 CE</t>
        </is>
      </c>
      <c r="G954" s="7" t="inlineStr">
        <is>
          <t>Exact</t>
        </is>
      </c>
      <c r="H954" s="7" t="n"/>
      <c r="I954" s="7" t="n"/>
      <c r="J954" s="7" t="n"/>
      <c r="K954" s="2" t="inlineStr">
        <is>
          <t>Coverdale's Bible printed in England; Matthew's Bible approved</t>
        </is>
      </c>
      <c r="L954" s="2" t="n"/>
      <c r="M954" s="7" t="inlineStr">
        <is>
          <t>In 1537 Coverdale's Bible reappeared in two editions printed in England, and Matthew's Bible, printed in Antwerp and combining Tyndale's and Coverdale's work, was approved by King Henry.</t>
        </is>
      </c>
      <c r="N954" s="7" t="n"/>
      <c r="O954" s="12" t="inlineStr">
        <is>
          <t>Bible &amp; church history</t>
        </is>
      </c>
      <c r="P954" s="7" t="inlineStr">
        <is>
          <t>history.bible_translation</t>
        </is>
      </c>
      <c r="Q954" s="7" t="inlineStr">
        <is>
          <t>release</t>
        </is>
      </c>
      <c r="R954" s="7" t="inlineStr">
        <is>
          <t>Miles Coverdale; Henry VIII</t>
        </is>
      </c>
      <c r="S954" s="7" t="inlineStr">
        <is>
          <t>England; Antwerp</t>
        </is>
      </c>
      <c r="T954" s="7" t="n"/>
      <c r="U954" s="7" t="n"/>
      <c r="V954" s="7" t="n">
        <v>1</v>
      </c>
      <c r="W954" s="7" t="inlineStr">
        <is>
          <t>Coverdale and the First Complete Printed English Bible</t>
        </is>
      </c>
      <c r="X954" s="9" t="inlineStr">
        <is>
          <t>open</t>
        </is>
      </c>
      <c r="Y954" s="7" t="n"/>
      <c r="Z954" s="7" t="inlineStr">
        <is>
          <t>https://wol.jw.org/en/wol/d/r1/lp-e/2012408#h=11</t>
        </is>
      </c>
      <c r="AA954" s="7" t="n">
        <v>0</v>
      </c>
      <c r="AB954" s="7" t="n"/>
      <c r="AC954" s="7" t="n">
        <v>0</v>
      </c>
      <c r="AD954" s="7" t="n"/>
      <c r="AE954" s="7" t="n"/>
      <c r="AF954" s="7" t="n"/>
      <c r="AG954" s="7" t="n"/>
      <c r="AH954" s="7" t="n"/>
      <c r="AI954" s="7" t="n"/>
      <c r="AJ954" s="7" t="n"/>
      <c r="AK954" s="7" t="n"/>
      <c r="AL954" s="7" t="n"/>
      <c r="AM954" s="7" t="n">
        <v>1537</v>
      </c>
      <c r="AN954" s="10" t="n"/>
      <c r="AO954" s="10" t="n"/>
      <c r="AP954" s="10" t="n"/>
      <c r="AQ954" s="10" t="n"/>
    </row>
    <row r="955">
      <c r="A955" s="7" t="inlineStr">
        <is>
          <t>b7-0135</t>
        </is>
      </c>
      <c r="B955" s="7" t="inlineStr">
        <is>
          <t>Point</t>
        </is>
      </c>
      <c r="C955" s="7" t="n"/>
      <c r="D955" s="7" t="inlineStr">
        <is>
          <t>1538</t>
        </is>
      </c>
      <c r="E955" s="7" t="inlineStr">
        <is>
          <t>1538</t>
        </is>
      </c>
      <c r="F955" s="7" t="inlineStr">
        <is>
          <t>1538 CE</t>
        </is>
      </c>
      <c r="G955" s="7" t="inlineStr">
        <is>
          <t>Exact</t>
        </is>
      </c>
      <c r="H955" s="7" t="n"/>
      <c r="I955" s="7" t="n"/>
      <c r="J955" s="7" t="n"/>
      <c r="K955" s="2" t="inlineStr">
        <is>
          <t>Henry VIII orders Bibles placed in every church</t>
        </is>
      </c>
      <c r="L955" s="2" t="inlineStr">
        <is>
          <t>எட்டாம் ஹென்றி 1538-ல் சர்ச்சுகளில் பைபிள்கள் வைக்கப்பட வேண்டும் என்று உத்தரவிடுகிறார்</t>
        </is>
      </c>
      <c r="M955" s="7" t="inlineStr">
        <is>
          <t>By 1538 King Henry VIII had ordered Bibles placed in every church in England; the translation chosen was essentially Tyndale's, uncredited.</t>
        </is>
      </c>
      <c r="N955" s="7" t="inlineStr">
        <is>
          <t>1538-க்குள், எட்டாம் கிங் ஹென்றி தன்னுடைய சொந்த உள்நோக்கங்களுக்காக இங்கிலாந்திலுள்ள ஒவ்வொரு சர்ச்சிலும் பைபிள்கள் வைக்கப்பட வேண்டும் என்று உத்தரவிட்டார்.</t>
        </is>
      </c>
      <c r="O955" s="12" t="inlineStr">
        <is>
          <t>Bible &amp; church history</t>
        </is>
      </c>
      <c r="P955" s="7" t="inlineStr">
        <is>
          <t>history.bible_preservation</t>
        </is>
      </c>
      <c r="Q955" s="7" t="inlineStr">
        <is>
          <t>decree</t>
        </is>
      </c>
      <c r="R955" s="7" t="inlineStr">
        <is>
          <t>Henry VIII</t>
        </is>
      </c>
      <c r="S955" s="7" t="inlineStr">
        <is>
          <t>England</t>
        </is>
      </c>
      <c r="T955" s="7" t="n"/>
      <c r="U955" s="7" t="n"/>
      <c r="V955" s="7" t="n">
        <v>2</v>
      </c>
      <c r="W955" s="7" t="inlineStr">
        <is>
          <t>Part Two—How the Bible Came to Us</t>
        </is>
      </c>
      <c r="X955" s="9" t="inlineStr">
        <is>
          <t>open</t>
        </is>
      </c>
      <c r="Y955" s="9" t="inlineStr">
        <is>
          <t>open</t>
        </is>
      </c>
      <c r="Z955" s="7" t="inlineStr">
        <is>
          <t>https://wol.jw.org/en/wol/d/r1/lp-e/1997685#h=31
https://wol.jw.org/en/wol/d/r1/lp-e/1997685#h=50</t>
        </is>
      </c>
      <c r="AA955" s="7" t="n">
        <v>0</v>
      </c>
      <c r="AB955" s="7" t="n"/>
      <c r="AC955" s="7" t="n">
        <v>0</v>
      </c>
      <c r="AD955" s="7" t="n"/>
      <c r="AE955" s="7" t="n"/>
      <c r="AF955" s="7" t="n"/>
      <c r="AG955" s="7" t="n"/>
      <c r="AH955" s="7" t="n"/>
      <c r="AI955" s="7" t="n"/>
      <c r="AJ955" s="7" t="n"/>
      <c r="AK955" s="7" t="inlineStr">
        <is>
          <t>how-the-bible-came-to-us #35 (step)</t>
        </is>
      </c>
      <c r="AL955" s="7" t="n"/>
      <c r="AM955" s="7" t="n">
        <v>1538</v>
      </c>
      <c r="AN955" s="10" t="n"/>
      <c r="AO955" s="10" t="n"/>
      <c r="AP955" s="10" t="n"/>
      <c r="AQ955" s="10" t="n"/>
    </row>
    <row r="956">
      <c r="A956" s="7" t="inlineStr">
        <is>
          <t>b7-0136</t>
        </is>
      </c>
      <c r="B956" s="7" t="inlineStr">
        <is>
          <t>Point</t>
        </is>
      </c>
      <c r="C956" s="7" t="n"/>
      <c r="D956" s="7" t="inlineStr">
        <is>
          <t>1539</t>
        </is>
      </c>
      <c r="E956" s="7" t="n"/>
      <c r="F956" s="7" t="inlineStr">
        <is>
          <t>1539 CE</t>
        </is>
      </c>
      <c r="G956" s="7" t="inlineStr">
        <is>
          <t>Exact</t>
        </is>
      </c>
      <c r="H956" s="7" t="n"/>
      <c r="I956" s="7" t="n"/>
      <c r="J956" s="7" t="n"/>
      <c r="K956" s="2" t="inlineStr">
        <is>
          <t>The Great Bible licensed and put in churches</t>
        </is>
      </c>
      <c r="L956" s="2" t="n"/>
      <c r="M956" s="7" t="inlineStr">
        <is>
          <t>Coverdale revised Matthew's Bible at Thomas Cromwell's request; Henry VIII licensed it in 1539 and ordered copies of this large "Great Bible" placed in churches for all to read.</t>
        </is>
      </c>
      <c r="N956" s="7" t="n"/>
      <c r="O956" s="12" t="inlineStr">
        <is>
          <t>Bible &amp; church history</t>
        </is>
      </c>
      <c r="P956" s="7" t="inlineStr">
        <is>
          <t>history.bible_translation</t>
        </is>
      </c>
      <c r="Q956" s="7" t="inlineStr">
        <is>
          <t>release</t>
        </is>
      </c>
      <c r="R956" s="7" t="inlineStr">
        <is>
          <t>Miles Coverdale; Thomas Cromwell; Henry VIII</t>
        </is>
      </c>
      <c r="S956" s="7" t="n"/>
      <c r="T956" s="7" t="n"/>
      <c r="U956" s="7" t="n"/>
      <c r="V956" s="7" t="n">
        <v>2</v>
      </c>
      <c r="W956" s="7" t="inlineStr">
        <is>
          <t>Coverdale and the First Complete Printed English Bible</t>
        </is>
      </c>
      <c r="X956" s="9" t="inlineStr">
        <is>
          <t>open</t>
        </is>
      </c>
      <c r="Y956" s="7" t="n"/>
      <c r="Z956" s="7" t="inlineStr">
        <is>
          <t>https://wol.jw.org/en/wol/d/r1/lp-e/2012408#h=12
https://wol.jw.org/en/wol/d/r1/lp-e/102011446#h=6</t>
        </is>
      </c>
      <c r="AA956" s="7" t="n">
        <v>0</v>
      </c>
      <c r="AB956" s="7" t="n"/>
      <c r="AC956" s="7" t="n">
        <v>0</v>
      </c>
      <c r="AD956" s="7" t="n"/>
      <c r="AE956" s="7" t="n"/>
      <c r="AF956" s="7" t="n"/>
      <c r="AG956" s="7" t="n"/>
      <c r="AH956" s="7" t="n"/>
      <c r="AI956" s="7" t="n"/>
      <c r="AJ956" s="7" t="n"/>
      <c r="AK956" s="7" t="n"/>
      <c r="AL956" s="7" t="n"/>
      <c r="AM956" s="7" t="n">
        <v>1539</v>
      </c>
      <c r="AN956" s="10" t="n"/>
      <c r="AO956" s="10" t="n"/>
      <c r="AP956" s="10" t="n"/>
      <c r="AQ956" s="10" t="n"/>
    </row>
    <row r="957">
      <c r="A957" s="7" t="inlineStr">
        <is>
          <t>b7-0137</t>
        </is>
      </c>
      <c r="B957" s="7" t="inlineStr">
        <is>
          <t>Point</t>
        </is>
      </c>
      <c r="C957" s="7" t="n"/>
      <c r="D957" s="7" t="inlineStr">
        <is>
          <t>1542</t>
        </is>
      </c>
      <c r="E957" s="7" t="inlineStr">
        <is>
          <t>1542</t>
        </is>
      </c>
      <c r="F957" s="7" t="inlineStr">
        <is>
          <t>1542 CE</t>
        </is>
      </c>
      <c r="G957" s="7" t="inlineStr">
        <is>
          <t>Exact</t>
        </is>
      </c>
      <c r="H957" s="7" t="n"/>
      <c r="I957" s="7" t="n"/>
      <c r="J957" s="7" t="n"/>
      <c r="K957" s="2" t="inlineStr">
        <is>
          <t>Pope Paul III establishes the Roman Inquisition (Holy Office)</t>
        </is>
      </c>
      <c r="L957" s="2" t="inlineStr">
        <is>
          <t>1542-ல், மூன்றாம் போப் பால் என்பவரால் கத்தோலிக்க சமயத்தண்டமுறை மன்றம் நிறுவப்பட்டது</t>
        </is>
      </c>
      <c r="M957" s="7" t="inlineStr">
        <is>
          <t>In 1542 Pope Paul III instituted the Roman Inquisition, with jurisdiction over the whole Catholic world, under a tribunal of cardinals.</t>
        </is>
      </c>
      <c r="N957" s="7" t="inlineStr">
        <is>
          <t>1542-ல், மூன்றாம் போப் பால் என்பவரால் கத்தோலிக்க சமயத்தண்டமுறை மன்றம் நிறுவப்பட்டது.</t>
        </is>
      </c>
      <c r="O957" s="12" t="inlineStr">
        <is>
          <t>Bible &amp; church history</t>
        </is>
      </c>
      <c r="P957" s="7" t="inlineStr">
        <is>
          <t>history.persecution</t>
        </is>
      </c>
      <c r="Q957" s="7" t="inlineStr">
        <is>
          <t>institution</t>
        </is>
      </c>
      <c r="R957" s="7" t="inlineStr">
        <is>
          <t>Paul III</t>
        </is>
      </c>
      <c r="S957" s="7" t="inlineStr">
        <is>
          <t>Rome</t>
        </is>
      </c>
      <c r="T957" s="7" t="n"/>
      <c r="U957" s="7" t="n"/>
      <c r="V957" s="7" t="n">
        <v>2</v>
      </c>
      <c r="W957" s="7" t="inlineStr">
        <is>
          <t>Secret Archives Opened</t>
        </is>
      </c>
      <c r="X957" s="9" t="inlineStr">
        <is>
          <t>open</t>
        </is>
      </c>
      <c r="Y957" s="9" t="inlineStr">
        <is>
          <t>open</t>
        </is>
      </c>
      <c r="Z957" s="7" t="inlineStr">
        <is>
          <t>https://wol.jw.org/en/wol/d/r1/lp-e/101998884#h=5
https://wol.jw.org/en/wol/d/r1/lp-e/101997327#h=7</t>
        </is>
      </c>
      <c r="AA957" s="7" t="n">
        <v>0</v>
      </c>
      <c r="AB957" s="7" t="n"/>
      <c r="AC957" s="7" t="n">
        <v>0</v>
      </c>
      <c r="AD957" s="7" t="n"/>
      <c r="AE957" s="7" t="n"/>
      <c r="AF957" s="7" t="n"/>
      <c r="AG957" s="7" t="n"/>
      <c r="AH957" s="7" t="n"/>
      <c r="AI957" s="7" t="n"/>
      <c r="AJ957" s="7" t="n"/>
      <c r="AK957" s="7" t="n"/>
      <c r="AL957" s="7" t="n"/>
      <c r="AM957" s="7" t="n">
        <v>1542</v>
      </c>
      <c r="AN957" s="10" t="n"/>
      <c r="AO957" s="10" t="n"/>
      <c r="AP957" s="10" t="n"/>
      <c r="AQ957" s="10" t="n"/>
    </row>
    <row r="958">
      <c r="A958" s="7" t="inlineStr">
        <is>
          <t>b7-0138</t>
        </is>
      </c>
      <c r="B958" s="7" t="inlineStr">
        <is>
          <t>Point</t>
        </is>
      </c>
      <c r="C958" s="7" t="n"/>
      <c r="D958" s="7" t="inlineStr">
        <is>
          <t>1544</t>
        </is>
      </c>
      <c r="E958" s="7" t="inlineStr">
        <is>
          <t>1544</t>
        </is>
      </c>
      <c r="F958" s="7" t="inlineStr">
        <is>
          <t>1544 CE</t>
        </is>
      </c>
      <c r="G958" s="7" t="inlineStr">
        <is>
          <t>Exact</t>
        </is>
      </c>
      <c r="H958" s="7" t="n"/>
      <c r="I958" s="7" t="n"/>
      <c r="J958" s="7" t="n"/>
      <c r="K958" s="2" t="inlineStr">
        <is>
          <t>Francisco de Enzinas seeks permission to distribute his Spanish "New Testament"</t>
        </is>
      </c>
      <c r="L958" s="2" t="n"/>
      <c r="M958" s="7" t="inlineStr">
        <is>
          <t>Francisco de Enzinas, a "Spanish Tyndale," had his translation of the Christian Greek Scriptures printed in the Netherlands and in 1544 tried to obtain royal permission to distribute it in Spain.</t>
        </is>
      </c>
      <c r="N958" s="7" t="inlineStr">
        <is>
          <t>பின்னர், மொழிபெயர்ப்பை நெதர்லாந்தில் அச்சு செய்து, 1544-ல் ஸ்பெய்னில் அது விநியோகிக்கப்படுவதற்கு மன்னரின் அனுமதி பெற தளரா ஊக்கத்தோடு முயற்சி செய்தார்.</t>
        </is>
      </c>
      <c r="O958" s="12" t="inlineStr">
        <is>
          <t>Bible &amp; church history</t>
        </is>
      </c>
      <c r="P958" s="7" t="inlineStr">
        <is>
          <t>history.bible_translation</t>
        </is>
      </c>
      <c r="Q958" s="7" t="inlineStr">
        <is>
          <t>petition</t>
        </is>
      </c>
      <c r="R958" s="7" t="inlineStr">
        <is>
          <t>Francisco de Enzinas; Charles I (V)</t>
        </is>
      </c>
      <c r="S958" s="7" t="n"/>
      <c r="T958" s="7" t="n"/>
      <c r="U958" s="7" t="n"/>
      <c r="V958" s="7" t="n">
        <v>1</v>
      </c>
      <c r="W958" s="7" t="inlineStr">
        <is>
          <t>The Spanish Bible’s Battle for Survival</t>
        </is>
      </c>
      <c r="X958" s="9" t="inlineStr">
        <is>
          <t>open</t>
        </is>
      </c>
      <c r="Y958" s="9" t="inlineStr">
        <is>
          <t>open</t>
        </is>
      </c>
      <c r="Z958" s="7" t="inlineStr">
        <is>
          <t>https://wol.jw.org/en/wol/d/r1/lp-e/1992442#h=17</t>
        </is>
      </c>
      <c r="AA958" s="7" t="n">
        <v>0</v>
      </c>
      <c r="AB958" s="7" t="n"/>
      <c r="AC958" s="7" t="n">
        <v>0</v>
      </c>
      <c r="AD958" s="7" t="n"/>
      <c r="AE958" s="7" t="n"/>
      <c r="AF958" s="7" t="n"/>
      <c r="AG958" s="7" t="n"/>
      <c r="AH958" s="7" t="n"/>
      <c r="AI958" s="7" t="n"/>
      <c r="AJ958" s="7" t="n"/>
      <c r="AK958" s="7" t="n"/>
      <c r="AL958" s="7" t="n"/>
      <c r="AM958" s="7" t="n">
        <v>1544</v>
      </c>
      <c r="AN958" s="10" t="n"/>
      <c r="AO958" s="10" t="n"/>
      <c r="AP958" s="10" t="n"/>
      <c r="AQ958" s="10" t="n"/>
    </row>
    <row r="959">
      <c r="A959" s="7" t="inlineStr">
        <is>
          <t>b7-0139</t>
        </is>
      </c>
      <c r="B959" s="7" t="inlineStr">
        <is>
          <t>Point</t>
        </is>
      </c>
      <c r="C959" s="7" t="n"/>
      <c r="D959" s="7" t="inlineStr">
        <is>
          <t>1545</t>
        </is>
      </c>
      <c r="E959" s="7" t="inlineStr">
        <is>
          <t>1545</t>
        </is>
      </c>
      <c r="F959" s="7" t="inlineStr">
        <is>
          <t>1545 CE</t>
        </is>
      </c>
      <c r="G959" s="7" t="inlineStr">
        <is>
          <t>Exact</t>
        </is>
      </c>
      <c r="H959" s="7" t="n"/>
      <c r="I959" s="7" t="n"/>
      <c r="J959" s="7" t="n"/>
      <c r="K959" s="2" t="inlineStr">
        <is>
          <t>Massacre of the Waldenses in Provence</t>
        </is>
      </c>
      <c r="L959" s="2" t="inlineStr">
        <is>
          <t>வருடம் 1545</t>
        </is>
      </c>
      <c r="M959" s="7" t="inlineStr">
        <is>
          <t>In 1545, under an edict of King Francis I, an army razed villages in the Lubéron region of Provence; some 2,700 men were killed and 600 sent to the galleys.</t>
        </is>
      </c>
      <c r="N959" s="7" t="inlineStr">
        <is>
          <t>வருடம் 1545.</t>
        </is>
      </c>
      <c r="O959" s="12" t="inlineStr">
        <is>
          <t>Bible &amp; church history</t>
        </is>
      </c>
      <c r="P959" s="7" t="inlineStr">
        <is>
          <t>history.persecution</t>
        </is>
      </c>
      <c r="Q959" s="7" t="inlineStr">
        <is>
          <t>massacre</t>
        </is>
      </c>
      <c r="R959" s="7" t="inlineStr">
        <is>
          <t>Francis I</t>
        </is>
      </c>
      <c r="S959" s="7" t="inlineStr">
        <is>
          <t>Provence</t>
        </is>
      </c>
      <c r="T959" s="7" t="n"/>
      <c r="U959" s="7" t="n"/>
      <c r="V959" s="7" t="n">
        <v>2</v>
      </c>
      <c r="W959" s="7" t="inlineStr">
        <is>
          <t>The Waldenses—From Heresy to Protestantism</t>
        </is>
      </c>
      <c r="X959" s="9" t="inlineStr">
        <is>
          <t>open</t>
        </is>
      </c>
      <c r="Y959" s="9" t="inlineStr">
        <is>
          <t>open</t>
        </is>
      </c>
      <c r="Z959" s="7" t="inlineStr">
        <is>
          <t>https://wol.jw.org/en/wol/d/r1/lp-e/2002205#h=2
https://wol.jw.org/en/wol/d/r1/lp-e/2002205#h=4</t>
        </is>
      </c>
      <c r="AA959" s="7" t="n">
        <v>0</v>
      </c>
      <c r="AB959" s="7" t="n"/>
      <c r="AC959" s="7" t="n">
        <v>0</v>
      </c>
      <c r="AD959" s="7" t="n"/>
      <c r="AE959" s="7" t="n"/>
      <c r="AF959" s="7" t="n"/>
      <c r="AG959" s="7" t="n"/>
      <c r="AH959" s="7" t="n"/>
      <c r="AI959" s="7" t="n"/>
      <c r="AJ959" s="7" t="n"/>
      <c r="AK959" s="7" t="n"/>
      <c r="AL959" s="7" t="n"/>
      <c r="AM959" s="7" t="n">
        <v>1545</v>
      </c>
      <c r="AN959" s="10" t="n"/>
      <c r="AO959" s="10" t="n"/>
      <c r="AP959" s="10" t="n"/>
      <c r="AQ959" s="10" t="n"/>
    </row>
    <row r="960">
      <c r="A960" s="7" t="inlineStr">
        <is>
          <t>b7-0140</t>
        </is>
      </c>
      <c r="B960" s="11" t="inlineStr">
        <is>
          <t>Span</t>
        </is>
      </c>
      <c r="C960" s="7" t="inlineStr">
        <is>
          <t>council</t>
        </is>
      </c>
      <c r="D960" s="7" t="inlineStr">
        <is>
          <t>1545-1563</t>
        </is>
      </c>
      <c r="E960" s="7" t="inlineStr">
        <is>
          <t>1545-63</t>
        </is>
      </c>
      <c r="F960" s="7" t="inlineStr">
        <is>
          <t>1545 CE</t>
        </is>
      </c>
      <c r="G960" s="7" t="inlineStr">
        <is>
          <t>Exact</t>
        </is>
      </c>
      <c r="H960" s="7" t="inlineStr">
        <is>
          <t>1563 CE</t>
        </is>
      </c>
      <c r="I960" s="7" t="inlineStr">
        <is>
          <t>Exact</t>
        </is>
      </c>
      <c r="J960" s="7" t="inlineStr">
        <is>
          <t>18 years</t>
        </is>
      </c>
      <c r="K960" s="2" t="inlineStr">
        <is>
          <t>Council of Trent condemns vernacular Bible translations</t>
        </is>
      </c>
      <c r="L960" s="2" t="n"/>
      <c r="M960" s="7" t="inlineStr">
        <is>
          <t>At the Council of Trent (1545-63), the Catholic Church reiterated its condemnation of vernacular Bible translations and published an index of prohibited books.</t>
        </is>
      </c>
      <c r="N960" s="7" t="inlineStr">
        <is>
          <t>டிரண்ட் கவுன்சில் சபையில் (1545-63), கத்தோலிக்க சர்ச் பிராந்திய மொழிகளில் பைபிள் மொழிபெயர்ப்புகளை கண்டனம் செய்வதை வலியுறுத்திக் கூறியது.</t>
        </is>
      </c>
      <c r="O960" s="12" t="inlineStr">
        <is>
          <t>Bible &amp; church history</t>
        </is>
      </c>
      <c r="P960" s="7" t="inlineStr">
        <is>
          <t>history.apostasy</t>
        </is>
      </c>
      <c r="Q960" s="7" t="inlineStr">
        <is>
          <t>council</t>
        </is>
      </c>
      <c r="R960" s="7" t="n"/>
      <c r="S960" s="7" t="inlineStr">
        <is>
          <t>Trent</t>
        </is>
      </c>
      <c r="T960" s="7" t="n"/>
      <c r="U960" s="7" t="n"/>
      <c r="V960" s="7" t="n">
        <v>1</v>
      </c>
      <c r="W960" s="7" t="inlineStr">
        <is>
          <t>The Spanish Bible’s Battle for Survival</t>
        </is>
      </c>
      <c r="X960" s="9" t="inlineStr">
        <is>
          <t>open</t>
        </is>
      </c>
      <c r="Y960" s="9" t="inlineStr">
        <is>
          <t>open</t>
        </is>
      </c>
      <c r="Z960" s="7" t="inlineStr">
        <is>
          <t>https://wol.jw.org/en/wol/d/r1/lp-e/1992442#h=21</t>
        </is>
      </c>
      <c r="AA960" s="7" t="n">
        <v>0</v>
      </c>
      <c r="AB960" s="7" t="n"/>
      <c r="AC960" s="7" t="n">
        <v>0</v>
      </c>
      <c r="AD960" s="7" t="n"/>
      <c r="AE960" s="7" t="n"/>
      <c r="AF960" s="7" t="n"/>
      <c r="AG960" s="7" t="n"/>
      <c r="AH960" s="7" t="n"/>
      <c r="AI960" s="7" t="n"/>
      <c r="AJ960" s="7" t="n"/>
      <c r="AK960" s="7" t="n"/>
      <c r="AL960" s="7" t="n"/>
      <c r="AM960" s="7" t="n">
        <v>1545</v>
      </c>
      <c r="AN960" s="10" t="n"/>
      <c r="AO960" s="10" t="n"/>
      <c r="AP960" s="10" t="n"/>
      <c r="AQ960" s="10" t="n"/>
    </row>
    <row r="961">
      <c r="A961" s="7" t="inlineStr">
        <is>
          <t>b7-0141</t>
        </is>
      </c>
      <c r="B961" s="7" t="inlineStr">
        <is>
          <t>Point</t>
        </is>
      </c>
      <c r="C961" s="7" t="n"/>
      <c r="D961" s="7" t="inlineStr">
        <is>
          <t>1546, February</t>
        </is>
      </c>
      <c r="E961" s="7" t="inlineStr">
        <is>
          <t>1546</t>
        </is>
      </c>
      <c r="F961" s="7" t="inlineStr">
        <is>
          <t>1546 CE</t>
        </is>
      </c>
      <c r="G961" s="7" t="inlineStr">
        <is>
          <t>Exact</t>
        </is>
      </c>
      <c r="H961" s="7" t="n"/>
      <c r="I961" s="7" t="n"/>
      <c r="J961" s="7" t="n"/>
      <c r="K961" s="2" t="inlineStr">
        <is>
          <t>Martin Luther dies</t>
        </is>
      </c>
      <c r="L961" s="2" t="n"/>
      <c r="M961" s="7" t="inlineStr">
        <is>
          <t>Martin Luther died at Eisleben in February 1546.</t>
        </is>
      </c>
      <c r="N961" s="7" t="inlineStr">
        <is>
          <t>பிப்ரவரி 1546-⁠ல் ஐஸ்லேபனில் அவர் மரணப் படுக்கையில் இருந்தபோது, மற்றவர்களுக்கு கற்றுக்கொடுத்திருந்த நம்பிக்கைகளில் அப்போதும் உறுதியாக இருந்தாரா என்று அவரது நண்பர்கள் அவரிடம் கேட்டார்கள்.</t>
        </is>
      </c>
      <c r="O961" s="12" t="inlineStr">
        <is>
          <t>Bible &amp; church history</t>
        </is>
      </c>
      <c r="P961" s="7" t="inlineStr">
        <is>
          <t>history.reform</t>
        </is>
      </c>
      <c r="Q961" s="7" t="inlineStr">
        <is>
          <t>death</t>
        </is>
      </c>
      <c r="R961" s="7" t="inlineStr">
        <is>
          <t>Martin Luther</t>
        </is>
      </c>
      <c r="S961" s="7" t="inlineStr">
        <is>
          <t>Eisleben</t>
        </is>
      </c>
      <c r="T961" s="7" t="n"/>
      <c r="U961" s="7" t="n"/>
      <c r="V961" s="7" t="n">
        <v>1</v>
      </c>
      <c r="W961" s="7" t="inlineStr">
        <is>
          <t>Martin Luther—The Man and His Legacy</t>
        </is>
      </c>
      <c r="X961" s="9" t="inlineStr">
        <is>
          <t>open</t>
        </is>
      </c>
      <c r="Y961" s="9" t="inlineStr">
        <is>
          <t>open</t>
        </is>
      </c>
      <c r="Z961" s="7" t="inlineStr">
        <is>
          <t>https://wol.jw.org/en/wol/d/r1/lp-e/2003686#h=28</t>
        </is>
      </c>
      <c r="AA961" s="7" t="n">
        <v>0</v>
      </c>
      <c r="AB961" s="7" t="n"/>
      <c r="AC961" s="7" t="n">
        <v>0</v>
      </c>
      <c r="AD961" s="7" t="n"/>
      <c r="AE961" s="7" t="n"/>
      <c r="AF961" s="7" t="n"/>
      <c r="AG961" s="7" t="n"/>
      <c r="AH961" s="7" t="n"/>
      <c r="AI961" s="7" t="inlineStr">
        <is>
          <t>Covered by span – hide on chart</t>
        </is>
      </c>
      <c r="AJ961" s="7" t="inlineStr">
        <is>
          <t>end of Life of Martin Luther (d1-0026)</t>
        </is>
      </c>
      <c r="AK961" s="7" t="n"/>
      <c r="AL961" s="7" t="n"/>
      <c r="AM961" s="7" t="n">
        <v>1546.0833</v>
      </c>
      <c r="AN961" s="10" t="n"/>
      <c r="AO961" s="10" t="n"/>
      <c r="AP961" s="10" t="n"/>
      <c r="AQ961" s="10" t="n"/>
    </row>
    <row r="962">
      <c r="A962" s="7" t="inlineStr">
        <is>
          <t>b7-0142</t>
        </is>
      </c>
      <c r="B962" s="7" t="inlineStr">
        <is>
          <t>Point</t>
        </is>
      </c>
      <c r="C962" s="7" t="n"/>
      <c r="D962" s="7" t="inlineStr">
        <is>
          <t>1546</t>
        </is>
      </c>
      <c r="E962" s="7" t="n"/>
      <c r="F962" s="7" t="inlineStr">
        <is>
          <t>1546 CE</t>
        </is>
      </c>
      <c r="G962" s="7" t="inlineStr">
        <is>
          <t>Exact</t>
        </is>
      </c>
      <c r="H962" s="7" t="n"/>
      <c r="I962" s="7" t="n"/>
      <c r="J962" s="7" t="n"/>
      <c r="K962" s="2" t="inlineStr">
        <is>
          <t>Council of Trent canonizes the Apocrypha and declares the Vulgate "authentic"</t>
        </is>
      </c>
      <c r="L962" s="2" t="n"/>
      <c r="M962" s="7" t="inlineStr">
        <is>
          <t>In 1546 the Council of Trent definitely confirmed the Apocryphal books as canonical, for the first time called Jerome's version the Vulgate and declared it "authentic," and placed printing of religious literature, including Bible translations, under church control.</t>
        </is>
      </c>
      <c r="N962" s="7" t="n"/>
      <c r="O962" s="12" t="inlineStr">
        <is>
          <t>Bible &amp; church history</t>
        </is>
      </c>
      <c r="P962" s="7" t="inlineStr">
        <is>
          <t>history.apostasy</t>
        </is>
      </c>
      <c r="Q962" s="7" t="inlineStr">
        <is>
          <t>council</t>
        </is>
      </c>
      <c r="R962" s="7" t="n"/>
      <c r="S962" s="7" t="inlineStr">
        <is>
          <t>Trent</t>
        </is>
      </c>
      <c r="T962" s="7" t="n"/>
      <c r="U962" s="7" t="n"/>
      <c r="V962" s="7" t="n">
        <v>3</v>
      </c>
      <c r="W962" s="7" t="inlineStr">
        <is>
          <t>Apocrypha</t>
        </is>
      </c>
      <c r="X962" s="9" t="inlineStr">
        <is>
          <t>open</t>
        </is>
      </c>
      <c r="Y962" s="7" t="n"/>
      <c r="Z962" s="7" t="inlineStr">
        <is>
          <t>https://wol.jw.org/en/wol/d/r1/lp-e/1200000305#h=13
https://wol.jw.org/en/wol/d/r1/lp-e/2009251#h=12
https://wol.jw.org/en/wol/d/r1/lp-e/102011443#h=17</t>
        </is>
      </c>
      <c r="AA962" s="7" t="n">
        <v>0</v>
      </c>
      <c r="AB962" s="7" t="n"/>
      <c r="AC962" s="7" t="n">
        <v>0</v>
      </c>
      <c r="AD962" s="7" t="n"/>
      <c r="AE962" s="7" t="n"/>
      <c r="AF962" s="7" t="n"/>
      <c r="AG962" s="7" t="n"/>
      <c r="AH962" s="7" t="n"/>
      <c r="AI962" s="7" t="n"/>
      <c r="AJ962" s="7" t="n"/>
      <c r="AK962" s="7" t="n"/>
      <c r="AL962" s="7" t="n"/>
      <c r="AM962" s="7" t="n">
        <v>1546.2</v>
      </c>
      <c r="AN962" s="10" t="n"/>
      <c r="AO962" s="10" t="n"/>
      <c r="AP962" s="10" t="n"/>
      <c r="AQ962" s="10" t="n"/>
    </row>
    <row r="963">
      <c r="A963" s="7" t="inlineStr">
        <is>
          <t>b7-0143</t>
        </is>
      </c>
      <c r="B963" s="7" t="inlineStr">
        <is>
          <t>Point</t>
        </is>
      </c>
      <c r="C963" s="7" t="n"/>
      <c r="D963" s="7" t="inlineStr">
        <is>
          <t>1550</t>
        </is>
      </c>
      <c r="E963" s="7" t="inlineStr">
        <is>
          <t>1550</t>
        </is>
      </c>
      <c r="F963" s="7" t="inlineStr">
        <is>
          <t>1550 CE</t>
        </is>
      </c>
      <c r="G963" s="7" t="inlineStr">
        <is>
          <t>Exact</t>
        </is>
      </c>
      <c r="H963" s="7" t="n"/>
      <c r="I963" s="7" t="n"/>
      <c r="J963" s="7" t="n"/>
      <c r="K963" s="2" t="inlineStr">
        <is>
          <t>Stephanus' third Greek edition becomes the "Received Text"</t>
        </is>
      </c>
      <c r="L963" s="2" t="n"/>
      <c r="M963" s="7" t="inlineStr">
        <is>
          <t>Robert Estienne (Stephanus) issued Greek editions based mainly on Erasmus' text; his third edition of 1550 became, in effect, the Textus Receptus used for later English versions including the King James Version.</t>
        </is>
      </c>
      <c r="N963" s="7" t="inlineStr">
        <is>
          <t>1550-⁠ல் ஸ்டீஃபனஸின் கிரேக்க வாக்கியத்தின் மூன்றாவது பதிப்பு டெக்ஸ்டஸ் ரிஸெப்டஸ் (“பெற்றுக்கொண்ட வாக்கியம்” என்பதற்கு லத்தீன்) ஆயிற்று.</t>
        </is>
      </c>
      <c r="O963" s="12" t="inlineStr">
        <is>
          <t>Bible &amp; church history</t>
        </is>
      </c>
      <c r="P963" s="7" t="inlineStr">
        <is>
          <t>history.bible_preservation</t>
        </is>
      </c>
      <c r="Q963" s="7" t="inlineStr">
        <is>
          <t>release</t>
        </is>
      </c>
      <c r="R963" s="7" t="inlineStr">
        <is>
          <t>Robert Estienne</t>
        </is>
      </c>
      <c r="S963" s="7" t="inlineStr">
        <is>
          <t>Paris</t>
        </is>
      </c>
      <c r="T963" s="7" t="n"/>
      <c r="U963" s="7" t="n"/>
      <c r="V963" s="7" t="n">
        <v>3</v>
      </c>
      <c r="W963" s="7" t="inlineStr">
        <is>
          <t>Manuscripts of the Bible</t>
        </is>
      </c>
      <c r="X963" s="9" t="inlineStr">
        <is>
          <t>open</t>
        </is>
      </c>
      <c r="Y963" s="7" t="n"/>
      <c r="Z963" s="7" t="inlineStr">
        <is>
          <t>https://wol.jw.org/en/wol/d/r1/lp-e/1200002893#h=13
https://wol.jw.org/en/wol/d/r1/lp-e/1101990133#h=25
https://wol.jw.org/en/wol/d/r1/lp-e/1995282#h=13</t>
        </is>
      </c>
      <c r="AA963" s="7" t="n">
        <v>0</v>
      </c>
      <c r="AB963" s="7" t="n"/>
      <c r="AC963" s="7" t="n">
        <v>0</v>
      </c>
      <c r="AD963" s="7" t="n"/>
      <c r="AE963" s="7" t="n"/>
      <c r="AF963" s="7" t="n"/>
      <c r="AG963" s="7" t="n"/>
      <c r="AH963" s="7" t="n"/>
      <c r="AI963" s="7" t="n"/>
      <c r="AJ963" s="7" t="n"/>
      <c r="AK963" s="7" t="n"/>
      <c r="AL963" s="7" t="n"/>
      <c r="AM963" s="7" t="n">
        <v>1550</v>
      </c>
      <c r="AN963" s="10" t="n"/>
      <c r="AO963" s="10" t="n"/>
      <c r="AP963" s="10" t="n"/>
      <c r="AQ963" s="10" t="n"/>
    </row>
    <row r="964">
      <c r="A964" s="7" t="inlineStr">
        <is>
          <t>b7-0144</t>
        </is>
      </c>
      <c r="B964" s="7" t="inlineStr">
        <is>
          <t>Point</t>
        </is>
      </c>
      <c r="C964" s="7" t="n"/>
      <c r="D964" s="7" t="inlineStr">
        <is>
          <t>1550, November</t>
        </is>
      </c>
      <c r="E964" s="7" t="inlineStr">
        <is>
          <t>1550</t>
        </is>
      </c>
      <c r="F964" s="7" t="inlineStr">
        <is>
          <t>1550 CE</t>
        </is>
      </c>
      <c r="G964" s="7" t="inlineStr">
        <is>
          <t>Exact</t>
        </is>
      </c>
      <c r="H964" s="7" t="n"/>
      <c r="I964" s="7" t="n"/>
      <c r="J964" s="7" t="n"/>
      <c r="K964" s="2" t="inlineStr">
        <is>
          <t>Estienne flees to Geneva</t>
        </is>
      </c>
      <c r="L964" s="2" t="inlineStr">
        <is>
          <t>நவம்பர் 1550-ல், ஏட்டியென் ஸ்விட்ஸர்லாந்திலுள்ள ஜெனிவாவுக்கு மாறிச் சென்றார்</t>
        </is>
      </c>
      <c r="M964" s="7" t="inlineStr">
        <is>
          <t>With the Sorbonne making it illegal in France to publish any Bible but the Vulgate, Estienne moved to Geneva in November 1550.</t>
        </is>
      </c>
      <c r="N964" s="7" t="inlineStr">
        <is>
          <t>நவம்பர் 1550-ல், ஏட்டியென் ஸ்விட்ஸர்லாந்திலுள்ள ஜெனிவாவுக்கு மாறிச் சென்றார்.</t>
        </is>
      </c>
      <c r="O964" s="12" t="inlineStr">
        <is>
          <t>Bible &amp; church history</t>
        </is>
      </c>
      <c r="P964" s="7" t="inlineStr">
        <is>
          <t>history.persecution</t>
        </is>
      </c>
      <c r="Q964" s="7" t="inlineStr">
        <is>
          <t>journey</t>
        </is>
      </c>
      <c r="R964" s="7" t="inlineStr">
        <is>
          <t>Robert Estienne</t>
        </is>
      </c>
      <c r="S964" s="7" t="inlineStr">
        <is>
          <t>Geneva</t>
        </is>
      </c>
      <c r="T964" s="7" t="n"/>
      <c r="U964" s="7" t="n"/>
      <c r="V964" s="7" t="n">
        <v>1</v>
      </c>
      <c r="W964" s="7" t="inlineStr">
        <is>
          <t>A Printer Who Left His Mark</t>
        </is>
      </c>
      <c r="X964" s="9" t="inlineStr">
        <is>
          <t>open</t>
        </is>
      </c>
      <c r="Y964" s="9" t="inlineStr">
        <is>
          <t>open</t>
        </is>
      </c>
      <c r="Z964" s="7" t="inlineStr">
        <is>
          <t>https://wol.jw.org/en/wol/d/r1/lp-e/1995282#h=29</t>
        </is>
      </c>
      <c r="AA964" s="7" t="n">
        <v>0</v>
      </c>
      <c r="AB964" s="7" t="n"/>
      <c r="AC964" s="7" t="n">
        <v>0</v>
      </c>
      <c r="AD964" s="7" t="n"/>
      <c r="AE964" s="7" t="n"/>
      <c r="AF964" s="7" t="n"/>
      <c r="AG964" s="7" t="n"/>
      <c r="AH964" s="7" t="n"/>
      <c r="AI964" s="7" t="n"/>
      <c r="AJ964" s="7" t="n"/>
      <c r="AK964" s="7" t="n"/>
      <c r="AL964" s="7" t="n"/>
      <c r="AM964" s="7" t="n">
        <v>1550.8333</v>
      </c>
      <c r="AN964" s="10" t="n"/>
      <c r="AO964" s="10" t="n"/>
      <c r="AP964" s="10" t="n"/>
      <c r="AQ964" s="10" t="n"/>
    </row>
    <row r="965">
      <c r="A965" s="7" t="inlineStr">
        <is>
          <t>b7-0145</t>
        </is>
      </c>
      <c r="B965" s="7" t="inlineStr">
        <is>
          <t>Point</t>
        </is>
      </c>
      <c r="C965" s="7" t="n"/>
      <c r="D965" s="7" t="inlineStr">
        <is>
          <t>1551</t>
        </is>
      </c>
      <c r="E965" s="7" t="inlineStr">
        <is>
          <t>1551</t>
        </is>
      </c>
      <c r="F965" s="7" t="inlineStr">
        <is>
          <t>1551 CE</t>
        </is>
      </c>
      <c r="G965" s="7" t="inlineStr">
        <is>
          <t>Exact</t>
        </is>
      </c>
      <c r="H965" s="7" t="n"/>
      <c r="I965" s="7" t="n"/>
      <c r="J965" s="7" t="n"/>
      <c r="K965" s="2" t="inlineStr">
        <is>
          <t>Stephanus introduces numbered verses in his Greek-Latin "New Testament"</t>
        </is>
      </c>
      <c r="L965" s="2" t="inlineStr">
        <is>
          <t>ஆகவே 1551-⁠ல் அவருடைய கிரேக்கு-லத்தீன் புதிய ஏற்பாட்டில் இந்த ஒழுங்கைப் புதிதாகத் தொடங்கினார்</t>
        </is>
      </c>
      <c r="M965" s="7" t="inlineStr">
        <is>
          <t>Stephanus introduced the system of chapters and verses in his Greek-Latin New Testament in 1551; his French Bible of 1553 was the first to show present divisions for the complete Bible.</t>
        </is>
      </c>
      <c r="N965" s="7" t="inlineStr">
        <is>
          <t>ஆகவே 1551-⁠ல் அவருடைய கிரேக்கு-லத்தீன் புதிய ஏற்பாட்டில் இந்த ஒழுங்கைப் புதிதாகத் தொடங்கினார்.</t>
        </is>
      </c>
      <c r="O965" s="12" t="inlineStr">
        <is>
          <t>Bible &amp; church history</t>
        </is>
      </c>
      <c r="P965" s="7" t="inlineStr">
        <is>
          <t>history.bible_preservation</t>
        </is>
      </c>
      <c r="Q965" s="7" t="inlineStr">
        <is>
          <t>innovation</t>
        </is>
      </c>
      <c r="R965" s="7" t="inlineStr">
        <is>
          <t>Robert Estienne</t>
        </is>
      </c>
      <c r="S965" s="7" t="inlineStr">
        <is>
          <t>Geneva</t>
        </is>
      </c>
      <c r="T965" s="7" t="n"/>
      <c r="U965" s="7" t="n"/>
      <c r="V965" s="7" t="n">
        <v>2</v>
      </c>
      <c r="W965" s="7" t="inlineStr">
        <is>
          <t>Study Number 6—The Christian Greek Text of the Holy Scriptures</t>
        </is>
      </c>
      <c r="X965" s="9" t="inlineStr">
        <is>
          <t>open</t>
        </is>
      </c>
      <c r="Y965" s="9" t="inlineStr">
        <is>
          <t>open</t>
        </is>
      </c>
      <c r="Z965" s="7" t="inlineStr">
        <is>
          <t>https://wol.jw.org/en/wol/d/r1/lp-e/1101990133#h=24
https://wol.jw.org/en/wol/d/r1/lp-e/1995282#h=29</t>
        </is>
      </c>
      <c r="AA965" s="7" t="n">
        <v>0</v>
      </c>
      <c r="AB965" s="7" t="n"/>
      <c r="AC965" s="7" t="n">
        <v>0</v>
      </c>
      <c r="AD965" s="7" t="n"/>
      <c r="AE965" s="7" t="n"/>
      <c r="AF965" s="7" t="n"/>
      <c r="AG965" s="7" t="n"/>
      <c r="AH965" s="7" t="n"/>
      <c r="AI965" s="7" t="n"/>
      <c r="AJ965" s="7" t="n"/>
      <c r="AK965" s="7" t="inlineStr">
        <is>
          <t>how-the-bible-came-to-us #36 (item)</t>
        </is>
      </c>
      <c r="AL965" s="7" t="n"/>
      <c r="AM965" s="7" t="n">
        <v>1551</v>
      </c>
      <c r="AN965" s="10" t="n"/>
      <c r="AO965" s="10" t="n"/>
      <c r="AP965" s="10" t="n"/>
      <c r="AQ965" s="10" t="n"/>
    </row>
    <row r="966">
      <c r="A966" s="7" t="inlineStr">
        <is>
          <t>b7-0146</t>
        </is>
      </c>
      <c r="B966" s="7" t="inlineStr">
        <is>
          <t>Point</t>
        </is>
      </c>
      <c r="C966" s="7" t="n"/>
      <c r="D966" s="7" t="inlineStr">
        <is>
          <t>1551</t>
        </is>
      </c>
      <c r="E966" s="7" t="n"/>
      <c r="F966" s="7" t="inlineStr">
        <is>
          <t>1551 CE</t>
        </is>
      </c>
      <c r="G966" s="7" t="inlineStr">
        <is>
          <t>Exact</t>
        </is>
      </c>
      <c r="H966" s="7" t="n"/>
      <c r="I966" s="7" t="n"/>
      <c r="J966" s="7" t="n"/>
      <c r="K966" s="2" t="inlineStr">
        <is>
          <t>Coverdale appointed bishop of Exeter; flees under Queen Mary (1553)</t>
        </is>
      </c>
      <c r="L966" s="2" t="n"/>
      <c r="M966" s="7" t="inlineStr">
        <is>
          <t>Under Edward VI, Coverdale was appointed bishop of Exeter in 1551; when Catholic Queen Mary came to the throne in 1553, he fled to Denmark and later Switzerland.</t>
        </is>
      </c>
      <c r="N966" s="7" t="n"/>
      <c r="O966" s="12" t="inlineStr">
        <is>
          <t>Bible &amp; church history</t>
        </is>
      </c>
      <c r="P966" s="7" t="inlineStr">
        <is>
          <t>history.reform</t>
        </is>
      </c>
      <c r="Q966" s="7" t="inlineStr">
        <is>
          <t>appointment</t>
        </is>
      </c>
      <c r="R966" s="7" t="inlineStr">
        <is>
          <t>Miles Coverdale; Mary I</t>
        </is>
      </c>
      <c r="S966" s="7" t="n"/>
      <c r="T966" s="7" t="n"/>
      <c r="U966" s="7" t="n"/>
      <c r="V966" s="7" t="n">
        <v>1</v>
      </c>
      <c r="W966" s="7" t="inlineStr">
        <is>
          <t>Coverdale and the First Complete Printed English Bible</t>
        </is>
      </c>
      <c r="X966" s="9" t="inlineStr">
        <is>
          <t>open</t>
        </is>
      </c>
      <c r="Y966" s="7" t="n"/>
      <c r="Z966" s="7" t="inlineStr">
        <is>
          <t>https://wol.jw.org/en/wol/d/r1/lp-e/2012408#h=14</t>
        </is>
      </c>
      <c r="AA966" s="7" t="n">
        <v>0</v>
      </c>
      <c r="AB966" s="7" t="n"/>
      <c r="AC966" s="7" t="n">
        <v>0</v>
      </c>
      <c r="AD966" s="7" t="n"/>
      <c r="AE966" s="7" t="n"/>
      <c r="AF966" s="7" t="n"/>
      <c r="AG966" s="7" t="n"/>
      <c r="AH966" s="7" t="n"/>
      <c r="AI966" s="7" t="n"/>
      <c r="AJ966" s="7" t="n"/>
      <c r="AK966" s="7" t="n"/>
      <c r="AL966" s="7" t="n"/>
      <c r="AM966" s="7" t="n">
        <v>1551.1</v>
      </c>
      <c r="AN966" s="10" t="n"/>
      <c r="AO966" s="10" t="n"/>
      <c r="AP966" s="10" t="n"/>
      <c r="AQ966" s="10" t="n"/>
    </row>
    <row r="967">
      <c r="A967" s="7" t="inlineStr">
        <is>
          <t>b7-0147</t>
        </is>
      </c>
      <c r="B967" s="7" t="inlineStr">
        <is>
          <t>Point</t>
        </is>
      </c>
      <c r="C967" s="7" t="n"/>
      <c r="D967" s="7" t="inlineStr">
        <is>
          <t>1553</t>
        </is>
      </c>
      <c r="E967" s="7" t="inlineStr">
        <is>
          <t>1553</t>
        </is>
      </c>
      <c r="F967" s="7" t="inlineStr">
        <is>
          <t>1553 CE</t>
        </is>
      </c>
      <c r="G967" s="7" t="inlineStr">
        <is>
          <t>Exact</t>
        </is>
      </c>
      <c r="H967" s="7" t="n"/>
      <c r="I967" s="7" t="n"/>
      <c r="J967" s="7" t="n"/>
      <c r="K967" s="2" t="inlineStr">
        <is>
          <t>Stephanus' French Bible — first complete Bible with present verse divisions</t>
        </is>
      </c>
      <c r="L967" s="2" t="n"/>
      <c r="M967" s="7" t="inlineStr">
        <is>
          <t>Verse divisions in the Hebrew Scriptures were first made by the Masoretes, but Stephanus' French Bible of 1553 first showed the present divisions for the complete Bible.</t>
        </is>
      </c>
      <c r="N967" s="7" t="inlineStr">
        <is>
          <t>வசனப் பிரிவுகளை மசோரெட்டுகள் முதலாவதாக எபிரெய வேதாகமத்துக்குச் செய்தனர்; ஆனால், 1553-⁠ல் முதலாவதாக ஸ்டீஃபனஸின் பிரென்ஞ் பைபிளில்தான் தற்போதிருக்கும் பிரிவுகள் முழு பைபிளுக்கும் செய்யப்பட்டன.</t>
        </is>
      </c>
      <c r="O967" s="12" t="inlineStr">
        <is>
          <t>Bible &amp; church history</t>
        </is>
      </c>
      <c r="P967" s="7" t="inlineStr">
        <is>
          <t>history.bible_preservation</t>
        </is>
      </c>
      <c r="Q967" s="7" t="inlineStr">
        <is>
          <t>innovation</t>
        </is>
      </c>
      <c r="R967" s="7" t="inlineStr">
        <is>
          <t>Robert Estienne</t>
        </is>
      </c>
      <c r="S967" s="7" t="n"/>
      <c r="T967" s="7" t="n"/>
      <c r="U967" s="7" t="n"/>
      <c r="V967" s="7" t="n">
        <v>1</v>
      </c>
      <c r="W967" s="7" t="inlineStr">
        <is>
          <t>Study Number 6—The Christian Greek Text of the Holy Scriptures</t>
        </is>
      </c>
      <c r="X967" s="9" t="inlineStr">
        <is>
          <t>open</t>
        </is>
      </c>
      <c r="Y967" s="9" t="inlineStr">
        <is>
          <t>open</t>
        </is>
      </c>
      <c r="Z967" s="7" t="inlineStr">
        <is>
          <t>https://wol.jw.org/en/wol/d/r1/lp-e/1101990133#h=24</t>
        </is>
      </c>
      <c r="AA967" s="7" t="n">
        <v>0</v>
      </c>
      <c r="AB967" s="7" t="n"/>
      <c r="AC967" s="7" t="n">
        <v>0</v>
      </c>
      <c r="AD967" s="7" t="n"/>
      <c r="AE967" s="7" t="n"/>
      <c r="AF967" s="7" t="n"/>
      <c r="AG967" s="7" t="n"/>
      <c r="AH967" s="7" t="n"/>
      <c r="AI967" s="7" t="n"/>
      <c r="AJ967" s="7" t="n"/>
      <c r="AK967" s="7" t="n"/>
      <c r="AL967" s="7" t="n"/>
      <c r="AM967" s="7" t="n">
        <v>1553</v>
      </c>
      <c r="AN967" s="10" t="n"/>
      <c r="AO967" s="10" t="n"/>
      <c r="AP967" s="10" t="n"/>
      <c r="AQ967" s="10" t="n"/>
    </row>
    <row r="968">
      <c r="A968" s="7" t="inlineStr">
        <is>
          <t>b7-0148</t>
        </is>
      </c>
      <c r="B968" s="7" t="inlineStr">
        <is>
          <t>Point</t>
        </is>
      </c>
      <c r="C968" s="7" t="n"/>
      <c r="D968" s="7" t="inlineStr">
        <is>
          <t>1553</t>
        </is>
      </c>
      <c r="E968" s="7" t="n"/>
      <c r="F968" s="7" t="inlineStr">
        <is>
          <t>1553 CE</t>
        </is>
      </c>
      <c r="G968" s="7" t="inlineStr">
        <is>
          <t>Exact</t>
        </is>
      </c>
      <c r="H968" s="7" t="n"/>
      <c r="I968" s="7" t="n"/>
      <c r="J968" s="7" t="n"/>
      <c r="K968" s="2" t="inlineStr">
        <is>
          <t>Michael Servetus, critic of the Trinity, put to death</t>
        </is>
      </c>
      <c r="L968" s="2" t="n"/>
      <c r="M968" s="7" t="inlineStr">
        <is>
          <t>Michael Servetus (1511-53), who wrote that the Trinity is not found in Scripture, was opposed by Calvin and died in 1553.</t>
        </is>
      </c>
      <c r="N968" s="7" t="inlineStr">
        <is>
          <t>சட்டமும் மருத்துவமும் பயின்ற, ஸ்பெயின் நாட்டைச் சேர்ந்த மைக்கேல் சர்வீட்டஸ் (1511-53) தனது 20-ம் வயதில் டெ ட்ரினிடாடிஸ் எர்ரோரிபஸ் (திரித்துவத்தின் பிழைகள்) என்ற நூலை வெளியிட்டார்.</t>
        </is>
      </c>
      <c r="O968" s="12" t="inlineStr">
        <is>
          <t>Bible &amp; church history</t>
        </is>
      </c>
      <c r="P968" s="7" t="inlineStr">
        <is>
          <t>history.persecution</t>
        </is>
      </c>
      <c r="Q968" s="7" t="inlineStr">
        <is>
          <t>death</t>
        </is>
      </c>
      <c r="R968" s="7" t="inlineStr">
        <is>
          <t>Michael Servetus; John Calvin</t>
        </is>
      </c>
      <c r="S968" s="7" t="inlineStr">
        <is>
          <t>Geneva</t>
        </is>
      </c>
      <c r="T968" s="7" t="n"/>
      <c r="U968" s="7" t="n"/>
      <c r="V968" s="7" t="n">
        <v>2</v>
      </c>
      <c r="W968" s="7" t="inlineStr">
        <is>
          <t>The Reformation—The Search Took a New Turn</t>
        </is>
      </c>
      <c r="X968" s="9" t="inlineStr">
        <is>
          <t>open</t>
        </is>
      </c>
      <c r="Y968" s="9" t="inlineStr">
        <is>
          <t>open</t>
        </is>
      </c>
      <c r="Z968" s="7" t="inlineStr">
        <is>
          <t>https://wol.jw.org/en/wol/d/r1/lp-e/1101990045#h=115
https://wol.jw.org/en/wol/d/r1/lp-e/2010647#h=12</t>
        </is>
      </c>
      <c r="AA968" s="7" t="n">
        <v>0</v>
      </c>
      <c r="AB968" s="7" t="n"/>
      <c r="AC968" s="7" t="n">
        <v>0</v>
      </c>
      <c r="AD968" s="7" t="n"/>
      <c r="AE968" s="7" t="n"/>
      <c r="AF968" s="7" t="n"/>
      <c r="AG968" s="7" t="n"/>
      <c r="AH968" s="7" t="n"/>
      <c r="AI968" s="7" t="n"/>
      <c r="AJ968" s="7" t="n"/>
      <c r="AK968" s="7" t="n"/>
      <c r="AL968" s="7" t="n"/>
      <c r="AM968" s="7" t="n">
        <v>1553.1</v>
      </c>
      <c r="AN968" s="10" t="n"/>
      <c r="AO968" s="10" t="n"/>
      <c r="AP968" s="10" t="n"/>
      <c r="AQ968" s="10" t="n"/>
    </row>
    <row r="969">
      <c r="A969" s="7" t="inlineStr">
        <is>
          <t>b7-0149</t>
        </is>
      </c>
      <c r="B969" s="7" t="inlineStr">
        <is>
          <t>Point</t>
        </is>
      </c>
      <c r="C969" s="7" t="n"/>
      <c r="D969" s="7" t="inlineStr">
        <is>
          <t>1557</t>
        </is>
      </c>
      <c r="E969" s="7" t="inlineStr">
        <is>
          <t>1557</t>
        </is>
      </c>
      <c r="F969" s="7" t="inlineStr">
        <is>
          <t>1557 CE</t>
        </is>
      </c>
      <c r="G969" s="7" t="inlineStr">
        <is>
          <t>Exact</t>
        </is>
      </c>
      <c r="H969" s="7" t="n"/>
      <c r="I969" s="7" t="n"/>
      <c r="J969" s="7" t="n"/>
      <c r="K969" s="2" t="inlineStr">
        <is>
          <t>Estienne's two-version Latin Bible uses "Jehova"</t>
        </is>
      </c>
      <c r="L969" s="2" t="n"/>
      <c r="M969" s="7" t="inlineStr">
        <is>
          <t>Estienne's two-version Latin Bible of 1557 used God's name, Jehova, throughout the Hebrew Scriptures and rejected the substitution of Adhonai as Jewish superstition.</t>
        </is>
      </c>
      <c r="N969" s="7" t="inlineStr">
        <is>
          <t>1557-ல் ஏட்டியென் பிரசுரித்த இரு-மொழிபெயர்ப்பு லத்தீன் பைபிளானது, எபிரெய வேதாகமங்கள் முழுவதும் யெஹோவா என்ற கடவுளின் தனிப்பட்ட பெயரைப் பயன்படுத்துவதற்கும் பெயர்பெற்றிருக்கிறது.</t>
        </is>
      </c>
      <c r="O969" s="12" t="inlineStr">
        <is>
          <t>Bible &amp; church history</t>
        </is>
      </c>
      <c r="P969" s="7" t="inlineStr">
        <is>
          <t>history.bible_translation</t>
        </is>
      </c>
      <c r="Q969" s="7" t="inlineStr">
        <is>
          <t>release</t>
        </is>
      </c>
      <c r="R969" s="7" t="inlineStr">
        <is>
          <t>Robert Estienne</t>
        </is>
      </c>
      <c r="S969" s="7" t="n"/>
      <c r="T969" s="7" t="n"/>
      <c r="U969" s="7" t="n"/>
      <c r="V969" s="7" t="n">
        <v>1</v>
      </c>
      <c r="W969" s="7" t="inlineStr">
        <is>
          <t>A Printer Who Left His Mark</t>
        </is>
      </c>
      <c r="X969" s="9" t="inlineStr">
        <is>
          <t>open</t>
        </is>
      </c>
      <c r="Y969" s="9" t="inlineStr">
        <is>
          <t>open</t>
        </is>
      </c>
      <c r="Z969" s="7" t="inlineStr">
        <is>
          <t>https://wol.jw.org/en/wol/d/r1/lp-e/1995282#h=30</t>
        </is>
      </c>
      <c r="AA969" s="7" t="n">
        <v>0</v>
      </c>
      <c r="AB969" s="7" t="n"/>
      <c r="AC969" s="7" t="n">
        <v>0</v>
      </c>
      <c r="AD969" s="7" t="n"/>
      <c r="AE969" s="7" t="n"/>
      <c r="AF969" s="7" t="n"/>
      <c r="AG969" s="7" t="n"/>
      <c r="AH969" s="7" t="n"/>
      <c r="AI969" s="7" t="n"/>
      <c r="AJ969" s="7" t="n"/>
      <c r="AK969" s="7" t="n"/>
      <c r="AL969" s="7" t="n"/>
      <c r="AM969" s="7" t="n">
        <v>1557</v>
      </c>
      <c r="AN969" s="10" t="n"/>
      <c r="AO969" s="10" t="n"/>
      <c r="AP969" s="10" t="n"/>
      <c r="AQ969" s="10" t="n"/>
    </row>
    <row r="970">
      <c r="A970" s="7" t="inlineStr">
        <is>
          <t>b7-0150</t>
        </is>
      </c>
      <c r="B970" s="11" t="inlineStr">
        <is>
          <t>Span</t>
        </is>
      </c>
      <c r="C970" s="7" t="inlineStr">
        <is>
          <t>reign</t>
        </is>
      </c>
      <c r="D970" s="7" t="inlineStr">
        <is>
          <t>1558-1603</t>
        </is>
      </c>
      <c r="E970" s="7" t="inlineStr">
        <is>
          <t>1558-1603</t>
        </is>
      </c>
      <c r="F970" s="7" t="inlineStr">
        <is>
          <t>1558 CE</t>
        </is>
      </c>
      <c r="G970" s="7" t="inlineStr">
        <is>
          <t>Exact</t>
        </is>
      </c>
      <c r="H970" s="7" t="inlineStr">
        <is>
          <t>1603 CE</t>
        </is>
      </c>
      <c r="I970" s="7" t="inlineStr">
        <is>
          <t>Exact</t>
        </is>
      </c>
      <c r="J970" s="7" t="inlineStr">
        <is>
          <t>45 years</t>
        </is>
      </c>
      <c r="K970" s="2" t="inlineStr">
        <is>
          <t>Church of England becomes Protestant in practice under Elizabeth I</t>
        </is>
      </c>
      <c r="L970" s="2" t="n"/>
      <c r="M970" s="7" t="inlineStr">
        <is>
          <t>During the reign of Elizabeth I (1558-1603), the Church of England became Protestant in practice while remaining largely Catholic in structure, prompting Puritan and Separatist dissent.</t>
        </is>
      </c>
      <c r="N970" s="7" t="inlineStr">
        <is>
          <t>முதலாம் எலிசபெத் ராணியின் நீண்ட கால ஆட்சியில் (1558-1603) இங்கிலாந்து திருச்சபை புராட்டஸ்டன்டு கொள்கைகளைக் கடைப்பிடித்தது என்றாலும் கத்தோலிக்க அமைப்பு முறையையே அது பெரும்பாலும் பின்பற்றியது.</t>
        </is>
      </c>
      <c r="O970" s="12" t="inlineStr">
        <is>
          <t>Bible &amp; church history</t>
        </is>
      </c>
      <c r="P970" s="7" t="inlineStr">
        <is>
          <t>history.reform</t>
        </is>
      </c>
      <c r="Q970" s="7" t="inlineStr">
        <is>
          <t>reign</t>
        </is>
      </c>
      <c r="R970" s="7" t="inlineStr">
        <is>
          <t>Elizabeth I</t>
        </is>
      </c>
      <c r="S970" s="7" t="inlineStr">
        <is>
          <t>England</t>
        </is>
      </c>
      <c r="T970" s="7" t="n"/>
      <c r="U970" s="7" t="n"/>
      <c r="V970" s="7" t="n">
        <v>1</v>
      </c>
      <c r="W970" s="7" t="inlineStr">
        <is>
          <t>The Reformation—The Search Took a New Turn</t>
        </is>
      </c>
      <c r="X970" s="9" t="inlineStr">
        <is>
          <t>open</t>
        </is>
      </c>
      <c r="Y970" s="9" t="inlineStr">
        <is>
          <t>open</t>
        </is>
      </c>
      <c r="Z970" s="7" t="inlineStr">
        <is>
          <t>https://wol.jw.org/en/wol/d/r1/lp-e/1101990045#h=59</t>
        </is>
      </c>
      <c r="AA970" s="7" t="n">
        <v>0</v>
      </c>
      <c r="AB970" s="7" t="n"/>
      <c r="AC970" s="7" t="n">
        <v>0</v>
      </c>
      <c r="AD970" s="7" t="n"/>
      <c r="AE970" s="7" t="n"/>
      <c r="AF970" s="7" t="n"/>
      <c r="AG970" s="7" t="n"/>
      <c r="AH970" s="7" t="n"/>
      <c r="AI970" s="7" t="n"/>
      <c r="AJ970" s="7" t="n"/>
      <c r="AK970" s="7" t="n"/>
      <c r="AL970" s="7" t="n"/>
      <c r="AM970" s="7" t="n">
        <v>1558</v>
      </c>
      <c r="AN970" s="10" t="n"/>
      <c r="AO970" s="10" t="n"/>
      <c r="AP970" s="10" t="n"/>
      <c r="AQ970" s="10" t="n"/>
    </row>
    <row r="971">
      <c r="A971" s="7" t="inlineStr">
        <is>
          <t>b7-0151</t>
        </is>
      </c>
      <c r="B971" s="7" t="inlineStr">
        <is>
          <t>Point</t>
        </is>
      </c>
      <c r="C971" s="7" t="n"/>
      <c r="D971" s="7" t="inlineStr">
        <is>
          <t>1559</t>
        </is>
      </c>
      <c r="E971" s="7" t="inlineStr">
        <is>
          <t>1559</t>
        </is>
      </c>
      <c r="F971" s="7" t="inlineStr">
        <is>
          <t>1559 CE</t>
        </is>
      </c>
      <c r="G971" s="7" t="inlineStr">
        <is>
          <t>Exact</t>
        </is>
      </c>
      <c r="H971" s="7" t="n"/>
      <c r="I971" s="7" t="n"/>
      <c r="J971" s="7" t="n"/>
      <c r="K971" s="2" t="inlineStr">
        <is>
          <t>Pope Paul IV's Index forbids vernacular Bibles</t>
        </is>
      </c>
      <c r="L971" s="2" t="n"/>
      <c r="M971" s="7" t="inlineStr">
        <is>
          <t>In 1559 Pope Paul IV published the first index of prohibited books, forbidding possession of Bibles in Dutch, English, French, German, Italian, and Spanish without written permission.</t>
        </is>
      </c>
      <c r="N971" s="7" t="inlineStr">
        <is>
          <t>நான்காம் பவுலின் ‘இன்டெக்ஸ்,’ கார்டினல்களின் அனுமதியின்றி மற்ற மொழி பைபிள்களை அச்சடிப்பதையும் வைத்திருப்பதையும் தடை செய்தது; அதனால், 1559-ல் முதல்முறையாக ரோம பிஷப்பின் அலுவலகம் இதில் தலையிட்டது.”</t>
        </is>
      </c>
      <c r="O971" s="12" t="inlineStr">
        <is>
          <t>Bible &amp; church history</t>
        </is>
      </c>
      <c r="P971" s="7" t="inlineStr">
        <is>
          <t>history.apostasy</t>
        </is>
      </c>
      <c r="Q971" s="7" t="inlineStr">
        <is>
          <t>decree</t>
        </is>
      </c>
      <c r="R971" s="7" t="inlineStr">
        <is>
          <t>Paul IV</t>
        </is>
      </c>
      <c r="S971" s="7" t="n"/>
      <c r="T971" s="7" t="n"/>
      <c r="U971" s="7" t="n"/>
      <c r="V971" s="7" t="n">
        <v>2</v>
      </c>
      <c r="W971" s="7" t="inlineStr">
        <is>
          <t>They Tried to Keep God’s Word From the Masses</t>
        </is>
      </c>
      <c r="X971" s="9" t="inlineStr">
        <is>
          <t>open</t>
        </is>
      </c>
      <c r="Y971" s="7" t="n"/>
      <c r="Z971" s="7" t="inlineStr">
        <is>
          <t>https://wol.jw.org/en/wol/d/r1/lp-e/102011443#h=19
https://wol.jw.org/en/wol/d/r1/lp-e/2013122#h=17</t>
        </is>
      </c>
      <c r="AA971" s="7" t="n">
        <v>0</v>
      </c>
      <c r="AB971" s="7" t="n"/>
      <c r="AC971" s="7" t="n">
        <v>0</v>
      </c>
      <c r="AD971" s="7" t="n"/>
      <c r="AE971" s="7" t="n"/>
      <c r="AF971" s="7" t="n"/>
      <c r="AG971" s="7" t="n"/>
      <c r="AH971" s="7" t="n"/>
      <c r="AI971" s="7" t="n"/>
      <c r="AJ971" s="7" t="n"/>
      <c r="AK971" s="7" t="n"/>
      <c r="AL971" s="7" t="n"/>
      <c r="AM971" s="7" t="n">
        <v>1559</v>
      </c>
      <c r="AN971" s="10" t="n"/>
      <c r="AO971" s="10" t="n"/>
      <c r="AP971" s="10" t="n"/>
      <c r="AQ971" s="10" t="n"/>
    </row>
    <row r="972">
      <c r="A972" s="7" t="inlineStr">
        <is>
          <t>b7-0152</t>
        </is>
      </c>
      <c r="B972" s="7" t="inlineStr">
        <is>
          <t>Point</t>
        </is>
      </c>
      <c r="C972" s="7" t="n"/>
      <c r="D972" s="7" t="inlineStr">
        <is>
          <t>1559, October</t>
        </is>
      </c>
      <c r="E972" s="7" t="inlineStr">
        <is>
          <t>1559</t>
        </is>
      </c>
      <c r="F972" s="7" t="inlineStr">
        <is>
          <t>1559 CE</t>
        </is>
      </c>
      <c r="G972" s="7" t="inlineStr">
        <is>
          <t>Exact</t>
        </is>
      </c>
      <c r="H972" s="7" t="n"/>
      <c r="I972" s="7" t="n"/>
      <c r="J972" s="7" t="n"/>
      <c r="K972" s="2" t="inlineStr">
        <is>
          <t>Auto-da-fé at Valladolid</t>
        </is>
      </c>
      <c r="L972" s="2" t="n"/>
      <c r="M972" s="7" t="inlineStr">
        <is>
          <t>On an October day in 1559, some 200,000 Spanish Catholics watched an auto-da-fé at Valladolid where "heretics" were burned alive or strangled.</t>
        </is>
      </c>
      <c r="N972" s="7" t="inlineStr">
        <is>
          <t>அக்டோபரில் ஒரு நாள், 1559-ல் சுமார் 2,00,000 ஸ்பானிய கத்தோலிக்கர்கள் வட பகுதியிலிருந்த நகரமாகிய வல்லடோலிட்டுக்குத் திரண்டு வந்தனர்.</t>
        </is>
      </c>
      <c r="O972" s="12" t="inlineStr">
        <is>
          <t>Bible &amp; church history</t>
        </is>
      </c>
      <c r="P972" s="7" t="inlineStr">
        <is>
          <t>history.persecution</t>
        </is>
      </c>
      <c r="Q972" s="7" t="inlineStr">
        <is>
          <t>execution</t>
        </is>
      </c>
      <c r="R972" s="7" t="n"/>
      <c r="S972" s="7" t="inlineStr">
        <is>
          <t>Valladolid</t>
        </is>
      </c>
      <c r="T972" s="7" t="n"/>
      <c r="U972" s="7" t="n"/>
      <c r="V972" s="7" t="n">
        <v>1</v>
      </c>
      <c r="W972" s="7" t="inlineStr">
        <is>
          <t>The Spanish Bible’s Battle for Survival</t>
        </is>
      </c>
      <c r="X972" s="9" t="inlineStr">
        <is>
          <t>open</t>
        </is>
      </c>
      <c r="Y972" s="9" t="inlineStr">
        <is>
          <t>open</t>
        </is>
      </c>
      <c r="Z972" s="7" t="inlineStr">
        <is>
          <t>https://wol.jw.org/en/wol/d/r1/lp-e/1992442#h=2</t>
        </is>
      </c>
      <c r="AA972" s="7" t="n">
        <v>0</v>
      </c>
      <c r="AB972" s="7" t="n"/>
      <c r="AC972" s="7" t="n">
        <v>0</v>
      </c>
      <c r="AD972" s="7" t="n"/>
      <c r="AE972" s="7" t="n"/>
      <c r="AF972" s="7" t="n"/>
      <c r="AG972" s="7" t="n"/>
      <c r="AH972" s="7" t="n"/>
      <c r="AI972" s="7" t="n"/>
      <c r="AJ972" s="7" t="n"/>
      <c r="AK972" s="7" t="n"/>
      <c r="AL972" s="7" t="n"/>
      <c r="AM972" s="7" t="n">
        <v>1559.75</v>
      </c>
      <c r="AN972" s="10" t="n"/>
      <c r="AO972" s="10" t="n"/>
      <c r="AP972" s="10" t="n"/>
      <c r="AQ972" s="10" t="n"/>
    </row>
    <row r="973">
      <c r="A973" s="7" t="inlineStr">
        <is>
          <t>b7-0153</t>
        </is>
      </c>
      <c r="B973" s="7" t="inlineStr">
        <is>
          <t>Point</t>
        </is>
      </c>
      <c r="C973" s="7" t="n"/>
      <c r="D973" s="7" t="inlineStr">
        <is>
          <t>1560</t>
        </is>
      </c>
      <c r="E973" s="7" t="n"/>
      <c r="F973" s="7" t="inlineStr">
        <is>
          <t>1560 CE</t>
        </is>
      </c>
      <c r="G973" s="7" t="inlineStr">
        <is>
          <t>Exact</t>
        </is>
      </c>
      <c r="H973" s="7" t="n"/>
      <c r="I973" s="7" t="n"/>
      <c r="J973" s="7" t="n"/>
      <c r="K973" s="2" t="inlineStr">
        <is>
          <t>Geneva Bible — first English Bible with numbered verses</t>
        </is>
      </c>
      <c r="L973" s="2" t="n"/>
      <c r="M973" s="7" t="inlineStr">
        <is>
          <t>In 1560 Protestant refugees in Geneva produced the Geneva Bible, the first English Bible in easy-to-read type with numbered verses. Its notes against the papacy irritated some readers.</t>
        </is>
      </c>
      <c r="N973" s="7" t="n"/>
      <c r="O973" s="12" t="inlineStr">
        <is>
          <t>Bible &amp; church history</t>
        </is>
      </c>
      <c r="P973" s="7" t="inlineStr">
        <is>
          <t>history.bible_translation</t>
        </is>
      </c>
      <c r="Q973" s="7" t="inlineStr">
        <is>
          <t>release</t>
        </is>
      </c>
      <c r="R973" s="7" t="n"/>
      <c r="S973" s="7" t="inlineStr">
        <is>
          <t>Geneva</t>
        </is>
      </c>
      <c r="T973" s="7" t="n"/>
      <c r="U973" s="7" t="n"/>
      <c r="V973" s="7" t="n">
        <v>2</v>
      </c>
      <c r="W973" s="7" t="inlineStr">
        <is>
          <t>The King James Version—How It Became Popular</t>
        </is>
      </c>
      <c r="X973" s="9" t="inlineStr">
        <is>
          <t>open</t>
        </is>
      </c>
      <c r="Y973" s="7" t="n"/>
      <c r="Z973" s="7" t="inlineStr">
        <is>
          <t>https://wol.jw.org/en/wol/d/r1/lp-e/102011446#h=7
https://wol.jw.org/en/wol/d/r1/lp-e/2010647#h=11</t>
        </is>
      </c>
      <c r="AA973" s="7" t="n">
        <v>0</v>
      </c>
      <c r="AB973" s="7" t="n"/>
      <c r="AC973" s="7" t="n">
        <v>0</v>
      </c>
      <c r="AD973" s="7" t="n"/>
      <c r="AE973" s="7" t="n"/>
      <c r="AF973" s="7" t="n"/>
      <c r="AG973" s="7" t="n"/>
      <c r="AH973" s="7" t="n"/>
      <c r="AI973" s="7" t="n"/>
      <c r="AJ973" s="7" t="n"/>
      <c r="AK973" s="7" t="n"/>
      <c r="AL973" s="7" t="n"/>
      <c r="AM973" s="7" t="n">
        <v>1560</v>
      </c>
      <c r="AN973" s="10" t="n"/>
      <c r="AO973" s="10" t="n"/>
      <c r="AP973" s="10" t="n"/>
      <c r="AQ973" s="10" t="n"/>
    </row>
    <row r="974">
      <c r="A974" s="7" t="inlineStr">
        <is>
          <t>b7-0154</t>
        </is>
      </c>
      <c r="B974" s="7" t="inlineStr">
        <is>
          <t>Point</t>
        </is>
      </c>
      <c r="C974" s="7" t="n"/>
      <c r="D974" s="7" t="inlineStr">
        <is>
          <t>1564</t>
        </is>
      </c>
      <c r="E974" s="7" t="inlineStr">
        <is>
          <t>1564</t>
        </is>
      </c>
      <c r="F974" s="7" t="inlineStr">
        <is>
          <t>1564 CE</t>
        </is>
      </c>
      <c r="G974" s="7" t="inlineStr">
        <is>
          <t>Exact</t>
        </is>
      </c>
      <c r="H974" s="7" t="n"/>
      <c r="I974" s="7" t="n"/>
      <c r="J974" s="7" t="n"/>
      <c r="K974" s="2" t="inlineStr">
        <is>
          <t>John Calvin dies in Geneva</t>
        </is>
      </c>
      <c r="L974" s="2" t="n"/>
      <c r="M974" s="7" t="inlineStr">
        <is>
          <t>John Calvin, born 1509, died in Geneva in 1564, after which Calvinism spread to France, the Netherlands, Scotland, and England.</t>
        </is>
      </c>
      <c r="N974" s="7" t="inlineStr">
        <is>
          <t>ஜெனிவாவில் 1564-ல் மரணம் அடையும்வரை கால்வின் தனது சீர்திருத்த கொள்கைகளைப் பரப்பி வந்தார், சீர்திருத்த சர்ச் கடைசியில் உறுதியாக நிறுவப்பட்டது.</t>
        </is>
      </c>
      <c r="O974" s="12" t="inlineStr">
        <is>
          <t>Bible &amp; church history</t>
        </is>
      </c>
      <c r="P974" s="7" t="inlineStr">
        <is>
          <t>history.reform</t>
        </is>
      </c>
      <c r="Q974" s="7" t="inlineStr">
        <is>
          <t>death</t>
        </is>
      </c>
      <c r="R974" s="7" t="inlineStr">
        <is>
          <t>John Calvin</t>
        </is>
      </c>
      <c r="S974" s="7" t="inlineStr">
        <is>
          <t>Geneva</t>
        </is>
      </c>
      <c r="T974" s="7" t="n"/>
      <c r="U974" s="7" t="n"/>
      <c r="V974" s="7" t="n">
        <v>2</v>
      </c>
      <c r="W974" s="7" t="inlineStr">
        <is>
          <t>500 Years of Calvinism—What Has It Achieved?</t>
        </is>
      </c>
      <c r="X974" s="9" t="inlineStr">
        <is>
          <t>open</t>
        </is>
      </c>
      <c r="Y974" s="7" t="n"/>
      <c r="Z974" s="7" t="inlineStr">
        <is>
          <t>https://wol.jw.org/en/wol/d/r1/lp-e/2010647#h=21
https://wol.jw.org/en/wol/d/r1/lp-e/1101990045#h=55</t>
        </is>
      </c>
      <c r="AA974" s="7" t="n">
        <v>0</v>
      </c>
      <c r="AB974" s="7" t="n"/>
      <c r="AC974" s="7" t="n">
        <v>0</v>
      </c>
      <c r="AD974" s="7" t="n"/>
      <c r="AE974" s="7" t="n"/>
      <c r="AF974" s="7" t="n"/>
      <c r="AG974" s="7" t="n"/>
      <c r="AH974" s="7" t="n"/>
      <c r="AI974" s="7" t="n"/>
      <c r="AJ974" s="7" t="n"/>
      <c r="AK974" s="7" t="n"/>
      <c r="AL974" s="7" t="n"/>
      <c r="AM974" s="7" t="n">
        <v>1564</v>
      </c>
      <c r="AN974" s="10" t="n"/>
      <c r="AO974" s="10" t="n"/>
      <c r="AP974" s="10" t="n"/>
      <c r="AQ974" s="10" t="n"/>
    </row>
    <row r="975">
      <c r="A975" s="7" t="inlineStr">
        <is>
          <t>b7-0155</t>
        </is>
      </c>
      <c r="B975" s="7" t="inlineStr">
        <is>
          <t>Point</t>
        </is>
      </c>
      <c r="C975" s="7" t="n"/>
      <c r="D975" s="7" t="inlineStr">
        <is>
          <t>1568</t>
        </is>
      </c>
      <c r="E975" s="7" t="n"/>
      <c r="F975" s="7" t="inlineStr">
        <is>
          <t>1568 CE</t>
        </is>
      </c>
      <c r="G975" s="7" t="inlineStr">
        <is>
          <t>Exact</t>
        </is>
      </c>
      <c r="H975" s="7" t="n"/>
      <c r="I975" s="7" t="n"/>
      <c r="J975" s="7" t="n"/>
      <c r="K975" s="2" t="inlineStr">
        <is>
          <t>Bishops' Bible published</t>
        </is>
      </c>
      <c r="L975" s="2" t="n"/>
      <c r="M975" s="7" t="inlineStr">
        <is>
          <t>Because the Great Bible was not generally accepted and the Geneva Bible had contentious notes, Church of England bishops revised the Great Bible and published the Bishops' Bible in 1568.</t>
        </is>
      </c>
      <c r="N975" s="7" t="n"/>
      <c r="O975" s="12" t="inlineStr">
        <is>
          <t>Bible &amp; church history</t>
        </is>
      </c>
      <c r="P975" s="7" t="inlineStr">
        <is>
          <t>history.bible_translation</t>
        </is>
      </c>
      <c r="Q975" s="7" t="inlineStr">
        <is>
          <t>release</t>
        </is>
      </c>
      <c r="R975" s="7" t="n"/>
      <c r="S975" s="7" t="inlineStr">
        <is>
          <t>England</t>
        </is>
      </c>
      <c r="T975" s="7" t="n"/>
      <c r="U975" s="7" t="n"/>
      <c r="V975" s="7" t="n">
        <v>1</v>
      </c>
      <c r="W975" s="7" t="inlineStr">
        <is>
          <t>The King James Version—How It Became Popular</t>
        </is>
      </c>
      <c r="X975" s="9" t="inlineStr">
        <is>
          <t>open</t>
        </is>
      </c>
      <c r="Y975" s="7" t="n"/>
      <c r="Z975" s="7" t="inlineStr">
        <is>
          <t>https://wol.jw.org/en/wol/d/r1/lp-e/102011446#h=9</t>
        </is>
      </c>
      <c r="AA975" s="7" t="n">
        <v>0</v>
      </c>
      <c r="AB975" s="7" t="n"/>
      <c r="AC975" s="7" t="n">
        <v>0</v>
      </c>
      <c r="AD975" s="7" t="n"/>
      <c r="AE975" s="7" t="n"/>
      <c r="AF975" s="7" t="n"/>
      <c r="AG975" s="7" t="n"/>
      <c r="AH975" s="7" t="n"/>
      <c r="AI975" s="7" t="n"/>
      <c r="AJ975" s="7" t="n"/>
      <c r="AK975" s="7" t="n"/>
      <c r="AL975" s="7" t="n"/>
      <c r="AM975" s="7" t="n">
        <v>1568</v>
      </c>
      <c r="AN975" s="10" t="n"/>
      <c r="AO975" s="10" t="n"/>
      <c r="AP975" s="10" t="n"/>
      <c r="AQ975" s="10" t="n"/>
    </row>
    <row r="976">
      <c r="A976" s="7" t="inlineStr">
        <is>
          <t>b7-0156</t>
        </is>
      </c>
      <c r="B976" s="7" t="inlineStr">
        <is>
          <t>Point</t>
        </is>
      </c>
      <c r="C976" s="7" t="n"/>
      <c r="D976" s="7" t="inlineStr">
        <is>
          <t>1569</t>
        </is>
      </c>
      <c r="E976" s="7" t="inlineStr">
        <is>
          <t>1569</t>
        </is>
      </c>
      <c r="F976" s="7" t="inlineStr">
        <is>
          <t>1569 CE</t>
        </is>
      </c>
      <c r="G976" s="7" t="inlineStr">
        <is>
          <t>Exact</t>
        </is>
      </c>
      <c r="H976" s="7" t="n"/>
      <c r="I976" s="7" t="n"/>
      <c r="J976" s="7" t="n"/>
      <c r="K976" s="2" t="inlineStr">
        <is>
          <t>Casiodoro de Reina's Spanish Bible published</t>
        </is>
      </c>
      <c r="L976" s="2" t="inlineStr">
        <is>
          <t>ரேனாவுடைய மொழிபெயர்ப்பு 1569-⁠ல் வெளியானது; ஸீப்ரீயானோ டே வாலேரா என்பவர் 1602-⁠ல் அதை மறுபதிப்பு செய்தார்</t>
        </is>
      </c>
      <c r="M976" s="7" t="inlineStr">
        <is>
          <t>Former monk Casiodoro de Reina, hunted by the Inquisition, spent years translating the Bible into Spanish while fleeing through several countries; his version was published in 1569.</t>
        </is>
      </c>
      <c r="N976" s="7" t="inlineStr">
        <is>
          <t>ரேனாவுடைய மொழிபெயர்ப்பு 1569-⁠ல் வெளியானது; ஸீப்ரீயானோ டே வாலேரா என்பவர் 1602-⁠ல் அதை மறுபதிப்பு செய்தார்.</t>
        </is>
      </c>
      <c r="O976" s="12" t="inlineStr">
        <is>
          <t>Bible &amp; church history</t>
        </is>
      </c>
      <c r="P976" s="7" t="inlineStr">
        <is>
          <t>history.bible_translation</t>
        </is>
      </c>
      <c r="Q976" s="7" t="inlineStr">
        <is>
          <t>release</t>
        </is>
      </c>
      <c r="R976" s="7" t="inlineStr">
        <is>
          <t>Casiodoro de Reina</t>
        </is>
      </c>
      <c r="S976" s="7" t="n"/>
      <c r="T976" s="7" t="n"/>
      <c r="U976" s="7" t="n"/>
      <c r="V976" s="7" t="n">
        <v>2</v>
      </c>
      <c r="W976" s="7" t="inlineStr">
        <is>
          <t>How the Bible Came to Us</t>
        </is>
      </c>
      <c r="X976" s="9" t="inlineStr">
        <is>
          <t>open</t>
        </is>
      </c>
      <c r="Y976" s="9" t="inlineStr">
        <is>
          <t>open</t>
        </is>
      </c>
      <c r="Z976" s="7" t="inlineStr">
        <is>
          <t>https://wol.jw.org/en/wol/d/r1/lp-e/102007409#h=17
https://wol.jw.org/en/wol/d/r1/lp-e/1992442#h=5</t>
        </is>
      </c>
      <c r="AA976" s="7" t="n">
        <v>0</v>
      </c>
      <c r="AB976" s="7" t="n"/>
      <c r="AC976" s="7" t="n">
        <v>0</v>
      </c>
      <c r="AD976" s="7" t="n"/>
      <c r="AE976" s="7" t="n"/>
      <c r="AF976" s="7" t="n"/>
      <c r="AG976" s="7" t="n"/>
      <c r="AH976" s="7" t="n"/>
      <c r="AI976" s="7" t="n"/>
      <c r="AJ976" s="7" t="n"/>
      <c r="AK976" s="7" t="inlineStr">
        <is>
          <t>how-the-bible-came-to-us #37 (step)</t>
        </is>
      </c>
      <c r="AL976" s="7" t="n"/>
      <c r="AM976" s="7" t="n">
        <v>1569</v>
      </c>
      <c r="AN976" s="10" t="n"/>
      <c r="AO976" s="10" t="n"/>
      <c r="AP976" s="10" t="n"/>
      <c r="AQ976" s="10" t="n"/>
    </row>
    <row r="977">
      <c r="A977" s="7" t="inlineStr">
        <is>
          <t>b7-0157</t>
        </is>
      </c>
      <c r="B977" s="7" t="inlineStr">
        <is>
          <t>Point</t>
        </is>
      </c>
      <c r="C977" s="7" t="n"/>
      <c r="D977" s="7" t="inlineStr">
        <is>
          <t>1576</t>
        </is>
      </c>
      <c r="E977" s="7" t="n"/>
      <c r="F977" s="7" t="inlineStr">
        <is>
          <t>1576 CE</t>
        </is>
      </c>
      <c r="G977" s="7" t="inlineStr">
        <is>
          <t>Exact</t>
        </is>
      </c>
      <c r="H977" s="7" t="n"/>
      <c r="I977" s="7" t="n"/>
      <c r="J977" s="7" t="n"/>
      <c r="K977" s="2" t="inlineStr">
        <is>
          <t>Geneva Bible printed in England</t>
        </is>
      </c>
      <c r="L977" s="2" t="n"/>
      <c r="M977" s="7" t="inlineStr">
        <is>
          <t>After being imported from the Continent, the Geneva Bible was printed in England in 1576.</t>
        </is>
      </c>
      <c r="N977" s="7" t="n"/>
      <c r="O977" s="12" t="inlineStr">
        <is>
          <t>Bible &amp; church history</t>
        </is>
      </c>
      <c r="P977" s="7" t="inlineStr">
        <is>
          <t>history.bible_translation</t>
        </is>
      </c>
      <c r="Q977" s="7" t="inlineStr">
        <is>
          <t>printing</t>
        </is>
      </c>
      <c r="R977" s="7" t="n"/>
      <c r="S977" s="7" t="inlineStr">
        <is>
          <t>England</t>
        </is>
      </c>
      <c r="T977" s="7" t="n"/>
      <c r="U977" s="7" t="n"/>
      <c r="V977" s="7" t="n">
        <v>1</v>
      </c>
      <c r="W977" s="7" t="inlineStr">
        <is>
          <t>The King James Version—How It Became Popular</t>
        </is>
      </c>
      <c r="X977" s="9" t="inlineStr">
        <is>
          <t>open</t>
        </is>
      </c>
      <c r="Y977" s="7" t="n"/>
      <c r="Z977" s="7" t="inlineStr">
        <is>
          <t>https://wol.jw.org/en/wol/d/r1/lp-e/102011446#h=7</t>
        </is>
      </c>
      <c r="AA977" s="7" t="n">
        <v>0</v>
      </c>
      <c r="AB977" s="7" t="n"/>
      <c r="AC977" s="7" t="n">
        <v>0</v>
      </c>
      <c r="AD977" s="7" t="n"/>
      <c r="AE977" s="7" t="n"/>
      <c r="AF977" s="7" t="n"/>
      <c r="AG977" s="7" t="n"/>
      <c r="AH977" s="7" t="n"/>
      <c r="AI977" s="7" t="n"/>
      <c r="AJ977" s="7" t="n"/>
      <c r="AK977" s="7" t="n"/>
      <c r="AL977" s="7" t="n"/>
      <c r="AM977" s="7" t="n">
        <v>1576</v>
      </c>
      <c r="AN977" s="10" t="n"/>
      <c r="AO977" s="10" t="n"/>
      <c r="AP977" s="10" t="n"/>
      <c r="AQ977" s="10" t="n"/>
    </row>
    <row r="978">
      <c r="A978" s="7" t="inlineStr">
        <is>
          <t>b7-0158</t>
        </is>
      </c>
      <c r="B978" s="7" t="inlineStr">
        <is>
          <t>Point</t>
        </is>
      </c>
      <c r="C978" s="7" t="n"/>
      <c r="D978" s="7" t="inlineStr">
        <is>
          <t>1582</t>
        </is>
      </c>
      <c r="E978" s="7" t="inlineStr">
        <is>
          <t>1582-1610</t>
        </is>
      </c>
      <c r="F978" s="7" t="inlineStr">
        <is>
          <t>1582 CE</t>
        </is>
      </c>
      <c r="G978" s="7" t="inlineStr">
        <is>
          <t>Exact</t>
        </is>
      </c>
      <c r="H978" s="7" t="n"/>
      <c r="I978" s="7" t="n"/>
      <c r="J978" s="7" t="n"/>
      <c r="K978" s="2" t="inlineStr">
        <is>
          <t>Catholic Rheims "New Testament" published</t>
        </is>
      </c>
      <c r="L978" s="2" t="inlineStr">
        <is>
          <t>ரீம்ஸ்-டூவே* 1582-1610 வல்கேட் கர்த்தர் (அதோனாய், வல்கேட் இருமுறை)</t>
        </is>
      </c>
      <c r="M978" s="7" t="inlineStr">
        <is>
          <t>The Roman Catholic Rheims New Testament of 1582 (part of the Rheims-Douay version, 1582-1610, based on the Vulgate) was later consulted by the King James translators.</t>
        </is>
      </c>
      <c r="N978" s="7" t="inlineStr">
        <is>
          <t>ரீம்ஸ்-டூவே* 1582-1610 வல்கேட் கர்த்தர் (அதோனாய், வல்கேட் இருமுறை)</t>
        </is>
      </c>
      <c r="O978" s="12" t="inlineStr">
        <is>
          <t>Bible &amp; church history</t>
        </is>
      </c>
      <c r="P978" s="7" t="inlineStr">
        <is>
          <t>history.bible_translation</t>
        </is>
      </c>
      <c r="Q978" s="7" t="inlineStr">
        <is>
          <t>release</t>
        </is>
      </c>
      <c r="R978" s="7" t="n"/>
      <c r="S978" s="7" t="n"/>
      <c r="T978" s="7" t="n"/>
      <c r="U978" s="7" t="n"/>
      <c r="V978" s="7" t="n">
        <v>2</v>
      </c>
      <c r="W978" s="7" t="inlineStr">
        <is>
          <t>The King James Version—How It Became Popular</t>
        </is>
      </c>
      <c r="X978" s="9" t="inlineStr">
        <is>
          <t>open</t>
        </is>
      </c>
      <c r="Y978" s="7" t="n"/>
      <c r="Z978" s="7" t="inlineStr">
        <is>
          <t>https://wol.jw.org/en/wol/d/r1/lp-e/102011446#h=11
https://wol.jw.org/en/wol/d/r1/lp-e/1101990134#h=85</t>
        </is>
      </c>
      <c r="AA978" s="7" t="n">
        <v>0</v>
      </c>
      <c r="AB978" s="7" t="n"/>
      <c r="AC978" s="7" t="n">
        <v>0</v>
      </c>
      <c r="AD978" s="7" t="n"/>
      <c r="AE978" s="7" t="n"/>
      <c r="AF978" s="7" t="n"/>
      <c r="AG978" s="7" t="n"/>
      <c r="AH978" s="7" t="n"/>
      <c r="AI978" s="7" t="n"/>
      <c r="AJ978" s="7" t="n"/>
      <c r="AK978" s="7" t="n"/>
      <c r="AL978" s="7" t="n"/>
      <c r="AM978" s="7" t="n">
        <v>1582</v>
      </c>
      <c r="AN978" s="10" t="n"/>
      <c r="AO978" s="10" t="n"/>
      <c r="AP978" s="10" t="n"/>
      <c r="AQ978" s="10" t="n"/>
    </row>
    <row r="979">
      <c r="A979" s="7" t="inlineStr">
        <is>
          <t>b7-0159</t>
        </is>
      </c>
      <c r="B979" s="7" t="inlineStr">
        <is>
          <t>Point</t>
        </is>
      </c>
      <c r="C979" s="7" t="n"/>
      <c r="D979" s="7" t="inlineStr">
        <is>
          <t>1592</t>
        </is>
      </c>
      <c r="E979" s="7" t="n"/>
      <c r="F979" s="7" t="inlineStr">
        <is>
          <t>1592 CE</t>
        </is>
      </c>
      <c r="G979" s="7" t="inlineStr">
        <is>
          <t>Exact</t>
        </is>
      </c>
      <c r="H979" s="7" t="n"/>
      <c r="I979" s="7" t="n"/>
      <c r="J979" s="7" t="n"/>
      <c r="K979" s="2" t="inlineStr">
        <is>
          <t>Sixtine Clementine Vulgate becomes Catholic standard</t>
        </is>
      </c>
      <c r="L979" s="2" t="n"/>
      <c r="M979" s="7" t="inlineStr">
        <is>
          <t>A revised Vulgate published in 1592 under Pope Clement VIII, the Sixtine Clementine edition, became the Catholic Church's standard edition and the basis of Catholic vernacular translations.</t>
        </is>
      </c>
      <c r="N979" s="7" t="n"/>
      <c r="O979" s="12" t="inlineStr">
        <is>
          <t>Bible &amp; church history</t>
        </is>
      </c>
      <c r="P979" s="7" t="inlineStr">
        <is>
          <t>history.bible_translation</t>
        </is>
      </c>
      <c r="Q979" s="7" t="inlineStr">
        <is>
          <t>release</t>
        </is>
      </c>
      <c r="R979" s="7" t="inlineStr">
        <is>
          <t>Clement VIII</t>
        </is>
      </c>
      <c r="S979" s="7" t="n"/>
      <c r="T979" s="7" t="n"/>
      <c r="U979" s="7" t="n"/>
      <c r="V979" s="7" t="n">
        <v>2</v>
      </c>
      <c r="W979" s="7" t="inlineStr">
        <is>
          <t>Even in a Dead Language, the Bible Is Alive</t>
        </is>
      </c>
      <c r="X979" s="9" t="inlineStr">
        <is>
          <t>open</t>
        </is>
      </c>
      <c r="Y979" s="7" t="n"/>
      <c r="Z979" s="7" t="inlineStr">
        <is>
          <t>https://wol.jw.org/en/wol/d/r1/lp-e/2009251#h=13
https://wol.jw.org/en/wol/d/r1/lp-e/1200004554#h=18</t>
        </is>
      </c>
      <c r="AA979" s="7" t="n">
        <v>0</v>
      </c>
      <c r="AB979" s="7" t="n"/>
      <c r="AC979" s="7" t="n">
        <v>0</v>
      </c>
      <c r="AD979" s="7" t="n"/>
      <c r="AE979" s="7" t="n"/>
      <c r="AF979" s="7" t="n"/>
      <c r="AG979" s="7" t="n"/>
      <c r="AH979" s="7" t="n"/>
      <c r="AI979" s="7" t="n"/>
      <c r="AJ979" s="7" t="n"/>
      <c r="AK979" s="7" t="n"/>
      <c r="AL979" s="7" t="n"/>
      <c r="AM979" s="7" t="n">
        <v>1592</v>
      </c>
      <c r="AN979" s="10" t="n"/>
      <c r="AO979" s="10" t="n"/>
      <c r="AP979" s="10" t="n"/>
      <c r="AQ979" s="10" t="n"/>
    </row>
    <row r="980">
      <c r="A980" s="7" t="inlineStr">
        <is>
          <t>b7-0160</t>
        </is>
      </c>
      <c r="B980" s="7" t="inlineStr">
        <is>
          <t>Point</t>
        </is>
      </c>
      <c r="C980" s="7" t="n"/>
      <c r="D980" s="7" t="inlineStr">
        <is>
          <t>1602</t>
        </is>
      </c>
      <c r="E980" s="7" t="inlineStr">
        <is>
          <t>பொ.ச. 1602</t>
        </is>
      </c>
      <c r="F980" s="7" t="inlineStr">
        <is>
          <t>1602 CE</t>
        </is>
      </c>
      <c r="G980" s="7" t="inlineStr">
        <is>
          <t>Exact</t>
        </is>
      </c>
      <c r="H980" s="7" t="n"/>
      <c r="I980" s="7" t="n"/>
      <c r="J980" s="7" t="n"/>
      <c r="K980" s="2" t="inlineStr">
        <is>
          <t>Cipriano de Valera revises Reina's Spanish Bible</t>
        </is>
      </c>
      <c r="L980" s="2" t="inlineStr">
        <is>
          <t>இந்த மொழிபெயர்ப்பு பொ.ச. 1602-ல் அம்ஸ்டர்டாமில் அச்சுசெய்யப்பட்டது, ஒரு சில பிரதிகள் ஸ்பெய்னுக்கு எடுத்துச்செல்லப்பட்டது</t>
        </is>
      </c>
      <c r="M980" s="7" t="inlineStr">
        <is>
          <t>Cipriano de Valera, another ex-monk, revised Reina's translation; printed in Amsterdam in 1602, the Reina-Valera Bible uses "Jehová" and remains widely used.</t>
        </is>
      </c>
      <c r="N980" s="7" t="inlineStr">
        <is>
          <t>இந்த மொழிபெயர்ப்பு பொ.ச. 1602-ல் அம்ஸ்டர்டாமில் அச்சுசெய்யப்பட்டது, ஒரு சில பிரதிகள் ஸ்பெய்னுக்கு எடுத்துச்செல்லப்பட்டது.</t>
        </is>
      </c>
      <c r="O980" s="12" t="inlineStr">
        <is>
          <t>Bible &amp; church history</t>
        </is>
      </c>
      <c r="P980" s="7" t="inlineStr">
        <is>
          <t>history.bible_translation</t>
        </is>
      </c>
      <c r="Q980" s="7" t="inlineStr">
        <is>
          <t>revision</t>
        </is>
      </c>
      <c r="R980" s="7" t="inlineStr">
        <is>
          <t>Cipriano de Valera</t>
        </is>
      </c>
      <c r="S980" s="7" t="inlineStr">
        <is>
          <t>Amsterdam</t>
        </is>
      </c>
      <c r="T980" s="7" t="n"/>
      <c r="U980" s="7" t="n"/>
      <c r="V980" s="7" t="n">
        <v>3</v>
      </c>
      <c r="W980" s="7" t="inlineStr">
        <is>
          <t>The Spanish Bible’s Battle for Survival</t>
        </is>
      </c>
      <c r="X980" s="9" t="inlineStr">
        <is>
          <t>open</t>
        </is>
      </c>
      <c r="Y980" s="9" t="inlineStr">
        <is>
          <t>open</t>
        </is>
      </c>
      <c r="Z980" s="7" t="inlineStr">
        <is>
          <t>https://wol.jw.org/en/wol/d/r1/lp-e/1992442#h=22
https://wol.jw.org/en/wol/d/r1/lp-e/102007409#h=17
https://wol.jw.org/en/wol/d/r1/lp-e/1101990134#h=99</t>
        </is>
      </c>
      <c r="AA980" s="7" t="n">
        <v>0</v>
      </c>
      <c r="AB980" s="7" t="n"/>
      <c r="AC980" s="7" t="n">
        <v>0</v>
      </c>
      <c r="AD980" s="7" t="n"/>
      <c r="AE980" s="7" t="n"/>
      <c r="AF980" s="7" t="n"/>
      <c r="AG980" s="7" t="n"/>
      <c r="AH980" s="7" t="n"/>
      <c r="AI980" s="7" t="n"/>
      <c r="AJ980" s="7" t="n"/>
      <c r="AK980" s="7" t="n"/>
      <c r="AL980" s="7" t="n"/>
      <c r="AM980" s="7" t="n">
        <v>1602</v>
      </c>
      <c r="AN980" s="10" t="n"/>
      <c r="AO980" s="10" t="n"/>
      <c r="AP980" s="10" t="n"/>
      <c r="AQ980" s="10" t="n"/>
    </row>
    <row r="981">
      <c r="A981" s="7" t="inlineStr">
        <is>
          <t>b7-0161</t>
        </is>
      </c>
      <c r="B981" s="7" t="inlineStr">
        <is>
          <t>Point</t>
        </is>
      </c>
      <c r="C981" s="7" t="n"/>
      <c r="D981" s="7" t="inlineStr">
        <is>
          <t>1603</t>
        </is>
      </c>
      <c r="E981" s="7" t="n"/>
      <c r="F981" s="7" t="inlineStr">
        <is>
          <t>1603 CE</t>
        </is>
      </c>
      <c r="G981" s="7" t="inlineStr">
        <is>
          <t>Exact</t>
        </is>
      </c>
      <c r="H981" s="7" t="n"/>
      <c r="I981" s="7" t="n"/>
      <c r="J981" s="7" t="n"/>
      <c r="K981" s="2" t="inlineStr">
        <is>
          <t>James I ascends the English throne and endorses a new translation</t>
        </is>
      </c>
      <c r="L981" s="2" t="n"/>
      <c r="M981" s="7" t="inlineStr">
        <is>
          <t>After ascending the English throne in 1603, King James I endorsed a fresh Bible translation without offensive notes; 47 scholars in six groups basically revised the Bishops' Bible.</t>
        </is>
      </c>
      <c r="N981" s="7" t="n"/>
      <c r="O981" s="12" t="inlineStr">
        <is>
          <t>Bible &amp; church history</t>
        </is>
      </c>
      <c r="P981" s="7" t="inlineStr">
        <is>
          <t>history.bible_translation</t>
        </is>
      </c>
      <c r="Q981" s="7" t="inlineStr">
        <is>
          <t>commission</t>
        </is>
      </c>
      <c r="R981" s="7" t="inlineStr">
        <is>
          <t>James I</t>
        </is>
      </c>
      <c r="S981" s="7" t="n"/>
      <c r="T981" s="7" t="n"/>
      <c r="U981" s="7" t="n"/>
      <c r="V981" s="7" t="n">
        <v>1</v>
      </c>
      <c r="W981" s="7" t="inlineStr">
        <is>
          <t>The King James Version—How It Became Popular</t>
        </is>
      </c>
      <c r="X981" s="9" t="inlineStr">
        <is>
          <t>open</t>
        </is>
      </c>
      <c r="Y981" s="7" t="n"/>
      <c r="Z981" s="7" t="inlineStr">
        <is>
          <t>https://wol.jw.org/en/wol/d/r1/lp-e/102011446#h=10</t>
        </is>
      </c>
      <c r="AA981" s="7" t="n">
        <v>0</v>
      </c>
      <c r="AB981" s="7" t="n"/>
      <c r="AC981" s="7" t="n">
        <v>0</v>
      </c>
      <c r="AD981" s="7" t="n"/>
      <c r="AE981" s="7" t="n"/>
      <c r="AF981" s="7" t="n"/>
      <c r="AG981" s="7" t="n"/>
      <c r="AH981" s="7" t="n"/>
      <c r="AI981" s="7" t="n"/>
      <c r="AJ981" s="7" t="n"/>
      <c r="AK981" s="7" t="n"/>
      <c r="AL981" s="7" t="n"/>
      <c r="AM981" s="7" t="n">
        <v>1603</v>
      </c>
      <c r="AN981" s="10" t="n"/>
      <c r="AO981" s="10" t="n"/>
      <c r="AP981" s="10" t="n"/>
      <c r="AQ981" s="10" t="n"/>
    </row>
    <row r="982">
      <c r="A982" s="7" t="inlineStr">
        <is>
          <t>b7-0162</t>
        </is>
      </c>
      <c r="B982" s="7" t="inlineStr">
        <is>
          <t>Point</t>
        </is>
      </c>
      <c r="C982" s="7" t="n"/>
      <c r="D982" s="7" t="inlineStr">
        <is>
          <t>1607</t>
        </is>
      </c>
      <c r="E982" s="7" t="inlineStr">
        <is>
          <t>1607</t>
        </is>
      </c>
      <c r="F982" s="7" t="inlineStr">
        <is>
          <t>1607 CE</t>
        </is>
      </c>
      <c r="G982" s="7" t="inlineStr">
        <is>
          <t>Exact</t>
        </is>
      </c>
      <c r="H982" s="7" t="n"/>
      <c r="I982" s="7" t="n"/>
      <c r="J982" s="7" t="n"/>
      <c r="K982" s="2" t="inlineStr">
        <is>
          <t>Diodati Italian Bible published</t>
        </is>
      </c>
      <c r="L982" s="2" t="inlineStr">
        <is>
          <t>டயோடேட்டி 1607, 1641 M சிக்னோர் கிரேக்கு</t>
        </is>
      </c>
      <c r="M982" s="7" t="inlineStr">
        <is>
          <t>Diodati's Italian Bible (1607, revised 1641), translated from the Greek, appears in the si chart of leading translations; it renders the divine name "Signore."</t>
        </is>
      </c>
      <c r="N982" s="7" t="inlineStr">
        <is>
          <t>டயோடேட்டி 1607, 1641 M சிக்னோர் கிரேக்கு</t>
        </is>
      </c>
      <c r="O982" s="12" t="inlineStr">
        <is>
          <t>Bible &amp; church history</t>
        </is>
      </c>
      <c r="P982" s="7" t="inlineStr">
        <is>
          <t>history.bible_translation</t>
        </is>
      </c>
      <c r="Q982" s="7" t="inlineStr">
        <is>
          <t>release</t>
        </is>
      </c>
      <c r="R982" s="7" t="n"/>
      <c r="S982" s="7" t="n"/>
      <c r="T982" s="7" t="n"/>
      <c r="U982" s="7" t="n"/>
      <c r="V982" s="7" t="n">
        <v>1</v>
      </c>
      <c r="W982" s="7" t="inlineStr">
        <is>
          <t>Study Number 7—The Bible in Modern Times</t>
        </is>
      </c>
      <c r="X982" s="9" t="inlineStr">
        <is>
          <t>open</t>
        </is>
      </c>
      <c r="Y982" s="9" t="inlineStr">
        <is>
          <t>open</t>
        </is>
      </c>
      <c r="Z982" s="7" t="inlineStr">
        <is>
          <t>https://wol.jw.org/en/wol/d/r1/lp-e/1101990134#h=138</t>
        </is>
      </c>
      <c r="AA982" s="7" t="n">
        <v>0</v>
      </c>
      <c r="AB982" s="7" t="n"/>
      <c r="AC982" s="7" t="n">
        <v>0</v>
      </c>
      <c r="AD982" s="7" t="n"/>
      <c r="AE982" s="7" t="n"/>
      <c r="AF982" s="7" t="n"/>
      <c r="AG982" s="7" t="n"/>
      <c r="AH982" s="7" t="n"/>
      <c r="AI982" s="7" t="n"/>
      <c r="AJ982" s="7" t="n"/>
      <c r="AK982" s="7" t="n"/>
      <c r="AL982" s="7" t="n"/>
      <c r="AM982" s="7" t="n">
        <v>1607</v>
      </c>
      <c r="AN982" s="10" t="n"/>
      <c r="AO982" s="10" t="n"/>
      <c r="AP982" s="10" t="n"/>
      <c r="AQ982" s="10" t="n"/>
    </row>
    <row r="983">
      <c r="A983" s="7" t="inlineStr">
        <is>
          <t>b7-0163</t>
        </is>
      </c>
      <c r="B983" s="7" t="inlineStr">
        <is>
          <t>Point</t>
        </is>
      </c>
      <c r="C983" s="7" t="n"/>
      <c r="D983" s="7" t="inlineStr">
        <is>
          <t>1611, May</t>
        </is>
      </c>
      <c r="E983" s="7" t="inlineStr">
        <is>
          <t>1611</t>
        </is>
      </c>
      <c r="F983" s="7" t="inlineStr">
        <is>
          <t>1611 CE</t>
        </is>
      </c>
      <c r="G983" s="7" t="inlineStr">
        <is>
          <t>Exact</t>
        </is>
      </c>
      <c r="H983" s="7" t="n"/>
      <c r="I983" s="7" t="n"/>
      <c r="J983" s="7" t="n"/>
      <c r="K983" s="2" t="inlineStr">
        <is>
          <t>King James Version published</t>
        </is>
      </c>
      <c r="L983" s="2" t="inlineStr">
        <is>
          <t>கிங் ஜேம்ஸ் பைபிள் 1611</t>
        </is>
      </c>
      <c r="M983" s="7" t="inlineStr">
        <is>
          <t>The King James Version was published in May 1611, based on the Textus Receptus and drawing heavily on Tyndale; as much as 90 percent of Tyndale's translation was carried into it. It uses "LORD" for the divine name except in a few places.</t>
        </is>
      </c>
      <c r="N983" s="7" t="inlineStr">
        <is>
          <t>(த கேம்பிரிட்ஜ் ஹிஸ்டரி ஆஃப் த பைபிள்) டின்டேலின் மொழிபெயர்ப்பில் 90 சதவீதம் 1611-ன் கிங் ஜேம்ஸ் வர்ஷனில் நேரடியாக பார்த்து எழுதப்பட்டது.</t>
        </is>
      </c>
      <c r="O983" s="12" t="inlineStr">
        <is>
          <t>Bible &amp; church history</t>
        </is>
      </c>
      <c r="P983" s="7" t="inlineStr">
        <is>
          <t>history.bible_translation</t>
        </is>
      </c>
      <c r="Q983" s="7" t="inlineStr">
        <is>
          <t>release</t>
        </is>
      </c>
      <c r="R983" s="7" t="inlineStr">
        <is>
          <t>James I</t>
        </is>
      </c>
      <c r="S983" s="7" t="inlineStr">
        <is>
          <t>England</t>
        </is>
      </c>
      <c r="T983" s="7" t="n"/>
      <c r="U983" s="7" t="n"/>
      <c r="V983" s="7" t="n">
        <v>5</v>
      </c>
      <c r="W983" s="7" t="inlineStr">
        <is>
          <t>The King James Version—How It Became Popular</t>
        </is>
      </c>
      <c r="X983" s="9" t="inlineStr">
        <is>
          <t>open</t>
        </is>
      </c>
      <c r="Y983" s="7" t="n"/>
      <c r="Z983" s="7" t="inlineStr">
        <is>
          <t>https://wol.jw.org/en/wol/d/r1/lp-e/102011446#h=3
https://wol.jw.org/en/wol/d/r1/lp-e/1997685#h=31
https://wol.jw.org/en/wol/d/r1/lp-e/1997685#h=52
https://wol.jw.org/en/wol/d/r1/lp-e/1200002893#h=13
https://wol.jw.org/en/wol/d/r1/lp-e/1101990134#h=86</t>
        </is>
      </c>
      <c r="AA983" s="7" t="n">
        <v>0</v>
      </c>
      <c r="AB983" s="7" t="n"/>
      <c r="AC983" s="7" t="n">
        <v>0</v>
      </c>
      <c r="AD983" s="7" t="n"/>
      <c r="AE983" s="7" t="n"/>
      <c r="AF983" s="7" t="n"/>
      <c r="AG983" s="7" t="n"/>
      <c r="AH983" s="7" t="n"/>
      <c r="AI983" s="7" t="n"/>
      <c r="AJ983" s="7" t="n"/>
      <c r="AK983" s="7" t="inlineStr">
        <is>
          <t>how-the-bible-came-to-us #38 (step)</t>
        </is>
      </c>
      <c r="AL983" s="7" t="n"/>
      <c r="AM983" s="7" t="n">
        <v>1611.3333</v>
      </c>
      <c r="AN983" s="10" t="n"/>
      <c r="AO983" s="10" t="n"/>
      <c r="AP983" s="10" t="n"/>
      <c r="AQ983" s="10" t="n"/>
    </row>
    <row r="984">
      <c r="A984" s="7" t="inlineStr">
        <is>
          <t>b7-0164</t>
        </is>
      </c>
      <c r="B984" s="11" t="inlineStr">
        <is>
          <t>Span</t>
        </is>
      </c>
      <c r="C984" s="7" t="inlineStr">
        <is>
          <t>war</t>
        </is>
      </c>
      <c r="D984" s="7" t="inlineStr">
        <is>
          <t>1618-1648</t>
        </is>
      </c>
      <c r="E984" s="7" t="n"/>
      <c r="F984" s="7" t="inlineStr">
        <is>
          <t>1618 CE</t>
        </is>
      </c>
      <c r="G984" s="7" t="inlineStr">
        <is>
          <t>Exact</t>
        </is>
      </c>
      <c r="H984" s="7" t="inlineStr">
        <is>
          <t>1648 CE</t>
        </is>
      </c>
      <c r="I984" s="7" t="inlineStr">
        <is>
          <t>Exact</t>
        </is>
      </c>
      <c r="J984" s="7" t="inlineStr">
        <is>
          <t>30 years</t>
        </is>
      </c>
      <c r="K984" s="2" t="inlineStr">
        <is>
          <t>Thirty Years' War between Catholic and Protestant states</t>
        </is>
      </c>
      <c r="L984" s="2" t="inlineStr">
        <is>
          <t>அத்துடன் 1617-18-⁠ல் பொஹிமியாவிலுள்ள (செக் குடியரசு) இரண்டு லூத்தரன் சர்ச்சுகள் பலவந்தமாக மூடப்பட்டன</t>
        </is>
      </c>
      <c r="M984" s="7" t="inlineStr">
        <is>
          <t>Religious hostility between the Catholic League and Protestant Union erupted after Lutheran churches in Bohemia were closed in 1617-18 and Protestants threw Catholic officials from a Prague window, starting a 30-year war in which professed followers of Christ fought one another.</t>
        </is>
      </c>
      <c r="N984" s="7" t="inlineStr">
        <is>
          <t>அத்துடன் 1617-18-⁠ல் பொஹிமியாவிலுள்ள (செக் குடியரசு) இரண்டு லூத்தரன் சர்ச்சுகள் பலவந்தமாக மூடப்பட்டன.</t>
        </is>
      </c>
      <c r="O984" s="12" t="inlineStr">
        <is>
          <t>Bible &amp; church history</t>
        </is>
      </c>
      <c r="P984" s="7" t="inlineStr">
        <is>
          <t>history.apostasy</t>
        </is>
      </c>
      <c r="Q984" s="7" t="inlineStr">
        <is>
          <t>war</t>
        </is>
      </c>
      <c r="R984" s="7" t="n"/>
      <c r="S984" s="7" t="inlineStr">
        <is>
          <t>Bohemia; Prague</t>
        </is>
      </c>
      <c r="T984" s="7" t="n"/>
      <c r="U984" s="7" t="n"/>
      <c r="V984" s="7" t="n">
        <v>2</v>
      </c>
      <c r="W984" s="7" t="inlineStr">
        <is>
          <t>The Peace of Westphalia—A Turning Point in Europe</t>
        </is>
      </c>
      <c r="X984" s="9" t="inlineStr">
        <is>
          <t>open</t>
        </is>
      </c>
      <c r="Y984" s="9" t="inlineStr">
        <is>
          <t>open</t>
        </is>
      </c>
      <c r="Z984" s="7" t="inlineStr">
        <is>
          <t>https://wol.jw.org/en/wol/d/r1/lp-e/2004205#h=9
https://wol.jw.org/en/wol/d/r1/lp-e/2004205#h=7</t>
        </is>
      </c>
      <c r="AA984" s="7" t="n">
        <v>0</v>
      </c>
      <c r="AB984" s="7" t="n"/>
      <c r="AC984" s="7" t="n">
        <v>0</v>
      </c>
      <c r="AD984" s="7" t="n"/>
      <c r="AE984" s="7" t="n"/>
      <c r="AF984" s="7" t="n"/>
      <c r="AG984" s="7" t="n"/>
      <c r="AH984" s="7" t="n"/>
      <c r="AI984" s="7" t="n"/>
      <c r="AJ984" s="7" t="n"/>
      <c r="AK984" s="7" t="n"/>
      <c r="AL984" s="7" t="n"/>
      <c r="AM984" s="7" t="n">
        <v>1618</v>
      </c>
      <c r="AN984" s="10" t="n"/>
      <c r="AO984" s="10" t="n"/>
      <c r="AP984" s="10" t="n"/>
      <c r="AQ984" s="10" t="n"/>
    </row>
    <row r="985">
      <c r="A985" s="7" t="inlineStr">
        <is>
          <t>b7-0165</t>
        </is>
      </c>
      <c r="B985" s="7" t="inlineStr">
        <is>
          <t>Point</t>
        </is>
      </c>
      <c r="C985" s="7" t="n"/>
      <c r="D985" s="7" t="inlineStr">
        <is>
          <t>1628</t>
        </is>
      </c>
      <c r="E985" s="7" t="inlineStr">
        <is>
          <t>1628</t>
        </is>
      </c>
      <c r="F985" s="7" t="inlineStr">
        <is>
          <t>1628 CE</t>
        </is>
      </c>
      <c r="G985" s="7" t="inlineStr">
        <is>
          <t>Exact</t>
        </is>
      </c>
      <c r="H985" s="7" t="n"/>
      <c r="I985" s="7" t="n"/>
      <c r="J985" s="7" t="n"/>
      <c r="K985" s="2" t="inlineStr">
        <is>
          <t>João Ferreira de Almeida, Portuguese Bible translator, born</t>
        </is>
      </c>
      <c r="L985" s="2" t="inlineStr">
        <is>
          <t>ஆல்மேடா, 1628-⁠ல் டாரி டி டாவாரஸ் என்ற கிராமத்தில் பிறந்தார்; இது வடக்கு போர்ச்சுகலைச் சேர்ந்த ஒரு கிராமமாகும்</t>
        </is>
      </c>
      <c r="M985" s="7" t="inlineStr">
        <is>
          <t>João Ferreira de Almeida, who dedicated his life to translating the Bible into Portuguese, was born in 1628 in Torre de Tavares, Portugal.</t>
        </is>
      </c>
      <c r="N985" s="7" t="inlineStr">
        <is>
          <t>ஆல்மேடா, 1628-⁠ல் டாரி டி டாவாரஸ் என்ற கிராமத்தில் பிறந்தார்; இது வடக்கு போர்ச்சுகலைச் சேர்ந்த ஒரு கிராமமாகும்.</t>
        </is>
      </c>
      <c r="O985" s="12" t="inlineStr">
        <is>
          <t>Bible &amp; church history</t>
        </is>
      </c>
      <c r="P985" s="7" t="inlineStr">
        <is>
          <t>history.bible_translation</t>
        </is>
      </c>
      <c r="Q985" s="7" t="inlineStr">
        <is>
          <t>birth</t>
        </is>
      </c>
      <c r="R985" s="7" t="inlineStr">
        <is>
          <t>João Ferreira de Almeida</t>
        </is>
      </c>
      <c r="S985" s="7" t="n"/>
      <c r="T985" s="7" t="n"/>
      <c r="U985" s="7" t="n"/>
      <c r="V985" s="7" t="n">
        <v>1</v>
      </c>
      <c r="W985" s="7" t="inlineStr">
        <is>
          <t>The First Bible in Portuguese—A Story of Perseverance</t>
        </is>
      </c>
      <c r="X985" s="9" t="inlineStr">
        <is>
          <t>open</t>
        </is>
      </c>
      <c r="Y985" s="9" t="inlineStr">
        <is>
          <t>open</t>
        </is>
      </c>
      <c r="Z985" s="7" t="inlineStr">
        <is>
          <t>https://wol.jw.org/en/wol/d/r1/lp-e/2007483#h=3</t>
        </is>
      </c>
      <c r="AA985" s="7" t="n">
        <v>0</v>
      </c>
      <c r="AB985" s="7" t="n"/>
      <c r="AC985" s="7" t="n">
        <v>0</v>
      </c>
      <c r="AD985" s="7" t="n"/>
      <c r="AE985" s="7" t="n"/>
      <c r="AF985" s="7" t="n"/>
      <c r="AG985" s="7" t="n"/>
      <c r="AH985" s="7" t="n"/>
      <c r="AI985" s="7" t="inlineStr">
        <is>
          <t>Covered by span – hide on chart</t>
        </is>
      </c>
      <c r="AJ985" s="7" t="inlineStr">
        <is>
          <t>start of Life of João Ferreira de Almeida (d1-0027)</t>
        </is>
      </c>
      <c r="AK985" s="7" t="n"/>
      <c r="AL985" s="7" t="n"/>
      <c r="AM985" s="7" t="n">
        <v>1628</v>
      </c>
      <c r="AN985" s="10" t="n"/>
      <c r="AO985" s="10" t="n"/>
      <c r="AP985" s="10" t="n"/>
      <c r="AQ985" s="10" t="n"/>
    </row>
    <row r="986">
      <c r="A986" s="7" t="inlineStr">
        <is>
          <t>d1-0027</t>
        </is>
      </c>
      <c r="B986" s="11" t="inlineStr">
        <is>
          <t>Span</t>
        </is>
      </c>
      <c r="C986" s="7" t="inlineStr">
        <is>
          <t>lifespan</t>
        </is>
      </c>
      <c r="D986" s="7" t="inlineStr">
        <is>
          <t>1628 – 1691</t>
        </is>
      </c>
      <c r="E986" s="7" t="inlineStr">
        <is>
          <t>1628 – 1691</t>
        </is>
      </c>
      <c r="F986" s="7" t="inlineStr">
        <is>
          <t>1628 CE</t>
        </is>
      </c>
      <c r="G986" s="7" t="inlineStr">
        <is>
          <t>Exact</t>
        </is>
      </c>
      <c r="H986" s="7" t="inlineStr">
        <is>
          <t>1691 CE</t>
        </is>
      </c>
      <c r="I986" s="7" t="inlineStr">
        <is>
          <t>Exact</t>
        </is>
      </c>
      <c r="J986" s="7" t="inlineStr">
        <is>
          <t>63 years</t>
        </is>
      </c>
      <c r="K986" s="2" t="inlineStr">
        <is>
          <t>Life of João Ferreira de Almeida</t>
        </is>
      </c>
      <c r="L986" s="2" t="n"/>
      <c r="M986" s="7" t="inlineStr">
        <is>
          <t>João Ferreira de Almeida: from João Ferreira de Almeida, Portuguese Bible translator, born (1628) to Almeida dies while translating Ezekiel (1691). Dates as given in the cited jw.org publications.</t>
        </is>
      </c>
      <c r="N986" s="7" t="n"/>
      <c r="O986" s="12" t="inlineStr">
        <is>
          <t>Bible &amp; church history</t>
        </is>
      </c>
      <c r="P986" s="7" t="inlineStr">
        <is>
          <t>history.bible_translation</t>
        </is>
      </c>
      <c r="Q986" s="7" t="inlineStr">
        <is>
          <t>lifespan</t>
        </is>
      </c>
      <c r="R986" s="7" t="inlineStr">
        <is>
          <t>João Ferreira de Almeida</t>
        </is>
      </c>
      <c r="S986" s="7" t="n"/>
      <c r="T986" s="7" t="n"/>
      <c r="U986" s="7" t="n"/>
      <c r="V986" s="7" t="n">
        <v>1</v>
      </c>
      <c r="W986" s="7" t="inlineStr">
        <is>
          <t>The First Bible in Portuguese—A Story of Perseverance</t>
        </is>
      </c>
      <c r="X986" s="9" t="inlineStr">
        <is>
          <t>open</t>
        </is>
      </c>
      <c r="Y986" s="9" t="inlineStr">
        <is>
          <t>open</t>
        </is>
      </c>
      <c r="Z986" s="7" t="inlineStr">
        <is>
          <t>https://wol.jw.org/en/wol/d/r1/lp-e/2007483#h=3</t>
        </is>
      </c>
      <c r="AA986" s="7" t="n">
        <v>0</v>
      </c>
      <c r="AB986" s="7" t="n"/>
      <c r="AC986" s="7" t="n">
        <v>0</v>
      </c>
      <c r="AD986" s="7" t="n"/>
      <c r="AE986" s="7" t="inlineStr">
        <is>
          <t>Built from b7-0165 (start) and b7-0172 (end).</t>
        </is>
      </c>
      <c r="AF986" s="7" t="inlineStr">
        <is>
          <t>b7-0165</t>
        </is>
      </c>
      <c r="AG986" s="7" t="inlineStr">
        <is>
          <t>b7-0172</t>
        </is>
      </c>
      <c r="AH986" s="7" t="n"/>
      <c r="AI986" s="7" t="n"/>
      <c r="AJ986" s="7" t="n"/>
      <c r="AK986" s="7" t="n"/>
      <c r="AL986" s="7" t="n"/>
      <c r="AM986" s="7" t="n">
        <v>1628</v>
      </c>
      <c r="AN986" s="10" t="n"/>
      <c r="AO986" s="10" t="n"/>
      <c r="AP986" s="10" t="n"/>
      <c r="AQ986" s="10" t="n"/>
    </row>
    <row r="987">
      <c r="A987" s="7" t="inlineStr">
        <is>
          <t>b7-0166</t>
        </is>
      </c>
      <c r="B987" s="7" t="inlineStr">
        <is>
          <t>Point</t>
        </is>
      </c>
      <c r="C987" s="7" t="n"/>
      <c r="D987" s="7" t="inlineStr">
        <is>
          <t>1637</t>
        </is>
      </c>
      <c r="E987" s="7" t="inlineStr">
        <is>
          <t>1637</t>
        </is>
      </c>
      <c r="F987" s="7" t="inlineStr">
        <is>
          <t>1637 CE</t>
        </is>
      </c>
      <c r="G987" s="7" t="inlineStr">
        <is>
          <t>Exact</t>
        </is>
      </c>
      <c r="H987" s="7" t="n"/>
      <c r="I987" s="7" t="n"/>
      <c r="J987" s="7" t="n"/>
      <c r="K987" s="2" t="inlineStr">
        <is>
          <t>Dutch Statenvertaling published</t>
        </is>
      </c>
      <c r="L987" s="2" t="inlineStr">
        <is>
          <t>ஸ்டேட்டென்வெர்ட்டலிங் 1637 M ஹீரே ரிசீவ்ட் டெக்ஸ்ட்</t>
        </is>
      </c>
      <c r="M987" s="7" t="inlineStr">
        <is>
          <t>The Dutch Statenvertaling of 1637, based on the Received Text, appears in the si chart of leading translations.</t>
        </is>
      </c>
      <c r="N987" s="7" t="inlineStr">
        <is>
          <t>ஸ்டேட்டென்வெர்ட்டலிங் 1637 M ஹீரே ரிசீவ்ட் டெக்ஸ்ட்</t>
        </is>
      </c>
      <c r="O987" s="12" t="inlineStr">
        <is>
          <t>Bible &amp; church history</t>
        </is>
      </c>
      <c r="P987" s="7" t="inlineStr">
        <is>
          <t>history.bible_translation</t>
        </is>
      </c>
      <c r="Q987" s="7" t="inlineStr">
        <is>
          <t>release</t>
        </is>
      </c>
      <c r="R987" s="7" t="n"/>
      <c r="S987" s="7" t="inlineStr">
        <is>
          <t>Netherlands</t>
        </is>
      </c>
      <c r="T987" s="7" t="n"/>
      <c r="U987" s="7" t="n"/>
      <c r="V987" s="7" t="n">
        <v>1</v>
      </c>
      <c r="W987" s="7" t="inlineStr">
        <is>
          <t>Study Number 7—The Bible in Modern Times</t>
        </is>
      </c>
      <c r="X987" s="9" t="inlineStr">
        <is>
          <t>open</t>
        </is>
      </c>
      <c r="Y987" s="9" t="inlineStr">
        <is>
          <t>open</t>
        </is>
      </c>
      <c r="Z987" s="7" t="inlineStr">
        <is>
          <t>https://wol.jw.org/en/wol/d/r1/lp-e/1101990134#h=131</t>
        </is>
      </c>
      <c r="AA987" s="7" t="n">
        <v>0</v>
      </c>
      <c r="AB987" s="7" t="n"/>
      <c r="AC987" s="7" t="n">
        <v>0</v>
      </c>
      <c r="AD987" s="7" t="n"/>
      <c r="AE987" s="7" t="n"/>
      <c r="AF987" s="7" t="n"/>
      <c r="AG987" s="7" t="n"/>
      <c r="AH987" s="7" t="n"/>
      <c r="AI987" s="7" t="n"/>
      <c r="AJ987" s="7" t="n"/>
      <c r="AK987" s="7" t="n"/>
      <c r="AL987" s="7" t="n"/>
      <c r="AM987" s="7" t="n">
        <v>1637</v>
      </c>
      <c r="AN987" s="10" t="n"/>
      <c r="AO987" s="10" t="n"/>
      <c r="AP987" s="10" t="n"/>
      <c r="AQ987" s="10" t="n"/>
    </row>
    <row r="988">
      <c r="A988" s="7" t="inlineStr">
        <is>
          <t>b7-0167</t>
        </is>
      </c>
      <c r="B988" s="7" t="inlineStr">
        <is>
          <t>Point</t>
        </is>
      </c>
      <c r="C988" s="7" t="n"/>
      <c r="D988" s="7" t="inlineStr">
        <is>
          <t>1640</t>
        </is>
      </c>
      <c r="E988" s="7" t="inlineStr">
        <is>
          <t>1640</t>
        </is>
      </c>
      <c r="F988" s="7" t="inlineStr">
        <is>
          <t>1640 CE</t>
        </is>
      </c>
      <c r="G988" s="7" t="inlineStr">
        <is>
          <t>Exact</t>
        </is>
      </c>
      <c r="H988" s="7" t="n"/>
      <c r="I988" s="7" t="n"/>
      <c r="J988" s="7" t="n"/>
      <c r="K988" s="2" t="inlineStr">
        <is>
          <t>Bay Psalm Book uses "Iehovah"</t>
        </is>
      </c>
      <c r="L988" s="2" t="n"/>
      <c r="M988" s="7" t="inlineStr">
        <is>
          <t>The Bay Psalm Book, the first literature published in England's American colonies (printed 1640), translated the Psalms from Hebrew and used the divine name, as at Psalm 1:2 and 83:18.</t>
        </is>
      </c>
      <c r="N988" s="7" t="inlineStr">
        <is>
          <t>1640-ல் அச்சிடப்பட்ட அதன் மூலப் பிரதியில், சங்கீத புத்தகம் உள்ளது; அது எபிரெயுவிலிருந்து அன்றைய ஆங்கிலத்தில் மொழிபெயர்க்கப்பட்டிருந்தது.</t>
        </is>
      </c>
      <c r="O988" s="12" t="inlineStr">
        <is>
          <t>Bible &amp; church history</t>
        </is>
      </c>
      <c r="P988" s="7" t="inlineStr">
        <is>
          <t>history.bible_translation</t>
        </is>
      </c>
      <c r="Q988" s="7" t="inlineStr">
        <is>
          <t>release</t>
        </is>
      </c>
      <c r="R988" s="7" t="n"/>
      <c r="S988" s="7" t="inlineStr">
        <is>
          <t>Massachusetts Bay Colony</t>
        </is>
      </c>
      <c r="T988" s="7" t="inlineStr">
        <is>
          <t>Ps. 1:1, 2; Ps. 83:17, 18</t>
        </is>
      </c>
      <c r="U988" s="7" t="n"/>
      <c r="V988" s="7" t="n">
        <v>2</v>
      </c>
      <c r="W988" s="7" t="inlineStr">
        <is>
          <t>This Is Our Spiritual Heritage</t>
        </is>
      </c>
      <c r="X988" s="9" t="inlineStr">
        <is>
          <t>open</t>
        </is>
      </c>
      <c r="Y988" s="9" t="inlineStr">
        <is>
          <t>open</t>
        </is>
      </c>
      <c r="Z988" s="7" t="inlineStr">
        <is>
          <t>https://wol.jw.org/en/wol/d/r1/lp-e/2013122#h=25
https://wol.jw.org/en/wol/d/r1/lp-e/1992686#h=2</t>
        </is>
      </c>
      <c r="AA988" s="7" t="n">
        <v>0</v>
      </c>
      <c r="AB988" s="7" t="n"/>
      <c r="AC988" s="7" t="n">
        <v>0</v>
      </c>
      <c r="AD988" s="7" t="n"/>
      <c r="AE988" s="7" t="n"/>
      <c r="AF988" s="7" t="n"/>
      <c r="AG988" s="7" t="n"/>
      <c r="AH988" s="7" t="n"/>
      <c r="AI988" s="7" t="n"/>
      <c r="AJ988" s="7" t="n"/>
      <c r="AK988" s="7" t="n"/>
      <c r="AL988" s="7" t="n"/>
      <c r="AM988" s="7" t="n">
        <v>1640</v>
      </c>
      <c r="AN988" s="10" t="n"/>
      <c r="AO988" s="10" t="n"/>
      <c r="AP988" s="10" t="n"/>
      <c r="AQ988" s="10" t="n"/>
    </row>
    <row r="989">
      <c r="A989" s="7" t="inlineStr">
        <is>
          <t>b7-0168</t>
        </is>
      </c>
      <c r="B989" s="7" t="inlineStr">
        <is>
          <t>Point</t>
        </is>
      </c>
      <c r="C989" s="7" t="n"/>
      <c r="D989" s="7" t="inlineStr">
        <is>
          <t>1648</t>
        </is>
      </c>
      <c r="E989" s="7" t="inlineStr">
        <is>
          <t>1648</t>
        </is>
      </c>
      <c r="F989" s="7" t="inlineStr">
        <is>
          <t>1648 CE</t>
        </is>
      </c>
      <c r="G989" s="7" t="inlineStr">
        <is>
          <t>Exact</t>
        </is>
      </c>
      <c r="H989" s="7" t="n"/>
      <c r="I989" s="7" t="n"/>
      <c r="J989" s="7" t="n"/>
      <c r="K989" s="2" t="inlineStr">
        <is>
          <t>Peace of Westphalia ends the Thirty Years' War</t>
        </is>
      </c>
      <c r="L989" s="2" t="n"/>
      <c r="M989" s="7" t="inlineStr">
        <is>
          <t>The Treaty of Westphalia in 1648 ended the Thirty Years' War and granted equal recognition to Catholic, Lutheran, and Calvinist religions; Pope Innocent X declared it null and void.</t>
        </is>
      </c>
      <c r="N989" s="7" t="inlineStr">
        <is>
          <t>1648-⁠ல் இந்த ஒப்பந்தம் கையெழுத்தானபோது அது முப்பதாண்டு கால போருக்கு முற்றுப்புள்ளி வைத்தது; தனி நாடுகள் அடங்கிய கண்டமாக நவீன ஐரோப்பா பிறப்பதற்கும் வழிவகுத்தது.</t>
        </is>
      </c>
      <c r="O989" s="12" t="inlineStr">
        <is>
          <t>Bible &amp; church history</t>
        </is>
      </c>
      <c r="P989" s="7" t="inlineStr">
        <is>
          <t>history.apostasy</t>
        </is>
      </c>
      <c r="Q989" s="7" t="inlineStr">
        <is>
          <t>treaty</t>
        </is>
      </c>
      <c r="R989" s="7" t="inlineStr">
        <is>
          <t>Innocent X</t>
        </is>
      </c>
      <c r="S989" s="7" t="inlineStr">
        <is>
          <t>Westphalia</t>
        </is>
      </c>
      <c r="T989" s="7" t="n"/>
      <c r="U989" s="7" t="n"/>
      <c r="V989" s="7" t="n">
        <v>2</v>
      </c>
      <c r="W989" s="7" t="inlineStr">
        <is>
          <t>The Peace of Westphalia—A Turning Point in Europe</t>
        </is>
      </c>
      <c r="X989" s="9" t="inlineStr">
        <is>
          <t>open</t>
        </is>
      </c>
      <c r="Y989" s="9" t="inlineStr">
        <is>
          <t>open</t>
        </is>
      </c>
      <c r="Z989" s="7" t="inlineStr">
        <is>
          <t>https://wol.jw.org/en/wol/d/r1/lp-e/2004205#h=3
https://wol.jw.org/en/wol/d/r1/lp-e/2004205#h=25</t>
        </is>
      </c>
      <c r="AA989" s="7" t="n">
        <v>0</v>
      </c>
      <c r="AB989" s="7" t="n"/>
      <c r="AC989" s="7" t="n">
        <v>0</v>
      </c>
      <c r="AD989" s="7" t="n"/>
      <c r="AE989" s="7" t="n"/>
      <c r="AF989" s="7" t="n"/>
      <c r="AG989" s="7" t="n"/>
      <c r="AH989" s="7" t="n"/>
      <c r="AI989" s="7" t="n"/>
      <c r="AJ989" s="7" t="n"/>
      <c r="AK989" s="7" t="n"/>
      <c r="AL989" s="7" t="n"/>
      <c r="AM989" s="7" t="n">
        <v>1648</v>
      </c>
      <c r="AN989" s="10" t="n"/>
      <c r="AO989" s="10" t="n"/>
      <c r="AP989" s="10" t="n"/>
      <c r="AQ989" s="10" t="n"/>
    </row>
    <row r="990">
      <c r="A990" s="7" t="inlineStr">
        <is>
          <t>b7-0169</t>
        </is>
      </c>
      <c r="B990" s="7" t="inlineStr">
        <is>
          <t>Point</t>
        </is>
      </c>
      <c r="C990" s="7" t="n"/>
      <c r="D990" s="7" t="inlineStr">
        <is>
          <t>1661</t>
        </is>
      </c>
      <c r="E990" s="7" t="inlineStr">
        <is>
          <t>1661</t>
        </is>
      </c>
      <c r="F990" s="7" t="inlineStr">
        <is>
          <t>1661 CE</t>
        </is>
      </c>
      <c r="G990" s="7" t="inlineStr">
        <is>
          <t>Exact</t>
        </is>
      </c>
      <c r="H990" s="7" t="n"/>
      <c r="I990" s="7" t="n"/>
      <c r="J990" s="7" t="n"/>
      <c r="K990" s="2" t="inlineStr">
        <is>
          <t>Inquisition at Goa sentences Almeida to death in absentia</t>
        </is>
      </c>
      <c r="L990" s="2" t="n"/>
      <c r="M990" s="7" t="inlineStr">
        <is>
          <t>Almeida's exposure of church doctrine led to clashes with Catholic missionaries; in 1661 an Inquisitional court at Goa, India, sentenced him to death for heresy and burned him in effigy.</t>
        </is>
      </c>
      <c r="N990" s="7" t="inlineStr">
        <is>
          <t>1661-⁠ல், இந்தியாவிலுள்ள கோவாவில் இருந்த ஒடுக்குமுறை நீதிமன்றம் அவருடைய மாறுபட்ட கொள்கையின் நிமித்தம் அவருக்கு மரண தண்டனை விதித்தபோது இந்த மோதல்கள் உச்சத்தை எட்டின.</t>
        </is>
      </c>
      <c r="O990" s="12" t="inlineStr">
        <is>
          <t>Bible &amp; church history</t>
        </is>
      </c>
      <c r="P990" s="7" t="inlineStr">
        <is>
          <t>history.persecution</t>
        </is>
      </c>
      <c r="Q990" s="7" t="inlineStr">
        <is>
          <t>court_ruling</t>
        </is>
      </c>
      <c r="R990" s="7" t="inlineStr">
        <is>
          <t>João Ferreira de Almeida</t>
        </is>
      </c>
      <c r="S990" s="7" t="inlineStr">
        <is>
          <t>Goa; India</t>
        </is>
      </c>
      <c r="T990" s="7" t="n"/>
      <c r="U990" s="7" t="n"/>
      <c r="V990" s="7" t="n">
        <v>1</v>
      </c>
      <c r="W990" s="7" t="inlineStr">
        <is>
          <t>The First Bible in Portuguese—A Story of Perseverance</t>
        </is>
      </c>
      <c r="X990" s="9" t="inlineStr">
        <is>
          <t>open</t>
        </is>
      </c>
      <c r="Y990" s="9" t="inlineStr">
        <is>
          <t>open</t>
        </is>
      </c>
      <c r="Z990" s="7" t="inlineStr">
        <is>
          <t>https://wol.jw.org/en/wol/d/r1/lp-e/2007483#h=14</t>
        </is>
      </c>
      <c r="AA990" s="7" t="n">
        <v>0</v>
      </c>
      <c r="AB990" s="7" t="n"/>
      <c r="AC990" s="7" t="n">
        <v>0</v>
      </c>
      <c r="AD990" s="7" t="n"/>
      <c r="AE990" s="7" t="n"/>
      <c r="AF990" s="7" t="n"/>
      <c r="AG990" s="7" t="n"/>
      <c r="AH990" s="7" t="n"/>
      <c r="AI990" s="7" t="n"/>
      <c r="AJ990" s="7" t="n"/>
      <c r="AK990" s="7" t="n"/>
      <c r="AL990" s="7" t="n"/>
      <c r="AM990" s="7" t="n">
        <v>1661</v>
      </c>
      <c r="AN990" s="10" t="n"/>
      <c r="AO990" s="10" t="n"/>
      <c r="AP990" s="10" t="n"/>
      <c r="AQ990" s="10" t="n"/>
    </row>
    <row r="991">
      <c r="A991" s="7" t="inlineStr">
        <is>
          <t>b7-0170</t>
        </is>
      </c>
      <c r="B991" s="7" t="inlineStr">
        <is>
          <t>Point</t>
        </is>
      </c>
      <c r="C991" s="7" t="n"/>
      <c r="D991" s="7" t="inlineStr">
        <is>
          <t>1665</t>
        </is>
      </c>
      <c r="E991" s="7" t="n"/>
      <c r="F991" s="7" t="inlineStr">
        <is>
          <t>1665 CE</t>
        </is>
      </c>
      <c r="G991" s="7" t="inlineStr">
        <is>
          <t>Exact</t>
        </is>
      </c>
      <c r="H991" s="7" t="n"/>
      <c r="I991" s="7" t="n"/>
      <c r="J991" s="7" t="n"/>
      <c r="K991" s="2" t="inlineStr">
        <is>
          <t>Matthew's Gospel rendered into Tamil on palm leaves</t>
        </is>
      </c>
      <c r="L991" s="2" t="n"/>
      <c r="M991" s="7" t="inlineStr">
        <is>
          <t>In 1665 Matthew's Gospel was rendered into Tamil by a Dutch missionary in Ceylon (Sri Lanka); it circulated handwritten on palmyra-palm leaves rather than printed.</t>
        </is>
      </c>
      <c r="N991" s="7" t="n"/>
      <c r="O991" s="12" t="inlineStr">
        <is>
          <t>Bible &amp; church history</t>
        </is>
      </c>
      <c r="P991" s="7" t="inlineStr">
        <is>
          <t>history.bible_translation</t>
        </is>
      </c>
      <c r="Q991" s="7" t="inlineStr">
        <is>
          <t>translation</t>
        </is>
      </c>
      <c r="R991" s="7" t="n"/>
      <c r="S991" s="7" t="inlineStr">
        <is>
          <t>Ceylon (Sri Lanka)</t>
        </is>
      </c>
      <c r="T991" s="7" t="n"/>
      <c r="U991" s="7" t="n"/>
      <c r="V991" s="7" t="n">
        <v>1</v>
      </c>
      <c r="W991" s="7" t="inlineStr">
        <is>
          <t>Translating the Bible in India</t>
        </is>
      </c>
      <c r="X991" s="9" t="inlineStr">
        <is>
          <t>open</t>
        </is>
      </c>
      <c r="Y991" s="7" t="n"/>
      <c r="Z991" s="7" t="inlineStr">
        <is>
          <t>https://wol.jw.org/en/wol/d/r1/lp-e/101979409#h=4</t>
        </is>
      </c>
      <c r="AA991" s="7" t="n">
        <v>0</v>
      </c>
      <c r="AB991" s="7" t="n"/>
      <c r="AC991" s="7" t="n">
        <v>0</v>
      </c>
      <c r="AD991" s="7" t="n"/>
      <c r="AE991" s="7" t="n"/>
      <c r="AF991" s="7" t="n"/>
      <c r="AG991" s="7" t="n"/>
      <c r="AH991" s="7" t="n"/>
      <c r="AI991" s="7" t="n"/>
      <c r="AJ991" s="7" t="n"/>
      <c r="AK991" s="7" t="n"/>
      <c r="AL991" s="7" t="n"/>
      <c r="AM991" s="7" t="n">
        <v>1665</v>
      </c>
      <c r="AN991" s="10" t="n"/>
      <c r="AO991" s="10" t="n"/>
      <c r="AP991" s="10" t="n"/>
      <c r="AQ991" s="10" t="n"/>
    </row>
    <row r="992">
      <c r="A992" s="7" t="inlineStr">
        <is>
          <t>b7-0171</t>
        </is>
      </c>
      <c r="B992" s="7" t="inlineStr">
        <is>
          <t>Point</t>
        </is>
      </c>
      <c r="C992" s="7" t="n"/>
      <c r="D992" s="7" t="inlineStr">
        <is>
          <t>1681</t>
        </is>
      </c>
      <c r="E992" s="7" t="inlineStr">
        <is>
          <t>1681</t>
        </is>
      </c>
      <c r="F992" s="7" t="inlineStr">
        <is>
          <t>1681 CE</t>
        </is>
      </c>
      <c r="G992" s="7" t="inlineStr">
        <is>
          <t>Exact</t>
        </is>
      </c>
      <c r="H992" s="7" t="n"/>
      <c r="I992" s="7" t="n"/>
      <c r="J992" s="7" t="n"/>
      <c r="K992" s="2" t="inlineStr">
        <is>
          <t>Almeida's Portuguese "New Testament" printed</t>
        </is>
      </c>
      <c r="L992" s="2" t="n"/>
      <c r="M992" s="7" t="inlineStr">
        <is>
          <t>Despite opposition from the Batavia consistory, Almeida's Portuguese New Testament went to press in Amsterdam in 1681, though revisers had altered it.</t>
        </is>
      </c>
      <c r="N992" s="7" t="inlineStr">
        <is>
          <t>அவருடைய பைபிள் பிரசுரிக்கப்படுவதைத் தடுக்க சர்ச் ஆலோசனைக் குழு பல முயற்சிகள் எடுத்தபோதிலும், 1681-⁠ல் அவருடைய புதிய ஏற்பாடு ஆம்ஸ்டர்டாமிலுள்ள அச்சகத்தில் பிரசுரிக்கப்பட்டது.</t>
        </is>
      </c>
      <c r="O992" s="12" t="inlineStr">
        <is>
          <t>Bible &amp; church history</t>
        </is>
      </c>
      <c r="P992" s="7" t="inlineStr">
        <is>
          <t>history.bible_translation</t>
        </is>
      </c>
      <c r="Q992" s="7" t="inlineStr">
        <is>
          <t>release</t>
        </is>
      </c>
      <c r="R992" s="7" t="inlineStr">
        <is>
          <t>João Ferreira de Almeida</t>
        </is>
      </c>
      <c r="S992" s="7" t="inlineStr">
        <is>
          <t>Amsterdam; Batavia</t>
        </is>
      </c>
      <c r="T992" s="7" t="n"/>
      <c r="U992" s="7" t="n"/>
      <c r="V992" s="7" t="n">
        <v>2</v>
      </c>
      <c r="W992" s="7" t="inlineStr">
        <is>
          <t>The First Bible in Portuguese—A Story of Perseverance</t>
        </is>
      </c>
      <c r="X992" s="9" t="inlineStr">
        <is>
          <t>open</t>
        </is>
      </c>
      <c r="Y992" s="9" t="inlineStr">
        <is>
          <t>open</t>
        </is>
      </c>
      <c r="Z992" s="7" t="inlineStr">
        <is>
          <t>https://wol.jw.org/en/wol/d/r1/lp-e/2007483#h=19
https://wol.jw.org/en/wol/d/r1/lp-e/1101990134#h=108</t>
        </is>
      </c>
      <c r="AA992" s="7" t="n">
        <v>0</v>
      </c>
      <c r="AB992" s="7" t="n"/>
      <c r="AC992" s="7" t="n">
        <v>0</v>
      </c>
      <c r="AD992" s="7" t="n"/>
      <c r="AE992" s="7" t="n"/>
      <c r="AF992" s="7" t="n"/>
      <c r="AG992" s="7" t="n"/>
      <c r="AH992" s="7" t="n"/>
      <c r="AI992" s="7" t="n"/>
      <c r="AJ992" s="7" t="n"/>
      <c r="AK992" s="7" t="n"/>
      <c r="AL992" s="7" t="n"/>
      <c r="AM992" s="7" t="n">
        <v>1681</v>
      </c>
      <c r="AN992" s="10" t="n"/>
      <c r="AO992" s="10" t="n"/>
      <c r="AP992" s="10" t="n"/>
      <c r="AQ992" s="10" t="n"/>
    </row>
    <row r="993">
      <c r="A993" s="7" t="inlineStr">
        <is>
          <t>b7-0172</t>
        </is>
      </c>
      <c r="B993" s="7" t="inlineStr">
        <is>
          <t>Point</t>
        </is>
      </c>
      <c r="C993" s="7" t="n"/>
      <c r="D993" s="7" t="inlineStr">
        <is>
          <t>1691</t>
        </is>
      </c>
      <c r="E993" s="7" t="inlineStr">
        <is>
          <t>1691</t>
        </is>
      </c>
      <c r="F993" s="7" t="inlineStr">
        <is>
          <t>1691 CE</t>
        </is>
      </c>
      <c r="G993" s="7" t="inlineStr">
        <is>
          <t>Exact</t>
        </is>
      </c>
      <c r="H993" s="7" t="n"/>
      <c r="I993" s="7" t="n"/>
      <c r="J993" s="7" t="n"/>
      <c r="K993" s="2" t="inlineStr">
        <is>
          <t>Almeida dies while translating Ezekiel</t>
        </is>
      </c>
      <c r="L993" s="2" t="inlineStr">
        <is>
          <t>வருத்தகரமாக, 1691-⁠ல் எசேக்கியேல் புத்தகத்தின் கடைசி அதிகாரத்தை மொழிபெயர்க்கையில் அவர் இறந்துபோனார்</t>
        </is>
      </c>
      <c r="M993" s="7" t="inlineStr">
        <is>
          <t>Almeida died in 1691 while working on the final chapter of Ezekiel in his translation of the Hebrew Scriptures.</t>
        </is>
      </c>
      <c r="N993" s="7" t="inlineStr">
        <is>
          <t>வருத்தகரமாக, 1691-⁠ல் எசேக்கியேல் புத்தகத்தின் கடைசி அதிகாரத்தை மொழிபெயர்க்கையில் அவர் இறந்துபோனார்.</t>
        </is>
      </c>
      <c r="O993" s="12" t="inlineStr">
        <is>
          <t>Bible &amp; church history</t>
        </is>
      </c>
      <c r="P993" s="7" t="inlineStr">
        <is>
          <t>history.bible_translation</t>
        </is>
      </c>
      <c r="Q993" s="7" t="inlineStr">
        <is>
          <t>death</t>
        </is>
      </c>
      <c r="R993" s="7" t="inlineStr">
        <is>
          <t>João Ferreira de Almeida</t>
        </is>
      </c>
      <c r="S993" s="7" t="n"/>
      <c r="T993" s="7" t="n"/>
      <c r="U993" s="7" t="n"/>
      <c r="V993" s="7" t="n">
        <v>1</v>
      </c>
      <c r="W993" s="7" t="inlineStr">
        <is>
          <t>The First Bible in Portuguese—A Story of Perseverance</t>
        </is>
      </c>
      <c r="X993" s="9" t="inlineStr">
        <is>
          <t>open</t>
        </is>
      </c>
      <c r="Y993" s="9" t="inlineStr">
        <is>
          <t>open</t>
        </is>
      </c>
      <c r="Z993" s="7" t="inlineStr">
        <is>
          <t>https://wol.jw.org/en/wol/d/r1/lp-e/2007483#h=22</t>
        </is>
      </c>
      <c r="AA993" s="7" t="n">
        <v>0</v>
      </c>
      <c r="AB993" s="7" t="n"/>
      <c r="AC993" s="7" t="n">
        <v>0</v>
      </c>
      <c r="AD993" s="7" t="n"/>
      <c r="AE993" s="7" t="n"/>
      <c r="AF993" s="7" t="n"/>
      <c r="AG993" s="7" t="n"/>
      <c r="AH993" s="7" t="n"/>
      <c r="AI993" s="7" t="inlineStr">
        <is>
          <t>Covered by span – hide on chart</t>
        </is>
      </c>
      <c r="AJ993" s="7" t="inlineStr">
        <is>
          <t>end of Life of João Ferreira de Almeida (d1-0027)</t>
        </is>
      </c>
      <c r="AK993" s="7" t="n"/>
      <c r="AL993" s="7" t="n"/>
      <c r="AM993" s="7" t="n">
        <v>1691</v>
      </c>
      <c r="AN993" s="10" t="n"/>
      <c r="AO993" s="10" t="n"/>
      <c r="AP993" s="10" t="n"/>
      <c r="AQ993" s="10" t="n"/>
    </row>
    <row r="994">
      <c r="A994" s="7" t="inlineStr">
        <is>
          <t>b7-0173</t>
        </is>
      </c>
      <c r="B994" s="7" t="inlineStr">
        <is>
          <t>Point</t>
        </is>
      </c>
      <c r="C994" s="7" t="n"/>
      <c r="D994" s="7" t="inlineStr">
        <is>
          <t>1706</t>
        </is>
      </c>
      <c r="E994" s="7" t="n"/>
      <c r="F994" s="7" t="inlineStr">
        <is>
          <t>1706 CE</t>
        </is>
      </c>
      <c r="G994" s="7" t="inlineStr">
        <is>
          <t>Exact</t>
        </is>
      </c>
      <c r="H994" s="7" t="n"/>
      <c r="I994" s="7" t="n"/>
      <c r="J994" s="7" t="n"/>
      <c r="K994" s="2" t="inlineStr">
        <is>
          <t>Ziegenbalg and a fellow German land at Tranquebar to translate the Bible into Tamil</t>
        </is>
      </c>
      <c r="L994" s="2" t="n"/>
      <c r="M994" s="7" t="inlineStr">
        <is>
          <t>In 1706 two Germans eager to translate the Bible into Tamil landed at the Danish trading station of Tranquebar (Tamil Nadu). One of them, Ziegenbalg, learned Tamil by tracing letters in the dust with children.</t>
        </is>
      </c>
      <c r="N994" s="7" t="n"/>
      <c r="O994" s="12" t="inlineStr">
        <is>
          <t>Bible &amp; church history</t>
        </is>
      </c>
      <c r="P994" s="7" t="inlineStr">
        <is>
          <t>history.bible_translation</t>
        </is>
      </c>
      <c r="Q994" s="7" t="inlineStr">
        <is>
          <t>journey</t>
        </is>
      </c>
      <c r="R994" s="7" t="inlineStr">
        <is>
          <t>Bartholomäus Ziegenbalg</t>
        </is>
      </c>
      <c r="S994" s="7" t="inlineStr">
        <is>
          <t>Tranquebar; Tamil Nadu</t>
        </is>
      </c>
      <c r="T994" s="7" t="n"/>
      <c r="U994" s="7" t="n"/>
      <c r="V994" s="7" t="n">
        <v>1</v>
      </c>
      <c r="W994" s="7" t="inlineStr">
        <is>
          <t>Translating the Bible in India</t>
        </is>
      </c>
      <c r="X994" s="9" t="inlineStr">
        <is>
          <t>open</t>
        </is>
      </c>
      <c r="Y994" s="7" t="n"/>
      <c r="Z994" s="7" t="inlineStr">
        <is>
          <t>https://wol.jw.org/en/wol/d/r1/lp-e/101979409#h=6</t>
        </is>
      </c>
      <c r="AA994" s="7" t="n">
        <v>0</v>
      </c>
      <c r="AB994" s="7" t="n"/>
      <c r="AC994" s="7" t="n">
        <v>0</v>
      </c>
      <c r="AD994" s="7" t="n"/>
      <c r="AE994" s="7" t="n"/>
      <c r="AF994" s="7" t="n"/>
      <c r="AG994" s="7" t="n"/>
      <c r="AH994" s="7" t="n"/>
      <c r="AI994" s="7" t="n"/>
      <c r="AJ994" s="7" t="n"/>
      <c r="AK994" s="7" t="n"/>
      <c r="AL994" s="7" t="n"/>
      <c r="AM994" s="7" t="n">
        <v>1706</v>
      </c>
      <c r="AN994" s="10" t="n"/>
      <c r="AO994" s="10" t="n"/>
      <c r="AP994" s="10" t="n"/>
      <c r="AQ994" s="10" t="n"/>
    </row>
    <row r="995">
      <c r="A995" s="7" t="inlineStr">
        <is>
          <t>b7-0174</t>
        </is>
      </c>
      <c r="B995" s="7" t="inlineStr">
        <is>
          <t>Point</t>
        </is>
      </c>
      <c r="C995" s="7" t="n"/>
      <c r="D995" s="7" t="inlineStr">
        <is>
          <t>1711</t>
        </is>
      </c>
      <c r="E995" s="7" t="inlineStr">
        <is>
          <t>1711</t>
        </is>
      </c>
      <c r="F995" s="7" t="inlineStr">
        <is>
          <t>1711 CE</t>
        </is>
      </c>
      <c r="G995" s="7" t="inlineStr">
        <is>
          <t>Exact</t>
        </is>
      </c>
      <c r="H995" s="7" t="n"/>
      <c r="I995" s="7" t="n"/>
      <c r="J995" s="7" t="n"/>
      <c r="K995" s="2" t="inlineStr">
        <is>
          <t>Third edition of Almeida's New Testament financed for Tranquebar missionaries</t>
        </is>
      </c>
      <c r="L995" s="2" t="n"/>
      <c r="M995" s="7" t="inlineStr">
        <is>
          <t>In 1711 the Society for Promoting Christian Knowledge financed a third edition of Almeida's New Testament at the request of Danish missionaries working in Tranquebar, southern India.</t>
        </is>
      </c>
      <c r="N995" s="7" t="inlineStr">
        <is>
          <t>ஆனால் கிறிஸ்தவ அறிவைப் பரப்புவதற்கான லண்டன் சங்கமே 1711-⁠ல் ஆல்மேடாவுடைய புதிய ஏற்பாட்டின் மூன்றாம் பதிப்பை வெளியிடுவதற்கு நிதியுதவி அளித்தது; தென்னிந்தியாவைச் சேர்ந்த ட்ரான்கூபாரில் இருந்த டேனிஷ் மிஷனரிகளின் கோரிக்கைக்கு இணங்கியே அவ்வாறு செய்தது.</t>
        </is>
      </c>
      <c r="O995" s="12" t="inlineStr">
        <is>
          <t>Bible &amp; church history</t>
        </is>
      </c>
      <c r="P995" s="7" t="inlineStr">
        <is>
          <t>history.bible_translation</t>
        </is>
      </c>
      <c r="Q995" s="7" t="inlineStr">
        <is>
          <t>printing</t>
        </is>
      </c>
      <c r="R995" s="7" t="n"/>
      <c r="S995" s="7" t="inlineStr">
        <is>
          <t>Tranquebar</t>
        </is>
      </c>
      <c r="T995" s="7" t="n"/>
      <c r="U995" s="7" t="n"/>
      <c r="V995" s="7" t="n">
        <v>1</v>
      </c>
      <c r="W995" s="7" t="inlineStr">
        <is>
          <t>The First Bible in Portuguese—A Story of Perseverance</t>
        </is>
      </c>
      <c r="X995" s="9" t="inlineStr">
        <is>
          <t>open</t>
        </is>
      </c>
      <c r="Y995" s="9" t="inlineStr">
        <is>
          <t>open</t>
        </is>
      </c>
      <c r="Z995" s="7" t="inlineStr">
        <is>
          <t>https://wol.jw.org/en/wol/d/r1/lp-e/2007483#h=25</t>
        </is>
      </c>
      <c r="AA995" s="7" t="n">
        <v>0</v>
      </c>
      <c r="AB995" s="7" t="n"/>
      <c r="AC995" s="7" t="n">
        <v>0</v>
      </c>
      <c r="AD995" s="7" t="n"/>
      <c r="AE995" s="7" t="n"/>
      <c r="AF995" s="7" t="n"/>
      <c r="AG995" s="7" t="n"/>
      <c r="AH995" s="7" t="n"/>
      <c r="AI995" s="7" t="n"/>
      <c r="AJ995" s="7" t="n"/>
      <c r="AK995" s="7" t="n"/>
      <c r="AL995" s="7" t="n"/>
      <c r="AM995" s="7" t="n">
        <v>1711</v>
      </c>
      <c r="AN995" s="10" t="n"/>
      <c r="AO995" s="10" t="n"/>
      <c r="AP995" s="10" t="n"/>
      <c r="AQ995" s="10" t="n"/>
    </row>
    <row r="996">
      <c r="A996" s="7" t="inlineStr">
        <is>
          <t>b7-0175</t>
        </is>
      </c>
      <c r="B996" s="7" t="inlineStr">
        <is>
          <t>Point</t>
        </is>
      </c>
      <c r="C996" s="7" t="n"/>
      <c r="D996" s="7" t="inlineStr">
        <is>
          <t>by 1714</t>
        </is>
      </c>
      <c r="E996" s="7" t="n"/>
      <c r="F996" s="7" t="inlineStr">
        <is>
          <t>1714 CE</t>
        </is>
      </c>
      <c r="G996" s="7" t="inlineStr">
        <is>
          <t>Before (b.)</t>
        </is>
      </c>
      <c r="H996" s="7" t="n"/>
      <c r="I996" s="7" t="n"/>
      <c r="J996" s="7" t="n"/>
      <c r="K996" s="2" t="inlineStr">
        <is>
          <t>Ziegenbalg produces the Christian Greek Scriptures in Tamil</t>
        </is>
      </c>
      <c r="L996" s="2" t="n"/>
      <c r="M996" s="7" t="inlineStr">
        <is>
          <t>By the year 1714, Ziegenbalg had produced the Christian Greek Scriptures ("New Testament") in Tamil.</t>
        </is>
      </c>
      <c r="N996" s="7" t="n"/>
      <c r="O996" s="12" t="inlineStr">
        <is>
          <t>Bible &amp; church history</t>
        </is>
      </c>
      <c r="P996" s="7" t="inlineStr">
        <is>
          <t>history.bible_translation</t>
        </is>
      </c>
      <c r="Q996" s="7" t="inlineStr">
        <is>
          <t>writing_completed</t>
        </is>
      </c>
      <c r="R996" s="7" t="inlineStr">
        <is>
          <t>Bartholomäus Ziegenbalg</t>
        </is>
      </c>
      <c r="S996" s="7" t="inlineStr">
        <is>
          <t>Tranquebar</t>
        </is>
      </c>
      <c r="T996" s="7" t="n"/>
      <c r="U996" s="7" t="n"/>
      <c r="V996" s="7" t="n">
        <v>1</v>
      </c>
      <c r="W996" s="7" t="inlineStr">
        <is>
          <t>Translating the Bible in India</t>
        </is>
      </c>
      <c r="X996" s="9" t="inlineStr">
        <is>
          <t>open</t>
        </is>
      </c>
      <c r="Y996" s="7" t="n"/>
      <c r="Z996" s="7" t="inlineStr">
        <is>
          <t>https://wol.jw.org/en/wol/d/r1/lp-e/101979409#h=7</t>
        </is>
      </c>
      <c r="AA996" s="7" t="n">
        <v>0</v>
      </c>
      <c r="AB996" s="7" t="n"/>
      <c r="AC996" s="7" t="n">
        <v>0</v>
      </c>
      <c r="AD996" s="7" t="n"/>
      <c r="AE996" s="7" t="n"/>
      <c r="AF996" s="7" t="n"/>
      <c r="AG996" s="7" t="n"/>
      <c r="AH996" s="7" t="n"/>
      <c r="AI996" s="7" t="n"/>
      <c r="AJ996" s="7" t="n"/>
      <c r="AK996" s="7" t="inlineStr">
        <is>
          <t>how-the-bible-came-to-us #39 (step)</t>
        </is>
      </c>
      <c r="AL996" s="7" t="inlineStr">
        <is>
          <t>The orchestrator brief mentioned NT 1715; the only jw.org source found (Awake! 1979 6/8) says "by the year 1714". No jw.org source giving 1715 was found.</t>
        </is>
      </c>
      <c r="AM996" s="7" t="n">
        <v>1713.99</v>
      </c>
      <c r="AN996" s="10" t="n"/>
      <c r="AO996" s="10" t="n"/>
      <c r="AP996" s="10" t="n"/>
      <c r="AQ996" s="10" t="n"/>
    </row>
    <row r="997">
      <c r="A997" s="7" t="inlineStr">
        <is>
          <t>b7-0176</t>
        </is>
      </c>
      <c r="B997" s="7" t="inlineStr">
        <is>
          <t>Point</t>
        </is>
      </c>
      <c r="C997" s="7" t="n"/>
      <c r="D997" s="7" t="inlineStr">
        <is>
          <t>1719</t>
        </is>
      </c>
      <c r="E997" s="7" t="n"/>
      <c r="F997" s="7" t="inlineStr">
        <is>
          <t>1719 CE</t>
        </is>
      </c>
      <c r="G997" s="7" t="inlineStr">
        <is>
          <t>Exact</t>
        </is>
      </c>
      <c r="H997" s="7" t="n"/>
      <c r="I997" s="7" t="n"/>
      <c r="J997" s="7" t="n"/>
      <c r="K997" s="2" t="inlineStr">
        <is>
          <t>Ziegenbalg dies, having translated the Hebrew Scriptures up to Ruth</t>
        </is>
      </c>
      <c r="L997" s="2" t="n"/>
      <c r="M997" s="7" t="inlineStr">
        <is>
          <t>At his death in 1719, Ziegenbalg had completed the Tamil Hebrew Scriptures up to the book of Ruth.</t>
        </is>
      </c>
      <c r="N997" s="7" t="n"/>
      <c r="O997" s="12" t="inlineStr">
        <is>
          <t>Bible &amp; church history</t>
        </is>
      </c>
      <c r="P997" s="7" t="inlineStr">
        <is>
          <t>history.bible_translation</t>
        </is>
      </c>
      <c r="Q997" s="7" t="inlineStr">
        <is>
          <t>death</t>
        </is>
      </c>
      <c r="R997" s="7" t="inlineStr">
        <is>
          <t>Bartholomäus Ziegenbalg</t>
        </is>
      </c>
      <c r="S997" s="7" t="n"/>
      <c r="T997" s="7" t="n"/>
      <c r="U997" s="7" t="n"/>
      <c r="V997" s="7" t="n">
        <v>1</v>
      </c>
      <c r="W997" s="7" t="inlineStr">
        <is>
          <t>Translating the Bible in India</t>
        </is>
      </c>
      <c r="X997" s="9" t="inlineStr">
        <is>
          <t>open</t>
        </is>
      </c>
      <c r="Y997" s="7" t="n"/>
      <c r="Z997" s="7" t="inlineStr">
        <is>
          <t>https://wol.jw.org/en/wol/d/r1/lp-e/101979409#h=7</t>
        </is>
      </c>
      <c r="AA997" s="7" t="n">
        <v>0</v>
      </c>
      <c r="AB997" s="7" t="n"/>
      <c r="AC997" s="7" t="n">
        <v>0</v>
      </c>
      <c r="AD997" s="7" t="n"/>
      <c r="AE997" s="7" t="n"/>
      <c r="AF997" s="7" t="n"/>
      <c r="AG997" s="7" t="n"/>
      <c r="AH997" s="7" t="n"/>
      <c r="AI997" s="7" t="n"/>
      <c r="AJ997" s="7" t="n"/>
      <c r="AK997" s="7" t="n"/>
      <c r="AL997" s="7" t="n"/>
      <c r="AM997" s="7" t="n">
        <v>1719</v>
      </c>
      <c r="AN997" s="10" t="n"/>
      <c r="AO997" s="10" t="n"/>
      <c r="AP997" s="10" t="n"/>
      <c r="AQ997" s="10" t="n"/>
    </row>
    <row r="998">
      <c r="A998" s="7" t="inlineStr">
        <is>
          <t>b7-0177</t>
        </is>
      </c>
      <c r="B998" s="7" t="inlineStr">
        <is>
          <t>Point</t>
        </is>
      </c>
      <c r="C998" s="7" t="n"/>
      <c r="D998" s="7" t="inlineStr">
        <is>
          <t>1728</t>
        </is>
      </c>
      <c r="E998" s="7" t="n"/>
      <c r="F998" s="7" t="inlineStr">
        <is>
          <t>1728 CE</t>
        </is>
      </c>
      <c r="G998" s="7" t="inlineStr">
        <is>
          <t>Exact</t>
        </is>
      </c>
      <c r="H998" s="7" t="n"/>
      <c r="I998" s="7" t="n"/>
      <c r="J998" s="7" t="n"/>
      <c r="K998" s="2" t="inlineStr">
        <is>
          <t>Complete Bible in Tamil appears</t>
        </is>
      </c>
      <c r="L998" s="2" t="n"/>
      <c r="M998" s="7" t="inlineStr">
        <is>
          <t>The complete Bible in Tamil appeared in 1728. It was later revised by Philip Fabricius, whose version, known as the "Golden Version," became the basis of later Tamil revisions.</t>
        </is>
      </c>
      <c r="N998" s="7" t="n"/>
      <c r="O998" s="12" t="inlineStr">
        <is>
          <t>Bible &amp; church history</t>
        </is>
      </c>
      <c r="P998" s="7" t="inlineStr">
        <is>
          <t>history.bible_translation</t>
        </is>
      </c>
      <c r="Q998" s="7" t="inlineStr">
        <is>
          <t>release</t>
        </is>
      </c>
      <c r="R998" s="7" t="inlineStr">
        <is>
          <t>Philip Fabricius</t>
        </is>
      </c>
      <c r="S998" s="7" t="n"/>
      <c r="T998" s="7" t="n"/>
      <c r="U998" s="7" t="n"/>
      <c r="V998" s="7" t="n">
        <v>1</v>
      </c>
      <c r="W998" s="7" t="inlineStr">
        <is>
          <t>Translating the Bible in India</t>
        </is>
      </c>
      <c r="X998" s="9" t="inlineStr">
        <is>
          <t>open</t>
        </is>
      </c>
      <c r="Y998" s="7" t="n"/>
      <c r="Z998" s="7" t="inlineStr">
        <is>
          <t>https://wol.jw.org/en/wol/d/r1/lp-e/101979409#h=7</t>
        </is>
      </c>
      <c r="AA998" s="7" t="n">
        <v>0</v>
      </c>
      <c r="AB998" s="7" t="n"/>
      <c r="AC998" s="7" t="n">
        <v>0</v>
      </c>
      <c r="AD998" s="7" t="n"/>
      <c r="AE998" s="7" t="n"/>
      <c r="AF998" s="7" t="n"/>
      <c r="AG998" s="7" t="n"/>
      <c r="AH998" s="7" t="n"/>
      <c r="AI998" s="7" t="n"/>
      <c r="AJ998" s="7" t="n"/>
      <c r="AK998" s="7" t="inlineStr">
        <is>
          <t>how-the-bible-came-to-us #40 (step)</t>
        </is>
      </c>
      <c r="AL998" s="7" t="n"/>
      <c r="AM998" s="7" t="n">
        <v>1728</v>
      </c>
      <c r="AN998" s="10" t="n"/>
      <c r="AO998" s="10" t="n"/>
      <c r="AP998" s="10" t="n"/>
      <c r="AQ998" s="10" t="n"/>
    </row>
    <row r="999">
      <c r="A999" s="7" t="inlineStr">
        <is>
          <t>b7-0178</t>
        </is>
      </c>
      <c r="B999" s="7" t="inlineStr">
        <is>
          <t>Point</t>
        </is>
      </c>
      <c r="C999" s="7" t="n"/>
      <c r="D999" s="7" t="inlineStr">
        <is>
          <t>by 1732</t>
        </is>
      </c>
      <c r="E999" s="7" t="n"/>
      <c r="F999" s="7" t="inlineStr">
        <is>
          <t>1732 CE</t>
        </is>
      </c>
      <c r="G999" s="7" t="inlineStr">
        <is>
          <t>Before (b.)</t>
        </is>
      </c>
      <c r="H999" s="7" t="n"/>
      <c r="I999" s="7" t="n"/>
      <c r="J999" s="7" t="n"/>
      <c r="K999" s="2" t="inlineStr">
        <is>
          <t>Benjamin Schultze finishes a Telugu rendering (never printed)</t>
        </is>
      </c>
      <c r="L999" s="2" t="n"/>
      <c r="M999" s="7" t="inlineStr">
        <is>
          <t>German scholar Benjamin Schultze evidently finished a Telugu rendering by 1732, but it was never printed; the manuscript was apparently mislaid in Halle, Germany.</t>
        </is>
      </c>
      <c r="N999" s="7" t="n"/>
      <c r="O999" s="12" t="inlineStr">
        <is>
          <t>Bible &amp; church history</t>
        </is>
      </c>
      <c r="P999" s="7" t="inlineStr">
        <is>
          <t>history.bible_translation</t>
        </is>
      </c>
      <c r="Q999" s="7" t="inlineStr">
        <is>
          <t>translation</t>
        </is>
      </c>
      <c r="R999" s="7" t="inlineStr">
        <is>
          <t>Benjamin Schultze</t>
        </is>
      </c>
      <c r="S999" s="7" t="n"/>
      <c r="T999" s="7" t="n"/>
      <c r="U999" s="7" t="n"/>
      <c r="V999" s="7" t="n">
        <v>1</v>
      </c>
      <c r="W999" s="7" t="inlineStr">
        <is>
          <t>Translating the Bible in India</t>
        </is>
      </c>
      <c r="X999" s="9" t="inlineStr">
        <is>
          <t>open</t>
        </is>
      </c>
      <c r="Y999" s="7" t="n"/>
      <c r="Z999" s="7" t="inlineStr">
        <is>
          <t>https://wol.jw.org/en/wol/d/r1/lp-e/101979409#h=16</t>
        </is>
      </c>
      <c r="AA999" s="7" t="n">
        <v>0</v>
      </c>
      <c r="AB999" s="7" t="n"/>
      <c r="AC999" s="7" t="n">
        <v>0</v>
      </c>
      <c r="AD999" s="7" t="n"/>
      <c r="AE999" s="7" t="n"/>
      <c r="AF999" s="7" t="n"/>
      <c r="AG999" s="7" t="n"/>
      <c r="AH999" s="7" t="n"/>
      <c r="AI999" s="7" t="n"/>
      <c r="AJ999" s="7" t="n"/>
      <c r="AK999" s="7" t="n"/>
      <c r="AL999" s="7" t="n"/>
      <c r="AM999" s="7" t="n">
        <v>1731.99</v>
      </c>
      <c r="AN999" s="10" t="n"/>
      <c r="AO999" s="10" t="n"/>
      <c r="AP999" s="10" t="n"/>
      <c r="AQ999" s="10" t="n"/>
    </row>
    <row r="1000">
      <c r="A1000" s="7" t="inlineStr">
        <is>
          <t>b7-0179</t>
        </is>
      </c>
      <c r="B1000" s="7" t="inlineStr">
        <is>
          <t>Point</t>
        </is>
      </c>
      <c r="C1000" s="7" t="n"/>
      <c r="D1000" s="7" t="inlineStr">
        <is>
          <t>1737</t>
        </is>
      </c>
      <c r="E1000" s="7" t="inlineStr">
        <is>
          <t>1737</t>
        </is>
      </c>
      <c r="F1000" s="7" t="inlineStr">
        <is>
          <t>1737 CE</t>
        </is>
      </c>
      <c r="G1000" s="7" t="inlineStr">
        <is>
          <t>Exact</t>
        </is>
      </c>
      <c r="H1000" s="7" t="n"/>
      <c r="I1000" s="7" t="n"/>
      <c r="J1000" s="7" t="n"/>
      <c r="K1000" s="2" t="inlineStr">
        <is>
          <t>Alexander Cruden's Bible concordance</t>
        </is>
      </c>
      <c r="L1000" s="2" t="inlineStr">
        <is>
          <t>உதாரணமாக, 1737-⁠ல் அலெக்ஸாந்தர் க்ரூடன் இப்படிப்பட்ட நூலை உண்டாக்கினார்</t>
        </is>
      </c>
      <c r="M1000" s="7" t="inlineStr">
        <is>
          <t>The chapter-and-verse system made possible Bible concordances such as Alexander Cruden's in 1737.</t>
        </is>
      </c>
      <c r="N1000" s="7" t="inlineStr">
        <is>
          <t>உதாரணமாக, 1737-⁠ல் அலெக்ஸாந்தர் க்ரூடன் இப்படிப்பட்ட நூலை உண்டாக்கினார்.</t>
        </is>
      </c>
      <c r="O1000" s="12" t="inlineStr">
        <is>
          <t>Bible &amp; church history</t>
        </is>
      </c>
      <c r="P1000" s="7" t="inlineStr">
        <is>
          <t>history.bible_preservation</t>
        </is>
      </c>
      <c r="Q1000" s="7" t="inlineStr">
        <is>
          <t>release</t>
        </is>
      </c>
      <c r="R1000" s="7" t="inlineStr">
        <is>
          <t>Alexander Cruden</t>
        </is>
      </c>
      <c r="S1000" s="7" t="n"/>
      <c r="T1000" s="7" t="n"/>
      <c r="U1000" s="7" t="n"/>
      <c r="V1000" s="7" t="n">
        <v>1</v>
      </c>
      <c r="W1000" s="7" t="inlineStr">
        <is>
          <t>Study Number 6—The Christian Greek Text of the Holy Scriptures</t>
        </is>
      </c>
      <c r="X1000" s="9" t="inlineStr">
        <is>
          <t>open</t>
        </is>
      </c>
      <c r="Y1000" s="9" t="inlineStr">
        <is>
          <t>open</t>
        </is>
      </c>
      <c r="Z1000" s="7" t="inlineStr">
        <is>
          <t>https://wol.jw.org/en/wol/d/r1/lp-e/1101990133#h=24</t>
        </is>
      </c>
      <c r="AA1000" s="7" t="n">
        <v>0</v>
      </c>
      <c r="AB1000" s="7" t="n"/>
      <c r="AC1000" s="7" t="n">
        <v>0</v>
      </c>
      <c r="AD1000" s="7" t="n"/>
      <c r="AE1000" s="7" t="n"/>
      <c r="AF1000" s="7" t="n"/>
      <c r="AG1000" s="7" t="n"/>
      <c r="AH1000" s="7" t="n"/>
      <c r="AI1000" s="7" t="n"/>
      <c r="AJ1000" s="7" t="n"/>
      <c r="AK1000" s="7" t="n"/>
      <c r="AL1000" s="7" t="n"/>
      <c r="AM1000" s="7" t="n">
        <v>1737</v>
      </c>
      <c r="AN1000" s="10" t="n"/>
      <c r="AO1000" s="10" t="n"/>
      <c r="AP1000" s="10" t="n"/>
      <c r="AQ1000" s="10" t="n"/>
    </row>
    <row r="1001">
      <c r="A1001" s="7" t="inlineStr">
        <is>
          <t>b7-0180</t>
        </is>
      </c>
      <c r="B1001" s="11" t="inlineStr">
        <is>
          <t>Span</t>
        </is>
      </c>
      <c r="C1001" s="7" t="inlineStr">
        <is>
          <t>publication</t>
        </is>
      </c>
      <c r="D1001" s="7" t="inlineStr">
        <is>
          <t>1776-1780</t>
        </is>
      </c>
      <c r="E1001" s="7" t="inlineStr">
        <is>
          <t>1776-80</t>
        </is>
      </c>
      <c r="F1001" s="7" t="inlineStr">
        <is>
          <t>1776 CE</t>
        </is>
      </c>
      <c r="G1001" s="7" t="inlineStr">
        <is>
          <t>Exact</t>
        </is>
      </c>
      <c r="H1001" s="7" t="inlineStr">
        <is>
          <t>1780 CE</t>
        </is>
      </c>
      <c r="I1001" s="7" t="inlineStr">
        <is>
          <t>Exact</t>
        </is>
      </c>
      <c r="J1001" s="7" t="inlineStr">
        <is>
          <t>4 years</t>
        </is>
      </c>
      <c r="K1001" s="2" t="inlineStr">
        <is>
          <t>Kennicott publishes readings of over 600 Hebrew manuscripts</t>
        </is>
      </c>
      <c r="L1001" s="2" t="n"/>
      <c r="M1001" s="7" t="inlineStr">
        <is>
          <t>Critical study of the Hebrew text began in the 18th century; at Oxford in 1776-1780 Benjamin Kennicott published variant readings from over 600 Masoretic Hebrew manuscripts.</t>
        </is>
      </c>
      <c r="N1001" s="7" t="inlineStr">
        <is>
          <t>1776-80-⁠ல், ஆக்ஸ்ஃபர்ட்டில், பென்ஜமின் கென்னிக்காட் 600-⁠க்கும் மேற்பட்ட எபிரெய கையெழுத்துப் பிரதிகளின் பல்வேறு வாசகங்களைப் பிரசுரித்தார்.</t>
        </is>
      </c>
      <c r="O1001" s="12" t="inlineStr">
        <is>
          <t>Bible &amp; church history</t>
        </is>
      </c>
      <c r="P1001" s="7" t="inlineStr">
        <is>
          <t>history.bible_preservation</t>
        </is>
      </c>
      <c r="Q1001" s="7" t="inlineStr">
        <is>
          <t>release</t>
        </is>
      </c>
      <c r="R1001" s="7" t="inlineStr">
        <is>
          <t>Benjamin Kennicott</t>
        </is>
      </c>
      <c r="S1001" s="7" t="inlineStr">
        <is>
          <t>Oxford</t>
        </is>
      </c>
      <c r="T1001" s="7" t="n"/>
      <c r="U1001" s="7" t="n"/>
      <c r="V1001" s="7" t="n">
        <v>2</v>
      </c>
      <c r="W1001" s="7" t="inlineStr">
        <is>
          <t>Manuscripts of the Bible</t>
        </is>
      </c>
      <c r="X1001" s="9" t="inlineStr">
        <is>
          <t>open</t>
        </is>
      </c>
      <c r="Y1001" s="7" t="n"/>
      <c r="Z1001" s="7" t="inlineStr">
        <is>
          <t>https://wol.jw.org/en/wol/d/r1/lp-e/1200002893#h=11
https://wol.jw.org/en/wol/d/r1/lp-e/1101990132#h=34</t>
        </is>
      </c>
      <c r="AA1001" s="7" t="n">
        <v>0</v>
      </c>
      <c r="AB1001" s="7" t="n"/>
      <c r="AC1001" s="7" t="n">
        <v>0</v>
      </c>
      <c r="AD1001" s="7" t="n"/>
      <c r="AE1001" s="7" t="n"/>
      <c r="AF1001" s="7" t="n"/>
      <c r="AG1001" s="7" t="n"/>
      <c r="AH1001" s="7" t="n"/>
      <c r="AI1001" s="7" t="n"/>
      <c r="AJ1001" s="7" t="n"/>
      <c r="AK1001" s="7" t="n"/>
      <c r="AL1001" s="7" t="n"/>
      <c r="AM1001" s="7" t="n">
        <v>1776</v>
      </c>
      <c r="AN1001" s="10" t="n"/>
      <c r="AO1001" s="10" t="n"/>
      <c r="AP1001" s="10" t="n"/>
      <c r="AQ1001" s="10" t="n"/>
    </row>
    <row r="1002">
      <c r="A1002" s="7" t="inlineStr">
        <is>
          <t>b7-0181</t>
        </is>
      </c>
      <c r="B1002" s="7" t="inlineStr">
        <is>
          <t>Point</t>
        </is>
      </c>
      <c r="C1002" s="7" t="n"/>
      <c r="D1002" s="7" t="inlineStr">
        <is>
          <t>1782</t>
        </is>
      </c>
      <c r="E1002" s="7" t="inlineStr">
        <is>
          <t>1782</t>
        </is>
      </c>
      <c r="F1002" s="7" t="inlineStr">
        <is>
          <t>1782 CE</t>
        </is>
      </c>
      <c r="G1002" s="7" t="inlineStr">
        <is>
          <t>Exact</t>
        </is>
      </c>
      <c r="H1002" s="7" t="n"/>
      <c r="I1002" s="7" t="n"/>
      <c r="J1002" s="7" t="n"/>
      <c r="K1002" s="2" t="inlineStr">
        <is>
          <t>Spanish Inquisition permits Bibles with annotations</t>
        </is>
      </c>
      <c r="L1002" s="2" t="n"/>
      <c r="M1002" s="7" t="inlineStr">
        <is>
          <t>In 1782 the Inquisition tribunal decreed that the Bible could be published in Spain provided it included annotations on history and dogma.</t>
        </is>
      </c>
      <c r="N1002" s="7" t="inlineStr">
        <is>
          <t>கடைசியாக, 1782-ல் கத்தோலிக்க சமய தீர்ப்பு மன்றத்தின் தீர்ப்பாயம் பைபிளானது சரித்திரம் மற்றும் சமயக் கொள்கை ஆகியவற்றின் பேரில் குறிப்புரைகளைக் கொண்டிருக்கும் வரையில் அது பிரசுரிக்கப்படலாம் என்று ஆணை பிறப்பித்தது.</t>
        </is>
      </c>
      <c r="O1002" s="12" t="inlineStr">
        <is>
          <t>Bible &amp; church history</t>
        </is>
      </c>
      <c r="P1002" s="7" t="inlineStr">
        <is>
          <t>history.bible_translation</t>
        </is>
      </c>
      <c r="Q1002" s="7" t="inlineStr">
        <is>
          <t>decree</t>
        </is>
      </c>
      <c r="R1002" s="7" t="n"/>
      <c r="S1002" s="7" t="inlineStr">
        <is>
          <t>Spain</t>
        </is>
      </c>
      <c r="T1002" s="7" t="n"/>
      <c r="U1002" s="7" t="n"/>
      <c r="V1002" s="7" t="n">
        <v>1</v>
      </c>
      <c r="W1002" s="7" t="inlineStr">
        <is>
          <t>The Spanish Bible’s Battle for Survival</t>
        </is>
      </c>
      <c r="X1002" s="9" t="inlineStr">
        <is>
          <t>open</t>
        </is>
      </c>
      <c r="Y1002" s="9" t="inlineStr">
        <is>
          <t>open</t>
        </is>
      </c>
      <c r="Z1002" s="7" t="inlineStr">
        <is>
          <t>https://wol.jw.org/en/wol/d/r1/lp-e/1992442#h=24</t>
        </is>
      </c>
      <c r="AA1002" s="7" t="n">
        <v>0</v>
      </c>
      <c r="AB1002" s="7" t="n"/>
      <c r="AC1002" s="7" t="n">
        <v>0</v>
      </c>
      <c r="AD1002" s="7" t="n"/>
      <c r="AE1002" s="7" t="n"/>
      <c r="AF1002" s="7" t="n"/>
      <c r="AG1002" s="7" t="n"/>
      <c r="AH1002" s="7" t="n"/>
      <c r="AI1002" s="7" t="n"/>
      <c r="AJ1002" s="7" t="n"/>
      <c r="AK1002" s="7" t="n"/>
      <c r="AL1002" s="7" t="n"/>
      <c r="AM1002" s="7" t="n">
        <v>1782</v>
      </c>
      <c r="AN1002" s="10" t="n"/>
      <c r="AO1002" s="10" t="n"/>
      <c r="AP1002" s="10" t="n"/>
      <c r="AQ1002" s="10" t="n"/>
    </row>
    <row r="1003">
      <c r="A1003" s="7" t="inlineStr">
        <is>
          <t>b7-0182</t>
        </is>
      </c>
      <c r="B1003" s="11" t="inlineStr">
        <is>
          <t>Span</t>
        </is>
      </c>
      <c r="C1003" s="7" t="inlineStr">
        <is>
          <t>publication</t>
        </is>
      </c>
      <c r="D1003" s="7" t="inlineStr">
        <is>
          <t>1784-1798</t>
        </is>
      </c>
      <c r="E1003" s="7" t="inlineStr">
        <is>
          <t>1784-98</t>
        </is>
      </c>
      <c r="F1003" s="7" t="inlineStr">
        <is>
          <t>1784 CE</t>
        </is>
      </c>
      <c r="G1003" s="7" t="inlineStr">
        <is>
          <t>Exact</t>
        </is>
      </c>
      <c r="H1003" s="7" t="inlineStr">
        <is>
          <t>1798 CE</t>
        </is>
      </c>
      <c r="I1003" s="7" t="inlineStr">
        <is>
          <t>Exact</t>
        </is>
      </c>
      <c r="J1003" s="7" t="inlineStr">
        <is>
          <t>14 years</t>
        </is>
      </c>
      <c r="K1003" s="2" t="inlineStr">
        <is>
          <t>De Rossi publishes comparisons of Hebrew manuscripts at Parma</t>
        </is>
      </c>
      <c r="L1003" s="2" t="n"/>
      <c r="M1003" s="7" t="inlineStr">
        <is>
          <t>From 1784 to 1798, Italian scholar Giambernardo de Rossi published at Parma comparisons of hundreds of Hebrew manuscripts.</t>
        </is>
      </c>
      <c r="N1003" s="7" t="inlineStr">
        <is>
          <t>பின்பு, 1784-98-⁠ல், பர்மாவில், இத்தாலிய அறிஞர் ஜே. பி. டீ ரோஸை, இன்னும் 800-⁠க்கும் மேற்பட்ட கையெழுத்துப் பிரதிகளின் பல்வேறு வாசகங்களைப் பிரசுரித்தார்.</t>
        </is>
      </c>
      <c r="O1003" s="12" t="inlineStr">
        <is>
          <t>Bible &amp; church history</t>
        </is>
      </c>
      <c r="P1003" s="7" t="inlineStr">
        <is>
          <t>history.bible_preservation</t>
        </is>
      </c>
      <c r="Q1003" s="7" t="inlineStr">
        <is>
          <t>release</t>
        </is>
      </c>
      <c r="R1003" s="7" t="inlineStr">
        <is>
          <t>Giambernardo de Rossi</t>
        </is>
      </c>
      <c r="S1003" s="7" t="inlineStr">
        <is>
          <t>Parma</t>
        </is>
      </c>
      <c r="T1003" s="7" t="n"/>
      <c r="U1003" s="7" t="n"/>
      <c r="V1003" s="7" t="n">
        <v>2</v>
      </c>
      <c r="W1003" s="7" t="inlineStr">
        <is>
          <t>Manuscripts of the Bible</t>
        </is>
      </c>
      <c r="X1003" s="9" t="inlineStr">
        <is>
          <t>open</t>
        </is>
      </c>
      <c r="Y1003" s="7" t="n"/>
      <c r="Z1003" s="7" t="inlineStr">
        <is>
          <t>https://wol.jw.org/en/wol/d/r1/lp-e/1200002893#h=11
https://wol.jw.org/en/wol/d/r1/lp-e/1101990132#h=34</t>
        </is>
      </c>
      <c r="AA1003" s="7" t="n">
        <v>0</v>
      </c>
      <c r="AB1003" s="7" t="n"/>
      <c r="AC1003" s="7" t="n">
        <v>1</v>
      </c>
      <c r="AD1003" s="7" t="inlineStr">
        <is>
          <t>Insight says de Rossi compared 731 manuscripts; "All Scripture" Study 5 says variant readings of over 800 more manuscripts.</t>
        </is>
      </c>
      <c r="AE1003" s="7" t="n"/>
      <c r="AF1003" s="7" t="n"/>
      <c r="AG1003" s="7" t="n"/>
      <c r="AH1003" s="7" t="n"/>
      <c r="AI1003" s="7" t="n"/>
      <c r="AJ1003" s="7" t="n"/>
      <c r="AK1003" s="7" t="n"/>
      <c r="AL1003" s="7" t="n"/>
      <c r="AM1003" s="7" t="n">
        <v>1784</v>
      </c>
      <c r="AN1003" s="10" t="n"/>
      <c r="AO1003" s="10" t="n"/>
      <c r="AP1003" s="10" t="n"/>
      <c r="AQ1003" s="10" t="n"/>
    </row>
    <row r="1004">
      <c r="A1004" s="7" t="inlineStr">
        <is>
          <t>b7-0183</t>
        </is>
      </c>
      <c r="B1004" s="7" t="inlineStr">
        <is>
          <t>Point</t>
        </is>
      </c>
      <c r="C1004" s="7" t="n"/>
      <c r="D1004" s="7" t="inlineStr">
        <is>
          <t>1790</t>
        </is>
      </c>
      <c r="E1004" s="7" t="inlineStr">
        <is>
          <t>1790</t>
        </is>
      </c>
      <c r="F1004" s="7" t="inlineStr">
        <is>
          <t>1790 CE</t>
        </is>
      </c>
      <c r="G1004" s="7" t="inlineStr">
        <is>
          <t>Exact</t>
        </is>
      </c>
      <c r="H1004" s="7" t="n"/>
      <c r="I1004" s="7" t="n"/>
      <c r="J1004" s="7" t="n"/>
      <c r="K1004" s="2" t="inlineStr">
        <is>
          <t>Bishop Scio's Spanish Bible from the Vulgate</t>
        </is>
      </c>
      <c r="L1004" s="2" t="n"/>
      <c r="M1004" s="7" t="inlineStr">
        <is>
          <t>In 1790 the Catholic bishop of Segovia, Felipe Scio de San Miguel, translated a Spanish Bible from the Latin Vulgate; it was expensive and obscure.</t>
        </is>
      </c>
      <c r="N1004" s="7" t="inlineStr">
        <is>
          <t>1790-ல் செகோவியாவின் கத்தோலிக்க ஆயர் ஃபெலிப் சியோ டி சான் மைக்குவல், லத்தீன் வல்கேட்-ஐ பயன்படுத்தி பைபிளை ஸ்பானிய மொழியில் மொழிபெயர்த்தார்.</t>
        </is>
      </c>
      <c r="O1004" s="12" t="inlineStr">
        <is>
          <t>Bible &amp; church history</t>
        </is>
      </c>
      <c r="P1004" s="7" t="inlineStr">
        <is>
          <t>history.bible_translation</t>
        </is>
      </c>
      <c r="Q1004" s="7" t="inlineStr">
        <is>
          <t>release</t>
        </is>
      </c>
      <c r="R1004" s="7" t="inlineStr">
        <is>
          <t>Felipe Scio de San Miguel</t>
        </is>
      </c>
      <c r="S1004" s="7" t="inlineStr">
        <is>
          <t>Spain</t>
        </is>
      </c>
      <c r="T1004" s="7" t="n"/>
      <c r="U1004" s="7" t="n"/>
      <c r="V1004" s="7" t="n">
        <v>1</v>
      </c>
      <c r="W1004" s="7" t="inlineStr">
        <is>
          <t>The Spanish Bible’s Battle for Survival</t>
        </is>
      </c>
      <c r="X1004" s="9" t="inlineStr">
        <is>
          <t>open</t>
        </is>
      </c>
      <c r="Y1004" s="9" t="inlineStr">
        <is>
          <t>open</t>
        </is>
      </c>
      <c r="Z1004" s="7" t="inlineStr">
        <is>
          <t>https://wol.jw.org/en/wol/d/r1/lp-e/1992442#h=24</t>
        </is>
      </c>
      <c r="AA1004" s="7" t="n">
        <v>0</v>
      </c>
      <c r="AB1004" s="7" t="n"/>
      <c r="AC1004" s="7" t="n">
        <v>0</v>
      </c>
      <c r="AD1004" s="7" t="n"/>
      <c r="AE1004" s="7" t="n"/>
      <c r="AF1004" s="7" t="n"/>
      <c r="AG1004" s="7" t="n"/>
      <c r="AH1004" s="7" t="n"/>
      <c r="AI1004" s="7" t="n"/>
      <c r="AJ1004" s="7" t="n"/>
      <c r="AK1004" s="7" t="n"/>
      <c r="AL1004" s="7" t="n"/>
      <c r="AM1004" s="7" t="n">
        <v>1790</v>
      </c>
      <c r="AN1004" s="10" t="n"/>
      <c r="AO1004" s="10" t="n"/>
      <c r="AP1004" s="10" t="n"/>
      <c r="AQ1004" s="10" t="n"/>
    </row>
    <row r="1005">
      <c r="A1005" s="7" t="inlineStr">
        <is>
          <t>b7-0184</t>
        </is>
      </c>
      <c r="B1005" s="7" t="inlineStr">
        <is>
          <t>Point</t>
        </is>
      </c>
      <c r="C1005" s="7" t="n"/>
      <c r="D1005" s="7" t="inlineStr">
        <is>
          <t>1793</t>
        </is>
      </c>
      <c r="E1005" s="7" t="inlineStr">
        <is>
          <t>1793</t>
        </is>
      </c>
      <c r="F1005" s="7" t="inlineStr">
        <is>
          <t>1793 CE</t>
        </is>
      </c>
      <c r="G1005" s="7" t="inlineStr">
        <is>
          <t>Exact</t>
        </is>
      </c>
      <c r="H1005" s="7" t="n"/>
      <c r="I1005" s="7" t="n"/>
      <c r="J1005" s="7" t="n"/>
      <c r="K1005" s="2" t="inlineStr">
        <is>
          <t>William Carey sails for India</t>
        </is>
      </c>
      <c r="L1005" s="2" t="inlineStr">
        <is>
          <t>இருப்பினும் கேரி 1793-ல் இந்தியாவுக்கு கப்பலில் வந்துசேர்ந்தார்</t>
        </is>
      </c>
      <c r="M1005" s="7" t="inlineStr">
        <is>
          <t>Despite rebukes from predestinarian churchmen, William Carey sailed for India in 1793. With associates he eventually translated all or part of the Bible into dozens of Indian languages.</t>
        </is>
      </c>
      <c r="N1005" s="7" t="inlineStr">
        <is>
          <t>இருப்பினும் கேரி 1793-ல் இந்தியாவுக்கு கப்பலில் வந்துசேர்ந்தார்.</t>
        </is>
      </c>
      <c r="O1005" s="12" t="inlineStr">
        <is>
          <t>Bible &amp; church history</t>
        </is>
      </c>
      <c r="P1005" s="7" t="inlineStr">
        <is>
          <t>history.bible_translation</t>
        </is>
      </c>
      <c r="Q1005" s="7" t="inlineStr">
        <is>
          <t>journey</t>
        </is>
      </c>
      <c r="R1005" s="7" t="inlineStr">
        <is>
          <t>William Carey</t>
        </is>
      </c>
      <c r="S1005" s="7" t="inlineStr">
        <is>
          <t>India</t>
        </is>
      </c>
      <c r="T1005" s="7" t="n"/>
      <c r="U1005" s="7" t="n"/>
      <c r="V1005" s="7" t="n">
        <v>3</v>
      </c>
      <c r="W1005" s="7" t="inlineStr">
        <is>
          <t>Part Three—How the Bible Came to Us</t>
        </is>
      </c>
      <c r="X1005" s="9" t="inlineStr">
        <is>
          <t>open</t>
        </is>
      </c>
      <c r="Y1005" s="9" t="inlineStr">
        <is>
          <t>open</t>
        </is>
      </c>
      <c r="Z1005" s="7" t="inlineStr">
        <is>
          <t>https://wol.jw.org/en/wol/d/r1/lp-e/1997763#h=6
https://wol.jw.org/en/wol/d/r1/lp-e/101979409#h=11
https://wol.jw.org/en/wol/d/r1/lp-e/1101997025#h=17</t>
        </is>
      </c>
      <c r="AA1005" s="7" t="n">
        <v>0</v>
      </c>
      <c r="AB1005" s="7" t="n"/>
      <c r="AC1005" s="7" t="n">
        <v>1</v>
      </c>
      <c r="AD1005" s="7" t="inlineStr">
        <is>
          <t>Number of Indian languages credited to Carey varies: Watchtower 1997 10/15 says 35; Awake! 1979 6/8 says 36 (within 21 years); A Book for All People says nearly 40 (with Marshman and Ward).</t>
        </is>
      </c>
      <c r="AE1005" s="7" t="n"/>
      <c r="AF1005" s="7" t="n"/>
      <c r="AG1005" s="7" t="n"/>
      <c r="AH1005" s="7" t="n"/>
      <c r="AI1005" s="7" t="n"/>
      <c r="AJ1005" s="7" t="n"/>
      <c r="AK1005" s="7" t="inlineStr">
        <is>
          <t>how-the-bible-came-to-us #41 (context)</t>
        </is>
      </c>
      <c r="AL1005" s="7" t="n"/>
      <c r="AM1005" s="7" t="n">
        <v>1793</v>
      </c>
      <c r="AN1005" s="10" t="n"/>
      <c r="AO1005" s="10" t="n"/>
      <c r="AP1005" s="10" t="n"/>
      <c r="AQ1005" s="10" t="n"/>
    </row>
    <row r="1006">
      <c r="A1006" s="7" t="inlineStr">
        <is>
          <t>b7-0185</t>
        </is>
      </c>
      <c r="B1006" s="11" t="inlineStr">
        <is>
          <t>Span</t>
        </is>
      </c>
      <c r="C1006" s="7" t="inlineStr">
        <is>
          <t>publication</t>
        </is>
      </c>
      <c r="D1006" s="7" t="inlineStr">
        <is>
          <t>1796-1806</t>
        </is>
      </c>
      <c r="E1006" s="7" t="inlineStr">
        <is>
          <t>1796-1806</t>
        </is>
      </c>
      <c r="F1006" s="7" t="inlineStr">
        <is>
          <t>1796 CE</t>
        </is>
      </c>
      <c r="G1006" s="7" t="inlineStr">
        <is>
          <t>Exact</t>
        </is>
      </c>
      <c r="H1006" s="7" t="inlineStr">
        <is>
          <t>1806 CE</t>
        </is>
      </c>
      <c r="I1006" s="7" t="inlineStr">
        <is>
          <t>Exact</t>
        </is>
      </c>
      <c r="J1006" s="7" t="inlineStr">
        <is>
          <t>10 years</t>
        </is>
      </c>
      <c r="K1006" s="2" t="inlineStr">
        <is>
          <t>Griesbach's principal Greek master text published</t>
        </is>
      </c>
      <c r="L1006" s="2" t="inlineStr">
        <is>
          <t>கிரீஸ்பாச்சின் முழுமையான கிரேக்க வாக்கியத்தின் சிறந்த பதிப்பு 1796-1806-⁠ல் பிரசுரிக்கப்பட்டது</t>
        </is>
      </c>
      <c r="M1006" s="7" t="inlineStr">
        <is>
          <t>J. J. Griesbach, who classified manuscripts into families, published his principal edition of the entire Greek text in 1796-1806; it later underlay Sharpe's translation and The Emphatic Diaglott.</t>
        </is>
      </c>
      <c r="N1006" s="7" t="inlineStr">
        <is>
          <t>கிரீஸ்பாச்சின் முழுமையான கிரேக்க வாக்கியத்தின் சிறந்த பதிப்பு 1796-1806-⁠ல் பிரசுரிக்கப்பட்டது.</t>
        </is>
      </c>
      <c r="O1006" s="12" t="inlineStr">
        <is>
          <t>Bible &amp; church history</t>
        </is>
      </c>
      <c r="P1006" s="7" t="inlineStr">
        <is>
          <t>history.bible_preservation</t>
        </is>
      </c>
      <c r="Q1006" s="7" t="inlineStr">
        <is>
          <t>release</t>
        </is>
      </c>
      <c r="R1006" s="7" t="inlineStr">
        <is>
          <t>J. J. Griesbach</t>
        </is>
      </c>
      <c r="S1006" s="7" t="n"/>
      <c r="T1006" s="7" t="n"/>
      <c r="U1006" s="7" t="n"/>
      <c r="V1006" s="7" t="n">
        <v>2</v>
      </c>
      <c r="W1006" s="7" t="inlineStr">
        <is>
          <t>Manuscripts of the Bible</t>
        </is>
      </c>
      <c r="X1006" s="9" t="inlineStr">
        <is>
          <t>open</t>
        </is>
      </c>
      <c r="Y1006" s="7" t="n"/>
      <c r="Z1006" s="7" t="inlineStr">
        <is>
          <t>https://wol.jw.org/en/wol/d/r1/lp-e/1200002893#h=14
https://wol.jw.org/en/wol/d/r1/lp-e/1101990133#h=26</t>
        </is>
      </c>
      <c r="AA1006" s="7" t="n">
        <v>0</v>
      </c>
      <c r="AB1006" s="7" t="n"/>
      <c r="AC1006" s="7" t="n">
        <v>0</v>
      </c>
      <c r="AD1006" s="7" t="n"/>
      <c r="AE1006" s="7" t="n"/>
      <c r="AF1006" s="7" t="n"/>
      <c r="AG1006" s="7" t="n"/>
      <c r="AH1006" s="7" t="n"/>
      <c r="AI1006" s="7" t="n"/>
      <c r="AJ1006" s="7" t="n"/>
      <c r="AK1006" s="7" t="n"/>
      <c r="AL1006" s="7" t="n"/>
      <c r="AM1006" s="7" t="n">
        <v>1796</v>
      </c>
      <c r="AN1006" s="10" t="n"/>
      <c r="AO1006" s="10" t="n"/>
      <c r="AP1006" s="10" t="n"/>
      <c r="AQ1006" s="10" t="n"/>
    </row>
    <row r="1007">
      <c r="A1007" s="7" t="inlineStr">
        <is>
          <t>b7-0186</t>
        </is>
      </c>
      <c r="B1007" s="7" t="inlineStr">
        <is>
          <t>Point</t>
        </is>
      </c>
      <c r="C1007" s="7" t="n"/>
      <c r="D1007" s="7" t="inlineStr">
        <is>
          <t>1796, December 13</t>
        </is>
      </c>
      <c r="E1007" s="7" t="n"/>
      <c r="F1007" s="7" t="inlineStr">
        <is>
          <t>1796 CE</t>
        </is>
      </c>
      <c r="G1007" s="7" t="inlineStr">
        <is>
          <t>Exact</t>
        </is>
      </c>
      <c r="H1007" s="7" t="n"/>
      <c r="I1007" s="7" t="n"/>
      <c r="J1007" s="7" t="n"/>
      <c r="K1007" s="2" t="inlineStr">
        <is>
          <t>George Storrs born</t>
        </is>
      </c>
      <c r="L1007" s="2" t="n"/>
      <c r="M1007" s="7" t="inlineStr">
        <is>
          <t>George Storrs, later publisher of the Bible Examiner and an advocate of conditional immortality who influenced C. T. Russell, was born on December 13, 1796.</t>
        </is>
      </c>
      <c r="N1007" s="7" t="n"/>
      <c r="O1007" s="12" t="inlineStr">
        <is>
          <t>Bible &amp; church history</t>
        </is>
      </c>
      <c r="P1007" s="7" t="inlineStr">
        <is>
          <t>history.reform</t>
        </is>
      </c>
      <c r="Q1007" s="7" t="inlineStr">
        <is>
          <t>birth</t>
        </is>
      </c>
      <c r="R1007" s="7" t="inlineStr">
        <is>
          <t>George Storrs</t>
        </is>
      </c>
      <c r="S1007" s="7" t="n"/>
      <c r="T1007" s="7" t="n"/>
      <c r="U1007" s="7" t="n"/>
      <c r="V1007" s="7" t="n">
        <v>1</v>
      </c>
      <c r="W1007" s="7" t="inlineStr">
        <is>
          <t>Proclaiming the Lord’s Return (1870-1914)</t>
        </is>
      </c>
      <c r="X1007" s="9" t="inlineStr">
        <is>
          <t>open</t>
        </is>
      </c>
      <c r="Y1007" s="7" t="n"/>
      <c r="Z1007" s="7" t="inlineStr">
        <is>
          <t>https://wol.jw.org/en/wol/d/r1/lp-e/1101993006#h=19</t>
        </is>
      </c>
      <c r="AA1007" s="7" t="n">
        <v>0</v>
      </c>
      <c r="AB1007" s="7" t="n"/>
      <c r="AC1007" s="7" t="n">
        <v>0</v>
      </c>
      <c r="AD1007" s="7" t="n"/>
      <c r="AE1007" s="7" t="n"/>
      <c r="AF1007" s="7" t="n"/>
      <c r="AG1007" s="7" t="n"/>
      <c r="AH1007" s="7" t="n"/>
      <c r="AI1007" s="7" t="inlineStr">
        <is>
          <t>Covered by span – hide on chart</t>
        </is>
      </c>
      <c r="AJ1007" s="7" t="inlineStr">
        <is>
          <t>start of Life of George Storrs (d1-0028)</t>
        </is>
      </c>
      <c r="AK1007" s="7" t="n"/>
      <c r="AL1007" s="7" t="n"/>
      <c r="AM1007" s="7" t="n">
        <v>1796.9489</v>
      </c>
      <c r="AN1007" s="10" t="n"/>
      <c r="AO1007" s="10" t="n"/>
      <c r="AP1007" s="10" t="n"/>
      <c r="AQ1007" s="10" t="n"/>
    </row>
    <row r="1008">
      <c r="A1008" s="7" t="inlineStr">
        <is>
          <t>d1-0028</t>
        </is>
      </c>
      <c r="B1008" s="11" t="inlineStr">
        <is>
          <t>Span</t>
        </is>
      </c>
      <c r="C1008" s="7" t="inlineStr">
        <is>
          <t>lifespan</t>
        </is>
      </c>
      <c r="D1008" s="7" t="inlineStr">
        <is>
          <t>1796, December 13 – December 28, 1879</t>
        </is>
      </c>
      <c r="E1008" s="7" t="n"/>
      <c r="F1008" s="7" t="inlineStr">
        <is>
          <t>1796 CE</t>
        </is>
      </c>
      <c r="G1008" s="7" t="inlineStr">
        <is>
          <t>Exact</t>
        </is>
      </c>
      <c r="H1008" s="7" t="inlineStr">
        <is>
          <t>1879 CE</t>
        </is>
      </c>
      <c r="I1008" s="7" t="inlineStr">
        <is>
          <t>Exact</t>
        </is>
      </c>
      <c r="J1008" s="7" t="inlineStr">
        <is>
          <t>83 years</t>
        </is>
      </c>
      <c r="K1008" s="2" t="inlineStr">
        <is>
          <t>Life of George Storrs</t>
        </is>
      </c>
      <c r="L1008" s="2" t="n"/>
      <c r="M1008" s="7" t="inlineStr">
        <is>
          <t>George Storrs: from George Storrs born (1796, December 13) to George Storrs dies (December 28, 1879). Dates as given in the cited jw.org publications.</t>
        </is>
      </c>
      <c r="N1008" s="7" t="n"/>
      <c r="O1008" s="12" t="inlineStr">
        <is>
          <t>Bible &amp; church history</t>
        </is>
      </c>
      <c r="P1008" s="7" t="inlineStr">
        <is>
          <t>history.reform</t>
        </is>
      </c>
      <c r="Q1008" s="7" t="inlineStr">
        <is>
          <t>lifespan</t>
        </is>
      </c>
      <c r="R1008" s="7" t="inlineStr">
        <is>
          <t>George Storrs</t>
        </is>
      </c>
      <c r="S1008" s="7" t="n"/>
      <c r="T1008" s="7" t="n"/>
      <c r="U1008" s="7" t="n"/>
      <c r="V1008" s="7" t="n">
        <v>2</v>
      </c>
      <c r="W1008" s="7" t="inlineStr">
        <is>
          <t>Proclaiming the Lord’s Return (1870-1914)</t>
        </is>
      </c>
      <c r="X1008" s="9" t="inlineStr">
        <is>
          <t>open</t>
        </is>
      </c>
      <c r="Y1008" s="7" t="n"/>
      <c r="Z1008" s="7" t="inlineStr">
        <is>
          <t>https://wol.jw.org/en/wol/d/r1/lp-e/1101993006#h=19
https://wol.jw.org/en/wol/d/r1/lp-e/1102014241</t>
        </is>
      </c>
      <c r="AA1008" s="7" t="n">
        <v>0</v>
      </c>
      <c r="AB1008" s="7" t="n"/>
      <c r="AC1008" s="7" t="n">
        <v>0</v>
      </c>
      <c r="AD1008" s="7" t="n"/>
      <c r="AE1008" s="7" t="inlineStr">
        <is>
          <t>Built from b7-0186 (start) and b8-0020 (end).</t>
        </is>
      </c>
      <c r="AF1008" s="7" t="inlineStr">
        <is>
          <t>b7-0186</t>
        </is>
      </c>
      <c r="AG1008" s="7" t="inlineStr">
        <is>
          <t>b8-0020</t>
        </is>
      </c>
      <c r="AH1008" s="7" t="n"/>
      <c r="AI1008" s="7" t="n"/>
      <c r="AJ1008" s="7" t="n"/>
      <c r="AK1008" s="7" t="n"/>
      <c r="AL1008" s="7" t="n"/>
      <c r="AM1008" s="7" t="n">
        <v>1796.9489</v>
      </c>
      <c r="AN1008" s="10" t="n"/>
      <c r="AO1008" s="10" t="n"/>
      <c r="AP1008" s="10" t="n"/>
      <c r="AQ1008" s="10" t="n"/>
    </row>
    <row r="1009">
      <c r="A1009" s="7" t="inlineStr">
        <is>
          <t>b7-0187</t>
        </is>
      </c>
      <c r="B1009" s="7" t="inlineStr">
        <is>
          <t>Point</t>
        </is>
      </c>
      <c r="C1009" s="7" t="n"/>
      <c r="D1009" s="7" t="inlineStr">
        <is>
          <t>1798</t>
        </is>
      </c>
      <c r="E1009" s="7" t="n"/>
      <c r="F1009" s="7" t="inlineStr">
        <is>
          <t>1798 CE</t>
        </is>
      </c>
      <c r="G1009" s="7" t="inlineStr">
        <is>
          <t>Exact</t>
        </is>
      </c>
      <c r="H1009" s="7" t="n"/>
      <c r="I1009" s="7" t="n"/>
      <c r="J1009" s="7" t="n"/>
      <c r="K1009" s="2" t="inlineStr">
        <is>
          <t>Carey sets up a printing press at Calcutta</t>
        </is>
      </c>
      <c r="L1009" s="2" t="n"/>
      <c r="M1009" s="7" t="inlineStr">
        <is>
          <t>To publish his translations, Carey set up a primitive wooden printing press at Calcutta in 1798.</t>
        </is>
      </c>
      <c r="N1009" s="7" t="n"/>
      <c r="O1009" s="12" t="inlineStr">
        <is>
          <t>Bible &amp; church history</t>
        </is>
      </c>
      <c r="P1009" s="7" t="inlineStr">
        <is>
          <t>history.bible_translation</t>
        </is>
      </c>
      <c r="Q1009" s="7" t="inlineStr">
        <is>
          <t>printing</t>
        </is>
      </c>
      <c r="R1009" s="7" t="inlineStr">
        <is>
          <t>William Carey</t>
        </is>
      </c>
      <c r="S1009" s="7" t="inlineStr">
        <is>
          <t>Calcutta</t>
        </is>
      </c>
      <c r="T1009" s="7" t="n"/>
      <c r="U1009" s="7" t="n"/>
      <c r="V1009" s="7" t="n">
        <v>1</v>
      </c>
      <c r="W1009" s="7" t="inlineStr">
        <is>
          <t>Translating the Bible in India</t>
        </is>
      </c>
      <c r="X1009" s="9" t="inlineStr">
        <is>
          <t>open</t>
        </is>
      </c>
      <c r="Y1009" s="7" t="n"/>
      <c r="Z1009" s="7" t="inlineStr">
        <is>
          <t>https://wol.jw.org/en/wol/d/r1/lp-e/101979409#h=13</t>
        </is>
      </c>
      <c r="AA1009" s="7" t="n">
        <v>0</v>
      </c>
      <c r="AB1009" s="7" t="n"/>
      <c r="AC1009" s="7" t="n">
        <v>0</v>
      </c>
      <c r="AD1009" s="7" t="n"/>
      <c r="AE1009" s="7" t="n"/>
      <c r="AF1009" s="7" t="n"/>
      <c r="AG1009" s="7" t="n"/>
      <c r="AH1009" s="7" t="n"/>
      <c r="AI1009" s="7" t="n"/>
      <c r="AJ1009" s="7" t="n"/>
      <c r="AK1009" s="7" t="n"/>
      <c r="AL1009" s="7" t="n"/>
      <c r="AM1009" s="7" t="n">
        <v>1798</v>
      </c>
      <c r="AN1009" s="10" t="n"/>
      <c r="AO1009" s="10" t="n"/>
      <c r="AP1009" s="10" t="n"/>
      <c r="AQ1009" s="10" t="n"/>
    </row>
    <row r="1010">
      <c r="A1010" s="7" t="inlineStr">
        <is>
          <t>b7-0188</t>
        </is>
      </c>
      <c r="B1010" s="7" t="inlineStr">
        <is>
          <t>Point</t>
        </is>
      </c>
      <c r="C1010" s="7" t="n"/>
      <c r="D1010" s="7" t="inlineStr">
        <is>
          <t>1800</t>
        </is>
      </c>
      <c r="E1010" s="7" t="n"/>
      <c r="F1010" s="7" t="inlineStr">
        <is>
          <t>1800 CE</t>
        </is>
      </c>
      <c r="G1010" s="7" t="inlineStr">
        <is>
          <t>Exact</t>
        </is>
      </c>
      <c r="H1010" s="7" t="n"/>
      <c r="I1010" s="7" t="n"/>
      <c r="J1010" s="7" t="n"/>
      <c r="K1010" s="2" t="inlineStr">
        <is>
          <t>Carey moves his press to Serampore</t>
        </is>
      </c>
      <c r="L1010" s="2" t="n"/>
      <c r="M1010" s="7" t="inlineStr">
        <is>
          <t>During 1800 Carey transferred his printing establishment to the Danish settlement at Serampore, where many Bible translations were printed (over 212,000 volumes between 1801 and 1832).</t>
        </is>
      </c>
      <c r="N1010" s="7" t="n"/>
      <c r="O1010" s="12" t="inlineStr">
        <is>
          <t>Bible &amp; church history</t>
        </is>
      </c>
      <c r="P1010" s="7" t="inlineStr">
        <is>
          <t>history.bible_translation</t>
        </is>
      </c>
      <c r="Q1010" s="7" t="inlineStr">
        <is>
          <t>printing</t>
        </is>
      </c>
      <c r="R1010" s="7" t="inlineStr">
        <is>
          <t>William Carey; William Ward</t>
        </is>
      </c>
      <c r="S1010" s="7" t="inlineStr">
        <is>
          <t>Serampore</t>
        </is>
      </c>
      <c r="T1010" s="7" t="n"/>
      <c r="U1010" s="7" t="n"/>
      <c r="V1010" s="7" t="n">
        <v>1</v>
      </c>
      <c r="W1010" s="7" t="inlineStr">
        <is>
          <t>Translating the Bible in India</t>
        </is>
      </c>
      <c r="X1010" s="9" t="inlineStr">
        <is>
          <t>open</t>
        </is>
      </c>
      <c r="Y1010" s="7" t="n"/>
      <c r="Z1010" s="7" t="inlineStr">
        <is>
          <t>https://wol.jw.org/en/wol/d/r1/lp-e/101979409#h=13</t>
        </is>
      </c>
      <c r="AA1010" s="7" t="n">
        <v>0</v>
      </c>
      <c r="AB1010" s="7" t="n"/>
      <c r="AC1010" s="7" t="n">
        <v>0</v>
      </c>
      <c r="AD1010" s="7" t="n"/>
      <c r="AE1010" s="7" t="n"/>
      <c r="AF1010" s="7" t="n"/>
      <c r="AG1010" s="7" t="n"/>
      <c r="AH1010" s="7" t="n"/>
      <c r="AI1010" s="7" t="n"/>
      <c r="AJ1010" s="7" t="n"/>
      <c r="AK1010" s="7" t="n"/>
      <c r="AL1010" s="7" t="n"/>
      <c r="AM1010" s="7" t="n">
        <v>1800</v>
      </c>
      <c r="AN1010" s="10" t="n"/>
      <c r="AO1010" s="10" t="n"/>
      <c r="AP1010" s="10" t="n"/>
      <c r="AQ1010" s="10" t="n"/>
    </row>
    <row r="1011">
      <c r="A1011" s="7" t="inlineStr">
        <is>
          <t>b7-0189</t>
        </is>
      </c>
      <c r="B1011" s="7" t="inlineStr">
        <is>
          <t>Point</t>
        </is>
      </c>
      <c r="C1011" s="7" t="n"/>
      <c r="D1011" s="7" t="inlineStr">
        <is>
          <t>1800</t>
        </is>
      </c>
      <c r="E1011" s="7" t="inlineStr">
        <is>
          <t>1800</t>
        </is>
      </c>
      <c r="F1011" s="7" t="inlineStr">
        <is>
          <t>1800 CE</t>
        </is>
      </c>
      <c r="G1011" s="7" t="inlineStr">
        <is>
          <t>Exact</t>
        </is>
      </c>
      <c r="H1011" s="7" t="n"/>
      <c r="I1011" s="7" t="n"/>
      <c r="J1011" s="7" t="n"/>
      <c r="K1011" s="2" t="inlineStr">
        <is>
          <t>Mary Jones walks 25 miles for a Welsh Bible</t>
        </is>
      </c>
      <c r="L1011" s="2" t="inlineStr">
        <is>
          <t>1800-ல், மேரி ஒரு பாதிரியாரிடமிருந்து வேல்ஸ் மொழியில் பைபிளை வாங்குவதற்காக வெறுங்காலோடு 40 கிலோமீட்டர் நடந்து சென்றாள்</t>
        </is>
      </c>
      <c r="M1011" s="7" t="inlineStr">
        <is>
          <t>In 1800, 16-year-old Mary Jones walked barefoot 25 miles to buy a Welsh Bible. The clergyman who helped her later discussed the need for Bibles with friends in London, leading to the British and Foreign Bible Society.</t>
        </is>
      </c>
      <c r="N1011" s="7" t="inlineStr">
        <is>
          <t>1800-ல், மேரி ஒரு பாதிரியாரிடமிருந்து வேல்ஸ் மொழியில் பைபிளை வாங்குவதற்காக வெறுங்காலோடு 40 கிலோமீட்டர் நடந்து சென்றாள்.</t>
        </is>
      </c>
      <c r="O1011" s="12" t="inlineStr">
        <is>
          <t>Bible &amp; church history</t>
        </is>
      </c>
      <c r="P1011" s="7" t="inlineStr">
        <is>
          <t>history.bible_preservation</t>
        </is>
      </c>
      <c r="Q1011" s="7" t="inlineStr">
        <is>
          <t>anecdote</t>
        </is>
      </c>
      <c r="R1011" s="7" t="inlineStr">
        <is>
          <t>Mary Jones</t>
        </is>
      </c>
      <c r="S1011" s="7" t="inlineStr">
        <is>
          <t>Wales</t>
        </is>
      </c>
      <c r="T1011" s="7" t="n"/>
      <c r="U1011" s="7" t="n"/>
      <c r="V1011" s="7" t="n">
        <v>1</v>
      </c>
      <c r="W1011" s="7" t="inlineStr">
        <is>
          <t>Part Three—How the Bible Came to Us</t>
        </is>
      </c>
      <c r="X1011" s="9" t="inlineStr">
        <is>
          <t>open</t>
        </is>
      </c>
      <c r="Y1011" s="9" t="inlineStr">
        <is>
          <t>open</t>
        </is>
      </c>
      <c r="Z1011" s="7" t="inlineStr">
        <is>
          <t>https://wol.jw.org/en/wol/d/r1/lp-e/1997763#h=7</t>
        </is>
      </c>
      <c r="AA1011" s="7" t="n">
        <v>0</v>
      </c>
      <c r="AB1011" s="7" t="n"/>
      <c r="AC1011" s="7" t="n">
        <v>0</v>
      </c>
      <c r="AD1011" s="7" t="n"/>
      <c r="AE1011" s="7" t="n"/>
      <c r="AF1011" s="7" t="n"/>
      <c r="AG1011" s="7" t="n"/>
      <c r="AH1011" s="7" t="n"/>
      <c r="AI1011" s="7" t="n"/>
      <c r="AJ1011" s="7" t="n"/>
      <c r="AK1011" s="7" t="inlineStr">
        <is>
          <t>how-the-bible-came-to-us #42 (context)</t>
        </is>
      </c>
      <c r="AL1011" s="7" t="n"/>
      <c r="AM1011" s="7" t="n">
        <v>1800.1</v>
      </c>
      <c r="AN1011" s="10" t="n"/>
      <c r="AO1011" s="10" t="n"/>
      <c r="AP1011" s="10" t="n"/>
      <c r="AQ1011" s="10" t="n"/>
    </row>
    <row r="1012">
      <c r="A1012" s="7" t="inlineStr">
        <is>
          <t>b7-0190</t>
        </is>
      </c>
      <c r="B1012" s="7" t="inlineStr">
        <is>
          <t>Point</t>
        </is>
      </c>
      <c r="C1012" s="7" t="n"/>
      <c r="D1012" s="7" t="inlineStr">
        <is>
          <t>by 1800</t>
        </is>
      </c>
      <c r="E1012" s="7" t="inlineStr">
        <is>
          <t>1800</t>
        </is>
      </c>
      <c r="F1012" s="7" t="inlineStr">
        <is>
          <t>1800 CE</t>
        </is>
      </c>
      <c r="G1012" s="7" t="inlineStr">
        <is>
          <t>Before (b.)</t>
        </is>
      </c>
      <c r="H1012" s="7" t="n"/>
      <c r="I1012" s="7" t="n"/>
      <c r="J1012" s="7" t="n"/>
      <c r="K1012" s="2" t="inlineStr">
        <is>
          <t>Bible available in about 70 languages</t>
        </is>
      </c>
      <c r="L1012" s="2" t="inlineStr">
        <is>
          <t>1800-க்குள், பைபிளின் பகுதிகளாவது வெளிவந்த வண்ணம் இருந்தன</t>
        </is>
      </c>
      <c r="M1012" s="7" t="inlineStr">
        <is>
          <t>By 1800 at least portions of the Bible had appeared in 68 languages (A Book for All People) or 71 languages ("All Scripture").</t>
        </is>
      </c>
      <c r="N1012" s="7" t="inlineStr">
        <is>
          <t>1800-க்குள், பைபிளின் பகுதிகளாவது வெளிவந்த வண்ணம் இருந்தன.</t>
        </is>
      </c>
      <c r="O1012" s="12" t="inlineStr">
        <is>
          <t>Bible &amp; church history</t>
        </is>
      </c>
      <c r="P1012" s="7" t="inlineStr">
        <is>
          <t>history.bible_preservation</t>
        </is>
      </c>
      <c r="Q1012" s="7" t="inlineStr">
        <is>
          <t>statistic</t>
        </is>
      </c>
      <c r="R1012" s="7" t="n"/>
      <c r="S1012" s="7" t="n"/>
      <c r="T1012" s="7" t="n"/>
      <c r="U1012" s="7" t="n"/>
      <c r="V1012" s="7" t="n">
        <v>2</v>
      </c>
      <c r="W1012" s="7" t="inlineStr">
        <is>
          <t>A Book That “Speaks” Living Languages</t>
        </is>
      </c>
      <c r="X1012" s="9" t="inlineStr">
        <is>
          <t>open</t>
        </is>
      </c>
      <c r="Y1012" s="9" t="inlineStr">
        <is>
          <t>open</t>
        </is>
      </c>
      <c r="Z1012" s="7" t="inlineStr">
        <is>
          <t>https://wol.jw.org/en/wol/d/r1/lp-e/1101997025#h=8
https://wol.jw.org/en/wol/d/r1/lp-e/1101990134#h=5</t>
        </is>
      </c>
      <c r="AA1012" s="7" t="n">
        <v>0</v>
      </c>
      <c r="AB1012" s="7" t="n"/>
      <c r="AC1012" s="7" t="n">
        <v>1</v>
      </c>
      <c r="AD1012" s="7" t="inlineStr">
        <is>
          <t>"All Scripture" Study 7 gives 71 languages by 1800; A Book for All People gives 68.</t>
        </is>
      </c>
      <c r="AE1012" s="7" t="n"/>
      <c r="AF1012" s="7" t="n"/>
      <c r="AG1012" s="7" t="n"/>
      <c r="AH1012" s="7" t="n"/>
      <c r="AI1012" s="7" t="n"/>
      <c r="AJ1012" s="7" t="n"/>
      <c r="AK1012" s="7" t="n"/>
      <c r="AL1012" s="7" t="n"/>
      <c r="AM1012" s="7" t="n">
        <v>1800.19</v>
      </c>
      <c r="AN1012" s="10" t="n"/>
      <c r="AO1012" s="10" t="n"/>
      <c r="AP1012" s="10" t="n"/>
      <c r="AQ1012" s="10" t="n"/>
    </row>
    <row r="1013">
      <c r="A1013" s="7" t="inlineStr">
        <is>
          <t>b7-0191</t>
        </is>
      </c>
      <c r="B1013" s="7" t="inlineStr">
        <is>
          <t>Point</t>
        </is>
      </c>
      <c r="C1013" s="7" t="n"/>
      <c r="D1013" s="7" t="inlineStr">
        <is>
          <t>1804</t>
        </is>
      </c>
      <c r="E1013" s="7" t="inlineStr">
        <is>
          <t>1804</t>
        </is>
      </c>
      <c r="F1013" s="7" t="inlineStr">
        <is>
          <t>1804 CE</t>
        </is>
      </c>
      <c r="G1013" s="7" t="inlineStr">
        <is>
          <t>Exact</t>
        </is>
      </c>
      <c r="H1013" s="7" t="n"/>
      <c r="I1013" s="7" t="n"/>
      <c r="J1013" s="7" t="n"/>
      <c r="K1013" s="2" t="inlineStr">
        <is>
          <t>British and Foreign Bible Society founded</t>
        </is>
      </c>
      <c r="L1013" s="2" t="inlineStr">
        <is>
          <t>81 பிரிட்டிஷ் அண்ட் ஃபாரின் பைபிள் சொஸைட்டி 1804-ல் நிறுவப்பட்டது</t>
        </is>
      </c>
      <c r="M1013" s="7" t="inlineStr">
        <is>
          <t>The British and Foreign Bible Society was formed in London in 1804 to provide affordable Bibles in people's own languages "without note or comment." It triggered the founding of many other Bible societies.</t>
        </is>
      </c>
      <c r="N1013" s="7" t="inlineStr">
        <is>
          <t>இதன் விளைவாக 1804-ல் பிரிட்டிஷ் அண்ட் ஃபாரின் பைபிள் சொஸைட்டி தோன்றியது.</t>
        </is>
      </c>
      <c r="O1013" s="12" t="inlineStr">
        <is>
          <t>Bible &amp; church history</t>
        </is>
      </c>
      <c r="P1013" s="7" t="inlineStr">
        <is>
          <t>history.bible_preservation</t>
        </is>
      </c>
      <c r="Q1013" s="7" t="inlineStr">
        <is>
          <t>founding</t>
        </is>
      </c>
      <c r="R1013" s="7" t="n"/>
      <c r="S1013" s="7" t="inlineStr">
        <is>
          <t>London</t>
        </is>
      </c>
      <c r="T1013" s="7" t="n"/>
      <c r="U1013" s="7" t="n"/>
      <c r="V1013" s="7" t="n">
        <v>4</v>
      </c>
      <c r="W1013" s="7" t="inlineStr">
        <is>
          <t>Part Three—How the Bible Came to Us</t>
        </is>
      </c>
      <c r="X1013" s="9" t="inlineStr">
        <is>
          <t>open</t>
        </is>
      </c>
      <c r="Y1013" s="9" t="inlineStr">
        <is>
          <t>open</t>
        </is>
      </c>
      <c r="Z1013" s="7" t="inlineStr">
        <is>
          <t>https://wol.jw.org/en/wol/d/r1/lp-e/1997763#h=8
https://wol.jw.org/en/wol/d/r1/lp-e/1997763#h=41
https://wol.jw.org/en/wol/d/r1/lp-e/1101990134#h=7
https://wol.jw.org/en/wol/d/r1/lp-e/1101997025#h=8</t>
        </is>
      </c>
      <c r="AA1013" s="7" t="n">
        <v>0</v>
      </c>
      <c r="AB1013" s="7" t="n"/>
      <c r="AC1013" s="7" t="n">
        <v>0</v>
      </c>
      <c r="AD1013" s="7" t="n"/>
      <c r="AE1013" s="7" t="n"/>
      <c r="AF1013" s="7" t="n"/>
      <c r="AG1013" s="7" t="n"/>
      <c r="AH1013" s="7" t="n"/>
      <c r="AI1013" s="7" t="n"/>
      <c r="AJ1013" s="7" t="n"/>
      <c r="AK1013" s="7" t="inlineStr">
        <is>
          <t>how-the-bible-came-to-us #43 (step)</t>
        </is>
      </c>
      <c r="AL1013" s="7" t="n"/>
      <c r="AM1013" s="7" t="n">
        <v>1804</v>
      </c>
      <c r="AN1013" s="10" t="n"/>
      <c r="AO1013" s="10" t="n"/>
      <c r="AP1013" s="10" t="n"/>
      <c r="AQ1013" s="10" t="n"/>
    </row>
    <row r="1014">
      <c r="A1014" s="7" t="inlineStr">
        <is>
          <t>b7-0192</t>
        </is>
      </c>
      <c r="B1014" s="7" t="inlineStr">
        <is>
          <t>Point</t>
        </is>
      </c>
      <c r="C1014" s="7" t="n"/>
      <c r="D1014" s="7" t="inlineStr">
        <is>
          <t>1805</t>
        </is>
      </c>
      <c r="E1014" s="7" t="n"/>
      <c r="F1014" s="7" t="inlineStr">
        <is>
          <t>1805 CE</t>
        </is>
      </c>
      <c r="G1014" s="7" t="inlineStr">
        <is>
          <t>Exact</t>
        </is>
      </c>
      <c r="H1014" s="7" t="n"/>
      <c r="I1014" s="7" t="n"/>
      <c r="J1014" s="7" t="n"/>
      <c r="K1014" s="2" t="inlineStr">
        <is>
          <t>Christian Greek Scriptures in Chinese printed at Serampore</t>
        </is>
      </c>
      <c r="L1014" s="2" t="n"/>
      <c r="M1014" s="7" t="inlineStr">
        <is>
          <t>The Christian Greek Scriptures in Chinese came off Carey's Serampore press in 1805.</t>
        </is>
      </c>
      <c r="N1014" s="7" t="n"/>
      <c r="O1014" s="12" t="inlineStr">
        <is>
          <t>Bible &amp; church history</t>
        </is>
      </c>
      <c r="P1014" s="7" t="inlineStr">
        <is>
          <t>history.bible_translation</t>
        </is>
      </c>
      <c r="Q1014" s="7" t="inlineStr">
        <is>
          <t>printing</t>
        </is>
      </c>
      <c r="R1014" s="7" t="n"/>
      <c r="S1014" s="7" t="inlineStr">
        <is>
          <t>Serampore</t>
        </is>
      </c>
      <c r="T1014" s="7" t="n"/>
      <c r="U1014" s="7" t="n"/>
      <c r="V1014" s="7" t="n">
        <v>1</v>
      </c>
      <c r="W1014" s="7" t="inlineStr">
        <is>
          <t>Translating the Bible in India</t>
        </is>
      </c>
      <c r="X1014" s="9" t="inlineStr">
        <is>
          <t>open</t>
        </is>
      </c>
      <c r="Y1014" s="7" t="n"/>
      <c r="Z1014" s="7" t="inlineStr">
        <is>
          <t>https://wol.jw.org/en/wol/d/r1/lp-e/101979409#h=13</t>
        </is>
      </c>
      <c r="AA1014" s="7" t="n">
        <v>0</v>
      </c>
      <c r="AB1014" s="7" t="n"/>
      <c r="AC1014" s="7" t="n">
        <v>0</v>
      </c>
      <c r="AD1014" s="7" t="n"/>
      <c r="AE1014" s="7" t="n"/>
      <c r="AF1014" s="7" t="n"/>
      <c r="AG1014" s="7" t="n"/>
      <c r="AH1014" s="7" t="n"/>
      <c r="AI1014" s="7" t="n"/>
      <c r="AJ1014" s="7" t="n"/>
      <c r="AK1014" s="7" t="n"/>
      <c r="AL1014" s="7" t="n"/>
      <c r="AM1014" s="7" t="n">
        <v>1805</v>
      </c>
      <c r="AN1014" s="10" t="n"/>
      <c r="AO1014" s="10" t="n"/>
      <c r="AP1014" s="10" t="n"/>
      <c r="AQ1014" s="10" t="n"/>
    </row>
    <row r="1015">
      <c r="A1015" s="7" t="inlineStr">
        <is>
          <t>b7-0193</t>
        </is>
      </c>
      <c r="B1015" s="7" t="inlineStr">
        <is>
          <t>Point</t>
        </is>
      </c>
      <c r="C1015" s="7" t="n"/>
      <c r="D1015" s="7" t="inlineStr">
        <is>
          <t>1807</t>
        </is>
      </c>
      <c r="E1015" s="7" t="inlineStr">
        <is>
          <t>1807</t>
        </is>
      </c>
      <c r="F1015" s="7" t="inlineStr">
        <is>
          <t>1807 CE</t>
        </is>
      </c>
      <c r="G1015" s="7" t="inlineStr">
        <is>
          <t>Exact</t>
        </is>
      </c>
      <c r="H1015" s="7" t="n"/>
      <c r="I1015" s="7" t="n"/>
      <c r="J1015" s="7" t="n"/>
      <c r="K1015" s="2" t="inlineStr">
        <is>
          <t>Robert Morrison arrives in China to translate the Bible</t>
        </is>
      </c>
      <c r="L1015" s="2" t="inlineStr">
        <is>
          <t>1807-ல், ராபர்ட் மாரிசன்னுக்கு 25 வயதிருக்கையில் சீனாவுக்கு வந்துசேர்ந்தார்</t>
        </is>
      </c>
      <c r="M1015" s="7" t="inlineStr">
        <is>
          <t>In 1807, 25-year-old Robert Morrison sailed to China, where teaching the language to foreigners was a capital offense, and secretly worked on a Chinese Bible.</t>
        </is>
      </c>
      <c r="N1015" s="7" t="inlineStr">
        <is>
          <t>1807-ல், ராபர்ட் மாரிசன்னுக்கு 25 வயதிருக்கையில் சீனாவுக்கு வந்துசேர்ந்தார்.</t>
        </is>
      </c>
      <c r="O1015" s="12" t="inlineStr">
        <is>
          <t>Bible &amp; church history</t>
        </is>
      </c>
      <c r="P1015" s="7" t="inlineStr">
        <is>
          <t>history.bible_translation</t>
        </is>
      </c>
      <c r="Q1015" s="7" t="inlineStr">
        <is>
          <t>journey</t>
        </is>
      </c>
      <c r="R1015" s="7" t="inlineStr">
        <is>
          <t>Robert Morrison</t>
        </is>
      </c>
      <c r="S1015" s="7" t="inlineStr">
        <is>
          <t>China</t>
        </is>
      </c>
      <c r="T1015" s="7" t="n"/>
      <c r="U1015" s="7" t="n"/>
      <c r="V1015" s="7" t="n">
        <v>2</v>
      </c>
      <c r="W1015" s="7" t="inlineStr">
        <is>
          <t>They Loved the Word of God</t>
        </is>
      </c>
      <c r="X1015" s="9" t="inlineStr">
        <is>
          <t>open</t>
        </is>
      </c>
      <c r="Y1015" s="7" t="n"/>
      <c r="Z1015" s="7" t="inlineStr">
        <is>
          <t>https://wol.jw.org/en/wol/d/r1/lp-e/2009402#h=18
https://wol.jw.org/en/wol/d/r1/lp-e/1101997025#h=20</t>
        </is>
      </c>
      <c r="AA1015" s="7" t="n">
        <v>0</v>
      </c>
      <c r="AB1015" s="7" t="n"/>
      <c r="AC1015" s="7" t="n">
        <v>0</v>
      </c>
      <c r="AD1015" s="7" t="n"/>
      <c r="AE1015" s="7" t="n"/>
      <c r="AF1015" s="7" t="n"/>
      <c r="AG1015" s="7" t="n"/>
      <c r="AH1015" s="7" t="n"/>
      <c r="AI1015" s="7" t="n"/>
      <c r="AJ1015" s="7" t="n"/>
      <c r="AK1015" s="7" t="n"/>
      <c r="AL1015" s="7" t="n"/>
      <c r="AM1015" s="7" t="n">
        <v>1807</v>
      </c>
      <c r="AN1015" s="10" t="n"/>
      <c r="AO1015" s="10" t="n"/>
      <c r="AP1015" s="10" t="n"/>
      <c r="AQ1015" s="10" t="n"/>
    </row>
    <row r="1016">
      <c r="A1016" s="7" t="inlineStr">
        <is>
          <t>b7-0194</t>
        </is>
      </c>
      <c r="B1016" s="7" t="inlineStr">
        <is>
          <t>Point</t>
        </is>
      </c>
      <c r="C1016" s="7" t="n"/>
      <c r="D1016" s="7" t="inlineStr">
        <is>
          <t>1809</t>
        </is>
      </c>
      <c r="E1016" s="7" t="n"/>
      <c r="F1016" s="7" t="inlineStr">
        <is>
          <t>1809 CE</t>
        </is>
      </c>
      <c r="G1016" s="7" t="inlineStr">
        <is>
          <t>Exact</t>
        </is>
      </c>
      <c r="H1016" s="7" t="n"/>
      <c r="I1016" s="7" t="n"/>
      <c r="J1016" s="7" t="n"/>
      <c r="K1016" s="2" t="inlineStr">
        <is>
          <t>Entire Bible in Bengali issued</t>
        </is>
      </c>
      <c r="L1016" s="2" t="n"/>
      <c r="M1016" s="7" t="inlineStr">
        <is>
          <t>Four years after the Chinese New Testament (1805), an entire Bible in Bengali was issued from Serampore.</t>
        </is>
      </c>
      <c r="N1016" s="7" t="n"/>
      <c r="O1016" s="12" t="inlineStr">
        <is>
          <t>Bible &amp; church history</t>
        </is>
      </c>
      <c r="P1016" s="7" t="inlineStr">
        <is>
          <t>history.bible_translation</t>
        </is>
      </c>
      <c r="Q1016" s="7" t="inlineStr">
        <is>
          <t>release</t>
        </is>
      </c>
      <c r="R1016" s="7" t="n"/>
      <c r="S1016" s="7" t="inlineStr">
        <is>
          <t>Serampore</t>
        </is>
      </c>
      <c r="T1016" s="7" t="n"/>
      <c r="U1016" s="7" t="n"/>
      <c r="V1016" s="7" t="n">
        <v>1</v>
      </c>
      <c r="W1016" s="7" t="inlineStr">
        <is>
          <t>Translating the Bible in India</t>
        </is>
      </c>
      <c r="X1016" s="9" t="inlineStr">
        <is>
          <t>open</t>
        </is>
      </c>
      <c r="Y1016" s="7" t="n"/>
      <c r="Z1016" s="7" t="inlineStr">
        <is>
          <t>https://wol.jw.org/en/wol/d/r1/lp-e/101979409#h=13</t>
        </is>
      </c>
      <c r="AA1016" s="7" t="n">
        <v>0</v>
      </c>
      <c r="AB1016" s="7" t="n"/>
      <c r="AC1016" s="7" t="n">
        <v>0</v>
      </c>
      <c r="AD1016" s="7" t="n"/>
      <c r="AE1016" s="7" t="n"/>
      <c r="AF1016" s="7" t="n"/>
      <c r="AG1016" s="7" t="n"/>
      <c r="AH1016" s="7" t="n"/>
      <c r="AI1016" s="7" t="n"/>
      <c r="AJ1016" s="7" t="n"/>
      <c r="AK1016" s="7" t="n"/>
      <c r="AL1016" s="7" t="n"/>
      <c r="AM1016" s="7" t="n">
        <v>1809</v>
      </c>
      <c r="AN1016" s="10" t="n"/>
      <c r="AO1016" s="10" t="n"/>
      <c r="AP1016" s="10" t="n"/>
      <c r="AQ1016" s="10" t="n"/>
    </row>
    <row r="1017">
      <c r="A1017" s="7" t="inlineStr">
        <is>
          <t>b7-0195</t>
        </is>
      </c>
      <c r="B1017" s="7" t="inlineStr">
        <is>
          <t>Point</t>
        </is>
      </c>
      <c r="C1017" s="7" t="n"/>
      <c r="D1017" s="7" t="inlineStr">
        <is>
          <t>1812, February</t>
        </is>
      </c>
      <c r="E1017" s="7" t="n"/>
      <c r="F1017" s="7" t="inlineStr">
        <is>
          <t>1812 CE</t>
        </is>
      </c>
      <c r="G1017" s="7" t="inlineStr">
        <is>
          <t>Exact</t>
        </is>
      </c>
      <c r="H1017" s="7" t="n"/>
      <c r="I1017" s="7" t="n"/>
      <c r="J1017" s="7" t="n"/>
      <c r="K1017" s="2" t="inlineStr">
        <is>
          <t>Adoniram and Ann Judson embark; settle in Burma (1813)</t>
        </is>
      </c>
      <c r="L1017" s="2" t="n"/>
      <c r="M1017" s="7" t="inlineStr">
        <is>
          <t>Two weeks after their marriage in February 1812, Adoniram and Ann Judson set out, settling in Burma in 1813 to learn Burmese.</t>
        </is>
      </c>
      <c r="N1017" s="7" t="n"/>
      <c r="O1017" s="12" t="inlineStr">
        <is>
          <t>Bible &amp; church history</t>
        </is>
      </c>
      <c r="P1017" s="7" t="inlineStr">
        <is>
          <t>history.bible_translation</t>
        </is>
      </c>
      <c r="Q1017" s="7" t="inlineStr">
        <is>
          <t>journey</t>
        </is>
      </c>
      <c r="R1017" s="7" t="inlineStr">
        <is>
          <t>Adoniram Judson; Ann Judson</t>
        </is>
      </c>
      <c r="S1017" s="7" t="inlineStr">
        <is>
          <t>Burma</t>
        </is>
      </c>
      <c r="T1017" s="7" t="n"/>
      <c r="U1017" s="7" t="n"/>
      <c r="V1017" s="7" t="n">
        <v>1</v>
      </c>
      <c r="W1017" s="7" t="inlineStr">
        <is>
          <t>They Loved the Word of God</t>
        </is>
      </c>
      <c r="X1017" s="9" t="inlineStr">
        <is>
          <t>open</t>
        </is>
      </c>
      <c r="Y1017" s="7" t="n"/>
      <c r="Z1017" s="7" t="inlineStr">
        <is>
          <t>https://wol.jw.org/en/wol/d/r1/lp-e/2009402#h=22</t>
        </is>
      </c>
      <c r="AA1017" s="7" t="n">
        <v>0</v>
      </c>
      <c r="AB1017" s="7" t="n"/>
      <c r="AC1017" s="7" t="n">
        <v>0</v>
      </c>
      <c r="AD1017" s="7" t="n"/>
      <c r="AE1017" s="7" t="n"/>
      <c r="AF1017" s="7" t="n"/>
      <c r="AG1017" s="7" t="n"/>
      <c r="AH1017" s="7" t="n"/>
      <c r="AI1017" s="7" t="n"/>
      <c r="AJ1017" s="7" t="n"/>
      <c r="AK1017" s="7" t="n"/>
      <c r="AL1017" s="7" t="n"/>
      <c r="AM1017" s="7" t="n">
        <v>1812.0833</v>
      </c>
      <c r="AN1017" s="10" t="n"/>
      <c r="AO1017" s="10" t="n"/>
      <c r="AP1017" s="10" t="n"/>
      <c r="AQ1017" s="10" t="n"/>
    </row>
    <row r="1018">
      <c r="A1018" s="7" t="inlineStr">
        <is>
          <t>b7-0196</t>
        </is>
      </c>
      <c r="B1018" s="7" t="inlineStr">
        <is>
          <t>Point</t>
        </is>
      </c>
      <c r="C1018" s="7" t="n"/>
      <c r="D1018" s="7" t="inlineStr">
        <is>
          <t>1812</t>
        </is>
      </c>
      <c r="E1018" s="7" t="n"/>
      <c r="F1018" s="7" t="inlineStr">
        <is>
          <t>1812 CE</t>
        </is>
      </c>
      <c r="G1018" s="7" t="inlineStr">
        <is>
          <t>Exact</t>
        </is>
      </c>
      <c r="H1018" s="7" t="n"/>
      <c r="I1018" s="7" t="n"/>
      <c r="J1018" s="7" t="n"/>
      <c r="K1018" s="2" t="inlineStr">
        <is>
          <t>Fire at Serampore destroys unpublished translations</t>
        </is>
      </c>
      <c r="L1018" s="2" t="n"/>
      <c r="M1018" s="7" t="inlineStr">
        <is>
          <t>In 1812 a fire at the Serampore press destroyed several unpublished Bible translations, including a Telugu one; Carey quickly reorganized printing.</t>
        </is>
      </c>
      <c r="N1018" s="7" t="n"/>
      <c r="O1018" s="12" t="inlineStr">
        <is>
          <t>Bible &amp; church history</t>
        </is>
      </c>
      <c r="P1018" s="7" t="inlineStr">
        <is>
          <t>history.bible_translation</t>
        </is>
      </c>
      <c r="Q1018" s="7" t="inlineStr">
        <is>
          <t>disaster</t>
        </is>
      </c>
      <c r="R1018" s="7" t="n"/>
      <c r="S1018" s="7" t="inlineStr">
        <is>
          <t>Serampore</t>
        </is>
      </c>
      <c r="T1018" s="7" t="n"/>
      <c r="U1018" s="7" t="n"/>
      <c r="V1018" s="7" t="n">
        <v>1</v>
      </c>
      <c r="W1018" s="7" t="inlineStr">
        <is>
          <t>Translating the Bible in India</t>
        </is>
      </c>
      <c r="X1018" s="9" t="inlineStr">
        <is>
          <t>open</t>
        </is>
      </c>
      <c r="Y1018" s="7" t="n"/>
      <c r="Z1018" s="7" t="inlineStr">
        <is>
          <t>https://wol.jw.org/en/wol/d/r1/lp-e/101979409#h=13</t>
        </is>
      </c>
      <c r="AA1018" s="7" t="n">
        <v>0</v>
      </c>
      <c r="AB1018" s="7" t="n"/>
      <c r="AC1018" s="7" t="n">
        <v>0</v>
      </c>
      <c r="AD1018" s="7" t="n"/>
      <c r="AE1018" s="7" t="n"/>
      <c r="AF1018" s="7" t="n"/>
      <c r="AG1018" s="7" t="n"/>
      <c r="AH1018" s="7" t="n"/>
      <c r="AI1018" s="7" t="n"/>
      <c r="AJ1018" s="7" t="n"/>
      <c r="AK1018" s="7" t="n"/>
      <c r="AL1018" s="7" t="n"/>
      <c r="AM1018" s="7" t="n">
        <v>1812.3</v>
      </c>
      <c r="AN1018" s="10" t="n"/>
      <c r="AO1018" s="10" t="n"/>
      <c r="AP1018" s="10" t="n"/>
      <c r="AQ1018" s="10" t="n"/>
    </row>
    <row r="1019">
      <c r="A1019" s="7" t="inlineStr">
        <is>
          <t>b7-0197</t>
        </is>
      </c>
      <c r="B1019" s="7" t="inlineStr">
        <is>
          <t>Point</t>
        </is>
      </c>
      <c r="C1019" s="7" t="n"/>
      <c r="D1019" s="7" t="inlineStr">
        <is>
          <t>by 1813</t>
        </is>
      </c>
      <c r="E1019" s="7" t="inlineStr">
        <is>
          <t>1813</t>
        </is>
      </c>
      <c r="F1019" s="7" t="inlineStr">
        <is>
          <t>1813 CE</t>
        </is>
      </c>
      <c r="G1019" s="7" t="inlineStr">
        <is>
          <t>Before (b.)</t>
        </is>
      </c>
      <c r="H1019" s="7" t="n"/>
      <c r="I1019" s="7" t="n"/>
      <c r="J1019" s="7" t="n"/>
      <c r="K1019" s="2" t="inlineStr">
        <is>
          <t>Associate Bible societies formed in Germany, Netherlands, Denmark, and Russia</t>
        </is>
      </c>
      <c r="L1019" s="2" t="n"/>
      <c r="M1019" s="7" t="inlineStr">
        <is>
          <t>By 1813 associate societies had been formed in Germany, the Netherlands, Denmark, and Russia. Lacking translators of Hebrew and Greek, many translations sponsored by the British and Foreign Bible Society were based on the King James Version.</t>
        </is>
      </c>
      <c r="N1019" s="7" t="inlineStr">
        <is>
          <t>ஆரம்பகால உற்சாகம் வேகமாக பரவ, 1813-க்குள் துணை சங்கங்கள் ஜெர்மனியிலும் நெதர்லாந்திலும் டென்மார்க்கிலும் ரஷ்யாவிலும் தோன்றியிருந்தன.</t>
        </is>
      </c>
      <c r="O1019" s="12" t="inlineStr">
        <is>
          <t>Bible &amp; church history</t>
        </is>
      </c>
      <c r="P1019" s="7" t="inlineStr">
        <is>
          <t>history.bible_preservation</t>
        </is>
      </c>
      <c r="Q1019" s="7" t="inlineStr">
        <is>
          <t>founding</t>
        </is>
      </c>
      <c r="R1019" s="7" t="n"/>
      <c r="S1019" s="7" t="n"/>
      <c r="T1019" s="7" t="n"/>
      <c r="U1019" s="7" t="n"/>
      <c r="V1019" s="7" t="n">
        <v>1</v>
      </c>
      <c r="W1019" s="7" t="inlineStr">
        <is>
          <t>Part Three—How the Bible Came to Us</t>
        </is>
      </c>
      <c r="X1019" s="9" t="inlineStr">
        <is>
          <t>open</t>
        </is>
      </c>
      <c r="Y1019" s="9" t="inlineStr">
        <is>
          <t>open</t>
        </is>
      </c>
      <c r="Z1019" s="7" t="inlineStr">
        <is>
          <t>https://wol.jw.org/en/wol/d/r1/lp-e/1997763#h=9</t>
        </is>
      </c>
      <c r="AA1019" s="7" t="n">
        <v>0</v>
      </c>
      <c r="AB1019" s="7" t="n"/>
      <c r="AC1019" s="7" t="n">
        <v>0</v>
      </c>
      <c r="AD1019" s="7" t="n"/>
      <c r="AE1019" s="7" t="n"/>
      <c r="AF1019" s="7" t="n"/>
      <c r="AG1019" s="7" t="n"/>
      <c r="AH1019" s="7" t="n"/>
      <c r="AI1019" s="7" t="n"/>
      <c r="AJ1019" s="7" t="n"/>
      <c r="AK1019" s="7" t="inlineStr">
        <is>
          <t>how-the-bible-came-to-us #44 (item)</t>
        </is>
      </c>
      <c r="AL1019" s="7" t="n"/>
      <c r="AM1019" s="7" t="n">
        <v>1812.99</v>
      </c>
      <c r="AN1019" s="10" t="n"/>
      <c r="AO1019" s="10" t="n"/>
      <c r="AP1019" s="10" t="n"/>
      <c r="AQ1019" s="10" t="n"/>
    </row>
    <row r="1020">
      <c r="A1020" s="7" t="inlineStr">
        <is>
          <t>b7-0198</t>
        </is>
      </c>
      <c r="B1020" s="7" t="inlineStr">
        <is>
          <t>Point</t>
        </is>
      </c>
      <c r="C1020" s="7" t="n"/>
      <c r="D1020" s="7" t="inlineStr">
        <is>
          <t>1814</t>
        </is>
      </c>
      <c r="E1020" s="7" t="inlineStr">
        <is>
          <t>1814</t>
        </is>
      </c>
      <c r="F1020" s="7" t="inlineStr">
        <is>
          <t>1814 CE</t>
        </is>
      </c>
      <c r="G1020" s="7" t="inlineStr">
        <is>
          <t>Exact</t>
        </is>
      </c>
      <c r="H1020" s="7" t="n"/>
      <c r="I1020" s="7" t="n"/>
      <c r="J1020" s="7" t="n"/>
      <c r="K1020" s="2" t="inlineStr">
        <is>
          <t>Morrison has the Christian Greek Scriptures in Chinese ready for printing</t>
        </is>
      </c>
      <c r="L1020" s="2" t="n"/>
      <c r="M1020" s="7" t="inlineStr">
        <is>
          <t>In 1814, seven years after arriving in China, Morrison had the Christian Greek Scriptures ready for printing.</t>
        </is>
      </c>
      <c r="N1020" s="7" t="inlineStr">
        <is>
          <t>அவர் சீனாவுக்கு வந்துசேர்ந்து ஏழு வருடங்களுக்குப்பின், 1814-ல், கிறிஸ்தவ கிரேக்க வேதாகமத்தை அச்சிட தயாராக்கிவிட்டார்.9 இதையடுத்து, ஐந்து வருடங்களுக்குப்பின், வில்லியம் மில்லன் என்பவரின் உதவியால் அவர் எபிரெய வேதாகமத்தையும் முடித்தார்.</t>
        </is>
      </c>
      <c r="O1020" s="12" t="inlineStr">
        <is>
          <t>Bible &amp; church history</t>
        </is>
      </c>
      <c r="P1020" s="7" t="inlineStr">
        <is>
          <t>history.bible_translation</t>
        </is>
      </c>
      <c r="Q1020" s="7" t="inlineStr">
        <is>
          <t>writing_completed</t>
        </is>
      </c>
      <c r="R1020" s="7" t="inlineStr">
        <is>
          <t>Robert Morrison</t>
        </is>
      </c>
      <c r="S1020" s="7" t="inlineStr">
        <is>
          <t>China</t>
        </is>
      </c>
      <c r="T1020" s="7" t="n"/>
      <c r="U1020" s="7" t="n"/>
      <c r="V1020" s="7" t="n">
        <v>1</v>
      </c>
      <c r="W1020" s="7" t="inlineStr">
        <is>
          <t>A Book That “Speaks” Living Languages</t>
        </is>
      </c>
      <c r="X1020" s="9" t="inlineStr">
        <is>
          <t>open</t>
        </is>
      </c>
      <c r="Y1020" s="9" t="inlineStr">
        <is>
          <t>open</t>
        </is>
      </c>
      <c r="Z1020" s="7" t="inlineStr">
        <is>
          <t>https://wol.jw.org/en/wol/d/r1/lp-e/1101997025#h=21</t>
        </is>
      </c>
      <c r="AA1020" s="7" t="n">
        <v>0</v>
      </c>
      <c r="AB1020" s="7" t="n"/>
      <c r="AC1020" s="7" t="n">
        <v>0</v>
      </c>
      <c r="AD1020" s="7" t="n"/>
      <c r="AE1020" s="7" t="n"/>
      <c r="AF1020" s="7" t="n"/>
      <c r="AG1020" s="7" t="n"/>
      <c r="AH1020" s="7" t="n"/>
      <c r="AI1020" s="7" t="n"/>
      <c r="AJ1020" s="7" t="n"/>
      <c r="AK1020" s="7" t="n"/>
      <c r="AL1020" s="7" t="n"/>
      <c r="AM1020" s="7" t="n">
        <v>1814</v>
      </c>
      <c r="AN1020" s="10" t="n"/>
      <c r="AO1020" s="10" t="n"/>
      <c r="AP1020" s="10" t="n"/>
      <c r="AQ1020" s="10" t="n"/>
    </row>
    <row r="1021">
      <c r="A1021" s="7" t="inlineStr">
        <is>
          <t>b7-0199</t>
        </is>
      </c>
      <c r="B1021" s="7" t="inlineStr">
        <is>
          <t>Point</t>
        </is>
      </c>
      <c r="C1021" s="7" t="n"/>
      <c r="D1021" s="7" t="inlineStr">
        <is>
          <t>1815</t>
        </is>
      </c>
      <c r="E1021" s="7" t="n"/>
      <c r="F1021" s="7" t="inlineStr">
        <is>
          <t>1815 CE</t>
        </is>
      </c>
      <c r="G1021" s="7" t="inlineStr">
        <is>
          <t>Exact</t>
        </is>
      </c>
      <c r="H1021" s="7" t="n"/>
      <c r="I1021" s="7" t="n"/>
      <c r="J1021" s="7" t="n"/>
      <c r="K1021" s="2" t="inlineStr">
        <is>
          <t>Scriptures in Oriya published</t>
        </is>
      </c>
      <c r="L1021" s="2" t="n"/>
      <c r="M1021" s="7" t="inlineStr">
        <is>
          <t>After the Serampore fire, the Scriptures in the Oriya language appeared in 1815.</t>
        </is>
      </c>
      <c r="N1021" s="7" t="n"/>
      <c r="O1021" s="12" t="inlineStr">
        <is>
          <t>Bible &amp; church history</t>
        </is>
      </c>
      <c r="P1021" s="7" t="inlineStr">
        <is>
          <t>history.bible_translation</t>
        </is>
      </c>
      <c r="Q1021" s="7" t="inlineStr">
        <is>
          <t>release</t>
        </is>
      </c>
      <c r="R1021" s="7" t="n"/>
      <c r="S1021" s="7" t="n"/>
      <c r="T1021" s="7" t="n"/>
      <c r="U1021" s="7" t="n"/>
      <c r="V1021" s="7" t="n">
        <v>1</v>
      </c>
      <c r="W1021" s="7" t="inlineStr">
        <is>
          <t>Translating the Bible in India</t>
        </is>
      </c>
      <c r="X1021" s="9" t="inlineStr">
        <is>
          <t>open</t>
        </is>
      </c>
      <c r="Y1021" s="7" t="n"/>
      <c r="Z1021" s="7" t="inlineStr">
        <is>
          <t>https://wol.jw.org/en/wol/d/r1/lp-e/101979409#h=14</t>
        </is>
      </c>
      <c r="AA1021" s="7" t="n">
        <v>0</v>
      </c>
      <c r="AB1021" s="7" t="n"/>
      <c r="AC1021" s="7" t="n">
        <v>0</v>
      </c>
      <c r="AD1021" s="7" t="n"/>
      <c r="AE1021" s="7" t="n"/>
      <c r="AF1021" s="7" t="n"/>
      <c r="AG1021" s="7" t="n"/>
      <c r="AH1021" s="7" t="n"/>
      <c r="AI1021" s="7" t="n"/>
      <c r="AJ1021" s="7" t="n"/>
      <c r="AK1021" s="7" t="n"/>
      <c r="AL1021" s="7" t="n"/>
      <c r="AM1021" s="7" t="n">
        <v>1815</v>
      </c>
      <c r="AN1021" s="10" t="n"/>
      <c r="AO1021" s="10" t="n"/>
      <c r="AP1021" s="10" t="n"/>
      <c r="AQ1021" s="10" t="n"/>
    </row>
    <row r="1022">
      <c r="A1022" s="7" t="inlineStr">
        <is>
          <t>b7-0200</t>
        </is>
      </c>
      <c r="B1022" s="7" t="inlineStr">
        <is>
          <t>Point</t>
        </is>
      </c>
      <c r="C1022" s="7" t="n"/>
      <c r="D1022" s="7" t="inlineStr">
        <is>
          <t>1816</t>
        </is>
      </c>
      <c r="E1022" s="7" t="inlineStr">
        <is>
          <t>1816</t>
        </is>
      </c>
      <c r="F1022" s="7" t="inlineStr">
        <is>
          <t>1816 CE</t>
        </is>
      </c>
      <c r="G1022" s="7" t="inlineStr">
        <is>
          <t>Exact</t>
        </is>
      </c>
      <c r="H1022" s="7" t="n"/>
      <c r="I1022" s="7" t="n"/>
      <c r="J1022" s="7" t="n"/>
      <c r="K1022" s="2" t="inlineStr">
        <is>
          <t>American Bible Society formed</t>
        </is>
      </c>
      <c r="L1022" s="2" t="n"/>
      <c r="M1022" s="7" t="inlineStr">
        <is>
          <t>Among Bible societies formed after 1804 was the American Bible Society (1816), formed from existing local societies; by 1820 societies existed in many European lands.</t>
        </is>
      </c>
      <c r="N1022" s="7" t="inlineStr">
        <is>
          <t>a 1804 முதற்கொண்டு அமைக்கப்பட்ட பைபிள் சங்கங்களில் சில பின்வருமாறு: அமெரிக்கன் பைபிள் சொஸைட்டி (1816), இது ஏற்கெனவே அந்த வட்டாரத்தில் இருந்துவந்த சங்கங்களால் அமைக்கப்பட்டது.</t>
        </is>
      </c>
      <c r="O1022" s="12" t="inlineStr">
        <is>
          <t>Bible &amp; church history</t>
        </is>
      </c>
      <c r="P1022" s="7" t="inlineStr">
        <is>
          <t>history.bible_preservation</t>
        </is>
      </c>
      <c r="Q1022" s="7" t="inlineStr">
        <is>
          <t>founding</t>
        </is>
      </c>
      <c r="R1022" s="7" t="n"/>
      <c r="S1022" s="7" t="inlineStr">
        <is>
          <t>United States</t>
        </is>
      </c>
      <c r="T1022" s="7" t="n"/>
      <c r="U1022" s="7" t="n"/>
      <c r="V1022" s="7" t="n">
        <v>1</v>
      </c>
      <c r="W1022" s="7" t="inlineStr">
        <is>
          <t>Study Number 7—The Bible in Modern Times</t>
        </is>
      </c>
      <c r="X1022" s="9" t="inlineStr">
        <is>
          <t>open</t>
        </is>
      </c>
      <c r="Y1022" s="9" t="inlineStr">
        <is>
          <t>open</t>
        </is>
      </c>
      <c r="Z1022" s="7" t="inlineStr">
        <is>
          <t>https://wol.jw.org/en/wol/d/r1/lp-e/1101990134#h=44</t>
        </is>
      </c>
      <c r="AA1022" s="7" t="n">
        <v>0</v>
      </c>
      <c r="AB1022" s="7" t="n"/>
      <c r="AC1022" s="7" t="n">
        <v>0</v>
      </c>
      <c r="AD1022" s="7" t="n"/>
      <c r="AE1022" s="7" t="n"/>
      <c r="AF1022" s="7" t="n"/>
      <c r="AG1022" s="7" t="n"/>
      <c r="AH1022" s="7" t="n"/>
      <c r="AI1022" s="7" t="n"/>
      <c r="AJ1022" s="7" t="n"/>
      <c r="AK1022" s="7" t="inlineStr">
        <is>
          <t>how-the-bible-came-to-us #45 (item)</t>
        </is>
      </c>
      <c r="AL1022" s="7" t="n"/>
      <c r="AM1022" s="7" t="n">
        <v>1816</v>
      </c>
      <c r="AN1022" s="10" t="n"/>
      <c r="AO1022" s="10" t="n"/>
      <c r="AP1022" s="10" t="n"/>
      <c r="AQ1022" s="10" t="n"/>
    </row>
    <row r="1023">
      <c r="A1023" s="7" t="inlineStr">
        <is>
          <t>b7-0201</t>
        </is>
      </c>
      <c r="B1023" s="7" t="inlineStr">
        <is>
          <t>Point</t>
        </is>
      </c>
      <c r="C1023" s="7" t="n"/>
      <c r="D1023" s="7" t="inlineStr">
        <is>
          <t>1817</t>
        </is>
      </c>
      <c r="E1023" s="7" t="inlineStr">
        <is>
          <t>1817</t>
        </is>
      </c>
      <c r="F1023" s="7" t="inlineStr">
        <is>
          <t>1817 CE</t>
        </is>
      </c>
      <c r="G1023" s="7" t="inlineStr">
        <is>
          <t>Exact</t>
        </is>
      </c>
      <c r="H1023" s="7" t="n"/>
      <c r="I1023" s="7" t="n"/>
      <c r="J1023" s="7" t="n"/>
      <c r="K1023" s="2" t="inlineStr">
        <is>
          <t>Judson begins translating the Bible into Burmese</t>
        </is>
      </c>
      <c r="L1023" s="2" t="n"/>
      <c r="M1023" s="7" t="inlineStr">
        <is>
          <t>Adoniram Judson began translating the Bible into Burmese in 1817, a task that took some 18 years.</t>
        </is>
      </c>
      <c r="N1023" s="7" t="inlineStr">
        <is>
          <t>ஐக்கிய மாகாணங்களில் பிறந்து வளர்ந்து, பர்மாவுக்கு பயணமாகி, 1817-ல் பைபிளை பர்மீஸ் மொழியில் மொழிபெயர்க்கத் தொடங்கினார் அடெனிரம் ஜட்ஸ்சன்.</t>
        </is>
      </c>
      <c r="O1023" s="12" t="inlineStr">
        <is>
          <t>Bible &amp; church history</t>
        </is>
      </c>
      <c r="P1023" s="7" t="inlineStr">
        <is>
          <t>history.bible_translation</t>
        </is>
      </c>
      <c r="Q1023" s="7" t="inlineStr">
        <is>
          <t>translation</t>
        </is>
      </c>
      <c r="R1023" s="7" t="inlineStr">
        <is>
          <t>Adoniram Judson</t>
        </is>
      </c>
      <c r="S1023" s="7" t="inlineStr">
        <is>
          <t>Burma</t>
        </is>
      </c>
      <c r="T1023" s="7" t="n"/>
      <c r="U1023" s="7" t="n"/>
      <c r="V1023" s="7" t="n">
        <v>1</v>
      </c>
      <c r="W1023" s="7" t="inlineStr">
        <is>
          <t>A Book That “Speaks” Living Languages</t>
        </is>
      </c>
      <c r="X1023" s="9" t="inlineStr">
        <is>
          <t>open</t>
        </is>
      </c>
      <c r="Y1023" s="9" t="inlineStr">
        <is>
          <t>open</t>
        </is>
      </c>
      <c r="Z1023" s="7" t="inlineStr">
        <is>
          <t>https://wol.jw.org/en/wol/d/r1/lp-e/1101997025#h=18</t>
        </is>
      </c>
      <c r="AA1023" s="7" t="n">
        <v>0</v>
      </c>
      <c r="AB1023" s="7" t="n"/>
      <c r="AC1023" s="7" t="n">
        <v>0</v>
      </c>
      <c r="AD1023" s="7" t="n"/>
      <c r="AE1023" s="7" t="n"/>
      <c r="AF1023" s="7" t="n"/>
      <c r="AG1023" s="7" t="n"/>
      <c r="AH1023" s="7" t="n"/>
      <c r="AI1023" s="7" t="n"/>
      <c r="AJ1023" s="7" t="n"/>
      <c r="AK1023" s="7" t="n"/>
      <c r="AL1023" s="7" t="n"/>
      <c r="AM1023" s="7" t="n">
        <v>1817</v>
      </c>
      <c r="AN1023" s="10" t="n"/>
      <c r="AO1023" s="10" t="n"/>
      <c r="AP1023" s="10" t="n"/>
      <c r="AQ1023" s="10" t="n"/>
    </row>
    <row r="1024">
      <c r="A1024" s="7" t="inlineStr">
        <is>
          <t>b7-0202</t>
        </is>
      </c>
      <c r="B1024" s="7" t="inlineStr">
        <is>
          <t>Point</t>
        </is>
      </c>
      <c r="C1024" s="7" t="n"/>
      <c r="D1024" s="7" t="inlineStr">
        <is>
          <t>1818</t>
        </is>
      </c>
      <c r="E1024" s="7" t="n"/>
      <c r="F1024" s="7" t="inlineStr">
        <is>
          <t>1818 CE</t>
        </is>
      </c>
      <c r="G1024" s="7" t="inlineStr">
        <is>
          <t>Exact</t>
        </is>
      </c>
      <c r="H1024" s="7" t="n"/>
      <c r="I1024" s="7" t="n"/>
      <c r="J1024" s="7" t="n"/>
      <c r="K1024" s="2" t="inlineStr">
        <is>
          <t>Bibles in Sanskrit and Hindi issued</t>
        </is>
      </c>
      <c r="L1024" s="2" t="n"/>
      <c r="M1024" s="7" t="inlineStr">
        <is>
          <t>In 1818 Bibles in Sanskrit and Hindi came from Carey's press; a Marathi version followed a year later.</t>
        </is>
      </c>
      <c r="N1024" s="7" t="n"/>
      <c r="O1024" s="12" t="inlineStr">
        <is>
          <t>Bible &amp; church history</t>
        </is>
      </c>
      <c r="P1024" s="7" t="inlineStr">
        <is>
          <t>history.bible_translation</t>
        </is>
      </c>
      <c r="Q1024" s="7" t="inlineStr">
        <is>
          <t>release</t>
        </is>
      </c>
      <c r="R1024" s="7" t="n"/>
      <c r="S1024" s="7" t="n"/>
      <c r="T1024" s="7" t="n"/>
      <c r="U1024" s="7" t="n"/>
      <c r="V1024" s="7" t="n">
        <v>1</v>
      </c>
      <c r="W1024" s="7" t="inlineStr">
        <is>
          <t>Translating the Bible in India</t>
        </is>
      </c>
      <c r="X1024" s="9" t="inlineStr">
        <is>
          <t>open</t>
        </is>
      </c>
      <c r="Y1024" s="7" t="n"/>
      <c r="Z1024" s="7" t="inlineStr">
        <is>
          <t>https://wol.jw.org/en/wol/d/r1/lp-e/101979409#h=14</t>
        </is>
      </c>
      <c r="AA1024" s="7" t="n">
        <v>0</v>
      </c>
      <c r="AB1024" s="7" t="n"/>
      <c r="AC1024" s="7" t="n">
        <v>0</v>
      </c>
      <c r="AD1024" s="7" t="n"/>
      <c r="AE1024" s="7" t="n"/>
      <c r="AF1024" s="7" t="n"/>
      <c r="AG1024" s="7" t="n"/>
      <c r="AH1024" s="7" t="n"/>
      <c r="AI1024" s="7" t="n"/>
      <c r="AJ1024" s="7" t="n"/>
      <c r="AK1024" s="7" t="n"/>
      <c r="AL1024" s="7" t="n"/>
      <c r="AM1024" s="7" t="n">
        <v>1818</v>
      </c>
      <c r="AN1024" s="10" t="n"/>
      <c r="AO1024" s="10" t="n"/>
      <c r="AP1024" s="10" t="n"/>
      <c r="AQ1024" s="10" t="n"/>
    </row>
    <row r="1025">
      <c r="A1025" s="7" t="inlineStr">
        <is>
          <t>b7-0203</t>
        </is>
      </c>
      <c r="B1025" s="7" t="inlineStr">
        <is>
          <t>Point</t>
        </is>
      </c>
      <c r="C1025" s="7" t="n"/>
      <c r="D1025" s="7" t="inlineStr">
        <is>
          <t>1819</t>
        </is>
      </c>
      <c r="E1025" s="7" t="n"/>
      <c r="F1025" s="7" t="inlineStr">
        <is>
          <t>1819 CE</t>
        </is>
      </c>
      <c r="G1025" s="7" t="inlineStr">
        <is>
          <t>Exact</t>
        </is>
      </c>
      <c r="H1025" s="7" t="n"/>
      <c r="I1025" s="7" t="n"/>
      <c r="J1025" s="7" t="n"/>
      <c r="K1025" s="2" t="inlineStr">
        <is>
          <t>Marathi version published</t>
        </is>
      </c>
      <c r="L1025" s="2" t="n"/>
      <c r="M1025" s="7" t="inlineStr">
        <is>
          <t>A year after the Sanskrit and Hindi Bibles, the Marathi version was published from Serampore.</t>
        </is>
      </c>
      <c r="N1025" s="7" t="n"/>
      <c r="O1025" s="12" t="inlineStr">
        <is>
          <t>Bible &amp; church history</t>
        </is>
      </c>
      <c r="P1025" s="7" t="inlineStr">
        <is>
          <t>history.bible_translation</t>
        </is>
      </c>
      <c r="Q1025" s="7" t="inlineStr">
        <is>
          <t>release</t>
        </is>
      </c>
      <c r="R1025" s="7" t="n"/>
      <c r="S1025" s="7" t="n"/>
      <c r="T1025" s="7" t="n"/>
      <c r="U1025" s="7" t="n"/>
      <c r="V1025" s="7" t="n">
        <v>1</v>
      </c>
      <c r="W1025" s="7" t="inlineStr">
        <is>
          <t>Translating the Bible in India</t>
        </is>
      </c>
      <c r="X1025" s="9" t="inlineStr">
        <is>
          <t>open</t>
        </is>
      </c>
      <c r="Y1025" s="7" t="n"/>
      <c r="Z1025" s="7" t="inlineStr">
        <is>
          <t>https://wol.jw.org/en/wol/d/r1/lp-e/101979409#h=14</t>
        </is>
      </c>
      <c r="AA1025" s="7" t="n">
        <v>0</v>
      </c>
      <c r="AB1025" s="7" t="n"/>
      <c r="AC1025" s="7" t="n">
        <v>0</v>
      </c>
      <c r="AD1025" s="7" t="n"/>
      <c r="AE1025" s="7" t="n"/>
      <c r="AF1025" s="7" t="n"/>
      <c r="AG1025" s="7" t="n"/>
      <c r="AH1025" s="7" t="n"/>
      <c r="AI1025" s="7" t="n"/>
      <c r="AJ1025" s="7" t="n"/>
      <c r="AK1025" s="7" t="n"/>
      <c r="AL1025" s="7" t="n"/>
      <c r="AM1025" s="7" t="n">
        <v>1819.1</v>
      </c>
      <c r="AN1025" s="10" t="n"/>
      <c r="AO1025" s="10" t="n"/>
      <c r="AP1025" s="10" t="n"/>
      <c r="AQ1025" s="10" t="n"/>
    </row>
    <row r="1026">
      <c r="A1026" s="7" t="inlineStr">
        <is>
          <t>b7-0204</t>
        </is>
      </c>
      <c r="B1026" s="7" t="inlineStr">
        <is>
          <t>Point</t>
        </is>
      </c>
      <c r="C1026" s="7" t="n"/>
      <c r="D1026" s="7" t="inlineStr">
        <is>
          <t>1819, November 25</t>
        </is>
      </c>
      <c r="E1026" s="7" t="n"/>
      <c r="F1026" s="7" t="inlineStr">
        <is>
          <t>1819 CE</t>
        </is>
      </c>
      <c r="G1026" s="7" t="inlineStr">
        <is>
          <t>Exact</t>
        </is>
      </c>
      <c r="H1026" s="7" t="n"/>
      <c r="I1026" s="7" t="n"/>
      <c r="J1026" s="7" t="n"/>
      <c r="K1026" s="2" t="inlineStr">
        <is>
          <t>Morrison completes the entire Bible in Chinese</t>
        </is>
      </c>
      <c r="L1026" s="2" t="n"/>
      <c r="M1026" s="7" t="inlineStr">
        <is>
          <t>Despite an edict making the printing of Christian books punishable by death, Morrison, with William Milne's help, completed his translation of the entire Bible into Chinese on November 25, 1819.</t>
        </is>
      </c>
      <c r="N1026" s="7" t="n"/>
      <c r="O1026" s="12" t="inlineStr">
        <is>
          <t>Bible &amp; church history</t>
        </is>
      </c>
      <c r="P1026" s="7" t="inlineStr">
        <is>
          <t>history.bible_translation</t>
        </is>
      </c>
      <c r="Q1026" s="7" t="inlineStr">
        <is>
          <t>writing_completed</t>
        </is>
      </c>
      <c r="R1026" s="7" t="inlineStr">
        <is>
          <t>Robert Morrison; William Milne</t>
        </is>
      </c>
      <c r="S1026" s="7" t="inlineStr">
        <is>
          <t>China</t>
        </is>
      </c>
      <c r="T1026" s="7" t="n"/>
      <c r="U1026" s="7" t="n"/>
      <c r="V1026" s="7" t="n">
        <v>2</v>
      </c>
      <c r="W1026" s="7" t="inlineStr">
        <is>
          <t>They Loved the Word of God</t>
        </is>
      </c>
      <c r="X1026" s="9" t="inlineStr">
        <is>
          <t>open</t>
        </is>
      </c>
      <c r="Y1026" s="7" t="n"/>
      <c r="Z1026" s="7" t="inlineStr">
        <is>
          <t>https://wol.jw.org/en/wol/d/r1/lp-e/2009402#h=19
https://wol.jw.org/en/wol/d/r1/lp-e/1101997025#h=21</t>
        </is>
      </c>
      <c r="AA1026" s="7" t="n">
        <v>0</v>
      </c>
      <c r="AB1026" s="7" t="n"/>
      <c r="AC1026" s="7" t="n">
        <v>0</v>
      </c>
      <c r="AD1026" s="7" t="n"/>
      <c r="AE1026" s="7" t="n"/>
      <c r="AF1026" s="7" t="n"/>
      <c r="AG1026" s="7" t="n"/>
      <c r="AH1026" s="7" t="n"/>
      <c r="AI1026" s="7" t="n"/>
      <c r="AJ1026" s="7" t="n"/>
      <c r="AK1026" s="7" t="inlineStr">
        <is>
          <t>how-the-bible-came-to-us #46 (step)</t>
        </is>
      </c>
      <c r="AL1026" s="7" t="n"/>
      <c r="AM1026" s="7" t="n">
        <v>1819.8978</v>
      </c>
      <c r="AN1026" s="10" t="n"/>
      <c r="AO1026" s="10" t="n"/>
      <c r="AP1026" s="10" t="n"/>
      <c r="AQ1026" s="10" t="n"/>
    </row>
    <row r="1027">
      <c r="A1027" s="7" t="inlineStr">
        <is>
          <t>b7-0205</t>
        </is>
      </c>
      <c r="B1027" s="7" t="inlineStr">
        <is>
          <t>Point</t>
        </is>
      </c>
      <c r="C1027" s="7" t="n"/>
      <c r="D1027" s="7" t="inlineStr">
        <is>
          <t>1821</t>
        </is>
      </c>
      <c r="E1027" s="7" t="inlineStr">
        <is>
          <t>1821</t>
        </is>
      </c>
      <c r="F1027" s="7" t="inlineStr">
        <is>
          <t>1821 CE</t>
        </is>
      </c>
      <c r="G1027" s="7" t="inlineStr">
        <is>
          <t>Exact</t>
        </is>
      </c>
      <c r="H1027" s="7" t="n"/>
      <c r="I1027" s="7" t="n"/>
      <c r="J1027" s="7" t="n"/>
      <c r="K1027" s="2" t="inlineStr">
        <is>
          <t>Robert Moffat begins mission among the Tswana</t>
        </is>
      </c>
      <c r="L1027" s="2" t="inlineStr">
        <is>
          <t>1821-ல், மாஃபெட் தன்னுடைய 25-ம் வயதில் மிஷனரி ஊழியத்திற்கு பயணமானார்</t>
        </is>
      </c>
      <c r="M1027" s="7" t="inlineStr">
        <is>
          <t>In 1821, Scotsman Robert Moffat set up a mission among the Tswana of southern Africa and developed a written form of their language.</t>
        </is>
      </c>
      <c r="N1027" s="7" t="inlineStr">
        <is>
          <t>1821-ல், மாஃபெட் தன்னுடைய 25-ம் வயதில் மிஷனரி ஊழியத்திற்கு பயணமானார்.</t>
        </is>
      </c>
      <c r="O1027" s="12" t="inlineStr">
        <is>
          <t>Bible &amp; church history</t>
        </is>
      </c>
      <c r="P1027" s="7" t="inlineStr">
        <is>
          <t>history.bible_translation</t>
        </is>
      </c>
      <c r="Q1027" s="7" t="inlineStr">
        <is>
          <t>mission</t>
        </is>
      </c>
      <c r="R1027" s="7" t="inlineStr">
        <is>
          <t>Robert Moffat</t>
        </is>
      </c>
      <c r="S1027" s="7" t="inlineStr">
        <is>
          <t>southern Africa</t>
        </is>
      </c>
      <c r="T1027" s="7" t="n"/>
      <c r="U1027" s="7" t="n"/>
      <c r="V1027" s="7" t="n">
        <v>1</v>
      </c>
      <c r="W1027" s="7" t="inlineStr">
        <is>
          <t>A Book That “Speaks” Living Languages</t>
        </is>
      </c>
      <c r="X1027" s="9" t="inlineStr">
        <is>
          <t>open</t>
        </is>
      </c>
      <c r="Y1027" s="9" t="inlineStr">
        <is>
          <t>open</t>
        </is>
      </c>
      <c r="Z1027" s="7" t="inlineStr">
        <is>
          <t>https://wol.jw.org/en/wol/d/r1/lp-e/1101997025#h=11</t>
        </is>
      </c>
      <c r="AA1027" s="7" t="n">
        <v>0</v>
      </c>
      <c r="AB1027" s="7" t="n"/>
      <c r="AC1027" s="7" t="n">
        <v>0</v>
      </c>
      <c r="AD1027" s="7" t="n"/>
      <c r="AE1027" s="7" t="n"/>
      <c r="AF1027" s="7" t="n"/>
      <c r="AG1027" s="7" t="n"/>
      <c r="AH1027" s="7" t="n"/>
      <c r="AI1027" s="7" t="n"/>
      <c r="AJ1027" s="7" t="n"/>
      <c r="AK1027" s="7" t="n"/>
      <c r="AL1027" s="7" t="n"/>
      <c r="AM1027" s="7" t="n">
        <v>1821</v>
      </c>
      <c r="AN1027" s="10" t="n"/>
      <c r="AO1027" s="10" t="n"/>
      <c r="AP1027" s="10" t="n"/>
      <c r="AQ1027" s="10" t="n"/>
    </row>
    <row r="1028">
      <c r="A1028" s="7" t="inlineStr">
        <is>
          <t>b7-0206</t>
        </is>
      </c>
      <c r="B1028" s="7" t="inlineStr">
        <is>
          <t>Point</t>
        </is>
      </c>
      <c r="C1028" s="7" t="n"/>
      <c r="D1028" s="7" t="inlineStr">
        <is>
          <t>1823, June</t>
        </is>
      </c>
      <c r="E1028" s="7" t="n"/>
      <c r="F1028" s="7" t="inlineStr">
        <is>
          <t>1823 CE</t>
        </is>
      </c>
      <c r="G1028" s="7" t="inlineStr">
        <is>
          <t>Exact</t>
        </is>
      </c>
      <c r="H1028" s="7" t="n"/>
      <c r="I1028" s="7" t="n"/>
      <c r="J1028" s="7" t="n"/>
      <c r="K1028" s="2" t="inlineStr">
        <is>
          <t>Judson completes Burmese Christian Greek Scriptures</t>
        </is>
      </c>
      <c r="L1028" s="2" t="n"/>
      <c r="M1028" s="7" t="inlineStr">
        <is>
          <t>Judson completed his Burmese translation of the Christian Greek Scriptures in June 1823.</t>
        </is>
      </c>
      <c r="N1028" s="7" t="n"/>
      <c r="O1028" s="12" t="inlineStr">
        <is>
          <t>Bible &amp; church history</t>
        </is>
      </c>
      <c r="P1028" s="7" t="inlineStr">
        <is>
          <t>history.bible_translation</t>
        </is>
      </c>
      <c r="Q1028" s="7" t="inlineStr">
        <is>
          <t>writing_completed</t>
        </is>
      </c>
      <c r="R1028" s="7" t="inlineStr">
        <is>
          <t>Adoniram Judson</t>
        </is>
      </c>
      <c r="S1028" s="7" t="inlineStr">
        <is>
          <t>Burma</t>
        </is>
      </c>
      <c r="T1028" s="7" t="n"/>
      <c r="U1028" s="7" t="n"/>
      <c r="V1028" s="7" t="n">
        <v>1</v>
      </c>
      <c r="W1028" s="7" t="inlineStr">
        <is>
          <t>They Loved the Word of God</t>
        </is>
      </c>
      <c r="X1028" s="9" t="inlineStr">
        <is>
          <t>open</t>
        </is>
      </c>
      <c r="Y1028" s="7" t="n"/>
      <c r="Z1028" s="7" t="inlineStr">
        <is>
          <t>https://wol.jw.org/en/wol/d/r1/lp-e/2009402#h=23</t>
        </is>
      </c>
      <c r="AA1028" s="7" t="n">
        <v>0</v>
      </c>
      <c r="AB1028" s="7" t="n"/>
      <c r="AC1028" s="7" t="n">
        <v>0</v>
      </c>
      <c r="AD1028" s="7" t="n"/>
      <c r="AE1028" s="7" t="n"/>
      <c r="AF1028" s="7" t="n"/>
      <c r="AG1028" s="7" t="n"/>
      <c r="AH1028" s="7" t="n"/>
      <c r="AI1028" s="7" t="n"/>
      <c r="AJ1028" s="7" t="n"/>
      <c r="AK1028" s="7" t="n"/>
      <c r="AL1028" s="7" t="n"/>
      <c r="AM1028" s="7" t="n">
        <v>1823.4167</v>
      </c>
      <c r="AN1028" s="10" t="n"/>
      <c r="AO1028" s="10" t="n"/>
      <c r="AP1028" s="10" t="n"/>
      <c r="AQ1028" s="10" t="n"/>
    </row>
    <row r="1029">
      <c r="A1029" s="7" t="inlineStr">
        <is>
          <t>b7-0207</t>
        </is>
      </c>
      <c r="B1029" s="7" t="inlineStr">
        <is>
          <t>Point</t>
        </is>
      </c>
      <c r="C1029" s="7" t="n"/>
      <c r="D1029" s="7" t="inlineStr">
        <is>
          <t>1823</t>
        </is>
      </c>
      <c r="E1029" s="7" t="inlineStr">
        <is>
          <t>1823</t>
        </is>
      </c>
      <c r="F1029" s="7" t="inlineStr">
        <is>
          <t>1823 CE</t>
        </is>
      </c>
      <c r="G1029" s="7" t="inlineStr">
        <is>
          <t>Exact</t>
        </is>
      </c>
      <c r="H1029" s="7" t="n"/>
      <c r="I1029" s="7" t="n"/>
      <c r="J1029" s="7" t="n"/>
      <c r="K1029" s="2" t="inlineStr">
        <is>
          <t>Torres Amat Spanish Bible from the Vulgate</t>
        </is>
      </c>
      <c r="L1029" s="2" t="inlineStr">
        <is>
          <t>இந்த மொழிபெயர்ப்பு 1823-ல் வந்தது, சியோவின் மொழிபெயர்ப்பை விட இது அதிகமாக விநியோகம் பெற்றது</t>
        </is>
      </c>
      <c r="M1029" s="7" t="inlineStr">
        <is>
          <t>Ordered by King Fernando VII, Bishop Félix Torres Amat produced an improved Spanish translation, based on the Vulgate, which came out in 1823.</t>
        </is>
      </c>
      <c r="N1029" s="7" t="inlineStr">
        <is>
          <t>இந்த மொழிபெயர்ப்பு 1823-ல் வந்தது, சியோவின் மொழிபெயர்ப்பை விட இது அதிகமாக விநியோகம் பெற்றது.</t>
        </is>
      </c>
      <c r="O1029" s="12" t="inlineStr">
        <is>
          <t>Bible &amp; church history</t>
        </is>
      </c>
      <c r="P1029" s="7" t="inlineStr">
        <is>
          <t>history.bible_translation</t>
        </is>
      </c>
      <c r="Q1029" s="7" t="inlineStr">
        <is>
          <t>release</t>
        </is>
      </c>
      <c r="R1029" s="7" t="inlineStr">
        <is>
          <t>Félix Torres Amat</t>
        </is>
      </c>
      <c r="S1029" s="7" t="inlineStr">
        <is>
          <t>Spain</t>
        </is>
      </c>
      <c r="T1029" s="7" t="n"/>
      <c r="U1029" s="7" t="n"/>
      <c r="V1029" s="7" t="n">
        <v>1</v>
      </c>
      <c r="W1029" s="7" t="inlineStr">
        <is>
          <t>The Spanish Bible’s Battle for Survival</t>
        </is>
      </c>
      <c r="X1029" s="9" t="inlineStr">
        <is>
          <t>open</t>
        </is>
      </c>
      <c r="Y1029" s="9" t="inlineStr">
        <is>
          <t>open</t>
        </is>
      </c>
      <c r="Z1029" s="7" t="inlineStr">
        <is>
          <t>https://wol.jw.org/en/wol/d/r1/lp-e/1992442#h=25</t>
        </is>
      </c>
      <c r="AA1029" s="7" t="n">
        <v>0</v>
      </c>
      <c r="AB1029" s="7" t="n"/>
      <c r="AC1029" s="7" t="n">
        <v>0</v>
      </c>
      <c r="AD1029" s="7" t="n"/>
      <c r="AE1029" s="7" t="n"/>
      <c r="AF1029" s="7" t="n"/>
      <c r="AG1029" s="7" t="n"/>
      <c r="AH1029" s="7" t="n"/>
      <c r="AI1029" s="7" t="n"/>
      <c r="AJ1029" s="7" t="n"/>
      <c r="AK1029" s="7" t="n"/>
      <c r="AL1029" s="7" t="n"/>
      <c r="AM1029" s="7" t="n">
        <v>1823.6</v>
      </c>
      <c r="AN1029" s="10" t="n"/>
      <c r="AO1029" s="10" t="n"/>
      <c r="AP1029" s="10" t="n"/>
      <c r="AQ1029" s="10" t="n"/>
    </row>
    <row r="1030">
      <c r="A1030" s="7" t="inlineStr">
        <is>
          <t>b7-0208</t>
        </is>
      </c>
      <c r="B1030" s="7" t="inlineStr">
        <is>
          <t>Point</t>
        </is>
      </c>
      <c r="C1030" s="7" t="n"/>
      <c r="D1030" s="7" t="inlineStr">
        <is>
          <t>1824</t>
        </is>
      </c>
      <c r="E1030" s="7" t="inlineStr">
        <is>
          <t>1824</t>
        </is>
      </c>
      <c r="F1030" s="7" t="inlineStr">
        <is>
          <t>1824 CE</t>
        </is>
      </c>
      <c r="G1030" s="7" t="inlineStr">
        <is>
          <t>Exact</t>
        </is>
      </c>
      <c r="H1030" s="7" t="n"/>
      <c r="I1030" s="7" t="n"/>
      <c r="J1030" s="7" t="n"/>
      <c r="K1030" s="2" t="inlineStr">
        <is>
          <t>Judson imprisoned in Burma; manuscript saved in a pillow</t>
        </is>
      </c>
      <c r="L1030" s="2" t="n"/>
      <c r="M1030" s="7" t="inlineStr">
        <is>
          <t>In 1824, accused of spying, Adoniram Judson was jailed in Burma. Ann Judson sewed the translated manuscript inside a pillow and brought it to him, preserving it for the first Burmese Bible.</t>
        </is>
      </c>
      <c r="N1030" s="7" t="inlineStr">
        <is>
          <t>பர்மா, 1824—அரச அதிகாரிகள் அப்போது தான் அடனைரம் மற்றும் அன் ஜட்செனின் மிஷனரி இல்லத்தை குடைந்து குடைந்து தேடி மதிப்புள்ளதாக அவர்கள் எண்ணிய அனைத்தையும் எடுத்துச் சென்றுவிட்டிருக்கிறார்கள்.</t>
        </is>
      </c>
      <c r="O1030" s="12" t="inlineStr">
        <is>
          <t>Bible &amp; church history</t>
        </is>
      </c>
      <c r="P1030" s="7" t="inlineStr">
        <is>
          <t>history.persecution</t>
        </is>
      </c>
      <c r="Q1030" s="7" t="inlineStr">
        <is>
          <t>arrest</t>
        </is>
      </c>
      <c r="R1030" s="7" t="inlineStr">
        <is>
          <t>Adoniram Judson; Ann Judson</t>
        </is>
      </c>
      <c r="S1030" s="7" t="inlineStr">
        <is>
          <t>Burma</t>
        </is>
      </c>
      <c r="T1030" s="7" t="n"/>
      <c r="U1030" s="7" t="n"/>
      <c r="V1030" s="7" t="n">
        <v>2</v>
      </c>
      <c r="W1030" s="7" t="inlineStr">
        <is>
          <t>Part Three—How the Bible Came to Us</t>
        </is>
      </c>
      <c r="X1030" s="9" t="inlineStr">
        <is>
          <t>open</t>
        </is>
      </c>
      <c r="Y1030" s="9" t="inlineStr">
        <is>
          <t>open</t>
        </is>
      </c>
      <c r="Z1030" s="7" t="inlineStr">
        <is>
          <t>https://wol.jw.org/en/wol/d/r1/lp-e/1997763#h=2
https://wol.jw.org/en/wol/d/r1/lp-e/2009402#h=23</t>
        </is>
      </c>
      <c r="AA1030" s="7" t="n">
        <v>0</v>
      </c>
      <c r="AB1030" s="7" t="n"/>
      <c r="AC1030" s="7" t="n">
        <v>0</v>
      </c>
      <c r="AD1030" s="7" t="n"/>
      <c r="AE1030" s="7" t="n"/>
      <c r="AF1030" s="7" t="n"/>
      <c r="AG1030" s="7" t="n"/>
      <c r="AH1030" s="7" t="n"/>
      <c r="AI1030" s="7" t="n"/>
      <c r="AJ1030" s="7" t="n"/>
      <c r="AK1030" s="7" t="n"/>
      <c r="AL1030" s="7" t="n"/>
      <c r="AM1030" s="7" t="n">
        <v>1824</v>
      </c>
      <c r="AN1030" s="10" t="n"/>
      <c r="AO1030" s="10" t="n"/>
      <c r="AP1030" s="10" t="n"/>
      <c r="AQ1030" s="10" t="n"/>
    </row>
    <row r="1031">
      <c r="A1031" s="7" t="inlineStr">
        <is>
          <t>b7-0209</t>
        </is>
      </c>
      <c r="B1031" s="7" t="inlineStr">
        <is>
          <t>Point</t>
        </is>
      </c>
      <c r="C1031" s="7" t="n"/>
      <c r="D1031" s="7" t="inlineStr">
        <is>
          <t>1830</t>
        </is>
      </c>
      <c r="E1031" s="7" t="inlineStr">
        <is>
          <t>1830</t>
        </is>
      </c>
      <c r="F1031" s="7" t="inlineStr">
        <is>
          <t>1830 CE</t>
        </is>
      </c>
      <c r="G1031" s="7" t="inlineStr">
        <is>
          <t>Exact</t>
        </is>
      </c>
      <c r="H1031" s="7" t="n"/>
      <c r="I1031" s="7" t="n"/>
      <c r="J1031" s="7" t="n"/>
      <c r="K1031" s="2" t="inlineStr">
        <is>
          <t>Moffat prints Gospel of Luke in Tswana</t>
        </is>
      </c>
      <c r="L1031" s="2" t="inlineStr">
        <is>
          <t>கடைசியாக அவர் 1830-ல் அந்தச் சுவிசேஷத்தை வெளியிட்டார்</t>
        </is>
      </c>
      <c r="M1031" s="7" t="inlineStr">
        <is>
          <t>Moffat finished translating Luke in 1829 and, after traveling to Cape Town, set the type and printed it himself, publishing it in 1830.</t>
        </is>
      </c>
      <c r="N1031" s="7" t="inlineStr">
        <is>
          <t>கடைசியாக அவர் 1830-ல் அந்தச் சுவிசேஷத்தை வெளியிட்டார்.</t>
        </is>
      </c>
      <c r="O1031" s="12" t="inlineStr">
        <is>
          <t>Bible &amp; church history</t>
        </is>
      </c>
      <c r="P1031" s="7" t="inlineStr">
        <is>
          <t>history.bible_translation</t>
        </is>
      </c>
      <c r="Q1031" s="7" t="inlineStr">
        <is>
          <t>release</t>
        </is>
      </c>
      <c r="R1031" s="7" t="inlineStr">
        <is>
          <t>Robert Moffat</t>
        </is>
      </c>
      <c r="S1031" s="7" t="inlineStr">
        <is>
          <t>Cape Town</t>
        </is>
      </c>
      <c r="T1031" s="7" t="n"/>
      <c r="U1031" s="7" t="n"/>
      <c r="V1031" s="7" t="n">
        <v>1</v>
      </c>
      <c r="W1031" s="7" t="inlineStr">
        <is>
          <t>A Book That “Speaks” Living Languages</t>
        </is>
      </c>
      <c r="X1031" s="9" t="inlineStr">
        <is>
          <t>open</t>
        </is>
      </c>
      <c r="Y1031" s="9" t="inlineStr">
        <is>
          <t>open</t>
        </is>
      </c>
      <c r="Z1031" s="7" t="inlineStr">
        <is>
          <t>https://wol.jw.org/en/wol/d/r1/lp-e/1101997025#h=12</t>
        </is>
      </c>
      <c r="AA1031" s="7" t="n">
        <v>0</v>
      </c>
      <c r="AB1031" s="7" t="n"/>
      <c r="AC1031" s="7" t="n">
        <v>0</v>
      </c>
      <c r="AD1031" s="7" t="n"/>
      <c r="AE1031" s="7" t="n"/>
      <c r="AF1031" s="7" t="n"/>
      <c r="AG1031" s="7" t="n"/>
      <c r="AH1031" s="7" t="n"/>
      <c r="AI1031" s="7" t="n"/>
      <c r="AJ1031" s="7" t="n"/>
      <c r="AK1031" s="7" t="n"/>
      <c r="AL1031" s="7" t="n"/>
      <c r="AM1031" s="7" t="n">
        <v>1830</v>
      </c>
      <c r="AN1031" s="10" t="n"/>
      <c r="AO1031" s="10" t="n"/>
      <c r="AP1031" s="10" t="n"/>
      <c r="AQ1031" s="10" t="n"/>
    </row>
    <row r="1032">
      <c r="A1032" s="7" t="inlineStr">
        <is>
          <t>b7-0210</t>
        </is>
      </c>
      <c r="B1032" s="7" t="inlineStr">
        <is>
          <t>Point</t>
        </is>
      </c>
      <c r="C1032" s="7" t="n"/>
      <c r="D1032" s="7" t="inlineStr">
        <is>
          <t>1835</t>
        </is>
      </c>
      <c r="E1032" s="7" t="inlineStr">
        <is>
          <t>1835</t>
        </is>
      </c>
      <c r="F1032" s="7" t="inlineStr">
        <is>
          <t>1835 CE</t>
        </is>
      </c>
      <c r="G1032" s="7" t="inlineStr">
        <is>
          <t>Exact</t>
        </is>
      </c>
      <c r="H1032" s="7" t="n"/>
      <c r="I1032" s="7" t="n"/>
      <c r="J1032" s="7" t="n"/>
      <c r="K1032" s="2" t="inlineStr">
        <is>
          <t>Judson completes the Burmese Bible</t>
        </is>
      </c>
      <c r="L1032" s="2" t="inlineStr">
        <is>
          <t>இருந்தபோதிலும் பெலனுக்காக கடவுளைச் சார்ந்திருந்து தொடர்ந்து மொழிபெயர்த்து பர்மிய மொழியில் பைபிளை 1835-ல் மொழிபெயர்த்து முடித்தார்</t>
        </is>
      </c>
      <c r="M1032" s="7" t="inlineStr">
        <is>
          <t>After about 18 years of work, imprisonment, and the deaths of his wife and daughter, Judson completed the entire Burmese Bible in 1835.</t>
        </is>
      </c>
      <c r="N1032" s="7" t="inlineStr">
        <is>
          <t>இருந்தபோதிலும் பெலனுக்காக கடவுளைச் சார்ந்திருந்து தொடர்ந்து மொழிபெயர்த்து பர்மிய மொழியில் பைபிளை 1835-ல் மொழிபெயர்த்து முடித்தார்.</t>
        </is>
      </c>
      <c r="O1032" s="12" t="inlineStr">
        <is>
          <t>Bible &amp; church history</t>
        </is>
      </c>
      <c r="P1032" s="7" t="inlineStr">
        <is>
          <t>history.bible_translation</t>
        </is>
      </c>
      <c r="Q1032" s="7" t="inlineStr">
        <is>
          <t>writing_completed</t>
        </is>
      </c>
      <c r="R1032" s="7" t="inlineStr">
        <is>
          <t>Adoniram Judson</t>
        </is>
      </c>
      <c r="S1032" s="7" t="inlineStr">
        <is>
          <t>Burma</t>
        </is>
      </c>
      <c r="T1032" s="7" t="n"/>
      <c r="U1032" s="7" t="n"/>
      <c r="V1032" s="7" t="n">
        <v>3</v>
      </c>
      <c r="W1032" s="7" t="inlineStr">
        <is>
          <t>They Loved the Word of God</t>
        </is>
      </c>
      <c r="X1032" s="9" t="inlineStr">
        <is>
          <t>open</t>
        </is>
      </c>
      <c r="Y1032" s="7" t="n"/>
      <c r="Z1032" s="7" t="inlineStr">
        <is>
          <t>https://wol.jw.org/en/wol/d/r1/lp-e/2009402#h=24
https://wol.jw.org/en/wol/d/r1/lp-e/1997763#h=13
https://wol.jw.org/en/wol/d/r1/lp-e/1101997025#h=19</t>
        </is>
      </c>
      <c r="AA1032" s="7" t="n">
        <v>0</v>
      </c>
      <c r="AB1032" s="7" t="n"/>
      <c r="AC1032" s="7" t="n">
        <v>0</v>
      </c>
      <c r="AD1032" s="7" t="n"/>
      <c r="AE1032" s="7" t="n"/>
      <c r="AF1032" s="7" t="n"/>
      <c r="AG1032" s="7" t="n"/>
      <c r="AH1032" s="7" t="n"/>
      <c r="AI1032" s="7" t="n"/>
      <c r="AJ1032" s="7" t="n"/>
      <c r="AK1032" s="7" t="inlineStr">
        <is>
          <t>how-the-bible-came-to-us #47 (step)</t>
        </is>
      </c>
      <c r="AL1032" s="7" t="n"/>
      <c r="AM1032" s="7" t="n">
        <v>1835</v>
      </c>
      <c r="AN1032" s="10" t="n"/>
      <c r="AO1032" s="10" t="n"/>
      <c r="AP1032" s="10" t="n"/>
      <c r="AQ1032" s="10" t="n"/>
    </row>
    <row r="1033">
      <c r="A1033" s="7" t="inlineStr">
        <is>
          <t>b7-0211</t>
        </is>
      </c>
      <c r="B1033" s="7" t="inlineStr">
        <is>
          <t>Point</t>
        </is>
      </c>
      <c r="C1033" s="7" t="n"/>
      <c r="D1033" s="7" t="inlineStr">
        <is>
          <t>1840</t>
        </is>
      </c>
      <c r="E1033" s="7" t="inlineStr">
        <is>
          <t>1840</t>
        </is>
      </c>
      <c r="F1033" s="7" t="inlineStr">
        <is>
          <t>1840 CE</t>
        </is>
      </c>
      <c r="G1033" s="7" t="inlineStr">
        <is>
          <t>Exact</t>
        </is>
      </c>
      <c r="H1033" s="7" t="n"/>
      <c r="I1033" s="7" t="n"/>
      <c r="J1033" s="7" t="n"/>
      <c r="K1033" s="2" t="inlineStr">
        <is>
          <t>Sharpe's English translation based on Griesbach</t>
        </is>
      </c>
      <c r="L1033" s="2" t="n"/>
      <c r="M1033" s="7" t="inlineStr">
        <is>
          <t>Griesbach's master text was the basis for Sharpe's English translation in 1840.</t>
        </is>
      </c>
      <c r="N1033" s="7" t="inlineStr">
        <is>
          <t>அவருடைய தனிச்சிறப்பு வாய்ந்த மூலவாக்கியம் 1840-⁠ல் ஷார்ப்ஸின் ஆங்கில மொழிபெயர்ப்புக்கு மூல ஆதாரமாயிருந்தது; இதுதான் 1864-⁠ல் முதன் முதலில் முழுமையாக பிரசுரிக்கப்பட்ட தி எம்ஃபாட்டிக் டயக்ளாட்டில் அச்சடிக்கப்பட்டுள்ள கிரேக்க வாக்கியமாகும்.</t>
        </is>
      </c>
      <c r="O1033" s="12" t="inlineStr">
        <is>
          <t>Bible &amp; church history</t>
        </is>
      </c>
      <c r="P1033" s="7" t="inlineStr">
        <is>
          <t>history.bible_translation</t>
        </is>
      </c>
      <c r="Q1033" s="7" t="inlineStr">
        <is>
          <t>release</t>
        </is>
      </c>
      <c r="R1033" s="7" t="inlineStr">
        <is>
          <t>Samuel Sharpe</t>
        </is>
      </c>
      <c r="S1033" s="7" t="n"/>
      <c r="T1033" s="7" t="n"/>
      <c r="U1033" s="7" t="n"/>
      <c r="V1033" s="7" t="n">
        <v>2</v>
      </c>
      <c r="W1033" s="7" t="inlineStr">
        <is>
          <t>Manuscripts of the Bible</t>
        </is>
      </c>
      <c r="X1033" s="9" t="inlineStr">
        <is>
          <t>open</t>
        </is>
      </c>
      <c r="Y1033" s="7" t="n"/>
      <c r="Z1033" s="7" t="inlineStr">
        <is>
          <t>https://wol.jw.org/en/wol/d/r1/lp-e/1200002893#h=14
https://wol.jw.org/en/wol/d/r1/lp-e/1101990133#h=26</t>
        </is>
      </c>
      <c r="AA1033" s="7" t="n">
        <v>0</v>
      </c>
      <c r="AB1033" s="7" t="n"/>
      <c r="AC1033" s="7" t="n">
        <v>0</v>
      </c>
      <c r="AD1033" s="7" t="n"/>
      <c r="AE1033" s="7" t="n"/>
      <c r="AF1033" s="7" t="n"/>
      <c r="AG1033" s="7" t="n"/>
      <c r="AH1033" s="7" t="n"/>
      <c r="AI1033" s="7" t="n"/>
      <c r="AJ1033" s="7" t="n"/>
      <c r="AK1033" s="7" t="n"/>
      <c r="AL1033" s="7" t="n"/>
      <c r="AM1033" s="7" t="n">
        <v>1840</v>
      </c>
      <c r="AN1033" s="10" t="n"/>
      <c r="AO1033" s="10" t="n"/>
      <c r="AP1033" s="10" t="n"/>
      <c r="AQ1033" s="10" t="n"/>
    </row>
    <row r="1034">
      <c r="A1034" s="7" t="inlineStr">
        <is>
          <t>b7-0212</t>
        </is>
      </c>
      <c r="B1034" s="7" t="inlineStr">
        <is>
          <t>Point</t>
        </is>
      </c>
      <c r="C1034" s="7" t="n"/>
      <c r="D1034" s="7" t="inlineStr">
        <is>
          <t>1841</t>
        </is>
      </c>
      <c r="E1034" s="7" t="n"/>
      <c r="F1034" s="7" t="inlineStr">
        <is>
          <t>1841 CE</t>
        </is>
      </c>
      <c r="G1034" s="7" t="inlineStr">
        <is>
          <t>Exact</t>
        </is>
      </c>
      <c r="H1034" s="7" t="n"/>
      <c r="I1034" s="7" t="n"/>
      <c r="J1034" s="7" t="n"/>
      <c r="K1034" s="2" t="inlineStr">
        <is>
          <t>Malayalam Bible published, using "Jehovah"</t>
        </is>
      </c>
      <c r="L1034" s="2" t="n"/>
      <c r="M1034" s="7" t="inlineStr">
        <is>
          <t>Printed on a crude press built from an encyclopedia description, the entire Bible in Malayalam was published in 1841, after 24 years of work by Benjamin Bailey; it uses Jehovah throughout the Hebrew Scriptures.</t>
        </is>
      </c>
      <c r="N1034" s="7" t="n"/>
      <c r="O1034" s="12" t="inlineStr">
        <is>
          <t>Bible &amp; church history</t>
        </is>
      </c>
      <c r="P1034" s="7" t="inlineStr">
        <is>
          <t>history.bible_translation</t>
        </is>
      </c>
      <c r="Q1034" s="7" t="inlineStr">
        <is>
          <t>release</t>
        </is>
      </c>
      <c r="R1034" s="7" t="inlineStr">
        <is>
          <t>Benjamin Bailey</t>
        </is>
      </c>
      <c r="S1034" s="7" t="n"/>
      <c r="T1034" s="7" t="n"/>
      <c r="U1034" s="7" t="n"/>
      <c r="V1034" s="7" t="n">
        <v>1</v>
      </c>
      <c r="W1034" s="7" t="inlineStr">
        <is>
          <t>Translating the Bible in India</t>
        </is>
      </c>
      <c r="X1034" s="9" t="inlineStr">
        <is>
          <t>open</t>
        </is>
      </c>
      <c r="Y1034" s="7" t="n"/>
      <c r="Z1034" s="7" t="inlineStr">
        <is>
          <t>https://wol.jw.org/en/wol/d/r1/lp-e/101979409#h=19</t>
        </is>
      </c>
      <c r="AA1034" s="7" t="n">
        <v>0</v>
      </c>
      <c r="AB1034" s="7" t="n"/>
      <c r="AC1034" s="7" t="n">
        <v>0</v>
      </c>
      <c r="AD1034" s="7" t="n"/>
      <c r="AE1034" s="7" t="n"/>
      <c r="AF1034" s="7" t="n"/>
      <c r="AG1034" s="7" t="n"/>
      <c r="AH1034" s="7" t="n"/>
      <c r="AI1034" s="7" t="n"/>
      <c r="AJ1034" s="7" t="n"/>
      <c r="AK1034" s="7" t="n"/>
      <c r="AL1034" s="7" t="n"/>
      <c r="AM1034" s="7" t="n">
        <v>1841</v>
      </c>
      <c r="AN1034" s="10" t="n"/>
      <c r="AO1034" s="10" t="n"/>
      <c r="AP1034" s="10" t="n"/>
      <c r="AQ1034" s="10" t="n"/>
    </row>
    <row r="1035">
      <c r="A1035" s="7" t="inlineStr">
        <is>
          <t>b7-0213</t>
        </is>
      </c>
      <c r="B1035" s="7" t="inlineStr">
        <is>
          <t>Point</t>
        </is>
      </c>
      <c r="C1035" s="7" t="n"/>
      <c r="D1035" s="7" t="inlineStr">
        <is>
          <t>1844</t>
        </is>
      </c>
      <c r="E1035" s="7" t="n"/>
      <c r="F1035" s="7" t="inlineStr">
        <is>
          <t>1844 CE</t>
        </is>
      </c>
      <c r="G1035" s="7" t="inlineStr">
        <is>
          <t>Exact</t>
        </is>
      </c>
      <c r="H1035" s="7" t="n"/>
      <c r="I1035" s="7" t="n"/>
      <c r="J1035" s="7" t="n"/>
      <c r="K1035" s="2" t="inlineStr">
        <is>
          <t>Tischendorf discovers first portion of Codex Sinaiticus</t>
        </is>
      </c>
      <c r="L1035" s="2" t="n"/>
      <c r="M1035" s="7" t="inlineStr">
        <is>
          <t>Bible scholar Konstantin von Tischendorf discovered a portion of the Sinaitic Manuscript at St. Catherine's Monastery, Mount Sinai, in 1844.</t>
        </is>
      </c>
      <c r="N1035" s="7" t="n"/>
      <c r="O1035" s="12" t="inlineStr">
        <is>
          <t>Bible &amp; church history</t>
        </is>
      </c>
      <c r="P1035" s="7" t="inlineStr">
        <is>
          <t>history.bible_preservation</t>
        </is>
      </c>
      <c r="Q1035" s="7" t="inlineStr">
        <is>
          <t>discovery</t>
        </is>
      </c>
      <c r="R1035" s="7" t="inlineStr">
        <is>
          <t>Konstantin von Tischendorf</t>
        </is>
      </c>
      <c r="S1035" s="7" t="inlineStr">
        <is>
          <t>Mount Sinai</t>
        </is>
      </c>
      <c r="T1035" s="7" t="n"/>
      <c r="U1035" s="7" t="n"/>
      <c r="V1035" s="7" t="n">
        <v>1</v>
      </c>
      <c r="W1035" s="7" t="inlineStr">
        <is>
          <t>Manuscripts of the Bible</t>
        </is>
      </c>
      <c r="X1035" s="9" t="inlineStr">
        <is>
          <t>open</t>
        </is>
      </c>
      <c r="Y1035" s="7" t="n"/>
      <c r="Z1035" s="7" t="inlineStr">
        <is>
          <t>https://wol.jw.org/en/wol/d/r1/lp-e/1200002893#h=36</t>
        </is>
      </c>
      <c r="AA1035" s="7" t="n">
        <v>1</v>
      </c>
      <c r="AB1035" s="9" t="inlineStr">
        <is>
          <t>open</t>
        </is>
      </c>
      <c r="AC1035" s="7" t="n">
        <v>0</v>
      </c>
      <c r="AD1035" s="7" t="n"/>
      <c r="AE1035" s="7" t="n"/>
      <c r="AF1035" s="7" t="n"/>
      <c r="AG1035" s="7" t="n"/>
      <c r="AH1035" s="7" t="n"/>
      <c r="AI1035" s="7" t="n"/>
      <c r="AJ1035" s="7" t="n"/>
      <c r="AK1035" s="7" t="n"/>
      <c r="AL1035" s="7" t="n"/>
      <c r="AM1035" s="7" t="n">
        <v>1844.1</v>
      </c>
      <c r="AN1035" s="10" t="n"/>
      <c r="AO1035" s="10" t="n"/>
      <c r="AP1035" s="10" t="n"/>
      <c r="AQ1035" s="10" t="n"/>
    </row>
    <row r="1036">
      <c r="A1036" s="7" t="inlineStr">
        <is>
          <t>b7-0214</t>
        </is>
      </c>
      <c r="B1036" s="7" t="inlineStr">
        <is>
          <t>Point</t>
        </is>
      </c>
      <c r="C1036" s="7" t="n"/>
      <c r="D1036" s="7" t="inlineStr">
        <is>
          <t>1844, October 22</t>
        </is>
      </c>
      <c r="E1036" s="7" t="inlineStr">
        <is>
          <t>1844</t>
        </is>
      </c>
      <c r="F1036" s="7" t="inlineStr">
        <is>
          <t>1844 CE</t>
        </is>
      </c>
      <c r="G1036" s="7" t="inlineStr">
        <is>
          <t>Exact</t>
        </is>
      </c>
      <c r="H1036" s="7" t="n"/>
      <c r="I1036" s="7" t="n"/>
      <c r="J1036" s="7" t="n"/>
      <c r="K1036" s="2" t="inlineStr">
        <is>
          <t>Millerites' "Great Disappointment"</t>
        </is>
      </c>
      <c r="L1036" s="2" t="n"/>
      <c r="M1036" s="7" t="inlineStr">
        <is>
          <t>William Miller predicted Christ's visible return in 1843 or 1844. Some 50,000 Millerites waited on October 22, 1844, and when Christ did not come they called it the "Great Disappointment."</t>
        </is>
      </c>
      <c r="N1036" s="7" t="inlineStr">
        <is>
          <t>அக்டோபர் 22, 1844, ஐக்கிய மாகாணங்களின் கிழக்குக் கரையில் கூடியிருந்த சுமார் 50,000 பேருக்கு எதிர்பார்ப்புகள் நிறைந்த ஒரு நாளாக இருந்தது.</t>
        </is>
      </c>
      <c r="O1036" s="12" t="inlineStr">
        <is>
          <t>Bible &amp; church history</t>
        </is>
      </c>
      <c r="P1036" s="7" t="inlineStr">
        <is>
          <t>history.reform</t>
        </is>
      </c>
      <c r="Q1036" s="7" t="inlineStr">
        <is>
          <t>prophecy_failed</t>
        </is>
      </c>
      <c r="R1036" s="7" t="inlineStr">
        <is>
          <t>William Miller</t>
        </is>
      </c>
      <c r="S1036" s="7" t="inlineStr">
        <is>
          <t>United States</t>
        </is>
      </c>
      <c r="T1036" s="7" t="n"/>
      <c r="U1036" s="7" t="n"/>
      <c r="V1036" s="7" t="n">
        <v>2</v>
      </c>
      <c r="W1036" s="7" t="inlineStr">
        <is>
          <t>The “Investigative Judgment”—A Bible-Based Doctrine?</t>
        </is>
      </c>
      <c r="X1036" s="9" t="inlineStr">
        <is>
          <t>open</t>
        </is>
      </c>
      <c r="Y1036" s="9" t="inlineStr">
        <is>
          <t>open</t>
        </is>
      </c>
      <c r="Z1036" s="7" t="inlineStr">
        <is>
          <t>https://wol.jw.org/en/wol/d/r1/lp-e/1997527#h=2
https://wol.jw.org/en/wol/d/r1/lp-e/1101993005#h=42</t>
        </is>
      </c>
      <c r="AA1036" s="7" t="n">
        <v>0</v>
      </c>
      <c r="AB1036" s="7" t="n"/>
      <c r="AC1036" s="7" t="n">
        <v>0</v>
      </c>
      <c r="AD1036" s="7" t="n"/>
      <c r="AE1036" s="7" t="n"/>
      <c r="AF1036" s="7" t="n"/>
      <c r="AG1036" s="7" t="n"/>
      <c r="AH1036" s="7" t="n"/>
      <c r="AI1036" s="7" t="n"/>
      <c r="AJ1036" s="7" t="n"/>
      <c r="AK1036" s="7" t="n"/>
      <c r="AL1036" s="7" t="n"/>
      <c r="AM1036" s="7" t="n">
        <v>1844.8065</v>
      </c>
      <c r="AN1036" s="10" t="n"/>
      <c r="AO1036" s="10" t="n"/>
      <c r="AP1036" s="10" t="n"/>
      <c r="AQ1036" s="10" t="n"/>
    </row>
    <row r="1037">
      <c r="A1037" s="7" t="inlineStr">
        <is>
          <t>b7-0215</t>
        </is>
      </c>
      <c r="B1037" s="7" t="inlineStr">
        <is>
          <t>Point</t>
        </is>
      </c>
      <c r="C1037" s="7" t="n"/>
      <c r="D1037" s="7" t="inlineStr">
        <is>
          <t>1847</t>
        </is>
      </c>
      <c r="E1037" s="7" t="n"/>
      <c r="F1037" s="7" t="inlineStr">
        <is>
          <t>1847 CE</t>
        </is>
      </c>
      <c r="G1037" s="7" t="inlineStr">
        <is>
          <t>Exact</t>
        </is>
      </c>
      <c r="H1037" s="7" t="n"/>
      <c r="I1037" s="7" t="n"/>
      <c r="J1037" s="7" t="n"/>
      <c r="K1037" s="2" t="inlineStr">
        <is>
          <t>Tulu Bible published</t>
        </is>
      </c>
      <c r="L1037" s="2" t="n"/>
      <c r="M1037" s="7" t="inlineStr">
        <is>
          <t>Using the Kanarese script, translators produced the Bible in Tulu, spoken on India's west coast; it appeared in 1847.</t>
        </is>
      </c>
      <c r="N1037" s="7" t="n"/>
      <c r="O1037" s="12" t="inlineStr">
        <is>
          <t>Bible &amp; church history</t>
        </is>
      </c>
      <c r="P1037" s="7" t="inlineStr">
        <is>
          <t>history.bible_translation</t>
        </is>
      </c>
      <c r="Q1037" s="7" t="inlineStr">
        <is>
          <t>release</t>
        </is>
      </c>
      <c r="R1037" s="7" t="n"/>
      <c r="S1037" s="7" t="n"/>
      <c r="T1037" s="7" t="n"/>
      <c r="U1037" s="7" t="n"/>
      <c r="V1037" s="7" t="n">
        <v>1</v>
      </c>
      <c r="W1037" s="7" t="inlineStr">
        <is>
          <t>Translating the Bible in India</t>
        </is>
      </c>
      <c r="X1037" s="9" t="inlineStr">
        <is>
          <t>open</t>
        </is>
      </c>
      <c r="Y1037" s="7" t="n"/>
      <c r="Z1037" s="7" t="inlineStr">
        <is>
          <t>https://wol.jw.org/en/wol/d/r1/lp-e/101979409#h=22</t>
        </is>
      </c>
      <c r="AA1037" s="7" t="n">
        <v>0</v>
      </c>
      <c r="AB1037" s="7" t="n"/>
      <c r="AC1037" s="7" t="n">
        <v>0</v>
      </c>
      <c r="AD1037" s="7" t="n"/>
      <c r="AE1037" s="7" t="n"/>
      <c r="AF1037" s="7" t="n"/>
      <c r="AG1037" s="7" t="n"/>
      <c r="AH1037" s="7" t="n"/>
      <c r="AI1037" s="7" t="n"/>
      <c r="AJ1037" s="7" t="n"/>
      <c r="AK1037" s="7" t="n"/>
      <c r="AL1037" s="7" t="n"/>
      <c r="AM1037" s="7" t="n">
        <v>1847</v>
      </c>
      <c r="AN1037" s="10" t="n"/>
      <c r="AO1037" s="10" t="n"/>
      <c r="AP1037" s="10" t="n"/>
      <c r="AQ1037" s="10" t="n"/>
    </row>
    <row r="1038">
      <c r="A1038" s="7" t="inlineStr">
        <is>
          <t>b7-0216</t>
        </is>
      </c>
      <c r="B1038" s="7" t="inlineStr">
        <is>
          <t>Point</t>
        </is>
      </c>
      <c r="C1038" s="7" t="n"/>
      <c r="D1038" s="7" t="inlineStr">
        <is>
          <t>1848</t>
        </is>
      </c>
      <c r="E1038" s="7" t="inlineStr">
        <is>
          <t>1848</t>
        </is>
      </c>
      <c r="F1038" s="7" t="inlineStr">
        <is>
          <t>1848 CE</t>
        </is>
      </c>
      <c r="G1038" s="7" t="inlineStr">
        <is>
          <t>Exact</t>
        </is>
      </c>
      <c r="H1038" s="7" t="n"/>
      <c r="I1038" s="7" t="n"/>
      <c r="J1038" s="7" t="n"/>
      <c r="K1038" s="2" t="inlineStr">
        <is>
          <t>Communist Manifesto promotes atheism</t>
        </is>
      </c>
      <c r="L1038" s="2" t="inlineStr">
        <is>
          <t>1848-ல் மார்க்ஸ் மற்றும் என்கல்ஸ், கிறிஸ்தவத்தை ஒடுக்குகிற ஒரு ஆயுதம் என்று வருணித்த கம்யூனிஸ்ட் பிரகடனத்தை வெளியிட்டனர்</t>
        </is>
      </c>
      <c r="M1038" s="7" t="inlineStr">
        <is>
          <t>In 1848 Marx and Engels issued the Communist Manifesto, portraying Christianity as a tool of oppression and advocating atheism, part of increasing attacks on the Bible.</t>
        </is>
      </c>
      <c r="N1038" s="7" t="inlineStr">
        <is>
          <t>1848-ல் மார்க்ஸ் மற்றும் என்கல்ஸ், கிறிஸ்தவத்தை ஒடுக்குகிற ஒரு ஆயுதம் என்று வருணித்த கம்யூனிஸ்ட் பிரகடனத்தை வெளியிட்டனர்.</t>
        </is>
      </c>
      <c r="O1038" s="12" t="inlineStr">
        <is>
          <t>Bible &amp; church history</t>
        </is>
      </c>
      <c r="P1038" s="7" t="inlineStr">
        <is>
          <t>history.bible_preservation</t>
        </is>
      </c>
      <c r="Q1038" s="7" t="inlineStr">
        <is>
          <t>writing</t>
        </is>
      </c>
      <c r="R1038" s="7" t="inlineStr">
        <is>
          <t>Karl Marx; Friedrich Engels</t>
        </is>
      </c>
      <c r="S1038" s="7" t="n"/>
      <c r="T1038" s="7" t="n"/>
      <c r="U1038" s="7" t="n"/>
      <c r="V1038" s="7" t="n">
        <v>2</v>
      </c>
      <c r="W1038" s="7" t="inlineStr">
        <is>
          <t>The Great Apostasy Develops</t>
        </is>
      </c>
      <c r="X1038" s="9" t="inlineStr">
        <is>
          <t>open</t>
        </is>
      </c>
      <c r="Y1038" s="7" t="n"/>
      <c r="Z1038" s="7" t="inlineStr">
        <is>
          <t>https://wol.jw.org/en/wol/d/r1/lp-e/1101993005#h=46
https://wol.jw.org/en/wol/d/r1/lp-e/1997763#h=16</t>
        </is>
      </c>
      <c r="AA1038" s="7" t="n">
        <v>0</v>
      </c>
      <c r="AB1038" s="7" t="n"/>
      <c r="AC1038" s="7" t="n">
        <v>0</v>
      </c>
      <c r="AD1038" s="7" t="n"/>
      <c r="AE1038" s="7" t="n"/>
      <c r="AF1038" s="7" t="n"/>
      <c r="AG1038" s="7" t="n"/>
      <c r="AH1038" s="7" t="n"/>
      <c r="AI1038" s="7" t="n"/>
      <c r="AJ1038" s="7" t="n"/>
      <c r="AK1038" s="7" t="n"/>
      <c r="AL1038" s="7" t="n"/>
      <c r="AM1038" s="7" t="n">
        <v>1848</v>
      </c>
      <c r="AN1038" s="10" t="n"/>
      <c r="AO1038" s="10" t="n"/>
      <c r="AP1038" s="10" t="n"/>
      <c r="AQ1038" s="10" t="n"/>
    </row>
    <row r="1039">
      <c r="A1039" s="7" t="inlineStr">
        <is>
          <t>b8-0001</t>
        </is>
      </c>
      <c r="B1039" s="7" t="inlineStr">
        <is>
          <t>Point</t>
        </is>
      </c>
      <c r="C1039" s="7" t="n"/>
      <c r="D1039" s="7" t="inlineStr">
        <is>
          <t>February 16, 1852</t>
        </is>
      </c>
      <c r="E1039" s="7" t="n"/>
      <c r="F1039" s="7" t="inlineStr">
        <is>
          <t>1852 CE</t>
        </is>
      </c>
      <c r="G1039" s="7" t="inlineStr">
        <is>
          <t>Exact</t>
        </is>
      </c>
      <c r="H1039" s="7" t="n"/>
      <c r="I1039" s="7" t="n"/>
      <c r="J1039" s="7" t="n"/>
      <c r="K1039" s="2" t="inlineStr">
        <is>
          <t>Charles Taze Russell is born</t>
        </is>
      </c>
      <c r="L1039" s="2" t="n"/>
      <c r="M1039" s="7" t="inlineStr">
        <is>
          <t>Charles Taze Russell, who would take the lead among the Bible Students, is born in Allegheny (now part of Pittsburgh), Pennsylvania, U.S.A.</t>
        </is>
      </c>
      <c r="N1039" s="7" t="n"/>
      <c r="O1039" s="13" t="inlineStr">
        <is>
          <t>Jehovah's Witnesses</t>
        </is>
      </c>
      <c r="P1039" s="7" t="inlineStr">
        <is>
          <t>jw.leadership</t>
        </is>
      </c>
      <c r="Q1039" s="7" t="inlineStr">
        <is>
          <t>birth</t>
        </is>
      </c>
      <c r="R1039" s="7" t="inlineStr">
        <is>
          <t>Charles Taze Russell</t>
        </is>
      </c>
      <c r="S1039" s="7" t="inlineStr">
        <is>
          <t>Allegheny, Pennsylvania</t>
        </is>
      </c>
      <c r="T1039" s="7" t="n"/>
      <c r="U1039" s="7" t="n"/>
      <c r="V1039" s="7" t="n">
        <v>2</v>
      </c>
      <c r="W1039" s="7" t="inlineStr">
        <is>
          <t>Proclaiming the Lord’s Return (1870-1914)</t>
        </is>
      </c>
      <c r="X1039" s="9" t="inlineStr">
        <is>
          <t>open</t>
        </is>
      </c>
      <c r="Y1039" s="7" t="n"/>
      <c r="Z1039" s="7" t="inlineStr">
        <is>
          <t>https://wol.jw.org/en/wol/d/r1/lp-e/1101993006
https://wol.jw.org/en/wol/d/r1/lp-e/301975002</t>
        </is>
      </c>
      <c r="AA1039" s="7" t="n">
        <v>0</v>
      </c>
      <c r="AB1039" s="7" t="n"/>
      <c r="AC1039" s="7" t="n">
        <v>1</v>
      </c>
      <c r="AD1039" s="7" t="inlineStr">
        <is>
          <t>date as given by merged duplicate b7-0217 (b7): Charles Taze Russell born</t>
        </is>
      </c>
      <c r="AE1039" s="7" t="n"/>
      <c r="AF1039" s="7" t="n"/>
      <c r="AG1039" s="7" t="n"/>
      <c r="AH1039" s="7" t="n"/>
      <c r="AI1039" s="7" t="inlineStr">
        <is>
          <t>Covered by span – hide on chart</t>
        </is>
      </c>
      <c r="AJ1039" s="7" t="inlineStr">
        <is>
          <t>start of Life of Charles Taze Russell (d1-0029)</t>
        </is>
      </c>
      <c r="AK1039" s="7" t="n"/>
      <c r="AL1039" s="7" t="n"/>
      <c r="AM1039" s="7" t="n">
        <v>1852.1208</v>
      </c>
      <c r="AN1039" s="10" t="n"/>
      <c r="AO1039" s="10" t="n"/>
      <c r="AP1039" s="10" t="n"/>
      <c r="AQ1039" s="10" t="n"/>
    </row>
    <row r="1040">
      <c r="A1040" s="7" t="inlineStr">
        <is>
          <t>d1-0029</t>
        </is>
      </c>
      <c r="B1040" s="11" t="inlineStr">
        <is>
          <t>Span</t>
        </is>
      </c>
      <c r="C1040" s="7" t="inlineStr">
        <is>
          <t>lifespan</t>
        </is>
      </c>
      <c r="D1040" s="7" t="inlineStr">
        <is>
          <t>February 16, 1852 – October 31, 1916</t>
        </is>
      </c>
      <c r="E1040" s="7" t="n"/>
      <c r="F1040" s="7" t="inlineStr">
        <is>
          <t>1852 CE</t>
        </is>
      </c>
      <c r="G1040" s="7" t="inlineStr">
        <is>
          <t>Exact</t>
        </is>
      </c>
      <c r="H1040" s="7" t="inlineStr">
        <is>
          <t>1916 CE</t>
        </is>
      </c>
      <c r="I1040" s="7" t="inlineStr">
        <is>
          <t>Exact</t>
        </is>
      </c>
      <c r="J1040" s="7" t="inlineStr">
        <is>
          <t>64½ years</t>
        </is>
      </c>
      <c r="K1040" s="2" t="inlineStr">
        <is>
          <t>Life of Charles Taze Russell</t>
        </is>
      </c>
      <c r="L1040" s="2" t="n"/>
      <c r="M1040" s="7" t="inlineStr">
        <is>
          <t>Charles Taze Russell: from Charles Taze Russell is born (February 16, 1852) to C. T. Russell dies at age 64 (October 31, 1916). Dates as given in the cited jw.org publications.</t>
        </is>
      </c>
      <c r="N1040" s="7" t="n"/>
      <c r="O1040" s="13" t="inlineStr">
        <is>
          <t>Jehovah's Witnesses</t>
        </is>
      </c>
      <c r="P1040" s="7" t="inlineStr">
        <is>
          <t>jw.leadership</t>
        </is>
      </c>
      <c r="Q1040" s="7" t="inlineStr">
        <is>
          <t>lifespan</t>
        </is>
      </c>
      <c r="R1040" s="7" t="inlineStr">
        <is>
          <t>Charles Taze Russell</t>
        </is>
      </c>
      <c r="S1040" s="7" t="inlineStr">
        <is>
          <t>Allegheny, Pennsylvania; Pampa, Texas</t>
        </is>
      </c>
      <c r="T1040" s="7" t="n"/>
      <c r="U1040" s="7" t="n"/>
      <c r="V1040" s="7" t="n">
        <v>6</v>
      </c>
      <c r="W1040" s="7" t="inlineStr">
        <is>
          <t>Proclaiming the Lord’s Return (1870-1914)</t>
        </is>
      </c>
      <c r="X1040" s="9" t="inlineStr">
        <is>
          <t>open</t>
        </is>
      </c>
      <c r="Y1040" s="7" t="n"/>
      <c r="Z1040" s="7" t="inlineStr">
        <is>
          <t>https://wol.jw.org/en/wol/d/r1/lp-e/1101993006
https://wol.jw.org/en/wol/d/r1/lp-e/301975002
https://wol.jw.org/en/wol/d/r1/lp-e/1101993046
https://wol.jw.org/en/wol/d/r1/lp-e/1101993007
https://wol.jw.org/en/wol/d/r1/lp-e/1102014246
https://wol.jw.org/en/wol/d/r1/lp-e/1102014241</t>
        </is>
      </c>
      <c r="AA1040" s="7" t="n">
        <v>0</v>
      </c>
      <c r="AB1040" s="7" t="n"/>
      <c r="AC1040" s="7" t="n">
        <v>0</v>
      </c>
      <c r="AD1040" s="7" t="n"/>
      <c r="AE1040" s="7" t="inlineStr">
        <is>
          <t>Built from b8-0001 (start) and b8-0101 (end).</t>
        </is>
      </c>
      <c r="AF1040" s="7" t="inlineStr">
        <is>
          <t>b8-0001</t>
        </is>
      </c>
      <c r="AG1040" s="7" t="inlineStr">
        <is>
          <t>b8-0101</t>
        </is>
      </c>
      <c r="AH1040" s="7" t="n"/>
      <c r="AI1040" s="7" t="n"/>
      <c r="AJ1040" s="7" t="n"/>
      <c r="AK1040" s="7" t="n"/>
      <c r="AL1040" s="7" t="n"/>
      <c r="AM1040" s="7" t="n">
        <v>1852.1208</v>
      </c>
      <c r="AN1040" s="10" t="n"/>
      <c r="AO1040" s="10" t="n"/>
      <c r="AP1040" s="10" t="n"/>
      <c r="AQ1040" s="10" t="n"/>
    </row>
    <row r="1041">
      <c r="A1041" s="7" t="inlineStr">
        <is>
          <t>b7-0218</t>
        </is>
      </c>
      <c r="B1041" s="7" t="inlineStr">
        <is>
          <t>Point</t>
        </is>
      </c>
      <c r="C1041" s="7" t="n"/>
      <c r="D1041" s="7" t="inlineStr">
        <is>
          <t>1853</t>
        </is>
      </c>
      <c r="E1041" s="7" t="n"/>
      <c r="F1041" s="7" t="inlineStr">
        <is>
          <t>1853 CE</t>
        </is>
      </c>
      <c r="G1041" s="7" t="inlineStr">
        <is>
          <t>Exact</t>
        </is>
      </c>
      <c r="H1041" s="7" t="n"/>
      <c r="I1041" s="7" t="n"/>
      <c r="J1041" s="7" t="n"/>
      <c r="K1041" s="2" t="inlineStr">
        <is>
          <t>George Storrs publishes "Bible Vs. Tradition" in the United States</t>
        </is>
      </c>
      <c r="L1041" s="2" t="n"/>
      <c r="M1041" s="7" t="inlineStr">
        <is>
          <t>The exposure of immortal-soul and eternal-torment teachings was reported in Bible Vs. Tradition by Aaron Ellis, published in the United States by George Storrs in 1853.</t>
        </is>
      </c>
      <c r="N1041" s="7" t="n"/>
      <c r="O1041" s="12" t="inlineStr">
        <is>
          <t>Bible &amp; church history</t>
        </is>
      </c>
      <c r="P1041" s="7" t="inlineStr">
        <is>
          <t>history.reform</t>
        </is>
      </c>
      <c r="Q1041" s="7" t="inlineStr">
        <is>
          <t>publication</t>
        </is>
      </c>
      <c r="R1041" s="7" t="inlineStr">
        <is>
          <t>George Storrs; Aaron Ellis</t>
        </is>
      </c>
      <c r="S1041" s="7" t="n"/>
      <c r="T1041" s="7" t="n"/>
      <c r="U1041" s="7" t="n"/>
      <c r="V1041" s="7" t="n">
        <v>1</v>
      </c>
      <c r="W1041" s="7" t="inlineStr">
        <is>
          <t>Proclaiming the Lord’s Return (1870-1914)</t>
        </is>
      </c>
      <c r="X1041" s="9" t="inlineStr">
        <is>
          <t>open</t>
        </is>
      </c>
      <c r="Y1041" s="7" t="n"/>
      <c r="Z1041" s="7" t="inlineStr">
        <is>
          <t>https://wol.jw.org/en/wol/d/r1/lp-e/1101993006#h=34</t>
        </is>
      </c>
      <c r="AA1041" s="7" t="n">
        <v>0</v>
      </c>
      <c r="AB1041" s="7" t="n"/>
      <c r="AC1041" s="7" t="n">
        <v>0</v>
      </c>
      <c r="AD1041" s="7" t="n"/>
      <c r="AE1041" s="7" t="n"/>
      <c r="AF1041" s="7" t="n"/>
      <c r="AG1041" s="7" t="n"/>
      <c r="AH1041" s="7" t="n"/>
      <c r="AI1041" s="7" t="n"/>
      <c r="AJ1041" s="7" t="n"/>
      <c r="AK1041" s="7" t="n"/>
      <c r="AL1041" s="7" t="n"/>
      <c r="AM1041" s="7" t="n">
        <v>1853</v>
      </c>
      <c r="AN1041" s="10" t="n"/>
      <c r="AO1041" s="10" t="n"/>
      <c r="AP1041" s="10" t="n"/>
      <c r="AQ1041" s="10" t="n"/>
    </row>
    <row r="1042">
      <c r="A1042" s="7" t="inlineStr">
        <is>
          <t>b7-0219</t>
        </is>
      </c>
      <c r="B1042" s="7" t="inlineStr">
        <is>
          <t>Point</t>
        </is>
      </c>
      <c r="C1042" s="7" t="n"/>
      <c r="D1042" s="7" t="inlineStr">
        <is>
          <t>1854</t>
        </is>
      </c>
      <c r="E1042" s="7" t="n"/>
      <c r="F1042" s="7" t="inlineStr">
        <is>
          <t>1854 CE</t>
        </is>
      </c>
      <c r="G1042" s="7" t="inlineStr">
        <is>
          <t>Exact</t>
        </is>
      </c>
      <c r="H1042" s="7" t="n"/>
      <c r="I1042" s="7" t="n"/>
      <c r="J1042" s="7" t="n"/>
      <c r="K1042" s="2" t="inlineStr">
        <is>
          <t>First complete Telugu Bible</t>
        </is>
      </c>
      <c r="L1042" s="2" t="n"/>
      <c r="M1042" s="7" t="inlineStr">
        <is>
          <t>After more than 120 years of effort, including losses in the 1812 fire and the deaths of four translators, the first complete Telugu Bible appeared in 1854.</t>
        </is>
      </c>
      <c r="N1042" s="7" t="n"/>
      <c r="O1042" s="12" t="inlineStr">
        <is>
          <t>Bible &amp; church history</t>
        </is>
      </c>
      <c r="P1042" s="7" t="inlineStr">
        <is>
          <t>history.bible_translation</t>
        </is>
      </c>
      <c r="Q1042" s="7" t="inlineStr">
        <is>
          <t>release</t>
        </is>
      </c>
      <c r="R1042" s="7" t="n"/>
      <c r="S1042" s="7" t="n"/>
      <c r="T1042" s="7" t="n"/>
      <c r="U1042" s="7" t="n"/>
      <c r="V1042" s="7" t="n">
        <v>1</v>
      </c>
      <c r="W1042" s="7" t="inlineStr">
        <is>
          <t>Translating the Bible in India</t>
        </is>
      </c>
      <c r="X1042" s="9" t="inlineStr">
        <is>
          <t>open</t>
        </is>
      </c>
      <c r="Y1042" s="7" t="n"/>
      <c r="Z1042" s="7" t="inlineStr">
        <is>
          <t>https://wol.jw.org/en/wol/d/r1/lp-e/101979409#h=17</t>
        </is>
      </c>
      <c r="AA1042" s="7" t="n">
        <v>0</v>
      </c>
      <c r="AB1042" s="7" t="n"/>
      <c r="AC1042" s="7" t="n">
        <v>0</v>
      </c>
      <c r="AD1042" s="7" t="n"/>
      <c r="AE1042" s="7" t="n"/>
      <c r="AF1042" s="7" t="n"/>
      <c r="AG1042" s="7" t="n"/>
      <c r="AH1042" s="7" t="n"/>
      <c r="AI1042" s="7" t="n"/>
      <c r="AJ1042" s="7" t="n"/>
      <c r="AK1042" s="7" t="n"/>
      <c r="AL1042" s="7" t="n"/>
      <c r="AM1042" s="7" t="n">
        <v>1854</v>
      </c>
      <c r="AN1042" s="10" t="n"/>
      <c r="AO1042" s="10" t="n"/>
      <c r="AP1042" s="10" t="n"/>
      <c r="AQ1042" s="10" t="n"/>
    </row>
    <row r="1043">
      <c r="A1043" s="7" t="inlineStr">
        <is>
          <t>b7-0220</t>
        </is>
      </c>
      <c r="B1043" s="7" t="inlineStr">
        <is>
          <t>Point</t>
        </is>
      </c>
      <c r="C1043" s="7" t="n"/>
      <c r="D1043" s="7" t="inlineStr">
        <is>
          <t>1855</t>
        </is>
      </c>
      <c r="E1043" s="7" t="inlineStr">
        <is>
          <t>1855</t>
        </is>
      </c>
      <c r="F1043" s="7" t="inlineStr">
        <is>
          <t>1855 CE</t>
        </is>
      </c>
      <c r="G1043" s="7" t="inlineStr">
        <is>
          <t>Exact</t>
        </is>
      </c>
      <c r="H1043" s="7" t="n"/>
      <c r="I1043" s="7" t="n"/>
      <c r="J1043" s="7" t="n"/>
      <c r="K1043" s="2" t="inlineStr">
        <is>
          <t>German Elberfelder version (1855) uses "Jehova"</t>
        </is>
      </c>
      <c r="L1043" s="2" t="inlineStr">
        <is>
          <t>எல்பெர்ஃபெல்டர் 1855, 1871 M ஜெஹோவா ரிசீவ்ட் டெக்ஸ்ட்</t>
        </is>
      </c>
      <c r="M1043" s="7" t="inlineStr">
        <is>
          <t>The Elberfelder translation (1855, 1871), based on the Received Text, renders the divine name "Jehova" according to the si chart of leading translations.</t>
        </is>
      </c>
      <c r="N1043" s="7" t="inlineStr">
        <is>
          <t>எல்பெர்ஃபெல்டர் 1855, 1871 M ஜெஹோவா ரிசீவ்ட் டெக்ஸ்ட்</t>
        </is>
      </c>
      <c r="O1043" s="12" t="inlineStr">
        <is>
          <t>Bible &amp; church history</t>
        </is>
      </c>
      <c r="P1043" s="7" t="inlineStr">
        <is>
          <t>history.bible_translation</t>
        </is>
      </c>
      <c r="Q1043" s="7" t="inlineStr">
        <is>
          <t>release</t>
        </is>
      </c>
      <c r="R1043" s="7" t="n"/>
      <c r="S1043" s="7" t="n"/>
      <c r="T1043" s="7" t="n"/>
      <c r="U1043" s="7" t="n"/>
      <c r="V1043" s="7" t="n">
        <v>1</v>
      </c>
      <c r="W1043" s="7" t="inlineStr">
        <is>
          <t>Study Number 7—The Bible in Modern Times</t>
        </is>
      </c>
      <c r="X1043" s="9" t="inlineStr">
        <is>
          <t>open</t>
        </is>
      </c>
      <c r="Y1043" s="9" t="inlineStr">
        <is>
          <t>open</t>
        </is>
      </c>
      <c r="Z1043" s="7" t="inlineStr">
        <is>
          <t>https://wol.jw.org/en/wol/d/r1/lp-e/1101990134#h=116</t>
        </is>
      </c>
      <c r="AA1043" s="7" t="n">
        <v>0</v>
      </c>
      <c r="AB1043" s="7" t="n"/>
      <c r="AC1043" s="7" t="n">
        <v>0</v>
      </c>
      <c r="AD1043" s="7" t="n"/>
      <c r="AE1043" s="7" t="n"/>
      <c r="AF1043" s="7" t="n"/>
      <c r="AG1043" s="7" t="n"/>
      <c r="AH1043" s="7" t="n"/>
      <c r="AI1043" s="7" t="n"/>
      <c r="AJ1043" s="7" t="n"/>
      <c r="AK1043" s="7" t="n"/>
      <c r="AL1043" s="7" t="n"/>
      <c r="AM1043" s="7" t="n">
        <v>1855</v>
      </c>
      <c r="AN1043" s="10" t="n"/>
      <c r="AO1043" s="10" t="n"/>
      <c r="AP1043" s="10" t="n"/>
      <c r="AQ1043" s="10" t="n"/>
    </row>
    <row r="1044">
      <c r="A1044" s="7" t="inlineStr">
        <is>
          <t>b7-0221</t>
        </is>
      </c>
      <c r="B1044" s="7" t="inlineStr">
        <is>
          <t>Point</t>
        </is>
      </c>
      <c r="C1044" s="7" t="n"/>
      <c r="D1044" s="7" t="inlineStr">
        <is>
          <t>1856</t>
        </is>
      </c>
      <c r="E1044" s="7" t="n"/>
      <c r="F1044" s="7" t="inlineStr">
        <is>
          <t>1856 CE</t>
        </is>
      </c>
      <c r="G1044" s="7" t="inlineStr">
        <is>
          <t>Exact</t>
        </is>
      </c>
      <c r="H1044" s="7" t="n"/>
      <c r="I1044" s="7" t="n"/>
      <c r="J1044" s="7" t="n"/>
      <c r="K1044" s="2" t="inlineStr">
        <is>
          <t>Joseph Seiss writes of an invisible presence of Christ</t>
        </is>
      </c>
      <c r="L1044" s="2" t="n"/>
      <c r="M1044" s="7" t="inlineStr">
        <is>
          <t>In 1856 Lutheran minister Joseph Seiss wrote about a two-stage second advent, an invisible parousia followed by a visible manifestation.</t>
        </is>
      </c>
      <c r="N1044" s="7" t="n"/>
      <c r="O1044" s="12" t="inlineStr">
        <is>
          <t>Bible &amp; church history</t>
        </is>
      </c>
      <c r="P1044" s="7" t="inlineStr">
        <is>
          <t>history.reform</t>
        </is>
      </c>
      <c r="Q1044" s="7" t="inlineStr">
        <is>
          <t>writing</t>
        </is>
      </c>
      <c r="R1044" s="7" t="inlineStr">
        <is>
          <t>Joseph Seiss</t>
        </is>
      </c>
      <c r="S1044" s="7" t="n"/>
      <c r="T1044" s="7" t="n"/>
      <c r="U1044" s="7" t="n"/>
      <c r="V1044" s="7" t="n">
        <v>1</v>
      </c>
      <c r="W1044" s="7" t="inlineStr">
        <is>
          <t>Proclaiming the Lord’s Return (1870-1914)</t>
        </is>
      </c>
      <c r="X1044" s="9" t="inlineStr">
        <is>
          <t>open</t>
        </is>
      </c>
      <c r="Y1044" s="7" t="n"/>
      <c r="Z1044" s="7" t="inlineStr">
        <is>
          <t>https://wol.jw.org/en/wol/d/r1/lp-e/1101993006#h=87</t>
        </is>
      </c>
      <c r="AA1044" s="7" t="n">
        <v>0</v>
      </c>
      <c r="AB1044" s="7" t="n"/>
      <c r="AC1044" s="7" t="n">
        <v>0</v>
      </c>
      <c r="AD1044" s="7" t="n"/>
      <c r="AE1044" s="7" t="n"/>
      <c r="AF1044" s="7" t="n"/>
      <c r="AG1044" s="7" t="n"/>
      <c r="AH1044" s="7" t="n"/>
      <c r="AI1044" s="7" t="n"/>
      <c r="AJ1044" s="7" t="n"/>
      <c r="AK1044" s="7" t="n"/>
      <c r="AL1044" s="7" t="n"/>
      <c r="AM1044" s="7" t="n">
        <v>1856</v>
      </c>
      <c r="AN1044" s="10" t="n"/>
      <c r="AO1044" s="10" t="n"/>
      <c r="AP1044" s="10" t="n"/>
      <c r="AQ1044" s="10" t="n"/>
    </row>
    <row r="1045">
      <c r="A1045" s="7" t="inlineStr">
        <is>
          <t>b7-0222</t>
        </is>
      </c>
      <c r="B1045" s="7" t="inlineStr">
        <is>
          <t>Point</t>
        </is>
      </c>
      <c r="C1045" s="7" t="n"/>
      <c r="D1045" s="7" t="inlineStr">
        <is>
          <t>1857, January 29</t>
        </is>
      </c>
      <c r="E1045" s="7" t="inlineStr">
        <is>
          <t>1857</t>
        </is>
      </c>
      <c r="F1045" s="7" t="inlineStr">
        <is>
          <t>1857 CE</t>
        </is>
      </c>
      <c r="G1045" s="7" t="inlineStr">
        <is>
          <t>Exact</t>
        </is>
      </c>
      <c r="H1045" s="7" t="n"/>
      <c r="I1045" s="7" t="n"/>
      <c r="J1045" s="7" t="n"/>
      <c r="K1045" s="2" t="inlineStr">
        <is>
          <t>James White coins the "investigative judgment" teaching</t>
        </is>
      </c>
      <c r="L1045" s="2" t="n"/>
      <c r="M1045" s="7" t="inlineStr">
        <is>
          <t>In the Review and Herald of January 29, 1857, Adventist preacher James White said that since October 1844 Jesus had begun an "investigative judgment," a fundamental Seventh-Day Adventist belief.</t>
        </is>
      </c>
      <c r="N1045" s="7" t="inlineStr">
        <is>
          <t>1857, ஜனவரி 29 தேதியிட்ட ரெவ்யூ அண்டு ஹெரால்ட்-ல் இயேசு “சோதனைமுறையான நியாயத்தீர்ப்பை” செய்ய ஆரம்பித்துவிட்டார் என்பதாக வைட் சொன்னார்.</t>
        </is>
      </c>
      <c r="O1045" s="12" t="inlineStr">
        <is>
          <t>Bible &amp; church history</t>
        </is>
      </c>
      <c r="P1045" s="7" t="inlineStr">
        <is>
          <t>history.reform</t>
        </is>
      </c>
      <c r="Q1045" s="7" t="inlineStr">
        <is>
          <t>teaching</t>
        </is>
      </c>
      <c r="R1045" s="7" t="inlineStr">
        <is>
          <t>James White</t>
        </is>
      </c>
      <c r="S1045" s="7" t="n"/>
      <c r="T1045" s="7" t="n"/>
      <c r="U1045" s="7" t="n"/>
      <c r="V1045" s="7" t="n">
        <v>1</v>
      </c>
      <c r="W1045" s="7" t="inlineStr">
        <is>
          <t>The “Investigative Judgment”—A Bible-Based Doctrine?</t>
        </is>
      </c>
      <c r="X1045" s="9" t="inlineStr">
        <is>
          <t>open</t>
        </is>
      </c>
      <c r="Y1045" s="9" t="inlineStr">
        <is>
          <t>open</t>
        </is>
      </c>
      <c r="Z1045" s="7" t="inlineStr">
        <is>
          <t>https://wol.jw.org/en/wol/d/r1/lp-e/1997527#h=4</t>
        </is>
      </c>
      <c r="AA1045" s="7" t="n">
        <v>0</v>
      </c>
      <c r="AB1045" s="7" t="n"/>
      <c r="AC1045" s="7" t="n">
        <v>0</v>
      </c>
      <c r="AD1045" s="7" t="n"/>
      <c r="AE1045" s="7" t="n"/>
      <c r="AF1045" s="7" t="n"/>
      <c r="AG1045" s="7" t="n"/>
      <c r="AH1045" s="7" t="n"/>
      <c r="AI1045" s="7" t="n"/>
      <c r="AJ1045" s="7" t="n"/>
      <c r="AK1045" s="7" t="n"/>
      <c r="AL1045" s="7" t="n"/>
      <c r="AM1045" s="7" t="n">
        <v>1857.0753</v>
      </c>
      <c r="AN1045" s="10" t="n"/>
      <c r="AO1045" s="10" t="n"/>
      <c r="AP1045" s="10" t="n"/>
      <c r="AQ1045" s="10" t="n"/>
    </row>
    <row r="1046">
      <c r="A1046" s="7" t="inlineStr">
        <is>
          <t>b7-0223</t>
        </is>
      </c>
      <c r="B1046" s="7" t="inlineStr">
        <is>
          <t>Point</t>
        </is>
      </c>
      <c r="C1046" s="7" t="n"/>
      <c r="D1046" s="7" t="inlineStr">
        <is>
          <t>1857</t>
        </is>
      </c>
      <c r="E1046" s="7" t="inlineStr">
        <is>
          <t>1857</t>
        </is>
      </c>
      <c r="F1046" s="7" t="inlineStr">
        <is>
          <t>1857 CE</t>
        </is>
      </c>
      <c r="G1046" s="7" t="inlineStr">
        <is>
          <t>Exact</t>
        </is>
      </c>
      <c r="H1046" s="7" t="n"/>
      <c r="I1046" s="7" t="n"/>
      <c r="J1046" s="7" t="n"/>
      <c r="K1046" s="2" t="inlineStr">
        <is>
          <t>Moffat completes the entire Bible in Tswana</t>
        </is>
      </c>
      <c r="L1046" s="2" t="inlineStr">
        <is>
          <t>1857-ல், முழு பைபிளையும் ட்ஸ்வானா மொழியில் மொழிபெயர்த்து முடித்துவிட்டார் மாஃபெட்</t>
        </is>
      </c>
      <c r="M1046" s="7" t="inlineStr">
        <is>
          <t>In 1857 Robert Moffat completed a translation of the entire Bible into Tswana.</t>
        </is>
      </c>
      <c r="N1046" s="7" t="inlineStr">
        <is>
          <t>1857-ல், முழு பைபிளையும் ட்ஸ்வானா மொழியில் மொழிபெயர்த்து முடித்துவிட்டார் மாஃபெட்.</t>
        </is>
      </c>
      <c r="O1046" s="12" t="inlineStr">
        <is>
          <t>Bible &amp; church history</t>
        </is>
      </c>
      <c r="P1046" s="7" t="inlineStr">
        <is>
          <t>history.bible_translation</t>
        </is>
      </c>
      <c r="Q1046" s="7" t="inlineStr">
        <is>
          <t>writing_completed</t>
        </is>
      </c>
      <c r="R1046" s="7" t="inlineStr">
        <is>
          <t>Robert Moffat</t>
        </is>
      </c>
      <c r="S1046" s="7" t="inlineStr">
        <is>
          <t>southern Africa</t>
        </is>
      </c>
      <c r="T1046" s="7" t="n"/>
      <c r="U1046" s="7" t="n"/>
      <c r="V1046" s="7" t="n">
        <v>1</v>
      </c>
      <c r="W1046" s="7" t="inlineStr">
        <is>
          <t>A Book That “Speaks” Living Languages</t>
        </is>
      </c>
      <c r="X1046" s="9" t="inlineStr">
        <is>
          <t>open</t>
        </is>
      </c>
      <c r="Y1046" s="9" t="inlineStr">
        <is>
          <t>open</t>
        </is>
      </c>
      <c r="Z1046" s="7" t="inlineStr">
        <is>
          <t>https://wol.jw.org/en/wol/d/r1/lp-e/1101997025#h=12</t>
        </is>
      </c>
      <c r="AA1046" s="7" t="n">
        <v>0</v>
      </c>
      <c r="AB1046" s="7" t="n"/>
      <c r="AC1046" s="7" t="n">
        <v>0</v>
      </c>
      <c r="AD1046" s="7" t="n"/>
      <c r="AE1046" s="7" t="n"/>
      <c r="AF1046" s="7" t="n"/>
      <c r="AG1046" s="7" t="n"/>
      <c r="AH1046" s="7" t="n"/>
      <c r="AI1046" s="7" t="n"/>
      <c r="AJ1046" s="7" t="n"/>
      <c r="AK1046" s="7" t="n"/>
      <c r="AL1046" s="7" t="n"/>
      <c r="AM1046" s="7" t="n">
        <v>1857.1</v>
      </c>
      <c r="AN1046" s="10" t="n"/>
      <c r="AO1046" s="10" t="n"/>
      <c r="AP1046" s="10" t="n"/>
      <c r="AQ1046" s="10" t="n"/>
    </row>
    <row r="1047">
      <c r="A1047" s="7" t="inlineStr">
        <is>
          <t>b7-0224</t>
        </is>
      </c>
      <c r="B1047" s="7" t="inlineStr">
        <is>
          <t>Point</t>
        </is>
      </c>
      <c r="C1047" s="7" t="n"/>
      <c r="D1047" s="7" t="inlineStr">
        <is>
          <t>1859</t>
        </is>
      </c>
      <c r="E1047" s="7" t="inlineStr">
        <is>
          <t>1859</t>
        </is>
      </c>
      <c r="F1047" s="7" t="inlineStr">
        <is>
          <t>1859 CE</t>
        </is>
      </c>
      <c r="G1047" s="7" t="inlineStr">
        <is>
          <t>Exact</t>
        </is>
      </c>
      <c r="H1047" s="7" t="n"/>
      <c r="I1047" s="7" t="n"/>
      <c r="J1047" s="7" t="n"/>
      <c r="K1047" s="2" t="inlineStr">
        <is>
          <t>Tischendorf finds Codex Sinaiticus at Mount Sinai</t>
        </is>
      </c>
      <c r="L1047" s="2" t="n"/>
      <c r="M1047" s="7" t="inlineStr">
        <is>
          <t>In 1859 Tischendorf found the oldest known complete copy of the Christian Greek Scriptures in a monastery at Mount Sinai and published it. Its reading at 1 Timothy 3:16 exposed a later corruption introduced to support the Trinity.</t>
        </is>
      </c>
      <c r="N1047" s="7" t="inlineStr">
        <is>
          <t>1859-ல், உயிரின தோற்றம் (ஆங்கிலம்) புத்தகத்தை டார்வின் வெளியிட்ட அதே ஆண்டில் டிஷன்டார்ஃப் சீனாய் மலை அடிவாரத்திலிருந்த ஒரு துறவி மடத்தில் மிக பழமையானதாக அறியப்பட்டிருந்த கிறிஸ்தவ கிரேக்க வேதாகமத்தின் முழு நகல் ஒன்றை கண்டுபிடித்தார்.</t>
        </is>
      </c>
      <c r="O1047" s="12" t="inlineStr">
        <is>
          <t>Bible &amp; church history</t>
        </is>
      </c>
      <c r="P1047" s="7" t="inlineStr">
        <is>
          <t>history.bible_preservation</t>
        </is>
      </c>
      <c r="Q1047" s="7" t="inlineStr">
        <is>
          <t>discovery</t>
        </is>
      </c>
      <c r="R1047" s="7" t="inlineStr">
        <is>
          <t>Konstantin von Tischendorf</t>
        </is>
      </c>
      <c r="S1047" s="7" t="inlineStr">
        <is>
          <t>Mount Sinai</t>
        </is>
      </c>
      <c r="T1047" s="7" t="inlineStr">
        <is>
          <t>1 Tim. 3:16</t>
        </is>
      </c>
      <c r="U1047" s="7" t="n"/>
      <c r="V1047" s="7" t="n">
        <v>2</v>
      </c>
      <c r="W1047" s="7" t="inlineStr">
        <is>
          <t>Part Three—How the Bible Came to Us</t>
        </is>
      </c>
      <c r="X1047" s="9" t="inlineStr">
        <is>
          <t>open</t>
        </is>
      </c>
      <c r="Y1047" s="9" t="inlineStr">
        <is>
          <t>open</t>
        </is>
      </c>
      <c r="Z1047" s="7" t="inlineStr">
        <is>
          <t>https://wol.jw.org/en/wol/d/r1/lp-e/1997763#h=18
https://wol.jw.org/en/wol/d/r1/lp-e/1200002893#h=36</t>
        </is>
      </c>
      <c r="AA1047" s="7" t="n">
        <v>2</v>
      </c>
      <c r="AB1047" s="9" t="inlineStr">
        <is>
          <t>open</t>
        </is>
      </c>
      <c r="AC1047" s="7" t="n">
        <v>0</v>
      </c>
      <c r="AD1047" s="7" t="n"/>
      <c r="AE1047" s="7" t="n"/>
      <c r="AF1047" s="7" t="n"/>
      <c r="AG1047" s="7" t="n"/>
      <c r="AH1047" s="7" t="n"/>
      <c r="AI1047" s="7" t="n"/>
      <c r="AJ1047" s="7" t="n"/>
      <c r="AK1047" s="7" t="inlineStr">
        <is>
          <t>how-the-bible-came-to-us #48 (step)</t>
        </is>
      </c>
      <c r="AL1047" s="7" t="n"/>
      <c r="AM1047" s="7" t="n">
        <v>1859</v>
      </c>
      <c r="AN1047" s="10" t="n"/>
      <c r="AO1047" s="10" t="n"/>
      <c r="AP1047" s="10" t="n"/>
      <c r="AQ1047" s="10" t="n"/>
    </row>
    <row r="1048">
      <c r="A1048" s="7" t="inlineStr">
        <is>
          <t>b7-0225</t>
        </is>
      </c>
      <c r="B1048" s="7" t="inlineStr">
        <is>
          <t>Point</t>
        </is>
      </c>
      <c r="C1048" s="7" t="n"/>
      <c r="D1048" s="7" t="inlineStr">
        <is>
          <t>1859</t>
        </is>
      </c>
      <c r="E1048" s="7" t="inlineStr">
        <is>
          <t>1859</t>
        </is>
      </c>
      <c r="F1048" s="7" t="inlineStr">
        <is>
          <t>1859 CE</t>
        </is>
      </c>
      <c r="G1048" s="7" t="inlineStr">
        <is>
          <t>Exact</t>
        </is>
      </c>
      <c r="H1048" s="7" t="n"/>
      <c r="I1048" s="7" t="n"/>
      <c r="J1048" s="7" t="n"/>
      <c r="K1048" s="2" t="inlineStr">
        <is>
          <t>Darby's French Bible published</t>
        </is>
      </c>
      <c r="L1048" s="2" t="inlineStr">
        <is>
          <t>டார்பி 1859, 1885 M நித்தியர் கிரேக்கு</t>
        </is>
      </c>
      <c r="M1048" s="7" t="inlineStr">
        <is>
          <t>Darby's French translation (1859, 1885), from the Greek, renders the divine name "Eternel" according to the si chart.</t>
        </is>
      </c>
      <c r="N1048" s="7" t="inlineStr">
        <is>
          <t>டார்பி 1859, 1885 M நித்தியர் கிரேக்கு</t>
        </is>
      </c>
      <c r="O1048" s="12" t="inlineStr">
        <is>
          <t>Bible &amp; church history</t>
        </is>
      </c>
      <c r="P1048" s="7" t="inlineStr">
        <is>
          <t>history.bible_translation</t>
        </is>
      </c>
      <c r="Q1048" s="7" t="inlineStr">
        <is>
          <t>release</t>
        </is>
      </c>
      <c r="R1048" s="7" t="n"/>
      <c r="S1048" s="7" t="n"/>
      <c r="T1048" s="7" t="n"/>
      <c r="U1048" s="7" t="n"/>
      <c r="V1048" s="7" t="n">
        <v>1</v>
      </c>
      <c r="W1048" s="7" t="inlineStr">
        <is>
          <t>Study Number 7—The Bible in Modern Times</t>
        </is>
      </c>
      <c r="X1048" s="9" t="inlineStr">
        <is>
          <t>open</t>
        </is>
      </c>
      <c r="Y1048" s="9" t="inlineStr">
        <is>
          <t>open</t>
        </is>
      </c>
      <c r="Z1048" s="7" t="inlineStr">
        <is>
          <t>https://wol.jw.org/en/wol/d/r1/lp-e/1101990134#h=123</t>
        </is>
      </c>
      <c r="AA1048" s="7" t="n">
        <v>0</v>
      </c>
      <c r="AB1048" s="7" t="n"/>
      <c r="AC1048" s="7" t="n">
        <v>0</v>
      </c>
      <c r="AD1048" s="7" t="n"/>
      <c r="AE1048" s="7" t="n"/>
      <c r="AF1048" s="7" t="n"/>
      <c r="AG1048" s="7" t="n"/>
      <c r="AH1048" s="7" t="n"/>
      <c r="AI1048" s="7" t="n"/>
      <c r="AJ1048" s="7" t="n"/>
      <c r="AK1048" s="7" t="n"/>
      <c r="AL1048" s="7" t="n"/>
      <c r="AM1048" s="7" t="n">
        <v>1859.1</v>
      </c>
      <c r="AN1048" s="10" t="n"/>
      <c r="AO1048" s="10" t="n"/>
      <c r="AP1048" s="10" t="n"/>
      <c r="AQ1048" s="10" t="n"/>
    </row>
    <row r="1049">
      <c r="A1049" s="7" t="inlineStr">
        <is>
          <t>b7-0226</t>
        </is>
      </c>
      <c r="B1049" s="7" t="inlineStr">
        <is>
          <t>Point</t>
        </is>
      </c>
      <c r="C1049" s="7" t="n"/>
      <c r="D1049" s="7" t="inlineStr">
        <is>
          <t>1859</t>
        </is>
      </c>
      <c r="E1049" s="7" t="inlineStr">
        <is>
          <t>1859</t>
        </is>
      </c>
      <c r="F1049" s="7" t="inlineStr">
        <is>
          <t>1859 CE</t>
        </is>
      </c>
      <c r="G1049" s="7" t="inlineStr">
        <is>
          <t>Exact</t>
        </is>
      </c>
      <c r="H1049" s="7" t="n"/>
      <c r="I1049" s="7" t="n"/>
      <c r="J1049" s="7" t="n"/>
      <c r="K1049" s="2" t="inlineStr">
        <is>
          <t>Darwin's "Origin of Species" undermines faith in the Bible</t>
        </is>
      </c>
      <c r="L1049" s="2" t="n"/>
      <c r="M1049" s="7" t="inlineStr">
        <is>
          <t>In 1859 Charles Darwin's Origin of Species was published; evolutionary theories led many to challenge the Bible's creation account.</t>
        </is>
      </c>
      <c r="N1049" s="7" t="inlineStr">
        <is>
          <t>1859-ல், உயிரின தோற்றம் (ஆங்கிலம்) புத்தகத்தை டார்வின் வெளியிட்ட அதே ஆண்டில் டிஷன்டார்ஃப் சீனாய் மலை அடிவாரத்திலிருந்த ஒரு துறவி மடத்தில் மிக பழமையானதாக அறியப்பட்டிருந்த கிறிஸ்தவ கிரேக்க வேதாகமத்தின் முழு நகல் ஒன்றை கண்டுபிடித்தார்.</t>
        </is>
      </c>
      <c r="O1049" s="12" t="inlineStr">
        <is>
          <t>Bible &amp; church history</t>
        </is>
      </c>
      <c r="P1049" s="7" t="inlineStr">
        <is>
          <t>history.bible_preservation</t>
        </is>
      </c>
      <c r="Q1049" s="7" t="inlineStr">
        <is>
          <t>publication</t>
        </is>
      </c>
      <c r="R1049" s="7" t="inlineStr">
        <is>
          <t>Charles Darwin</t>
        </is>
      </c>
      <c r="S1049" s="7" t="n"/>
      <c r="T1049" s="7" t="n"/>
      <c r="U1049" s="7" t="n"/>
      <c r="V1049" s="7" t="n">
        <v>2</v>
      </c>
      <c r="W1049" s="7" t="inlineStr">
        <is>
          <t>The Great Apostasy Develops</t>
        </is>
      </c>
      <c r="X1049" s="9" t="inlineStr">
        <is>
          <t>open</t>
        </is>
      </c>
      <c r="Y1049" s="7" t="n"/>
      <c r="Z1049" s="7" t="inlineStr">
        <is>
          <t>https://wol.jw.org/en/wol/d/r1/lp-e/1101993005#h=47
https://wol.jw.org/en/wol/d/r1/lp-e/1997763#h=18</t>
        </is>
      </c>
      <c r="AA1049" s="7" t="n">
        <v>0</v>
      </c>
      <c r="AB1049" s="7" t="n"/>
      <c r="AC1049" s="7" t="n">
        <v>0</v>
      </c>
      <c r="AD1049" s="7" t="n"/>
      <c r="AE1049" s="7" t="n"/>
      <c r="AF1049" s="7" t="n"/>
      <c r="AG1049" s="7" t="n"/>
      <c r="AH1049" s="7" t="n"/>
      <c r="AI1049" s="7" t="n"/>
      <c r="AJ1049" s="7" t="n"/>
      <c r="AK1049" s="7" t="n"/>
      <c r="AL1049" s="7" t="n"/>
      <c r="AM1049" s="7" t="n">
        <v>1859.2</v>
      </c>
      <c r="AN1049" s="10" t="n"/>
      <c r="AO1049" s="10" t="n"/>
      <c r="AP1049" s="10" t="n"/>
      <c r="AQ1049" s="10" t="n"/>
    </row>
    <row r="1050">
      <c r="A1050" s="7" t="inlineStr">
        <is>
          <t>b7-0227</t>
        </is>
      </c>
      <c r="B1050" s="7" t="inlineStr">
        <is>
          <t>Point</t>
        </is>
      </c>
      <c r="C1050" s="7" t="n"/>
      <c r="D1050" s="7" t="inlineStr">
        <is>
          <t>1862</t>
        </is>
      </c>
      <c r="E1050" s="7" t="inlineStr">
        <is>
          <t>1862-98</t>
        </is>
      </c>
      <c r="F1050" s="7" t="inlineStr">
        <is>
          <t>1862 CE</t>
        </is>
      </c>
      <c r="G1050" s="7" t="inlineStr">
        <is>
          <t>Exact</t>
        </is>
      </c>
      <c r="H1050" s="7" t="n"/>
      <c r="I1050" s="7" t="n"/>
      <c r="J1050" s="7" t="n"/>
      <c r="K1050" s="2" t="inlineStr">
        <is>
          <t>Young's translation (1862-98) uses "Jehovah"</t>
        </is>
      </c>
      <c r="L1050" s="2" t="inlineStr">
        <is>
          <t>யங் 1862-98 M ஜெஹோவா ரிசீவ்ட் டெக்ஸ்ட்</t>
        </is>
      </c>
      <c r="M1050" s="7" t="inlineStr">
        <is>
          <t>Young's English translation (1862-98), based on the Received Text, renders the divine name "Jehovah" according to the si chart.</t>
        </is>
      </c>
      <c r="N1050" s="7" t="inlineStr">
        <is>
          <t>யங் 1862-98 M ஜெஹோவா ரிசீவ்ட் டெக்ஸ்ட்</t>
        </is>
      </c>
      <c r="O1050" s="12" t="inlineStr">
        <is>
          <t>Bible &amp; church history</t>
        </is>
      </c>
      <c r="P1050" s="7" t="inlineStr">
        <is>
          <t>history.bible_translation</t>
        </is>
      </c>
      <c r="Q1050" s="7" t="inlineStr">
        <is>
          <t>release</t>
        </is>
      </c>
      <c r="R1050" s="7" t="n"/>
      <c r="S1050" s="7" t="n"/>
      <c r="T1050" s="7" t="n"/>
      <c r="U1050" s="7" t="n"/>
      <c r="V1050" s="7" t="n">
        <v>1</v>
      </c>
      <c r="W1050" s="7" t="inlineStr">
        <is>
          <t>Study Number 7—The Bible in Modern Times</t>
        </is>
      </c>
      <c r="X1050" s="9" t="inlineStr">
        <is>
          <t>open</t>
        </is>
      </c>
      <c r="Y1050" s="9" t="inlineStr">
        <is>
          <t>open</t>
        </is>
      </c>
      <c r="Z1050" s="7" t="inlineStr">
        <is>
          <t>https://wol.jw.org/en/wol/d/r1/lp-e/1101990134#h=87</t>
        </is>
      </c>
      <c r="AA1050" s="7" t="n">
        <v>0</v>
      </c>
      <c r="AB1050" s="7" t="n"/>
      <c r="AC1050" s="7" t="n">
        <v>0</v>
      </c>
      <c r="AD1050" s="7" t="n"/>
      <c r="AE1050" s="7" t="n"/>
      <c r="AF1050" s="7" t="n"/>
      <c r="AG1050" s="7" t="n"/>
      <c r="AH1050" s="7" t="n"/>
      <c r="AI1050" s="7" t="n"/>
      <c r="AJ1050" s="7" t="n"/>
      <c r="AK1050" s="7" t="n"/>
      <c r="AL1050" s="7" t="n"/>
      <c r="AM1050" s="7" t="n">
        <v>1862</v>
      </c>
      <c r="AN1050" s="10" t="n"/>
      <c r="AO1050" s="10" t="n"/>
      <c r="AP1050" s="10" t="n"/>
      <c r="AQ1050" s="10" t="n"/>
    </row>
    <row r="1051">
      <c r="A1051" s="7" t="inlineStr">
        <is>
          <t>b7-0228</t>
        </is>
      </c>
      <c r="B1051" s="7" t="inlineStr">
        <is>
          <t>Point</t>
        </is>
      </c>
      <c r="C1051" s="7" t="n"/>
      <c r="D1051" s="7" t="inlineStr">
        <is>
          <t>1864</t>
        </is>
      </c>
      <c r="E1051" s="7" t="inlineStr">
        <is>
          <t>1864</t>
        </is>
      </c>
      <c r="F1051" s="7" t="inlineStr">
        <is>
          <t>1864 CE</t>
        </is>
      </c>
      <c r="G1051" s="7" t="inlineStr">
        <is>
          <t>Exact</t>
        </is>
      </c>
      <c r="H1051" s="7" t="n"/>
      <c r="I1051" s="7" t="n"/>
      <c r="J1051" s="7" t="n"/>
      <c r="K1051" s="2" t="inlineStr">
        <is>
          <t>Benjamin Wilson's Emphatic Diaglott completed</t>
        </is>
      </c>
      <c r="L1051" s="2" t="n"/>
      <c r="M1051" s="7" t="inlineStr">
        <is>
          <t>The Emphatic Diaglott by Benjamin Wilson, using Griesbach's Greek text with an interlinear English rendering, was completed in 1864. It rendered parousia as "presence."</t>
        </is>
      </c>
      <c r="N1051" s="7" t="inlineStr">
        <is>
          <t>கிறிஸ்தவ கிரேக்க வேதாகமத்தின் இந்த மொழிபெயர்ப்பு, ஆங்கிலேயராய் பிறந்த பைபிள் மொழிபெயர்ப்பாளராகிய இல்லினாய்ஸிலுள்ள ஜெனீவா நாட்டைச் சேர்ந்த பெஞ்சமின் வில்சனால் 1864-⁠ல் முடிக்கப்பட்டது.</t>
        </is>
      </c>
      <c r="O1051" s="12" t="inlineStr">
        <is>
          <t>Bible &amp; church history</t>
        </is>
      </c>
      <c r="P1051" s="7" t="inlineStr">
        <is>
          <t>history.bible_translation</t>
        </is>
      </c>
      <c r="Q1051" s="7" t="inlineStr">
        <is>
          <t>release</t>
        </is>
      </c>
      <c r="R1051" s="7" t="inlineStr">
        <is>
          <t>Benjamin Wilson</t>
        </is>
      </c>
      <c r="S1051" s="7" t="n"/>
      <c r="T1051" s="7" t="n"/>
      <c r="U1051" s="7" t="n"/>
      <c r="V1051" s="7" t="n">
        <v>3</v>
      </c>
      <c r="W1051" s="7" t="inlineStr">
        <is>
          <t>Study Number 7—The Bible in Modern Times</t>
        </is>
      </c>
      <c r="X1051" s="9" t="inlineStr">
        <is>
          <t>open</t>
        </is>
      </c>
      <c r="Y1051" s="9" t="inlineStr">
        <is>
          <t>open</t>
        </is>
      </c>
      <c r="Z1051" s="7" t="inlineStr">
        <is>
          <t>https://wol.jw.org/en/wol/d/r1/lp-e/1101990134#h=15
https://wol.jw.org/en/wol/d/r1/lp-e/1200002893#h=14
https://wol.jw.org/en/wol/d/r1/lp-e/1101993006#h=87</t>
        </is>
      </c>
      <c r="AA1051" s="7" t="n">
        <v>0</v>
      </c>
      <c r="AB1051" s="7" t="n"/>
      <c r="AC1051" s="7" t="n">
        <v>0</v>
      </c>
      <c r="AD1051" s="7" t="n"/>
      <c r="AE1051" s="7" t="n"/>
      <c r="AF1051" s="7" t="n"/>
      <c r="AG1051" s="7" t="n"/>
      <c r="AH1051" s="7" t="n"/>
      <c r="AI1051" s="7" t="n"/>
      <c r="AJ1051" s="7" t="n"/>
      <c r="AK1051" s="7" t="inlineStr">
        <is>
          <t>how-the-bible-came-to-us #49 (item)</t>
        </is>
      </c>
      <c r="AL1051" s="7" t="n"/>
      <c r="AM1051" s="7" t="n">
        <v>1864</v>
      </c>
      <c r="AN1051" s="10" t="n"/>
      <c r="AO1051" s="10" t="n"/>
      <c r="AP1051" s="10" t="n"/>
      <c r="AQ1051" s="10" t="n"/>
    </row>
    <row r="1052">
      <c r="A1052" s="7" t="inlineStr">
        <is>
          <t>b8-0002</t>
        </is>
      </c>
      <c r="B1052" s="7" t="inlineStr">
        <is>
          <t>Point</t>
        </is>
      </c>
      <c r="C1052" s="7" t="n"/>
      <c r="D1052" s="7" t="inlineStr">
        <is>
          <t>1868 or 1869</t>
        </is>
      </c>
      <c r="E1052" s="7" t="inlineStr">
        <is>
          <t>1869</t>
        </is>
      </c>
      <c r="F1052" s="7" t="inlineStr">
        <is>
          <t>1869 CE</t>
        </is>
      </c>
      <c r="G1052" s="7" t="inlineStr">
        <is>
          <t>Exact</t>
        </is>
      </c>
      <c r="H1052" s="7" t="n"/>
      <c r="I1052" s="7" t="n"/>
      <c r="J1052" s="7" t="n"/>
      <c r="K1052" s="2" t="inlineStr">
        <is>
          <t>Russell’s wavering faith is reestablished after hearing Jonas Wendell</t>
        </is>
      </c>
      <c r="L1052" s="2" t="inlineStr">
        <is>
          <t>1868 அல்லது 1869</t>
        </is>
      </c>
      <c r="M1052" s="7" t="inlineStr">
        <is>
          <t>After examining the teachings of Christendom’s churches and finding them unscriptural, young Russell has his faith restored on hearing a sermon by Adventist preacher Jonas Wendell.</t>
        </is>
      </c>
      <c r="N1052" s="7" t="inlineStr">
        <is>
          <t>கிறிஸ்தவமண்டல சர்ச்சுகளின் போதனைகளை சார்ல்ஸ் டி. ரஸல் கவனமாக ஆராய ஆரம்பிக்கிறார். வசனங்களுக்குத் தவறான விளக்கம் கொடுக்கப்பட்டதைக் கண்டுபிடிக்கிறார். அட்வன்டிஸ்ட் போதகரான ஜோனஸ் வென்டெல் கொடுத்த பிரசங்கத்தைக் கேட்ட பிறகு, அவருடைய “குறைவுபட்ட விசுவாசம்” மறுபடியும் அதிகமானது</t>
        </is>
      </c>
      <c r="O1052" s="13" t="inlineStr">
        <is>
          <t>Jehovah's Witnesses</t>
        </is>
      </c>
      <c r="P1052" s="7" t="inlineStr">
        <is>
          <t>jw.doctrine</t>
        </is>
      </c>
      <c r="Q1052" s="7" t="inlineStr">
        <is>
          <t>teaching</t>
        </is>
      </c>
      <c r="R1052" s="7" t="inlineStr">
        <is>
          <t>Charles Taze Russell; Jonas Wendell</t>
        </is>
      </c>
      <c r="S1052" s="7" t="n"/>
      <c r="T1052" s="7" t="n"/>
      <c r="U1052" s="7" t="n"/>
      <c r="V1052" s="7" t="n">
        <v>2</v>
      </c>
      <c r="W1052" s="7" t="inlineStr">
        <is>
          <t>The Kingdom Is Born in Heaven</t>
        </is>
      </c>
      <c r="X1052" s="9" t="inlineStr">
        <is>
          <t>open</t>
        </is>
      </c>
      <c r="Y1052" s="9" t="inlineStr">
        <is>
          <t>open</t>
        </is>
      </c>
      <c r="Z1052" s="7" t="inlineStr">
        <is>
          <t>https://wol.jw.org/en/wol/d/r1/lp-e/1102014241
https://wol.jw.org/en/wol/d/r1/lp-e/1101993006</t>
        </is>
      </c>
      <c r="AA1052" s="7" t="n">
        <v>0</v>
      </c>
      <c r="AB1052" s="7" t="n"/>
      <c r="AC1052" s="7" t="n">
        <v>1</v>
      </c>
      <c r="AD1052" s="7" t="inlineStr">
        <is>
          <t>kr timeline box gives “1868 or 1869”; jv ch. 5 says “one evening in 1869”.</t>
        </is>
      </c>
      <c r="AE1052" s="7" t="n"/>
      <c r="AF1052" s="7" t="n"/>
      <c r="AG1052" s="7" t="n"/>
      <c r="AH1052" s="7" t="n"/>
      <c r="AI1052" s="7" t="n"/>
      <c r="AJ1052" s="7" t="n"/>
      <c r="AK1052" s="7" t="n"/>
      <c r="AL1052" s="7" t="n"/>
      <c r="AM1052" s="7" t="n">
        <v>1869</v>
      </c>
      <c r="AN1052" s="10" t="n"/>
      <c r="AO1052" s="10" t="n"/>
      <c r="AP1052" s="10" t="n"/>
      <c r="AQ1052" s="10" t="n"/>
    </row>
    <row r="1053">
      <c r="A1053" s="7" t="inlineStr">
        <is>
          <t>b8-0003</t>
        </is>
      </c>
      <c r="B1053" s="7" t="inlineStr">
        <is>
          <t>Point</t>
        </is>
      </c>
      <c r="C1053" s="7" t="n"/>
      <c r="D1053" s="7" t="inlineStr">
        <is>
          <t>November 8, 1869</t>
        </is>
      </c>
      <c r="E1053" s="7" t="n"/>
      <c r="F1053" s="7" t="inlineStr">
        <is>
          <t>1869 CE</t>
        </is>
      </c>
      <c r="G1053" s="7" t="inlineStr">
        <is>
          <t>Exact</t>
        </is>
      </c>
      <c r="H1053" s="7" t="n"/>
      <c r="I1053" s="7" t="n"/>
      <c r="J1053" s="7" t="n"/>
      <c r="K1053" s="2" t="inlineStr">
        <is>
          <t>Joseph F. Rutherford is born</t>
        </is>
      </c>
      <c r="L1053" s="2" t="n"/>
      <c r="M1053" s="7" t="inlineStr">
        <is>
          <t>Joseph Franklin Rutherford, later the second president of the Watch Tower Society, is born of Baptist parents on a farm in Morgan County, Missouri, U.S.A.</t>
        </is>
      </c>
      <c r="N1053" s="7" t="n"/>
      <c r="O1053" s="13" t="inlineStr">
        <is>
          <t>Jehovah's Witnesses</t>
        </is>
      </c>
      <c r="P1053" s="7" t="inlineStr">
        <is>
          <t>jw.leadership</t>
        </is>
      </c>
      <c r="Q1053" s="7" t="inlineStr">
        <is>
          <t>birth</t>
        </is>
      </c>
      <c r="R1053" s="7" t="inlineStr">
        <is>
          <t>Joseph F. Rutherford</t>
        </is>
      </c>
      <c r="S1053" s="7" t="inlineStr">
        <is>
          <t>Morgan County, Missouri</t>
        </is>
      </c>
      <c r="T1053" s="7" t="n"/>
      <c r="U1053" s="7" t="n"/>
      <c r="V1053" s="7" t="n">
        <v>2</v>
      </c>
      <c r="W1053" s="7" t="inlineStr">
        <is>
          <t>A Time of Testing (1914-1918)</t>
        </is>
      </c>
      <c r="X1053" s="9" t="inlineStr">
        <is>
          <t>open</t>
        </is>
      </c>
      <c r="Y1053" s="7" t="n"/>
      <c r="Z1053" s="7" t="inlineStr">
        <is>
          <t>https://wol.jw.org/en/wol/d/r1/lp-e/1101993007
https://wol.jw.org/en/wol/d/r1/lp-e/301975002</t>
        </is>
      </c>
      <c r="AA1053" s="7" t="n">
        <v>0</v>
      </c>
      <c r="AB1053" s="7" t="n"/>
      <c r="AC1053" s="7" t="n">
        <v>0</v>
      </c>
      <c r="AD1053" s="7" t="n"/>
      <c r="AE1053" s="7" t="n"/>
      <c r="AF1053" s="7" t="n"/>
      <c r="AG1053" s="7" t="n"/>
      <c r="AH1053" s="7" t="n"/>
      <c r="AI1053" s="7" t="inlineStr">
        <is>
          <t>Covered by span – hide on chart</t>
        </is>
      </c>
      <c r="AJ1053" s="7" t="inlineStr">
        <is>
          <t>start of Life of Joseph F. Rutherford (d1-0030)</t>
        </is>
      </c>
      <c r="AK1053" s="7" t="n"/>
      <c r="AL1053" s="7" t="n"/>
      <c r="AM1053" s="7" t="n">
        <v>1869.8508</v>
      </c>
      <c r="AN1053" s="10" t="n"/>
      <c r="AO1053" s="10" t="n"/>
      <c r="AP1053" s="10" t="n"/>
      <c r="AQ1053" s="10" t="n"/>
    </row>
    <row r="1054">
      <c r="A1054" s="7" t="inlineStr">
        <is>
          <t>d1-0030</t>
        </is>
      </c>
      <c r="B1054" s="11" t="inlineStr">
        <is>
          <t>Span</t>
        </is>
      </c>
      <c r="C1054" s="7" t="inlineStr">
        <is>
          <t>lifespan</t>
        </is>
      </c>
      <c r="D1054" s="7" t="inlineStr">
        <is>
          <t>November 8, 1869 – January 8, 1942</t>
        </is>
      </c>
      <c r="E1054" s="7" t="n"/>
      <c r="F1054" s="7" t="inlineStr">
        <is>
          <t>1869 CE</t>
        </is>
      </c>
      <c r="G1054" s="7" t="inlineStr">
        <is>
          <t>Exact</t>
        </is>
      </c>
      <c r="H1054" s="7" t="inlineStr">
        <is>
          <t>1942 CE</t>
        </is>
      </c>
      <c r="I1054" s="7" t="inlineStr">
        <is>
          <t>Exact</t>
        </is>
      </c>
      <c r="J1054" s="7" t="inlineStr">
        <is>
          <t>72 years</t>
        </is>
      </c>
      <c r="K1054" s="2" t="inlineStr">
        <is>
          <t>Life of Joseph F. Rutherford</t>
        </is>
      </c>
      <c r="L1054" s="2" t="n"/>
      <c r="M1054" s="7" t="inlineStr">
        <is>
          <t>Joseph F. Rutherford: from Joseph F. Rutherford is born (November 8, 1869) to J. F. Rutherford dies in San Diego (January 8, 1942). Dates as given in the cited jw.org publications.</t>
        </is>
      </c>
      <c r="N1054" s="7" t="n"/>
      <c r="O1054" s="13" t="inlineStr">
        <is>
          <t>Jehovah's Witnesses</t>
        </is>
      </c>
      <c r="P1054" s="7" t="inlineStr">
        <is>
          <t>jw.leadership</t>
        </is>
      </c>
      <c r="Q1054" s="7" t="inlineStr">
        <is>
          <t>lifespan</t>
        </is>
      </c>
      <c r="R1054" s="7" t="inlineStr">
        <is>
          <t>Joseph F. Rutherford</t>
        </is>
      </c>
      <c r="S1054" s="7" t="inlineStr">
        <is>
          <t>Morgan County, Missouri; San Diego, California</t>
        </is>
      </c>
      <c r="T1054" s="7" t="n"/>
      <c r="U1054" s="7" t="n"/>
      <c r="V1054" s="7" t="n">
        <v>7</v>
      </c>
      <c r="W1054" s="7" t="inlineStr">
        <is>
          <t>A Time of Testing (1914-1918)</t>
        </is>
      </c>
      <c r="X1054" s="9" t="inlineStr">
        <is>
          <t>open</t>
        </is>
      </c>
      <c r="Y1054" s="7" t="n"/>
      <c r="Z1054" s="7" t="inlineStr">
        <is>
          <t>https://wol.jw.org/en/wol/d/r1/lp-e/1101993007
https://wol.jw.org/en/wol/d/r1/lp-e/301975002
https://wol.jw.org/en/wol/d/r1/lp-e/1101993046
https://wol.jw.org/en/wol/d/r1/lp-e/1101993008
https://wol.jw.org/en/wol/d/r1/lp-e/1101993009
https://wol.jw.org/en/wol/d/r1/lp-e/301975006
https://wol.jw.org/en/wol/d/r1/lp-e/1102000101</t>
        </is>
      </c>
      <c r="AA1054" s="7" t="n">
        <v>0</v>
      </c>
      <c r="AB1054" s="7" t="n"/>
      <c r="AC1054" s="7" t="n">
        <v>0</v>
      </c>
      <c r="AD1054" s="7" t="n"/>
      <c r="AE1054" s="7" t="inlineStr">
        <is>
          <t>Built from b8-0003 (start) and b8-0237 (end).</t>
        </is>
      </c>
      <c r="AF1054" s="7" t="inlineStr">
        <is>
          <t>b8-0003</t>
        </is>
      </c>
      <c r="AG1054" s="7" t="inlineStr">
        <is>
          <t>b8-0237</t>
        </is>
      </c>
      <c r="AH1054" s="7" t="n"/>
      <c r="AI1054" s="7" t="n"/>
      <c r="AJ1054" s="7" t="n"/>
      <c r="AK1054" s="7" t="n"/>
      <c r="AL1054" s="7" t="n"/>
      <c r="AM1054" s="7" t="n">
        <v>1869.8508</v>
      </c>
      <c r="AN1054" s="10" t="n"/>
      <c r="AO1054" s="10" t="n"/>
      <c r="AP1054" s="10" t="n"/>
      <c r="AQ1054" s="10" t="n"/>
    </row>
    <row r="1055">
      <c r="A1055" s="7" t="inlineStr">
        <is>
          <t>b8-0004</t>
        </is>
      </c>
      <c r="B1055" s="7" t="inlineStr">
        <is>
          <t>Point</t>
        </is>
      </c>
      <c r="C1055" s="7" t="n"/>
      <c r="D1055" s="7" t="inlineStr">
        <is>
          <t>1870</t>
        </is>
      </c>
      <c r="E1055" s="7" t="inlineStr">
        <is>
          <t>1870</t>
        </is>
      </c>
      <c r="F1055" s="7" t="inlineStr">
        <is>
          <t>1870 CE</t>
        </is>
      </c>
      <c r="G1055" s="7" t="inlineStr">
        <is>
          <t>Exact</t>
        </is>
      </c>
      <c r="H1055" s="7" t="n"/>
      <c r="I1055" s="7" t="n"/>
      <c r="J1055" s="7" t="n"/>
      <c r="K1055" s="2" t="inlineStr">
        <is>
          <t>Russell and associates begin systematic Bible study in Pittsburgh</t>
        </is>
      </c>
      <c r="L1055" s="2" t="inlineStr">
        <is>
          <t>ரஸல் ஒரு பைபிள் படிப்புத் தொகுதியைத் தொடங்குகிறார். அவர்கள் பைபிளை ஆராய்ந்து படிக்க ஆரம்பிக்கிறார்கள்</t>
        </is>
      </c>
      <c r="M1055" s="7" t="inlineStr">
        <is>
          <t>Charles Taze Russell and a small group from Pittsburgh and Allegheny, Pennsylvania, form a class and begin a systematic study of the Bible; they become known as Bible Students.</t>
        </is>
      </c>
      <c r="N1055" s="7" t="inlineStr">
        <is>
          <t>ரஸல் ஒரு பைபிள் படிப்புத் தொகுதியைத் தொடங்குகிறார். அவர்கள் பைபிளை ஆராய்ந்து படிக்க ஆரம்பிக்கிறார்கள்</t>
        </is>
      </c>
      <c r="O1055" s="13" t="inlineStr">
        <is>
          <t>Jehovah's Witnesses</t>
        </is>
      </c>
      <c r="P1055" s="7" t="inlineStr">
        <is>
          <t>jw.organization</t>
        </is>
      </c>
      <c r="Q1055" s="7" t="inlineStr">
        <is>
          <t>founding</t>
        </is>
      </c>
      <c r="R1055" s="7" t="inlineStr">
        <is>
          <t>Charles Taze Russell</t>
        </is>
      </c>
      <c r="S1055" s="7" t="inlineStr">
        <is>
          <t>Pittsburgh; Allegheny, Pennsylvania</t>
        </is>
      </c>
      <c r="T1055" s="7" t="n"/>
      <c r="U1055" s="7" t="n"/>
      <c r="V1055" s="7" t="n">
        <v>5</v>
      </c>
      <c r="W1055" s="7" t="inlineStr">
        <is>
          <t>Noteworthy Events in the Modern-day History of Jehovah’s Witnesses</t>
        </is>
      </c>
      <c r="X1055" s="9" t="inlineStr">
        <is>
          <t>open</t>
        </is>
      </c>
      <c r="Y1055" s="7" t="n"/>
      <c r="Z1055" s="7" t="inlineStr">
        <is>
          <t>https://wol.jw.org/en/wol/d/r1/lp-e/1101993046
https://wol.jw.org/en/wol/d/r1/lp-e/1102014241
https://wol.jw.org/en/wol/d/r1/lp-e/1101993006
https://wol.jw.org/en/wol/d/r1/lp-e/1102000101
https://www.jw.org/en/news/region/united-states/historic-milestones-united-states/</t>
        </is>
      </c>
      <c r="AA1055" s="7" t="n">
        <v>1</v>
      </c>
      <c r="AB1055" s="9" t="inlineStr">
        <is>
          <t>open</t>
        </is>
      </c>
      <c r="AC1055" s="7" t="n">
        <v>0</v>
      </c>
      <c r="AD1055" s="7" t="n"/>
      <c r="AE1055" s="7" t="n"/>
      <c r="AF1055" s="7" t="n"/>
      <c r="AG1055" s="7" t="n"/>
      <c r="AH1055" s="7" t="n"/>
      <c r="AI1055" s="7" t="n"/>
      <c r="AJ1055" s="7" t="n"/>
      <c r="AK1055" s="7" t="inlineStr">
        <is>
          <t>wheat-and-weeds #11 (fulfillment)</t>
        </is>
      </c>
      <c r="AL1055" s="7" t="n"/>
      <c r="AM1055" s="7" t="n">
        <v>1870</v>
      </c>
      <c r="AN1055" s="10" t="n"/>
      <c r="AO1055" s="10" t="n"/>
      <c r="AP1055" s="10" t="n"/>
      <c r="AQ1055" s="10" t="n"/>
    </row>
    <row r="1056">
      <c r="A1056" s="7" t="inlineStr">
        <is>
          <t>b8-0005</t>
        </is>
      </c>
      <c r="B1056" s="11" t="inlineStr">
        <is>
          <t>Span</t>
        </is>
      </c>
      <c r="C1056" s="7" t="inlineStr">
        <is>
          <t>period</t>
        </is>
      </c>
      <c r="D1056" s="7" t="inlineStr">
        <is>
          <t>1870-75</t>
        </is>
      </c>
      <c r="E1056" s="7" t="inlineStr">
        <is>
          <t>1870-1875</t>
        </is>
      </c>
      <c r="F1056" s="7" t="inlineStr">
        <is>
          <t>1870 CE</t>
        </is>
      </c>
      <c r="G1056" s="7" t="inlineStr">
        <is>
          <t>Exact</t>
        </is>
      </c>
      <c r="H1056" s="7" t="inlineStr">
        <is>
          <t>1875 CE</t>
        </is>
      </c>
      <c r="I1056" s="7" t="inlineStr">
        <is>
          <t>Exact</t>
        </is>
      </c>
      <c r="J1056" s="7" t="inlineStr">
        <is>
          <t>5 years</t>
        </is>
      </c>
      <c r="K1056" s="2" t="inlineStr">
        <is>
          <t>Bible Students learn Christ’s return will be invisible</t>
        </is>
      </c>
      <c r="L1056" s="2" t="inlineStr">
        <is>
          <t>ஆத்துமா, மீட்புவிலை, கிறிஸ்துவுடைய வருகையின் விதம் சம்பந்தப்பட்ட உண்மைகள் தெளிவாகின்றன</t>
        </is>
      </c>
      <c r="M1056" s="7" t="inlineStr">
        <is>
          <t>Russell and his study associates come to understand that Christ’s second coming would be invisible to human eyes and that its purpose includes blessing all families of the earth; truths about the soul and the ransom also become clearer.</t>
        </is>
      </c>
      <c r="N1056" s="7" t="inlineStr">
        <is>
          <t>ஆத்துமா, மீட்புவிலை, கிறிஸ்துவுடைய வருகையின் விதம் சம்பந்தப்பட்ட உண்மைகள் தெளிவாகின்றன</t>
        </is>
      </c>
      <c r="O1056" s="13" t="inlineStr">
        <is>
          <t>Jehovah's Witnesses</t>
        </is>
      </c>
      <c r="P1056" s="7" t="inlineStr">
        <is>
          <t>jw.doctrine</t>
        </is>
      </c>
      <c r="Q1056" s="7" t="inlineStr">
        <is>
          <t>teaching</t>
        </is>
      </c>
      <c r="R1056" s="7" t="inlineStr">
        <is>
          <t>Charles Taze Russell</t>
        </is>
      </c>
      <c r="S1056" s="7" t="n"/>
      <c r="T1056" s="7" t="inlineStr">
        <is>
          <t>John 14:3, 19</t>
        </is>
      </c>
      <c r="U1056" s="7" t="n"/>
      <c r="V1056" s="7" t="n">
        <v>3</v>
      </c>
      <c r="W1056" s="7" t="inlineStr">
        <is>
          <t>Noteworthy Events in the Modern-day History of Jehovah’s Witnesses</t>
        </is>
      </c>
      <c r="X1056" s="9" t="inlineStr">
        <is>
          <t>open</t>
        </is>
      </c>
      <c r="Y1056" s="7" t="n"/>
      <c r="Z1056" s="7" t="inlineStr">
        <is>
          <t>https://wol.jw.org/en/wol/d/r1/lp-e/1101993046
https://wol.jw.org/en/wol/d/r1/lp-e/1102014241
https://wol.jw.org/en/wol/d/r1/lp-e/1101993012</t>
        </is>
      </c>
      <c r="AA1056" s="7" t="n">
        <v>0</v>
      </c>
      <c r="AB1056" s="7" t="n"/>
      <c r="AC1056" s="7" t="n">
        <v>0</v>
      </c>
      <c r="AD1056" s="7" t="n"/>
      <c r="AE1056" s="7" t="n"/>
      <c r="AF1056" s="7" t="n"/>
      <c r="AG1056" s="7" t="n"/>
      <c r="AH1056" s="7" t="n"/>
      <c r="AI1056" s="7" t="n"/>
      <c r="AJ1056" s="7" t="n"/>
      <c r="AK1056" s="7" t="n"/>
      <c r="AL1056" s="7" t="n"/>
      <c r="AM1056" s="7" t="n">
        <v>1870</v>
      </c>
      <c r="AN1056" s="10" t="n"/>
      <c r="AO1056" s="10" t="n"/>
      <c r="AP1056" s="10" t="n"/>
      <c r="AQ1056" s="10" t="n"/>
    </row>
    <row r="1057">
      <c r="A1057" s="7" t="inlineStr">
        <is>
          <t>b14-0002</t>
        </is>
      </c>
      <c r="B1057" s="11" t="inlineStr">
        <is>
          <t>Span</t>
        </is>
      </c>
      <c r="C1057" s="7" t="inlineStr">
        <is>
          <t>period</t>
        </is>
      </c>
      <c r="D1057" s="7" t="inlineStr">
        <is>
          <t>1870–1917</t>
        </is>
      </c>
      <c r="E1057" s="7" t="n"/>
      <c r="F1057" s="7" t="inlineStr">
        <is>
          <t>1870 CE</t>
        </is>
      </c>
      <c r="G1057" s="7" t="inlineStr">
        <is>
          <t>Exact</t>
        </is>
      </c>
      <c r="H1057" s="7" t="inlineStr">
        <is>
          <t>1917 CE</t>
        </is>
      </c>
      <c r="I1057" s="7" t="inlineStr">
        <is>
          <t>Exact</t>
        </is>
      </c>
      <c r="J1057" s="7" t="inlineStr">
        <is>
          <t>47 years</t>
        </is>
      </c>
      <c r="K1057" s="2" t="inlineStr">
        <is>
          <t>Britain as “the king of the south”</t>
        </is>
      </c>
      <c r="L1057" s="2" t="inlineStr">
        <is>
          <t>பிரிட்டன், 1917-வரை தென்திசை ராஜாவாக இருந்தது</t>
        </is>
      </c>
      <c r="M1057" s="7" t="inlineStr">
        <is>
          <t>By 1870 Britain had become the largest empire on earth; it filled the role of the king of the south of Daniel 11 until, during World War I, it was joined by the United States and the role passed to the Anglo-American World Power.</t>
        </is>
      </c>
      <c r="N1057" s="7" t="inlineStr">
        <is>
          <t>இந்த உலகத்திலேயே மிகப் பெரிய சாம்ராஜ்யமாக 1870-ல் பிரிட்டன் உருவெடுத்தது. பிரிட்டன், 1917-வரை தென்திசை ராஜாவாக இருந்தது.</t>
        </is>
      </c>
      <c r="O1057" s="8" t="inlineStr">
        <is>
          <t>Bible</t>
        </is>
      </c>
      <c r="P1057" s="7" t="inlineStr">
        <is>
          <t>bible.prophecy_fulfilled</t>
        </is>
      </c>
      <c r="Q1057" s="7" t="n"/>
      <c r="R1057" s="7" t="n"/>
      <c r="S1057" s="7" t="inlineStr">
        <is>
          <t>Britain</t>
        </is>
      </c>
      <c r="T1057" s="7" t="inlineStr">
        <is>
          <t>Dan. 7:7, 8; Dan. 11:25</t>
        </is>
      </c>
      <c r="U1057" s="7" t="inlineStr">
        <is>
          <t>தானி. 7:7, 8; தானி. 11:25</t>
        </is>
      </c>
      <c r="V1057" s="7" t="n">
        <v>3</v>
      </c>
      <c r="W1057" s="7" t="inlineStr">
        <is>
          <t>“The King of the North” in the Time of the End</t>
        </is>
      </c>
      <c r="X1057" s="9" t="inlineStr">
        <is>
          <t>open</t>
        </is>
      </c>
      <c r="Y1057" s="9" t="inlineStr">
        <is>
          <t>open</t>
        </is>
      </c>
      <c r="Z1057" s="7" t="inlineStr">
        <is>
          <t>https://wol.jw.org/en/wol/d/r1/lp-e/2020400
https://wol.jw.org/en/wol/d/r1/lp-e/2020400
https://wol.jw.org/en/wol/d/r1/lp-e/2020408</t>
        </is>
      </c>
      <c r="AA1057" s="7" t="n">
        <v>0</v>
      </c>
      <c r="AB1057" s="7" t="n"/>
      <c r="AC1057" s="7" t="n">
        <v>0</v>
      </c>
      <c r="AD1057" s="7" t="n"/>
      <c r="AE1057" s="7" t="n"/>
      <c r="AF1057" s="7" t="n"/>
      <c r="AG1057" s="7" t="n"/>
      <c r="AH1057" s="7" t="n"/>
      <c r="AI1057" s="7" t="n"/>
      <c r="AJ1057" s="7" t="n"/>
      <c r="AK1057" s="7" t="inlineStr">
        <is>
          <t>kings-north-and-south #29 (item)</t>
        </is>
      </c>
      <c r="AL1057" s="7" t="inlineStr">
        <is>
          <t>English text of w20.05 par. 7 says “well into World War I”; the chart description and the Tamil text of the same paragraph give 1917.</t>
        </is>
      </c>
      <c r="AM1057" s="7" t="n">
        <v>1870</v>
      </c>
      <c r="AN1057" s="10" t="n"/>
      <c r="AO1057" s="10" t="n"/>
      <c r="AP1057" s="10" t="n"/>
      <c r="AQ1057" s="10" t="n"/>
    </row>
    <row r="1058">
      <c r="A1058" s="7" t="inlineStr">
        <is>
          <t>b14-0003</t>
        </is>
      </c>
      <c r="B1058" s="7" t="inlineStr">
        <is>
          <t>Point</t>
        </is>
      </c>
      <c r="C1058" s="7" t="n"/>
      <c r="D1058" s="7" t="inlineStr">
        <is>
          <t>1871</t>
        </is>
      </c>
      <c r="E1058" s="7" t="inlineStr">
        <is>
          <t>1871</t>
        </is>
      </c>
      <c r="F1058" s="7" t="inlineStr">
        <is>
          <t>1871 CE</t>
        </is>
      </c>
      <c r="G1058" s="7" t="inlineStr">
        <is>
          <t>Exact</t>
        </is>
      </c>
      <c r="H1058" s="7" t="n"/>
      <c r="I1058" s="7" t="n"/>
      <c r="J1058" s="7" t="n"/>
      <c r="K1058" s="2" t="inlineStr">
        <is>
          <t>German Empire established; “the king of the north” reappears</t>
        </is>
      </c>
      <c r="L1058" s="2" t="inlineStr">
        <is>
          <t>1871-ல் ஜெர்மனி வடதிசை ராஜாவாக உருவெடுத்தது</t>
        </is>
      </c>
      <c r="M1058" s="7" t="inlineStr">
        <is>
          <t>In 1871 Otto von Bismarck was instrumental in establishing the German Empire, with Prussian King Wilhelm I as its first emperor. The Watchtower (2020) identifies this as the reappearance of the king of the north of Daniel 11.</t>
        </is>
      </c>
      <c r="N1058" s="7" t="inlineStr">
        <is>
          <t>அந்த வருஷத்தில், ஓட்டோ வான் பிஸ்மார்க் ஜெர்மனி சாம்ராஜ்யத்தை உருவாக்குவதில் முக்கியப் பங்கு வகித்தார். முதலாம் வில்ஹெல்ம் அதன் முதல் பேரரசராக ஆனார்.</t>
        </is>
      </c>
      <c r="O1058" s="8" t="inlineStr">
        <is>
          <t>Bible</t>
        </is>
      </c>
      <c r="P1058" s="7" t="inlineStr">
        <is>
          <t>bible.prophecy_fulfilled</t>
        </is>
      </c>
      <c r="Q1058" s="7" t="inlineStr">
        <is>
          <t>founding</t>
        </is>
      </c>
      <c r="R1058" s="7" t="inlineStr">
        <is>
          <t>Otto von Bismarck; Wilhelm I</t>
        </is>
      </c>
      <c r="S1058" s="7" t="inlineStr">
        <is>
          <t>Germany</t>
        </is>
      </c>
      <c r="T1058" s="7" t="inlineStr">
        <is>
          <t>Dan. 11:25</t>
        </is>
      </c>
      <c r="U1058" s="7" t="inlineStr">
        <is>
          <t>தானி. 11:25</t>
        </is>
      </c>
      <c r="V1058" s="7" t="n">
        <v>2</v>
      </c>
      <c r="W1058" s="7" t="inlineStr">
        <is>
          <t>“The King of the North” in the Time of the End</t>
        </is>
      </c>
      <c r="X1058" s="9" t="inlineStr">
        <is>
          <t>open</t>
        </is>
      </c>
      <c r="Y1058" s="9" t="inlineStr">
        <is>
          <t>open</t>
        </is>
      </c>
      <c r="Z1058" s="7" t="inlineStr">
        <is>
          <t>https://wol.jw.org/en/wol/d/r1/lp-e/2020400
https://wol.jw.org/en/wol/d/r1/lp-e/2020408</t>
        </is>
      </c>
      <c r="AA1058" s="7" t="n">
        <v>0</v>
      </c>
      <c r="AB1058" s="7" t="n"/>
      <c r="AC1058" s="7" t="n">
        <v>0</v>
      </c>
      <c r="AD1058" s="7" t="n"/>
      <c r="AE1058" s="7" t="n"/>
      <c r="AF1058" s="7" t="n"/>
      <c r="AG1058" s="7" t="n"/>
      <c r="AH1058" s="7" t="n"/>
      <c r="AI1058" s="7" t="inlineStr">
        <is>
          <t>Span endpoint – keep</t>
        </is>
      </c>
      <c r="AJ1058" s="7" t="inlineStr">
        <is>
          <t>start of Germany as “the king of the north” (b14-0004)</t>
        </is>
      </c>
      <c r="AK1058" s="7" t="inlineStr">
        <is>
          <t>kings-north-and-south #30 (rise)</t>
        </is>
      </c>
      <c r="AL1058" s="7" t="n"/>
      <c r="AM1058" s="7" t="n">
        <v>1871.05</v>
      </c>
      <c r="AN1058" s="10" t="n"/>
      <c r="AO1058" s="10" t="n"/>
      <c r="AP1058" s="10" t="n"/>
      <c r="AQ1058" s="10" t="n"/>
    </row>
    <row r="1059">
      <c r="A1059" s="7" t="inlineStr">
        <is>
          <t>b14-0004</t>
        </is>
      </c>
      <c r="B1059" s="11" t="inlineStr">
        <is>
          <t>Span</t>
        </is>
      </c>
      <c r="C1059" s="7" t="inlineStr">
        <is>
          <t>period</t>
        </is>
      </c>
      <c r="D1059" s="7" t="inlineStr">
        <is>
          <t>1871–1945</t>
        </is>
      </c>
      <c r="E1059" s="7" t="n"/>
      <c r="F1059" s="7" t="inlineStr">
        <is>
          <t>1871 CE</t>
        </is>
      </c>
      <c r="G1059" s="7" t="inlineStr">
        <is>
          <t>Exact</t>
        </is>
      </c>
      <c r="H1059" s="7" t="inlineStr">
        <is>
          <t>1945 CE</t>
        </is>
      </c>
      <c r="I1059" s="7" t="inlineStr">
        <is>
          <t>Exact</t>
        </is>
      </c>
      <c r="J1059" s="7" t="inlineStr">
        <is>
          <t>74 years</t>
        </is>
      </c>
      <c r="K1059" s="2" t="inlineStr">
        <is>
          <t>Germany as “the king of the north”</t>
        </is>
      </c>
      <c r="L1059" s="2" t="inlineStr">
        <is>
          <t>ஜெர்மனி 1945 வரை வடதிசை ராஜாவாக இருந்தது</t>
        </is>
      </c>
      <c r="M1059" s="7" t="inlineStr">
        <is>
          <t>From 1871 until 1945 Germany filled the role of the king of the north: the German Empire, whose army was “swept away” in World War I (Dan. 11:25-30a), and then Nazi Germany, which attacked God’s people in the 1930’s and during World War II (Dan. 11:30b, 31a).</t>
        </is>
      </c>
      <c r="N1059" s="7" t="inlineStr">
        <is>
          <t>1871-ல் ஜெர்மனி வடதிசை ராஜாவாக உருவெடுத்தது. ஜெர்மனி 1945 வரை வடதிசை ராஜாவாக இருந்தது.</t>
        </is>
      </c>
      <c r="O1059" s="8" t="inlineStr">
        <is>
          <t>Bible</t>
        </is>
      </c>
      <c r="P1059" s="7" t="inlineStr">
        <is>
          <t>bible.prophecy_fulfilled</t>
        </is>
      </c>
      <c r="Q1059" s="7" t="n"/>
      <c r="R1059" s="7" t="n"/>
      <c r="S1059" s="7" t="inlineStr">
        <is>
          <t>Germany</t>
        </is>
      </c>
      <c r="T1059" s="7" t="inlineStr">
        <is>
          <t>Dan. 11:25-31</t>
        </is>
      </c>
      <c r="U1059" s="7" t="inlineStr">
        <is>
          <t>தானி. 11:25-31</t>
        </is>
      </c>
      <c r="V1059" s="7" t="n">
        <v>3</v>
      </c>
      <c r="W1059" s="7" t="inlineStr">
        <is>
          <t>“The King of the North” in the Time of the End</t>
        </is>
      </c>
      <c r="X1059" s="9" t="inlineStr">
        <is>
          <t>open</t>
        </is>
      </c>
      <c r="Y1059" s="9" t="inlineStr">
        <is>
          <t>open</t>
        </is>
      </c>
      <c r="Z1059" s="7" t="inlineStr">
        <is>
          <t>https://wol.jw.org/en/wol/d/r1/lp-e/2020400
https://wol.jw.org/en/wol/d/r1/lp-e/2020400
https://wol.jw.org/en/wol/d/r1/lp-e/2020408</t>
        </is>
      </c>
      <c r="AA1059" s="7" t="n">
        <v>0</v>
      </c>
      <c r="AB1059" s="7" t="n"/>
      <c r="AC1059" s="7" t="n">
        <v>0</v>
      </c>
      <c r="AD1059" s="7" t="n"/>
      <c r="AE1059" s="7" t="n"/>
      <c r="AF1059" s="7" t="inlineStr">
        <is>
          <t>b14-0003</t>
        </is>
      </c>
      <c r="AG1059" s="7" t="inlineStr">
        <is>
          <t>b14-0011</t>
        </is>
      </c>
      <c r="AH1059" s="7" t="n"/>
      <c r="AI1059" s="7" t="n"/>
      <c r="AJ1059" s="7" t="n"/>
      <c r="AK1059" s="7" t="inlineStr">
        <is>
          <t>kings-north-and-south #31 (item)</t>
        </is>
      </c>
      <c r="AL1059" s="7" t="inlineStr">
        <is>
          <t>Pay Attention to Daniel’s Prophecy! (1999) ch. 15-16 listed “German Empire” (Dan. 11:27-30a) and “Hitler’s Third Reich” (Dan. 11:30b, 31) as successive kings of the north; The Watchtower, May 2020, applies Dan. 11:25-31 to Germany from 1871 to 1945.</t>
        </is>
      </c>
      <c r="AM1059" s="7" t="n">
        <v>1871.05</v>
      </c>
      <c r="AN1059" s="10" t="n"/>
      <c r="AO1059" s="10" t="n"/>
      <c r="AP1059" s="10" t="n"/>
      <c r="AQ1059" s="10" t="n"/>
    </row>
    <row r="1060">
      <c r="A1060" s="7" t="inlineStr">
        <is>
          <t>b8-0006</t>
        </is>
      </c>
      <c r="B1060" s="7" t="inlineStr">
        <is>
          <t>Point</t>
        </is>
      </c>
      <c r="C1060" s="7" t="n"/>
      <c r="D1060" s="7" t="inlineStr">
        <is>
          <t>1872</t>
        </is>
      </c>
      <c r="E1060" s="7" t="n"/>
      <c r="F1060" s="7" t="inlineStr">
        <is>
          <t>1872 CE</t>
        </is>
      </c>
      <c r="G1060" s="7" t="inlineStr">
        <is>
          <t>Exact</t>
        </is>
      </c>
      <c r="H1060" s="7" t="n"/>
      <c r="I1060" s="7" t="n"/>
      <c r="J1060" s="7" t="n"/>
      <c r="K1060" s="2" t="inlineStr">
        <is>
          <t>Russell’s study group comes to appreciate the ransom</t>
        </is>
      </c>
      <c r="L1060" s="2" t="n"/>
      <c r="M1060" s="7" t="inlineStr">
        <is>
          <t>Examining restitution from the standpoint of the ransom, Russell and his associates come to appreciate the ransom price that Christ provided for humankind.</t>
        </is>
      </c>
      <c r="N1060" s="7" t="n"/>
      <c r="O1060" s="13" t="inlineStr">
        <is>
          <t>Jehovah's Witnesses</t>
        </is>
      </c>
      <c r="P1060" s="7" t="inlineStr">
        <is>
          <t>jw.doctrine</t>
        </is>
      </c>
      <c r="Q1060" s="7" t="inlineStr">
        <is>
          <t>teaching</t>
        </is>
      </c>
      <c r="R1060" s="7" t="inlineStr">
        <is>
          <t>Charles Taze Russell</t>
        </is>
      </c>
      <c r="S1060" s="7" t="n"/>
      <c r="T1060" s="7" t="n"/>
      <c r="U1060" s="7" t="n"/>
      <c r="V1060" s="7" t="n">
        <v>2</v>
      </c>
      <c r="W1060" s="7" t="inlineStr">
        <is>
          <t>Noteworthy Events in the Modern-day History of Jehovah’s Witnesses</t>
        </is>
      </c>
      <c r="X1060" s="9" t="inlineStr">
        <is>
          <t>open</t>
        </is>
      </c>
      <c r="Y1060" s="7" t="n"/>
      <c r="Z1060" s="7" t="inlineStr">
        <is>
          <t>https://wol.jw.org/en/wol/d/r1/lp-e/1101993046
https://wol.jw.org/en/wol/d/r1/lp-e/1101993012</t>
        </is>
      </c>
      <c r="AA1060" s="7" t="n">
        <v>0</v>
      </c>
      <c r="AB1060" s="7" t="n"/>
      <c r="AC1060" s="7" t="n">
        <v>0</v>
      </c>
      <c r="AD1060" s="7" t="n"/>
      <c r="AE1060" s="7" t="n"/>
      <c r="AF1060" s="7" t="n"/>
      <c r="AG1060" s="7" t="n"/>
      <c r="AH1060" s="7" t="n"/>
      <c r="AI1060" s="7" t="n"/>
      <c r="AJ1060" s="7" t="n"/>
      <c r="AK1060" s="7" t="inlineStr">
        <is>
          <t>wheat-and-weeds #12 (context)</t>
        </is>
      </c>
      <c r="AL1060" s="7" t="n"/>
      <c r="AM1060" s="7" t="n">
        <v>1872</v>
      </c>
      <c r="AN1060" s="10" t="n"/>
      <c r="AO1060" s="10" t="n"/>
      <c r="AP1060" s="10" t="n"/>
      <c r="AQ1060" s="10" t="n"/>
    </row>
    <row r="1061">
      <c r="A1061" s="7" t="inlineStr">
        <is>
          <t>b8-0007</t>
        </is>
      </c>
      <c r="B1061" s="7" t="inlineStr">
        <is>
          <t>Point</t>
        </is>
      </c>
      <c r="C1061" s="7" t="n"/>
      <c r="D1061" s="7" t="inlineStr">
        <is>
          <t>January 1876</t>
        </is>
      </c>
      <c r="E1061" s="7" t="n"/>
      <c r="F1061" s="7" t="inlineStr">
        <is>
          <t>1876 CE</t>
        </is>
      </c>
      <c r="G1061" s="7" t="inlineStr">
        <is>
          <t>Exact</t>
        </is>
      </c>
      <c r="H1061" s="7" t="n"/>
      <c r="I1061" s="7" t="n"/>
      <c r="J1061" s="7" t="n"/>
      <c r="K1061" s="2" t="inlineStr">
        <is>
          <t>Russell receives a copy of Herald of the Morning</t>
        </is>
      </c>
      <c r="L1061" s="2" t="n"/>
      <c r="M1061" s="7" t="inlineStr">
        <is>
          <t>Twenty-three-year-old Russell receives a copy of the Adventist periodical Herald of the Morning and learns of another group that believed Christ’s return would be invisible.</t>
        </is>
      </c>
      <c r="N1061" s="7" t="n"/>
      <c r="O1061" s="13" t="inlineStr">
        <is>
          <t>Jehovah's Witnesses</t>
        </is>
      </c>
      <c r="P1061" s="7" t="inlineStr">
        <is>
          <t>jw.leadership</t>
        </is>
      </c>
      <c r="Q1061" s="7" t="inlineStr">
        <is>
          <t>meeting</t>
        </is>
      </c>
      <c r="R1061" s="7" t="inlineStr">
        <is>
          <t>Charles Taze Russell; N. H. Barbour</t>
        </is>
      </c>
      <c r="S1061" s="7" t="n"/>
      <c r="T1061" s="7" t="n"/>
      <c r="U1061" s="7" t="n"/>
      <c r="V1061" s="7" t="n">
        <v>2</v>
      </c>
      <c r="W1061" s="7" t="inlineStr">
        <is>
          <t>Noteworthy Events in the Modern-day History of Jehovah’s Witnesses</t>
        </is>
      </c>
      <c r="X1061" s="9" t="inlineStr">
        <is>
          <t>open</t>
        </is>
      </c>
      <c r="Y1061" s="7" t="n"/>
      <c r="Z1061" s="7" t="inlineStr">
        <is>
          <t>https://wol.jw.org/en/wol/d/r1/lp-e/1101993046
https://wol.jw.org/en/wol/d/r1/lp-e/1101993006</t>
        </is>
      </c>
      <c r="AA1061" s="7" t="n">
        <v>0</v>
      </c>
      <c r="AB1061" s="7" t="n"/>
      <c r="AC1061" s="7" t="n">
        <v>0</v>
      </c>
      <c r="AD1061" s="7" t="n"/>
      <c r="AE1061" s="7" t="n"/>
      <c r="AF1061" s="7" t="n"/>
      <c r="AG1061" s="7" t="n"/>
      <c r="AH1061" s="7" t="n"/>
      <c r="AI1061" s="7" t="n"/>
      <c r="AJ1061" s="7" t="n"/>
      <c r="AK1061" s="7" t="n"/>
      <c r="AL1061" s="7" t="n"/>
      <c r="AM1061" s="7" t="n">
        <v>1876</v>
      </c>
      <c r="AN1061" s="10" t="n"/>
      <c r="AO1061" s="10" t="n"/>
      <c r="AP1061" s="10" t="n"/>
      <c r="AQ1061" s="10" t="n"/>
    </row>
    <row r="1062">
      <c r="A1062" s="7" t="inlineStr">
        <is>
          <t>b8-0008</t>
        </is>
      </c>
      <c r="B1062" s="7" t="inlineStr">
        <is>
          <t>Point</t>
        </is>
      </c>
      <c r="C1062" s="7" t="n"/>
      <c r="D1062" s="7" t="inlineStr">
        <is>
          <t>Summer 1876</t>
        </is>
      </c>
      <c r="E1062" s="7" t="n"/>
      <c r="F1062" s="7" t="inlineStr">
        <is>
          <t>1876 CE</t>
        </is>
      </c>
      <c r="G1062" s="7" t="inlineStr">
        <is>
          <t>Exact</t>
        </is>
      </c>
      <c r="H1062" s="7" t="n"/>
      <c r="I1062" s="7" t="n"/>
      <c r="J1062" s="7" t="n"/>
      <c r="K1062" s="2" t="inlineStr">
        <is>
          <t>Russell meets N. H. Barbour in Philadelphia</t>
        </is>
      </c>
      <c r="L1062" s="2" t="n"/>
      <c r="M1062" s="7" t="inlineStr">
        <is>
          <t>Russell meets Nelson H. Barbour, editor of Herald of the Morning, in Philadelphia; Barbour persuades him that Christ’s invisible presence had begun in 1874, and Russell becomes an assistant editor.</t>
        </is>
      </c>
      <c r="N1062" s="7" t="n"/>
      <c r="O1062" s="13" t="inlineStr">
        <is>
          <t>Jehovah's Witnesses</t>
        </is>
      </c>
      <c r="P1062" s="7" t="inlineStr">
        <is>
          <t>jw.leadership</t>
        </is>
      </c>
      <c r="Q1062" s="7" t="inlineStr">
        <is>
          <t>meeting</t>
        </is>
      </c>
      <c r="R1062" s="7" t="inlineStr">
        <is>
          <t>Charles Taze Russell; N. H. Barbour</t>
        </is>
      </c>
      <c r="S1062" s="7" t="inlineStr">
        <is>
          <t>Philadelphia</t>
        </is>
      </c>
      <c r="T1062" s="7" t="n"/>
      <c r="U1062" s="7" t="n"/>
      <c r="V1062" s="7" t="n">
        <v>2</v>
      </c>
      <c r="W1062" s="7" t="inlineStr">
        <is>
          <t>Noteworthy Events in the Modern-day History of Jehovah’s Witnesses</t>
        </is>
      </c>
      <c r="X1062" s="9" t="inlineStr">
        <is>
          <t>open</t>
        </is>
      </c>
      <c r="Y1062" s="7" t="n"/>
      <c r="Z1062" s="7" t="inlineStr">
        <is>
          <t>https://wol.jw.org/en/wol/d/r1/lp-e/1101993046
https://wol.jw.org/en/wol/d/r1/lp-e/1101993006</t>
        </is>
      </c>
      <c r="AA1062" s="7" t="n">
        <v>0</v>
      </c>
      <c r="AB1062" s="7" t="n"/>
      <c r="AC1062" s="7" t="n">
        <v>0</v>
      </c>
      <c r="AD1062" s="7" t="n"/>
      <c r="AE1062" s="7" t="n"/>
      <c r="AF1062" s="7" t="n"/>
      <c r="AG1062" s="7" t="n"/>
      <c r="AH1062" s="7" t="n"/>
      <c r="AI1062" s="7" t="n"/>
      <c r="AJ1062" s="7" t="n"/>
      <c r="AK1062" s="7" t="n"/>
      <c r="AL1062" s="7" t="n"/>
      <c r="AM1062" s="7" t="n">
        <v>1876.5</v>
      </c>
      <c r="AN1062" s="10" t="n"/>
      <c r="AO1062" s="10" t="n"/>
      <c r="AP1062" s="10" t="n"/>
      <c r="AQ1062" s="10" t="n"/>
    </row>
    <row r="1063">
      <c r="A1063" s="7" t="inlineStr">
        <is>
          <t>b8-0009</t>
        </is>
      </c>
      <c r="B1063" s="7" t="inlineStr">
        <is>
          <t>Point</t>
        </is>
      </c>
      <c r="C1063" s="7" t="n"/>
      <c r="D1063" s="7" t="inlineStr">
        <is>
          <t>October 1876</t>
        </is>
      </c>
      <c r="E1063" s="7" t="inlineStr">
        <is>
          <t>அக்டோபர் 1876</t>
        </is>
      </c>
      <c r="F1063" s="7" t="inlineStr">
        <is>
          <t>1876 CE</t>
        </is>
      </c>
      <c r="G1063" s="7" t="inlineStr">
        <is>
          <t>Exact</t>
        </is>
      </c>
      <c r="H1063" s="7" t="n"/>
      <c r="I1063" s="7" t="n"/>
      <c r="J1063" s="7" t="n"/>
      <c r="K1063" s="2" t="inlineStr">
        <is>
          <t>Russell’s Bible Examiner article points to 1914 as end of Gentile Times</t>
        </is>
      </c>
      <c r="L1063" s="2" t="inlineStr">
        <is>
          <t>பைபிள் எக்ஸாமினர் பத்திரிகையில் ரஸல் எழுதிய கட்டுரை வெளியாகிறது; 1914-ல் மற்ற தேசத்தாரின் காலங்கள் முடிவடையும் என்று அதில் குறிப்பிடுகிறார்</t>
        </is>
      </c>
      <c r="M1063" s="7" t="inlineStr">
        <is>
          <t>An article by C. T. Russell, “Gentile Times: When Do They End?”, published in the October issue of the Bible Examiner of Brooklyn, New York, points to 1914 as the end of the Gentile Times.</t>
        </is>
      </c>
      <c r="N1063" s="7" t="inlineStr">
        <is>
          <t>பைபிள் எக்ஸாமினர் பத்திரிகையில் ரஸல் எழுதிய கட்டுரை வெளியாகிறது; 1914-ல் மற்ற தேசத்தாரின் காலங்கள் முடிவடையும் என்று அதில் குறிப்பிடுகிறார்</t>
        </is>
      </c>
      <c r="O1063" s="13" t="inlineStr">
        <is>
          <t>Jehovah's Witnesses</t>
        </is>
      </c>
      <c r="P1063" s="7" t="inlineStr">
        <is>
          <t>jw.publication</t>
        </is>
      </c>
      <c r="Q1063" s="7" t="inlineStr">
        <is>
          <t>article</t>
        </is>
      </c>
      <c r="R1063" s="7" t="inlineStr">
        <is>
          <t>Charles Taze Russell; George Storrs</t>
        </is>
      </c>
      <c r="S1063" s="7" t="inlineStr">
        <is>
          <t>Brooklyn, New York</t>
        </is>
      </c>
      <c r="T1063" s="7" t="inlineStr">
        <is>
          <t>Luke 21:24; Dan. 4:25</t>
        </is>
      </c>
      <c r="U1063" s="7" t="n"/>
      <c r="V1063" s="7" t="n">
        <v>4</v>
      </c>
      <c r="W1063" s="7" t="inlineStr">
        <is>
          <t>Noteworthy Events in the Modern-day History of Jehovah’s Witnesses</t>
        </is>
      </c>
      <c r="X1063" s="9" t="inlineStr">
        <is>
          <t>open</t>
        </is>
      </c>
      <c r="Y1063" s="7" t="n"/>
      <c r="Z1063" s="7" t="inlineStr">
        <is>
          <t>https://wol.jw.org/en/wol/d/r1/lp-e/1101993046
https://wol.jw.org/en/wol/d/r1/lp-e/1102014241
https://wol.jw.org/en/wol/d/r1/lp-e/1101993012
https://wol.jw.org/en/wol/d/r1/lp-e/1102000101</t>
        </is>
      </c>
      <c r="AA1063" s="7" t="n">
        <v>0</v>
      </c>
      <c r="AB1063" s="7" t="n"/>
      <c r="AC1063" s="7" t="n">
        <v>0</v>
      </c>
      <c r="AD1063" s="7" t="n"/>
      <c r="AE1063" s="7" t="n"/>
      <c r="AF1063" s="7" t="n"/>
      <c r="AG1063" s="7" t="n"/>
      <c r="AH1063" s="7" t="n"/>
      <c r="AI1063" s="7" t="n"/>
      <c r="AJ1063" s="7" t="n"/>
      <c r="AK1063" s="7" t="inlineStr">
        <is>
          <t>wheat-and-weeds #13 (context)</t>
        </is>
      </c>
      <c r="AL1063" s="7" t="n"/>
      <c r="AM1063" s="7" t="n">
        <v>1876.75</v>
      </c>
      <c r="AN1063" s="10" t="n"/>
      <c r="AO1063" s="10" t="n"/>
      <c r="AP1063" s="10" t="n"/>
      <c r="AQ1063" s="10" t="n"/>
    </row>
    <row r="1064">
      <c r="A1064" s="7" t="inlineStr">
        <is>
          <t>b8-0010</t>
        </is>
      </c>
      <c r="B1064" s="7" t="inlineStr">
        <is>
          <t>Point</t>
        </is>
      </c>
      <c r="C1064" s="7" t="n"/>
      <c r="D1064" s="7" t="inlineStr">
        <is>
          <t>1877</t>
        </is>
      </c>
      <c r="E1064" s="7" t="n"/>
      <c r="F1064" s="7" t="inlineStr">
        <is>
          <t>1877 CE</t>
        </is>
      </c>
      <c r="G1064" s="7" t="inlineStr">
        <is>
          <t>Exact</t>
        </is>
      </c>
      <c r="H1064" s="7" t="n"/>
      <c r="I1064" s="7" t="n"/>
      <c r="J1064" s="7" t="n"/>
      <c r="K1064" s="2" t="inlineStr">
        <is>
          <t>The book Three Worlds is published</t>
        </is>
      </c>
      <c r="L1064" s="2" t="n"/>
      <c r="M1064" s="7" t="inlineStr">
        <is>
          <t>Three Worlds, and the Harvest of This World is published through the joint efforts of N. H. Barbour and C. T. Russell.</t>
        </is>
      </c>
      <c r="N1064" s="7" t="n"/>
      <c r="O1064" s="13" t="inlineStr">
        <is>
          <t>Jehovah's Witnesses</t>
        </is>
      </c>
      <c r="P1064" s="7" t="inlineStr">
        <is>
          <t>jw.publication</t>
        </is>
      </c>
      <c r="Q1064" s="7" t="inlineStr">
        <is>
          <t>release</t>
        </is>
      </c>
      <c r="R1064" s="7" t="inlineStr">
        <is>
          <t>Charles Taze Russell; N. H. Barbour</t>
        </is>
      </c>
      <c r="S1064" s="7" t="n"/>
      <c r="T1064" s="7" t="n"/>
      <c r="U1064" s="7" t="n"/>
      <c r="V1064" s="7" t="n">
        <v>2</v>
      </c>
      <c r="W1064" s="7" t="inlineStr">
        <is>
          <t>Noteworthy Events in the Modern-day History of Jehovah’s Witnesses</t>
        </is>
      </c>
      <c r="X1064" s="9" t="inlineStr">
        <is>
          <t>open</t>
        </is>
      </c>
      <c r="Y1064" s="7" t="n"/>
      <c r="Z1064" s="7" t="inlineStr">
        <is>
          <t>https://wol.jw.org/en/wol/d/r1/lp-e/1101993046
https://wol.jw.org/en/wol/d/r1/lp-e/1101993012</t>
        </is>
      </c>
      <c r="AA1064" s="7" t="n">
        <v>0</v>
      </c>
      <c r="AB1064" s="7" t="n"/>
      <c r="AC1064" s="7" t="n">
        <v>0</v>
      </c>
      <c r="AD1064" s="7" t="n"/>
      <c r="AE1064" s="7" t="n"/>
      <c r="AF1064" s="7" t="n"/>
      <c r="AG1064" s="7" t="n"/>
      <c r="AH1064" s="7" t="n"/>
      <c r="AI1064" s="7" t="n"/>
      <c r="AJ1064" s="7" t="n"/>
      <c r="AK1064" s="7" t="n"/>
      <c r="AL1064" s="7" t="n"/>
      <c r="AM1064" s="7" t="n">
        <v>1877</v>
      </c>
      <c r="AN1064" s="10" t="n"/>
      <c r="AO1064" s="10" t="n"/>
      <c r="AP1064" s="10" t="n"/>
      <c r="AQ1064" s="10" t="n"/>
    </row>
    <row r="1065">
      <c r="A1065" s="7" t="inlineStr">
        <is>
          <t>b8-0011</t>
        </is>
      </c>
      <c r="B1065" s="7" t="inlineStr">
        <is>
          <t>Point</t>
        </is>
      </c>
      <c r="C1065" s="7" t="n"/>
      <c r="D1065" s="7" t="inlineStr">
        <is>
          <t>1877</t>
        </is>
      </c>
      <c r="E1065" s="7" t="inlineStr">
        <is>
          <t>1877</t>
        </is>
      </c>
      <c r="F1065" s="7" t="inlineStr">
        <is>
          <t>1877 CE</t>
        </is>
      </c>
      <c r="G1065" s="7" t="inlineStr">
        <is>
          <t>Exact</t>
        </is>
      </c>
      <c r="H1065" s="7" t="n"/>
      <c r="I1065" s="7" t="n"/>
      <c r="J1065" s="7" t="n"/>
      <c r="K1065" s="2" t="inlineStr">
        <is>
          <t>Booklet The Object and Manner of Our Lord’s Return published</t>
        </is>
      </c>
      <c r="L1065" s="2" t="inlineStr">
        <is>
          <t>கிறிஸ்துவின் பிரசன்னத்தைப் பற்றிய உண்மைகளை விளக்க, நம் எஜமானுடைய வருகையின் நோக்கமும் விதமும் என்ற சிறு புத்தகம் வெளியிடப்படுகிறது</t>
        </is>
      </c>
      <c r="M1065" s="7" t="inlineStr">
        <is>
          <t>Russell publishes the booklet The Object and Manner of Our Lord’s Return at the office of Herald of the Morning in Rochester, New York, to clarify truths about Christ’s presence.</t>
        </is>
      </c>
      <c r="N1065" s="7" t="inlineStr">
        <is>
          <t>கிறிஸ்துவின் பிரசன்னத்தைப் பற்றிய உண்மைகளை விளக்க, நம் எஜமானுடைய வருகையின் நோக்கமும் விதமும் என்ற சிறு புத்தகம் வெளியிடப்படுகிறது</t>
        </is>
      </c>
      <c r="O1065" s="13" t="inlineStr">
        <is>
          <t>Jehovah's Witnesses</t>
        </is>
      </c>
      <c r="P1065" s="7" t="inlineStr">
        <is>
          <t>jw.publication</t>
        </is>
      </c>
      <c r="Q1065" s="7" t="inlineStr">
        <is>
          <t>release</t>
        </is>
      </c>
      <c r="R1065" s="7" t="inlineStr">
        <is>
          <t>Charles Taze Russell</t>
        </is>
      </c>
      <c r="S1065" s="7" t="inlineStr">
        <is>
          <t>Rochester, New York</t>
        </is>
      </c>
      <c r="T1065" s="7" t="n"/>
      <c r="U1065" s="7" t="n"/>
      <c r="V1065" s="7" t="n">
        <v>3</v>
      </c>
      <c r="W1065" s="7" t="inlineStr">
        <is>
          <t>Noteworthy Events in the Modern-day History of Jehovah’s Witnesses</t>
        </is>
      </c>
      <c r="X1065" s="9" t="inlineStr">
        <is>
          <t>open</t>
        </is>
      </c>
      <c r="Y1065" s="7" t="n"/>
      <c r="Z1065" s="7" t="inlineStr">
        <is>
          <t>https://wol.jw.org/en/wol/d/r1/lp-e/1101993046
https://wol.jw.org/en/wol/d/r1/lp-e/1102014241
https://wol.jw.org/en/wol/d/r1/lp-e/1101993036</t>
        </is>
      </c>
      <c r="AA1065" s="7" t="n">
        <v>0</v>
      </c>
      <c r="AB1065" s="7" t="n"/>
      <c r="AC1065" s="7" t="n">
        <v>0</v>
      </c>
      <c r="AD1065" s="7" t="n"/>
      <c r="AE1065" s="7" t="n"/>
      <c r="AF1065" s="7" t="n"/>
      <c r="AG1065" s="7" t="n"/>
      <c r="AH1065" s="7" t="n"/>
      <c r="AI1065" s="7" t="n"/>
      <c r="AJ1065" s="7" t="n"/>
      <c r="AK1065" s="7" t="n"/>
      <c r="AL1065" s="7" t="n"/>
      <c r="AM1065" s="7" t="n">
        <v>1877</v>
      </c>
      <c r="AN1065" s="10" t="n"/>
      <c r="AO1065" s="10" t="n"/>
      <c r="AP1065" s="10" t="n"/>
      <c r="AQ1065" s="10" t="n"/>
    </row>
    <row r="1066">
      <c r="A1066" s="7" t="inlineStr">
        <is>
          <t>b8-0012</t>
        </is>
      </c>
      <c r="B1066" s="7" t="inlineStr">
        <is>
          <t>Point</t>
        </is>
      </c>
      <c r="C1066" s="7" t="n"/>
      <c r="D1066" s="7" t="inlineStr">
        <is>
          <t>August 1878</t>
        </is>
      </c>
      <c r="E1066" s="7" t="n"/>
      <c r="F1066" s="7" t="inlineStr">
        <is>
          <t>1878 CE</t>
        </is>
      </c>
      <c r="G1066" s="7" t="inlineStr">
        <is>
          <t>Exact</t>
        </is>
      </c>
      <c r="H1066" s="7" t="n"/>
      <c r="I1066" s="7" t="n"/>
      <c r="J1066" s="7" t="n"/>
      <c r="K1066" s="2" t="inlineStr">
        <is>
          <t>Barbour’s article denies the substitutionary value of Christ’s death</t>
        </is>
      </c>
      <c r="L1066" s="2" t="n"/>
      <c r="M1066" s="7" t="inlineStr">
        <is>
          <t>In the August 1878 Herald of the Morning, N. H. Barbour publishes an article denying the substitutionary value of Christ’s death.</t>
        </is>
      </c>
      <c r="N1066" s="7" t="n"/>
      <c r="O1066" s="13" t="inlineStr">
        <is>
          <t>Jehovah's Witnesses</t>
        </is>
      </c>
      <c r="P1066" s="7" t="inlineStr">
        <is>
          <t>jw.doctrine</t>
        </is>
      </c>
      <c r="Q1066" s="7" t="inlineStr">
        <is>
          <t>article</t>
        </is>
      </c>
      <c r="R1066" s="7" t="inlineStr">
        <is>
          <t>N. H. Barbour</t>
        </is>
      </c>
      <c r="S1066" s="7" t="n"/>
      <c r="T1066" s="7" t="n"/>
      <c r="U1066" s="7" t="n"/>
      <c r="V1066" s="7" t="n">
        <v>2</v>
      </c>
      <c r="W1066" s="7" t="inlineStr">
        <is>
          <t>Proclaiming the Lord’s Return (1870-1914)</t>
        </is>
      </c>
      <c r="X1066" s="9" t="inlineStr">
        <is>
          <t>open</t>
        </is>
      </c>
      <c r="Y1066" s="7" t="n"/>
      <c r="Z1066" s="7" t="inlineStr">
        <is>
          <t>https://wol.jw.org/en/wol/d/r1/lp-e/1101993006
https://wol.jw.org/en/wol/d/r1/lp-e/1101993012</t>
        </is>
      </c>
      <c r="AA1066" s="7" t="n">
        <v>0</v>
      </c>
      <c r="AB1066" s="7" t="n"/>
      <c r="AC1066" s="7" t="n">
        <v>0</v>
      </c>
      <c r="AD1066" s="7" t="n"/>
      <c r="AE1066" s="7" t="n"/>
      <c r="AF1066" s="7" t="n"/>
      <c r="AG1066" s="7" t="n"/>
      <c r="AH1066" s="7" t="n"/>
      <c r="AI1066" s="7" t="n"/>
      <c r="AJ1066" s="7" t="n"/>
      <c r="AK1066" s="7" t="n"/>
      <c r="AL1066" s="7" t="n"/>
      <c r="AM1066" s="7" t="n">
        <v>1878.5833</v>
      </c>
      <c r="AN1066" s="10" t="n"/>
      <c r="AO1066" s="10" t="n"/>
      <c r="AP1066" s="10" t="n"/>
      <c r="AQ1066" s="10" t="n"/>
    </row>
    <row r="1067">
      <c r="A1067" s="7" t="inlineStr">
        <is>
          <t>b8-0013</t>
        </is>
      </c>
      <c r="B1067" s="7" t="inlineStr">
        <is>
          <t>Point</t>
        </is>
      </c>
      <c r="C1067" s="7" t="n"/>
      <c r="D1067" s="7" t="inlineStr">
        <is>
          <t>September 1878</t>
        </is>
      </c>
      <c r="E1067" s="7" t="n"/>
      <c r="F1067" s="7" t="inlineStr">
        <is>
          <t>1878 CE</t>
        </is>
      </c>
      <c r="G1067" s="7" t="inlineStr">
        <is>
          <t>Exact</t>
        </is>
      </c>
      <c r="H1067" s="7" t="n"/>
      <c r="I1067" s="7" t="n"/>
      <c r="J1067" s="7" t="n"/>
      <c r="K1067" s="2" t="inlineStr">
        <is>
          <t>Russell defends the ransom in “The Atonement”</t>
        </is>
      </c>
      <c r="L1067" s="2" t="n"/>
      <c r="M1067" s="7" t="inlineStr">
        <is>
          <t>In the very next issue of Herald of the Morning, Russell publishes the article “The Atonement,” vigorously defending the Bible’s teaching of the ransom.</t>
        </is>
      </c>
      <c r="N1067" s="7" t="n"/>
      <c r="O1067" s="13" t="inlineStr">
        <is>
          <t>Jehovah's Witnesses</t>
        </is>
      </c>
      <c r="P1067" s="7" t="inlineStr">
        <is>
          <t>jw.doctrine</t>
        </is>
      </c>
      <c r="Q1067" s="7" t="inlineStr">
        <is>
          <t>article</t>
        </is>
      </c>
      <c r="R1067" s="7" t="inlineStr">
        <is>
          <t>Charles Taze Russell</t>
        </is>
      </c>
      <c r="S1067" s="7" t="n"/>
      <c r="T1067" s="7" t="n"/>
      <c r="U1067" s="7" t="n"/>
      <c r="V1067" s="7" t="n">
        <v>2</v>
      </c>
      <c r="W1067" s="7" t="inlineStr">
        <is>
          <t>Proclaiming the Lord’s Return (1870-1914)</t>
        </is>
      </c>
      <c r="X1067" s="9" t="inlineStr">
        <is>
          <t>open</t>
        </is>
      </c>
      <c r="Y1067" s="7" t="n"/>
      <c r="Z1067" s="7" t="inlineStr">
        <is>
          <t>https://wol.jw.org/en/wol/d/r1/lp-e/1101993006
https://wol.jw.org/en/wol/d/r1/lp-e/1101993012</t>
        </is>
      </c>
      <c r="AA1067" s="7" t="n">
        <v>0</v>
      </c>
      <c r="AB1067" s="7" t="n"/>
      <c r="AC1067" s="7" t="n">
        <v>0</v>
      </c>
      <c r="AD1067" s="7" t="n"/>
      <c r="AE1067" s="7" t="n"/>
      <c r="AF1067" s="7" t="n"/>
      <c r="AG1067" s="7" t="n"/>
      <c r="AH1067" s="7" t="n"/>
      <c r="AI1067" s="7" t="n"/>
      <c r="AJ1067" s="7" t="n"/>
      <c r="AK1067" s="7" t="n"/>
      <c r="AL1067" s="7" t="n"/>
      <c r="AM1067" s="7" t="n">
        <v>1878.6667</v>
      </c>
      <c r="AN1067" s="10" t="n"/>
      <c r="AO1067" s="10" t="n"/>
      <c r="AP1067" s="10" t="n"/>
      <c r="AQ1067" s="10" t="n"/>
    </row>
    <row r="1068">
      <c r="A1068" s="7" t="inlineStr">
        <is>
          <t>b8-0014</t>
        </is>
      </c>
      <c r="B1068" s="7" t="inlineStr">
        <is>
          <t>Point</t>
        </is>
      </c>
      <c r="C1068" s="7" t="n"/>
      <c r="D1068" s="7" t="inlineStr">
        <is>
          <t>1879</t>
        </is>
      </c>
      <c r="E1068" s="7" t="n"/>
      <c r="F1068" s="7" t="inlineStr">
        <is>
          <t>1879 CE</t>
        </is>
      </c>
      <c r="G1068" s="7" t="inlineStr">
        <is>
          <t>Exact</t>
        </is>
      </c>
      <c r="H1068" s="7" t="n"/>
      <c r="I1068" s="7" t="n"/>
      <c r="J1068" s="7" t="n"/>
      <c r="K1068" s="2" t="inlineStr">
        <is>
          <t>Songbook Songs of the Bride published</t>
        </is>
      </c>
      <c r="L1068" s="2" t="n"/>
      <c r="M1068" s="7" t="inlineStr">
        <is>
          <t>The songbook Songs of the Bride is published; it, together with Zion’s Watch Tower of August 1879, mentions the name Jehovah.</t>
        </is>
      </c>
      <c r="N1068" s="7" t="n"/>
      <c r="O1068" s="13" t="inlineStr">
        <is>
          <t>Jehovah's Witnesses</t>
        </is>
      </c>
      <c r="P1068" s="7" t="inlineStr">
        <is>
          <t>jw.publication</t>
        </is>
      </c>
      <c r="Q1068" s="7" t="inlineStr">
        <is>
          <t>release</t>
        </is>
      </c>
      <c r="R1068" s="7" t="n"/>
      <c r="S1068" s="7" t="n"/>
      <c r="T1068" s="7" t="n"/>
      <c r="U1068" s="7" t="n"/>
      <c r="V1068" s="7" t="n">
        <v>3</v>
      </c>
      <c r="W1068" s="7" t="inlineStr">
        <is>
          <t>Meeting Together for Worship</t>
        </is>
      </c>
      <c r="X1068" s="9" t="inlineStr">
        <is>
          <t>open</t>
        </is>
      </c>
      <c r="Y1068" s="9" t="inlineStr">
        <is>
          <t>open</t>
        </is>
      </c>
      <c r="Z1068" s="7" t="inlineStr">
        <is>
          <t>https://wol.jw.org/en/wol/d/r1/lp-e/1102014255
https://wol.jw.org/en/wol/d/r1/lp-e/1101993019
https://wol.jw.org/en/wol/d/r1/lp-e/1102014243</t>
        </is>
      </c>
      <c r="AA1068" s="7" t="n">
        <v>1</v>
      </c>
      <c r="AB1068" s="9" t="inlineStr">
        <is>
          <t>open</t>
        </is>
      </c>
      <c r="AC1068" s="7" t="n">
        <v>0</v>
      </c>
      <c r="AD1068" s="7" t="n"/>
      <c r="AE1068" s="7" t="n"/>
      <c r="AF1068" s="7" t="n"/>
      <c r="AG1068" s="7" t="n"/>
      <c r="AH1068" s="7" t="n"/>
      <c r="AI1068" s="7" t="n"/>
      <c r="AJ1068" s="7" t="n"/>
      <c r="AK1068" s="7" t="n"/>
      <c r="AL1068" s="7" t="n"/>
      <c r="AM1068" s="7" t="n">
        <v>1879</v>
      </c>
      <c r="AN1068" s="10" t="n"/>
      <c r="AO1068" s="10" t="n"/>
      <c r="AP1068" s="10" t="n"/>
      <c r="AQ1068" s="10" t="n"/>
    </row>
    <row r="1069">
      <c r="A1069" s="7" t="inlineStr">
        <is>
          <t>b8-0015</t>
        </is>
      </c>
      <c r="B1069" s="7" t="inlineStr">
        <is>
          <t>Point</t>
        </is>
      </c>
      <c r="C1069" s="7" t="n"/>
      <c r="D1069" s="7" t="inlineStr">
        <is>
          <t>1879</t>
        </is>
      </c>
      <c r="E1069" s="7" t="n"/>
      <c r="F1069" s="7" t="inlineStr">
        <is>
          <t>1879 CE</t>
        </is>
      </c>
      <c r="G1069" s="7" t="inlineStr">
        <is>
          <t>Exact</t>
        </is>
      </c>
      <c r="H1069" s="7" t="n"/>
      <c r="I1069" s="7" t="n"/>
      <c r="J1069" s="7" t="n"/>
      <c r="K1069" s="2" t="inlineStr">
        <is>
          <t>C. T. Russell marries Maria Frances Ackley</t>
        </is>
      </c>
      <c r="L1069" s="2" t="n"/>
      <c r="M1069" s="7" t="inlineStr">
        <is>
          <t>Charles Taze Russell marries Maria Frances Ackley.</t>
        </is>
      </c>
      <c r="N1069" s="7" t="n"/>
      <c r="O1069" s="13" t="inlineStr">
        <is>
          <t>Jehovah's Witnesses</t>
        </is>
      </c>
      <c r="P1069" s="7" t="inlineStr">
        <is>
          <t>jw.leadership</t>
        </is>
      </c>
      <c r="Q1069" s="7" t="inlineStr">
        <is>
          <t>marriage</t>
        </is>
      </c>
      <c r="R1069" s="7" t="inlineStr">
        <is>
          <t>Charles Taze Russell; Maria Frances Ackley</t>
        </is>
      </c>
      <c r="S1069" s="7" t="n"/>
      <c r="T1069" s="7" t="n"/>
      <c r="U1069" s="7" t="n"/>
      <c r="V1069" s="7" t="n">
        <v>1</v>
      </c>
      <c r="W1069" s="7" t="inlineStr">
        <is>
          <t>“Objects of Hatred by All the Nations”</t>
        </is>
      </c>
      <c r="X1069" s="9" t="inlineStr">
        <is>
          <t>open</t>
        </is>
      </c>
      <c r="Y1069" s="7" t="n"/>
      <c r="Z1069" s="7" t="inlineStr">
        <is>
          <t>https://wol.jw.org/en/wol/d/r1/lp-e/1101993040</t>
        </is>
      </c>
      <c r="AA1069" s="7" t="n">
        <v>0</v>
      </c>
      <c r="AB1069" s="7" t="n"/>
      <c r="AC1069" s="7" t="n">
        <v>0</v>
      </c>
      <c r="AD1069" s="7" t="n"/>
      <c r="AE1069" s="7" t="n"/>
      <c r="AF1069" s="7" t="n"/>
      <c r="AG1069" s="7" t="n"/>
      <c r="AH1069" s="7" t="n"/>
      <c r="AI1069" s="7" t="n"/>
      <c r="AJ1069" s="7" t="n"/>
      <c r="AK1069" s="7" t="n"/>
      <c r="AL1069" s="7" t="n"/>
      <c r="AM1069" s="7" t="n">
        <v>1879</v>
      </c>
      <c r="AN1069" s="10" t="n"/>
      <c r="AO1069" s="10" t="n"/>
      <c r="AP1069" s="10" t="n"/>
      <c r="AQ1069" s="10" t="n"/>
    </row>
    <row r="1070">
      <c r="A1070" s="7" t="inlineStr">
        <is>
          <t>b8-0016</t>
        </is>
      </c>
      <c r="B1070" s="7" t="inlineStr">
        <is>
          <t>Point</t>
        </is>
      </c>
      <c r="C1070" s="7" t="n"/>
      <c r="D1070" s="7" t="inlineStr">
        <is>
          <t>1879</t>
        </is>
      </c>
      <c r="E1070" s="7" t="inlineStr">
        <is>
          <t>1879</t>
        </is>
      </c>
      <c r="F1070" s="7" t="inlineStr">
        <is>
          <t>1879 CE</t>
        </is>
      </c>
      <c r="G1070" s="7" t="inlineStr">
        <is>
          <t>Exact</t>
        </is>
      </c>
      <c r="H1070" s="7" t="n"/>
      <c r="I1070" s="7" t="n"/>
      <c r="J1070" s="7" t="n"/>
      <c r="K1070" s="2" t="inlineStr">
        <is>
          <t>Babylon the Great associated with Christendom’s churches</t>
        </is>
      </c>
      <c r="L1070" s="2" t="inlineStr">
        <is>
          <t>மகா பாபிலோனுக்கும் கிறிஸ்தவமண்டல சர்ச்சுகளுக்கும் சம்பந்தம் இருப்பது புரியவருகிறது</t>
        </is>
      </c>
      <c r="M1070" s="7" t="inlineStr">
        <is>
          <t>The Watch Tower identifies Babylon the Great with the nominal churches of Christendom (in November 1879 with the “Papacy as a system”), referring to the “Babylon church.”</t>
        </is>
      </c>
      <c r="N1070" s="7" t="inlineStr">
        <is>
          <t>மகா பாபிலோனுக்கும் கிறிஸ்தவமண்டல சர்ச்சுகளுக்கும் சம்பந்தம் இருப்பது புரியவருகிறது</t>
        </is>
      </c>
      <c r="O1070" s="13" t="inlineStr">
        <is>
          <t>Jehovah's Witnesses</t>
        </is>
      </c>
      <c r="P1070" s="7" t="inlineStr">
        <is>
          <t>jw.doctrine</t>
        </is>
      </c>
      <c r="Q1070" s="7" t="inlineStr">
        <is>
          <t>teaching</t>
        </is>
      </c>
      <c r="R1070" s="7" t="n"/>
      <c r="S1070" s="7" t="n"/>
      <c r="T1070" s="7" t="inlineStr">
        <is>
          <t>Rev. 18:2, 4</t>
        </is>
      </c>
      <c r="U1070" s="7" t="n"/>
      <c r="V1070" s="7" t="n">
        <v>2</v>
      </c>
      <c r="W1070" s="7" t="inlineStr">
        <is>
          <t>The Kingdom Is Born in Heaven</t>
        </is>
      </c>
      <c r="X1070" s="9" t="inlineStr">
        <is>
          <t>open</t>
        </is>
      </c>
      <c r="Y1070" s="9" t="inlineStr">
        <is>
          <t>open</t>
        </is>
      </c>
      <c r="Z1070" s="7" t="inlineStr">
        <is>
          <t>https://wol.jw.org/en/wol/d/r1/lp-e/1102014241
https://wol.jw.org/en/wol/d/r1/lp-e/1101993006</t>
        </is>
      </c>
      <c r="AA1070" s="7" t="n">
        <v>0</v>
      </c>
      <c r="AB1070" s="7" t="n"/>
      <c r="AC1070" s="7" t="n">
        <v>0</v>
      </c>
      <c r="AD1070" s="7" t="n"/>
      <c r="AE1070" s="7" t="n"/>
      <c r="AF1070" s="7" t="n"/>
      <c r="AG1070" s="7" t="n"/>
      <c r="AH1070" s="7" t="n"/>
      <c r="AI1070" s="7" t="n"/>
      <c r="AJ1070" s="7" t="n"/>
      <c r="AK1070" s="7" t="n"/>
      <c r="AL1070" s="7" t="n"/>
      <c r="AM1070" s="7" t="n">
        <v>1879</v>
      </c>
      <c r="AN1070" s="10" t="n"/>
      <c r="AO1070" s="10" t="n"/>
      <c r="AP1070" s="10" t="n"/>
      <c r="AQ1070" s="10" t="n"/>
    </row>
    <row r="1071">
      <c r="A1071" s="7" t="inlineStr">
        <is>
          <t>b8-0017</t>
        </is>
      </c>
      <c r="B1071" s="7" t="inlineStr">
        <is>
          <t>Point</t>
        </is>
      </c>
      <c r="C1071" s="7" t="n"/>
      <c r="D1071" s="7" t="inlineStr">
        <is>
          <t>May 1879</t>
        </is>
      </c>
      <c r="E1071" s="7" t="n"/>
      <c r="F1071" s="7" t="inlineStr">
        <is>
          <t>1879 CE</t>
        </is>
      </c>
      <c r="G1071" s="7" t="inlineStr">
        <is>
          <t>Exact</t>
        </is>
      </c>
      <c r="H1071" s="7" t="n"/>
      <c r="I1071" s="7" t="n"/>
      <c r="J1071" s="7" t="n"/>
      <c r="K1071" s="2" t="inlineStr">
        <is>
          <t>Russell withdraws all support from Herald of the Morning</t>
        </is>
      </c>
      <c r="L1071" s="2" t="n"/>
      <c r="M1071" s="7" t="inlineStr">
        <is>
          <t>Because of Barbour’s attitude toward the ransom, Russell withdraws his support from Herald of the Morning (letters of May 3 and 22, 1879); from the June 1879 issue his name no longer appears as assistant editor.</t>
        </is>
      </c>
      <c r="N1071" s="7" t="n"/>
      <c r="O1071" s="13" t="inlineStr">
        <is>
          <t>Jehovah's Witnesses</t>
        </is>
      </c>
      <c r="P1071" s="7" t="inlineStr">
        <is>
          <t>jw.leadership</t>
        </is>
      </c>
      <c r="Q1071" s="7" t="inlineStr">
        <is>
          <t>separation</t>
        </is>
      </c>
      <c r="R1071" s="7" t="inlineStr">
        <is>
          <t>Charles Taze Russell; N. H. Barbour</t>
        </is>
      </c>
      <c r="S1071" s="7" t="n"/>
      <c r="T1071" s="7" t="n"/>
      <c r="U1071" s="7" t="n"/>
      <c r="V1071" s="7" t="n">
        <v>3</v>
      </c>
      <c r="W1071" s="7" t="inlineStr">
        <is>
          <t>Noteworthy Events in the Modern-day History of Jehovah’s Witnesses</t>
        </is>
      </c>
      <c r="X1071" s="9" t="inlineStr">
        <is>
          <t>open</t>
        </is>
      </c>
      <c r="Y1071" s="7" t="n"/>
      <c r="Z1071" s="7" t="inlineStr">
        <is>
          <t>https://wol.jw.org/en/wol/d/r1/lp-e/1101993046
https://wol.jw.org/en/wol/d/r1/lp-e/1101993006
https://wol.jw.org/en/wol/d/r1/lp-e/1101993012</t>
        </is>
      </c>
      <c r="AA1071" s="7" t="n">
        <v>0</v>
      </c>
      <c r="AB1071" s="7" t="n"/>
      <c r="AC1071" s="7" t="n">
        <v>0</v>
      </c>
      <c r="AD1071" s="7" t="n"/>
      <c r="AE1071" s="7" t="n"/>
      <c r="AF1071" s="7" t="n"/>
      <c r="AG1071" s="7" t="n"/>
      <c r="AH1071" s="7" t="n"/>
      <c r="AI1071" s="7" t="n"/>
      <c r="AJ1071" s="7" t="n"/>
      <c r="AK1071" s="7" t="n"/>
      <c r="AL1071" s="7" t="n"/>
      <c r="AM1071" s="7" t="n">
        <v>1879.3333</v>
      </c>
      <c r="AN1071" s="10" t="n"/>
      <c r="AO1071" s="10" t="n"/>
      <c r="AP1071" s="10" t="n"/>
      <c r="AQ1071" s="10" t="n"/>
    </row>
    <row r="1072">
      <c r="A1072" s="7" t="inlineStr">
        <is>
          <t>b8-0018</t>
        </is>
      </c>
      <c r="B1072" s="7" t="inlineStr">
        <is>
          <t>Point</t>
        </is>
      </c>
      <c r="C1072" s="7" t="n"/>
      <c r="D1072" s="7" t="inlineStr">
        <is>
          <t>July 1879</t>
        </is>
      </c>
      <c r="E1072" s="7" t="inlineStr">
        <is>
          <t>ஜூலை 1879</t>
        </is>
      </c>
      <c r="F1072" s="7" t="inlineStr">
        <is>
          <t>1879 CE</t>
        </is>
      </c>
      <c r="G1072" s="7" t="inlineStr">
        <is>
          <t>Exact</t>
        </is>
      </c>
      <c r="H1072" s="7" t="n"/>
      <c r="I1072" s="7" t="n"/>
      <c r="J1072" s="7" t="n"/>
      <c r="K1072" s="2" t="inlineStr">
        <is>
          <t>First issue of Zion’s Watch Tower and Herald of Christ’s Presence</t>
        </is>
      </c>
      <c r="L1072" s="2" t="inlineStr">
        <is>
          <t>சீயோனின் காவற்கோபுரமும் கிறிஸ்துவின் பிரசன்னத்துடைய அறிவிப்பும் என்ற பத்திரிகையின் முதல் இதழ் வெளியிடப்படுகிறது</t>
        </is>
      </c>
      <c r="M1072" s="7" t="inlineStr">
        <is>
          <t>Russell begins publishing Zion’s Watch Tower and Herald of Christ’s Presence, the journal now known as The Watchtower; the first issue is dated July 1879.</t>
        </is>
      </c>
      <c r="N1072" s="7" t="inlineStr">
        <is>
          <t>சீயோனின் காவற்கோபுரமும் கிறிஸ்துவின் பிரசன்னத்துடைய அறிவிப்பும் என்ற பத்திரிகையின் முதல் இதழ் வெளியிடப்படுகிறது</t>
        </is>
      </c>
      <c r="O1072" s="13" t="inlineStr">
        <is>
          <t>Jehovah's Witnesses</t>
        </is>
      </c>
      <c r="P1072" s="7" t="inlineStr">
        <is>
          <t>jw.publication</t>
        </is>
      </c>
      <c r="Q1072" s="7" t="inlineStr">
        <is>
          <t>release</t>
        </is>
      </c>
      <c r="R1072" s="7" t="inlineStr">
        <is>
          <t>Charles Taze Russell</t>
        </is>
      </c>
      <c r="S1072" s="7" t="inlineStr">
        <is>
          <t>Pittsburgh</t>
        </is>
      </c>
      <c r="T1072" s="7" t="n"/>
      <c r="U1072" s="7" t="n"/>
      <c r="V1072" s="7" t="n">
        <v>5</v>
      </c>
      <c r="W1072" s="7" t="inlineStr">
        <is>
          <t>Noteworthy Events in the Modern-day History of Jehovah’s Witnesses</t>
        </is>
      </c>
      <c r="X1072" s="9" t="inlineStr">
        <is>
          <t>open</t>
        </is>
      </c>
      <c r="Y1072" s="7" t="n"/>
      <c r="Z1072" s="7" t="inlineStr">
        <is>
          <t>https://wol.jw.org/en/wol/d/r1/lp-e/1101993046
https://wol.jw.org/en/wol/d/r1/lp-e/1102014241
https://wol.jw.org/en/wol/d/r1/lp-e/1101993006
https://wol.jw.org/en/wol/d/r1/lp-e/1102000101
https://www.jw.org/en/news/region/united-states/historic-milestones-united-states/</t>
        </is>
      </c>
      <c r="AA1072" s="7" t="n">
        <v>2</v>
      </c>
      <c r="AB1072" s="9" t="inlineStr">
        <is>
          <t>open</t>
        </is>
      </c>
      <c r="AC1072" s="7" t="n">
        <v>0</v>
      </c>
      <c r="AD1072" s="7" t="n"/>
      <c r="AE1072" s="7" t="n"/>
      <c r="AF1072" s="7" t="n"/>
      <c r="AG1072" s="7" t="n"/>
      <c r="AH1072" s="7" t="n"/>
      <c r="AI1072" s="7" t="inlineStr">
        <is>
          <t>Span endpoint – keep</t>
        </is>
      </c>
      <c r="AJ1072" s="7" t="inlineStr">
        <is>
          <t>start of The Watchtower magazine (Zion’s Watch Tower) in publication (b12-0062)</t>
        </is>
      </c>
      <c r="AK1072" s="7" t="n"/>
      <c r="AL1072" s="7" t="n"/>
      <c r="AM1072" s="7" t="n">
        <v>1879.5</v>
      </c>
      <c r="AN1072" s="10" t="n"/>
      <c r="AO1072" s="10" t="n"/>
      <c r="AP1072" s="10" t="n"/>
      <c r="AQ1072" s="10" t="n"/>
    </row>
    <row r="1073">
      <c r="A1073" s="7" t="inlineStr">
        <is>
          <t>b12-0062</t>
        </is>
      </c>
      <c r="B1073" s="11" t="inlineStr">
        <is>
          <t>Span</t>
        </is>
      </c>
      <c r="C1073" s="7" t="inlineStr">
        <is>
          <t>publication</t>
        </is>
      </c>
      <c r="D1073" s="7" t="inlineStr">
        <is>
          <t>July 1879–</t>
        </is>
      </c>
      <c r="E1073" s="7" t="n"/>
      <c r="F1073" s="7" t="inlineStr">
        <is>
          <t>1879 CE</t>
        </is>
      </c>
      <c r="G1073" s="7" t="inlineStr">
        <is>
          <t>Exact</t>
        </is>
      </c>
      <c r="H1073" s="7" t="n"/>
      <c r="I1073" s="7" t="inlineStr">
        <is>
          <t>Ongoing</t>
        </is>
      </c>
      <c r="J1073" s="7" t="n"/>
      <c r="K1073" s="2" t="inlineStr">
        <is>
          <t>The Watchtower magazine (Zion’s Watch Tower) in publication</t>
        </is>
      </c>
      <c r="L1073" s="2" t="n"/>
      <c r="M1073" s="7" t="inlineStr">
        <is>
          <t>Russell began publishing Zion’s Watch Tower and Herald of Christ’s Presence in July 1879; the magazine, now The Watchtower Announcing Jehovah’s Kingdom, is still published.</t>
        </is>
      </c>
      <c r="N1073" s="7" t="n"/>
      <c r="O1073" s="13" t="inlineStr">
        <is>
          <t>Jehovah's Witnesses</t>
        </is>
      </c>
      <c r="P1073" s="7" t="inlineStr">
        <is>
          <t>jw.publication</t>
        </is>
      </c>
      <c r="Q1073" s="7" t="n"/>
      <c r="R1073" s="7" t="inlineStr">
        <is>
          <t>Charles Taze Russell</t>
        </is>
      </c>
      <c r="S1073" s="7" t="n"/>
      <c r="T1073" s="7" t="n"/>
      <c r="U1073" s="7" t="n"/>
      <c r="V1073" s="7" t="n">
        <v>2</v>
      </c>
      <c r="W1073" s="7" t="inlineStr">
        <is>
          <t>Noteworthy Events in the Modern-day History of Jehovah’s Witnesses</t>
        </is>
      </c>
      <c r="X1073" s="9" t="inlineStr">
        <is>
          <t>open</t>
        </is>
      </c>
      <c r="Y1073" s="7" t="n"/>
      <c r="Z1073" s="7" t="inlineStr">
        <is>
          <t>https://wol.jw.org/en/wol/d/r1/lp-e/1101993046
https://wol.jw.org/en/wol/d/r1/lp-e/1102014241</t>
        </is>
      </c>
      <c r="AA1073" s="7" t="n">
        <v>0</v>
      </c>
      <c r="AB1073" s="7" t="n"/>
      <c r="AC1073" s="7" t="n">
        <v>0</v>
      </c>
      <c r="AD1073" s="7" t="n"/>
      <c r="AE1073" s="7" t="n"/>
      <c r="AF1073" s="7" t="inlineStr">
        <is>
          <t>b8-0018</t>
        </is>
      </c>
      <c r="AG1073" s="7" t="n"/>
      <c r="AH1073" s="7" t="n"/>
      <c r="AI1073" s="7" t="n"/>
      <c r="AJ1073" s="7" t="n"/>
      <c r="AK1073" s="7" t="n"/>
      <c r="AL1073" s="7" t="n"/>
      <c r="AM1073" s="7" t="n">
        <v>1879.5</v>
      </c>
      <c r="AN1073" s="10" t="n"/>
      <c r="AO1073" s="10" t="n"/>
      <c r="AP1073" s="10" t="n"/>
      <c r="AQ1073" s="10" t="n"/>
    </row>
    <row r="1074">
      <c r="A1074" s="7" t="inlineStr">
        <is>
          <t>b8-0019</t>
        </is>
      </c>
      <c r="B1074" s="7" t="inlineStr">
        <is>
          <t>Point</t>
        </is>
      </c>
      <c r="C1074" s="7" t="n"/>
      <c r="D1074" s="7" t="inlineStr">
        <is>
          <t>October 9, 1879</t>
        </is>
      </c>
      <c r="E1074" s="7" t="n"/>
      <c r="F1074" s="7" t="inlineStr">
        <is>
          <t>1879 CE</t>
        </is>
      </c>
      <c r="G1074" s="7" t="inlineStr">
        <is>
          <t>Exact</t>
        </is>
      </c>
      <c r="H1074" s="7" t="n"/>
      <c r="I1074" s="7" t="n"/>
      <c r="J1074" s="7" t="n"/>
      <c r="K1074" s="2" t="inlineStr">
        <is>
          <t>George Stetson dies</t>
        </is>
      </c>
      <c r="L1074" s="2" t="n"/>
      <c r="M1074" s="7" t="inlineStr">
        <is>
          <t>George Stetson, a Bible student whose exposure of the immortal-soul teaching influenced Russell, dies at age 64.</t>
        </is>
      </c>
      <c r="N1074" s="7" t="n"/>
      <c r="O1074" s="13" t="inlineStr">
        <is>
          <t>Jehovah's Witnesses</t>
        </is>
      </c>
      <c r="P1074" s="7" t="inlineStr">
        <is>
          <t>jw.leadership</t>
        </is>
      </c>
      <c r="Q1074" s="7" t="inlineStr">
        <is>
          <t>death</t>
        </is>
      </c>
      <c r="R1074" s="7" t="inlineStr">
        <is>
          <t>George Stetson</t>
        </is>
      </c>
      <c r="S1074" s="7" t="n"/>
      <c r="T1074" s="7" t="n"/>
      <c r="U1074" s="7" t="n"/>
      <c r="V1074" s="7" t="n">
        <v>2</v>
      </c>
      <c r="W1074" s="7" t="inlineStr">
        <is>
          <t>Proclaiming the Lord’s Return (1870-1914)</t>
        </is>
      </c>
      <c r="X1074" s="9" t="inlineStr">
        <is>
          <t>open</t>
        </is>
      </c>
      <c r="Y1074" s="7" t="n"/>
      <c r="Z1074" s="7" t="inlineStr">
        <is>
          <t>https://wol.jw.org/en/wol/d/r1/lp-e/1101993006
https://wol.jw.org/en/wol/d/r1/lp-e/1102014241</t>
        </is>
      </c>
      <c r="AA1074" s="7" t="n">
        <v>0</v>
      </c>
      <c r="AB1074" s="7" t="n"/>
      <c r="AC1074" s="7" t="n">
        <v>0</v>
      </c>
      <c r="AD1074" s="7" t="n"/>
      <c r="AE1074" s="7" t="n"/>
      <c r="AF1074" s="7" t="n"/>
      <c r="AG1074" s="7" t="n"/>
      <c r="AH1074" s="7" t="n"/>
      <c r="AI1074" s="7" t="n"/>
      <c r="AJ1074" s="7" t="n"/>
      <c r="AK1074" s="7" t="n"/>
      <c r="AL1074" s="7" t="n"/>
      <c r="AM1074" s="7" t="n">
        <v>1879.77</v>
      </c>
      <c r="AN1074" s="10" t="n"/>
      <c r="AO1074" s="10" t="n"/>
      <c r="AP1074" s="10" t="n"/>
      <c r="AQ1074" s="10" t="n"/>
    </row>
    <row r="1075">
      <c r="A1075" s="7" t="inlineStr">
        <is>
          <t>b8-0020</t>
        </is>
      </c>
      <c r="B1075" s="7" t="inlineStr">
        <is>
          <t>Point</t>
        </is>
      </c>
      <c r="C1075" s="7" t="n"/>
      <c r="D1075" s="7" t="inlineStr">
        <is>
          <t>December 28, 1879</t>
        </is>
      </c>
      <c r="E1075" s="7" t="n"/>
      <c r="F1075" s="7" t="inlineStr">
        <is>
          <t>1879 CE</t>
        </is>
      </c>
      <c r="G1075" s="7" t="inlineStr">
        <is>
          <t>Exact</t>
        </is>
      </c>
      <c r="H1075" s="7" t="n"/>
      <c r="I1075" s="7" t="n"/>
      <c r="J1075" s="7" t="n"/>
      <c r="K1075" s="2" t="inlineStr">
        <is>
          <t>George Storrs dies</t>
        </is>
      </c>
      <c r="L1075" s="2" t="n"/>
      <c r="M1075" s="7" t="inlineStr">
        <is>
          <t>George Storrs, who had published the Bible Examiner and exposed the doctrine of the immortality of the soul, dies at age 83.</t>
        </is>
      </c>
      <c r="N1075" s="7" t="n"/>
      <c r="O1075" s="13" t="inlineStr">
        <is>
          <t>Jehovah's Witnesses</t>
        </is>
      </c>
      <c r="P1075" s="7" t="inlineStr">
        <is>
          <t>jw.leadership</t>
        </is>
      </c>
      <c r="Q1075" s="7" t="inlineStr">
        <is>
          <t>death</t>
        </is>
      </c>
      <c r="R1075" s="7" t="inlineStr">
        <is>
          <t>George Storrs</t>
        </is>
      </c>
      <c r="S1075" s="7" t="n"/>
      <c r="T1075" s="7" t="n"/>
      <c r="U1075" s="7" t="n"/>
      <c r="V1075" s="7" t="n">
        <v>2</v>
      </c>
      <c r="W1075" s="7" t="inlineStr">
        <is>
          <t>Proclaiming the Lord’s Return (1870-1914)</t>
        </is>
      </c>
      <c r="X1075" s="9" t="inlineStr">
        <is>
          <t>open</t>
        </is>
      </c>
      <c r="Y1075" s="7" t="n"/>
      <c r="Z1075" s="7" t="inlineStr">
        <is>
          <t>https://wol.jw.org/en/wol/d/r1/lp-e/1101993006
https://wol.jw.org/en/wol/d/r1/lp-e/1102014241</t>
        </is>
      </c>
      <c r="AA1075" s="7" t="n">
        <v>0</v>
      </c>
      <c r="AB1075" s="7" t="n"/>
      <c r="AC1075" s="7" t="n">
        <v>0</v>
      </c>
      <c r="AD1075" s="7" t="n"/>
      <c r="AE1075" s="7" t="n"/>
      <c r="AF1075" s="7" t="n"/>
      <c r="AG1075" s="7" t="n"/>
      <c r="AH1075" s="7" t="n"/>
      <c r="AI1075" s="7" t="inlineStr">
        <is>
          <t>Covered by span – hide on chart</t>
        </is>
      </c>
      <c r="AJ1075" s="7" t="inlineStr">
        <is>
          <t>end of Life of George Storrs (d1-0028)</t>
        </is>
      </c>
      <c r="AK1075" s="7" t="n"/>
      <c r="AL1075" s="7" t="n"/>
      <c r="AM1075" s="7" t="n">
        <v>1879.9842</v>
      </c>
      <c r="AN1075" s="10" t="n"/>
      <c r="AO1075" s="10" t="n"/>
      <c r="AP1075" s="10" t="n"/>
      <c r="AQ1075" s="10" t="n"/>
    </row>
    <row r="1076">
      <c r="A1076" s="7" t="inlineStr">
        <is>
          <t>b8-0021</t>
        </is>
      </c>
      <c r="B1076" s="7" t="inlineStr">
        <is>
          <t>Point</t>
        </is>
      </c>
      <c r="C1076" s="7" t="n"/>
      <c r="D1076" s="7" t="inlineStr">
        <is>
          <t>1880</t>
        </is>
      </c>
      <c r="E1076" s="7" t="inlineStr">
        <is>
          <t>1880</t>
        </is>
      </c>
      <c r="F1076" s="7" t="inlineStr">
        <is>
          <t>1880 CE</t>
        </is>
      </c>
      <c r="G1076" s="7" t="inlineStr">
        <is>
          <t>Exact</t>
        </is>
      </c>
      <c r="H1076" s="7" t="n"/>
      <c r="I1076" s="7" t="n"/>
      <c r="J1076" s="7" t="n"/>
      <c r="K1076" s="2" t="inlineStr">
        <is>
          <t>Russell tours the northeastern United States</t>
        </is>
      </c>
      <c r="L1076" s="2" t="inlineStr">
        <is>
          <t>படிப்புத் தொகுதிகளைச் சந்தித்து உற்சாகப்படுத்த, அமெரிக்காவின் வடகிழக்குப் பகுதிகளுக்கு ரஸல் பயணம் செய்கிறார்</t>
        </is>
      </c>
      <c r="M1076" s="7" t="inlineStr">
        <is>
          <t>Russell makes a preaching tour of the northeastern United States to visit and strengthen study groups, reporting in July 1880 on the encouraging meetings.</t>
        </is>
      </c>
      <c r="N1076" s="7" t="inlineStr">
        <is>
          <t>படிப்புத் தொகுதிகளைச் சந்தித்து உற்சாகப்படுத்த, அமெரிக்காவின் வடகிழக்குப் பகுதிகளுக்கு ரஸல் பயணம் செய்கிறார்</t>
        </is>
      </c>
      <c r="O1076" s="13" t="inlineStr">
        <is>
          <t>Jehovah's Witnesses</t>
        </is>
      </c>
      <c r="P1076" s="7" t="inlineStr">
        <is>
          <t>jw.preaching</t>
        </is>
      </c>
      <c r="Q1076" s="7" t="inlineStr">
        <is>
          <t>journey</t>
        </is>
      </c>
      <c r="R1076" s="7" t="inlineStr">
        <is>
          <t>Charles Taze Russell</t>
        </is>
      </c>
      <c r="S1076" s="7" t="n"/>
      <c r="T1076" s="7" t="n"/>
      <c r="U1076" s="7" t="n"/>
      <c r="V1076" s="7" t="n">
        <v>2</v>
      </c>
      <c r="W1076" s="7" t="inlineStr">
        <is>
          <t>The Kingdom Is Born in Heaven</t>
        </is>
      </c>
      <c r="X1076" s="9" t="inlineStr">
        <is>
          <t>open</t>
        </is>
      </c>
      <c r="Y1076" s="9" t="inlineStr">
        <is>
          <t>open</t>
        </is>
      </c>
      <c r="Z1076" s="7" t="inlineStr">
        <is>
          <t>https://wol.jw.org/en/wol/d/r1/lp-e/1102014241
https://wol.jw.org/en/wol/d/r1/lp-e/1102014255</t>
        </is>
      </c>
      <c r="AA1076" s="7" t="n">
        <v>0</v>
      </c>
      <c r="AB1076" s="7" t="n"/>
      <c r="AC1076" s="7" t="n">
        <v>0</v>
      </c>
      <c r="AD1076" s="7" t="n"/>
      <c r="AE1076" s="7" t="n"/>
      <c r="AF1076" s="7" t="n"/>
      <c r="AG1076" s="7" t="n"/>
      <c r="AH1076" s="7" t="n"/>
      <c r="AI1076" s="7" t="n"/>
      <c r="AJ1076" s="7" t="n"/>
      <c r="AK1076" s="7" t="n"/>
      <c r="AL1076" s="7" t="n"/>
      <c r="AM1076" s="7" t="n">
        <v>1880</v>
      </c>
      <c r="AN1076" s="10" t="n"/>
      <c r="AO1076" s="10" t="n"/>
      <c r="AP1076" s="10" t="n"/>
      <c r="AQ1076" s="10" t="n"/>
    </row>
    <row r="1077">
      <c r="A1077" s="7" t="inlineStr">
        <is>
          <t>b8-0022</t>
        </is>
      </c>
      <c r="B1077" s="7" t="inlineStr">
        <is>
          <t>Point</t>
        </is>
      </c>
      <c r="C1077" s="7" t="n"/>
      <c r="D1077" s="7" t="inlineStr">
        <is>
          <t>1880</t>
        </is>
      </c>
      <c r="E1077" s="7" t="inlineStr">
        <is>
          <t>1880</t>
        </is>
      </c>
      <c r="F1077" s="7" t="inlineStr">
        <is>
          <t>1880 CE</t>
        </is>
      </c>
      <c r="G1077" s="7" t="inlineStr">
        <is>
          <t>Exact</t>
        </is>
      </c>
      <c r="H1077" s="7" t="n"/>
      <c r="I1077" s="7" t="n"/>
      <c r="J1077" s="7" t="n"/>
      <c r="K1077" s="2" t="inlineStr">
        <is>
          <t>Scores of congregations spread into nearby states</t>
        </is>
      </c>
      <c r="L1077" s="2" t="n"/>
      <c r="M1077" s="7" t="inlineStr">
        <is>
          <t>By 1880 scores of congregations have grown from the one small Bible study into nearby states.</t>
        </is>
      </c>
      <c r="N1077" s="7" t="inlineStr">
        <is>
          <t>அந்தச் சிறிய பைபிள் படிப்பு தொகுதியிலிருந்து 1880-க்குள் அநேக சபைகள் அருகிலுள்ள மாநிலங்களிலும் உருவாகின.</t>
        </is>
      </c>
      <c r="O1077" s="13" t="inlineStr">
        <is>
          <t>Jehovah's Witnesses</t>
        </is>
      </c>
      <c r="P1077" s="7" t="inlineStr">
        <is>
          <t>jw.preaching</t>
        </is>
      </c>
      <c r="Q1077" s="7" t="inlineStr">
        <is>
          <t>growth</t>
        </is>
      </c>
      <c r="R1077" s="7" t="n"/>
      <c r="S1077" s="7" t="n"/>
      <c r="T1077" s="7" t="n"/>
      <c r="U1077" s="7" t="n"/>
      <c r="V1077" s="7" t="n">
        <v>1</v>
      </c>
      <c r="W1077" s="7" t="inlineStr">
        <is>
          <t>Their Modern Development and Growth</t>
        </is>
      </c>
      <c r="X1077" s="9" t="inlineStr">
        <is>
          <t>open</t>
        </is>
      </c>
      <c r="Y1077" s="9" t="inlineStr">
        <is>
          <t>open</t>
        </is>
      </c>
      <c r="Z1077" s="7" t="inlineStr">
        <is>
          <t>https://wol.jw.org/en/wol/d/r1/lp-e/1102000101</t>
        </is>
      </c>
      <c r="AA1077" s="7" t="n">
        <v>0</v>
      </c>
      <c r="AB1077" s="7" t="n"/>
      <c r="AC1077" s="7" t="n">
        <v>0</v>
      </c>
      <c r="AD1077" s="7" t="n"/>
      <c r="AE1077" s="7" t="n"/>
      <c r="AF1077" s="7" t="n"/>
      <c r="AG1077" s="7" t="n"/>
      <c r="AH1077" s="7" t="n"/>
      <c r="AI1077" s="7" t="n"/>
      <c r="AJ1077" s="7" t="n"/>
      <c r="AK1077" s="7" t="n"/>
      <c r="AL1077" s="7" t="n"/>
      <c r="AM1077" s="7" t="n">
        <v>1880</v>
      </c>
      <c r="AN1077" s="10" t="n"/>
      <c r="AO1077" s="10" t="n"/>
      <c r="AP1077" s="10" t="n"/>
      <c r="AQ1077" s="10" t="n"/>
    </row>
    <row r="1078">
      <c r="A1078" s="7" t="inlineStr">
        <is>
          <t>b8-0023</t>
        </is>
      </c>
      <c r="B1078" s="7" t="inlineStr">
        <is>
          <t>Point</t>
        </is>
      </c>
      <c r="C1078" s="7" t="n"/>
      <c r="D1078" s="7" t="inlineStr">
        <is>
          <t>1880</t>
        </is>
      </c>
      <c r="E1078" s="7" t="n"/>
      <c r="F1078" s="7" t="inlineStr">
        <is>
          <t>1880 CE</t>
        </is>
      </c>
      <c r="G1078" s="7" t="inlineStr">
        <is>
          <t>Exact</t>
        </is>
      </c>
      <c r="H1078" s="7" t="n"/>
      <c r="I1078" s="7" t="n"/>
      <c r="J1078" s="7" t="n"/>
      <c r="K1078" s="2" t="inlineStr">
        <is>
          <t>Bible Students’ Tracts begin to be produced</t>
        </is>
      </c>
      <c r="L1078" s="2" t="n"/>
      <c r="M1078" s="7" t="inlineStr">
        <is>
          <t>Bible Students’ Tracts (later also called Old Theology Quarterly) begin to be produced and supplied to Watch Tower readers for free distribution.</t>
        </is>
      </c>
      <c r="N1078" s="7" t="n"/>
      <c r="O1078" s="13" t="inlineStr">
        <is>
          <t>Jehovah's Witnesses</t>
        </is>
      </c>
      <c r="P1078" s="7" t="inlineStr">
        <is>
          <t>jw.publication</t>
        </is>
      </c>
      <c r="Q1078" s="7" t="inlineStr">
        <is>
          <t>release</t>
        </is>
      </c>
      <c r="R1078" s="7" t="n"/>
      <c r="S1078" s="7" t="n"/>
      <c r="T1078" s="7" t="n"/>
      <c r="U1078" s="7" t="n"/>
      <c r="V1078" s="7" t="n">
        <v>1</v>
      </c>
      <c r="W1078" s="7" t="inlineStr">
        <is>
          <t>Proclaiming the Lord’s Return (1870-1914)</t>
        </is>
      </c>
      <c r="X1078" s="9" t="inlineStr">
        <is>
          <t>open</t>
        </is>
      </c>
      <c r="Y1078" s="7" t="n"/>
      <c r="Z1078" s="7" t="inlineStr">
        <is>
          <t>https://wol.jw.org/en/wol/d/r1/lp-e/1101993006</t>
        </is>
      </c>
      <c r="AA1078" s="7" t="n">
        <v>0</v>
      </c>
      <c r="AB1078" s="7" t="n"/>
      <c r="AC1078" s="7" t="n">
        <v>0</v>
      </c>
      <c r="AD1078" s="7" t="n"/>
      <c r="AE1078" s="7" t="n"/>
      <c r="AF1078" s="7" t="n"/>
      <c r="AG1078" s="7" t="n"/>
      <c r="AH1078" s="7" t="n"/>
      <c r="AI1078" s="7" t="n"/>
      <c r="AJ1078" s="7" t="n"/>
      <c r="AK1078" s="7" t="n"/>
      <c r="AL1078" s="7" t="n"/>
      <c r="AM1078" s="7" t="n">
        <v>1880</v>
      </c>
      <c r="AN1078" s="10" t="n"/>
      <c r="AO1078" s="10" t="n"/>
      <c r="AP1078" s="10" t="n"/>
      <c r="AQ1078" s="10" t="n"/>
    </row>
    <row r="1079">
      <c r="A1079" s="7" t="inlineStr">
        <is>
          <t>b8-0024</t>
        </is>
      </c>
      <c r="B1079" s="7" t="inlineStr">
        <is>
          <t>Point</t>
        </is>
      </c>
      <c r="C1079" s="7" t="n"/>
      <c r="D1079" s="7" t="inlineStr">
        <is>
          <t>1880</t>
        </is>
      </c>
      <c r="E1079" s="7" t="n"/>
      <c r="F1079" s="7" t="inlineStr">
        <is>
          <t>1880 CE</t>
        </is>
      </c>
      <c r="G1079" s="7" t="inlineStr">
        <is>
          <t>Exact</t>
        </is>
      </c>
      <c r="H1079" s="7" t="n"/>
      <c r="I1079" s="7" t="n"/>
      <c r="J1079" s="7" t="n"/>
      <c r="K1079" s="2" t="inlineStr">
        <is>
          <t>Watch Tower clarifies the identity of the 144,000</t>
        </is>
      </c>
      <c r="L1079" s="2" t="n"/>
      <c r="M1079" s="7" t="inlineStr">
        <is>
          <t>In June 1880 Zion’s Watch Tower suggested the 144,000 would be fleshly Jews converted by 1914; later in 1880 an understanding closer to the one held since was published.</t>
        </is>
      </c>
      <c r="N1079" s="7" t="n"/>
      <c r="O1079" s="13" t="inlineStr">
        <is>
          <t>Jehovah's Witnesses</t>
        </is>
      </c>
      <c r="P1079" s="7" t="inlineStr">
        <is>
          <t>jw.doctrine</t>
        </is>
      </c>
      <c r="Q1079" s="7" t="inlineStr">
        <is>
          <t>teaching</t>
        </is>
      </c>
      <c r="R1079" s="7" t="n"/>
      <c r="S1079" s="7" t="n"/>
      <c r="T1079" s="7" t="inlineStr">
        <is>
          <t>Rev. 7:4</t>
        </is>
      </c>
      <c r="U1079" s="7" t="n"/>
      <c r="V1079" s="7" t="n">
        <v>1</v>
      </c>
      <c r="W1079" s="7" t="inlineStr">
        <is>
          <t>The King Shines Light on the Kingdom</t>
        </is>
      </c>
      <c r="X1079" s="9" t="inlineStr">
        <is>
          <t>open</t>
        </is>
      </c>
      <c r="Y1079" s="9" t="inlineStr">
        <is>
          <t>open</t>
        </is>
      </c>
      <c r="Z1079" s="7" t="inlineStr">
        <is>
          <t>https://wol.jw.org/en/wol/d/r1/lp-e/1102014244</t>
        </is>
      </c>
      <c r="AA1079" s="7" t="n">
        <v>0</v>
      </c>
      <c r="AB1079" s="7" t="n"/>
      <c r="AC1079" s="7" t="n">
        <v>0</v>
      </c>
      <c r="AD1079" s="7" t="n"/>
      <c r="AE1079" s="7" t="n"/>
      <c r="AF1079" s="7" t="n"/>
      <c r="AG1079" s="7" t="n"/>
      <c r="AH1079" s="7" t="n"/>
      <c r="AI1079" s="7" t="n"/>
      <c r="AJ1079" s="7" t="n"/>
      <c r="AK1079" s="7" t="n"/>
      <c r="AL1079" s="7" t="n"/>
      <c r="AM1079" s="7" t="n">
        <v>1880</v>
      </c>
      <c r="AN1079" s="10" t="n"/>
      <c r="AO1079" s="10" t="n"/>
      <c r="AP1079" s="10" t="n"/>
      <c r="AQ1079" s="10" t="n"/>
    </row>
    <row r="1080">
      <c r="A1080" s="7" t="inlineStr">
        <is>
          <t>b17-0005</t>
        </is>
      </c>
      <c r="B1080" s="7" t="inlineStr">
        <is>
          <t>Point</t>
        </is>
      </c>
      <c r="C1080" s="7" t="n"/>
      <c r="D1080" s="7" t="inlineStr">
        <is>
          <t>1881</t>
        </is>
      </c>
      <c r="E1080" s="7" t="inlineStr">
        <is>
          <t>1881</t>
        </is>
      </c>
      <c r="F1080" s="7" t="inlineStr">
        <is>
          <t>1881 CE</t>
        </is>
      </c>
      <c r="G1080" s="7" t="inlineStr">
        <is>
          <t>Exact</t>
        </is>
      </c>
      <c r="H1080" s="7" t="n"/>
      <c r="I1080" s="7" t="n"/>
      <c r="J1080" s="7" t="n"/>
      <c r="K1080" s="2" t="inlineStr">
        <is>
          <t>Westcott and Hort Greek master text produced</t>
        </is>
      </c>
      <c r="L1080" s="2" t="inlineStr">
        <is>
          <t>உவெஸ்ட்காட் மற்றும் ஹார்ட் வாக்கியம்</t>
        </is>
      </c>
      <c r="M1080" s="7" t="inlineStr">
        <is>
          <t>Cambridge scholars B. F. Westcott and F. J. A. Hort produced in 1881 a widely accepted Greek master text, compared from existing manuscripts and fragments. The New World Bible Translation Committee used it as the basis for its translation of the Christian Greek Scriptures in the mid-20th century.</t>
        </is>
      </c>
      <c r="N1080" s="7" t="inlineStr">
        <is>
          <t>உலகம் முழுவதும் ஏற்றுக்கொள்ளப்பட்டிருக்கும் சிறப்புவாய்ந்த கிரேக்க மூலவாக்கியம் ஒன்றை கேம்ப்ரிட்ஜ் பல்கலைக்கழகக் கல்வியறிஞர்களான பி. எஃப். உவெஸ்ட்காட்டும் எஃப். ஜே. எ. ஹார்ட்டும் 1881-⁠ல் உருவாக்கினர்.</t>
        </is>
      </c>
      <c r="O1080" s="12" t="inlineStr">
        <is>
          <t>Bible &amp; church history</t>
        </is>
      </c>
      <c r="P1080" s="7" t="inlineStr">
        <is>
          <t>history.bible_preservation</t>
        </is>
      </c>
      <c r="Q1080" s="7" t="inlineStr">
        <is>
          <t>master_text</t>
        </is>
      </c>
      <c r="R1080" s="7" t="inlineStr">
        <is>
          <t>B. F. Westcott; F. J. A. Hort</t>
        </is>
      </c>
      <c r="S1080" s="7" t="inlineStr">
        <is>
          <t>Cambridge</t>
        </is>
      </c>
      <c r="T1080" s="7" t="n"/>
      <c r="U1080" s="7" t="n"/>
      <c r="V1080" s="7" t="n">
        <v>2</v>
      </c>
      <c r="W1080" s="7" t="inlineStr">
        <is>
          <t>Study Number 6—The Christian Greek Text of the Holy Scriptures</t>
        </is>
      </c>
      <c r="X1080" s="9" t="inlineStr">
        <is>
          <t>open</t>
        </is>
      </c>
      <c r="Y1080" s="9" t="inlineStr">
        <is>
          <t>open</t>
        </is>
      </c>
      <c r="Z1080" s="7" t="inlineStr">
        <is>
          <t>https://wol.jw.org/en/wol/d/r1/lp-e/1101990133
https://wol.jw.org/en/wol/d/r1/lp-e/1001070203</t>
        </is>
      </c>
      <c r="AA1080" s="7" t="n">
        <v>0</v>
      </c>
      <c r="AB1080" s="7" t="n"/>
      <c r="AC1080" s="7" t="n">
        <v>0</v>
      </c>
      <c r="AD1080" s="7" t="n"/>
      <c r="AE1080" s="7" t="n"/>
      <c r="AF1080" s="7" t="n"/>
      <c r="AG1080" s="7" t="n"/>
      <c r="AH1080" s="7" t="n"/>
      <c r="AI1080" s="7" t="n"/>
      <c r="AJ1080" s="7" t="n"/>
      <c r="AK1080" s="7" t="inlineStr">
        <is>
          <t>how-the-bible-came-to-us #50 (step)</t>
        </is>
      </c>
      <c r="AL1080" s="7" t="inlineStr">
        <is>
          <t>A3 says 'In the late 19th century'; si Study 6 gives 1881.</t>
        </is>
      </c>
      <c r="AM1080" s="7" t="n">
        <v>1881</v>
      </c>
      <c r="AN1080" s="10" t="n"/>
      <c r="AO1080" s="10" t="n"/>
      <c r="AP1080" s="10" t="n"/>
      <c r="AQ1080" s="10" t="n"/>
    </row>
    <row r="1081">
      <c r="A1081" s="7" t="inlineStr">
        <is>
          <t>b8-0025</t>
        </is>
      </c>
      <c r="B1081" s="7" t="inlineStr">
        <is>
          <t>Point</t>
        </is>
      </c>
      <c r="C1081" s="7" t="n"/>
      <c r="D1081" s="7" t="inlineStr">
        <is>
          <t>1881</t>
        </is>
      </c>
      <c r="E1081" s="7" t="inlineStr">
        <is>
          <t>1881</t>
        </is>
      </c>
      <c r="F1081" s="7" t="inlineStr">
        <is>
          <t>1881 CE</t>
        </is>
      </c>
      <c r="G1081" s="7" t="inlineStr">
        <is>
          <t>Exact</t>
        </is>
      </c>
      <c r="H1081" s="7" t="n"/>
      <c r="I1081" s="7" t="n"/>
      <c r="J1081" s="7" t="n"/>
      <c r="K1081" s="2" t="inlineStr">
        <is>
          <t>First tracts published for free public distribution</t>
        </is>
      </c>
      <c r="L1081" s="2" t="inlineStr">
        <is>
          <t>பல பக்கங்கள் கொண்ட துண்டுப்பிரதிகள் (சில, 100-க்கும் அதிகமான பக்கங்கள் கொண்டவை) அச்சிடப்பட்டு, இலவச வினியோகத்துக்காக காவற்கோபுர வாசகர்களிடம் கொடுக்கப்படுகின்றன</t>
        </is>
      </c>
      <c r="M1081" s="7" t="inlineStr">
        <is>
          <t>Bible Students publish their first tracts, some over 100 pages long, for free distribution; within four months 1,200,000 tracts are produced, and before 1914 yearly distribution reaches tens of millions in 30 languages.</t>
        </is>
      </c>
      <c r="N1081" s="7" t="inlineStr">
        <is>
          <t>பல பக்கங்கள் கொண்ட துண்டுப்பிரதிகள் (சில, 100-க்கும் அதிகமான பக்கங்கள் கொண்டவை) அச்சிடப்பட்டு, இலவச வினியோகத்துக்காக காவற்கோபுர வாசகர்களிடம் கொடுக்கப்படுகின்றன</t>
        </is>
      </c>
      <c r="O1081" s="13" t="inlineStr">
        <is>
          <t>Jehovah's Witnesses</t>
        </is>
      </c>
      <c r="P1081" s="7" t="inlineStr">
        <is>
          <t>jw.publication</t>
        </is>
      </c>
      <c r="Q1081" s="7" t="inlineStr">
        <is>
          <t>release</t>
        </is>
      </c>
      <c r="R1081" s="7" t="n"/>
      <c r="S1081" s="7" t="n"/>
      <c r="T1081" s="7" t="n"/>
      <c r="U1081" s="7" t="n"/>
      <c r="V1081" s="7" t="n">
        <v>3</v>
      </c>
      <c r="W1081" s="7" t="inlineStr">
        <is>
          <t>Noteworthy Events in the Modern-day History of Jehovah’s Witnesses</t>
        </is>
      </c>
      <c r="X1081" s="9" t="inlineStr">
        <is>
          <t>open</t>
        </is>
      </c>
      <c r="Y1081" s="7" t="n"/>
      <c r="Z1081" s="7" t="inlineStr">
        <is>
          <t>https://wol.jw.org/en/wol/d/r1/lp-e/1101993046
https://wol.jw.org/en/wol/d/r1/lp-e/1102014241
https://wol.jw.org/en/wol/d/r1/lp-e/1101993036</t>
        </is>
      </c>
      <c r="AA1081" s="7" t="n">
        <v>0</v>
      </c>
      <c r="AB1081" s="7" t="n"/>
      <c r="AC1081" s="7" t="n">
        <v>0</v>
      </c>
      <c r="AD1081" s="7" t="n"/>
      <c r="AE1081" s="7" t="n"/>
      <c r="AF1081" s="7" t="n"/>
      <c r="AG1081" s="7" t="n"/>
      <c r="AH1081" s="7" t="n"/>
      <c r="AI1081" s="7" t="n"/>
      <c r="AJ1081" s="7" t="n"/>
      <c r="AK1081" s="7" t="n"/>
      <c r="AL1081" s="7" t="n"/>
      <c r="AM1081" s="7" t="n">
        <v>1881</v>
      </c>
      <c r="AN1081" s="10" t="n"/>
      <c r="AO1081" s="10" t="n"/>
      <c r="AP1081" s="10" t="n"/>
      <c r="AQ1081" s="10" t="n"/>
    </row>
    <row r="1082">
      <c r="A1082" s="7" t="inlineStr">
        <is>
          <t>b8-0026</t>
        </is>
      </c>
      <c r="B1082" s="7" t="inlineStr">
        <is>
          <t>Point</t>
        </is>
      </c>
      <c r="C1082" s="7" t="n"/>
      <c r="D1082" s="7" t="inlineStr">
        <is>
          <t>1881</t>
        </is>
      </c>
      <c r="E1082" s="7" t="inlineStr">
        <is>
          <t>1881</t>
        </is>
      </c>
      <c r="F1082" s="7" t="inlineStr">
        <is>
          <t>1881 CE</t>
        </is>
      </c>
      <c r="G1082" s="7" t="inlineStr">
        <is>
          <t>Exact</t>
        </is>
      </c>
      <c r="H1082" s="7" t="n"/>
      <c r="I1082" s="7" t="n"/>
      <c r="J1082" s="7" t="n"/>
      <c r="K1082" s="2" t="inlineStr">
        <is>
          <t>“Wanted 1,000 Preachers”: colporteur work begins</t>
        </is>
      </c>
      <c r="L1082" s="2" t="inlineStr">
        <is>
          <t>“1,000 பிரசங்கிப்பாளர்கள் தேவை,” “பிரசங்கிப்பதற்காகத் தேர்ந்தெடுக்கப்பட்டோம்” போன்ற கட்டுரைகள் ஊழிய வேலையைத் தீவிரமாக்குகின்றன</t>
        </is>
      </c>
      <c r="M1082" s="7" t="inlineStr">
        <is>
          <t>The Watch Tower issues the call “Wanted 1,000 Preachers,” some to be regular colporteurs and others to give what time they can; with articles such as “Anointed to Preach,” colporteur work begins.</t>
        </is>
      </c>
      <c r="N1082" s="7" t="inlineStr">
        <is>
          <t>“1,000 பிரசங்கிப்பாளர்கள் தேவை,” “பிரசங்கிப்பதற்காகத் தேர்ந்தெடுக்கப்பட்டோம்” போன்ற கட்டுரைகள் ஊழிய வேலையைத் தீவிரமாக்குகின்றன</t>
        </is>
      </c>
      <c r="O1082" s="13" t="inlineStr">
        <is>
          <t>Jehovah's Witnesses</t>
        </is>
      </c>
      <c r="P1082" s="7" t="inlineStr">
        <is>
          <t>jw.preaching</t>
        </is>
      </c>
      <c r="Q1082" s="7" t="inlineStr">
        <is>
          <t>campaign</t>
        </is>
      </c>
      <c r="R1082" s="7" t="n"/>
      <c r="S1082" s="7" t="n"/>
      <c r="T1082" s="7" t="n"/>
      <c r="U1082" s="7" t="n"/>
      <c r="V1082" s="7" t="n">
        <v>3</v>
      </c>
      <c r="W1082" s="7" t="inlineStr">
        <is>
          <t>Noteworthy Events in the Modern-day History of Jehovah’s Witnesses</t>
        </is>
      </c>
      <c r="X1082" s="9" t="inlineStr">
        <is>
          <t>open</t>
        </is>
      </c>
      <c r="Y1082" s="7" t="n"/>
      <c r="Z1082" s="7" t="inlineStr">
        <is>
          <t>https://wol.jw.org/en/wol/d/r1/lp-e/1101993046
https://wol.jw.org/en/wol/d/r1/lp-e/1102014241
https://wol.jw.org/en/wol/d/r1/lp-e/1101993018</t>
        </is>
      </c>
      <c r="AA1082" s="7" t="n">
        <v>0</v>
      </c>
      <c r="AB1082" s="7" t="n"/>
      <c r="AC1082" s="7" t="n">
        <v>0</v>
      </c>
      <c r="AD1082" s="7" t="n"/>
      <c r="AE1082" s="7" t="n"/>
      <c r="AF1082" s="7" t="n"/>
      <c r="AG1082" s="7" t="n"/>
      <c r="AH1082" s="7" t="n"/>
      <c r="AI1082" s="7" t="n"/>
      <c r="AJ1082" s="7" t="n"/>
      <c r="AK1082" s="7" t="n"/>
      <c r="AL1082" s="7" t="n"/>
      <c r="AM1082" s="7" t="n">
        <v>1881</v>
      </c>
      <c r="AN1082" s="10" t="n"/>
      <c r="AO1082" s="10" t="n"/>
      <c r="AP1082" s="10" t="n"/>
      <c r="AQ1082" s="10" t="n"/>
    </row>
    <row r="1083">
      <c r="A1083" s="7" t="inlineStr">
        <is>
          <t>b8-0027</t>
        </is>
      </c>
      <c r="B1083" s="7" t="inlineStr">
        <is>
          <t>Point</t>
        </is>
      </c>
      <c r="C1083" s="7" t="n"/>
      <c r="D1083" s="7" t="inlineStr">
        <is>
          <t>1881</t>
        </is>
      </c>
      <c r="E1083" s="7" t="inlineStr">
        <is>
          <t>1881</t>
        </is>
      </c>
      <c r="F1083" s="7" t="inlineStr">
        <is>
          <t>1881 CE</t>
        </is>
      </c>
      <c r="G1083" s="7" t="inlineStr">
        <is>
          <t>Exact</t>
        </is>
      </c>
      <c r="H1083" s="7" t="n"/>
      <c r="I1083" s="7" t="n"/>
      <c r="J1083" s="7" t="n"/>
      <c r="K1083" s="2" t="inlineStr">
        <is>
          <t>Colporteur (pioneer) work begins</t>
        </is>
      </c>
      <c r="L1083" s="2" t="inlineStr">
        <is>
          <t>பயனியர் ஊழியம் ஆரம்பமாகிறது</t>
        </is>
      </c>
      <c r="M1083" s="7" t="inlineStr">
        <is>
          <t>Colporteur work, the forerunner of today’s pioneer service, begins; by 1885 about 300 share in it.</t>
        </is>
      </c>
      <c r="N1083" s="7" t="inlineStr">
        <is>
          <t>பயனியர் ஊழியம் ஆரம்பமாகிறது</t>
        </is>
      </c>
      <c r="O1083" s="13" t="inlineStr">
        <is>
          <t>Jehovah's Witnesses</t>
        </is>
      </c>
      <c r="P1083" s="7" t="inlineStr">
        <is>
          <t>jw.preaching</t>
        </is>
      </c>
      <c r="Q1083" s="7" t="inlineStr">
        <is>
          <t>founding</t>
        </is>
      </c>
      <c r="R1083" s="7" t="n"/>
      <c r="S1083" s="7" t="n"/>
      <c r="T1083" s="7" t="n"/>
      <c r="U1083" s="7" t="n"/>
      <c r="V1083" s="7" t="n">
        <v>2</v>
      </c>
      <c r="W1083" s="7" t="inlineStr">
        <is>
          <t>The Kingdom Is Born in Heaven</t>
        </is>
      </c>
      <c r="X1083" s="9" t="inlineStr">
        <is>
          <t>open</t>
        </is>
      </c>
      <c r="Y1083" s="9" t="inlineStr">
        <is>
          <t>open</t>
        </is>
      </c>
      <c r="Z1083" s="7" t="inlineStr">
        <is>
          <t>https://wol.jw.org/en/wol/d/r1/lp-e/1102014241
https://wol.jw.org/en/wol/d/r1/lp-e/1101993018</t>
        </is>
      </c>
      <c r="AA1083" s="7" t="n">
        <v>0</v>
      </c>
      <c r="AB1083" s="7" t="n"/>
      <c r="AC1083" s="7" t="n">
        <v>0</v>
      </c>
      <c r="AD1083" s="7" t="n"/>
      <c r="AE1083" s="7" t="n"/>
      <c r="AF1083" s="7" t="n"/>
      <c r="AG1083" s="7" t="n"/>
      <c r="AH1083" s="7" t="n"/>
      <c r="AI1083" s="7" t="n"/>
      <c r="AJ1083" s="7" t="n"/>
      <c r="AK1083" s="7" t="n"/>
      <c r="AL1083" s="7" t="n"/>
      <c r="AM1083" s="7" t="n">
        <v>1881</v>
      </c>
      <c r="AN1083" s="10" t="n"/>
      <c r="AO1083" s="10" t="n"/>
      <c r="AP1083" s="10" t="n"/>
      <c r="AQ1083" s="10" t="n"/>
    </row>
    <row r="1084">
      <c r="A1084" s="7" t="inlineStr">
        <is>
          <t>b8-0028</t>
        </is>
      </c>
      <c r="B1084" s="7" t="inlineStr">
        <is>
          <t>Point</t>
        </is>
      </c>
      <c r="C1084" s="7" t="n"/>
      <c r="D1084" s="7" t="inlineStr">
        <is>
          <t>1881</t>
        </is>
      </c>
      <c r="E1084" s="7" t="inlineStr">
        <is>
          <t>1881</t>
        </is>
      </c>
      <c r="F1084" s="7" t="inlineStr">
        <is>
          <t>1881 CE</t>
        </is>
      </c>
      <c r="G1084" s="7" t="inlineStr">
        <is>
          <t>Exact</t>
        </is>
      </c>
      <c r="H1084" s="7" t="n"/>
      <c r="I1084" s="7" t="n"/>
      <c r="J1084" s="7" t="n"/>
      <c r="K1084" s="2" t="inlineStr">
        <is>
          <t>Watch Tower readers invited to observe the Memorial in Allegheny</t>
        </is>
      </c>
      <c r="L1084" s="2" t="inlineStr">
        <is>
          <t>பென்ஸில்வேனியா, அலிகென்னியில் இயேசுவின் நினைவு நாளை அனுசரிக்கும்படி வாசகர்களை காவற்கோபுரம் கேட்டுக்கொள்கிறது</t>
        </is>
      </c>
      <c r="M1084" s="7" t="inlineStr">
        <is>
          <t>The Watch Tower invites all its readers to commemorate the Memorial of Christ’s death in Allegheny, Pennsylvania.</t>
        </is>
      </c>
      <c r="N1084" s="7" t="inlineStr">
        <is>
          <t>பென்ஸில்வேனியா, அலிகென்னியில் இயேசுவின் நினைவு நாளை அனுசரிக்கும்படி வாசகர்களை காவற்கோபுரம் கேட்டுக்கொள்கிறது</t>
        </is>
      </c>
      <c r="O1084" s="13" t="inlineStr">
        <is>
          <t>Jehovah's Witnesses</t>
        </is>
      </c>
      <c r="P1084" s="7" t="inlineStr">
        <is>
          <t>jw.organization</t>
        </is>
      </c>
      <c r="Q1084" s="7" t="inlineStr">
        <is>
          <t>memorial</t>
        </is>
      </c>
      <c r="R1084" s="7" t="n"/>
      <c r="S1084" s="7" t="inlineStr">
        <is>
          <t>Allegheny, Pennsylvania</t>
        </is>
      </c>
      <c r="T1084" s="7" t="n"/>
      <c r="U1084" s="7" t="n"/>
      <c r="V1084" s="7" t="n">
        <v>2</v>
      </c>
      <c r="W1084" s="7" t="inlineStr">
        <is>
          <t>The Kingdom Is Born in Heaven</t>
        </is>
      </c>
      <c r="X1084" s="9" t="inlineStr">
        <is>
          <t>open</t>
        </is>
      </c>
      <c r="Y1084" s="9" t="inlineStr">
        <is>
          <t>open</t>
        </is>
      </c>
      <c r="Z1084" s="7" t="inlineStr">
        <is>
          <t>https://wol.jw.org/en/wol/d/r1/lp-e/1102014241
https://wol.jw.org/en/wol/d/r1/lp-e/1101993019</t>
        </is>
      </c>
      <c r="AA1084" s="7" t="n">
        <v>0</v>
      </c>
      <c r="AB1084" s="7" t="n"/>
      <c r="AC1084" s="7" t="n">
        <v>0</v>
      </c>
      <c r="AD1084" s="7" t="n"/>
      <c r="AE1084" s="7" t="n"/>
      <c r="AF1084" s="7" t="n"/>
      <c r="AG1084" s="7" t="n"/>
      <c r="AH1084" s="7" t="n"/>
      <c r="AI1084" s="7" t="n"/>
      <c r="AJ1084" s="7" t="n"/>
      <c r="AK1084" s="7" t="n"/>
      <c r="AL1084" s="7" t="n"/>
      <c r="AM1084" s="7" t="n">
        <v>1881</v>
      </c>
      <c r="AN1084" s="10" t="n"/>
      <c r="AO1084" s="10" t="n"/>
      <c r="AP1084" s="10" t="n"/>
      <c r="AQ1084" s="10" t="n"/>
    </row>
    <row r="1085">
      <c r="A1085" s="7" t="inlineStr">
        <is>
          <t>b8-0029</t>
        </is>
      </c>
      <c r="B1085" s="7" t="inlineStr">
        <is>
          <t>Point</t>
        </is>
      </c>
      <c r="C1085" s="7" t="n"/>
      <c r="D1085" s="7" t="inlineStr">
        <is>
          <t>1881</t>
        </is>
      </c>
      <c r="E1085" s="7" t="inlineStr">
        <is>
          <t>1881</t>
        </is>
      </c>
      <c r="F1085" s="7" t="inlineStr">
        <is>
          <t>1881 CE</t>
        </is>
      </c>
      <c r="G1085" s="7" t="inlineStr">
        <is>
          <t>Exact</t>
        </is>
      </c>
      <c r="H1085" s="7" t="n"/>
      <c r="I1085" s="7" t="n"/>
      <c r="J1085" s="7" t="n"/>
      <c r="K1085" s="2" t="inlineStr">
        <is>
          <t>Readers urged to hold regular meetings and report meeting places</t>
        </is>
      </c>
      <c r="L1085" s="2" t="n"/>
      <c r="M1085" s="7" t="inlineStr">
        <is>
          <t>Early in 1881 Russell urges readers without meetings to start them, even in their own homes, and asks groups holding regular meetings to inform the Watch Tower office where they meet.</t>
        </is>
      </c>
      <c r="N1085" s="7" t="inlineStr">
        <is>
          <t>கூட்டங்களைத் தவறாமல் நடத்துகிறவர்கள், கூடிவரும் இடங்களின் விலாசத்தை காவற்கோபுர அலுவலகத்துக்கு அனுப்பும்படி ரஸல் கேட்டுக்கொண்டார். ஒரே பகுதியில் வாழும் பைபிள் மாணாக்கர்கள் ஒருவரையொருவர் தொடர்புகொள்வதற்கு இது வசதியாக இருக்கும் என்று அவர் நினைத்தார்.</t>
        </is>
      </c>
      <c r="O1085" s="13" t="inlineStr">
        <is>
          <t>Jehovah's Witnesses</t>
        </is>
      </c>
      <c r="P1085" s="7" t="inlineStr">
        <is>
          <t>jw.organization</t>
        </is>
      </c>
      <c r="Q1085" s="7" t="inlineStr">
        <is>
          <t>arrangement</t>
        </is>
      </c>
      <c r="R1085" s="7" t="inlineStr">
        <is>
          <t>Charles Taze Russell</t>
        </is>
      </c>
      <c r="S1085" s="7" t="n"/>
      <c r="T1085" s="7" t="n"/>
      <c r="U1085" s="7" t="n"/>
      <c r="V1085" s="7" t="n">
        <v>4</v>
      </c>
      <c r="W1085" s="7" t="inlineStr">
        <is>
          <t>The Kingdom Is Born in Heaven</t>
        </is>
      </c>
      <c r="X1085" s="9" t="inlineStr">
        <is>
          <t>open</t>
        </is>
      </c>
      <c r="Y1085" s="9" t="inlineStr">
        <is>
          <t>open</t>
        </is>
      </c>
      <c r="Z1085" s="7" t="inlineStr">
        <is>
          <t>https://wol.jw.org/en/wol/d/r1/lp-e/1102014241
https://wol.jw.org/en/wol/d/r1/lp-e/1102014251
https://wol.jw.org/en/wol/d/r1/lp-e/1101993019
https://wol.jw.org/en/wol/d/r1/lp-e/1101993018</t>
        </is>
      </c>
      <c r="AA1085" s="7" t="n">
        <v>0</v>
      </c>
      <c r="AB1085" s="7" t="n"/>
      <c r="AC1085" s="7" t="n">
        <v>0</v>
      </c>
      <c r="AD1085" s="7" t="n"/>
      <c r="AE1085" s="7" t="n"/>
      <c r="AF1085" s="7" t="n"/>
      <c r="AG1085" s="7" t="n"/>
      <c r="AH1085" s="7" t="n"/>
      <c r="AI1085" s="7" t="n"/>
      <c r="AJ1085" s="7" t="n"/>
      <c r="AK1085" s="7" t="n"/>
      <c r="AL1085" s="7" t="n"/>
      <c r="AM1085" s="7" t="n">
        <v>1881</v>
      </c>
      <c r="AN1085" s="10" t="n"/>
      <c r="AO1085" s="10" t="n"/>
      <c r="AP1085" s="10" t="n"/>
      <c r="AQ1085" s="10" t="n"/>
    </row>
    <row r="1086">
      <c r="A1086" s="7" t="inlineStr">
        <is>
          <t>b8-0030</t>
        </is>
      </c>
      <c r="B1086" s="7" t="inlineStr">
        <is>
          <t>Point</t>
        </is>
      </c>
      <c r="C1086" s="7" t="n"/>
      <c r="D1086" s="7" t="inlineStr">
        <is>
          <t>February 16, 1881</t>
        </is>
      </c>
      <c r="E1086" s="7" t="inlineStr">
        <is>
          <t>பிப்ரவரி 16, 1881</t>
        </is>
      </c>
      <c r="F1086" s="7" t="inlineStr">
        <is>
          <t>1881 CE</t>
        </is>
      </c>
      <c r="G1086" s="7" t="inlineStr">
        <is>
          <t>Exact</t>
        </is>
      </c>
      <c r="H1086" s="7" t="n"/>
      <c r="I1086" s="7" t="n"/>
      <c r="J1086" s="7" t="n"/>
      <c r="K1086" s="2" t="inlineStr">
        <is>
          <t>Zion’s Watch Tower Tract Society is formed</t>
        </is>
      </c>
      <c r="L1086" s="2" t="n"/>
      <c r="M1086" s="7" t="inlineStr">
        <is>
          <t>Zion’s Watch Tower Tract Society is organized as an unincorporated body to handle the publishing of tracts.</t>
        </is>
      </c>
      <c r="N1086" s="7" t="inlineStr">
        <is>
          <t>1881-ல் ஸயன்ஸ் உவாட்ச் டவர் டிராக்ட் சொஸைட்டி உருவானது; பின்னர் 1884-ல், அது ரஸலை பிரஸிடென்ட்டாக கொண்ட ஓர் சட்டப்பூர்வ அமைப்பாக ஆனது. பிற்பாடு உவாட்ச் டவர் பைபிள் அண்டு டிராக்ட் சொஸைட்டி என பெயர் மாற்றப்பட்டது.</t>
        </is>
      </c>
      <c r="O1086" s="13" t="inlineStr">
        <is>
          <t>Jehovah's Witnesses</t>
        </is>
      </c>
      <c r="P1086" s="7" t="inlineStr">
        <is>
          <t>jw.organization</t>
        </is>
      </c>
      <c r="Q1086" s="7" t="inlineStr">
        <is>
          <t>founding</t>
        </is>
      </c>
      <c r="R1086" s="7" t="n"/>
      <c r="S1086" s="7" t="n"/>
      <c r="T1086" s="7" t="n"/>
      <c r="U1086" s="7" t="n"/>
      <c r="V1086" s="7" t="n">
        <v>3</v>
      </c>
      <c r="W1086" s="7" t="inlineStr">
        <is>
          <t>Noteworthy Events in the Modern-day History of Jehovah’s Witnesses</t>
        </is>
      </c>
      <c r="X1086" s="9" t="inlineStr">
        <is>
          <t>open</t>
        </is>
      </c>
      <c r="Y1086" s="7" t="n"/>
      <c r="Z1086" s="7" t="inlineStr">
        <is>
          <t>https://wol.jw.org/en/wol/d/r1/lp-e/1101993046
https://wol.jw.org/en/wol/d/r1/lp-e/1101993036
https://wol.jw.org/en/wol/d/r1/lp-e/1102000101</t>
        </is>
      </c>
      <c r="AA1086" s="7" t="n">
        <v>0</v>
      </c>
      <c r="AB1086" s="7" t="n"/>
      <c r="AC1086" s="7" t="n">
        <v>0</v>
      </c>
      <c r="AD1086" s="7" t="n"/>
      <c r="AE1086" s="7" t="n"/>
      <c r="AF1086" s="7" t="n"/>
      <c r="AG1086" s="7" t="n"/>
      <c r="AH1086" s="7" t="n"/>
      <c r="AI1086" s="7" t="n"/>
      <c r="AJ1086" s="7" t="n"/>
      <c r="AK1086" s="7" t="n"/>
      <c r="AL1086" s="7" t="n"/>
      <c r="AM1086" s="7" t="n">
        <v>1881.1208</v>
      </c>
      <c r="AN1086" s="10" t="n"/>
      <c r="AO1086" s="10" t="n"/>
      <c r="AP1086" s="10" t="n"/>
      <c r="AQ1086" s="10" t="n"/>
    </row>
    <row r="1087">
      <c r="A1087" s="7" t="inlineStr">
        <is>
          <t>b8-0031</t>
        </is>
      </c>
      <c r="B1087" s="7" t="inlineStr">
        <is>
          <t>Point</t>
        </is>
      </c>
      <c r="C1087" s="7" t="n"/>
      <c r="D1087" s="7" t="inlineStr">
        <is>
          <t>September 1881</t>
        </is>
      </c>
      <c r="E1087" s="7" t="n"/>
      <c r="F1087" s="7" t="inlineStr">
        <is>
          <t>1881 CE</t>
        </is>
      </c>
      <c r="G1087" s="7" t="inlineStr">
        <is>
          <t>Exact</t>
        </is>
      </c>
      <c r="H1087" s="7" t="n"/>
      <c r="I1087" s="7" t="n"/>
      <c r="J1087" s="7" t="n"/>
      <c r="K1087" s="2" t="inlineStr">
        <is>
          <t>Food for Thinking Christians distributed; 300,000 copies in Britain</t>
        </is>
      </c>
      <c r="L1087" s="2" t="n"/>
      <c r="M1087" s="7" t="inlineStr">
        <is>
          <t>The 162-page Food for Thinking Christians, first issued as a special edition of Zion’s Watch Tower in September 1881, is distributed; 300,000 copies go to churchgoers in principal cities of Britain.</t>
        </is>
      </c>
      <c r="N1087" s="7" t="n"/>
      <c r="O1087" s="13" t="inlineStr">
        <is>
          <t>Jehovah's Witnesses</t>
        </is>
      </c>
      <c r="P1087" s="7" t="inlineStr">
        <is>
          <t>jw.publication</t>
        </is>
      </c>
      <c r="Q1087" s="7" t="inlineStr">
        <is>
          <t>release</t>
        </is>
      </c>
      <c r="R1087" s="7" t="n"/>
      <c r="S1087" s="7" t="inlineStr">
        <is>
          <t>Britain</t>
        </is>
      </c>
      <c r="T1087" s="7" t="n"/>
      <c r="U1087" s="7" t="n"/>
      <c r="V1087" s="7" t="n">
        <v>2</v>
      </c>
      <c r="W1087" s="7" t="inlineStr">
        <is>
          <t>Noteworthy Events in the Modern-day History of Jehovah’s Witnesses</t>
        </is>
      </c>
      <c r="X1087" s="9" t="inlineStr">
        <is>
          <t>open</t>
        </is>
      </c>
      <c r="Y1087" s="7" t="n"/>
      <c r="Z1087" s="7" t="inlineStr">
        <is>
          <t>https://wol.jw.org/en/wol/d/r1/lp-e/1101993046
https://wol.jw.org/en/wol/d/r1/lp-e/1101993012</t>
        </is>
      </c>
      <c r="AA1087" s="7" t="n">
        <v>0</v>
      </c>
      <c r="AB1087" s="7" t="n"/>
      <c r="AC1087" s="7" t="n">
        <v>0</v>
      </c>
      <c r="AD1087" s="7" t="n"/>
      <c r="AE1087" s="7" t="n"/>
      <c r="AF1087" s="7" t="n"/>
      <c r="AG1087" s="7" t="n"/>
      <c r="AH1087" s="7" t="n"/>
      <c r="AI1087" s="7" t="n"/>
      <c r="AJ1087" s="7" t="n"/>
      <c r="AK1087" s="7" t="n"/>
      <c r="AL1087" s="7" t="n"/>
      <c r="AM1087" s="7" t="n">
        <v>1881.6667</v>
      </c>
      <c r="AN1087" s="10" t="n"/>
      <c r="AO1087" s="10" t="n"/>
      <c r="AP1087" s="10" t="n"/>
      <c r="AQ1087" s="10" t="n"/>
    </row>
    <row r="1088">
      <c r="A1088" s="7" t="inlineStr">
        <is>
          <t>b8-0032</t>
        </is>
      </c>
      <c r="B1088" s="7" t="inlineStr">
        <is>
          <t>Point</t>
        </is>
      </c>
      <c r="C1088" s="7" t="n"/>
      <c r="D1088" s="7" t="inlineStr">
        <is>
          <t>October 1881</t>
        </is>
      </c>
      <c r="E1088" s="7" t="n"/>
      <c r="F1088" s="7" t="inlineStr">
        <is>
          <t>1881 CE</t>
        </is>
      </c>
      <c r="G1088" s="7" t="inlineStr">
        <is>
          <t>Exact</t>
        </is>
      </c>
      <c r="H1088" s="7" t="n"/>
      <c r="I1088" s="7" t="n"/>
      <c r="J1088" s="7" t="n"/>
      <c r="K1088" s="2" t="inlineStr">
        <is>
          <t>Faithful and wise servant explained as a collective servant</t>
        </is>
      </c>
      <c r="L1088" s="2" t="n"/>
      <c r="M1088" s="7" t="inlineStr">
        <is>
          <t>The October-November 1881 Watch Tower explains that the “faithful and wise servant” is a collective servant made up of all spirit-anointed members of Christ’s body on earth; the same issue identifies Jehovah as the name of the Supreme Being.</t>
        </is>
      </c>
      <c r="N1088" s="7" t="n"/>
      <c r="O1088" s="13" t="inlineStr">
        <is>
          <t>Jehovah's Witnesses</t>
        </is>
      </c>
      <c r="P1088" s="7" t="inlineStr">
        <is>
          <t>jw.doctrine</t>
        </is>
      </c>
      <c r="Q1088" s="7" t="inlineStr">
        <is>
          <t>teaching</t>
        </is>
      </c>
      <c r="R1088" s="7" t="n"/>
      <c r="S1088" s="7" t="n"/>
      <c r="T1088" s="7" t="inlineStr">
        <is>
          <t>Matt. 24:45-47</t>
        </is>
      </c>
      <c r="U1088" s="7" t="n"/>
      <c r="V1088" s="7" t="n">
        <v>1</v>
      </c>
      <c r="W1088" s="7" t="inlineStr">
        <is>
          <t>Growing in Accurate Knowledge of the Truth</t>
        </is>
      </c>
      <c r="X1088" s="9" t="inlineStr">
        <is>
          <t>open</t>
        </is>
      </c>
      <c r="Y1088" s="7" t="n"/>
      <c r="Z1088" s="7" t="inlineStr">
        <is>
          <t>https://wol.jw.org/en/wol/d/r1/lp-e/1101993012</t>
        </is>
      </c>
      <c r="AA1088" s="7" t="n">
        <v>0</v>
      </c>
      <c r="AB1088" s="7" t="n"/>
      <c r="AC1088" s="7" t="n">
        <v>0</v>
      </c>
      <c r="AD1088" s="7" t="n"/>
      <c r="AE1088" s="7" t="n"/>
      <c r="AF1088" s="7" t="n"/>
      <c r="AG1088" s="7" t="n"/>
      <c r="AH1088" s="7" t="n"/>
      <c r="AI1088" s="7" t="n"/>
      <c r="AJ1088" s="7" t="n"/>
      <c r="AK1088" s="7" t="n"/>
      <c r="AL1088" s="7" t="n"/>
      <c r="AM1088" s="7" t="n">
        <v>1881.75</v>
      </c>
      <c r="AN1088" s="10" t="n"/>
      <c r="AO1088" s="10" t="n"/>
      <c r="AP1088" s="10" t="n"/>
      <c r="AQ1088" s="10" t="n"/>
    </row>
    <row r="1089">
      <c r="A1089" s="7" t="inlineStr">
        <is>
          <t>b8-0033</t>
        </is>
      </c>
      <c r="B1089" s="7" t="inlineStr">
        <is>
          <t>Point</t>
        </is>
      </c>
      <c r="C1089" s="7" t="n"/>
      <c r="D1089" s="7" t="inlineStr">
        <is>
          <t>1882</t>
        </is>
      </c>
      <c r="E1089" s="7" t="inlineStr">
        <is>
          <t>1882</t>
        </is>
      </c>
      <c r="F1089" s="7" t="inlineStr">
        <is>
          <t>1882 CE</t>
        </is>
      </c>
      <c r="G1089" s="7" t="inlineStr">
        <is>
          <t>Exact</t>
        </is>
      </c>
      <c r="H1089" s="7" t="n"/>
      <c r="I1089" s="7" t="n"/>
      <c r="J1089" s="7" t="n"/>
      <c r="K1089" s="2" t="inlineStr">
        <is>
          <t>Watch Tower article refutes the Trinity doctrine</t>
        </is>
      </c>
      <c r="L1089" s="2" t="inlineStr">
        <is>
          <t>திரித்துவப் போதனை பொய் என்பதைக் காட்டும் ஒரு கட்டுரை வெளியிடப்படுகிறது</t>
        </is>
      </c>
      <c r="M1089" s="7" t="inlineStr">
        <is>
          <t>An article refuting the Trinity doctrine is published in Zion’s Watch Tower (June 1882).</t>
        </is>
      </c>
      <c r="N1089" s="7" t="inlineStr">
        <is>
          <t>திரித்துவப் போதனை பொய் என்பதைக் காட்டும் ஒரு கட்டுரை வெளியிடப்படுகிறது</t>
        </is>
      </c>
      <c r="O1089" s="13" t="inlineStr">
        <is>
          <t>Jehovah's Witnesses</t>
        </is>
      </c>
      <c r="P1089" s="7" t="inlineStr">
        <is>
          <t>jw.doctrine</t>
        </is>
      </c>
      <c r="Q1089" s="7" t="inlineStr">
        <is>
          <t>article</t>
        </is>
      </c>
      <c r="R1089" s="7" t="n"/>
      <c r="S1089" s="7" t="n"/>
      <c r="T1089" s="7" t="n"/>
      <c r="U1089" s="7" t="n"/>
      <c r="V1089" s="7" t="n">
        <v>2</v>
      </c>
      <c r="W1089" s="7" t="inlineStr">
        <is>
          <t>The Kingdom Is Born in Heaven</t>
        </is>
      </c>
      <c r="X1089" s="9" t="inlineStr">
        <is>
          <t>open</t>
        </is>
      </c>
      <c r="Y1089" s="9" t="inlineStr">
        <is>
          <t>open</t>
        </is>
      </c>
      <c r="Z1089" s="7" t="inlineStr">
        <is>
          <t>https://wol.jw.org/en/wol/d/r1/lp-e/1102014241
https://wol.jw.org/en/wol/d/r1/lp-e/1101993012</t>
        </is>
      </c>
      <c r="AA1089" s="7" t="n">
        <v>0</v>
      </c>
      <c r="AB1089" s="7" t="n"/>
      <c r="AC1089" s="7" t="n">
        <v>0</v>
      </c>
      <c r="AD1089" s="7" t="n"/>
      <c r="AE1089" s="7" t="n"/>
      <c r="AF1089" s="7" t="n"/>
      <c r="AG1089" s="7" t="n"/>
      <c r="AH1089" s="7" t="n"/>
      <c r="AI1089" s="7" t="n"/>
      <c r="AJ1089" s="7" t="n"/>
      <c r="AK1089" s="7" t="n"/>
      <c r="AL1089" s="7" t="n"/>
      <c r="AM1089" s="7" t="n">
        <v>1882</v>
      </c>
      <c r="AN1089" s="10" t="n"/>
      <c r="AO1089" s="10" t="n"/>
      <c r="AP1089" s="10" t="n"/>
      <c r="AQ1089" s="10" t="n"/>
    </row>
    <row r="1090">
      <c r="A1090" s="7" t="inlineStr">
        <is>
          <t>b8-0034</t>
        </is>
      </c>
      <c r="B1090" s="7" t="inlineStr">
        <is>
          <t>Point</t>
        </is>
      </c>
      <c r="C1090" s="7" t="n"/>
      <c r="D1090" s="7" t="inlineStr">
        <is>
          <t>1882</t>
        </is>
      </c>
      <c r="E1090" s="7" t="n"/>
      <c r="F1090" s="7" t="inlineStr">
        <is>
          <t>1882 CE</t>
        </is>
      </c>
      <c r="G1090" s="7" t="inlineStr">
        <is>
          <t>Exact</t>
        </is>
      </c>
      <c r="H1090" s="7" t="n"/>
      <c r="I1090" s="7" t="n"/>
      <c r="J1090" s="7" t="n"/>
      <c r="K1090" s="2" t="inlineStr">
        <is>
          <t>Pittsburgh congregation votes Russell its pastor</t>
        </is>
      </c>
      <c r="L1090" s="2" t="n"/>
      <c r="M1090" s="7" t="inlineStr">
        <is>
          <t>The congregation in Pittsburgh, Pennsylvania, becomes the first to vote C. T. Russell its pastor.</t>
        </is>
      </c>
      <c r="N1090" s="7" t="n"/>
      <c r="O1090" s="13" t="inlineStr">
        <is>
          <t>Jehovah's Witnesses</t>
        </is>
      </c>
      <c r="P1090" s="7" t="inlineStr">
        <is>
          <t>jw.organization</t>
        </is>
      </c>
      <c r="Q1090" s="7" t="inlineStr">
        <is>
          <t>appointment</t>
        </is>
      </c>
      <c r="R1090" s="7" t="inlineStr">
        <is>
          <t>Charles Taze Russell</t>
        </is>
      </c>
      <c r="S1090" s="7" t="inlineStr">
        <is>
          <t>Pittsburgh</t>
        </is>
      </c>
      <c r="T1090" s="7" t="n"/>
      <c r="U1090" s="7" t="n"/>
      <c r="V1090" s="7" t="n">
        <v>1</v>
      </c>
      <c r="W1090" s="7" t="inlineStr">
        <is>
          <t>Proclaiming the Lord’s Return (1870-1914)</t>
        </is>
      </c>
      <c r="X1090" s="9" t="inlineStr">
        <is>
          <t>open</t>
        </is>
      </c>
      <c r="Y1090" s="7" t="n"/>
      <c r="Z1090" s="7" t="inlineStr">
        <is>
          <t>https://wol.jw.org/en/wol/d/r1/lp-e/1101993006</t>
        </is>
      </c>
      <c r="AA1090" s="7" t="n">
        <v>0</v>
      </c>
      <c r="AB1090" s="7" t="n"/>
      <c r="AC1090" s="7" t="n">
        <v>0</v>
      </c>
      <c r="AD1090" s="7" t="n"/>
      <c r="AE1090" s="7" t="n"/>
      <c r="AF1090" s="7" t="n"/>
      <c r="AG1090" s="7" t="n"/>
      <c r="AH1090" s="7" t="n"/>
      <c r="AI1090" s="7" t="n"/>
      <c r="AJ1090" s="7" t="n"/>
      <c r="AK1090" s="7" t="n"/>
      <c r="AL1090" s="7" t="n"/>
      <c r="AM1090" s="7" t="n">
        <v>1882</v>
      </c>
      <c r="AN1090" s="10" t="n"/>
      <c r="AO1090" s="10" t="n"/>
      <c r="AP1090" s="10" t="n"/>
      <c r="AQ1090" s="10" t="n"/>
    </row>
    <row r="1091">
      <c r="A1091" s="7" t="inlineStr">
        <is>
          <t>b8-0035</t>
        </is>
      </c>
      <c r="B1091" s="7" t="inlineStr">
        <is>
          <t>Point</t>
        </is>
      </c>
      <c r="C1091" s="7" t="n"/>
      <c r="D1091" s="7" t="inlineStr">
        <is>
          <t>1883</t>
        </is>
      </c>
      <c r="E1091" s="7" t="n"/>
      <c r="F1091" s="7" t="inlineStr">
        <is>
          <t>1883 CE</t>
        </is>
      </c>
      <c r="G1091" s="7" t="inlineStr">
        <is>
          <t>Exact</t>
        </is>
      </c>
      <c r="H1091" s="7" t="n"/>
      <c r="I1091" s="7" t="n"/>
      <c r="J1091" s="7" t="n"/>
      <c r="K1091" s="2" t="inlineStr">
        <is>
          <t>Watch Tower reaches China</t>
        </is>
      </c>
      <c r="L1091" s="2" t="n"/>
      <c r="M1091" s="7" t="inlineStr">
        <is>
          <t>The Watch Tower reaches China, where a former Presbyterian missionary soon begins to witness to others.</t>
        </is>
      </c>
      <c r="N1091" s="7" t="n"/>
      <c r="O1091" s="13" t="inlineStr">
        <is>
          <t>Jehovah's Witnesses</t>
        </is>
      </c>
      <c r="P1091" s="7" t="inlineStr">
        <is>
          <t>jw.preaching</t>
        </is>
      </c>
      <c r="Q1091" s="7" t="inlineStr">
        <is>
          <t>expansion</t>
        </is>
      </c>
      <c r="R1091" s="7" t="n"/>
      <c r="S1091" s="7" t="inlineStr">
        <is>
          <t>China</t>
        </is>
      </c>
      <c r="T1091" s="7" t="n"/>
      <c r="U1091" s="7" t="n"/>
      <c r="V1091" s="7" t="n">
        <v>1</v>
      </c>
      <c r="W1091" s="7" t="inlineStr">
        <is>
          <t>Noteworthy Events in the Modern-day History of Jehovah’s Witnesses</t>
        </is>
      </c>
      <c r="X1091" s="9" t="inlineStr">
        <is>
          <t>open</t>
        </is>
      </c>
      <c r="Y1091" s="7" t="n"/>
      <c r="Z1091" s="7" t="inlineStr">
        <is>
          <t>https://wol.jw.org/en/wol/d/r1/lp-e/1101993046</t>
        </is>
      </c>
      <c r="AA1091" s="7" t="n">
        <v>0</v>
      </c>
      <c r="AB1091" s="7" t="n"/>
      <c r="AC1091" s="7" t="n">
        <v>0</v>
      </c>
      <c r="AD1091" s="7" t="n"/>
      <c r="AE1091" s="7" t="n"/>
      <c r="AF1091" s="7" t="n"/>
      <c r="AG1091" s="7" t="n"/>
      <c r="AH1091" s="7" t="n"/>
      <c r="AI1091" s="7" t="n"/>
      <c r="AJ1091" s="7" t="n"/>
      <c r="AK1091" s="7" t="n"/>
      <c r="AL1091" s="7" t="n"/>
      <c r="AM1091" s="7" t="n">
        <v>1883</v>
      </c>
      <c r="AN1091" s="10" t="n"/>
      <c r="AO1091" s="10" t="n"/>
      <c r="AP1091" s="10" t="n"/>
      <c r="AQ1091" s="10" t="n"/>
    </row>
    <row r="1092">
      <c r="A1092" s="7" t="inlineStr">
        <is>
          <t>b8-0036</t>
        </is>
      </c>
      <c r="B1092" s="7" t="inlineStr">
        <is>
          <t>Point</t>
        </is>
      </c>
      <c r="C1092" s="7" t="n"/>
      <c r="D1092" s="7" t="inlineStr">
        <is>
          <t>1883</t>
        </is>
      </c>
      <c r="E1092" s="7" t="inlineStr">
        <is>
          <t>1883</t>
        </is>
      </c>
      <c r="F1092" s="7" t="inlineStr">
        <is>
          <t>1883 CE</t>
        </is>
      </c>
      <c r="G1092" s="7" t="inlineStr">
        <is>
          <t>Exact</t>
        </is>
      </c>
      <c r="H1092" s="7" t="n"/>
      <c r="I1092" s="7" t="n"/>
      <c r="J1092" s="7" t="n"/>
      <c r="K1092" s="2" t="inlineStr">
        <is>
          <t>Watch Tower reasons Jesus was born about October</t>
        </is>
      </c>
      <c r="L1092" s="2" t="n"/>
      <c r="M1092" s="7" t="inlineStr">
        <is>
          <t>Under the title “When Was Jesus Born?” the Watch Tower reasons that Jesus was born about the beginning of October, though Bible Students do not yet stop celebrating Christmas.</t>
        </is>
      </c>
      <c r="N1092" s="7" t="inlineStr">
        <is>
          <t>1883-ல் வெளிவந்த காவற்கோபுரத்தில், “இயேசு எப்போது பிறந்தார்?”</t>
        </is>
      </c>
      <c r="O1092" s="13" t="inlineStr">
        <is>
          <t>Jehovah's Witnesses</t>
        </is>
      </c>
      <c r="P1092" s="7" t="inlineStr">
        <is>
          <t>jw.doctrine</t>
        </is>
      </c>
      <c r="Q1092" s="7" t="inlineStr">
        <is>
          <t>article</t>
        </is>
      </c>
      <c r="R1092" s="7" t="n"/>
      <c r="S1092" s="7" t="n"/>
      <c r="T1092" s="7" t="n"/>
      <c r="U1092" s="7" t="n"/>
      <c r="V1092" s="7" t="n">
        <v>1</v>
      </c>
      <c r="W1092" s="7" t="inlineStr">
        <is>
          <t>The King Refines His People Spiritually</t>
        </is>
      </c>
      <c r="X1092" s="9" t="inlineStr">
        <is>
          <t>open</t>
        </is>
      </c>
      <c r="Y1092" s="9" t="inlineStr">
        <is>
          <t>open</t>
        </is>
      </c>
      <c r="Z1092" s="7" t="inlineStr">
        <is>
          <t>https://wol.jw.org/en/wol/d/r1/lp-e/1102014249</t>
        </is>
      </c>
      <c r="AA1092" s="7" t="n">
        <v>0</v>
      </c>
      <c r="AB1092" s="7" t="n"/>
      <c r="AC1092" s="7" t="n">
        <v>0</v>
      </c>
      <c r="AD1092" s="7" t="n"/>
      <c r="AE1092" s="7" t="n"/>
      <c r="AF1092" s="7" t="n"/>
      <c r="AG1092" s="7" t="n"/>
      <c r="AH1092" s="7" t="n"/>
      <c r="AI1092" s="7" t="n"/>
      <c r="AJ1092" s="7" t="n"/>
      <c r="AK1092" s="7" t="n"/>
      <c r="AL1092" s="7" t="n"/>
      <c r="AM1092" s="7" t="n">
        <v>1883</v>
      </c>
      <c r="AN1092" s="10" t="n"/>
      <c r="AO1092" s="10" t="n"/>
      <c r="AP1092" s="10" t="n"/>
      <c r="AQ1092" s="10" t="n"/>
    </row>
    <row r="1093">
      <c r="A1093" s="7" t="inlineStr">
        <is>
          <t>b8-0037</t>
        </is>
      </c>
      <c r="B1093" s="7" t="inlineStr">
        <is>
          <t>Point</t>
        </is>
      </c>
      <c r="C1093" s="7" t="n"/>
      <c r="D1093" s="7" t="inlineStr">
        <is>
          <t>1884</t>
        </is>
      </c>
      <c r="E1093" s="7" t="n"/>
      <c r="F1093" s="7" t="inlineStr">
        <is>
          <t>1884 CE</t>
        </is>
      </c>
      <c r="G1093" s="7" t="inlineStr">
        <is>
          <t>Exact</t>
        </is>
      </c>
      <c r="H1093" s="7" t="n"/>
      <c r="I1093" s="7" t="n"/>
      <c r="J1093" s="7" t="n"/>
      <c r="K1093" s="2" t="inlineStr">
        <is>
          <t>Food for Thinking Christians reaches Liberia</t>
        </is>
      </c>
      <c r="L1093" s="2" t="n"/>
      <c r="M1093" s="7" t="inlineStr">
        <is>
          <t>Food for Thinking Christians reaches Liberia, Africa, and an appreciative reader writes asking for copies to distribute.</t>
        </is>
      </c>
      <c r="N1093" s="7" t="n"/>
      <c r="O1093" s="13" t="inlineStr">
        <is>
          <t>Jehovah's Witnesses</t>
        </is>
      </c>
      <c r="P1093" s="7" t="inlineStr">
        <is>
          <t>jw.preaching</t>
        </is>
      </c>
      <c r="Q1093" s="7" t="inlineStr">
        <is>
          <t>expansion</t>
        </is>
      </c>
      <c r="R1093" s="7" t="n"/>
      <c r="S1093" s="7" t="inlineStr">
        <is>
          <t>Liberia</t>
        </is>
      </c>
      <c r="T1093" s="7" t="n"/>
      <c r="U1093" s="7" t="n"/>
      <c r="V1093" s="7" t="n">
        <v>1</v>
      </c>
      <c r="W1093" s="7" t="inlineStr">
        <is>
          <t>Noteworthy Events in the Modern-day History of Jehovah’s Witnesses</t>
        </is>
      </c>
      <c r="X1093" s="9" t="inlineStr">
        <is>
          <t>open</t>
        </is>
      </c>
      <c r="Y1093" s="7" t="n"/>
      <c r="Z1093" s="7" t="inlineStr">
        <is>
          <t>https://wol.jw.org/en/wol/d/r1/lp-e/1101993046</t>
        </is>
      </c>
      <c r="AA1093" s="7" t="n">
        <v>0</v>
      </c>
      <c r="AB1093" s="7" t="n"/>
      <c r="AC1093" s="7" t="n">
        <v>0</v>
      </c>
      <c r="AD1093" s="7" t="n"/>
      <c r="AE1093" s="7" t="n"/>
      <c r="AF1093" s="7" t="n"/>
      <c r="AG1093" s="7" t="n"/>
      <c r="AH1093" s="7" t="n"/>
      <c r="AI1093" s="7" t="n"/>
      <c r="AJ1093" s="7" t="n"/>
      <c r="AK1093" s="7" t="n"/>
      <c r="AL1093" s="7" t="n"/>
      <c r="AM1093" s="7" t="n">
        <v>1884</v>
      </c>
      <c r="AN1093" s="10" t="n"/>
      <c r="AO1093" s="10" t="n"/>
      <c r="AP1093" s="10" t="n"/>
      <c r="AQ1093" s="10" t="n"/>
    </row>
    <row r="1094">
      <c r="A1094" s="7" t="inlineStr">
        <is>
          <t>b12-0063</t>
        </is>
      </c>
      <c r="B1094" s="11" t="inlineStr">
        <is>
          <t>Span</t>
        </is>
      </c>
      <c r="C1094" s="7" t="inlineStr">
        <is>
          <t>office</t>
        </is>
      </c>
      <c r="D1094" s="7" t="inlineStr">
        <is>
          <t>1884–October 31, 1916</t>
        </is>
      </c>
      <c r="E1094" s="7" t="n"/>
      <c r="F1094" s="7" t="inlineStr">
        <is>
          <t>1884 CE</t>
        </is>
      </c>
      <c r="G1094" s="7" t="inlineStr">
        <is>
          <t>Exact</t>
        </is>
      </c>
      <c r="H1094" s="7" t="inlineStr">
        <is>
          <t>1916 CE</t>
        </is>
      </c>
      <c r="I1094" s="7" t="inlineStr">
        <is>
          <t>Exact</t>
        </is>
      </c>
      <c r="J1094" s="7" t="n"/>
      <c r="K1094" s="2" t="inlineStr">
        <is>
          <t>C. T. Russell, first president of the Watch Tower Society</t>
        </is>
      </c>
      <c r="L1094" s="2" t="n"/>
      <c r="M1094" s="7" t="inlineStr">
        <is>
          <t>When Zion’s Watch Tower Tract Society was legally incorporated in 1884, Charles Taze Russell became its president; he served until his death on a preaching journey in 1916.</t>
        </is>
      </c>
      <c r="N1094" s="7" t="inlineStr">
        <is>
          <t>சார்ல்ஸ் டேஸ் ரஸல் அதனுடைய தலைவராக ஆனார்.</t>
        </is>
      </c>
      <c r="O1094" s="13" t="inlineStr">
        <is>
          <t>Jehovah's Witnesses</t>
        </is>
      </c>
      <c r="P1094" s="7" t="inlineStr">
        <is>
          <t>jw.leadership</t>
        </is>
      </c>
      <c r="Q1094" s="7" t="n"/>
      <c r="R1094" s="7" t="inlineStr">
        <is>
          <t>Charles Taze Russell</t>
        </is>
      </c>
      <c r="S1094" s="7" t="n"/>
      <c r="T1094" s="7" t="n"/>
      <c r="U1094" s="7" t="n"/>
      <c r="V1094" s="7" t="n">
        <v>3</v>
      </c>
      <c r="W1094" s="7" t="inlineStr">
        <is>
          <t>June</t>
        </is>
      </c>
      <c r="X1094" s="9" t="inlineStr">
        <is>
          <t>open</t>
        </is>
      </c>
      <c r="Y1094" s="9" t="inlineStr">
        <is>
          <t>open</t>
        </is>
      </c>
      <c r="Z1094" s="7" t="inlineStr">
        <is>
          <t>https://wol.jw.org/en/wol/d/r1/lp-e/1102018055
https://wol.jw.org/en/wol/d/r1/lp-e/1999084
https://wol.jw.org/en/wol/d/r1/lp-e/1101993046</t>
        </is>
      </c>
      <c r="AA1094" s="7" t="n">
        <v>0</v>
      </c>
      <c r="AB1094" s="7" t="n"/>
      <c r="AC1094" s="7" t="n">
        <v>0</v>
      </c>
      <c r="AD1094" s="7" t="n"/>
      <c r="AE1094" s="7" t="n"/>
      <c r="AF1094" s="7" t="n"/>
      <c r="AG1094" s="7" t="inlineStr">
        <is>
          <t>b8-0101</t>
        </is>
      </c>
      <c r="AH1094" s="7" t="n"/>
      <c r="AI1094" s="7" t="n"/>
      <c r="AJ1094" s="7" t="n"/>
      <c r="AK1094" s="7" t="inlineStr">
        <is>
          <t>watch-tower-presidents #1 (ruler)</t>
        </is>
      </c>
      <c r="AL1094" s="7" t="inlineStr">
        <is>
          <t>The Society was first organized on February 16, 1881, with W. H. Conley as president (jv chap. 26); Russell’s presidency is counted from the 1884 incorporation.</t>
        </is>
      </c>
      <c r="AM1094" s="7" t="n">
        <v>1884</v>
      </c>
      <c r="AN1094" s="10" t="n"/>
      <c r="AO1094" s="10" t="n"/>
      <c r="AP1094" s="10" t="n"/>
      <c r="AQ1094" s="10" t="n"/>
    </row>
    <row r="1095">
      <c r="A1095" s="7" t="inlineStr">
        <is>
          <t>b8-0038</t>
        </is>
      </c>
      <c r="B1095" s="7" t="inlineStr">
        <is>
          <t>Point</t>
        </is>
      </c>
      <c r="C1095" s="7" t="n"/>
      <c r="D1095" s="7" t="inlineStr">
        <is>
          <t>December 15, 1884</t>
        </is>
      </c>
      <c r="E1095" s="7" t="inlineStr">
        <is>
          <t>டிசம்பர் 15, 1884</t>
        </is>
      </c>
      <c r="F1095" s="7" t="inlineStr">
        <is>
          <t>1884 CE</t>
        </is>
      </c>
      <c r="G1095" s="7" t="inlineStr">
        <is>
          <t>Exact</t>
        </is>
      </c>
      <c r="H1095" s="7" t="n"/>
      <c r="I1095" s="7" t="n"/>
      <c r="J1095" s="7" t="n"/>
      <c r="K1095" s="2" t="inlineStr">
        <is>
          <t>Zion’s Watch Tower Tract Society legally chartered in Pennsylvania</t>
        </is>
      </c>
      <c r="L1095" s="2" t="n"/>
      <c r="M1095" s="7" t="inlineStr">
        <is>
          <t>Zion’s Watch Tower Tract Society, later the Watch Tower Bible and Tract Society of Pennsylvania, is legally incorporated with Russell as president; the charter is officially recorded on December 15.</t>
        </is>
      </c>
      <c r="N1095" s="7" t="inlineStr">
        <is>
          <t>1881-ல் ஸயன்ஸ் உவாட்ச் டவர் டிராக்ட் சொஸைட்டி உருவானது; பின்னர் 1884-ல், அது ரஸலை பிரஸிடென்ட்டாக கொண்ட ஓர் சட்டப்பூர்வ அமைப்பாக ஆனது. பிற்பாடு உவாட்ச் டவர் பைபிள் அண்டு டிராக்ட் சொஸைட்டி என பெயர் மாற்றப்பட்டது.</t>
        </is>
      </c>
      <c r="O1095" s="13" t="inlineStr">
        <is>
          <t>Jehovah's Witnesses</t>
        </is>
      </c>
      <c r="P1095" s="7" t="inlineStr">
        <is>
          <t>jw.legal</t>
        </is>
      </c>
      <c r="Q1095" s="7" t="inlineStr">
        <is>
          <t>incorporation</t>
        </is>
      </c>
      <c r="R1095" s="7" t="inlineStr">
        <is>
          <t>Charles Taze Russell</t>
        </is>
      </c>
      <c r="S1095" s="7" t="inlineStr">
        <is>
          <t>Pennsylvania</t>
        </is>
      </c>
      <c r="T1095" s="7" t="n"/>
      <c r="U1095" s="7" t="n"/>
      <c r="V1095" s="7" t="n">
        <v>4</v>
      </c>
      <c r="W1095" s="7" t="inlineStr">
        <is>
          <t>Noteworthy Events in the Modern-day History of Jehovah’s Witnesses</t>
        </is>
      </c>
      <c r="X1095" s="9" t="inlineStr">
        <is>
          <t>open</t>
        </is>
      </c>
      <c r="Y1095" s="7" t="n"/>
      <c r="Z1095" s="7" t="inlineStr">
        <is>
          <t>https://wol.jw.org/en/wol/d/r1/lp-e/1101993046
https://wol.jw.org/en/wol/d/r1/lp-e/1101993018
https://www.jw.org/en/news/region/united-states/historic-milestones-united-states/
https://wol.jw.org/en/wol/d/r1/lp-e/1102000101</t>
        </is>
      </c>
      <c r="AA1095" s="7" t="n">
        <v>0</v>
      </c>
      <c r="AB1095" s="7" t="n"/>
      <c r="AC1095" s="7" t="n">
        <v>0</v>
      </c>
      <c r="AD1095" s="7" t="n"/>
      <c r="AE1095" s="7" t="n"/>
      <c r="AF1095" s="7" t="n"/>
      <c r="AG1095" s="7" t="n"/>
      <c r="AH1095" s="7" t="n"/>
      <c r="AI1095" s="7" t="n"/>
      <c r="AJ1095" s="7" t="n"/>
      <c r="AK1095" s="7" t="n"/>
      <c r="AL1095" s="7" t="n"/>
      <c r="AM1095" s="7" t="n">
        <v>1884.9517</v>
      </c>
      <c r="AN1095" s="10" t="n"/>
      <c r="AO1095" s="10" t="n"/>
      <c r="AP1095" s="10" t="n"/>
      <c r="AQ1095" s="10" t="n"/>
    </row>
    <row r="1096">
      <c r="A1096" s="7" t="inlineStr">
        <is>
          <t>b8-0039</t>
        </is>
      </c>
      <c r="B1096" s="7" t="inlineStr">
        <is>
          <t>Point</t>
        </is>
      </c>
      <c r="C1096" s="7" t="n"/>
      <c r="D1096" s="7" t="inlineStr">
        <is>
          <t>1885</t>
        </is>
      </c>
      <c r="E1096" s="7" t="inlineStr">
        <is>
          <t>1885</t>
        </is>
      </c>
      <c r="F1096" s="7" t="inlineStr">
        <is>
          <t>1885 CE</t>
        </is>
      </c>
      <c r="G1096" s="7" t="inlineStr">
        <is>
          <t>Exact</t>
        </is>
      </c>
      <c r="H1096" s="7" t="n"/>
      <c r="I1096" s="7" t="n"/>
      <c r="J1096" s="7" t="n"/>
      <c r="K1096" s="2" t="inlineStr">
        <is>
          <t>Watch Tower publications read on five continents</t>
        </is>
      </c>
      <c r="L1096" s="2" t="inlineStr">
        <is>
          <t>காவற்கோபுர சங்கத்தின் பிரசுரங்கள் ஐந்து கண்டங்களிலுள்ள வாசகர்களுக்குக் கிடைக்கின்றன</t>
        </is>
      </c>
      <c r="M1096" s="7" t="inlineStr">
        <is>
          <t>Watch Tower publications are already being read in North and South America, Europe, Africa, and Asia.</t>
        </is>
      </c>
      <c r="N1096" s="7" t="inlineStr">
        <is>
          <t>காவற்கோபுர சங்கத்தின் பிரசுரங்கள் ஐந்து கண்டங்களிலுள்ள வாசகர்களுக்குக் கிடைக்கின்றன</t>
        </is>
      </c>
      <c r="O1096" s="13" t="inlineStr">
        <is>
          <t>Jehovah's Witnesses</t>
        </is>
      </c>
      <c r="P1096" s="7" t="inlineStr">
        <is>
          <t>jw.preaching</t>
        </is>
      </c>
      <c r="Q1096" s="7" t="inlineStr">
        <is>
          <t>expansion</t>
        </is>
      </c>
      <c r="R1096" s="7" t="n"/>
      <c r="S1096" s="7" t="n"/>
      <c r="T1096" s="7" t="n"/>
      <c r="U1096" s="7" t="n"/>
      <c r="V1096" s="7" t="n">
        <v>2</v>
      </c>
      <c r="W1096" s="7" t="inlineStr">
        <is>
          <t>Noteworthy Events in the Modern-day History of Jehovah’s Witnesses</t>
        </is>
      </c>
      <c r="X1096" s="9" t="inlineStr">
        <is>
          <t>open</t>
        </is>
      </c>
      <c r="Y1096" s="7" t="n"/>
      <c r="Z1096" s="7" t="inlineStr">
        <is>
          <t>https://wol.jw.org/en/wol/d/r1/lp-e/1101993046
https://wol.jw.org/en/wol/d/r1/lp-e/1102014241</t>
        </is>
      </c>
      <c r="AA1096" s="7" t="n">
        <v>0</v>
      </c>
      <c r="AB1096" s="7" t="n"/>
      <c r="AC1096" s="7" t="n">
        <v>0</v>
      </c>
      <c r="AD1096" s="7" t="n"/>
      <c r="AE1096" s="7" t="n"/>
      <c r="AF1096" s="7" t="n"/>
      <c r="AG1096" s="7" t="n"/>
      <c r="AH1096" s="7" t="n"/>
      <c r="AI1096" s="7" t="n"/>
      <c r="AJ1096" s="7" t="n"/>
      <c r="AK1096" s="7" t="n"/>
      <c r="AL1096" s="7" t="n"/>
      <c r="AM1096" s="7" t="n">
        <v>1885</v>
      </c>
      <c r="AN1096" s="10" t="n"/>
      <c r="AO1096" s="10" t="n"/>
      <c r="AP1096" s="10" t="n"/>
      <c r="AQ1096" s="10" t="n"/>
    </row>
    <row r="1097">
      <c r="A1097" s="7" t="inlineStr">
        <is>
          <t>b8-0040</t>
        </is>
      </c>
      <c r="B1097" s="7" t="inlineStr">
        <is>
          <t>Point</t>
        </is>
      </c>
      <c r="C1097" s="7" t="n"/>
      <c r="D1097" s="7" t="inlineStr">
        <is>
          <t>1886</t>
        </is>
      </c>
      <c r="E1097" s="7" t="inlineStr">
        <is>
          <t>1886</t>
        </is>
      </c>
      <c r="F1097" s="7" t="inlineStr">
        <is>
          <t>1886 CE</t>
        </is>
      </c>
      <c r="G1097" s="7" t="inlineStr">
        <is>
          <t>Exact</t>
        </is>
      </c>
      <c r="H1097" s="7" t="n"/>
      <c r="I1097" s="7" t="n"/>
      <c r="J1097" s="7" t="n"/>
      <c r="K1097" s="2" t="inlineStr">
        <is>
          <t>The Divine Plan of the Ages published</t>
        </is>
      </c>
      <c r="L1097" s="2" t="inlineStr">
        <is>
          <t>காலங்களின் தெய்வீக திட்டம் என்ற புத்தகம் வெளியிடப்படுகிறது; இது வேதாகமத்தில் படிப்புகள் என்று பிற்பாடு அழைக்கப்பட்ட புத்தகத்தின் முதல் தொகுதி</t>
        </is>
      </c>
      <c r="M1097" s="7" t="inlineStr">
        <is>
          <t>The Divine Plan of the Ages, first volume of the Millennial Dawn series (later called Studies in the Scriptures), written by C. T. Russell, is published.</t>
        </is>
      </c>
      <c r="N1097" s="7" t="inlineStr">
        <is>
          <t>காலங்களின் தெய்வீக திட்டம் என்ற புத்தகம் வெளியிடப்படுகிறது; இது வேதாகமத்தில் படிப்புகள் என்று பிற்பாடு அழைக்கப்பட்ட புத்தகத்தின் முதல் தொகுதி</t>
        </is>
      </c>
      <c r="O1097" s="13" t="inlineStr">
        <is>
          <t>Jehovah's Witnesses</t>
        </is>
      </c>
      <c r="P1097" s="7" t="inlineStr">
        <is>
          <t>jw.publication</t>
        </is>
      </c>
      <c r="Q1097" s="7" t="inlineStr">
        <is>
          <t>release</t>
        </is>
      </c>
      <c r="R1097" s="7" t="inlineStr">
        <is>
          <t>Charles Taze Russell</t>
        </is>
      </c>
      <c r="S1097" s="7" t="n"/>
      <c r="T1097" s="7" t="n"/>
      <c r="U1097" s="7" t="n"/>
      <c r="V1097" s="7" t="n">
        <v>4</v>
      </c>
      <c r="W1097" s="7" t="inlineStr">
        <is>
          <t>Noteworthy Events in the Modern-day History of Jehovah’s Witnesses</t>
        </is>
      </c>
      <c r="X1097" s="9" t="inlineStr">
        <is>
          <t>open</t>
        </is>
      </c>
      <c r="Y1097" s="7" t="n"/>
      <c r="Z1097" s="7" t="inlineStr">
        <is>
          <t>https://wol.jw.org/en/wol/d/r1/lp-e/1101993046
https://wol.jw.org/en/wol/d/r1/lp-e/1102014241
https://wol.jw.org/en/wol/d/r1/lp-e/1101993006
https://wol.jw.org/en/wol/d/r1/lp-e/1101993036</t>
        </is>
      </c>
      <c r="AA1097" s="7" t="n">
        <v>0</v>
      </c>
      <c r="AB1097" s="7" t="n"/>
      <c r="AC1097" s="7" t="n">
        <v>0</v>
      </c>
      <c r="AD1097" s="7" t="n"/>
      <c r="AE1097" s="7" t="n"/>
      <c r="AF1097" s="7" t="n"/>
      <c r="AG1097" s="7" t="n"/>
      <c r="AH1097" s="7" t="n"/>
      <c r="AI1097" s="7" t="n"/>
      <c r="AJ1097" s="7" t="n"/>
      <c r="AK1097" s="7" t="n"/>
      <c r="AL1097" s="7" t="n"/>
      <c r="AM1097" s="7" t="n">
        <v>1886</v>
      </c>
      <c r="AN1097" s="10" t="n"/>
      <c r="AO1097" s="10" t="n"/>
      <c r="AP1097" s="10" t="n"/>
      <c r="AQ1097" s="10" t="n"/>
    </row>
    <row r="1098">
      <c r="A1098" s="7" t="inlineStr">
        <is>
          <t>b8-0041</t>
        </is>
      </c>
      <c r="B1098" s="7" t="inlineStr">
        <is>
          <t>Point</t>
        </is>
      </c>
      <c r="C1098" s="7" t="n"/>
      <c r="D1098" s="7" t="inlineStr">
        <is>
          <t>April 18, 1886</t>
        </is>
      </c>
      <c r="E1098" s="7" t="inlineStr">
        <is>
          <t>ஏப்ரல் 18, 1886</t>
        </is>
      </c>
      <c r="F1098" s="7" t="inlineStr">
        <is>
          <t>1886 CE</t>
        </is>
      </c>
      <c r="G1098" s="7" t="inlineStr">
        <is>
          <t>Exact</t>
        </is>
      </c>
      <c r="H1098" s="7" t="n"/>
      <c r="I1098" s="7" t="n"/>
      <c r="J1098" s="7" t="n"/>
      <c r="K1098" s="2" t="inlineStr">
        <is>
          <t>Three-day “general meeting” after the Memorial begins annual conventions</t>
        </is>
      </c>
      <c r="L1098" s="2" t="n"/>
      <c r="M1098" s="7" t="inlineStr">
        <is>
          <t>The Watch Tower invites readers to a three-day “general meeting” following the Memorial (held April 18, 1886, at Allegheny), beginning the practice of annual conventions.</t>
        </is>
      </c>
      <c r="N1098" s="7" t="inlineStr">
        <is>
          <t>கிறிஸ்துவின் மரண நினைவு நாளுக்குப் பிறகு மூன்று நாள் “பொதுக் கூட்டத்துக்கு” வரும்படி காவற்கோபுரம் அதன் வாசகர்களை அழைக்கிறது. இப்படி, வருஷாவருஷம் மாநாடுகளை நடத்தும் பழக்கம் ஆரம்பமாகிறது</t>
        </is>
      </c>
      <c r="O1098" s="13" t="inlineStr">
        <is>
          <t>Jehovah's Witnesses</t>
        </is>
      </c>
      <c r="P1098" s="7" t="inlineStr">
        <is>
          <t>jw.convention</t>
        </is>
      </c>
      <c r="Q1098" s="7" t="inlineStr">
        <is>
          <t>convention</t>
        </is>
      </c>
      <c r="R1098" s="7" t="n"/>
      <c r="S1098" s="7" t="inlineStr">
        <is>
          <t>Allegheny, Pennsylvania</t>
        </is>
      </c>
      <c r="T1098" s="7" t="n"/>
      <c r="U1098" s="7" t="n"/>
      <c r="V1098" s="7" t="n">
        <v>2</v>
      </c>
      <c r="W1098" s="7" t="inlineStr">
        <is>
          <t>The Kingdom Is Born in Heaven</t>
        </is>
      </c>
      <c r="X1098" s="9" t="inlineStr">
        <is>
          <t>open</t>
        </is>
      </c>
      <c r="Y1098" s="9" t="inlineStr">
        <is>
          <t>open</t>
        </is>
      </c>
      <c r="Z1098" s="7" t="inlineStr">
        <is>
          <t>https://wol.jw.org/en/wol/d/r1/lp-e/1102014241
https://wol.jw.org/en/wol/d/r1/lp-e/1101993006</t>
        </is>
      </c>
      <c r="AA1098" s="7" t="n">
        <v>0</v>
      </c>
      <c r="AB1098" s="7" t="n"/>
      <c r="AC1098" s="7" t="n">
        <v>0</v>
      </c>
      <c r="AD1098" s="7" t="n"/>
      <c r="AE1098" s="7" t="n"/>
      <c r="AF1098" s="7" t="n"/>
      <c r="AG1098" s="7" t="n"/>
      <c r="AH1098" s="7" t="n"/>
      <c r="AI1098" s="7" t="n"/>
      <c r="AJ1098" s="7" t="n"/>
      <c r="AK1098" s="7" t="n"/>
      <c r="AL1098" s="7" t="n"/>
      <c r="AM1098" s="7" t="n">
        <v>1886.2925</v>
      </c>
      <c r="AN1098" s="10" t="n"/>
      <c r="AO1098" s="10" t="n"/>
      <c r="AP1098" s="10" t="n"/>
      <c r="AQ1098" s="10" t="n"/>
    </row>
    <row r="1099">
      <c r="A1099" s="7" t="inlineStr">
        <is>
          <t>b8-0042</t>
        </is>
      </c>
      <c r="B1099" s="7" t="inlineStr">
        <is>
          <t>Point</t>
        </is>
      </c>
      <c r="C1099" s="7" t="n"/>
      <c r="D1099" s="7" t="inlineStr">
        <is>
          <t>1889</t>
        </is>
      </c>
      <c r="E1099" s="7" t="inlineStr">
        <is>
          <t>1889</t>
        </is>
      </c>
      <c r="F1099" s="7" t="inlineStr">
        <is>
          <t>1889 CE</t>
        </is>
      </c>
      <c r="G1099" s="7" t="inlineStr">
        <is>
          <t>Exact</t>
        </is>
      </c>
      <c r="H1099" s="7" t="n"/>
      <c r="I1099" s="7" t="n"/>
      <c r="J1099" s="7" t="n"/>
      <c r="K1099" s="2" t="inlineStr">
        <is>
          <t>Bible House built in Allegheny as headquarters</t>
        </is>
      </c>
      <c r="L1099" s="2" t="inlineStr">
        <is>
          <t>பென்ஸில்வேனியா, அலிகென்னியில் பைபிள் ஹவுஸ் கட்டப்படுகிறது</t>
        </is>
      </c>
      <c r="M1099" s="7" t="inlineStr">
        <is>
          <t>A four-story brick building, the Bible House, is completed at 56-60 Arch Street, Allegheny, Pennsylvania, and serves as the Society’s headquarters until 1909.</t>
        </is>
      </c>
      <c r="N1099" s="7" t="inlineStr">
        <is>
          <t>பென்ஸில்வேனியா, அலிகென்னியில் பைபிள் ஹவுஸ் கட்டப்படுகிறது</t>
        </is>
      </c>
      <c r="O1099" s="13" t="inlineStr">
        <is>
          <t>Jehovah's Witnesses</t>
        </is>
      </c>
      <c r="P1099" s="7" t="inlineStr">
        <is>
          <t>jw.construction</t>
        </is>
      </c>
      <c r="Q1099" s="7" t="inlineStr">
        <is>
          <t>construction</t>
        </is>
      </c>
      <c r="R1099" s="7" t="n"/>
      <c r="S1099" s="7" t="inlineStr">
        <is>
          <t>Allegheny, Pennsylvania</t>
        </is>
      </c>
      <c r="T1099" s="7" t="n"/>
      <c r="U1099" s="7" t="n"/>
      <c r="V1099" s="7" t="n">
        <v>4</v>
      </c>
      <c r="W1099" s="7" t="inlineStr">
        <is>
          <t>Noteworthy Events in the Modern-day History of Jehovah’s Witnesses</t>
        </is>
      </c>
      <c r="X1099" s="9" t="inlineStr">
        <is>
          <t>open</t>
        </is>
      </c>
      <c r="Y1099" s="7" t="n"/>
      <c r="Z1099" s="7" t="inlineStr">
        <is>
          <t>https://wol.jw.org/en/wol/d/r1/lp-e/1101993046
https://wol.jw.org/en/wol/d/r1/lp-e/1102014241
https://wol.jw.org/en/wol/d/r1/lp-e/1101993006
https://wol.jw.org/en/wol/d/r1/lp-e/1101993018</t>
        </is>
      </c>
      <c r="AA1099" s="7" t="n">
        <v>0</v>
      </c>
      <c r="AB1099" s="7" t="n"/>
      <c r="AC1099" s="7" t="n">
        <v>1</v>
      </c>
      <c r="AD1099" s="7" t="inlineStr">
        <is>
          <t>jv ch. 15 caption says the Bible House served as headquarters 1890–1909, while jv events table and kr give 1889 as the year it was built/completed (not a true contradiction: built 1889, occupied 1890).</t>
        </is>
      </c>
      <c r="AE1099" s="7" t="n"/>
      <c r="AF1099" s="7" t="n"/>
      <c r="AG1099" s="7" t="n"/>
      <c r="AH1099" s="7" t="n"/>
      <c r="AI1099" s="7" t="inlineStr">
        <is>
          <t>Span endpoint – keep</t>
        </is>
      </c>
      <c r="AJ1099" s="7" t="inlineStr">
        <is>
          <t>start of Headquarters at the Bible House, Allegheny, Pennsylvania (b12-0064)</t>
        </is>
      </c>
      <c r="AK1099" s="7" t="n"/>
      <c r="AL1099" s="7" t="n"/>
      <c r="AM1099" s="7" t="n">
        <v>1889</v>
      </c>
      <c r="AN1099" s="10" t="n"/>
      <c r="AO1099" s="10" t="n"/>
      <c r="AP1099" s="10" t="n"/>
      <c r="AQ1099" s="10" t="n"/>
    </row>
    <row r="1100">
      <c r="A1100" s="7" t="inlineStr">
        <is>
          <t>b8-0043</t>
        </is>
      </c>
      <c r="B1100" s="7" t="inlineStr">
        <is>
          <t>Point</t>
        </is>
      </c>
      <c r="C1100" s="7" t="n"/>
      <c r="D1100" s="7" t="inlineStr">
        <is>
          <t>1889</t>
        </is>
      </c>
      <c r="E1100" s="7" t="n"/>
      <c r="F1100" s="7" t="inlineStr">
        <is>
          <t>1889 CE</t>
        </is>
      </c>
      <c r="G1100" s="7" t="inlineStr">
        <is>
          <t>Exact</t>
        </is>
      </c>
      <c r="H1100" s="7" t="n"/>
      <c r="I1100" s="7" t="n"/>
      <c r="J1100" s="7" t="n"/>
      <c r="K1100" s="2" t="inlineStr">
        <is>
          <t>Volume II The Time Is at Hand published</t>
        </is>
      </c>
      <c r="L1100" s="2" t="n"/>
      <c r="M1100" s="7" t="inlineStr">
        <is>
          <t>The Time Is at Hand, Volume II of Millennial Dawn, is published; its fourth chapter is devoted to “The Times of the Gentiles.”</t>
        </is>
      </c>
      <c r="N1100" s="7" t="n"/>
      <c r="O1100" s="13" t="inlineStr">
        <is>
          <t>Jehovah's Witnesses</t>
        </is>
      </c>
      <c r="P1100" s="7" t="inlineStr">
        <is>
          <t>jw.publication</t>
        </is>
      </c>
      <c r="Q1100" s="7" t="inlineStr">
        <is>
          <t>release</t>
        </is>
      </c>
      <c r="R1100" s="7" t="n"/>
      <c r="S1100" s="7" t="n"/>
      <c r="T1100" s="7" t="n"/>
      <c r="U1100" s="7" t="n"/>
      <c r="V1100" s="7" t="n">
        <v>2</v>
      </c>
      <c r="W1100" s="7" t="inlineStr">
        <is>
          <t>Proclaiming the Lord’s Return (1870-1914)</t>
        </is>
      </c>
      <c r="X1100" s="9" t="inlineStr">
        <is>
          <t>open</t>
        </is>
      </c>
      <c r="Y1100" s="7" t="n"/>
      <c r="Z1100" s="7" t="inlineStr">
        <is>
          <t>https://wol.jw.org/en/wol/d/r1/lp-e/1101993006
https://wol.jw.org/en/wol/d/r1/lp-e/1101993012</t>
        </is>
      </c>
      <c r="AA1100" s="7" t="n">
        <v>0</v>
      </c>
      <c r="AB1100" s="7" t="n"/>
      <c r="AC1100" s="7" t="n">
        <v>0</v>
      </c>
      <c r="AD1100" s="7" t="n"/>
      <c r="AE1100" s="7" t="n"/>
      <c r="AF1100" s="7" t="n"/>
      <c r="AG1100" s="7" t="n"/>
      <c r="AH1100" s="7" t="n"/>
      <c r="AI1100" s="7" t="n"/>
      <c r="AJ1100" s="7" t="n"/>
      <c r="AK1100" s="7" t="n"/>
      <c r="AL1100" s="7" t="n"/>
      <c r="AM1100" s="7" t="n">
        <v>1889</v>
      </c>
      <c r="AN1100" s="10" t="n"/>
      <c r="AO1100" s="10" t="n"/>
      <c r="AP1100" s="10" t="n"/>
      <c r="AQ1100" s="10" t="n"/>
    </row>
    <row r="1101">
      <c r="A1101" s="7" t="inlineStr">
        <is>
          <t>b8-0044</t>
        </is>
      </c>
      <c r="B1101" s="7" t="inlineStr">
        <is>
          <t>Point</t>
        </is>
      </c>
      <c r="C1101" s="7" t="n"/>
      <c r="D1101" s="7" t="inlineStr">
        <is>
          <t>1889</t>
        </is>
      </c>
      <c r="E1101" s="7" t="inlineStr">
        <is>
          <t>1889</t>
        </is>
      </c>
      <c r="F1101" s="7" t="inlineStr">
        <is>
          <t>1889 CE</t>
        </is>
      </c>
      <c r="G1101" s="7" t="inlineStr">
        <is>
          <t>Exact</t>
        </is>
      </c>
      <c r="H1101" s="7" t="n"/>
      <c r="I1101" s="7" t="n"/>
      <c r="J1101" s="7" t="n"/>
      <c r="K1101" s="2" t="inlineStr">
        <is>
          <t>First recorded Memorial convention attendance: 225</t>
        </is>
      </c>
      <c r="L1101" s="2" t="n"/>
      <c r="M1101" s="7" t="inlineStr">
        <is>
          <t>The first time records are kept for a convention held with the Memorial, 225 attend and 22 are baptized.</t>
        </is>
      </c>
      <c r="N1101" s="7" t="inlineStr">
        <is>
          <t>1889-ல் இப்படி நடந்த நிகழ்ச்சிக்கு 225 பேர் வந்தார்கள்.</t>
        </is>
      </c>
      <c r="O1101" s="13" t="inlineStr">
        <is>
          <t>Jehovah's Witnesses</t>
        </is>
      </c>
      <c r="P1101" s="7" t="inlineStr">
        <is>
          <t>jw.convention</t>
        </is>
      </c>
      <c r="Q1101" s="7" t="inlineStr">
        <is>
          <t>statistic</t>
        </is>
      </c>
      <c r="R1101" s="7" t="n"/>
      <c r="S1101" s="7" t="n"/>
      <c r="T1101" s="7" t="n"/>
      <c r="U1101" s="7" t="n"/>
      <c r="V1101" s="7" t="n">
        <v>1</v>
      </c>
      <c r="W1101" s="7" t="inlineStr">
        <is>
          <t>Meeting Together for Worship</t>
        </is>
      </c>
      <c r="X1101" s="9" t="inlineStr">
        <is>
          <t>open</t>
        </is>
      </c>
      <c r="Y1101" s="9" t="inlineStr">
        <is>
          <t>open</t>
        </is>
      </c>
      <c r="Z1101" s="7" t="inlineStr">
        <is>
          <t>https://wol.jw.org/en/wol/d/r1/lp-e/1102014255</t>
        </is>
      </c>
      <c r="AA1101" s="7" t="n">
        <v>0</v>
      </c>
      <c r="AB1101" s="7" t="n"/>
      <c r="AC1101" s="7" t="n">
        <v>0</v>
      </c>
      <c r="AD1101" s="7" t="n"/>
      <c r="AE1101" s="7" t="n"/>
      <c r="AF1101" s="7" t="n"/>
      <c r="AG1101" s="7" t="n"/>
      <c r="AH1101" s="7" t="n"/>
      <c r="AI1101" s="7" t="n"/>
      <c r="AJ1101" s="7" t="n"/>
      <c r="AK1101" s="7" t="n"/>
      <c r="AL1101" s="7" t="n"/>
      <c r="AM1101" s="7" t="n">
        <v>1889</v>
      </c>
      <c r="AN1101" s="10" t="n"/>
      <c r="AO1101" s="10" t="n"/>
      <c r="AP1101" s="10" t="n"/>
      <c r="AQ1101" s="10" t="n"/>
    </row>
    <row r="1102">
      <c r="A1102" s="7" t="inlineStr">
        <is>
          <t>b12-0064</t>
        </is>
      </c>
      <c r="B1102" s="11" t="inlineStr">
        <is>
          <t>Span</t>
        </is>
      </c>
      <c r="C1102" s="7" t="inlineStr">
        <is>
          <t>residence</t>
        </is>
      </c>
      <c r="D1102" s="7" t="inlineStr">
        <is>
          <t>1889–1909</t>
        </is>
      </c>
      <c r="E1102" s="7" t="n"/>
      <c r="F1102" s="7" t="inlineStr">
        <is>
          <t>1889 CE</t>
        </is>
      </c>
      <c r="G1102" s="7" t="inlineStr">
        <is>
          <t>Exact</t>
        </is>
      </c>
      <c r="H1102" s="7" t="inlineStr">
        <is>
          <t>1909 CE</t>
        </is>
      </c>
      <c r="I1102" s="7" t="inlineStr">
        <is>
          <t>Exact</t>
        </is>
      </c>
      <c r="J1102" s="7" t="n"/>
      <c r="K1102" s="2" t="inlineStr">
        <is>
          <t>Headquarters at the Bible House, Allegheny, Pennsylvania</t>
        </is>
      </c>
      <c r="L1102" s="2" t="n"/>
      <c r="M1102" s="7" t="inlineStr">
        <is>
          <t>The Bible House on Arch Street in Allegheny served as the Society’s headquarters from its construction until the move to Brooklyn, New York, in 1909.</t>
        </is>
      </c>
      <c r="N1102" s="7" t="n"/>
      <c r="O1102" s="13" t="inlineStr">
        <is>
          <t>Jehovah's Witnesses</t>
        </is>
      </c>
      <c r="P1102" s="7" t="inlineStr">
        <is>
          <t>jw.organization</t>
        </is>
      </c>
      <c r="Q1102" s="7" t="n"/>
      <c r="R1102" s="7" t="n"/>
      <c r="S1102" s="7" t="inlineStr">
        <is>
          <t>Allegheny, Pennsylvania</t>
        </is>
      </c>
      <c r="T1102" s="7" t="n"/>
      <c r="U1102" s="7" t="n"/>
      <c r="V1102" s="7" t="n">
        <v>2</v>
      </c>
      <c r="W1102" s="7" t="inlineStr">
        <is>
          <t>Noteworthy Events in the Modern-day History of Jehovah’s Witnesses</t>
        </is>
      </c>
      <c r="X1102" s="9" t="inlineStr">
        <is>
          <t>open</t>
        </is>
      </c>
      <c r="Y1102" s="7" t="n"/>
      <c r="Z1102" s="7" t="inlineStr">
        <is>
          <t>https://wol.jw.org/en/wol/d/r1/lp-e/1101993046
https://wol.jw.org/en/wol/d/r1/lp-e/1101993046</t>
        </is>
      </c>
      <c r="AA1102" s="7" t="n">
        <v>0</v>
      </c>
      <c r="AB1102" s="7" t="n"/>
      <c r="AC1102" s="7" t="n">
        <v>0</v>
      </c>
      <c r="AD1102" s="7" t="n"/>
      <c r="AE1102" s="7" t="n"/>
      <c r="AF1102" s="7" t="inlineStr">
        <is>
          <t>b8-0042</t>
        </is>
      </c>
      <c r="AG1102" s="7" t="inlineStr">
        <is>
          <t>b8-0084</t>
        </is>
      </c>
      <c r="AH1102" s="7" t="n"/>
      <c r="AI1102" s="7" t="n"/>
      <c r="AJ1102" s="7" t="n"/>
      <c r="AK1102" s="7" t="n"/>
      <c r="AL1102" s="7" t="n"/>
      <c r="AM1102" s="7" t="n">
        <v>1889</v>
      </c>
      <c r="AN1102" s="10" t="n"/>
      <c r="AO1102" s="10" t="n"/>
      <c r="AP1102" s="10" t="n"/>
      <c r="AQ1102" s="10" t="n"/>
    </row>
    <row r="1103">
      <c r="A1103" s="7" t="inlineStr">
        <is>
          <t>b8-0045</t>
        </is>
      </c>
      <c r="B1103" s="7" t="inlineStr">
        <is>
          <t>Point</t>
        </is>
      </c>
      <c r="C1103" s="7" t="n"/>
      <c r="D1103" s="7" t="inlineStr">
        <is>
          <t>1890</t>
        </is>
      </c>
      <c r="E1103" s="7" t="inlineStr">
        <is>
          <t>1890</t>
        </is>
      </c>
      <c r="F1103" s="7" t="inlineStr">
        <is>
          <t>1890 CE</t>
        </is>
      </c>
      <c r="G1103" s="7" t="inlineStr">
        <is>
          <t>Exact</t>
        </is>
      </c>
      <c r="H1103" s="7" t="n"/>
      <c r="I1103" s="7" t="n"/>
      <c r="J1103" s="7" t="n"/>
      <c r="K1103" s="2" t="inlineStr">
        <is>
          <t>Bible Students build a meeting place at Mount Lookout, West Virginia</t>
        </is>
      </c>
      <c r="L1103" s="2" t="n"/>
      <c r="M1103" s="7" t="inlineStr">
        <is>
          <t>Bible Students at Mount Lookout, West Virginia, former members of a Baptist congregation, build their own meeting place, apparently one of the first constructed.</t>
        </is>
      </c>
      <c r="N1103" s="7" t="inlineStr">
        <is>
          <t>1890-ல் அமெரிக்காவிலுள்ள மேற்கு வர்ஜீனியாவில், வழிபாட்டுக்காக முதன்முதலில் ஒரு கட்டிடம் கட்டப்பட்டது.</t>
        </is>
      </c>
      <c r="O1103" s="13" t="inlineStr">
        <is>
          <t>Jehovah's Witnesses</t>
        </is>
      </c>
      <c r="P1103" s="7" t="inlineStr">
        <is>
          <t>jw.construction</t>
        </is>
      </c>
      <c r="Q1103" s="7" t="inlineStr">
        <is>
          <t>construction</t>
        </is>
      </c>
      <c r="R1103" s="7" t="n"/>
      <c r="S1103" s="7" t="inlineStr">
        <is>
          <t>Mount Lookout, West Virginia</t>
        </is>
      </c>
      <c r="T1103" s="7" t="n"/>
      <c r="U1103" s="7" t="n"/>
      <c r="V1103" s="7" t="n">
        <v>2</v>
      </c>
      <c r="W1103" s="7" t="inlineStr">
        <is>
          <t>Building Work That Honors Jehovah</t>
        </is>
      </c>
      <c r="X1103" s="9" t="inlineStr">
        <is>
          <t>open</t>
        </is>
      </c>
      <c r="Y1103" s="9" t="inlineStr">
        <is>
          <t>open</t>
        </is>
      </c>
      <c r="Z1103" s="7" t="inlineStr">
        <is>
          <t>https://wol.jw.org/en/wol/d/r1/lp-e/1102014258
https://wol.jw.org/en/wol/d/r1/lp-e/1101993023</t>
        </is>
      </c>
      <c r="AA1103" s="7" t="n">
        <v>1</v>
      </c>
      <c r="AB1103" s="9" t="inlineStr">
        <is>
          <t>open</t>
        </is>
      </c>
      <c r="AC1103" s="7" t="n">
        <v>0</v>
      </c>
      <c r="AD1103" s="7" t="n"/>
      <c r="AE1103" s="7" t="n"/>
      <c r="AF1103" s="7" t="n"/>
      <c r="AG1103" s="7" t="n"/>
      <c r="AH1103" s="7" t="n"/>
      <c r="AI1103" s="7" t="n"/>
      <c r="AJ1103" s="7" t="n"/>
      <c r="AK1103" s="7" t="n"/>
      <c r="AL1103" s="7" t="n"/>
      <c r="AM1103" s="7" t="n">
        <v>1890</v>
      </c>
      <c r="AN1103" s="10" t="n"/>
      <c r="AO1103" s="10" t="n"/>
      <c r="AP1103" s="10" t="n"/>
      <c r="AQ1103" s="10" t="n"/>
    </row>
    <row r="1104">
      <c r="A1104" s="7" t="inlineStr">
        <is>
          <t>b8-0046</t>
        </is>
      </c>
      <c r="B1104" s="7" t="inlineStr">
        <is>
          <t>Point</t>
        </is>
      </c>
      <c r="C1104" s="7" t="n"/>
      <c r="D1104" s="7" t="inlineStr">
        <is>
          <t>1890</t>
        </is>
      </c>
      <c r="E1104" s="7" t="n"/>
      <c r="F1104" s="7" t="inlineStr">
        <is>
          <t>1890 CE</t>
        </is>
      </c>
      <c r="G1104" s="7" t="inlineStr">
        <is>
          <t>Exact</t>
        </is>
      </c>
      <c r="H1104" s="7" t="n"/>
      <c r="I1104" s="7" t="n"/>
      <c r="J1104" s="7" t="n"/>
      <c r="K1104" s="2" t="inlineStr">
        <is>
          <t>Poems and Hymns of Millennial Dawn published</t>
        </is>
      </c>
      <c r="L1104" s="2" t="n"/>
      <c r="M1104" s="7" t="inlineStr">
        <is>
          <t>The songbook Poems and Hymns of Millennial Dawn (333 songs, without music) is published.</t>
        </is>
      </c>
      <c r="N1104" s="7" t="n"/>
      <c r="O1104" s="13" t="inlineStr">
        <is>
          <t>Jehovah's Witnesses</t>
        </is>
      </c>
      <c r="P1104" s="7" t="inlineStr">
        <is>
          <t>jw.publication</t>
        </is>
      </c>
      <c r="Q1104" s="7" t="inlineStr">
        <is>
          <t>release</t>
        </is>
      </c>
      <c r="R1104" s="7" t="n"/>
      <c r="S1104" s="7" t="n"/>
      <c r="T1104" s="7" t="n"/>
      <c r="U1104" s="7" t="n"/>
      <c r="V1104" s="7" t="n">
        <v>2</v>
      </c>
      <c r="W1104" s="7" t="inlineStr">
        <is>
          <t>Meeting Together for Worship</t>
        </is>
      </c>
      <c r="X1104" s="9" t="inlineStr">
        <is>
          <t>open</t>
        </is>
      </c>
      <c r="Y1104" s="9" t="inlineStr">
        <is>
          <t>open</t>
        </is>
      </c>
      <c r="Z1104" s="7" t="inlineStr">
        <is>
          <t>https://wol.jw.org/en/wol/d/r1/lp-e/1102014255
https://wol.jw.org/en/wol/d/r1/lp-e/1101993019</t>
        </is>
      </c>
      <c r="AA1104" s="7" t="n">
        <v>1</v>
      </c>
      <c r="AB1104" s="9" t="inlineStr">
        <is>
          <t>open</t>
        </is>
      </c>
      <c r="AC1104" s="7" t="n">
        <v>0</v>
      </c>
      <c r="AD1104" s="7" t="n"/>
      <c r="AE1104" s="7" t="n"/>
      <c r="AF1104" s="7" t="n"/>
      <c r="AG1104" s="7" t="n"/>
      <c r="AH1104" s="7" t="n"/>
      <c r="AI1104" s="7" t="n"/>
      <c r="AJ1104" s="7" t="n"/>
      <c r="AK1104" s="7" t="n"/>
      <c r="AL1104" s="7" t="n"/>
      <c r="AM1104" s="7" t="n">
        <v>1890</v>
      </c>
      <c r="AN1104" s="10" t="n"/>
      <c r="AO1104" s="10" t="n"/>
      <c r="AP1104" s="10" t="n"/>
      <c r="AQ1104" s="10" t="n"/>
    </row>
    <row r="1105">
      <c r="A1105" s="7" t="inlineStr">
        <is>
          <t>b8-0047</t>
        </is>
      </c>
      <c r="B1105" s="7" t="inlineStr">
        <is>
          <t>Point</t>
        </is>
      </c>
      <c r="C1105" s="7" t="n"/>
      <c r="D1105" s="7" t="inlineStr">
        <is>
          <t>1891</t>
        </is>
      </c>
      <c r="E1105" s="7" t="n"/>
      <c r="F1105" s="7" t="inlineStr">
        <is>
          <t>1891 CE</t>
        </is>
      </c>
      <c r="G1105" s="7" t="inlineStr">
        <is>
          <t>Exact</t>
        </is>
      </c>
      <c r="H1105" s="7" t="n"/>
      <c r="I1105" s="7" t="n"/>
      <c r="J1105" s="7" t="n"/>
      <c r="K1105" s="2" t="inlineStr">
        <is>
          <t>Volume III Thy Kingdom Come published</t>
        </is>
      </c>
      <c r="L1105" s="2" t="n"/>
      <c r="M1105" s="7" t="inlineStr">
        <is>
          <t>Thy Kingdom Come, Volume III of Millennial Dawn, is published; it discusses God’s rejection of modern-day Babylon.</t>
        </is>
      </c>
      <c r="N1105" s="7" t="n"/>
      <c r="O1105" s="13" t="inlineStr">
        <is>
          <t>Jehovah's Witnesses</t>
        </is>
      </c>
      <c r="P1105" s="7" t="inlineStr">
        <is>
          <t>jw.publication</t>
        </is>
      </c>
      <c r="Q1105" s="7" t="inlineStr">
        <is>
          <t>release</t>
        </is>
      </c>
      <c r="R1105" s="7" t="n"/>
      <c r="S1105" s="7" t="n"/>
      <c r="T1105" s="7" t="n"/>
      <c r="U1105" s="7" t="n"/>
      <c r="V1105" s="7" t="n">
        <v>2</v>
      </c>
      <c r="W1105" s="7" t="inlineStr">
        <is>
          <t>Proclaiming the Lord’s Return (1870-1914)</t>
        </is>
      </c>
      <c r="X1105" s="9" t="inlineStr">
        <is>
          <t>open</t>
        </is>
      </c>
      <c r="Y1105" s="7" t="n"/>
      <c r="Z1105" s="7" t="inlineStr">
        <is>
          <t>https://wol.jw.org/en/wol/d/r1/lp-e/1101993006
https://wol.jw.org/en/wol/d/r1/lp-e/1102014241</t>
        </is>
      </c>
      <c r="AA1105" s="7" t="n">
        <v>0</v>
      </c>
      <c r="AB1105" s="7" t="n"/>
      <c r="AC1105" s="7" t="n">
        <v>0</v>
      </c>
      <c r="AD1105" s="7" t="n"/>
      <c r="AE1105" s="7" t="n"/>
      <c r="AF1105" s="7" t="n"/>
      <c r="AG1105" s="7" t="n"/>
      <c r="AH1105" s="7" t="n"/>
      <c r="AI1105" s="7" t="n"/>
      <c r="AJ1105" s="7" t="n"/>
      <c r="AK1105" s="7" t="n"/>
      <c r="AL1105" s="7" t="n"/>
      <c r="AM1105" s="7" t="n">
        <v>1891</v>
      </c>
      <c r="AN1105" s="10" t="n"/>
      <c r="AO1105" s="10" t="n"/>
      <c r="AP1105" s="10" t="n"/>
      <c r="AQ1105" s="10" t="n"/>
    </row>
    <row r="1106">
      <c r="A1106" s="7" t="inlineStr">
        <is>
          <t>b8-0048</t>
        </is>
      </c>
      <c r="B1106" s="7" t="inlineStr">
        <is>
          <t>Point</t>
        </is>
      </c>
      <c r="C1106" s="7" t="n"/>
      <c r="D1106" s="7" t="inlineStr">
        <is>
          <t>1891</t>
        </is>
      </c>
      <c r="E1106" s="7" t="inlineStr">
        <is>
          <t>1891</t>
        </is>
      </c>
      <c r="F1106" s="7" t="inlineStr">
        <is>
          <t>1891 CE</t>
        </is>
      </c>
      <c r="G1106" s="7" t="inlineStr">
        <is>
          <t>Exact</t>
        </is>
      </c>
      <c r="H1106" s="7" t="n"/>
      <c r="I1106" s="7" t="n"/>
      <c r="J1106" s="7" t="n"/>
      <c r="K1106" s="2" t="inlineStr">
        <is>
          <t>Cross-and-crown symbol appears on Watch Tower cover</t>
        </is>
      </c>
      <c r="L1106" s="2" t="n"/>
      <c r="M1106" s="7" t="inlineStr">
        <is>
          <t>Beginning in 1891, a cross-and-crown symbol appears on the cover of the Watch Tower.</t>
        </is>
      </c>
      <c r="N1106" s="7" t="inlineStr">
        <is>
          <t>1891-லிருந்து சிலுவையும் கிரீடமும் கொண்ட சின்னம் காவற்கோபுரத்தின் அட்டைப் பக்கத்தில் காணப்பட்டது.</t>
        </is>
      </c>
      <c r="O1106" s="13" t="inlineStr">
        <is>
          <t>Jehovah's Witnesses</t>
        </is>
      </c>
      <c r="P1106" s="7" t="inlineStr">
        <is>
          <t>jw.publication</t>
        </is>
      </c>
      <c r="Q1106" s="7" t="inlineStr">
        <is>
          <t>design</t>
        </is>
      </c>
      <c r="R1106" s="7" t="n"/>
      <c r="S1106" s="7" t="n"/>
      <c r="T1106" s="7" t="n"/>
      <c r="U1106" s="7" t="n"/>
      <c r="V1106" s="7" t="n">
        <v>1</v>
      </c>
      <c r="W1106" s="7" t="inlineStr">
        <is>
          <t>The King Refines His People Spiritually</t>
        </is>
      </c>
      <c r="X1106" s="9" t="inlineStr">
        <is>
          <t>open</t>
        </is>
      </c>
      <c r="Y1106" s="9" t="inlineStr">
        <is>
          <t>open</t>
        </is>
      </c>
      <c r="Z1106" s="7" t="inlineStr">
        <is>
          <t>https://wol.jw.org/en/wol/d/r1/lp-e/1102014249</t>
        </is>
      </c>
      <c r="AA1106" s="7" t="n">
        <v>1</v>
      </c>
      <c r="AB1106" s="9" t="inlineStr">
        <is>
          <t>open</t>
        </is>
      </c>
      <c r="AC1106" s="7" t="n">
        <v>0</v>
      </c>
      <c r="AD1106" s="7" t="n"/>
      <c r="AE1106" s="7" t="n"/>
      <c r="AF1106" s="7" t="n"/>
      <c r="AG1106" s="7" t="n"/>
      <c r="AH1106" s="7" t="n"/>
      <c r="AI1106" s="7" t="n"/>
      <c r="AJ1106" s="7" t="n"/>
      <c r="AK1106" s="7" t="n"/>
      <c r="AL1106" s="7" t="n"/>
      <c r="AM1106" s="7" t="n">
        <v>1891</v>
      </c>
      <c r="AN1106" s="10" t="n"/>
      <c r="AO1106" s="10" t="n"/>
      <c r="AP1106" s="10" t="n"/>
      <c r="AQ1106" s="10" t="n"/>
    </row>
    <row r="1107">
      <c r="A1107" s="7" t="inlineStr">
        <is>
          <t>b8-0049</t>
        </is>
      </c>
      <c r="B1107" s="7" t="inlineStr">
        <is>
          <t>Point</t>
        </is>
      </c>
      <c r="C1107" s="7" t="n"/>
      <c r="D1107" s="7" t="inlineStr">
        <is>
          <t>1891</t>
        </is>
      </c>
      <c r="E1107" s="7" t="inlineStr">
        <is>
          <t>1891</t>
        </is>
      </c>
      <c r="F1107" s="7" t="inlineStr">
        <is>
          <t>1891 CE</t>
        </is>
      </c>
      <c r="G1107" s="7" t="inlineStr">
        <is>
          <t>Exact</t>
        </is>
      </c>
      <c r="H1107" s="7" t="n"/>
      <c r="I1107" s="7" t="n"/>
      <c r="J1107" s="7" t="n"/>
      <c r="K1107" s="2" t="inlineStr">
        <is>
          <t>Russell begins extensive tours outside the United States</t>
        </is>
      </c>
      <c r="L1107" s="2" t="inlineStr">
        <is>
          <t>“சத்தியத்தைப் பரப்ப” அமெரிக்காவுக்கு வெளியே பல இடங்களுக்கு ரஸல் பயணம் செய்கிறார்</t>
        </is>
      </c>
      <c r="M1107" s="7" t="inlineStr">
        <is>
          <t>C. T. Russell begins extensive tours outside the United States, seeking ways of “forwarding the spread of the Truth.”</t>
        </is>
      </c>
      <c r="N1107" s="7" t="inlineStr">
        <is>
          <t>“சத்தியத்தைப் பரப்ப” அமெரிக்காவுக்கு வெளியே பல இடங்களுக்கு ரஸல் பயணம் செய்கிறார்</t>
        </is>
      </c>
      <c r="O1107" s="13" t="inlineStr">
        <is>
          <t>Jehovah's Witnesses</t>
        </is>
      </c>
      <c r="P1107" s="7" t="inlineStr">
        <is>
          <t>jw.preaching</t>
        </is>
      </c>
      <c r="Q1107" s="7" t="inlineStr">
        <is>
          <t>journey</t>
        </is>
      </c>
      <c r="R1107" s="7" t="inlineStr">
        <is>
          <t>Charles Taze Russell</t>
        </is>
      </c>
      <c r="S1107" s="7" t="n"/>
      <c r="T1107" s="7" t="n"/>
      <c r="U1107" s="7" t="n"/>
      <c r="V1107" s="7" t="n">
        <v>1</v>
      </c>
      <c r="W1107" s="7" t="inlineStr">
        <is>
          <t>The Kingdom Is Born in Heaven</t>
        </is>
      </c>
      <c r="X1107" s="9" t="inlineStr">
        <is>
          <t>open</t>
        </is>
      </c>
      <c r="Y1107" s="9" t="inlineStr">
        <is>
          <t>open</t>
        </is>
      </c>
      <c r="Z1107" s="7" t="inlineStr">
        <is>
          <t>https://wol.jw.org/en/wol/d/r1/lp-e/1102014241</t>
        </is>
      </c>
      <c r="AA1107" s="7" t="n">
        <v>0</v>
      </c>
      <c r="AB1107" s="7" t="n"/>
      <c r="AC1107" s="7" t="n">
        <v>0</v>
      </c>
      <c r="AD1107" s="7" t="n"/>
      <c r="AE1107" s="7" t="n"/>
      <c r="AF1107" s="7" t="n"/>
      <c r="AG1107" s="7" t="n"/>
      <c r="AH1107" s="7" t="n"/>
      <c r="AI1107" s="7" t="n"/>
      <c r="AJ1107" s="7" t="n"/>
      <c r="AK1107" s="7" t="n"/>
      <c r="AL1107" s="7" t="n"/>
      <c r="AM1107" s="7" t="n">
        <v>1891</v>
      </c>
      <c r="AN1107" s="10" t="n"/>
      <c r="AO1107" s="10" t="n"/>
      <c r="AP1107" s="10" t="n"/>
      <c r="AQ1107" s="10" t="n"/>
    </row>
    <row r="1108">
      <c r="A1108" s="7" t="inlineStr">
        <is>
          <t>b8-0050</t>
        </is>
      </c>
      <c r="B1108" s="11" t="inlineStr">
        <is>
          <t>Span</t>
        </is>
      </c>
      <c r="C1108" s="7" t="inlineStr">
        <is>
          <t>convention</t>
        </is>
      </c>
      <c r="D1108" s="7" t="inlineStr">
        <is>
          <t>April 19-25, 1891</t>
        </is>
      </c>
      <c r="E1108" s="7" t="n"/>
      <c r="F1108" s="7" t="inlineStr">
        <is>
          <t>1891 CE</t>
        </is>
      </c>
      <c r="G1108" s="7" t="inlineStr">
        <is>
          <t>Exact</t>
        </is>
      </c>
      <c r="H1108" s="7" t="inlineStr">
        <is>
          <t>1891 CE</t>
        </is>
      </c>
      <c r="I1108" s="7" t="inlineStr">
        <is>
          <t>Exact</t>
        </is>
      </c>
      <c r="J1108" s="7" t="inlineStr">
        <is>
          <t>7 days</t>
        </is>
      </c>
      <c r="K1108" s="2" t="inlineStr">
        <is>
          <t>First gathering called a convention, in Allegheny</t>
        </is>
      </c>
      <c r="L1108" s="2" t="n"/>
      <c r="M1108" s="7" t="inlineStr">
        <is>
          <t>Bible Students hold their first gathering that they call a convention, in Allegheny, Pennsylvania, April 19-25, for Bible study and the Memorial.</t>
        </is>
      </c>
      <c r="N1108" s="7" t="n"/>
      <c r="O1108" s="13" t="inlineStr">
        <is>
          <t>Jehovah's Witnesses</t>
        </is>
      </c>
      <c r="P1108" s="7" t="inlineStr">
        <is>
          <t>jw.convention</t>
        </is>
      </c>
      <c r="Q1108" s="7" t="inlineStr">
        <is>
          <t>convention</t>
        </is>
      </c>
      <c r="R1108" s="7" t="n"/>
      <c r="S1108" s="7" t="inlineStr">
        <is>
          <t>Allegheny, Pennsylvania</t>
        </is>
      </c>
      <c r="T1108" s="7" t="n"/>
      <c r="U1108" s="7" t="n"/>
      <c r="V1108" s="7" t="n">
        <v>2</v>
      </c>
      <c r="W1108" s="7" t="inlineStr">
        <is>
          <t>Noteworthy Events in the Modern-day History of Jehovah’s Witnesses</t>
        </is>
      </c>
      <c r="X1108" s="9" t="inlineStr">
        <is>
          <t>open</t>
        </is>
      </c>
      <c r="Y1108" s="7" t="n"/>
      <c r="Z1108" s="7" t="inlineStr">
        <is>
          <t>https://wol.jw.org/en/wol/d/r1/lp-e/1101993046
https://wol.jw.org/en/wol/d/r1/lp-e/1101993020</t>
        </is>
      </c>
      <c r="AA1108" s="7" t="n">
        <v>0</v>
      </c>
      <c r="AB1108" s="7" t="n"/>
      <c r="AC1108" s="7" t="n">
        <v>1</v>
      </c>
      <c r="AD1108" s="7" t="inlineStr">
        <is>
          <t>jt brochure says “In 1893 the first major convention was held in Chicago”; jv calls the 1891 Allegheny gathering the first convention (jt likely means first major/large one).</t>
        </is>
      </c>
      <c r="AE1108" s="7" t="n"/>
      <c r="AF1108" s="7" t="n"/>
      <c r="AG1108" s="7" t="n"/>
      <c r="AH1108" s="7" t="n"/>
      <c r="AI1108" s="7" t="n"/>
      <c r="AJ1108" s="7" t="n"/>
      <c r="AK1108" s="7" t="n"/>
      <c r="AL1108" s="7" t="n"/>
      <c r="AM1108" s="7" t="n">
        <v>1891.295</v>
      </c>
      <c r="AN1108" s="10" t="n"/>
      <c r="AO1108" s="10" t="n"/>
      <c r="AP1108" s="10" t="n"/>
      <c r="AQ1108" s="10" t="n"/>
    </row>
    <row r="1109">
      <c r="A1109" s="7" t="inlineStr">
        <is>
          <t>b8-0051</t>
        </is>
      </c>
      <c r="B1109" s="7" t="inlineStr">
        <is>
          <t>Point</t>
        </is>
      </c>
      <c r="C1109" s="7" t="n"/>
      <c r="D1109" s="7" t="inlineStr">
        <is>
          <t>1892</t>
        </is>
      </c>
      <c r="E1109" s="7" t="inlineStr">
        <is>
          <t>1892</t>
        </is>
      </c>
      <c r="F1109" s="7" t="inlineStr">
        <is>
          <t>1892 CE</t>
        </is>
      </c>
      <c r="G1109" s="7" t="inlineStr">
        <is>
          <t>Exact</t>
        </is>
      </c>
      <c r="H1109" s="7" t="n"/>
      <c r="I1109" s="7" t="n"/>
      <c r="J1109" s="7" t="n"/>
      <c r="K1109" s="2" t="inlineStr">
        <is>
          <t>Watch Tower speaks of disfellowshipping those who deny the ransom</t>
        </is>
      </c>
      <c r="L1109" s="2" t="n"/>
      <c r="M1109" s="7" t="inlineStr">
        <is>
          <t>The Watch Tower states that it is a Christian duty to disfellowship those who deny that Christ gave himself a ransom for all.</t>
        </is>
      </c>
      <c r="N1109" s="7" t="inlineStr">
        <is>
          <t>காவற்கோபுர பத்திரிகை 1892-ல் இப்படிச் சொன்னது: “கிறிஸ்து எல்லாருக்காகவும் தன்னையே மீட்புவிலையாக [சரிசமமான விலையாக] கொடுத்தார் என்பதை நேரடியாகவோ மறைமுகமாகவோ மறுக்கிறவர்களை (கிறிஸ்தவர்களை) சபைநீக்கம் செய்வது நம் கடமை.”</t>
        </is>
      </c>
      <c r="O1109" s="13" t="inlineStr">
        <is>
          <t>Jehovah's Witnesses</t>
        </is>
      </c>
      <c r="P1109" s="7" t="inlineStr">
        <is>
          <t>jw.doctrine</t>
        </is>
      </c>
      <c r="Q1109" s="7" t="inlineStr">
        <is>
          <t>teaching</t>
        </is>
      </c>
      <c r="R1109" s="7" t="n"/>
      <c r="S1109" s="7" t="n"/>
      <c r="T1109" s="7" t="inlineStr">
        <is>
          <t>2 John 10</t>
        </is>
      </c>
      <c r="U1109" s="7" t="n"/>
      <c r="V1109" s="7" t="n">
        <v>1</v>
      </c>
      <c r="W1109" s="7" t="inlineStr">
        <is>
          <t>Moral Refinements—Reflecting God’s Holiness</t>
        </is>
      </c>
      <c r="X1109" s="9" t="inlineStr">
        <is>
          <t>open</t>
        </is>
      </c>
      <c r="Y1109" s="9" t="inlineStr">
        <is>
          <t>open</t>
        </is>
      </c>
      <c r="Z1109" s="7" t="inlineStr">
        <is>
          <t>https://wol.jw.org/en/wol/d/r1/lp-e/1102014250</t>
        </is>
      </c>
      <c r="AA1109" s="7" t="n">
        <v>0</v>
      </c>
      <c r="AB1109" s="7" t="n"/>
      <c r="AC1109" s="7" t="n">
        <v>0</v>
      </c>
      <c r="AD1109" s="7" t="n"/>
      <c r="AE1109" s="7" t="n"/>
      <c r="AF1109" s="7" t="n"/>
      <c r="AG1109" s="7" t="n"/>
      <c r="AH1109" s="7" t="n"/>
      <c r="AI1109" s="7" t="n"/>
      <c r="AJ1109" s="7" t="n"/>
      <c r="AK1109" s="7" t="n"/>
      <c r="AL1109" s="7" t="n"/>
      <c r="AM1109" s="7" t="n">
        <v>1892</v>
      </c>
      <c r="AN1109" s="10" t="n"/>
      <c r="AO1109" s="10" t="n"/>
      <c r="AP1109" s="10" t="n"/>
      <c r="AQ1109" s="10" t="n"/>
    </row>
    <row r="1110">
      <c r="A1110" s="7" t="inlineStr">
        <is>
          <t>b8-0052</t>
        </is>
      </c>
      <c r="B1110" s="11" t="inlineStr">
        <is>
          <t>Span</t>
        </is>
      </c>
      <c r="C1110" s="7" t="inlineStr">
        <is>
          <t>convention</t>
        </is>
      </c>
      <c r="D1110" s="7" t="inlineStr">
        <is>
          <t>April 7-14, 1892</t>
        </is>
      </c>
      <c r="E1110" s="7" t="n"/>
      <c r="F1110" s="7" t="inlineStr">
        <is>
          <t>1892 CE</t>
        </is>
      </c>
      <c r="G1110" s="7" t="inlineStr">
        <is>
          <t>Exact</t>
        </is>
      </c>
      <c r="H1110" s="7" t="inlineStr">
        <is>
          <t>1892 CE</t>
        </is>
      </c>
      <c r="I1110" s="7" t="inlineStr">
        <is>
          <t>Exact</t>
        </is>
      </c>
      <c r="J1110" s="7" t="inlineStr">
        <is>
          <t>8 days</t>
        </is>
      </c>
      <c r="K1110" s="2" t="inlineStr">
        <is>
          <t>Convention of about 400 at Allegheny</t>
        </is>
      </c>
      <c r="L1110" s="2" t="n"/>
      <c r="M1110" s="7" t="inlineStr">
        <is>
          <t>A convention for Bible study and the Memorial is held April 7-14, 1892, with some 400 present.</t>
        </is>
      </c>
      <c r="N1110" s="7" t="n"/>
      <c r="O1110" s="13" t="inlineStr">
        <is>
          <t>Jehovah's Witnesses</t>
        </is>
      </c>
      <c r="P1110" s="7" t="inlineStr">
        <is>
          <t>jw.convention</t>
        </is>
      </c>
      <c r="Q1110" s="7" t="inlineStr">
        <is>
          <t>convention</t>
        </is>
      </c>
      <c r="R1110" s="7" t="n"/>
      <c r="S1110" s="7" t="n"/>
      <c r="T1110" s="7" t="n"/>
      <c r="U1110" s="7" t="n"/>
      <c r="V1110" s="7" t="n">
        <v>1</v>
      </c>
      <c r="W1110" s="7" t="inlineStr">
        <is>
          <t>Conventions Proof of Our Brotherhood</t>
        </is>
      </c>
      <c r="X1110" s="9" t="inlineStr">
        <is>
          <t>open</t>
        </is>
      </c>
      <c r="Y1110" s="7" t="n"/>
      <c r="Z1110" s="7" t="inlineStr">
        <is>
          <t>https://wol.jw.org/en/wol/d/r1/lp-e/1101993020</t>
        </is>
      </c>
      <c r="AA1110" s="7" t="n">
        <v>0</v>
      </c>
      <c r="AB1110" s="7" t="n"/>
      <c r="AC1110" s="7" t="n">
        <v>0</v>
      </c>
      <c r="AD1110" s="7" t="n"/>
      <c r="AE1110" s="7" t="n"/>
      <c r="AF1110" s="7" t="n"/>
      <c r="AG1110" s="7" t="n"/>
      <c r="AH1110" s="7" t="n"/>
      <c r="AI1110" s="7" t="n"/>
      <c r="AJ1110" s="7" t="n"/>
      <c r="AK1110" s="7" t="n"/>
      <c r="AL1110" s="7" t="n"/>
      <c r="AM1110" s="7" t="n">
        <v>1892.265</v>
      </c>
      <c r="AN1110" s="10" t="n"/>
      <c r="AO1110" s="10" t="n"/>
      <c r="AP1110" s="10" t="n"/>
      <c r="AQ1110" s="10" t="n"/>
    </row>
    <row r="1111">
      <c r="A1111" s="7" t="inlineStr">
        <is>
          <t>b8-0053</t>
        </is>
      </c>
      <c r="B1111" s="7" t="inlineStr">
        <is>
          <t>Point</t>
        </is>
      </c>
      <c r="C1111" s="7" t="n"/>
      <c r="D1111" s="7" t="inlineStr">
        <is>
          <t>1893</t>
        </is>
      </c>
      <c r="E1111" s="7" t="inlineStr">
        <is>
          <t>1893</t>
        </is>
      </c>
      <c r="F1111" s="7" t="inlineStr">
        <is>
          <t>1893 CE</t>
        </is>
      </c>
      <c r="G1111" s="7" t="inlineStr">
        <is>
          <t>Exact</t>
        </is>
      </c>
      <c r="H1111" s="7" t="n"/>
      <c r="I1111" s="7" t="n"/>
      <c r="J1111" s="7" t="n"/>
      <c r="K1111" s="2" t="inlineStr">
        <is>
          <t>Major convention held in Chicago</t>
        </is>
      </c>
      <c r="L1111" s="2" t="n"/>
      <c r="M1111" s="7" t="inlineStr">
        <is>
          <t>A change in convention arrangements takes place as a major convention is held in Chicago, Illinois.</t>
        </is>
      </c>
      <c r="N1111" s="7" t="inlineStr">
        <is>
          <t>1893-ல் அ.ஐ.மா., இல்லினாய்ஸில் உள்ள சிகாகோவில் முதன்முதல் பெரிய மாநாடு நடத்தப்பட்டது.</t>
        </is>
      </c>
      <c r="O1111" s="13" t="inlineStr">
        <is>
          <t>Jehovah's Witnesses</t>
        </is>
      </c>
      <c r="P1111" s="7" t="inlineStr">
        <is>
          <t>jw.convention</t>
        </is>
      </c>
      <c r="Q1111" s="7" t="inlineStr">
        <is>
          <t>convention</t>
        </is>
      </c>
      <c r="R1111" s="7" t="n"/>
      <c r="S1111" s="7" t="inlineStr">
        <is>
          <t>Chicago, Illinois</t>
        </is>
      </c>
      <c r="T1111" s="7" t="n"/>
      <c r="U1111" s="7" t="n"/>
      <c r="V1111" s="7" t="n">
        <v>2</v>
      </c>
      <c r="W1111" s="7" t="inlineStr">
        <is>
          <t>Their Modern Development and Growth</t>
        </is>
      </c>
      <c r="X1111" s="9" t="inlineStr">
        <is>
          <t>open</t>
        </is>
      </c>
      <c r="Y1111" s="9" t="inlineStr">
        <is>
          <t>open</t>
        </is>
      </c>
      <c r="Z1111" s="7" t="inlineStr">
        <is>
          <t>https://wol.jw.org/en/wol/d/r1/lp-e/1102000101
https://wol.jw.org/en/wol/d/r1/lp-e/1101993020</t>
        </is>
      </c>
      <c r="AA1111" s="7" t="n">
        <v>0</v>
      </c>
      <c r="AB1111" s="7" t="n"/>
      <c r="AC1111" s="7" t="n">
        <v>0</v>
      </c>
      <c r="AD1111" s="7" t="n"/>
      <c r="AE1111" s="7" t="n"/>
      <c r="AF1111" s="7" t="n"/>
      <c r="AG1111" s="7" t="n"/>
      <c r="AH1111" s="7" t="n"/>
      <c r="AI1111" s="7" t="n"/>
      <c r="AJ1111" s="7" t="n"/>
      <c r="AK1111" s="7" t="n"/>
      <c r="AL1111" s="7" t="n"/>
      <c r="AM1111" s="7" t="n">
        <v>1893</v>
      </c>
      <c r="AN1111" s="10" t="n"/>
      <c r="AO1111" s="10" t="n"/>
      <c r="AP1111" s="10" t="n"/>
      <c r="AQ1111" s="10" t="n"/>
    </row>
    <row r="1112">
      <c r="A1112" s="7" t="inlineStr">
        <is>
          <t>b8-0054</t>
        </is>
      </c>
      <c r="B1112" s="7" t="inlineStr">
        <is>
          <t>Point</t>
        </is>
      </c>
      <c r="C1112" s="7" t="n"/>
      <c r="D1112" s="7" t="inlineStr">
        <is>
          <t>1894</t>
        </is>
      </c>
      <c r="E1112" s="7" t="inlineStr">
        <is>
          <t>1894</t>
        </is>
      </c>
      <c r="F1112" s="7" t="inlineStr">
        <is>
          <t>1894 CE</t>
        </is>
      </c>
      <c r="G1112" s="7" t="inlineStr">
        <is>
          <t>Exact</t>
        </is>
      </c>
      <c r="H1112" s="7" t="n"/>
      <c r="I1112" s="7" t="n"/>
      <c r="J1112" s="7" t="n"/>
      <c r="K1112" s="2" t="inlineStr">
        <is>
          <t>Traveling representatives (pilgrims) sent to visit congregations</t>
        </is>
      </c>
      <c r="L1112" s="2" t="inlineStr">
        <is>
          <t>‘டவர் ட்ராக்ட் சொஸைட்டியின்’ பிரதிநிதிகள் சபைகளைச் சந்தித்து உற்சாகப்படுத்துவதற்குப் பயணக் கண்காணிகளாக அனுப்பப்படுகிறார்கள்</t>
        </is>
      </c>
      <c r="M1112" s="7" t="inlineStr">
        <is>
          <t>Tower Tract Society representatives, later called pilgrims and forerunners of circuit overseers, are sent out to visit and encourage congregations.</t>
        </is>
      </c>
      <c r="N1112" s="7" t="inlineStr">
        <is>
          <t>‘டவர் ட்ராக்ட் சொஸைட்டியின்’ பிரதிநிதிகள் சபைகளைச் சந்தித்து உற்சாகப்படுத்துவதற்குப் பயணக் கண்காணிகளாக அனுப்பப்படுகிறார்கள்</t>
        </is>
      </c>
      <c r="O1112" s="13" t="inlineStr">
        <is>
          <t>Jehovah's Witnesses</t>
        </is>
      </c>
      <c r="P1112" s="7" t="inlineStr">
        <is>
          <t>jw.organization</t>
        </is>
      </c>
      <c r="Q1112" s="7" t="inlineStr">
        <is>
          <t>arrangement</t>
        </is>
      </c>
      <c r="R1112" s="7" t="n"/>
      <c r="S1112" s="7" t="n"/>
      <c r="T1112" s="7" t="n"/>
      <c r="U1112" s="7" t="n"/>
      <c r="V1112" s="7" t="n">
        <v>3</v>
      </c>
      <c r="W1112" s="7" t="inlineStr">
        <is>
          <t>Noteworthy Events in the Modern-day History of Jehovah’s Witnesses</t>
        </is>
      </c>
      <c r="X1112" s="9" t="inlineStr">
        <is>
          <t>open</t>
        </is>
      </c>
      <c r="Y1112" s="7" t="n"/>
      <c r="Z1112" s="7" t="inlineStr">
        <is>
          <t>https://wol.jw.org/en/wol/d/r1/lp-e/1101993046
https://wol.jw.org/en/wol/d/r1/lp-e/1102014241
https://wol.jw.org/en/wol/d/r1/lp-e/1101993018</t>
        </is>
      </c>
      <c r="AA1112" s="7" t="n">
        <v>1</v>
      </c>
      <c r="AB1112" s="9" t="inlineStr">
        <is>
          <t>open</t>
        </is>
      </c>
      <c r="AC1112" s="7" t="n">
        <v>0</v>
      </c>
      <c r="AD1112" s="7" t="n"/>
      <c r="AE1112" s="7" t="n"/>
      <c r="AF1112" s="7" t="n"/>
      <c r="AG1112" s="7" t="n"/>
      <c r="AH1112" s="7" t="n"/>
      <c r="AI1112" s="7" t="n"/>
      <c r="AJ1112" s="7" t="n"/>
      <c r="AK1112" s="7" t="n"/>
      <c r="AL1112" s="7" t="n"/>
      <c r="AM1112" s="7" t="n">
        <v>1894</v>
      </c>
      <c r="AN1112" s="10" t="n"/>
      <c r="AO1112" s="10" t="n"/>
      <c r="AP1112" s="10" t="n"/>
      <c r="AQ1112" s="10" t="n"/>
    </row>
    <row r="1113">
      <c r="A1113" s="7" t="inlineStr">
        <is>
          <t>b8-0055</t>
        </is>
      </c>
      <c r="B1113" s="7" t="inlineStr">
        <is>
          <t>Point</t>
        </is>
      </c>
      <c r="C1113" s="7" t="n"/>
      <c r="D1113" s="7" t="inlineStr">
        <is>
          <t>January 1895</t>
        </is>
      </c>
      <c r="E1113" s="7" t="n"/>
      <c r="F1113" s="7" t="inlineStr">
        <is>
          <t>1895 CE</t>
        </is>
      </c>
      <c r="G1113" s="7" t="inlineStr">
        <is>
          <t>Exact</t>
        </is>
      </c>
      <c r="H1113" s="7" t="n"/>
      <c r="I1113" s="7" t="n"/>
      <c r="J1113" s="7" t="n"/>
      <c r="K1113" s="2" t="inlineStr">
        <is>
          <t>Zion’s Watch Tower appears with a new cover design</t>
        </is>
      </c>
      <c r="L1113" s="2" t="n"/>
      <c r="M1113" s="7" t="inlineStr">
        <is>
          <t>The January 1895 Zion’s Watch Tower appears with a changed cover, which thrilled readers such as Brother Bohnet.</t>
        </is>
      </c>
      <c r="N1113" s="7" t="n"/>
      <c r="O1113" s="13" t="inlineStr">
        <is>
          <t>Jehovah's Witnesses</t>
        </is>
      </c>
      <c r="P1113" s="7" t="inlineStr">
        <is>
          <t>jw.publication</t>
        </is>
      </c>
      <c r="Q1113" s="7" t="inlineStr">
        <is>
          <t>design</t>
        </is>
      </c>
      <c r="R1113" s="7" t="n"/>
      <c r="S1113" s="7" t="n"/>
      <c r="T1113" s="7" t="n"/>
      <c r="U1113" s="7" t="n"/>
      <c r="V1113" s="7" t="n">
        <v>1</v>
      </c>
      <c r="W1113" s="7" t="inlineStr">
        <is>
          <t>Organized to Serve “the God of Peace”</t>
        </is>
      </c>
      <c r="X1113" s="9" t="inlineStr">
        <is>
          <t>open</t>
        </is>
      </c>
      <c r="Y1113" s="9" t="inlineStr">
        <is>
          <t>open</t>
        </is>
      </c>
      <c r="Z1113" s="7" t="inlineStr">
        <is>
          <t>https://wol.jw.org/en/wol/d/r1/lp-e/1102014251</t>
        </is>
      </c>
      <c r="AA1113" s="7" t="n">
        <v>0</v>
      </c>
      <c r="AB1113" s="7" t="n"/>
      <c r="AC1113" s="7" t="n">
        <v>0</v>
      </c>
      <c r="AD1113" s="7" t="n"/>
      <c r="AE1113" s="7" t="n"/>
      <c r="AF1113" s="7" t="n"/>
      <c r="AG1113" s="7" t="n"/>
      <c r="AH1113" s="7" t="n"/>
      <c r="AI1113" s="7" t="n"/>
      <c r="AJ1113" s="7" t="n"/>
      <c r="AK1113" s="7" t="n"/>
      <c r="AL1113" s="7" t="inlineStr">
        <is>
          <t>kr ch. 12 opening; the change concerned the magazine’s cover/masthead.</t>
        </is>
      </c>
      <c r="AM1113" s="7" t="n">
        <v>1895</v>
      </c>
      <c r="AN1113" s="10" t="n"/>
      <c r="AO1113" s="10" t="n"/>
      <c r="AP1113" s="10" t="n"/>
      <c r="AQ1113" s="10" t="n"/>
    </row>
    <row r="1114">
      <c r="A1114" s="7" t="inlineStr">
        <is>
          <t>b8-0056</t>
        </is>
      </c>
      <c r="B1114" s="7" t="inlineStr">
        <is>
          <t>Point</t>
        </is>
      </c>
      <c r="C1114" s="7" t="n"/>
      <c r="D1114" s="7" t="inlineStr">
        <is>
          <t>1895</t>
        </is>
      </c>
      <c r="E1114" s="7" t="inlineStr">
        <is>
          <t>1895</t>
        </is>
      </c>
      <c r="F1114" s="7" t="inlineStr">
        <is>
          <t>1895 CE</t>
        </is>
      </c>
      <c r="G1114" s="7" t="inlineStr">
        <is>
          <t>Exact</t>
        </is>
      </c>
      <c r="H1114" s="7" t="n"/>
      <c r="I1114" s="7" t="n"/>
      <c r="J1114" s="7" t="n"/>
      <c r="K1114" s="2" t="inlineStr">
        <is>
          <t>“Dawn Circles” for Bible study recommended</t>
        </is>
      </c>
      <c r="L1114" s="2" t="n"/>
      <c r="M1114" s="7" t="inlineStr">
        <is>
          <t>The Watch Tower notes that some are holding “Dawn Circles” for Bible study and recommends them everywhere; by September 1895 they are conducted successfully in a score of U.S. cities.</t>
        </is>
      </c>
      <c r="N1114" s="7" t="inlineStr">
        <is>
          <t>பைபிள் படிப்புக்காக “டான் சர்கில்ஸ்” என்ற கூட்டங்களை உண்மையுள்ள சிலர் நடத்துவதாக காவற்கோபுரம் சொல்கிறது. அதோடு, “எல்லா இடங்களிலும் இப்படிப்பட்ட கூட்டங்களை நடத்தும்படி” சிபாரிசு செய்கிறது</t>
        </is>
      </c>
      <c r="O1114" s="13" t="inlineStr">
        <is>
          <t>Jehovah's Witnesses</t>
        </is>
      </c>
      <c r="P1114" s="7" t="inlineStr">
        <is>
          <t>jw.organization</t>
        </is>
      </c>
      <c r="Q1114" s="7" t="inlineStr">
        <is>
          <t>meeting</t>
        </is>
      </c>
      <c r="R1114" s="7" t="n"/>
      <c r="S1114" s="7" t="n"/>
      <c r="T1114" s="7" t="n"/>
      <c r="U1114" s="7" t="n"/>
      <c r="V1114" s="7" t="n">
        <v>3</v>
      </c>
      <c r="W1114" s="7" t="inlineStr">
        <is>
          <t>The Kingdom Is Born in Heaven</t>
        </is>
      </c>
      <c r="X1114" s="9" t="inlineStr">
        <is>
          <t>open</t>
        </is>
      </c>
      <c r="Y1114" s="9" t="inlineStr">
        <is>
          <t>open</t>
        </is>
      </c>
      <c r="Z1114" s="7" t="inlineStr">
        <is>
          <t>https://wol.jw.org/en/wol/d/r1/lp-e/1102014241
https://wol.jw.org/en/wol/d/r1/lp-e/1101993019
https://wol.jw.org/en/wol/d/r1/lp-e/1102014255</t>
        </is>
      </c>
      <c r="AA1114" s="7" t="n">
        <v>0</v>
      </c>
      <c r="AB1114" s="7" t="n"/>
      <c r="AC1114" s="7" t="n">
        <v>0</v>
      </c>
      <c r="AD1114" s="7" t="n"/>
      <c r="AE1114" s="7" t="n"/>
      <c r="AF1114" s="7" t="n"/>
      <c r="AG1114" s="7" t="n"/>
      <c r="AH1114" s="7" t="n"/>
      <c r="AI1114" s="7" t="n"/>
      <c r="AJ1114" s="7" t="n"/>
      <c r="AK1114" s="7" t="n"/>
      <c r="AL1114" s="7" t="n"/>
      <c r="AM1114" s="7" t="n">
        <v>1895</v>
      </c>
      <c r="AN1114" s="10" t="n"/>
      <c r="AO1114" s="10" t="n"/>
      <c r="AP1114" s="10" t="n"/>
      <c r="AQ1114" s="10" t="n"/>
    </row>
    <row r="1115">
      <c r="A1115" s="7" t="inlineStr">
        <is>
          <t>b8-0057</t>
        </is>
      </c>
      <c r="B1115" s="7" t="inlineStr">
        <is>
          <t>Point</t>
        </is>
      </c>
      <c r="C1115" s="7" t="n"/>
      <c r="D1115" s="7" t="inlineStr">
        <is>
          <t>August 1, 1895</t>
        </is>
      </c>
      <c r="E1115" s="7" t="inlineStr">
        <is>
          <t>ஆகஸ்ட் 1, 1895</t>
        </is>
      </c>
      <c r="F1115" s="7" t="inlineStr">
        <is>
          <t>1895 CE</t>
        </is>
      </c>
      <c r="G1115" s="7" t="inlineStr">
        <is>
          <t>Exact</t>
        </is>
      </c>
      <c r="H1115" s="7" t="n"/>
      <c r="I1115" s="7" t="n"/>
      <c r="J1115" s="7" t="n"/>
      <c r="K1115" s="2" t="inlineStr">
        <is>
          <t>Russell comments against tobacco use</t>
        </is>
      </c>
      <c r="L1115" s="2" t="n"/>
      <c r="M1115" s="7" t="inlineStr">
        <is>
          <t>In the Watch Tower of August 1, 1895, commenting on 2 Corinthians 7:1, Russell writes that he cannot see how tobacco use would glorify God.</t>
        </is>
      </c>
      <c r="N1115" s="7" t="inlineStr">
        <is>
          <t>ஆகஸ்ட் 1, 1895, காவற்கோபுரத்தில் 2 கொரிந்தியர் 7:1 -ஐப் பற்றி சகோதரர் ரஸல் இப்படிச் சொன்னார்: “ஒரு கிறிஸ்தவர் எந்த விதத்திலாவது புகையிலையைப் பயன்படுத்தினால் அது எப்படிக் கடவுளுக்கு மகிமை சேர்க்கும்?</t>
        </is>
      </c>
      <c r="O1115" s="13" t="inlineStr">
        <is>
          <t>Jehovah's Witnesses</t>
        </is>
      </c>
      <c r="P1115" s="7" t="inlineStr">
        <is>
          <t>jw.doctrine</t>
        </is>
      </c>
      <c r="Q1115" s="7" t="inlineStr">
        <is>
          <t>moral</t>
        </is>
      </c>
      <c r="R1115" s="7" t="inlineStr">
        <is>
          <t>Charles Taze Russell</t>
        </is>
      </c>
      <c r="S1115" s="7" t="n"/>
      <c r="T1115" s="7" t="inlineStr">
        <is>
          <t>2 Cor. 7:1</t>
        </is>
      </c>
      <c r="U1115" s="7" t="n"/>
      <c r="V1115" s="7" t="n">
        <v>1</v>
      </c>
      <c r="W1115" s="7" t="inlineStr">
        <is>
          <t>Moral Refinements—Reflecting God’s Holiness</t>
        </is>
      </c>
      <c r="X1115" s="9" t="inlineStr">
        <is>
          <t>open</t>
        </is>
      </c>
      <c r="Y1115" s="9" t="inlineStr">
        <is>
          <t>open</t>
        </is>
      </c>
      <c r="Z1115" s="7" t="inlineStr">
        <is>
          <t>https://wol.jw.org/en/wol/d/r1/lp-e/1102014250</t>
        </is>
      </c>
      <c r="AA1115" s="7" t="n">
        <v>0</v>
      </c>
      <c r="AB1115" s="7" t="n"/>
      <c r="AC1115" s="7" t="n">
        <v>0</v>
      </c>
      <c r="AD1115" s="7" t="n"/>
      <c r="AE1115" s="7" t="n"/>
      <c r="AF1115" s="7" t="n"/>
      <c r="AG1115" s="7" t="n"/>
      <c r="AH1115" s="7" t="n"/>
      <c r="AI1115" s="7" t="n"/>
      <c r="AJ1115" s="7" t="n"/>
      <c r="AK1115" s="7" t="n"/>
      <c r="AL1115" s="7" t="n"/>
      <c r="AM1115" s="7" t="n">
        <v>1895.5833</v>
      </c>
      <c r="AN1115" s="10" t="n"/>
      <c r="AO1115" s="10" t="n"/>
      <c r="AP1115" s="10" t="n"/>
      <c r="AQ1115" s="10" t="n"/>
    </row>
    <row r="1116">
      <c r="A1116" s="7" t="inlineStr">
        <is>
          <t>b8-0058</t>
        </is>
      </c>
      <c r="B1116" s="7" t="inlineStr">
        <is>
          <t>Point</t>
        </is>
      </c>
      <c r="C1116" s="7" t="n"/>
      <c r="D1116" s="7" t="inlineStr">
        <is>
          <t>November 15, 1895</t>
        </is>
      </c>
      <c r="E1116" s="7" t="inlineStr">
        <is>
          <t>நவம்பர் 15, 1895</t>
        </is>
      </c>
      <c r="F1116" s="7" t="inlineStr">
        <is>
          <t>1895 CE</t>
        </is>
      </c>
      <c r="G1116" s="7" t="inlineStr">
        <is>
          <t>Exact</t>
        </is>
      </c>
      <c r="H1116" s="7" t="n"/>
      <c r="I1116" s="7" t="n"/>
      <c r="J1116" s="7" t="n"/>
      <c r="K1116" s="2" t="inlineStr">
        <is>
          <t>Congregations instructed to choose elders</t>
        </is>
      </c>
      <c r="L1116" s="2" t="inlineStr">
        <is>
          <t>மூப்பர்களாகச் சேவை செய்ய முடிந்த சகோதரர்களைத் தேர்ந்தெடுக்கும்படி எல்லா சபைகளுக்கும் சொல்லப்பட்டது.</t>
        </is>
      </c>
      <c r="M1116" s="7" t="inlineStr">
        <is>
          <t>The Watch Tower of November 15, 1895, “Decently and in Order,” instructs all congregations to choose from among themselves brothers to serve as elders.</t>
        </is>
      </c>
      <c r="N1116" s="7" t="inlineStr">
        <is>
          <t>மூப்பர்களாகச் சேவை செய்ய முடிந்த சகோதரர்களைத் தேர்ந்தெடுக்கும்படி எல்லா சபைகளுக்கும் சொல்லப்பட்டது.</t>
        </is>
      </c>
      <c r="O1116" s="13" t="inlineStr">
        <is>
          <t>Jehovah's Witnesses</t>
        </is>
      </c>
      <c r="P1116" s="7" t="inlineStr">
        <is>
          <t>jw.organization</t>
        </is>
      </c>
      <c r="Q1116" s="7" t="inlineStr">
        <is>
          <t>arrangement</t>
        </is>
      </c>
      <c r="R1116" s="7" t="n"/>
      <c r="S1116" s="7" t="n"/>
      <c r="T1116" s="7" t="n"/>
      <c r="U1116" s="7" t="n"/>
      <c r="V1116" s="7" t="n">
        <v>2</v>
      </c>
      <c r="W1116" s="7" t="inlineStr">
        <is>
          <t>Organized to Serve “the God of Peace”</t>
        </is>
      </c>
      <c r="X1116" s="9" t="inlineStr">
        <is>
          <t>open</t>
        </is>
      </c>
      <c r="Y1116" s="9" t="inlineStr">
        <is>
          <t>open</t>
        </is>
      </c>
      <c r="Z1116" s="7" t="inlineStr">
        <is>
          <t>https://wol.jw.org/en/wol/d/r1/lp-e/1102014251
https://wol.jw.org/en/wol/d/r1/lp-e/1101993018</t>
        </is>
      </c>
      <c r="AA1116" s="7" t="n">
        <v>1</v>
      </c>
      <c r="AB1116" s="9" t="inlineStr">
        <is>
          <t>open</t>
        </is>
      </c>
      <c r="AC1116" s="7" t="n">
        <v>0</v>
      </c>
      <c r="AD1116" s="7" t="n"/>
      <c r="AE1116" s="7" t="n"/>
      <c r="AF1116" s="7" t="n"/>
      <c r="AG1116" s="7" t="n"/>
      <c r="AH1116" s="7" t="n"/>
      <c r="AI1116" s="7" t="n"/>
      <c r="AJ1116" s="7" t="n"/>
      <c r="AK1116" s="7" t="n"/>
      <c r="AL1116" s="7" t="n"/>
      <c r="AM1116" s="7" t="n">
        <v>1895.8683</v>
      </c>
      <c r="AN1116" s="10" t="n"/>
      <c r="AO1116" s="10" t="n"/>
      <c r="AP1116" s="10" t="n"/>
      <c r="AQ1116" s="10" t="n"/>
    </row>
    <row r="1117">
      <c r="A1117" s="7" t="inlineStr">
        <is>
          <t>b8-0059</t>
        </is>
      </c>
      <c r="B1117" s="7" t="inlineStr">
        <is>
          <t>Point</t>
        </is>
      </c>
      <c r="C1117" s="7" t="n"/>
      <c r="D1117" s="7" t="inlineStr">
        <is>
          <t>1896</t>
        </is>
      </c>
      <c r="E1117" s="7" t="inlineStr">
        <is>
          <t>1896</t>
        </is>
      </c>
      <c r="F1117" s="7" t="inlineStr">
        <is>
          <t>1896 CE</t>
        </is>
      </c>
      <c r="G1117" s="7" t="inlineStr">
        <is>
          <t>Exact</t>
        </is>
      </c>
      <c r="H1117" s="7" t="n"/>
      <c r="I1117" s="7" t="n"/>
      <c r="J1117" s="7" t="n"/>
      <c r="K1117" s="2" t="inlineStr">
        <is>
          <t>Corporation renamed Watch Tower Bible and Tract Society</t>
        </is>
      </c>
      <c r="L1117" s="2" t="n"/>
      <c r="M1117" s="7" t="inlineStr">
        <is>
          <t>The name of the corporation is changed to include the word Bible, becoming the Watch Tower Bible and Tract Society.</t>
        </is>
      </c>
      <c r="N1117" s="7" t="inlineStr">
        <is>
          <t>1896-ல் சகோதரர் ரஸலும் அவருடைய நண்பர்களும், நம் பிரசுரங்களை அச்சடிக்க பயன்படுத்திய நிறுவனத்தின் பெயரில் சிறிய மாற்றம் செய்தார்கள்.</t>
        </is>
      </c>
      <c r="O1117" s="13" t="inlineStr">
        <is>
          <t>Jehovah's Witnesses</t>
        </is>
      </c>
      <c r="P1117" s="7" t="inlineStr">
        <is>
          <t>jw.legal</t>
        </is>
      </c>
      <c r="Q1117" s="7" t="inlineStr">
        <is>
          <t>name_change</t>
        </is>
      </c>
      <c r="R1117" s="7" t="n"/>
      <c r="S1117" s="7" t="n"/>
      <c r="T1117" s="7" t="n"/>
      <c r="U1117" s="7" t="n"/>
      <c r="V1117" s="7" t="n">
        <v>3</v>
      </c>
      <c r="W1117" s="7" t="inlineStr">
        <is>
          <t>Tools for Preaching—Producing Literature for the Worldwide Field</t>
        </is>
      </c>
      <c r="X1117" s="9" t="inlineStr">
        <is>
          <t>open</t>
        </is>
      </c>
      <c r="Y1117" s="9" t="inlineStr">
        <is>
          <t>open</t>
        </is>
      </c>
      <c r="Z1117" s="7" t="inlineStr">
        <is>
          <t>https://wol.jw.org/en/wol/d/r1/lp-e/1102014247
https://wol.jw.org/en/wol/d/r1/lp-e/1101993018
https://wol.jw.org/en/wol/d/r1/lp-e/1101993037</t>
        </is>
      </c>
      <c r="AA1117" s="7" t="n">
        <v>0</v>
      </c>
      <c r="AB1117" s="7" t="n"/>
      <c r="AC1117" s="7" t="n">
        <v>0</v>
      </c>
      <c r="AD1117" s="7" t="n"/>
      <c r="AE1117" s="7" t="n"/>
      <c r="AF1117" s="7" t="n"/>
      <c r="AG1117" s="7" t="n"/>
      <c r="AH1117" s="7" t="n"/>
      <c r="AI1117" s="7" t="n"/>
      <c r="AJ1117" s="7" t="n"/>
      <c r="AK1117" s="7" t="n"/>
      <c r="AL1117" s="7" t="n"/>
      <c r="AM1117" s="7" t="n">
        <v>1896</v>
      </c>
      <c r="AN1117" s="10" t="n"/>
      <c r="AO1117" s="10" t="n"/>
      <c r="AP1117" s="10" t="n"/>
      <c r="AQ1117" s="10" t="n"/>
    </row>
    <row r="1118">
      <c r="A1118" s="7" t="inlineStr">
        <is>
          <t>b8-0060</t>
        </is>
      </c>
      <c r="B1118" s="7" t="inlineStr">
        <is>
          <t>Point</t>
        </is>
      </c>
      <c r="C1118" s="7" t="n"/>
      <c r="D1118" s="7" t="inlineStr">
        <is>
          <t>1896</t>
        </is>
      </c>
      <c r="E1118" s="7" t="inlineStr">
        <is>
          <t>1896</t>
        </is>
      </c>
      <c r="F1118" s="7" t="inlineStr">
        <is>
          <t>1896 CE</t>
        </is>
      </c>
      <c r="G1118" s="7" t="inlineStr">
        <is>
          <t>Exact</t>
        </is>
      </c>
      <c r="H1118" s="7" t="n"/>
      <c r="I1118" s="7" t="n"/>
      <c r="J1118" s="7" t="n"/>
      <c r="K1118" s="2" t="inlineStr">
        <is>
          <t>Booklet What Say the Scriptures About Hell? published</t>
        </is>
      </c>
      <c r="L1118" s="2" t="inlineStr">
        <is>
          <t>நரகத்தைப் பற்றி வசனங்கள் சொல்வது என்ன? என்ற சிறு புத்தகத்தை ரஸல் வெளியிடுகிறார்</t>
        </is>
      </c>
      <c r="M1118" s="7" t="inlineStr">
        <is>
          <t>C. T. Russell publishes the booklet What Say the Scriptures About Hell?</t>
        </is>
      </c>
      <c r="N1118" s="7" t="inlineStr">
        <is>
          <t>நரகத்தைப் பற்றி வசனங்கள் சொல்வது என்ன? என்ற சிறு புத்தகத்தை ரஸல் வெளியிடுகிறார்</t>
        </is>
      </c>
      <c r="O1118" s="13" t="inlineStr">
        <is>
          <t>Jehovah's Witnesses</t>
        </is>
      </c>
      <c r="P1118" s="7" t="inlineStr">
        <is>
          <t>jw.publication</t>
        </is>
      </c>
      <c r="Q1118" s="7" t="inlineStr">
        <is>
          <t>release</t>
        </is>
      </c>
      <c r="R1118" s="7" t="inlineStr">
        <is>
          <t>Charles Taze Russell</t>
        </is>
      </c>
      <c r="S1118" s="7" t="n"/>
      <c r="T1118" s="7" t="n"/>
      <c r="U1118" s="7" t="n"/>
      <c r="V1118" s="7" t="n">
        <v>2</v>
      </c>
      <c r="W1118" s="7" t="inlineStr">
        <is>
          <t>The Kingdom Is Born in Heaven</t>
        </is>
      </c>
      <c r="X1118" s="9" t="inlineStr">
        <is>
          <t>open</t>
        </is>
      </c>
      <c r="Y1118" s="9" t="inlineStr">
        <is>
          <t>open</t>
        </is>
      </c>
      <c r="Z1118" s="7" t="inlineStr">
        <is>
          <t>https://wol.jw.org/en/wol/d/r1/lp-e/1102014241
https://wol.jw.org/en/wol/d/r1/lp-e/1101993012</t>
        </is>
      </c>
      <c r="AA1118" s="7" t="n">
        <v>0</v>
      </c>
      <c r="AB1118" s="7" t="n"/>
      <c r="AC1118" s="7" t="n">
        <v>0</v>
      </c>
      <c r="AD1118" s="7" t="n"/>
      <c r="AE1118" s="7" t="n"/>
      <c r="AF1118" s="7" t="n"/>
      <c r="AG1118" s="7" t="n"/>
      <c r="AH1118" s="7" t="n"/>
      <c r="AI1118" s="7" t="n"/>
      <c r="AJ1118" s="7" t="n"/>
      <c r="AK1118" s="7" t="inlineStr">
        <is>
          <t>wheat-and-weeds #14 (context)</t>
        </is>
      </c>
      <c r="AL1118" s="7" t="n"/>
      <c r="AM1118" s="7" t="n">
        <v>1896</v>
      </c>
      <c r="AN1118" s="10" t="n"/>
      <c r="AO1118" s="10" t="n"/>
      <c r="AP1118" s="10" t="n"/>
      <c r="AQ1118" s="10" t="n"/>
    </row>
    <row r="1119">
      <c r="A1119" s="7" t="inlineStr">
        <is>
          <t>b8-0061</t>
        </is>
      </c>
      <c r="B1119" s="7" t="inlineStr">
        <is>
          <t>Point</t>
        </is>
      </c>
      <c r="C1119" s="7" t="n"/>
      <c r="D1119" s="7" t="inlineStr">
        <is>
          <t>1896</t>
        </is>
      </c>
      <c r="E1119" s="7" t="inlineStr">
        <is>
          <t>1896</t>
        </is>
      </c>
      <c r="F1119" s="7" t="inlineStr">
        <is>
          <t>1896 CE</t>
        </is>
      </c>
      <c r="G1119" s="7" t="inlineStr">
        <is>
          <t>Exact</t>
        </is>
      </c>
      <c r="H1119" s="7" t="n"/>
      <c r="I1119" s="7" t="n"/>
      <c r="J1119" s="7" t="n"/>
      <c r="K1119" s="2" t="inlineStr">
        <is>
          <t>Watch Tower Society publishes Rotherham’s New Testament</t>
        </is>
      </c>
      <c r="L1119" s="2" t="inlineStr">
        <is>
          <t>வெளியாட்களுக்குச் சொந்தமான அச்சகத்தைப் பயன்படுத்தி, ரோதர்ஹாமின் புதிய ஏற்பாடு பைபிளை த உவாட்ச் டவர் சொஸைட்டி பிரசுரிக்கிறது</t>
        </is>
      </c>
      <c r="M1119" s="7" t="inlineStr">
        <is>
          <t>Using a secular printing company, the Watch Tower Society publishes Rotherham’s New Testament.</t>
        </is>
      </c>
      <c r="N1119" s="7" t="inlineStr">
        <is>
          <t>வெளியாட்களுக்குச் சொந்தமான அச்சகத்தைப் பயன்படுத்தி, ரோதர்ஹாமின் புதிய ஏற்பாடு பைபிளை த உவாட்ச் டவர் சொஸைட்டி பிரசுரிக்கிறது</t>
        </is>
      </c>
      <c r="O1119" s="13" t="inlineStr">
        <is>
          <t>Jehovah's Witnesses</t>
        </is>
      </c>
      <c r="P1119" s="7" t="inlineStr">
        <is>
          <t>jw.publication</t>
        </is>
      </c>
      <c r="Q1119" s="7" t="inlineStr">
        <is>
          <t>bible_release</t>
        </is>
      </c>
      <c r="R1119" s="7" t="n"/>
      <c r="S1119" s="7" t="n"/>
      <c r="T1119" s="7" t="n"/>
      <c r="U1119" s="7" t="n"/>
      <c r="V1119" s="7" t="n">
        <v>2</v>
      </c>
      <c r="W1119" s="7" t="inlineStr">
        <is>
          <t>The Kingdom Is Born in Heaven</t>
        </is>
      </c>
      <c r="X1119" s="9" t="inlineStr">
        <is>
          <t>open</t>
        </is>
      </c>
      <c r="Y1119" s="9" t="inlineStr">
        <is>
          <t>open</t>
        </is>
      </c>
      <c r="Z1119" s="7" t="inlineStr">
        <is>
          <t>https://wol.jw.org/en/wol/d/r1/lp-e/1102014241
https://wol.jw.org/en/wol/d/r1/lp-e/1101993037</t>
        </is>
      </c>
      <c r="AA1119" s="7" t="n">
        <v>0</v>
      </c>
      <c r="AB1119" s="7" t="n"/>
      <c r="AC1119" s="7" t="n">
        <v>1</v>
      </c>
      <c r="AD1119" s="7" t="inlineStr">
        <is>
          <t>jv ch. 26 says that as early as 1890 the Society arranged a special printing of Rotherham’s New Testament bearing its own name; kr dates the publication 1896.</t>
        </is>
      </c>
      <c r="AE1119" s="7" t="n"/>
      <c r="AF1119" s="7" t="n"/>
      <c r="AG1119" s="7" t="n"/>
      <c r="AH1119" s="7" t="n"/>
      <c r="AI1119" s="7" t="n"/>
      <c r="AJ1119" s="7" t="n"/>
      <c r="AK1119" s="7" t="n"/>
      <c r="AL1119" s="7" t="n"/>
      <c r="AM1119" s="7" t="n">
        <v>1896</v>
      </c>
      <c r="AN1119" s="10" t="n"/>
      <c r="AO1119" s="10" t="n"/>
      <c r="AP1119" s="10" t="n"/>
      <c r="AQ1119" s="10" t="n"/>
    </row>
    <row r="1120">
      <c r="A1120" s="7" t="inlineStr">
        <is>
          <t>b8-0062</t>
        </is>
      </c>
      <c r="B1120" s="7" t="inlineStr">
        <is>
          <t>Point</t>
        </is>
      </c>
      <c r="C1120" s="7" t="n"/>
      <c r="D1120" s="7" t="inlineStr">
        <is>
          <t>1897</t>
        </is>
      </c>
      <c r="E1120" s="7" t="n"/>
      <c r="F1120" s="7" t="inlineStr">
        <is>
          <t>1897 CE</t>
        </is>
      </c>
      <c r="G1120" s="7" t="inlineStr">
        <is>
          <t>Exact</t>
        </is>
      </c>
      <c r="H1120" s="7" t="n"/>
      <c r="I1120" s="7" t="n"/>
      <c r="J1120" s="7" t="n"/>
      <c r="K1120" s="2" t="inlineStr">
        <is>
          <t>Volume IV The Day of Vengeance published</t>
        </is>
      </c>
      <c r="L1120" s="2" t="n"/>
      <c r="M1120" s="7" t="inlineStr">
        <is>
          <t>The Day of Vengeance (later called The Battle of Armageddon), Volume IV of Millennial Dawn, is published.</t>
        </is>
      </c>
      <c r="N1120" s="7" t="n"/>
      <c r="O1120" s="13" t="inlineStr">
        <is>
          <t>Jehovah's Witnesses</t>
        </is>
      </c>
      <c r="P1120" s="7" t="inlineStr">
        <is>
          <t>jw.publication</t>
        </is>
      </c>
      <c r="Q1120" s="7" t="inlineStr">
        <is>
          <t>release</t>
        </is>
      </c>
      <c r="R1120" s="7" t="n"/>
      <c r="S1120" s="7" t="n"/>
      <c r="T1120" s="7" t="n"/>
      <c r="U1120" s="7" t="n"/>
      <c r="V1120" s="7" t="n">
        <v>2</v>
      </c>
      <c r="W1120" s="7" t="inlineStr">
        <is>
          <t>Proclaiming the Lord’s Return (1870-1914)</t>
        </is>
      </c>
      <c r="X1120" s="9" t="inlineStr">
        <is>
          <t>open</t>
        </is>
      </c>
      <c r="Y1120" s="7" t="n"/>
      <c r="Z1120" s="7" t="inlineStr">
        <is>
          <t>https://wol.jw.org/en/wol/d/r1/lp-e/1101993006
https://wol.jw.org/en/wol/d/r1/lp-e/1101993012</t>
        </is>
      </c>
      <c r="AA1120" s="7" t="n">
        <v>0</v>
      </c>
      <c r="AB1120" s="7" t="n"/>
      <c r="AC1120" s="7" t="n">
        <v>0</v>
      </c>
      <c r="AD1120" s="7" t="n"/>
      <c r="AE1120" s="7" t="n"/>
      <c r="AF1120" s="7" t="n"/>
      <c r="AG1120" s="7" t="n"/>
      <c r="AH1120" s="7" t="n"/>
      <c r="AI1120" s="7" t="n"/>
      <c r="AJ1120" s="7" t="n"/>
      <c r="AK1120" s="7" t="n"/>
      <c r="AL1120" s="7" t="n"/>
      <c r="AM1120" s="7" t="n">
        <v>1897</v>
      </c>
      <c r="AN1120" s="10" t="n"/>
      <c r="AO1120" s="10" t="n"/>
      <c r="AP1120" s="10" t="n"/>
      <c r="AQ1120" s="10" t="n"/>
    </row>
    <row r="1121">
      <c r="A1121" s="7" t="inlineStr">
        <is>
          <t>b8-0063</t>
        </is>
      </c>
      <c r="B1121" s="7" t="inlineStr">
        <is>
          <t>Point</t>
        </is>
      </c>
      <c r="C1121" s="7" t="n"/>
      <c r="D1121" s="7" t="inlineStr">
        <is>
          <t>1897</t>
        </is>
      </c>
      <c r="E1121" s="7" t="n"/>
      <c r="F1121" s="7" t="inlineStr">
        <is>
          <t>1897 CE</t>
        </is>
      </c>
      <c r="G1121" s="7" t="inlineStr">
        <is>
          <t>Exact</t>
        </is>
      </c>
      <c r="H1121" s="7" t="n"/>
      <c r="I1121" s="7" t="n"/>
      <c r="J1121" s="7" t="n"/>
      <c r="K1121" s="2" t="inlineStr">
        <is>
          <t>Joseph L. Russell, Charles’ father, dies</t>
        </is>
      </c>
      <c r="L1121" s="2" t="n"/>
      <c r="M1121" s="7" t="inlineStr">
        <is>
          <t>Joseph L. Russell, father of C. T. Russell and a close associate in the work of the Watch Tower Society, dies.</t>
        </is>
      </c>
      <c r="N1121" s="7" t="n"/>
      <c r="O1121" s="13" t="inlineStr">
        <is>
          <t>Jehovah's Witnesses</t>
        </is>
      </c>
      <c r="P1121" s="7" t="inlineStr">
        <is>
          <t>jw.leadership</t>
        </is>
      </c>
      <c r="Q1121" s="7" t="inlineStr">
        <is>
          <t>death</t>
        </is>
      </c>
      <c r="R1121" s="7" t="inlineStr">
        <is>
          <t>Joseph L. Russell</t>
        </is>
      </c>
      <c r="S1121" s="7" t="n"/>
      <c r="T1121" s="7" t="n"/>
      <c r="U1121" s="7" t="n"/>
      <c r="V1121" s="7" t="n">
        <v>1</v>
      </c>
      <c r="W1121" s="7" t="inlineStr">
        <is>
          <t>Proclaiming the Lord’s Return (1870-1914)</t>
        </is>
      </c>
      <c r="X1121" s="9" t="inlineStr">
        <is>
          <t>open</t>
        </is>
      </c>
      <c r="Y1121" s="7" t="n"/>
      <c r="Z1121" s="7" t="inlineStr">
        <is>
          <t>https://wol.jw.org/en/wol/d/r1/lp-e/1101993006</t>
        </is>
      </c>
      <c r="AA1121" s="7" t="n">
        <v>0</v>
      </c>
      <c r="AB1121" s="7" t="n"/>
      <c r="AC1121" s="7" t="n">
        <v>0</v>
      </c>
      <c r="AD1121" s="7" t="n"/>
      <c r="AE1121" s="7" t="n"/>
      <c r="AF1121" s="7" t="n"/>
      <c r="AG1121" s="7" t="n"/>
      <c r="AH1121" s="7" t="n"/>
      <c r="AI1121" s="7" t="n"/>
      <c r="AJ1121" s="7" t="n"/>
      <c r="AK1121" s="7" t="n"/>
      <c r="AL1121" s="7" t="n"/>
      <c r="AM1121" s="7" t="n">
        <v>1897</v>
      </c>
      <c r="AN1121" s="10" t="n"/>
      <c r="AO1121" s="10" t="n"/>
      <c r="AP1121" s="10" t="n"/>
      <c r="AQ1121" s="10" t="n"/>
    </row>
    <row r="1122">
      <c r="A1122" s="7" t="inlineStr">
        <is>
          <t>b8-0064</t>
        </is>
      </c>
      <c r="B1122" s="7" t="inlineStr">
        <is>
          <t>Point</t>
        </is>
      </c>
      <c r="C1122" s="7" t="n"/>
      <c r="D1122" s="7" t="inlineStr">
        <is>
          <t>1898</t>
        </is>
      </c>
      <c r="E1122" s="7" t="n"/>
      <c r="F1122" s="7" t="inlineStr">
        <is>
          <t>1898 CE</t>
        </is>
      </c>
      <c r="G1122" s="7" t="inlineStr">
        <is>
          <t>Exact</t>
        </is>
      </c>
      <c r="H1122" s="7" t="n"/>
      <c r="I1122" s="7" t="n"/>
      <c r="J1122" s="7" t="n"/>
      <c r="K1122" s="2" t="inlineStr">
        <is>
          <t>Local assemblies begin to be arranged</t>
        </is>
      </c>
      <c r="L1122" s="2" t="n"/>
      <c r="M1122" s="7" t="inlineStr">
        <is>
          <t>Bible Students in various places begin to take the initiative to arrange local assemblies for a limited area; by 1909 there are at least 45 in North America.</t>
        </is>
      </c>
      <c r="N1122" s="7" t="n"/>
      <c r="O1122" s="13" t="inlineStr">
        <is>
          <t>Jehovah's Witnesses</t>
        </is>
      </c>
      <c r="P1122" s="7" t="inlineStr">
        <is>
          <t>jw.convention</t>
        </is>
      </c>
      <c r="Q1122" s="7" t="inlineStr">
        <is>
          <t>arrangement</t>
        </is>
      </c>
      <c r="R1122" s="7" t="n"/>
      <c r="S1122" s="7" t="n"/>
      <c r="T1122" s="7" t="n"/>
      <c r="U1122" s="7" t="n"/>
      <c r="V1122" s="7" t="n">
        <v>1</v>
      </c>
      <c r="W1122" s="7" t="inlineStr">
        <is>
          <t>Conventions Proof of Our Brotherhood</t>
        </is>
      </c>
      <c r="X1122" s="9" t="inlineStr">
        <is>
          <t>open</t>
        </is>
      </c>
      <c r="Y1122" s="7" t="n"/>
      <c r="Z1122" s="7" t="inlineStr">
        <is>
          <t>https://wol.jw.org/en/wol/d/r1/lp-e/1101993020</t>
        </is>
      </c>
      <c r="AA1122" s="7" t="n">
        <v>0</v>
      </c>
      <c r="AB1122" s="7" t="n"/>
      <c r="AC1122" s="7" t="n">
        <v>0</v>
      </c>
      <c r="AD1122" s="7" t="n"/>
      <c r="AE1122" s="7" t="n"/>
      <c r="AF1122" s="7" t="n"/>
      <c r="AG1122" s="7" t="n"/>
      <c r="AH1122" s="7" t="n"/>
      <c r="AI1122" s="7" t="n"/>
      <c r="AJ1122" s="7" t="n"/>
      <c r="AK1122" s="7" t="n"/>
      <c r="AL1122" s="7" t="n"/>
      <c r="AM1122" s="7" t="n">
        <v>1898</v>
      </c>
      <c r="AN1122" s="10" t="n"/>
      <c r="AO1122" s="10" t="n"/>
      <c r="AP1122" s="10" t="n"/>
      <c r="AQ1122" s="10" t="n"/>
    </row>
    <row r="1123">
      <c r="A1123" s="7" t="inlineStr">
        <is>
          <t>b8-0065</t>
        </is>
      </c>
      <c r="B1123" s="7" t="inlineStr">
        <is>
          <t>Point</t>
        </is>
      </c>
      <c r="C1123" s="7" t="n"/>
      <c r="D1123" s="7" t="inlineStr">
        <is>
          <t>1899</t>
        </is>
      </c>
      <c r="E1123" s="7" t="n"/>
      <c r="F1123" s="7" t="inlineStr">
        <is>
          <t>1899 CE</t>
        </is>
      </c>
      <c r="G1123" s="7" t="inlineStr">
        <is>
          <t>Exact</t>
        </is>
      </c>
      <c r="H1123" s="7" t="n"/>
      <c r="I1123" s="7" t="n"/>
      <c r="J1123" s="7" t="n"/>
      <c r="K1123" s="2" t="inlineStr">
        <is>
          <t>Volume V The At-one-ment Between God and Man published</t>
        </is>
      </c>
      <c r="L1123" s="2" t="n"/>
      <c r="M1123" s="7" t="inlineStr">
        <is>
          <t>The At-one-ment Between God and Man, Volume V of Millennial Dawn, is published.</t>
        </is>
      </c>
      <c r="N1123" s="7" t="n"/>
      <c r="O1123" s="13" t="inlineStr">
        <is>
          <t>Jehovah's Witnesses</t>
        </is>
      </c>
      <c r="P1123" s="7" t="inlineStr">
        <is>
          <t>jw.publication</t>
        </is>
      </c>
      <c r="Q1123" s="7" t="inlineStr">
        <is>
          <t>release</t>
        </is>
      </c>
      <c r="R1123" s="7" t="n"/>
      <c r="S1123" s="7" t="n"/>
      <c r="T1123" s="7" t="n"/>
      <c r="U1123" s="7" t="n"/>
      <c r="V1123" s="7" t="n">
        <v>1</v>
      </c>
      <c r="W1123" s="7" t="inlineStr">
        <is>
          <t>Proclaiming the Lord’s Return (1870-1914)</t>
        </is>
      </c>
      <c r="X1123" s="9" t="inlineStr">
        <is>
          <t>open</t>
        </is>
      </c>
      <c r="Y1123" s="7" t="n"/>
      <c r="Z1123" s="7" t="inlineStr">
        <is>
          <t>https://wol.jw.org/en/wol/d/r1/lp-e/1101993006</t>
        </is>
      </c>
      <c r="AA1123" s="7" t="n">
        <v>0</v>
      </c>
      <c r="AB1123" s="7" t="n"/>
      <c r="AC1123" s="7" t="n">
        <v>0</v>
      </c>
      <c r="AD1123" s="7" t="n"/>
      <c r="AE1123" s="7" t="n"/>
      <c r="AF1123" s="7" t="n"/>
      <c r="AG1123" s="7" t="n"/>
      <c r="AH1123" s="7" t="n"/>
      <c r="AI1123" s="7" t="n"/>
      <c r="AJ1123" s="7" t="n"/>
      <c r="AK1123" s="7" t="n"/>
      <c r="AL1123" s="7" t="n"/>
      <c r="AM1123" s="7" t="n">
        <v>1899</v>
      </c>
      <c r="AN1123" s="10" t="n"/>
      <c r="AO1123" s="10" t="n"/>
      <c r="AP1123" s="10" t="n"/>
      <c r="AQ1123" s="10" t="n"/>
    </row>
    <row r="1124">
      <c r="A1124" s="7" t="inlineStr">
        <is>
          <t>b8-0066</t>
        </is>
      </c>
      <c r="B1124" s="7" t="inlineStr">
        <is>
          <t>Point</t>
        </is>
      </c>
      <c r="C1124" s="7" t="n"/>
      <c r="D1124" s="7" t="inlineStr">
        <is>
          <t>March 26, 1899</t>
        </is>
      </c>
      <c r="E1124" s="7" t="n"/>
      <c r="F1124" s="7" t="inlineStr">
        <is>
          <t>1899 CE</t>
        </is>
      </c>
      <c r="G1124" s="7" t="inlineStr">
        <is>
          <t>Exact</t>
        </is>
      </c>
      <c r="H1124" s="7" t="n"/>
      <c r="I1124" s="7" t="n"/>
      <c r="J1124" s="7" t="n"/>
      <c r="K1124" s="2" t="inlineStr">
        <is>
          <t>Memorial observed at 339 meetings</t>
        </is>
      </c>
      <c r="L1124" s="2" t="n"/>
      <c r="M1124" s="7" t="inlineStr">
        <is>
          <t>An incomplete report shows the Memorial of Christ’s death observed at 339 separate meetings with 2,501 participants.</t>
        </is>
      </c>
      <c r="N1124" s="7" t="n"/>
      <c r="O1124" s="13" t="inlineStr">
        <is>
          <t>Jehovah's Witnesses</t>
        </is>
      </c>
      <c r="P1124" s="7" t="inlineStr">
        <is>
          <t>jw.organization</t>
        </is>
      </c>
      <c r="Q1124" s="7" t="inlineStr">
        <is>
          <t>statistic</t>
        </is>
      </c>
      <c r="R1124" s="7" t="n"/>
      <c r="S1124" s="7" t="n"/>
      <c r="T1124" s="7" t="n"/>
      <c r="U1124" s="7" t="n"/>
      <c r="V1124" s="7" t="n">
        <v>1</v>
      </c>
      <c r="W1124" s="7" t="inlineStr">
        <is>
          <t>Proclaiming the Lord’s Return (1870-1914)</t>
        </is>
      </c>
      <c r="X1124" s="9" t="inlineStr">
        <is>
          <t>open</t>
        </is>
      </c>
      <c r="Y1124" s="7" t="n"/>
      <c r="Z1124" s="7" t="inlineStr">
        <is>
          <t>https://wol.jw.org/en/wol/d/r1/lp-e/1101993006</t>
        </is>
      </c>
      <c r="AA1124" s="7" t="n">
        <v>0</v>
      </c>
      <c r="AB1124" s="7" t="n"/>
      <c r="AC1124" s="7" t="n">
        <v>0</v>
      </c>
      <c r="AD1124" s="7" t="n"/>
      <c r="AE1124" s="7" t="n"/>
      <c r="AF1124" s="7" t="n"/>
      <c r="AG1124" s="7" t="n"/>
      <c r="AH1124" s="7" t="n"/>
      <c r="AI1124" s="7" t="n"/>
      <c r="AJ1124" s="7" t="n"/>
      <c r="AK1124" s="7" t="n"/>
      <c r="AL1124" s="7" t="n"/>
      <c r="AM1124" s="7" t="n">
        <v>1899.2292</v>
      </c>
      <c r="AN1124" s="10" t="n"/>
      <c r="AO1124" s="10" t="n"/>
      <c r="AP1124" s="10" t="n"/>
      <c r="AQ1124" s="10" t="n"/>
    </row>
    <row r="1125">
      <c r="A1125" s="7" t="inlineStr">
        <is>
          <t>b8-0067</t>
        </is>
      </c>
      <c r="B1125" s="7" t="inlineStr">
        <is>
          <t>Point</t>
        </is>
      </c>
      <c r="C1125" s="7" t="n"/>
      <c r="D1125" s="7" t="inlineStr">
        <is>
          <t>1900</t>
        </is>
      </c>
      <c r="E1125" s="7" t="inlineStr">
        <is>
          <t>1900</t>
        </is>
      </c>
      <c r="F1125" s="7" t="inlineStr">
        <is>
          <t>1900 CE</t>
        </is>
      </c>
      <c r="G1125" s="7" t="inlineStr">
        <is>
          <t>Exact</t>
        </is>
      </c>
      <c r="H1125" s="7" t="n"/>
      <c r="I1125" s="7" t="n"/>
      <c r="J1125" s="7" t="n"/>
      <c r="K1125" s="2" t="inlineStr">
        <is>
          <t>Witnessing done in 28 countries</t>
        </is>
      </c>
      <c r="L1125" s="2" t="inlineStr">
        <is>
          <t>பிரசங்க வேலை 28 நாடுகளில் நடைபெறுகிறது</t>
        </is>
      </c>
      <c r="M1125" s="7" t="inlineStr">
        <is>
          <t>Witnessing by the Bible Students has been done in 28 countries, and their message has reached 13 other lands.</t>
        </is>
      </c>
      <c r="N1125" s="7" t="inlineStr">
        <is>
          <t>பிரசங்க வேலை 28 நாடுகளில் நடைபெறுகிறது</t>
        </is>
      </c>
      <c r="O1125" s="13" t="inlineStr">
        <is>
          <t>Jehovah's Witnesses</t>
        </is>
      </c>
      <c r="P1125" s="7" t="inlineStr">
        <is>
          <t>jw.preaching</t>
        </is>
      </c>
      <c r="Q1125" s="7" t="inlineStr">
        <is>
          <t>statistic</t>
        </is>
      </c>
      <c r="R1125" s="7" t="n"/>
      <c r="S1125" s="7" t="n"/>
      <c r="T1125" s="7" t="n"/>
      <c r="U1125" s="7" t="n"/>
      <c r="V1125" s="7" t="n">
        <v>2</v>
      </c>
      <c r="W1125" s="7" t="inlineStr">
        <is>
          <t>Noteworthy Events in the Modern-day History of Jehovah’s Witnesses</t>
        </is>
      </c>
      <c r="X1125" s="9" t="inlineStr">
        <is>
          <t>open</t>
        </is>
      </c>
      <c r="Y1125" s="7" t="n"/>
      <c r="Z1125" s="7" t="inlineStr">
        <is>
          <t>https://wol.jw.org/en/wol/d/r1/lp-e/1101993046
https://wol.jw.org/en/wol/d/r1/lp-e/1102014241</t>
        </is>
      </c>
      <c r="AA1125" s="7" t="n">
        <v>0</v>
      </c>
      <c r="AB1125" s="7" t="n"/>
      <c r="AC1125" s="7" t="n">
        <v>0</v>
      </c>
      <c r="AD1125" s="7" t="n"/>
      <c r="AE1125" s="7" t="n"/>
      <c r="AF1125" s="7" t="n"/>
      <c r="AG1125" s="7" t="n"/>
      <c r="AH1125" s="7" t="n"/>
      <c r="AI1125" s="7" t="n"/>
      <c r="AJ1125" s="7" t="n"/>
      <c r="AK1125" s="7" t="n"/>
      <c r="AL1125" s="7" t="n"/>
      <c r="AM1125" s="7" t="n">
        <v>1900</v>
      </c>
      <c r="AN1125" s="10" t="n"/>
      <c r="AO1125" s="10" t="n"/>
      <c r="AP1125" s="10" t="n"/>
      <c r="AQ1125" s="10" t="n"/>
    </row>
    <row r="1126">
      <c r="A1126" s="7" t="inlineStr">
        <is>
          <t>b8-0068</t>
        </is>
      </c>
      <c r="B1126" s="7" t="inlineStr">
        <is>
          <t>Point</t>
        </is>
      </c>
      <c r="C1126" s="7" t="n"/>
      <c r="D1126" s="7" t="inlineStr">
        <is>
          <t>1900</t>
        </is>
      </c>
      <c r="E1126" s="7" t="n"/>
      <c r="F1126" s="7" t="inlineStr">
        <is>
          <t>1900 CE</t>
        </is>
      </c>
      <c r="G1126" s="7" t="inlineStr">
        <is>
          <t>Exact</t>
        </is>
      </c>
      <c r="H1126" s="7" t="n"/>
      <c r="I1126" s="7" t="n"/>
      <c r="J1126" s="7" t="n"/>
      <c r="K1126" s="2" t="inlineStr">
        <is>
          <t>Songbook Zion’s Glad Songs published</t>
        </is>
      </c>
      <c r="L1126" s="2" t="n"/>
      <c r="M1126" s="7" t="inlineStr">
        <is>
          <t>The songbook Zion’s Glad Songs is published.</t>
        </is>
      </c>
      <c r="N1126" s="7" t="n"/>
      <c r="O1126" s="13" t="inlineStr">
        <is>
          <t>Jehovah's Witnesses</t>
        </is>
      </c>
      <c r="P1126" s="7" t="inlineStr">
        <is>
          <t>jw.publication</t>
        </is>
      </c>
      <c r="Q1126" s="7" t="inlineStr">
        <is>
          <t>release</t>
        </is>
      </c>
      <c r="R1126" s="7" t="n"/>
      <c r="S1126" s="7" t="n"/>
      <c r="T1126" s="7" t="n"/>
      <c r="U1126" s="7" t="n"/>
      <c r="V1126" s="7" t="n">
        <v>2</v>
      </c>
      <c r="W1126" s="7" t="inlineStr">
        <is>
          <t>Meeting Together for Worship</t>
        </is>
      </c>
      <c r="X1126" s="9" t="inlineStr">
        <is>
          <t>open</t>
        </is>
      </c>
      <c r="Y1126" s="9" t="inlineStr">
        <is>
          <t>open</t>
        </is>
      </c>
      <c r="Z1126" s="7" t="inlineStr">
        <is>
          <t>https://wol.jw.org/en/wol/d/r1/lp-e/1102014255
https://wol.jw.org/en/wol/d/r1/lp-e/1101993019</t>
        </is>
      </c>
      <c r="AA1126" s="7" t="n">
        <v>1</v>
      </c>
      <c r="AB1126" s="9" t="inlineStr">
        <is>
          <t>open</t>
        </is>
      </c>
      <c r="AC1126" s="7" t="n">
        <v>0</v>
      </c>
      <c r="AD1126" s="7" t="n"/>
      <c r="AE1126" s="7" t="n"/>
      <c r="AF1126" s="7" t="n"/>
      <c r="AG1126" s="7" t="n"/>
      <c r="AH1126" s="7" t="n"/>
      <c r="AI1126" s="7" t="n"/>
      <c r="AJ1126" s="7" t="n"/>
      <c r="AK1126" s="7" t="n"/>
      <c r="AL1126" s="7" t="n"/>
      <c r="AM1126" s="7" t="n">
        <v>1900</v>
      </c>
      <c r="AN1126" s="10" t="n"/>
      <c r="AO1126" s="10" t="n"/>
      <c r="AP1126" s="10" t="n"/>
      <c r="AQ1126" s="10" t="n"/>
    </row>
    <row r="1127">
      <c r="A1127" s="7" t="inlineStr">
        <is>
          <t>b8-0069</t>
        </is>
      </c>
      <c r="B1127" s="7" t="inlineStr">
        <is>
          <t>Point</t>
        </is>
      </c>
      <c r="C1127" s="7" t="n"/>
      <c r="D1127" s="7" t="inlineStr">
        <is>
          <t>April 23, 1900</t>
        </is>
      </c>
      <c r="E1127" s="7" t="inlineStr">
        <is>
          <t>ஏப்ரல் 23, 1900</t>
        </is>
      </c>
      <c r="F1127" s="7" t="inlineStr">
        <is>
          <t>1900 CE</t>
        </is>
      </c>
      <c r="G1127" s="7" t="inlineStr">
        <is>
          <t>Exact</t>
        </is>
      </c>
      <c r="H1127" s="7" t="n"/>
      <c r="I1127" s="7" t="n"/>
      <c r="J1127" s="7" t="n"/>
      <c r="K1127" s="2" t="inlineStr">
        <is>
          <t>First branch office opened, in London</t>
        </is>
      </c>
      <c r="L1127" s="2" t="inlineStr">
        <is>
          <t>இங்கிலாந்திலுள்ள லண்டனில் முதல் கிளை அலுவலகம் நிறுவப்படுகிறது</t>
        </is>
      </c>
      <c r="M1127" s="7" t="inlineStr">
        <is>
          <t>The Watch Tower Society’s first branch office is opened in London, England.</t>
        </is>
      </c>
      <c r="N1127" s="7" t="inlineStr">
        <is>
          <t>இங்கிலாந்திலுள்ள லண்டனில் முதல் கிளை அலுவலகம் நிறுவப்படுகிறது</t>
        </is>
      </c>
      <c r="O1127" s="13" t="inlineStr">
        <is>
          <t>Jehovah's Witnesses</t>
        </is>
      </c>
      <c r="P1127" s="7" t="inlineStr">
        <is>
          <t>jw.organization</t>
        </is>
      </c>
      <c r="Q1127" s="7" t="inlineStr">
        <is>
          <t>branch</t>
        </is>
      </c>
      <c r="R1127" s="7" t="n"/>
      <c r="S1127" s="7" t="inlineStr">
        <is>
          <t>London</t>
        </is>
      </c>
      <c r="T1127" s="7" t="n"/>
      <c r="U1127" s="7" t="n"/>
      <c r="V1127" s="7" t="n">
        <v>4</v>
      </c>
      <c r="W1127" s="7" t="inlineStr">
        <is>
          <t>Noteworthy Events in the Modern-day History of Jehovah’s Witnesses</t>
        </is>
      </c>
      <c r="X1127" s="9" t="inlineStr">
        <is>
          <t>open</t>
        </is>
      </c>
      <c r="Y1127" s="7" t="n"/>
      <c r="Z1127" s="7" t="inlineStr">
        <is>
          <t>https://wol.jw.org/en/wol/d/r1/lp-e/1101993046
https://wol.jw.org/en/wol/d/r1/lp-e/1102014241
https://wol.jw.org/en/wol/d/r1/lp-e/1101993018
https://wol.jw.org/en/wol/d/r1/lp-e/1102014258</t>
        </is>
      </c>
      <c r="AA1127" s="7" t="n">
        <v>0</v>
      </c>
      <c r="AB1127" s="7" t="n"/>
      <c r="AC1127" s="7" t="n">
        <v>0</v>
      </c>
      <c r="AD1127" s="7" t="n"/>
      <c r="AE1127" s="7" t="n"/>
      <c r="AF1127" s="7" t="n"/>
      <c r="AG1127" s="7" t="n"/>
      <c r="AH1127" s="7" t="n"/>
      <c r="AI1127" s="7" t="n"/>
      <c r="AJ1127" s="7" t="n"/>
      <c r="AK1127" s="7" t="n"/>
      <c r="AL1127" s="7" t="n"/>
      <c r="AM1127" s="7" t="n">
        <v>1900.305</v>
      </c>
      <c r="AN1127" s="10" t="n"/>
      <c r="AO1127" s="10" t="n"/>
      <c r="AP1127" s="10" t="n"/>
      <c r="AQ1127" s="10" t="n"/>
    </row>
    <row r="1128">
      <c r="A1128" s="7" t="inlineStr">
        <is>
          <t>b8-0070</t>
        </is>
      </c>
      <c r="B1128" s="7" t="inlineStr">
        <is>
          <t>Point</t>
        </is>
      </c>
      <c r="C1128" s="7" t="n"/>
      <c r="D1128" s="7" t="inlineStr">
        <is>
          <t>1902</t>
        </is>
      </c>
      <c r="E1128" s="7" t="n"/>
      <c r="F1128" s="7" t="inlineStr">
        <is>
          <t>1902 CE</t>
        </is>
      </c>
      <c r="G1128" s="7" t="inlineStr">
        <is>
          <t>Exact</t>
        </is>
      </c>
      <c r="H1128" s="7" t="n"/>
      <c r="I1128" s="7" t="n"/>
      <c r="J1128" s="7" t="n"/>
      <c r="K1128" s="2" t="inlineStr">
        <is>
          <t>Branch office established in Germany</t>
        </is>
      </c>
      <c r="L1128" s="2" t="n"/>
      <c r="M1128" s="7" t="inlineStr">
        <is>
          <t>A branch office is established in Germany (at Elberfeld).</t>
        </is>
      </c>
      <c r="N1128" s="7" t="n"/>
      <c r="O1128" s="13" t="inlineStr">
        <is>
          <t>Jehovah's Witnesses</t>
        </is>
      </c>
      <c r="P1128" s="7" t="inlineStr">
        <is>
          <t>jw.organization</t>
        </is>
      </c>
      <c r="Q1128" s="7" t="inlineStr">
        <is>
          <t>branch</t>
        </is>
      </c>
      <c r="R1128" s="7" t="n"/>
      <c r="S1128" s="7" t="inlineStr">
        <is>
          <t>Elberfeld, Germany</t>
        </is>
      </c>
      <c r="T1128" s="7" t="n"/>
      <c r="U1128" s="7" t="n"/>
      <c r="V1128" s="7" t="n">
        <v>2</v>
      </c>
      <c r="W1128" s="7" t="inlineStr">
        <is>
          <t>Development of the Organization Structure</t>
        </is>
      </c>
      <c r="X1128" s="9" t="inlineStr">
        <is>
          <t>open</t>
        </is>
      </c>
      <c r="Y1128" s="7" t="n"/>
      <c r="Z1128" s="7" t="inlineStr">
        <is>
          <t>https://wol.jw.org/en/wol/d/r1/lp-e/1101993018
https://wol.jw.org/en/wol/d/r1/lp-e/1102014258</t>
        </is>
      </c>
      <c r="AA1128" s="7" t="n">
        <v>0</v>
      </c>
      <c r="AB1128" s="7" t="n"/>
      <c r="AC1128" s="7" t="n">
        <v>1</v>
      </c>
      <c r="AD1128" s="7" t="inlineStr">
        <is>
          <t>kr ch. 19 says the second branch was established in Germany in 1903; jv ch. 15 gives Elberfeld, 1902.</t>
        </is>
      </c>
      <c r="AE1128" s="7" t="n"/>
      <c r="AF1128" s="7" t="n"/>
      <c r="AG1128" s="7" t="n"/>
      <c r="AH1128" s="7" t="n"/>
      <c r="AI1128" s="7" t="n"/>
      <c r="AJ1128" s="7" t="n"/>
      <c r="AK1128" s="7" t="n"/>
      <c r="AL1128" s="7" t="n"/>
      <c r="AM1128" s="7" t="n">
        <v>1902</v>
      </c>
      <c r="AN1128" s="10" t="n"/>
      <c r="AO1128" s="10" t="n"/>
      <c r="AP1128" s="10" t="n"/>
      <c r="AQ1128" s="10" t="n"/>
    </row>
    <row r="1129">
      <c r="A1129" s="7" t="inlineStr">
        <is>
          <t>b8-0071</t>
        </is>
      </c>
      <c r="B1129" s="7" t="inlineStr">
        <is>
          <t>Point</t>
        </is>
      </c>
      <c r="C1129" s="7" t="n"/>
      <c r="D1129" s="7" t="inlineStr">
        <is>
          <t>1902</t>
        </is>
      </c>
      <c r="E1129" s="7" t="n"/>
      <c r="F1129" s="7" t="inlineStr">
        <is>
          <t>1902 CE</t>
        </is>
      </c>
      <c r="G1129" s="7" t="inlineStr">
        <is>
          <t>Exact</t>
        </is>
      </c>
      <c r="H1129" s="7" t="n"/>
      <c r="I1129" s="7" t="n"/>
      <c r="J1129" s="7" t="n"/>
      <c r="K1129" s="2" t="inlineStr">
        <is>
          <t>Holman Linear Parallel Bible with Berean Bible Study Helps</t>
        </is>
      </c>
      <c r="L1129" s="2" t="n"/>
      <c r="M1129" s="7" t="inlineStr">
        <is>
          <t>By arrangement of the Watch Tower Society, a special printing of the Holman Linear Parallel Edition of the Bible containing “Berean Bible Study Helps” is made available.</t>
        </is>
      </c>
      <c r="N1129" s="7" t="n"/>
      <c r="O1129" s="13" t="inlineStr">
        <is>
          <t>Jehovah's Witnesses</t>
        </is>
      </c>
      <c r="P1129" s="7" t="inlineStr">
        <is>
          <t>jw.publication</t>
        </is>
      </c>
      <c r="Q1129" s="7" t="inlineStr">
        <is>
          <t>bible_release</t>
        </is>
      </c>
      <c r="R1129" s="7" t="n"/>
      <c r="S1129" s="7" t="n"/>
      <c r="T1129" s="7" t="n"/>
      <c r="U1129" s="7" t="n"/>
      <c r="V1129" s="7" t="n">
        <v>2</v>
      </c>
      <c r="W1129" s="7" t="inlineStr">
        <is>
          <t>Printing and Distributing God’s Own Sacred Word</t>
        </is>
      </c>
      <c r="X1129" s="9" t="inlineStr">
        <is>
          <t>open</t>
        </is>
      </c>
      <c r="Y1129" s="7" t="n"/>
      <c r="Z1129" s="7" t="inlineStr">
        <is>
          <t>https://wol.jw.org/en/wol/d/r1/lp-e/1101993037
https://wol.jw.org/en/wol/d/r1/lp-e/1101993019</t>
        </is>
      </c>
      <c r="AA1129" s="7" t="n">
        <v>0</v>
      </c>
      <c r="AB1129" s="7" t="n"/>
      <c r="AC1129" s="7" t="n">
        <v>0</v>
      </c>
      <c r="AD1129" s="7" t="n"/>
      <c r="AE1129" s="7" t="n"/>
      <c r="AF1129" s="7" t="n"/>
      <c r="AG1129" s="7" t="n"/>
      <c r="AH1129" s="7" t="n"/>
      <c r="AI1129" s="7" t="n"/>
      <c r="AJ1129" s="7" t="n"/>
      <c r="AK1129" s="7" t="n"/>
      <c r="AL1129" s="7" t="n"/>
      <c r="AM1129" s="7" t="n">
        <v>1902</v>
      </c>
      <c r="AN1129" s="10" t="n"/>
      <c r="AO1129" s="10" t="n"/>
      <c r="AP1129" s="10" t="n"/>
      <c r="AQ1129" s="10" t="n"/>
    </row>
    <row r="1130">
      <c r="A1130" s="7" t="inlineStr">
        <is>
          <t>b8-0072</t>
        </is>
      </c>
      <c r="B1130" s="7" t="inlineStr">
        <is>
          <t>Point</t>
        </is>
      </c>
      <c r="C1130" s="7" t="n"/>
      <c r="D1130" s="7" t="inlineStr">
        <is>
          <t>1903</t>
        </is>
      </c>
      <c r="E1130" s="7" t="inlineStr">
        <is>
          <t>1903</t>
        </is>
      </c>
      <c r="F1130" s="7" t="inlineStr">
        <is>
          <t>1903 CE</t>
        </is>
      </c>
      <c r="G1130" s="7" t="inlineStr">
        <is>
          <t>Exact</t>
        </is>
      </c>
      <c r="H1130" s="7" t="n"/>
      <c r="I1130" s="7" t="n"/>
      <c r="J1130" s="7" t="n"/>
      <c r="K1130" s="2" t="inlineStr">
        <is>
          <t>House-to-house tract distribution on Sundays</t>
        </is>
      </c>
      <c r="L1130" s="2" t="n"/>
      <c r="M1130" s="7" t="inlineStr">
        <is>
          <t>Distribution of free tracts on Sundays, earlier done mostly on streets near churches, shifts to intense house-to-house campaigns.</t>
        </is>
      </c>
      <c r="N1130" s="7" t="inlineStr">
        <is>
          <t>ஞாயிற்றுக்கிழமைகளில் சர்ச்சுகளுக்குப் பக்கத்திலுள்ள தெருக்களில் இலவச துண்டுப்பிரதிகளைக் கொடுப்பதற்குப் பதிலாக, வீட்டுக்கு வீடு ஊழியம் மும்முரமாகச் செய்யப்படுகிறது</t>
        </is>
      </c>
      <c r="O1130" s="13" t="inlineStr">
        <is>
          <t>Jehovah's Witnesses</t>
        </is>
      </c>
      <c r="P1130" s="7" t="inlineStr">
        <is>
          <t>jw.preaching</t>
        </is>
      </c>
      <c r="Q1130" s="7" t="inlineStr">
        <is>
          <t>campaign</t>
        </is>
      </c>
      <c r="R1130" s="7" t="n"/>
      <c r="S1130" s="7" t="n"/>
      <c r="T1130" s="7" t="n"/>
      <c r="U1130" s="7" t="n"/>
      <c r="V1130" s="7" t="n">
        <v>2</v>
      </c>
      <c r="W1130" s="7" t="inlineStr">
        <is>
          <t>Noteworthy Events in the Modern-day History of Jehovah’s Witnesses</t>
        </is>
      </c>
      <c r="X1130" s="9" t="inlineStr">
        <is>
          <t>open</t>
        </is>
      </c>
      <c r="Y1130" s="7" t="n"/>
      <c r="Z1130" s="7" t="inlineStr">
        <is>
          <t>https://wol.jw.org/en/wol/d/r1/lp-e/1101993046
https://wol.jw.org/en/wol/d/r1/lp-e/1102014241</t>
        </is>
      </c>
      <c r="AA1130" s="7" t="n">
        <v>0</v>
      </c>
      <c r="AB1130" s="7" t="n"/>
      <c r="AC1130" s="7" t="n">
        <v>0</v>
      </c>
      <c r="AD1130" s="7" t="n"/>
      <c r="AE1130" s="7" t="n"/>
      <c r="AF1130" s="7" t="n"/>
      <c r="AG1130" s="7" t="n"/>
      <c r="AH1130" s="7" t="n"/>
      <c r="AI1130" s="7" t="n"/>
      <c r="AJ1130" s="7" t="n"/>
      <c r="AK1130" s="7" t="n"/>
      <c r="AL1130" s="7" t="n"/>
      <c r="AM1130" s="7" t="n">
        <v>1903</v>
      </c>
      <c r="AN1130" s="10" t="n"/>
      <c r="AO1130" s="10" t="n"/>
      <c r="AP1130" s="10" t="n"/>
      <c r="AQ1130" s="10" t="n"/>
    </row>
    <row r="1131">
      <c r="A1131" s="7" t="inlineStr">
        <is>
          <t>b8-0073</t>
        </is>
      </c>
      <c r="B1131" s="7" t="inlineStr">
        <is>
          <t>Point</t>
        </is>
      </c>
      <c r="C1131" s="7" t="n"/>
      <c r="D1131" s="7" t="inlineStr">
        <is>
          <t>1903</t>
        </is>
      </c>
      <c r="E1131" s="7" t="n"/>
      <c r="F1131" s="7" t="inlineStr">
        <is>
          <t>1903 CE</t>
        </is>
      </c>
      <c r="G1131" s="7" t="inlineStr">
        <is>
          <t>Exact</t>
        </is>
      </c>
      <c r="H1131" s="7" t="n"/>
      <c r="I1131" s="7" t="n"/>
      <c r="J1131" s="7" t="n"/>
      <c r="K1131" s="2" t="inlineStr">
        <is>
          <t>Russell–Eaton debates at Carnegie Hall, Allegheny</t>
        </is>
      </c>
      <c r="L1131" s="2" t="n"/>
      <c r="M1131" s="7" t="inlineStr">
        <is>
          <t>Challenged to public debate by a clergyman (E. L. Eaton), Russell takes part in six debates before packed audiences at Carnegie Hall in Allegheny.</t>
        </is>
      </c>
      <c r="N1131" s="7" t="n"/>
      <c r="O1131" s="13" t="inlineStr">
        <is>
          <t>Jehovah's Witnesses</t>
        </is>
      </c>
      <c r="P1131" s="7" t="inlineStr">
        <is>
          <t>jw.preaching</t>
        </is>
      </c>
      <c r="Q1131" s="7" t="inlineStr">
        <is>
          <t>debate</t>
        </is>
      </c>
      <c r="R1131" s="7" t="inlineStr">
        <is>
          <t>Charles Taze Russell; E. L. Eaton</t>
        </is>
      </c>
      <c r="S1131" s="7" t="inlineStr">
        <is>
          <t>Allegheny, Pennsylvania</t>
        </is>
      </c>
      <c r="T1131" s="7" t="n"/>
      <c r="U1131" s="7" t="n"/>
      <c r="V1131" s="7" t="n">
        <v>2</v>
      </c>
      <c r="W1131" s="7" t="inlineStr">
        <is>
          <t>“Objects of Hatred by All the Nations”</t>
        </is>
      </c>
      <c r="X1131" s="9" t="inlineStr">
        <is>
          <t>open</t>
        </is>
      </c>
      <c r="Y1131" s="7" t="n"/>
      <c r="Z1131" s="7" t="inlineStr">
        <is>
          <t>https://wol.jw.org/en/wol/d/r1/lp-e/1101993040
https://wol.jw.org/en/wol/d/r1/lp-e/1101993012</t>
        </is>
      </c>
      <c r="AA1131" s="7" t="n">
        <v>0</v>
      </c>
      <c r="AB1131" s="7" t="n"/>
      <c r="AC1131" s="7" t="n">
        <v>0</v>
      </c>
      <c r="AD1131" s="7" t="n"/>
      <c r="AE1131" s="7" t="n"/>
      <c r="AF1131" s="7" t="n"/>
      <c r="AG1131" s="7" t="n"/>
      <c r="AH1131" s="7" t="n"/>
      <c r="AI1131" s="7" t="n"/>
      <c r="AJ1131" s="7" t="n"/>
      <c r="AK1131" s="7" t="n"/>
      <c r="AL1131" s="7" t="n"/>
      <c r="AM1131" s="7" t="n">
        <v>1903</v>
      </c>
      <c r="AN1131" s="10" t="n"/>
      <c r="AO1131" s="10" t="n"/>
      <c r="AP1131" s="10" t="n"/>
      <c r="AQ1131" s="10" t="n"/>
    </row>
    <row r="1132">
      <c r="A1132" s="7" t="inlineStr">
        <is>
          <t>b8-0074</t>
        </is>
      </c>
      <c r="B1132" s="7" t="inlineStr">
        <is>
          <t>Point</t>
        </is>
      </c>
      <c r="C1132" s="7" t="n"/>
      <c r="D1132" s="7" t="inlineStr">
        <is>
          <t>1904</t>
        </is>
      </c>
      <c r="E1132" s="7" t="inlineStr">
        <is>
          <t>1904</t>
        </is>
      </c>
      <c r="F1132" s="7" t="inlineStr">
        <is>
          <t>1904 CE</t>
        </is>
      </c>
      <c r="G1132" s="7" t="inlineStr">
        <is>
          <t>Exact</t>
        </is>
      </c>
      <c r="H1132" s="7" t="n"/>
      <c r="I1132" s="7" t="n"/>
      <c r="J1132" s="7" t="n"/>
      <c r="K1132" s="2" t="inlineStr">
        <is>
          <t>Russell’s sermons begin to appear regularly in newspapers</t>
        </is>
      </c>
      <c r="L1132" s="2" t="inlineStr">
        <is>
          <t>ரஸலின் பேச்சுகள் செய்தித்தாள்களில் தவறாமல் வெளிவர ஆரம்பிக்கின்றன</t>
        </is>
      </c>
      <c r="M1132" s="7" t="inlineStr">
        <is>
          <t>Sermons by C. T. Russell begin to appear regularly in newspapers (announced in the December 1, 1904, Watch Tower); by 1914 over 2,000 newspapers in four languages carry them.</t>
        </is>
      </c>
      <c r="N1132" s="7" t="inlineStr">
        <is>
          <t>ரஸலின் பேச்சுகள் செய்தித்தாள்களில் தவறாமல் வெளிவர ஆரம்பிக்கின்றன</t>
        </is>
      </c>
      <c r="O1132" s="13" t="inlineStr">
        <is>
          <t>Jehovah's Witnesses</t>
        </is>
      </c>
      <c r="P1132" s="7" t="inlineStr">
        <is>
          <t>jw.preaching</t>
        </is>
      </c>
      <c r="Q1132" s="7" t="inlineStr">
        <is>
          <t>method</t>
        </is>
      </c>
      <c r="R1132" s="7" t="inlineStr">
        <is>
          <t>Charles Taze Russell</t>
        </is>
      </c>
      <c r="S1132" s="7" t="n"/>
      <c r="T1132" s="7" t="n"/>
      <c r="U1132" s="7" t="n"/>
      <c r="V1132" s="7" t="n">
        <v>4</v>
      </c>
      <c r="W1132" s="7" t="inlineStr">
        <is>
          <t>Noteworthy Events in the Modern-day History of Jehovah’s Witnesses</t>
        </is>
      </c>
      <c r="X1132" s="9" t="inlineStr">
        <is>
          <t>open</t>
        </is>
      </c>
      <c r="Y1132" s="7" t="n"/>
      <c r="Z1132" s="7" t="inlineStr">
        <is>
          <t>https://wol.jw.org/en/wol/d/r1/lp-e/1101993046
https://wol.jw.org/en/wol/d/r1/lp-e/1101993006
https://wol.jw.org/en/wol/d/r1/lp-e/1102014241
https://wol.jw.org/en/wol/d/r1/lp-e/1102014246</t>
        </is>
      </c>
      <c r="AA1132" s="7" t="n">
        <v>1</v>
      </c>
      <c r="AB1132" s="9" t="inlineStr">
        <is>
          <t>open</t>
        </is>
      </c>
      <c r="AC1132" s="7" t="n">
        <v>1</v>
      </c>
      <c r="AD1132" s="7" t="inlineStr">
        <is>
          <t>kr timeline box (ch. 2) and kr ch. 7 list newspaper sermons under 1903; jv events table gives 1904.</t>
        </is>
      </c>
      <c r="AE1132" s="7" t="n"/>
      <c r="AF1132" s="7" t="n"/>
      <c r="AG1132" s="7" t="n"/>
      <c r="AH1132" s="7" t="n"/>
      <c r="AI1132" s="7" t="n"/>
      <c r="AJ1132" s="7" t="n"/>
      <c r="AK1132" s="7" t="n"/>
      <c r="AL1132" s="7" t="n"/>
      <c r="AM1132" s="7" t="n">
        <v>1904</v>
      </c>
      <c r="AN1132" s="10" t="n"/>
      <c r="AO1132" s="10" t="n"/>
      <c r="AP1132" s="10" t="n"/>
      <c r="AQ1132" s="10" t="n"/>
    </row>
    <row r="1133">
      <c r="A1133" s="7" t="inlineStr">
        <is>
          <t>b8-0075</t>
        </is>
      </c>
      <c r="B1133" s="7" t="inlineStr">
        <is>
          <t>Point</t>
        </is>
      </c>
      <c r="C1133" s="7" t="n"/>
      <c r="D1133" s="7" t="inlineStr">
        <is>
          <t>1904</t>
        </is>
      </c>
      <c r="E1133" s="7" t="inlineStr">
        <is>
          <t>1904</t>
        </is>
      </c>
      <c r="F1133" s="7" t="inlineStr">
        <is>
          <t>1904 CE</t>
        </is>
      </c>
      <c r="G1133" s="7" t="inlineStr">
        <is>
          <t>Exact</t>
        </is>
      </c>
      <c r="H1133" s="7" t="n"/>
      <c r="I1133" s="7" t="n"/>
      <c r="J1133" s="7" t="n"/>
      <c r="K1133" s="2" t="inlineStr">
        <is>
          <t>Volume VI The New Creation published</t>
        </is>
      </c>
      <c r="L1133" s="2" t="n"/>
      <c r="M1133" s="7" t="inlineStr">
        <is>
          <t>The New Creation, Volume VI of Millennial Dawn, is published; it discusses selection of elders, encourages Christians to avoid participation in war, and warns of wrongdoers demoralizing the congregation.</t>
        </is>
      </c>
      <c r="N1133" s="7" t="inlineStr">
        <is>
          <t>உதாரணத்துக்கு, 1904–ல் பிரசுரிக்கப்பட்ட ஆயிரமாண்டு உதயம் என்ற ஆங்கிலப் புத்தகத்தின் ஆறாவது தொகுதியில், a கிறிஸ்தவர்கள் போரில் கலந்துகொள்ளக் கூடாது என்று சொல்லப்பட்டிருந்தது.</t>
        </is>
      </c>
      <c r="O1133" s="13" t="inlineStr">
        <is>
          <t>Jehovah's Witnesses</t>
        </is>
      </c>
      <c r="P1133" s="7" t="inlineStr">
        <is>
          <t>jw.publication</t>
        </is>
      </c>
      <c r="Q1133" s="7" t="inlineStr">
        <is>
          <t>release</t>
        </is>
      </c>
      <c r="R1133" s="7" t="n"/>
      <c r="S1133" s="7" t="n"/>
      <c r="T1133" s="7" t="n"/>
      <c r="U1133" s="7" t="n"/>
      <c r="V1133" s="7" t="n">
        <v>3</v>
      </c>
      <c r="W1133" s="7" t="inlineStr">
        <is>
          <t>Proclaiming the Lord’s Return (1870-1914)</t>
        </is>
      </c>
      <c r="X1133" s="9" t="inlineStr">
        <is>
          <t>open</t>
        </is>
      </c>
      <c r="Y1133" s="7" t="n"/>
      <c r="Z1133" s="7" t="inlineStr">
        <is>
          <t>https://wol.jw.org/en/wol/d/r1/lp-e/1101993006
https://wol.jw.org/en/wol/d/r1/lp-e/1102014253
https://wol.jw.org/en/wol/d/r1/lp-e/1101993018</t>
        </is>
      </c>
      <c r="AA1133" s="7" t="n">
        <v>0</v>
      </c>
      <c r="AB1133" s="7" t="n"/>
      <c r="AC1133" s="7" t="n">
        <v>0</v>
      </c>
      <c r="AD1133" s="7" t="n"/>
      <c r="AE1133" s="7" t="n"/>
      <c r="AF1133" s="7" t="n"/>
      <c r="AG1133" s="7" t="n"/>
      <c r="AH1133" s="7" t="n"/>
      <c r="AI1133" s="7" t="n"/>
      <c r="AJ1133" s="7" t="n"/>
      <c r="AK1133" s="7" t="n"/>
      <c r="AL1133" s="7" t="n"/>
      <c r="AM1133" s="7" t="n">
        <v>1904</v>
      </c>
      <c r="AN1133" s="10" t="n"/>
      <c r="AO1133" s="10" t="n"/>
      <c r="AP1133" s="10" t="n"/>
      <c r="AQ1133" s="10" t="n"/>
    </row>
    <row r="1134">
      <c r="A1134" s="7" t="inlineStr">
        <is>
          <t>b8-0076</t>
        </is>
      </c>
      <c r="B1134" s="7" t="inlineStr">
        <is>
          <t>Point</t>
        </is>
      </c>
      <c r="C1134" s="7" t="n"/>
      <c r="D1134" s="7" t="inlineStr">
        <is>
          <t>1904</t>
        </is>
      </c>
      <c r="E1134" s="7" t="n"/>
      <c r="F1134" s="7" t="inlineStr">
        <is>
          <t>1904 CE</t>
        </is>
      </c>
      <c r="G1134" s="7" t="inlineStr">
        <is>
          <t>Exact</t>
        </is>
      </c>
      <c r="H1134" s="7" t="n"/>
      <c r="I1134" s="7" t="n"/>
      <c r="J1134" s="7" t="n"/>
      <c r="K1134" s="2" t="inlineStr">
        <is>
          <t>Branch office established in Australia</t>
        </is>
      </c>
      <c r="L1134" s="2" t="n"/>
      <c r="M1134" s="7" t="inlineStr">
        <is>
          <t>The third branch office is established, in Australia.</t>
        </is>
      </c>
      <c r="N1134" s="7" t="n"/>
      <c r="O1134" s="13" t="inlineStr">
        <is>
          <t>Jehovah's Witnesses</t>
        </is>
      </c>
      <c r="P1134" s="7" t="inlineStr">
        <is>
          <t>jw.organization</t>
        </is>
      </c>
      <c r="Q1134" s="7" t="inlineStr">
        <is>
          <t>branch</t>
        </is>
      </c>
      <c r="R1134" s="7" t="n"/>
      <c r="S1134" s="7" t="inlineStr">
        <is>
          <t>Australia</t>
        </is>
      </c>
      <c r="T1134" s="7" t="n"/>
      <c r="U1134" s="7" t="n"/>
      <c r="V1134" s="7" t="n">
        <v>1</v>
      </c>
      <c r="W1134" s="7" t="inlineStr">
        <is>
          <t>Building Work That Honors Jehovah</t>
        </is>
      </c>
      <c r="X1134" s="9" t="inlineStr">
        <is>
          <t>open</t>
        </is>
      </c>
      <c r="Y1134" s="9" t="inlineStr">
        <is>
          <t>open</t>
        </is>
      </c>
      <c r="Z1134" s="7" t="inlineStr">
        <is>
          <t>https://wol.jw.org/en/wol/d/r1/lp-e/1102014258</t>
        </is>
      </c>
      <c r="AA1134" s="7" t="n">
        <v>0</v>
      </c>
      <c r="AB1134" s="7" t="n"/>
      <c r="AC1134" s="7" t="n">
        <v>0</v>
      </c>
      <c r="AD1134" s="7" t="n"/>
      <c r="AE1134" s="7" t="n"/>
      <c r="AF1134" s="7" t="n"/>
      <c r="AG1134" s="7" t="n"/>
      <c r="AH1134" s="7" t="n"/>
      <c r="AI1134" s="7" t="n"/>
      <c r="AJ1134" s="7" t="n"/>
      <c r="AK1134" s="7" t="n"/>
      <c r="AL1134" s="7" t="n"/>
      <c r="AM1134" s="7" t="n">
        <v>1904</v>
      </c>
      <c r="AN1134" s="10" t="n"/>
      <c r="AO1134" s="10" t="n"/>
      <c r="AP1134" s="10" t="n"/>
      <c r="AQ1134" s="10" t="n"/>
    </row>
    <row r="1135">
      <c r="A1135" s="7" t="inlineStr">
        <is>
          <t>b8-0077</t>
        </is>
      </c>
      <c r="B1135" s="7" t="inlineStr">
        <is>
          <t>Point</t>
        </is>
      </c>
      <c r="C1135" s="7" t="n"/>
      <c r="D1135" s="7" t="inlineStr">
        <is>
          <t>c. October 1904</t>
        </is>
      </c>
      <c r="E1135" s="7" t="n"/>
      <c r="F1135" s="7" t="inlineStr">
        <is>
          <t>1904 CE</t>
        </is>
      </c>
      <c r="G1135" s="7" t="inlineStr">
        <is>
          <t>Approx. (c.)</t>
        </is>
      </c>
      <c r="H1135" s="7" t="n"/>
      <c r="I1135" s="7" t="n"/>
      <c r="J1135" s="7" t="n"/>
      <c r="K1135" s="2" t="inlineStr">
        <is>
          <t>Name Studies in the Scriptures adopted for the series</t>
        </is>
      </c>
      <c r="L1135" s="2" t="n"/>
      <c r="M1135" s="7" t="inlineStr">
        <is>
          <t>The name Studies in the Scriptures begins to be used for the Millennial Dawn series in limited editions about October 1904, and more generally from 1906.</t>
        </is>
      </c>
      <c r="N1135" s="7" t="n"/>
      <c r="O1135" s="13" t="inlineStr">
        <is>
          <t>Jehovah's Witnesses</t>
        </is>
      </c>
      <c r="P1135" s="7" t="inlineStr">
        <is>
          <t>jw.publication</t>
        </is>
      </c>
      <c r="Q1135" s="7" t="inlineStr">
        <is>
          <t>name_change</t>
        </is>
      </c>
      <c r="R1135" s="7" t="n"/>
      <c r="S1135" s="7" t="n"/>
      <c r="T1135" s="7" t="n"/>
      <c r="U1135" s="7" t="n"/>
      <c r="V1135" s="7" t="n">
        <v>1</v>
      </c>
      <c r="W1135" s="7" t="inlineStr">
        <is>
          <t>Proclaiming the Lord’s Return (1870-1914)</t>
        </is>
      </c>
      <c r="X1135" s="9" t="inlineStr">
        <is>
          <t>open</t>
        </is>
      </c>
      <c r="Y1135" s="7" t="n"/>
      <c r="Z1135" s="7" t="inlineStr">
        <is>
          <t>https://wol.jw.org/en/wol/d/r1/lp-e/1101993006</t>
        </is>
      </c>
      <c r="AA1135" s="7" t="n">
        <v>0</v>
      </c>
      <c r="AB1135" s="7" t="n"/>
      <c r="AC1135" s="7" t="n">
        <v>0</v>
      </c>
      <c r="AD1135" s="7" t="n"/>
      <c r="AE1135" s="7" t="n"/>
      <c r="AF1135" s="7" t="n"/>
      <c r="AG1135" s="7" t="n"/>
      <c r="AH1135" s="7" t="n"/>
      <c r="AI1135" s="7" t="n"/>
      <c r="AJ1135" s="7" t="n"/>
      <c r="AK1135" s="7" t="n"/>
      <c r="AL1135" s="7" t="n"/>
      <c r="AM1135" s="7" t="n">
        <v>1904.75</v>
      </c>
      <c r="AN1135" s="10" t="n"/>
      <c r="AO1135" s="10" t="n"/>
      <c r="AP1135" s="10" t="n"/>
      <c r="AQ1135" s="10" t="n"/>
    </row>
    <row r="1136">
      <c r="A1136" s="7" t="inlineStr">
        <is>
          <t>b8-0079</t>
        </is>
      </c>
      <c r="B1136" s="7" t="inlineStr">
        <is>
          <t>Point</t>
        </is>
      </c>
      <c r="C1136" s="7" t="n"/>
      <c r="D1136" s="7" t="inlineStr">
        <is>
          <t>1905</t>
        </is>
      </c>
      <c r="E1136" s="7" t="n"/>
      <c r="F1136" s="7" t="inlineStr">
        <is>
          <t>1905 CE</t>
        </is>
      </c>
      <c r="G1136" s="7" t="inlineStr">
        <is>
          <t>Exact</t>
        </is>
      </c>
      <c r="H1136" s="7" t="n"/>
      <c r="I1136" s="7" t="n"/>
      <c r="J1136" s="7" t="n"/>
      <c r="K1136" s="2" t="inlineStr">
        <is>
          <t>Hymns of the Millennial Dawn published</t>
        </is>
      </c>
      <c r="L1136" s="2" t="n"/>
      <c r="M1136" s="7" t="inlineStr">
        <is>
          <t>The songbook Hymns of the Millennial Dawn, the 333 songs of 1890 now with music, is published.</t>
        </is>
      </c>
      <c r="N1136" s="7" t="n"/>
      <c r="O1136" s="13" t="inlineStr">
        <is>
          <t>Jehovah's Witnesses</t>
        </is>
      </c>
      <c r="P1136" s="7" t="inlineStr">
        <is>
          <t>jw.publication</t>
        </is>
      </c>
      <c r="Q1136" s="7" t="inlineStr">
        <is>
          <t>release</t>
        </is>
      </c>
      <c r="R1136" s="7" t="n"/>
      <c r="S1136" s="7" t="n"/>
      <c r="T1136" s="7" t="n"/>
      <c r="U1136" s="7" t="n"/>
      <c r="V1136" s="7" t="n">
        <v>2</v>
      </c>
      <c r="W1136" s="7" t="inlineStr">
        <is>
          <t>Meeting Together for Worship</t>
        </is>
      </c>
      <c r="X1136" s="9" t="inlineStr">
        <is>
          <t>open</t>
        </is>
      </c>
      <c r="Y1136" s="9" t="inlineStr">
        <is>
          <t>open</t>
        </is>
      </c>
      <c r="Z1136" s="7" t="inlineStr">
        <is>
          <t>https://wol.jw.org/en/wol/d/r1/lp-e/1102014255
https://wol.jw.org/en/wol/d/r1/lp-e/1101993019</t>
        </is>
      </c>
      <c r="AA1136" s="7" t="n">
        <v>1</v>
      </c>
      <c r="AB1136" s="9" t="inlineStr">
        <is>
          <t>open</t>
        </is>
      </c>
      <c r="AC1136" s="7" t="n">
        <v>0</v>
      </c>
      <c r="AD1136" s="7" t="n"/>
      <c r="AE1136" s="7" t="n"/>
      <c r="AF1136" s="7" t="n"/>
      <c r="AG1136" s="7" t="n"/>
      <c r="AH1136" s="7" t="n"/>
      <c r="AI1136" s="7" t="n"/>
      <c r="AJ1136" s="7" t="n"/>
      <c r="AK1136" s="7" t="n"/>
      <c r="AL1136" s="7" t="n"/>
      <c r="AM1136" s="7" t="n">
        <v>1905</v>
      </c>
      <c r="AN1136" s="10" t="n"/>
      <c r="AO1136" s="10" t="n"/>
      <c r="AP1136" s="10" t="n"/>
      <c r="AQ1136" s="10" t="n"/>
    </row>
    <row r="1137">
      <c r="A1137" s="7" t="inlineStr">
        <is>
          <t>b8-0078</t>
        </is>
      </c>
      <c r="B1137" s="11" t="inlineStr">
        <is>
          <t>Span</t>
        </is>
      </c>
      <c r="C1137" s="7" t="inlineStr">
        <is>
          <t>campaign</t>
        </is>
      </c>
      <c r="D1137" s="7" t="inlineStr">
        <is>
          <t>1905-1907</t>
        </is>
      </c>
      <c r="E1137" s="7" t="n"/>
      <c r="F1137" s="7" t="inlineStr">
        <is>
          <t>1905 CE</t>
        </is>
      </c>
      <c r="G1137" s="7" t="inlineStr">
        <is>
          <t>Exact</t>
        </is>
      </c>
      <c r="H1137" s="7" t="inlineStr">
        <is>
          <t>1907 CE</t>
        </is>
      </c>
      <c r="I1137" s="7" t="inlineStr">
        <is>
          <t>Exact</t>
        </is>
      </c>
      <c r="J1137" s="7" t="inlineStr">
        <is>
          <t>2 years</t>
        </is>
      </c>
      <c r="K1137" s="2" t="inlineStr">
        <is>
          <t>“To Hell and Back!” one-day conventions</t>
        </is>
      </c>
      <c r="L1137" s="2" t="n"/>
      <c r="M1137" s="7" t="inlineStr">
        <is>
          <t>From 1905 through 1907 Russell serves an extensive series of one-day conventions featuring the public discourse “To Hell and Back!”</t>
        </is>
      </c>
      <c r="N1137" s="7" t="n"/>
      <c r="O1137" s="13" t="inlineStr">
        <is>
          <t>Jehovah's Witnesses</t>
        </is>
      </c>
      <c r="P1137" s="7" t="inlineStr">
        <is>
          <t>jw.preaching</t>
        </is>
      </c>
      <c r="Q1137" s="7" t="inlineStr">
        <is>
          <t>campaign</t>
        </is>
      </c>
      <c r="R1137" s="7" t="inlineStr">
        <is>
          <t>Charles Taze Russell</t>
        </is>
      </c>
      <c r="S1137" s="7" t="n"/>
      <c r="T1137" s="7" t="n"/>
      <c r="U1137" s="7" t="n"/>
      <c r="V1137" s="7" t="n">
        <v>1</v>
      </c>
      <c r="W1137" s="7" t="inlineStr">
        <is>
          <t>Growing in Accurate Knowledge of the Truth</t>
        </is>
      </c>
      <c r="X1137" s="9" t="inlineStr">
        <is>
          <t>open</t>
        </is>
      </c>
      <c r="Y1137" s="7" t="n"/>
      <c r="Z1137" s="7" t="inlineStr">
        <is>
          <t>https://wol.jw.org/en/wol/d/r1/lp-e/1101993012</t>
        </is>
      </c>
      <c r="AA1137" s="7" t="n">
        <v>0</v>
      </c>
      <c r="AB1137" s="7" t="n"/>
      <c r="AC1137" s="7" t="n">
        <v>0</v>
      </c>
      <c r="AD1137" s="7" t="n"/>
      <c r="AE1137" s="7" t="n"/>
      <c r="AF1137" s="7" t="n"/>
      <c r="AG1137" s="7" t="n"/>
      <c r="AH1137" s="7" t="n"/>
      <c r="AI1137" s="7" t="n"/>
      <c r="AJ1137" s="7" t="n"/>
      <c r="AK1137" s="7" t="n"/>
      <c r="AL1137" s="7" t="n"/>
      <c r="AM1137" s="7" t="n">
        <v>1905</v>
      </c>
      <c r="AN1137" s="10" t="n"/>
      <c r="AO1137" s="10" t="n"/>
      <c r="AP1137" s="10" t="n"/>
      <c r="AQ1137" s="10" t="n"/>
    </row>
    <row r="1138">
      <c r="A1138" s="7" t="inlineStr">
        <is>
          <t>b8-0080</t>
        </is>
      </c>
      <c r="B1138" s="7" t="inlineStr">
        <is>
          <t>Point</t>
        </is>
      </c>
      <c r="C1138" s="7" t="n"/>
      <c r="D1138" s="7" t="inlineStr">
        <is>
          <t>April 23, 1905</t>
        </is>
      </c>
      <c r="E1138" s="7" t="n"/>
      <c r="F1138" s="7" t="inlineStr">
        <is>
          <t>1905 CE</t>
        </is>
      </c>
      <c r="G1138" s="7" t="inlineStr">
        <is>
          <t>Exact</t>
        </is>
      </c>
      <c r="H1138" s="7" t="n"/>
      <c r="I1138" s="7" t="n"/>
      <c r="J1138" s="7" t="n"/>
      <c r="K1138" s="2" t="inlineStr">
        <is>
          <t>Nathan H. Knorr is born</t>
        </is>
      </c>
      <c r="L1138" s="2" t="n"/>
      <c r="M1138" s="7" t="inlineStr">
        <is>
          <t>Nathan Homer Knorr, later the third president of the Watch Tower Society, is born in Bethlehem, Pennsylvania, U.S.A.</t>
        </is>
      </c>
      <c r="N1138" s="7" t="n"/>
      <c r="O1138" s="13" t="inlineStr">
        <is>
          <t>Jehovah's Witnesses</t>
        </is>
      </c>
      <c r="P1138" s="7" t="inlineStr">
        <is>
          <t>jw.leadership</t>
        </is>
      </c>
      <c r="Q1138" s="7" t="inlineStr">
        <is>
          <t>birth</t>
        </is>
      </c>
      <c r="R1138" s="7" t="inlineStr">
        <is>
          <t>Nathan H. Knorr</t>
        </is>
      </c>
      <c r="S1138" s="7" t="inlineStr">
        <is>
          <t>Bethlehem, Pennsylvania</t>
        </is>
      </c>
      <c r="T1138" s="7" t="n"/>
      <c r="U1138" s="7" t="n"/>
      <c r="V1138" s="7" t="n">
        <v>1</v>
      </c>
      <c r="W1138" s="7" t="inlineStr">
        <is>
          <t>Declaring the Good News Without Letup (1942-1975)</t>
        </is>
      </c>
      <c r="X1138" s="9" t="inlineStr">
        <is>
          <t>open</t>
        </is>
      </c>
      <c r="Y1138" s="7" t="n"/>
      <c r="Z1138" s="7" t="inlineStr">
        <is>
          <t>https://wol.jw.org/en/wol/d/r1/lp-e/1101993009</t>
        </is>
      </c>
      <c r="AA1138" s="7" t="n">
        <v>0</v>
      </c>
      <c r="AB1138" s="7" t="n"/>
      <c r="AC1138" s="7" t="n">
        <v>0</v>
      </c>
      <c r="AD1138" s="7" t="n"/>
      <c r="AE1138" s="7" t="n"/>
      <c r="AF1138" s="7" t="n"/>
      <c r="AG1138" s="7" t="n"/>
      <c r="AH1138" s="7" t="n"/>
      <c r="AI1138" s="7" t="inlineStr">
        <is>
          <t>Covered by span – hide on chart</t>
        </is>
      </c>
      <c r="AJ1138" s="7" t="inlineStr">
        <is>
          <t>start of Life of Nathan H. Knorr (d1-0031)</t>
        </is>
      </c>
      <c r="AK1138" s="7" t="n"/>
      <c r="AL1138" s="7" t="n"/>
      <c r="AM1138" s="7" t="n">
        <v>1905.305</v>
      </c>
      <c r="AN1138" s="10" t="n"/>
      <c r="AO1138" s="10" t="n"/>
      <c r="AP1138" s="10" t="n"/>
      <c r="AQ1138" s="10" t="n"/>
    </row>
    <row r="1139">
      <c r="A1139" s="7" t="inlineStr">
        <is>
          <t>d1-0031</t>
        </is>
      </c>
      <c r="B1139" s="11" t="inlineStr">
        <is>
          <t>Span</t>
        </is>
      </c>
      <c r="C1139" s="7" t="inlineStr">
        <is>
          <t>lifespan</t>
        </is>
      </c>
      <c r="D1139" s="7" t="inlineStr">
        <is>
          <t>April 23, 1905 – 1977, June 8</t>
        </is>
      </c>
      <c r="E1139" s="7" t="n"/>
      <c r="F1139" s="7" t="inlineStr">
        <is>
          <t>1905 CE</t>
        </is>
      </c>
      <c r="G1139" s="7" t="inlineStr">
        <is>
          <t>Exact</t>
        </is>
      </c>
      <c r="H1139" s="7" t="inlineStr">
        <is>
          <t>1977 CE</t>
        </is>
      </c>
      <c r="I1139" s="7" t="inlineStr">
        <is>
          <t>Exact</t>
        </is>
      </c>
      <c r="J1139" s="7" t="inlineStr">
        <is>
          <t>72 years</t>
        </is>
      </c>
      <c r="K1139" s="2" t="inlineStr">
        <is>
          <t>Life of Nathan H. Knorr</t>
        </is>
      </c>
      <c r="L1139" s="2" t="n"/>
      <c r="M1139" s="7" t="inlineStr">
        <is>
          <t>Nathan H. Knorr: from Nathan H. Knorr is born (April 23, 1905) to Death of Nathan H. Knorr (1977, June 8). Dates as given in the cited jw.org publications.</t>
        </is>
      </c>
      <c r="N1139" s="7" t="n"/>
      <c r="O1139" s="13" t="inlineStr">
        <is>
          <t>Jehovah's Witnesses</t>
        </is>
      </c>
      <c r="P1139" s="7" t="inlineStr">
        <is>
          <t>jw.leadership</t>
        </is>
      </c>
      <c r="Q1139" s="7" t="inlineStr">
        <is>
          <t>lifespan</t>
        </is>
      </c>
      <c r="R1139" s="7" t="inlineStr">
        <is>
          <t>Nathan H. Knorr</t>
        </is>
      </c>
      <c r="S1139" s="7" t="inlineStr">
        <is>
          <t>Bethlehem, Pennsylvania</t>
        </is>
      </c>
      <c r="T1139" s="7" t="n"/>
      <c r="U1139" s="7" t="n"/>
      <c r="V1139" s="7" t="n">
        <v>3</v>
      </c>
      <c r="W1139" s="7" t="inlineStr">
        <is>
          <t>Declaring the Good News Without Letup (1942-1975)</t>
        </is>
      </c>
      <c r="X1139" s="9" t="inlineStr">
        <is>
          <t>open</t>
        </is>
      </c>
      <c r="Y1139" s="7" t="n"/>
      <c r="Z1139" s="7" t="inlineStr">
        <is>
          <t>https://wol.jw.org/en/wol/d/r1/lp-e/1101993009
https://wol.jw.org/en/wol/d/r1/lp-e/1977526
https://wol.jw.org/en/wol/d/r1/lp-e/1977564</t>
        </is>
      </c>
      <c r="AA1139" s="7" t="n">
        <v>0</v>
      </c>
      <c r="AB1139" s="7" t="n"/>
      <c r="AC1139" s="7" t="n">
        <v>0</v>
      </c>
      <c r="AD1139" s="7" t="n"/>
      <c r="AE1139" s="7" t="inlineStr">
        <is>
          <t>Built from b8-0080 (start) and b9-0112 (end).</t>
        </is>
      </c>
      <c r="AF1139" s="7" t="inlineStr">
        <is>
          <t>b8-0080</t>
        </is>
      </c>
      <c r="AG1139" s="7" t="inlineStr">
        <is>
          <t>b9-0112</t>
        </is>
      </c>
      <c r="AH1139" s="7" t="n"/>
      <c r="AI1139" s="7" t="n"/>
      <c r="AJ1139" s="7" t="n"/>
      <c r="AK1139" s="7" t="n"/>
      <c r="AL1139" s="7" t="n"/>
      <c r="AM1139" s="7" t="n">
        <v>1905.305</v>
      </c>
      <c r="AN1139" s="10" t="n"/>
      <c r="AO1139" s="10" t="n"/>
      <c r="AP1139" s="10" t="n"/>
      <c r="AQ1139" s="10" t="n"/>
    </row>
    <row r="1140">
      <c r="A1140" s="7" t="inlineStr">
        <is>
          <t>b17-0006</t>
        </is>
      </c>
      <c r="B1140" s="7" t="inlineStr">
        <is>
          <t>Point</t>
        </is>
      </c>
      <c r="C1140" s="7" t="n"/>
      <c r="D1140" s="7" t="inlineStr">
        <is>
          <t>1906</t>
        </is>
      </c>
      <c r="E1140" s="7" t="inlineStr">
        <is>
          <t>1906</t>
        </is>
      </c>
      <c r="F1140" s="7" t="inlineStr">
        <is>
          <t>1906 CE</t>
        </is>
      </c>
      <c r="G1140" s="7" t="inlineStr">
        <is>
          <t>Exact</t>
        </is>
      </c>
      <c r="H1140" s="7" t="n"/>
      <c r="I1140" s="7" t="n"/>
      <c r="J1140" s="7" t="n"/>
      <c r="K1140" s="2" t="inlineStr">
        <is>
          <t>Rudolf Kittel releases the first edition of Biblia Hebraica</t>
        </is>
      </c>
      <c r="L1140" s="2" t="inlineStr">
        <is>
          <t>பிப்ளியா ஹெப்ரேய்க்கா, அல்லது “எபிரெய பைபிள்”</t>
        </is>
      </c>
      <c r="M1140" s="7" t="inlineStr">
        <is>
          <t>In 1906 Hebrew scholar Rudolf Kittel released in Germany the first edition of his refined Hebrew text, Biblia Hebraica. Its later editions provided the basic text for the Hebrew Scriptures of the New World Translation (1953-1960).</t>
        </is>
      </c>
      <c r="N1140" s="7" t="inlineStr">
        <is>
          <t>எபிரெய அறிஞர் ருடால்ஃப் கிட்டல் 1906-⁠ல் பிப்ளியா ஹெப்ரேய்க்கா, அல்லது “எபிரெய பைபிள்” என்ற தலைப்புடைய செம்மையாக்கப்பட்ட எபிரெய வாக்கியத்தின் முதல் பதிப்பை (பின்னால், இரண்டாவது பதிப்பை) ஜெர்மனியில் வெளியிட்டார்.</t>
        </is>
      </c>
      <c r="O1140" s="12" t="inlineStr">
        <is>
          <t>Bible &amp; church history</t>
        </is>
      </c>
      <c r="P1140" s="7" t="inlineStr">
        <is>
          <t>history.bible_preservation</t>
        </is>
      </c>
      <c r="Q1140" s="7" t="inlineStr">
        <is>
          <t>master_text</t>
        </is>
      </c>
      <c r="R1140" s="7" t="inlineStr">
        <is>
          <t>Rudolf Kittel</t>
        </is>
      </c>
      <c r="S1140" s="7" t="inlineStr">
        <is>
          <t>Germany</t>
        </is>
      </c>
      <c r="T1140" s="7" t="n"/>
      <c r="U1140" s="7" t="n"/>
      <c r="V1140" s="7" t="n">
        <v>2</v>
      </c>
      <c r="W1140" s="7" t="inlineStr">
        <is>
          <t>Study Number 5—The Hebrew Text of the Holy Scriptures</t>
        </is>
      </c>
      <c r="X1140" s="9" t="inlineStr">
        <is>
          <t>open</t>
        </is>
      </c>
      <c r="Y1140" s="9" t="inlineStr">
        <is>
          <t>open</t>
        </is>
      </c>
      <c r="Z1140" s="7" t="inlineStr">
        <is>
          <t>https://wol.jw.org/en/wol/d/r1/lp-e/1101990132
https://wol.jw.org/en/wol/d/r1/lp-e/1001070203</t>
        </is>
      </c>
      <c r="AA1140" s="7" t="n">
        <v>0</v>
      </c>
      <c r="AB1140" s="7" t="n"/>
      <c r="AC1140" s="7" t="n">
        <v>0</v>
      </c>
      <c r="AD1140" s="7" t="n"/>
      <c r="AE1140" s="7" t="n"/>
      <c r="AF1140" s="7" t="n"/>
      <c r="AG1140" s="7" t="n"/>
      <c r="AH1140" s="7" t="n"/>
      <c r="AI1140" s="7" t="n"/>
      <c r="AJ1140" s="7" t="n"/>
      <c r="AK1140" s="7" t="inlineStr">
        <is>
          <t>how-the-bible-came-to-us #51 (step)</t>
        </is>
      </c>
      <c r="AL1140" s="7" t="inlineStr">
        <is>
          <t>si Study 5 par. 28: the 7th, 8th and 9th editions (1951-55) provided the basic text for the Hebrew section of the NWT.</t>
        </is>
      </c>
      <c r="AM1140" s="7" t="n">
        <v>1906</v>
      </c>
      <c r="AN1140" s="10" t="n"/>
      <c r="AO1140" s="10" t="n"/>
      <c r="AP1140" s="10" t="n"/>
      <c r="AQ1140" s="10" t="n"/>
    </row>
    <row r="1141">
      <c r="A1141" s="7" t="inlineStr">
        <is>
          <t>b8-0081</t>
        </is>
      </c>
      <c r="B1141" s="7" t="inlineStr">
        <is>
          <t>Point</t>
        </is>
      </c>
      <c r="C1141" s="7" t="n"/>
      <c r="D1141" s="7" t="inlineStr">
        <is>
          <t>1907</t>
        </is>
      </c>
      <c r="E1141" s="7" t="n"/>
      <c r="F1141" s="7" t="inlineStr">
        <is>
          <t>1907 CE</t>
        </is>
      </c>
      <c r="G1141" s="7" t="inlineStr">
        <is>
          <t>Exact</t>
        </is>
      </c>
      <c r="H1141" s="7" t="n"/>
      <c r="I1141" s="7" t="n"/>
      <c r="J1141" s="7" t="n"/>
      <c r="K1141" s="2" t="inlineStr">
        <is>
          <t>Bible Students Edition of the King James Version published</t>
        </is>
      </c>
      <c r="L1141" s="2" t="n"/>
      <c r="M1141" s="7" t="inlineStr">
        <is>
          <t>The Bible Students Edition of the King James Version, with revised and enlarged Berean study helps, is published.</t>
        </is>
      </c>
      <c r="N1141" s="7" t="n"/>
      <c r="O1141" s="13" t="inlineStr">
        <is>
          <t>Jehovah's Witnesses</t>
        </is>
      </c>
      <c r="P1141" s="7" t="inlineStr">
        <is>
          <t>jw.publication</t>
        </is>
      </c>
      <c r="Q1141" s="7" t="inlineStr">
        <is>
          <t>bible_release</t>
        </is>
      </c>
      <c r="R1141" s="7" t="n"/>
      <c r="S1141" s="7" t="n"/>
      <c r="T1141" s="7" t="n"/>
      <c r="U1141" s="7" t="n"/>
      <c r="V1141" s="7" t="n">
        <v>2</v>
      </c>
      <c r="W1141" s="7" t="inlineStr">
        <is>
          <t>Printing and Distributing God’s Own Sacred Word</t>
        </is>
      </c>
      <c r="X1141" s="9" t="inlineStr">
        <is>
          <t>open</t>
        </is>
      </c>
      <c r="Y1141" s="7" t="n"/>
      <c r="Z1141" s="7" t="inlineStr">
        <is>
          <t>https://wol.jw.org/en/wol/d/r1/lp-e/1101993037
https://wol.jw.org/en/wol/d/r1/lp-e/1101993019</t>
        </is>
      </c>
      <c r="AA1141" s="7" t="n">
        <v>0</v>
      </c>
      <c r="AB1141" s="7" t="n"/>
      <c r="AC1141" s="7" t="n">
        <v>0</v>
      </c>
      <c r="AD1141" s="7" t="n"/>
      <c r="AE1141" s="7" t="n"/>
      <c r="AF1141" s="7" t="n"/>
      <c r="AG1141" s="7" t="n"/>
      <c r="AH1141" s="7" t="n"/>
      <c r="AI1141" s="7" t="n"/>
      <c r="AJ1141" s="7" t="n"/>
      <c r="AK1141" s="7" t="n"/>
      <c r="AL1141" s="7" t="n"/>
      <c r="AM1141" s="7" t="n">
        <v>1907</v>
      </c>
      <c r="AN1141" s="10" t="n"/>
      <c r="AO1141" s="10" t="n"/>
      <c r="AP1141" s="10" t="n"/>
      <c r="AQ1141" s="10" t="n"/>
    </row>
    <row r="1142">
      <c r="A1142" s="7" t="inlineStr">
        <is>
          <t>b8-0082</t>
        </is>
      </c>
      <c r="B1142" s="7" t="inlineStr">
        <is>
          <t>Point</t>
        </is>
      </c>
      <c r="C1142" s="7" t="n"/>
      <c r="D1142" s="7" t="inlineStr">
        <is>
          <t>June 15, 1908</t>
        </is>
      </c>
      <c r="E1142" s="7" t="inlineStr">
        <is>
          <t>ஜூன் 15, 1908</t>
        </is>
      </c>
      <c r="F1142" s="7" t="inlineStr">
        <is>
          <t>1908 CE</t>
        </is>
      </c>
      <c r="G1142" s="7" t="inlineStr">
        <is>
          <t>Exact</t>
        </is>
      </c>
      <c r="H1142" s="7" t="n"/>
      <c r="I1142" s="7" t="n"/>
      <c r="J1142" s="7" t="n"/>
      <c r="K1142" s="2" t="inlineStr">
        <is>
          <t>Watch Tower publishes the “vow” on moral conduct</t>
        </is>
      </c>
      <c r="L1142" s="2" t="n"/>
      <c r="M1142" s="7" t="inlineStr">
        <is>
          <t>The June 15, 1908, Watch Tower publishes a vow including the commitment to conduct oneself toward the opposite sex in private exactly as in public.</t>
        </is>
      </c>
      <c r="N1142" s="7" t="inlineStr">
        <is>
          <t>சாத்தானின் கண்ணியில் சிக்காமல் இருப்பதற்கு, ஜூன் 15, 1908, காவற்கோபுரத்தில் ஒரு உறுதிமொழி பிரசுரிக்கப்பட்டிருந்தது.</t>
        </is>
      </c>
      <c r="O1142" s="13" t="inlineStr">
        <is>
          <t>Jehovah's Witnesses</t>
        </is>
      </c>
      <c r="P1142" s="7" t="inlineStr">
        <is>
          <t>jw.doctrine</t>
        </is>
      </c>
      <c r="Q1142" s="7" t="inlineStr">
        <is>
          <t>moral</t>
        </is>
      </c>
      <c r="R1142" s="7" t="n"/>
      <c r="S1142" s="7" t="n"/>
      <c r="T1142" s="7" t="n"/>
      <c r="U1142" s="7" t="n"/>
      <c r="V1142" s="7" t="n">
        <v>1</v>
      </c>
      <c r="W1142" s="7" t="inlineStr">
        <is>
          <t>Moral Refinements—Reflecting God’s Holiness</t>
        </is>
      </c>
      <c r="X1142" s="9" t="inlineStr">
        <is>
          <t>open</t>
        </is>
      </c>
      <c r="Y1142" s="9" t="inlineStr">
        <is>
          <t>open</t>
        </is>
      </c>
      <c r="Z1142" s="7" t="inlineStr">
        <is>
          <t>https://wol.jw.org/en/wol/d/r1/lp-e/1102014250</t>
        </is>
      </c>
      <c r="AA1142" s="7" t="n">
        <v>0</v>
      </c>
      <c r="AB1142" s="7" t="n"/>
      <c r="AC1142" s="7" t="n">
        <v>0</v>
      </c>
      <c r="AD1142" s="7" t="n"/>
      <c r="AE1142" s="7" t="n"/>
      <c r="AF1142" s="7" t="n"/>
      <c r="AG1142" s="7" t="n"/>
      <c r="AH1142" s="7" t="n"/>
      <c r="AI1142" s="7" t="n"/>
      <c r="AJ1142" s="7" t="n"/>
      <c r="AK1142" s="7" t="n"/>
      <c r="AL1142" s="7" t="n"/>
      <c r="AM1142" s="7" t="n">
        <v>1908.4517</v>
      </c>
      <c r="AN1142" s="10" t="n"/>
      <c r="AO1142" s="10" t="n"/>
      <c r="AP1142" s="10" t="n"/>
      <c r="AQ1142" s="10" t="n"/>
    </row>
    <row r="1143">
      <c r="A1143" s="7" t="inlineStr">
        <is>
          <t>b8-0083</t>
        </is>
      </c>
      <c r="B1143" s="7" t="inlineStr">
        <is>
          <t>Point</t>
        </is>
      </c>
      <c r="C1143" s="7" t="n"/>
      <c r="D1143" s="7" t="inlineStr">
        <is>
          <t>January 1, 1909</t>
        </is>
      </c>
      <c r="E1143" s="7" t="n"/>
      <c r="F1143" s="7" t="inlineStr">
        <is>
          <t>1909 CE</t>
        </is>
      </c>
      <c r="G1143" s="7" t="inlineStr">
        <is>
          <t>Exact</t>
        </is>
      </c>
      <c r="H1143" s="7" t="n"/>
      <c r="I1143" s="7" t="n"/>
      <c r="J1143" s="7" t="n"/>
      <c r="K1143" s="2" t="inlineStr">
        <is>
          <t>Magazine renamed The Watch Tower and Herald of Christ’s Presence</t>
        </is>
      </c>
      <c r="L1143" s="2" t="n"/>
      <c r="M1143" s="7" t="inlineStr">
        <is>
          <t>The name Zion’s Watch Tower and Herald of Christ’s Presence is changed to The Watch Tower and Herald of Christ’s Presence.</t>
        </is>
      </c>
      <c r="N1143" s="7" t="n"/>
      <c r="O1143" s="13" t="inlineStr">
        <is>
          <t>Jehovah's Witnesses</t>
        </is>
      </c>
      <c r="P1143" s="7" t="inlineStr">
        <is>
          <t>jw.publication</t>
        </is>
      </c>
      <c r="Q1143" s="7" t="inlineStr">
        <is>
          <t>name_change</t>
        </is>
      </c>
      <c r="R1143" s="7" t="n"/>
      <c r="S1143" s="7" t="n"/>
      <c r="T1143" s="7" t="n"/>
      <c r="U1143" s="7" t="n"/>
      <c r="V1143" s="7" t="n">
        <v>1</v>
      </c>
      <c r="W1143" s="7" t="inlineStr">
        <is>
          <t>Meetings for Worship, Instruction, and Encouragement</t>
        </is>
      </c>
      <c r="X1143" s="9" t="inlineStr">
        <is>
          <t>open</t>
        </is>
      </c>
      <c r="Y1143" s="7" t="n"/>
      <c r="Z1143" s="7" t="inlineStr">
        <is>
          <t>https://wol.jw.org/en/wol/d/r1/lp-e/1101993019</t>
        </is>
      </c>
      <c r="AA1143" s="7" t="n">
        <v>0</v>
      </c>
      <c r="AB1143" s="7" t="n"/>
      <c r="AC1143" s="7" t="n">
        <v>0</v>
      </c>
      <c r="AD1143" s="7" t="n"/>
      <c r="AE1143" s="7" t="n"/>
      <c r="AF1143" s="7" t="n"/>
      <c r="AG1143" s="7" t="n"/>
      <c r="AH1143" s="7" t="n"/>
      <c r="AI1143" s="7" t="n"/>
      <c r="AJ1143" s="7" t="n"/>
      <c r="AK1143" s="7" t="n"/>
      <c r="AL1143" s="7" t="n"/>
      <c r="AM1143" s="7" t="n">
        <v>1909</v>
      </c>
      <c r="AN1143" s="10" t="n"/>
      <c r="AO1143" s="10" t="n"/>
      <c r="AP1143" s="10" t="n"/>
      <c r="AQ1143" s="10" t="n"/>
    </row>
    <row r="1144">
      <c r="A1144" s="7" t="inlineStr">
        <is>
          <t>b8-0084</t>
        </is>
      </c>
      <c r="B1144" s="7" t="inlineStr">
        <is>
          <t>Point</t>
        </is>
      </c>
      <c r="C1144" s="7" t="n"/>
      <c r="D1144" s="7" t="inlineStr">
        <is>
          <t>January 31, 1909</t>
        </is>
      </c>
      <c r="E1144" s="7" t="inlineStr">
        <is>
          <t>ஜனவரி 31, 1909</t>
        </is>
      </c>
      <c r="F1144" s="7" t="inlineStr">
        <is>
          <t>1909 CE</t>
        </is>
      </c>
      <c r="G1144" s="7" t="inlineStr">
        <is>
          <t>Exact</t>
        </is>
      </c>
      <c r="H1144" s="7" t="n"/>
      <c r="I1144" s="7" t="n"/>
      <c r="J1144" s="7" t="n"/>
      <c r="K1144" s="2" t="inlineStr">
        <is>
          <t>Headquarters moved to Brooklyn, New York</t>
        </is>
      </c>
      <c r="L1144" s="2" t="inlineStr">
        <is>
          <t>உவாட்ச் டவர் சொஸைட்டியின் தலைமை அலுவலகம் நியு யார்க்கிலுள்ள புருக்லினுக்கு மாற்றப்படுகிறது</t>
        </is>
      </c>
      <c r="M1144" s="7" t="inlineStr">
        <is>
          <t>The Society’s headquarters moves from Allegheny to Brooklyn, New York; the new home, called “Bethel,” is dedicated on January 31, 1909, with 350 present, and the move is completed in April.</t>
        </is>
      </c>
      <c r="N1144" s="7" t="inlineStr">
        <is>
          <t>உவாட்ச் டவர் சொஸைட்டியின் தலைமை அலுவலகம் நியு யார்க்கிலுள்ள புருக்லினுக்கு மாற்றப்படுகிறது</t>
        </is>
      </c>
      <c r="O1144" s="13" t="inlineStr">
        <is>
          <t>Jehovah's Witnesses</t>
        </is>
      </c>
      <c r="P1144" s="7" t="inlineStr">
        <is>
          <t>jw.organization</t>
        </is>
      </c>
      <c r="Q1144" s="7" t="inlineStr">
        <is>
          <t>relocation</t>
        </is>
      </c>
      <c r="R1144" s="7" t="n"/>
      <c r="S1144" s="7" t="inlineStr">
        <is>
          <t>Brooklyn, New York</t>
        </is>
      </c>
      <c r="T1144" s="7" t="n"/>
      <c r="U1144" s="7" t="n"/>
      <c r="V1144" s="7" t="n">
        <v>6</v>
      </c>
      <c r="W1144" s="7" t="inlineStr">
        <is>
          <t>Noteworthy Events in the Modern-day History of Jehovah’s Witnesses</t>
        </is>
      </c>
      <c r="X1144" s="9" t="inlineStr">
        <is>
          <t>open</t>
        </is>
      </c>
      <c r="Y1144" s="7" t="n"/>
      <c r="Z1144" s="7" t="inlineStr">
        <is>
          <t>https://wol.jw.org/en/wol/d/r1/lp-e/1101993046
https://www.jw.org/en/news/region/united-states/historic-milestones-united-states/
https://wol.jw.org/en/wol/d/r1/lp-e/301975002
https://wol.jw.org/en/wol/d/r1/lp-e/1102014241
https://wol.jw.org/en/wol/d/r1/lp-e/1101993006
https://wol.jw.org/en/wol/d/r1/lp-e/1102000101</t>
        </is>
      </c>
      <c r="AA1144" s="7" t="n">
        <v>1</v>
      </c>
      <c r="AB1144" s="9" t="inlineStr">
        <is>
          <t>open</t>
        </is>
      </c>
      <c r="AC1144" s="7" t="n">
        <v>1</v>
      </c>
      <c r="AD1144" s="7" t="inlineStr">
        <is>
          <t>jv events table dates the move to April 1909; jw.org Historic Milestones gives January 31, 1909, and yb75 says the dedication was on January 31, 1909.</t>
        </is>
      </c>
      <c r="AE1144" s="7" t="n"/>
      <c r="AF1144" s="7" t="n"/>
      <c r="AG1144" s="7" t="n"/>
      <c r="AH1144" s="7" t="n"/>
      <c r="AI1144" s="7" t="inlineStr">
        <is>
          <t>Span endpoint – keep</t>
        </is>
      </c>
      <c r="AJ1144" s="7" t="inlineStr">
        <is>
          <t>end of Headquarters at the Bible House, Allegheny, Pennsylvania (b12-0064); start of World headquarters in Brooklyn, New York (b12-0065)</t>
        </is>
      </c>
      <c r="AK1144" s="7" t="n"/>
      <c r="AL1144" s="7" t="n"/>
      <c r="AM1144" s="7" t="n">
        <v>1909.075</v>
      </c>
      <c r="AN1144" s="10" t="n"/>
      <c r="AO1144" s="10" t="n"/>
      <c r="AP1144" s="10" t="n"/>
      <c r="AQ1144" s="10" t="n"/>
    </row>
    <row r="1145">
      <c r="A1145" s="7" t="inlineStr">
        <is>
          <t>b12-0065</t>
        </is>
      </c>
      <c r="B1145" s="11" t="inlineStr">
        <is>
          <t>Span</t>
        </is>
      </c>
      <c r="C1145" s="7" t="inlineStr">
        <is>
          <t>residence</t>
        </is>
      </c>
      <c r="D1145" s="7" t="inlineStr">
        <is>
          <t>1909–2016/2017</t>
        </is>
      </c>
      <c r="E1145" s="7" t="n"/>
      <c r="F1145" s="7" t="inlineStr">
        <is>
          <t>1909 CE</t>
        </is>
      </c>
      <c r="G1145" s="7" t="inlineStr">
        <is>
          <t>Exact</t>
        </is>
      </c>
      <c r="H1145" s="7" t="inlineStr">
        <is>
          <t>2016 CE</t>
        </is>
      </c>
      <c r="I1145" s="7" t="inlineStr">
        <is>
          <t>Between (one moment in a window)</t>
        </is>
      </c>
      <c r="J1145" s="7" t="n"/>
      <c r="K1145" s="2" t="inlineStr">
        <is>
          <t>World headquarters in Brooklyn, New York</t>
        </is>
      </c>
      <c r="L1145" s="2" t="n"/>
      <c r="M1145" s="7" t="inlineStr">
        <is>
          <t>The Society’s headquarters moved to Brooklyn in 1909 and remained there for over a century, apart from 1918-1919, until the Bethel family moved to the new world headquarters at Warwick, New York.</t>
        </is>
      </c>
      <c r="N1145" s="7" t="n"/>
      <c r="O1145" s="13" t="inlineStr">
        <is>
          <t>Jehovah's Witnesses</t>
        </is>
      </c>
      <c r="P1145" s="7" t="inlineStr">
        <is>
          <t>jw.organization</t>
        </is>
      </c>
      <c r="Q1145" s="7" t="n"/>
      <c r="R1145" s="7" t="n"/>
      <c r="S1145" s="7" t="inlineStr">
        <is>
          <t>Brooklyn, New York</t>
        </is>
      </c>
      <c r="T1145" s="7" t="n"/>
      <c r="U1145" s="7" t="n"/>
      <c r="V1145" s="7" t="n">
        <v>4</v>
      </c>
      <c r="W1145" s="7" t="inlineStr">
        <is>
          <t>Noteworthy Events in the Modern-day History of Jehovah’s Witnesses</t>
        </is>
      </c>
      <c r="X1145" s="9" t="inlineStr">
        <is>
          <t>open</t>
        </is>
      </c>
      <c r="Y1145" s="7" t="n"/>
      <c r="Z1145" s="7" t="inlineStr">
        <is>
          <t>https://wol.jw.org/en/wol/d/r1/lp-e/1101993046
https://wol.jw.org/en/wol/d/r1/lp-e/1200271562
https://wol.jw.org/en/wol/d/r1/lp-e/302017036
https://wol.jw.org/en/wol/d/r1/lp-e/1200271562</t>
        </is>
      </c>
      <c r="AA1145" s="7" t="n">
        <v>0</v>
      </c>
      <c r="AB1145" s="7" t="n"/>
      <c r="AC1145" s="7" t="n">
        <v>1</v>
      </c>
      <c r="AD1145" s="7" t="inlineStr">
        <is>
          <t>jv says the move to Brooklyn was in April 1909; the Index 1986-2026 lists January 31, 1909.</t>
        </is>
      </c>
      <c r="AE1145" s="7" t="n"/>
      <c r="AF1145" s="7" t="inlineStr">
        <is>
          <t>b8-0084</t>
        </is>
      </c>
      <c r="AG1145" s="7" t="n"/>
      <c r="AH1145" s="7" t="n"/>
      <c r="AI1145" s="7" t="n"/>
      <c r="AJ1145" s="7" t="n"/>
      <c r="AK1145" s="7" t="n"/>
      <c r="AL1145" s="7" t="inlineStr">
        <is>
          <t>No jw.org page found giving an exact date for leaving Brooklyn; the end is the 2016–2017 move described in the 2017 Yearbook. Operations were transferred to Pittsburgh from August 1918 to October 1919.</t>
        </is>
      </c>
      <c r="AM1145" s="7" t="n">
        <v>1909.075</v>
      </c>
      <c r="AN1145" s="10" t="n"/>
      <c r="AO1145" s="10" t="n"/>
      <c r="AP1145" s="10" t="n"/>
      <c r="AQ1145" s="10" t="n"/>
    </row>
    <row r="1146">
      <c r="A1146" s="7" t="inlineStr">
        <is>
          <t>b8-0085</t>
        </is>
      </c>
      <c r="B1146" s="7" t="inlineStr">
        <is>
          <t>Point</t>
        </is>
      </c>
      <c r="C1146" s="7" t="n"/>
      <c r="D1146" s="7" t="inlineStr">
        <is>
          <t>March 4, 1909</t>
        </is>
      </c>
      <c r="E1146" s="7" t="n"/>
      <c r="F1146" s="7" t="inlineStr">
        <is>
          <t>1909 CE</t>
        </is>
      </c>
      <c r="G1146" s="7" t="inlineStr">
        <is>
          <t>Exact</t>
        </is>
      </c>
      <c r="H1146" s="7" t="n"/>
      <c r="I1146" s="7" t="n"/>
      <c r="J1146" s="7" t="n"/>
      <c r="K1146" s="2" t="inlineStr">
        <is>
          <t>Peoples Pulpit Association incorporated in New York</t>
        </is>
      </c>
      <c r="L1146" s="2" t="n"/>
      <c r="M1146" s="7" t="inlineStr">
        <is>
          <t>Peoples Pulpit Association, later renamed Watchtower Bible and Tract Society of New York, Inc., is incorporated in connection with the move to Brooklyn.</t>
        </is>
      </c>
      <c r="N1146" s="7" t="n"/>
      <c r="O1146" s="13" t="inlineStr">
        <is>
          <t>Jehovah's Witnesses</t>
        </is>
      </c>
      <c r="P1146" s="7" t="inlineStr">
        <is>
          <t>jw.legal</t>
        </is>
      </c>
      <c r="Q1146" s="7" t="inlineStr">
        <is>
          <t>incorporation</t>
        </is>
      </c>
      <c r="R1146" s="7" t="n"/>
      <c r="S1146" s="7" t="n"/>
      <c r="T1146" s="7" t="n"/>
      <c r="U1146" s="7" t="n"/>
      <c r="V1146" s="7" t="n">
        <v>2</v>
      </c>
      <c r="W1146" s="7" t="inlineStr">
        <is>
          <t>Historic Milestones in the United States</t>
        </is>
      </c>
      <c r="X1146" s="9" t="inlineStr">
        <is>
          <t>open</t>
        </is>
      </c>
      <c r="Y1146" s="7" t="n"/>
      <c r="Z1146" s="7" t="inlineStr">
        <is>
          <t>https://www.jw.org/en/news/region/united-states/historic-milestones-united-states/
https://wol.jw.org/en/wol/d/r1/lp-e/1101993008</t>
        </is>
      </c>
      <c r="AA1146" s="7" t="n">
        <v>0</v>
      </c>
      <c r="AB1146" s="7" t="n"/>
      <c r="AC1146" s="7" t="n">
        <v>0</v>
      </c>
      <c r="AD1146" s="7" t="n"/>
      <c r="AE1146" s="7" t="n"/>
      <c r="AF1146" s="7" t="n"/>
      <c r="AG1146" s="7" t="n"/>
      <c r="AH1146" s="7" t="n"/>
      <c r="AI1146" s="7" t="n"/>
      <c r="AJ1146" s="7" t="n"/>
      <c r="AK1146" s="7" t="n"/>
      <c r="AL1146" s="7" t="n"/>
      <c r="AM1146" s="7" t="n">
        <v>1909.1742</v>
      </c>
      <c r="AN1146" s="10" t="n"/>
      <c r="AO1146" s="10" t="n"/>
      <c r="AP1146" s="10" t="n"/>
      <c r="AQ1146" s="10" t="n"/>
    </row>
    <row r="1147">
      <c r="A1147" s="7" t="inlineStr">
        <is>
          <t>b8-0086</t>
        </is>
      </c>
      <c r="B1147" s="7" t="inlineStr">
        <is>
          <t>Point</t>
        </is>
      </c>
      <c r="C1147" s="7" t="n"/>
      <c r="D1147" s="7" t="inlineStr">
        <is>
          <t>May 1909</t>
        </is>
      </c>
      <c r="E1147" s="7" t="n"/>
      <c r="F1147" s="7" t="inlineStr">
        <is>
          <t>1909 CE</t>
        </is>
      </c>
      <c r="G1147" s="7" t="inlineStr">
        <is>
          <t>Exact</t>
        </is>
      </c>
      <c r="H1147" s="7" t="n"/>
      <c r="I1147" s="7" t="n"/>
      <c r="J1147" s="7" t="n"/>
      <c r="K1147" s="2" t="inlineStr">
        <is>
          <t>J. F. Rutherford admitted to the bar of the U.S. Supreme Court</t>
        </is>
      </c>
      <c r="L1147" s="2" t="n"/>
      <c r="M1147" s="7" t="inlineStr">
        <is>
          <t>J. F. Rutherford is admitted to the bar of the United States Supreme Court, remaining a member until his death in 1942.</t>
        </is>
      </c>
      <c r="N1147" s="7" t="n"/>
      <c r="O1147" s="13" t="inlineStr">
        <is>
          <t>Jehovah's Witnesses</t>
        </is>
      </c>
      <c r="P1147" s="7" t="inlineStr">
        <is>
          <t>jw.leadership</t>
        </is>
      </c>
      <c r="Q1147" s="7" t="inlineStr">
        <is>
          <t>appointment</t>
        </is>
      </c>
      <c r="R1147" s="7" t="inlineStr">
        <is>
          <t>Joseph F. Rutherford</t>
        </is>
      </c>
      <c r="S1147" s="7" t="n"/>
      <c r="T1147" s="7" t="n"/>
      <c r="U1147" s="7" t="n"/>
      <c r="V1147" s="7" t="n">
        <v>1</v>
      </c>
      <c r="W1147" s="7" t="inlineStr">
        <is>
          <t>“Objects of Hatred by All the Nations”</t>
        </is>
      </c>
      <c r="X1147" s="9" t="inlineStr">
        <is>
          <t>open</t>
        </is>
      </c>
      <c r="Y1147" s="7" t="n"/>
      <c r="Z1147" s="7" t="inlineStr">
        <is>
          <t>https://wol.jw.org/en/wol/d/r1/lp-e/1101993040</t>
        </is>
      </c>
      <c r="AA1147" s="7" t="n">
        <v>0</v>
      </c>
      <c r="AB1147" s="7" t="n"/>
      <c r="AC1147" s="7" t="n">
        <v>0</v>
      </c>
      <c r="AD1147" s="7" t="n"/>
      <c r="AE1147" s="7" t="n"/>
      <c r="AF1147" s="7" t="n"/>
      <c r="AG1147" s="7" t="n"/>
      <c r="AH1147" s="7" t="n"/>
      <c r="AI1147" s="7" t="n"/>
      <c r="AJ1147" s="7" t="n"/>
      <c r="AK1147" s="7" t="n"/>
      <c r="AL1147" s="7" t="n"/>
      <c r="AM1147" s="7" t="n">
        <v>1909.3333</v>
      </c>
      <c r="AN1147" s="10" t="n"/>
      <c r="AO1147" s="10" t="n"/>
      <c r="AP1147" s="10" t="n"/>
      <c r="AQ1147" s="10" t="n"/>
    </row>
    <row r="1148">
      <c r="A1148" s="7" t="inlineStr">
        <is>
          <t>b8-0087</t>
        </is>
      </c>
      <c r="B1148" s="7" t="inlineStr">
        <is>
          <t>Point</t>
        </is>
      </c>
      <c r="C1148" s="7" t="n"/>
      <c r="D1148" s="7" t="inlineStr">
        <is>
          <t>1910</t>
        </is>
      </c>
      <c r="E1148" s="7" t="inlineStr">
        <is>
          <t>1910</t>
        </is>
      </c>
      <c r="F1148" s="7" t="inlineStr">
        <is>
          <t>1910 CE</t>
        </is>
      </c>
      <c r="G1148" s="7" t="inlineStr">
        <is>
          <t>Exact</t>
        </is>
      </c>
      <c r="H1148" s="7" t="n"/>
      <c r="I1148" s="7" t="n"/>
      <c r="J1148" s="7" t="n"/>
      <c r="K1148" s="2" t="inlineStr">
        <is>
          <t>Bible Students begin to use the name International Bible Students Association</t>
        </is>
      </c>
      <c r="L1148" s="2" t="inlineStr">
        <is>
          <t>சர்வதேச பைபிள் மாணாக்கர்களின் சங்கம் என்ற பெயரை பைபிள் மாணாக்கர்கள் பயன்படுத்த ஆரம்பிக்கிறார்கள்</t>
        </is>
      </c>
      <c r="M1148" s="7" t="inlineStr">
        <is>
          <t>The Bible Students begin using the name International Bible Students Association with reference to their meetings.</t>
        </is>
      </c>
      <c r="N1148" s="7" t="inlineStr">
        <is>
          <t>சர்வதேச பைபிள் மாணாக்கர்களின் சங்கம் என்ற பெயரை பைபிள் மாணாக்கர்கள் பயன்படுத்த ஆரம்பிக்கிறார்கள்</t>
        </is>
      </c>
      <c r="O1148" s="13" t="inlineStr">
        <is>
          <t>Jehovah's Witnesses</t>
        </is>
      </c>
      <c r="P1148" s="7" t="inlineStr">
        <is>
          <t>jw.organization</t>
        </is>
      </c>
      <c r="Q1148" s="7" t="inlineStr">
        <is>
          <t>name_change</t>
        </is>
      </c>
      <c r="R1148" s="7" t="n"/>
      <c r="S1148" s="7" t="n"/>
      <c r="T1148" s="7" t="n"/>
      <c r="U1148" s="7" t="n"/>
      <c r="V1148" s="7" t="n">
        <v>2</v>
      </c>
      <c r="W1148" s="7" t="inlineStr">
        <is>
          <t>The Kingdom Is Born in Heaven</t>
        </is>
      </c>
      <c r="X1148" s="9" t="inlineStr">
        <is>
          <t>open</t>
        </is>
      </c>
      <c r="Y1148" s="9" t="inlineStr">
        <is>
          <t>open</t>
        </is>
      </c>
      <c r="Z1148" s="7" t="inlineStr">
        <is>
          <t>https://wol.jw.org/en/wol/d/r1/lp-e/1102014241
https://wol.jw.org/en/wol/d/r1/lp-e/1101993013</t>
        </is>
      </c>
      <c r="AA1148" s="7" t="n">
        <v>0</v>
      </c>
      <c r="AB1148" s="7" t="n"/>
      <c r="AC1148" s="7" t="n">
        <v>0</v>
      </c>
      <c r="AD1148" s="7" t="n"/>
      <c r="AE1148" s="7" t="n"/>
      <c r="AF1148" s="7" t="n"/>
      <c r="AG1148" s="7" t="n"/>
      <c r="AH1148" s="7" t="n"/>
      <c r="AI1148" s="7" t="n"/>
      <c r="AJ1148" s="7" t="n"/>
      <c r="AK1148" s="7" t="n"/>
      <c r="AL1148" s="7" t="n"/>
      <c r="AM1148" s="7" t="n">
        <v>1910</v>
      </c>
      <c r="AN1148" s="10" t="n"/>
      <c r="AO1148" s="10" t="n"/>
      <c r="AP1148" s="10" t="n"/>
      <c r="AQ1148" s="10" t="n"/>
    </row>
    <row r="1149">
      <c r="A1149" s="7" t="inlineStr">
        <is>
          <t>b8-0088</t>
        </is>
      </c>
      <c r="B1149" s="7" t="inlineStr">
        <is>
          <t>Point</t>
        </is>
      </c>
      <c r="C1149" s="7" t="n"/>
      <c r="D1149" s="7" t="inlineStr">
        <is>
          <t>1910</t>
        </is>
      </c>
      <c r="E1149" s="7" t="n"/>
      <c r="F1149" s="7" t="inlineStr">
        <is>
          <t>1910 CE</t>
        </is>
      </c>
      <c r="G1149" s="7" t="inlineStr">
        <is>
          <t>Exact</t>
        </is>
      </c>
      <c r="H1149" s="7" t="n"/>
      <c r="I1149" s="7" t="n"/>
      <c r="J1149" s="7" t="n"/>
      <c r="K1149" s="2" t="inlineStr">
        <is>
          <t>Society literature reproduced in Braille</t>
        </is>
      </c>
      <c r="L1149" s="2" t="n"/>
      <c r="M1149" s="7" t="inlineStr">
        <is>
          <t>A Bible Student in Boston and one in Canada cooperate to reproduce the Society’s literature in Braille.</t>
        </is>
      </c>
      <c r="N1149" s="7" t="n"/>
      <c r="O1149" s="13" t="inlineStr">
        <is>
          <t>Jehovah's Witnesses</t>
        </is>
      </c>
      <c r="P1149" s="7" t="inlineStr">
        <is>
          <t>jw.publication</t>
        </is>
      </c>
      <c r="Q1149" s="7" t="inlineStr">
        <is>
          <t>method</t>
        </is>
      </c>
      <c r="R1149" s="7" t="n"/>
      <c r="S1149" s="7" t="n"/>
      <c r="T1149" s="7" t="n"/>
      <c r="U1149" s="7" t="n"/>
      <c r="V1149" s="7" t="n">
        <v>1</v>
      </c>
      <c r="W1149" s="7" t="inlineStr">
        <is>
          <t>Producing Bible Literature for Use in the Ministry</t>
        </is>
      </c>
      <c r="X1149" s="9" t="inlineStr">
        <is>
          <t>open</t>
        </is>
      </c>
      <c r="Y1149" s="7" t="n"/>
      <c r="Z1149" s="7" t="inlineStr">
        <is>
          <t>https://wol.jw.org/en/wol/d/r1/lp-e/1101993036</t>
        </is>
      </c>
      <c r="AA1149" s="7" t="n">
        <v>0</v>
      </c>
      <c r="AB1149" s="7" t="n"/>
      <c r="AC1149" s="7" t="n">
        <v>0</v>
      </c>
      <c r="AD1149" s="7" t="n"/>
      <c r="AE1149" s="7" t="n"/>
      <c r="AF1149" s="7" t="n"/>
      <c r="AG1149" s="7" t="n"/>
      <c r="AH1149" s="7" t="n"/>
      <c r="AI1149" s="7" t="n"/>
      <c r="AJ1149" s="7" t="n"/>
      <c r="AK1149" s="7" t="n"/>
      <c r="AL1149" s="7" t="n"/>
      <c r="AM1149" s="7" t="n">
        <v>1910</v>
      </c>
      <c r="AN1149" s="10" t="n"/>
      <c r="AO1149" s="10" t="n"/>
      <c r="AP1149" s="10" t="n"/>
      <c r="AQ1149" s="10" t="n"/>
    </row>
    <row r="1150">
      <c r="A1150" s="7" t="inlineStr">
        <is>
          <t>b8-0090</t>
        </is>
      </c>
      <c r="B1150" s="7" t="inlineStr">
        <is>
          <t>Point</t>
        </is>
      </c>
      <c r="C1150" s="7" t="n"/>
      <c r="D1150" s="7" t="inlineStr">
        <is>
          <t>1911</t>
        </is>
      </c>
      <c r="E1150" s="7" t="inlineStr">
        <is>
          <t>1911</t>
        </is>
      </c>
      <c r="F1150" s="7" t="inlineStr">
        <is>
          <t>1911 CE</t>
        </is>
      </c>
      <c r="G1150" s="7" t="inlineStr">
        <is>
          <t>Exact</t>
        </is>
      </c>
      <c r="H1150" s="7" t="n"/>
      <c r="I1150" s="7" t="n"/>
      <c r="J1150" s="7" t="n"/>
      <c r="K1150" s="2" t="inlineStr">
        <is>
          <t>Congregations send speakers to give public lecture series</t>
        </is>
      </c>
      <c r="L1150" s="2" t="n"/>
      <c r="M1150" s="7" t="inlineStr">
        <is>
          <t>Classes (congregations) with capable speakers are encouraged to send them to surrounding towns to give a series of six public lectures.</t>
        </is>
      </c>
      <c r="N1150" s="7" t="inlineStr">
        <is>
          <t>‘நியாயத்தீர்ப்பு,’ ‘மீட்புவிலை’ போன்ற தலைப்புகளில் ஆறு பேச்சுகளைக் கொடுப்பதற்காகச் சுற்றுவட்டாரத்தில் இருந்த பல இடங்களுக்குத் தகுதியுள்ள பேச்சாளர்களை அனுப்பும்படி ஒவ்வொரு சபைக்கும் சொல்லப்பட்டது.</t>
        </is>
      </c>
      <c r="O1150" s="13" t="inlineStr">
        <is>
          <t>Jehovah's Witnesses</t>
        </is>
      </c>
      <c r="P1150" s="7" t="inlineStr">
        <is>
          <t>jw.preaching</t>
        </is>
      </c>
      <c r="Q1150" s="7" t="inlineStr">
        <is>
          <t>method</t>
        </is>
      </c>
      <c r="R1150" s="7" t="n"/>
      <c r="S1150" s="7" t="n"/>
      <c r="T1150" s="7" t="n"/>
      <c r="U1150" s="7" t="n"/>
      <c r="V1150" s="7" t="n">
        <v>2</v>
      </c>
      <c r="W1150" s="7" t="inlineStr">
        <is>
          <t>Meeting Together for Worship</t>
        </is>
      </c>
      <c r="X1150" s="9" t="inlineStr">
        <is>
          <t>open</t>
        </is>
      </c>
      <c r="Y1150" s="9" t="inlineStr">
        <is>
          <t>open</t>
        </is>
      </c>
      <c r="Z1150" s="7" t="inlineStr">
        <is>
          <t>https://wol.jw.org/en/wol/d/r1/lp-e/1102014255
https://wol.jw.org/en/wol/d/r1/lp-e/1101993019</t>
        </is>
      </c>
      <c r="AA1150" s="7" t="n">
        <v>0</v>
      </c>
      <c r="AB1150" s="7" t="n"/>
      <c r="AC1150" s="7" t="n">
        <v>0</v>
      </c>
      <c r="AD1150" s="7" t="n"/>
      <c r="AE1150" s="7" t="n"/>
      <c r="AF1150" s="7" t="n"/>
      <c r="AG1150" s="7" t="n"/>
      <c r="AH1150" s="7" t="n"/>
      <c r="AI1150" s="7" t="n"/>
      <c r="AJ1150" s="7" t="n"/>
      <c r="AK1150" s="7" t="n"/>
      <c r="AL1150" s="7" t="n"/>
      <c r="AM1150" s="7" t="n">
        <v>1911</v>
      </c>
      <c r="AN1150" s="10" t="n"/>
      <c r="AO1150" s="10" t="n"/>
      <c r="AP1150" s="10" t="n"/>
      <c r="AQ1150" s="10" t="n"/>
    </row>
    <row r="1151">
      <c r="A1151" s="7" t="inlineStr">
        <is>
          <t>b8-0089</t>
        </is>
      </c>
      <c r="B1151" s="11" t="inlineStr">
        <is>
          <t>Span</t>
        </is>
      </c>
      <c r="C1151" s="7" t="inlineStr">
        <is>
          <t>journey</t>
        </is>
      </c>
      <c r="D1151" s="7" t="inlineStr">
        <is>
          <t>1911-1912</t>
        </is>
      </c>
      <c r="E1151" s="7" t="inlineStr">
        <is>
          <t>1911-1912</t>
        </is>
      </c>
      <c r="F1151" s="7" t="inlineStr">
        <is>
          <t>1911 CE</t>
        </is>
      </c>
      <c r="G1151" s="7" t="inlineStr">
        <is>
          <t>Exact</t>
        </is>
      </c>
      <c r="H1151" s="7" t="inlineStr">
        <is>
          <t>1912 CE</t>
        </is>
      </c>
      <c r="I1151" s="7" t="inlineStr">
        <is>
          <t>Exact</t>
        </is>
      </c>
      <c r="J1151" s="7" t="inlineStr">
        <is>
          <t>1 year</t>
        </is>
      </c>
      <c r="K1151" s="2" t="inlineStr">
        <is>
          <t>Russell and six companions make round-the-world tour</t>
        </is>
      </c>
      <c r="L1151" s="2" t="n"/>
      <c r="M1151" s="7" t="inlineStr">
        <is>
          <t>C. T. Russell and six companions travel some 35,000 miles (56,000 km) around the world to investigate the “status and prospects of Christianity” in lands including China, India, Japan, and the Philippines.</t>
        </is>
      </c>
      <c r="N1151" s="7" t="inlineStr">
        <is>
          <t>சீனா, இந்தியா, ஜப்பான், பிலிப்பைன்ஸ் போன்ற நாடுகளில் “கிறிஸ்தவத்தின் இன்றைய மற்றும் எதிர்கால வளர்ச்சியை” கணக்கிட ரஸலும் அவருடைய ஆறு நண்பர்களும் சுமார் 56,000 கி.மீ. தூரம் உலகெங்கும் பயணம் செய்கிறார்கள்</t>
        </is>
      </c>
      <c r="O1151" s="13" t="inlineStr">
        <is>
          <t>Jehovah's Witnesses</t>
        </is>
      </c>
      <c r="P1151" s="7" t="inlineStr">
        <is>
          <t>jw.preaching</t>
        </is>
      </c>
      <c r="Q1151" s="7" t="inlineStr">
        <is>
          <t>journey</t>
        </is>
      </c>
      <c r="R1151" s="7" t="inlineStr">
        <is>
          <t>Charles Taze Russell</t>
        </is>
      </c>
      <c r="S1151" s="7" t="inlineStr">
        <is>
          <t>China; India; Japan; Philippines</t>
        </is>
      </c>
      <c r="T1151" s="7" t="n"/>
      <c r="U1151" s="7" t="n"/>
      <c r="V1151" s="7" t="n">
        <v>1</v>
      </c>
      <c r="W1151" s="7" t="inlineStr">
        <is>
          <t>The Kingdom Is Born in Heaven</t>
        </is>
      </c>
      <c r="X1151" s="9" t="inlineStr">
        <is>
          <t>open</t>
        </is>
      </c>
      <c r="Y1151" s="9" t="inlineStr">
        <is>
          <t>open</t>
        </is>
      </c>
      <c r="Z1151" s="7" t="inlineStr">
        <is>
          <t>https://wol.jw.org/en/wol/d/r1/lp-e/1102014241</t>
        </is>
      </c>
      <c r="AA1151" s="7" t="n">
        <v>0</v>
      </c>
      <c r="AB1151" s="7" t="n"/>
      <c r="AC1151" s="7" t="n">
        <v>0</v>
      </c>
      <c r="AD1151" s="7" t="n"/>
      <c r="AE1151" s="7" t="n"/>
      <c r="AF1151" s="7" t="n"/>
      <c r="AG1151" s="7" t="n"/>
      <c r="AH1151" s="7" t="n"/>
      <c r="AI1151" s="7" t="n"/>
      <c r="AJ1151" s="7" t="n"/>
      <c r="AK1151" s="7" t="n"/>
      <c r="AL1151" s="7" t="n"/>
      <c r="AM1151" s="7" t="n">
        <v>1911</v>
      </c>
      <c r="AN1151" s="10" t="n"/>
      <c r="AO1151" s="10" t="n"/>
      <c r="AP1151" s="10" t="n"/>
      <c r="AQ1151" s="10" t="n"/>
    </row>
    <row r="1152">
      <c r="A1152" s="7" t="inlineStr">
        <is>
          <t>b8-0091</t>
        </is>
      </c>
      <c r="B1152" s="7" t="inlineStr">
        <is>
          <t>Point</t>
        </is>
      </c>
      <c r="C1152" s="7" t="n"/>
      <c r="D1152" s="7" t="inlineStr">
        <is>
          <t>1912</t>
        </is>
      </c>
      <c r="E1152" s="7" t="inlineStr">
        <is>
          <t>1912</t>
        </is>
      </c>
      <c r="F1152" s="7" t="inlineStr">
        <is>
          <t>1912 CE</t>
        </is>
      </c>
      <c r="G1152" s="7" t="inlineStr">
        <is>
          <t>Exact</t>
        </is>
      </c>
      <c r="H1152" s="7" t="n"/>
      <c r="I1152" s="7" t="n"/>
      <c r="J1152" s="7" t="n"/>
      <c r="K1152" s="2" t="inlineStr">
        <is>
          <t>Work begins on the “Photo-Drama of Creation”</t>
        </is>
      </c>
      <c r="L1152" s="2" t="n"/>
      <c r="M1152" s="7" t="inlineStr">
        <is>
          <t>Russell and his associates begin work on the “Photo-Drama of Creation,” combining slides and motion pictures with sound, an educational venture far ahead of its time.</t>
        </is>
      </c>
      <c r="N1152" s="7" t="inlineStr">
        <is>
          <t>1912-ல், “சிருஷ்டிப்பின் நிழற்பட நாடகம்”</t>
        </is>
      </c>
      <c r="O1152" s="13" t="inlineStr">
        <is>
          <t>Jehovah's Witnesses</t>
        </is>
      </c>
      <c r="P1152" s="7" t="inlineStr">
        <is>
          <t>jw.preaching</t>
        </is>
      </c>
      <c r="Q1152" s="7" t="inlineStr">
        <is>
          <t>project</t>
        </is>
      </c>
      <c r="R1152" s="7" t="inlineStr">
        <is>
          <t>Charles Taze Russell</t>
        </is>
      </c>
      <c r="S1152" s="7" t="n"/>
      <c r="T1152" s="7" t="n"/>
      <c r="U1152" s="7" t="n"/>
      <c r="V1152" s="7" t="n">
        <v>2</v>
      </c>
      <c r="W1152" s="7" t="inlineStr">
        <is>
          <t>Proclaiming the Lord’s Return (1870-1914)</t>
        </is>
      </c>
      <c r="X1152" s="9" t="inlineStr">
        <is>
          <t>open</t>
        </is>
      </c>
      <c r="Y1152" s="7" t="n"/>
      <c r="Z1152" s="7" t="inlineStr">
        <is>
          <t>https://wol.jw.org/en/wol/d/r1/lp-e/1101993006
https://wol.jw.org/en/wol/d/r1/lp-e/1102000101</t>
        </is>
      </c>
      <c r="AA1152" s="7" t="n">
        <v>0</v>
      </c>
      <c r="AB1152" s="7" t="n"/>
      <c r="AC1152" s="7" t="n">
        <v>0</v>
      </c>
      <c r="AD1152" s="7" t="n"/>
      <c r="AE1152" s="7" t="n"/>
      <c r="AF1152" s="7" t="n"/>
      <c r="AG1152" s="7" t="n"/>
      <c r="AH1152" s="7" t="n"/>
      <c r="AI1152" s="7" t="n"/>
      <c r="AJ1152" s="7" t="n"/>
      <c r="AK1152" s="7" t="n"/>
      <c r="AL1152" s="7" t="n"/>
      <c r="AM1152" s="7" t="n">
        <v>1912</v>
      </c>
      <c r="AN1152" s="10" t="n"/>
      <c r="AO1152" s="10" t="n"/>
      <c r="AP1152" s="10" t="n"/>
      <c r="AQ1152" s="10" t="n"/>
    </row>
    <row r="1153">
      <c r="A1153" s="7" t="inlineStr">
        <is>
          <t>b8-0092</t>
        </is>
      </c>
      <c r="B1153" s="7" t="inlineStr">
        <is>
          <t>Point</t>
        </is>
      </c>
      <c r="C1153" s="7" t="n"/>
      <c r="D1153" s="7" t="inlineStr">
        <is>
          <t>1913</t>
        </is>
      </c>
      <c r="E1153" s="7" t="inlineStr">
        <is>
          <t>1913</t>
        </is>
      </c>
      <c r="F1153" s="7" t="inlineStr">
        <is>
          <t>1913 CE</t>
        </is>
      </c>
      <c r="G1153" s="7" t="inlineStr">
        <is>
          <t>Exact</t>
        </is>
      </c>
      <c r="H1153" s="7" t="n"/>
      <c r="I1153" s="7" t="n"/>
      <c r="J1153" s="7" t="n"/>
      <c r="K1153" s="2" t="inlineStr">
        <is>
          <t>Russell’s sermons reach millions through newspapers</t>
        </is>
      </c>
      <c r="L1153" s="2" t="n"/>
      <c r="M1153" s="7" t="inlineStr">
        <is>
          <t>By 1913 Russell’s sermons are estimated to reach 15,000,000 readers through some 2,000 newspapers in four languages.</t>
        </is>
      </c>
      <c r="N1153" s="7" t="inlineStr">
        <is>
          <t>பிரசங்கங்கள் செய்தித்தாள்களில் பிரசுரிக்கப்பட்டன, 1913-க்குள் இவை ஐக்கிய மாகாணங்கள், கனடா, மற்றும் ஐரோப்பாவில் ஆயிரக்கணக்கான செய்தித்தாள்களில் நான்கு மொழிகளில் பிரசுரமாயின.</t>
        </is>
      </c>
      <c r="O1153" s="13" t="inlineStr">
        <is>
          <t>Jehovah's Witnesses</t>
        </is>
      </c>
      <c r="P1153" s="7" t="inlineStr">
        <is>
          <t>jw.preaching</t>
        </is>
      </c>
      <c r="Q1153" s="7" t="inlineStr">
        <is>
          <t>statistic</t>
        </is>
      </c>
      <c r="R1153" s="7" t="inlineStr">
        <is>
          <t>Charles Taze Russell</t>
        </is>
      </c>
      <c r="S1153" s="7" t="n"/>
      <c r="T1153" s="7" t="n"/>
      <c r="U1153" s="7" t="n"/>
      <c r="V1153" s="7" t="n">
        <v>2</v>
      </c>
      <c r="W1153" s="7" t="inlineStr">
        <is>
          <t>Proclaiming the Lord’s Return (1870-1914)</t>
        </is>
      </c>
      <c r="X1153" s="9" t="inlineStr">
        <is>
          <t>open</t>
        </is>
      </c>
      <c r="Y1153" s="7" t="n"/>
      <c r="Z1153" s="7" t="inlineStr">
        <is>
          <t>https://wol.jw.org/en/wol/d/r1/lp-e/1101993006
https://wol.jw.org/en/wol/d/r1/lp-e/1102000101</t>
        </is>
      </c>
      <c r="AA1153" s="7" t="n">
        <v>0</v>
      </c>
      <c r="AB1153" s="7" t="n"/>
      <c r="AC1153" s="7" t="n">
        <v>1</v>
      </c>
      <c r="AD1153" s="7" t="inlineStr">
        <is>
          <t>jt brochure says 3,000 newspapers by 1913; jv and kr say about/over 2,000 newspapers. yb75 cites the Dec 1, 1916 Watch Tower: “more than 4,000 newspapers” in all.</t>
        </is>
      </c>
      <c r="AE1153" s="7" t="n"/>
      <c r="AF1153" s="7" t="n"/>
      <c r="AG1153" s="7" t="n"/>
      <c r="AH1153" s="7" t="n"/>
      <c r="AI1153" s="7" t="n"/>
      <c r="AJ1153" s="7" t="n"/>
      <c r="AK1153" s="7" t="n"/>
      <c r="AL1153" s="7" t="n"/>
      <c r="AM1153" s="7" t="n">
        <v>1913</v>
      </c>
      <c r="AN1153" s="10" t="n"/>
      <c r="AO1153" s="10" t="n"/>
      <c r="AP1153" s="10" t="n"/>
      <c r="AQ1153" s="10" t="n"/>
    </row>
    <row r="1154">
      <c r="A1154" s="7" t="inlineStr">
        <is>
          <t>b8-0093</t>
        </is>
      </c>
      <c r="B1154" s="7" t="inlineStr">
        <is>
          <t>Point</t>
        </is>
      </c>
      <c r="C1154" s="7" t="n"/>
      <c r="D1154" s="7" t="inlineStr">
        <is>
          <t>1914</t>
        </is>
      </c>
      <c r="E1154" s="7" t="n"/>
      <c r="F1154" s="7" t="inlineStr">
        <is>
          <t>1914 CE</t>
        </is>
      </c>
      <c r="G1154" s="7" t="inlineStr">
        <is>
          <t>Exact</t>
        </is>
      </c>
      <c r="H1154" s="7" t="n"/>
      <c r="I1154" s="7" t="n"/>
      <c r="J1154" s="7" t="n"/>
      <c r="K1154" s="2" t="inlineStr">
        <is>
          <t>Local groups adopt the name Associated Bible Students</t>
        </is>
      </c>
      <c r="L1154" s="2" t="n"/>
      <c r="M1154" s="7" t="inlineStr">
        <is>
          <t>To avoid confusion with the newly formed International Bible Students Association corporation, local groups adopt the name Associated Bible Students.</t>
        </is>
      </c>
      <c r="N1154" s="7" t="n"/>
      <c r="O1154" s="13" t="inlineStr">
        <is>
          <t>Jehovah's Witnesses</t>
        </is>
      </c>
      <c r="P1154" s="7" t="inlineStr">
        <is>
          <t>jw.organization</t>
        </is>
      </c>
      <c r="Q1154" s="7" t="inlineStr">
        <is>
          <t>name_change</t>
        </is>
      </c>
      <c r="R1154" s="7" t="n"/>
      <c r="S1154" s="7" t="n"/>
      <c r="T1154" s="7" t="n"/>
      <c r="U1154" s="7" t="n"/>
      <c r="V1154" s="7" t="n">
        <v>1</v>
      </c>
      <c r="W1154" s="7" t="inlineStr">
        <is>
          <t>How We Came to Be Known as Jehovah’s Witnesses</t>
        </is>
      </c>
      <c r="X1154" s="9" t="inlineStr">
        <is>
          <t>open</t>
        </is>
      </c>
      <c r="Y1154" s="7" t="n"/>
      <c r="Z1154" s="7" t="inlineStr">
        <is>
          <t>https://wol.jw.org/en/wol/d/r1/lp-e/1101993013</t>
        </is>
      </c>
      <c r="AA1154" s="7" t="n">
        <v>0</v>
      </c>
      <c r="AB1154" s="7" t="n"/>
      <c r="AC1154" s="7" t="n">
        <v>0</v>
      </c>
      <c r="AD1154" s="7" t="n"/>
      <c r="AE1154" s="7" t="n"/>
      <c r="AF1154" s="7" t="n"/>
      <c r="AG1154" s="7" t="n"/>
      <c r="AH1154" s="7" t="n"/>
      <c r="AI1154" s="7" t="n"/>
      <c r="AJ1154" s="7" t="n"/>
      <c r="AK1154" s="7" t="n"/>
      <c r="AL1154" s="7" t="n"/>
      <c r="AM1154" s="7" t="n">
        <v>1914</v>
      </c>
      <c r="AN1154" s="10" t="n"/>
      <c r="AO1154" s="10" t="n"/>
      <c r="AP1154" s="10" t="n"/>
      <c r="AQ1154" s="10" t="n"/>
    </row>
    <row r="1155">
      <c r="A1155" s="7" t="inlineStr">
        <is>
          <t>b8-0094</t>
        </is>
      </c>
      <c r="B1155" s="7" t="inlineStr">
        <is>
          <t>Point</t>
        </is>
      </c>
      <c r="C1155" s="7" t="n"/>
      <c r="D1155" s="7" t="inlineStr">
        <is>
          <t>1914</t>
        </is>
      </c>
      <c r="E1155" s="7" t="n"/>
      <c r="F1155" s="7" t="inlineStr">
        <is>
          <t>1914 CE</t>
        </is>
      </c>
      <c r="G1155" s="7" t="inlineStr">
        <is>
          <t>Exact</t>
        </is>
      </c>
      <c r="H1155" s="7" t="n"/>
      <c r="I1155" s="7" t="n"/>
      <c r="J1155" s="7" t="n"/>
      <c r="K1155" s="2" t="inlineStr">
        <is>
          <t>1914 report: 5,155 preaching in 43 lands</t>
        </is>
      </c>
      <c r="L1155" s="2" t="n"/>
      <c r="M1155" s="7" t="inlineStr">
        <is>
          <t>Bible Students are active in 43 lands; 5,155 share in witnessing, and Memorial attendance is 18,243.</t>
        </is>
      </c>
      <c r="N1155" s="7" t="n"/>
      <c r="O1155" s="13" t="inlineStr">
        <is>
          <t>Jehovah's Witnesses</t>
        </is>
      </c>
      <c r="P1155" s="7" t="inlineStr">
        <is>
          <t>jw.preaching</t>
        </is>
      </c>
      <c r="Q1155" s="7" t="inlineStr">
        <is>
          <t>statistic</t>
        </is>
      </c>
      <c r="R1155" s="7" t="n"/>
      <c r="S1155" s="7" t="n"/>
      <c r="T1155" s="7" t="n"/>
      <c r="U1155" s="7" t="n"/>
      <c r="V1155" s="7" t="n">
        <v>1</v>
      </c>
      <c r="W1155" s="7" t="inlineStr">
        <is>
          <t>Noteworthy Events in the Modern-day History of Jehovah’s Witnesses</t>
        </is>
      </c>
      <c r="X1155" s="9" t="inlineStr">
        <is>
          <t>open</t>
        </is>
      </c>
      <c r="Y1155" s="7" t="n"/>
      <c r="Z1155" s="7" t="inlineStr">
        <is>
          <t>https://wol.jw.org/en/wol/d/r1/lp-e/1101993046</t>
        </is>
      </c>
      <c r="AA1155" s="7" t="n">
        <v>0</v>
      </c>
      <c r="AB1155" s="7" t="n"/>
      <c r="AC1155" s="7" t="n">
        <v>0</v>
      </c>
      <c r="AD1155" s="7" t="n"/>
      <c r="AE1155" s="7" t="n"/>
      <c r="AF1155" s="7" t="n"/>
      <c r="AG1155" s="7" t="n"/>
      <c r="AH1155" s="7" t="n"/>
      <c r="AI1155" s="7" t="n"/>
      <c r="AJ1155" s="7" t="n"/>
      <c r="AK1155" s="7" t="n"/>
      <c r="AL1155" s="7" t="n"/>
      <c r="AM1155" s="7" t="n">
        <v>1914</v>
      </c>
      <c r="AN1155" s="10" t="n"/>
      <c r="AO1155" s="10" t="n"/>
      <c r="AP1155" s="10" t="n"/>
      <c r="AQ1155" s="10" t="n"/>
    </row>
    <row r="1156">
      <c r="A1156" s="7" t="inlineStr">
        <is>
          <t>b8-0095</t>
        </is>
      </c>
      <c r="B1156" s="7" t="inlineStr">
        <is>
          <t>Point</t>
        </is>
      </c>
      <c r="C1156" s="7" t="n"/>
      <c r="D1156" s="7" t="inlineStr">
        <is>
          <t>January 11, 1914</t>
        </is>
      </c>
      <c r="E1156" s="7" t="inlineStr">
        <is>
          <t>ஜனவரி 11, 1914</t>
        </is>
      </c>
      <c r="F1156" s="7" t="inlineStr">
        <is>
          <t>1914 CE</t>
        </is>
      </c>
      <c r="G1156" s="7" t="inlineStr">
        <is>
          <t>Exact</t>
        </is>
      </c>
      <c r="H1156" s="7" t="n"/>
      <c r="I1156" s="7" t="n"/>
      <c r="J1156" s="7" t="n"/>
      <c r="K1156" s="2" t="inlineStr">
        <is>
          <t>First showing of the “Photo-Drama of Creation” in New York</t>
        </is>
      </c>
      <c r="L1156" s="2" t="n"/>
      <c r="M1156" s="7" t="inlineStr">
        <is>
          <t>The “Photo-Drama of Creation” is first shown in New York on January 11 to an audience of 5,000, then in five other cities within a month; by year’s end close to (or over) 9,000,000 have seen it in North America, Europe, Australia, and New Zealand.</t>
        </is>
      </c>
      <c r="N1156" s="7" t="inlineStr">
        <is>
          <t>ஜனவரி 11-ல், “ஃபோட்டோ டிராமா ஆஃப் கிரியேஷன்” முதன்முதலில் நியு யார்க்கில் காட்டப்படுகிறது. அடுத்த மாதத்துக்குள் இன்னும் ஐந்து நகரங்களில் காட்டப்படுகிறது. அந்த வருஷத்தின் முடிவுக்குள் வட அமெரிக்கா, ஐரோப்பா, ஆஸ்திரேலியா, நியுசிலாந்து ஆகிய இடங்களில் சுமார் 90 லட்சம் பேர் அதைப் பார்க்கிறார்கள்</t>
        </is>
      </c>
      <c r="O1156" s="13" t="inlineStr">
        <is>
          <t>Jehovah's Witnesses</t>
        </is>
      </c>
      <c r="P1156" s="7" t="inlineStr">
        <is>
          <t>jw.preaching</t>
        </is>
      </c>
      <c r="Q1156" s="7" t="inlineStr">
        <is>
          <t>release</t>
        </is>
      </c>
      <c r="R1156" s="7" t="n"/>
      <c r="S1156" s="7" t="inlineStr">
        <is>
          <t>New York City</t>
        </is>
      </c>
      <c r="T1156" s="7" t="n"/>
      <c r="U1156" s="7" t="n"/>
      <c r="V1156" s="7" t="n">
        <v>5</v>
      </c>
      <c r="W1156" s="7" t="inlineStr">
        <is>
          <t>Noteworthy Events in the Modern-day History of Jehovah’s Witnesses</t>
        </is>
      </c>
      <c r="X1156" s="9" t="inlineStr">
        <is>
          <t>open</t>
        </is>
      </c>
      <c r="Y1156" s="7" t="n"/>
      <c r="Z1156" s="7" t="inlineStr">
        <is>
          <t>https://wol.jw.org/en/wol/d/r1/lp-e/1101993046
https://wol.jw.org/en/wol/d/r1/lp-e/1102014241
https://wol.jw.org/en/wol/d/r1/lp-e/1101993006
https://wol.jw.org/en/wol/d/r1/lp-e/1102000101
https://wol.jw.org/en/wol/d/r1/lp-e/1102014246</t>
        </is>
      </c>
      <c r="AA1156" s="7" t="n">
        <v>4</v>
      </c>
      <c r="AB1156" s="9" t="inlineStr">
        <is>
          <t>open</t>
        </is>
      </c>
      <c r="AC1156" s="7" t="n">
        <v>1</v>
      </c>
      <c r="AD1156" s="7" t="inlineStr">
        <is>
          <t>kr timeline box says “close to 9,000,000” viewers in 1914; jv events table says “over 9,000,000”.</t>
        </is>
      </c>
      <c r="AE1156" s="7" t="n"/>
      <c r="AF1156" s="7" t="n"/>
      <c r="AG1156" s="7" t="n"/>
      <c r="AH1156" s="7" t="n"/>
      <c r="AI1156" s="7" t="n"/>
      <c r="AJ1156" s="7" t="n"/>
      <c r="AK1156" s="7" t="n"/>
      <c r="AL1156" s="7" t="n"/>
      <c r="AM1156" s="7" t="n">
        <v>1914.025</v>
      </c>
      <c r="AN1156" s="10" t="n"/>
      <c r="AO1156" s="10" t="n"/>
      <c r="AP1156" s="10" t="n"/>
      <c r="AQ1156" s="10" t="n"/>
    </row>
    <row r="1157">
      <c r="A1157" s="7" t="inlineStr">
        <is>
          <t>b8-0096</t>
        </is>
      </c>
      <c r="B1157" s="7" t="inlineStr">
        <is>
          <t>Point</t>
        </is>
      </c>
      <c r="C1157" s="7" t="n"/>
      <c r="D1157" s="7" t="inlineStr">
        <is>
          <t>June 30, 1914</t>
        </is>
      </c>
      <c r="E1157" s="7" t="n"/>
      <c r="F1157" s="7" t="inlineStr">
        <is>
          <t>1914 CE</t>
        </is>
      </c>
      <c r="G1157" s="7" t="inlineStr">
        <is>
          <t>Exact</t>
        </is>
      </c>
      <c r="H1157" s="7" t="n"/>
      <c r="I1157" s="7" t="n"/>
      <c r="J1157" s="7" t="n"/>
      <c r="K1157" s="2" t="inlineStr">
        <is>
          <t>International Bible Students Association incorporated in London</t>
        </is>
      </c>
      <c r="L1157" s="2" t="n"/>
      <c r="M1157" s="7" t="inlineStr">
        <is>
          <t>The International Bible Students Association, a British corporation, is incorporated in London, England.</t>
        </is>
      </c>
      <c r="N1157" s="7" t="n"/>
      <c r="O1157" s="13" t="inlineStr">
        <is>
          <t>Jehovah's Witnesses</t>
        </is>
      </c>
      <c r="P1157" s="7" t="inlineStr">
        <is>
          <t>jw.legal</t>
        </is>
      </c>
      <c r="Q1157" s="7" t="inlineStr">
        <is>
          <t>incorporation</t>
        </is>
      </c>
      <c r="R1157" s="7" t="n"/>
      <c r="S1157" s="7" t="inlineStr">
        <is>
          <t>London</t>
        </is>
      </c>
      <c r="T1157" s="7" t="n"/>
      <c r="U1157" s="7" t="n"/>
      <c r="V1157" s="7" t="n">
        <v>1</v>
      </c>
      <c r="W1157" s="7" t="inlineStr">
        <is>
          <t>Development of the Organization Structure</t>
        </is>
      </c>
      <c r="X1157" s="9" t="inlineStr">
        <is>
          <t>open</t>
        </is>
      </c>
      <c r="Y1157" s="7" t="n"/>
      <c r="Z1157" s="7" t="inlineStr">
        <is>
          <t>https://wol.jw.org/en/wol/d/r1/lp-e/1101993018</t>
        </is>
      </c>
      <c r="AA1157" s="7" t="n">
        <v>0</v>
      </c>
      <c r="AB1157" s="7" t="n"/>
      <c r="AC1157" s="7" t="n">
        <v>0</v>
      </c>
      <c r="AD1157" s="7" t="n"/>
      <c r="AE1157" s="7" t="n"/>
      <c r="AF1157" s="7" t="n"/>
      <c r="AG1157" s="7" t="n"/>
      <c r="AH1157" s="7" t="n"/>
      <c r="AI1157" s="7" t="n"/>
      <c r="AJ1157" s="7" t="n"/>
      <c r="AK1157" s="7" t="n"/>
      <c r="AL1157" s="7" t="n"/>
      <c r="AM1157" s="7" t="n">
        <v>1914.4892</v>
      </c>
      <c r="AN1157" s="10" t="n"/>
      <c r="AO1157" s="10" t="n"/>
      <c r="AP1157" s="10" t="n"/>
      <c r="AQ1157" s="10" t="n"/>
    </row>
    <row r="1158">
      <c r="A1158" s="7" t="inlineStr">
        <is>
          <t>b12-0066</t>
        </is>
      </c>
      <c r="B1158" s="11" t="inlineStr">
        <is>
          <t>Span</t>
        </is>
      </c>
      <c r="C1158" s="7" t="inlineStr">
        <is>
          <t>world power</t>
        </is>
      </c>
      <c r="D1158" s="7" t="inlineStr">
        <is>
          <t>1914-1918 C.E.–</t>
        </is>
      </c>
      <c r="E1158" s="7" t="n"/>
      <c r="F1158" s="7" t="inlineStr">
        <is>
          <t>1914 CE</t>
        </is>
      </c>
      <c r="G1158" s="7" t="inlineStr">
        <is>
          <t>Between (one moment in a window)</t>
        </is>
      </c>
      <c r="H1158" s="7" t="n"/>
      <c r="I1158" s="7" t="inlineStr">
        <is>
          <t>Ongoing</t>
        </is>
      </c>
      <c r="J1158" s="7" t="n"/>
      <c r="K1158" s="2" t="inlineStr">
        <is>
          <t>Anglo-American dual world power, seventh world power</t>
        </is>
      </c>
      <c r="L1158" s="2" t="inlineStr">
        <is>
          <t>ஆங்கிலோ-அமெரிக்க உலக வல்லரசு</t>
        </is>
      </c>
      <c r="M1158" s="7" t="inlineStr">
        <is>
          <t>During World War I the Anglo-American World Power came into being; it is the seventh world power of Bible prophecy and is still in existence.</t>
        </is>
      </c>
      <c r="N1158" s="7" t="inlineStr">
        <is>
          <t>கி.பி. 1914-1918-ல் முதல் உலகப் போரின்போது, ஆங்கிலோ-அமெரிக்க உலக வல்லரசு உருவாகிறது</t>
        </is>
      </c>
      <c r="O1158" s="8" t="inlineStr">
        <is>
          <t>Bible</t>
        </is>
      </c>
      <c r="P1158" s="7" t="inlineStr">
        <is>
          <t>bible.prophecy_fulfilled</t>
        </is>
      </c>
      <c r="Q1158" s="7" t="n"/>
      <c r="R1158" s="7" t="n"/>
      <c r="S1158" s="7" t="inlineStr">
        <is>
          <t>Britain; United States</t>
        </is>
      </c>
      <c r="T1158" s="7" t="inlineStr">
        <is>
          <t>Dan. 2:33, 41-43; Rev. 13:11</t>
        </is>
      </c>
      <c r="U1158" s="7" t="inlineStr">
        <is>
          <t>தானி. 2:33, 41-43; வெளி. 13:11</t>
        </is>
      </c>
      <c r="V1158" s="7" t="n">
        <v>2</v>
      </c>
      <c r="W1158" s="7" t="inlineStr">
        <is>
          <t>B9 World Powers Foretold by Daniel</t>
        </is>
      </c>
      <c r="X1158" s="9" t="inlineStr">
        <is>
          <t>open</t>
        </is>
      </c>
      <c r="Y1158" s="9" t="inlineStr">
        <is>
          <t>open</t>
        </is>
      </c>
      <c r="Z1158" s="7" t="inlineStr">
        <is>
          <t>https://wol.jw.org/en/wol/d/r1/lp-e/1001061229
https://wol.jw.org/en/wol/d/r1/lp-e/1101999029</t>
        </is>
      </c>
      <c r="AA1158" s="7" t="n">
        <v>0</v>
      </c>
      <c r="AB1158" s="7" t="n"/>
      <c r="AC1158" s="7" t="n">
        <v>2</v>
      </c>
      <c r="AD1158" s="7" t="inlineStr">
        <is>
          <t>dp chap. 4 diagram: “ANGLO-AMERICAN WORLD POWER from 1763 C.E.” | dp chap. 10 dates Britain’s rise as the seventh world power to 1763, later joined by the United States to form the dual world power; NWT App. B9 (2013) dates the Anglo-American World Power’s coming into being to World War I, 1914-1918. NWT value kept.</t>
        </is>
      </c>
      <c r="AE1158" s="7" t="n"/>
      <c r="AF1158" s="7" t="n"/>
      <c r="AG1158" s="7" t="n"/>
      <c r="AH1158" s="7" t="n"/>
      <c r="AI1158" s="7" t="n"/>
      <c r="AJ1158" s="7" t="n"/>
      <c r="AK1158" s="7" t="inlineStr">
        <is>
          <t>kings-north-and-south #33 (item); seven-heads-of-the-beast #17 (item); world-powers-daniel #19 (item)</t>
        </is>
      </c>
      <c r="AL1158" s="7" t="n"/>
      <c r="AM1158" s="7" t="n">
        <v>1914.5</v>
      </c>
      <c r="AN1158" s="10" t="n"/>
      <c r="AO1158" s="10" t="n"/>
      <c r="AP1158" s="10" t="n"/>
      <c r="AQ1158" s="10" t="n"/>
    </row>
    <row r="1159">
      <c r="A1159" s="7" t="inlineStr">
        <is>
          <t>b8-0097</t>
        </is>
      </c>
      <c r="B1159" s="11" t="inlineStr">
        <is>
          <t>Span</t>
        </is>
      </c>
      <c r="C1159" s="7" t="inlineStr">
        <is>
          <t>convention</t>
        </is>
      </c>
      <c r="D1159" s="7" t="inlineStr">
        <is>
          <t>September 27-30, 1914</t>
        </is>
      </c>
      <c r="E1159" s="7" t="n"/>
      <c r="F1159" s="7" t="inlineStr">
        <is>
          <t>1914 CE</t>
        </is>
      </c>
      <c r="G1159" s="7" t="inlineStr">
        <is>
          <t>Exact</t>
        </is>
      </c>
      <c r="H1159" s="7" t="inlineStr">
        <is>
          <t>1914 CE</t>
        </is>
      </c>
      <c r="I1159" s="7" t="inlineStr">
        <is>
          <t>Exact</t>
        </is>
      </c>
      <c r="J1159" s="7" t="inlineStr">
        <is>
          <t>4 days</t>
        </is>
      </c>
      <c r="K1159" s="2" t="inlineStr">
        <is>
          <t>Convention at Saratoga Springs, New York</t>
        </is>
      </c>
      <c r="L1159" s="2" t="n"/>
      <c r="M1159" s="7" t="inlineStr">
        <is>
          <t>A Bible Students convention is held at Saratoga Springs, New York, as some expect to receive their heavenly reward at the end of the Gentile Times.</t>
        </is>
      </c>
      <c r="N1159" s="7" t="n"/>
      <c r="O1159" s="13" t="inlineStr">
        <is>
          <t>Jehovah's Witnesses</t>
        </is>
      </c>
      <c r="P1159" s="7" t="inlineStr">
        <is>
          <t>jw.convention</t>
        </is>
      </c>
      <c r="Q1159" s="7" t="inlineStr">
        <is>
          <t>convention</t>
        </is>
      </c>
      <c r="R1159" s="7" t="n"/>
      <c r="S1159" s="7" t="inlineStr">
        <is>
          <t>Saratoga Springs, New York</t>
        </is>
      </c>
      <c r="T1159" s="7" t="n"/>
      <c r="U1159" s="7" t="n"/>
      <c r="V1159" s="7" t="n">
        <v>1</v>
      </c>
      <c r="W1159" s="7" t="inlineStr">
        <is>
          <t>A Time of Testing (1914-1918)</t>
        </is>
      </c>
      <c r="X1159" s="9" t="inlineStr">
        <is>
          <t>open</t>
        </is>
      </c>
      <c r="Y1159" s="7" t="n"/>
      <c r="Z1159" s="7" t="inlineStr">
        <is>
          <t>https://wol.jw.org/en/wol/d/r1/lp-e/1101993007</t>
        </is>
      </c>
      <c r="AA1159" s="7" t="n">
        <v>0</v>
      </c>
      <c r="AB1159" s="7" t="n"/>
      <c r="AC1159" s="7" t="n">
        <v>0</v>
      </c>
      <c r="AD1159" s="7" t="n"/>
      <c r="AE1159" s="7" t="n"/>
      <c r="AF1159" s="7" t="n"/>
      <c r="AG1159" s="7" t="n"/>
      <c r="AH1159" s="7" t="n"/>
      <c r="AI1159" s="7" t="n"/>
      <c r="AJ1159" s="7" t="n"/>
      <c r="AK1159" s="7" t="n"/>
      <c r="AL1159" s="7" t="n"/>
      <c r="AM1159" s="7" t="n">
        <v>1914.7317</v>
      </c>
      <c r="AN1159" s="10" t="n"/>
      <c r="AO1159" s="10" t="n"/>
      <c r="AP1159" s="10" t="n"/>
      <c r="AQ1159" s="10" t="n"/>
    </row>
    <row r="1160">
      <c r="A1160" s="7" t="inlineStr">
        <is>
          <t>b10-0001</t>
        </is>
      </c>
      <c r="B1160" s="7" t="inlineStr">
        <is>
          <t>Point</t>
        </is>
      </c>
      <c r="C1160" s="7" t="n"/>
      <c r="D1160" s="7" t="inlineStr">
        <is>
          <t>1914</t>
        </is>
      </c>
      <c r="E1160" s="7" t="inlineStr">
        <is>
          <t>1914</t>
        </is>
      </c>
      <c r="F1160" s="7" t="inlineStr">
        <is>
          <t>1914 CE</t>
        </is>
      </c>
      <c r="G1160" s="7" t="inlineStr">
        <is>
          <t>Exact</t>
        </is>
      </c>
      <c r="H1160" s="7" t="n"/>
      <c r="I1160" s="7" t="n"/>
      <c r="J1160" s="7" t="n"/>
      <c r="K1160" s="2" t="inlineStr">
        <is>
          <t>Appointed times of the nations (Gentile Times) end</t>
        </is>
      </c>
      <c r="L1160" s="2" t="n"/>
      <c r="M1160" s="7" t="inlineStr">
        <is>
          <t>The 'seven times' of Daniel 4, understood as 2,520 years counted from Jerusalem's overthrow in 607 B.C.E., ended in 1914, closing the 'appointed times of the nations' during which Gentile powers trampled God's Kingdom. The Watch Tower had pointed to 1914 as early as the 1870's (Insight cites the March 1880 issue).</t>
        </is>
      </c>
      <c r="N1160" s="7" t="n"/>
      <c r="O1160" s="8" t="inlineStr">
        <is>
          <t>Bible</t>
        </is>
      </c>
      <c r="P1160" s="7" t="inlineStr">
        <is>
          <t>bible.prophecy_fulfilled</t>
        </is>
      </c>
      <c r="Q1160" s="7" t="inlineStr">
        <is>
          <t>prophecy_fulfilled</t>
        </is>
      </c>
      <c r="R1160" s="7" t="n"/>
      <c r="S1160" s="7" t="n"/>
      <c r="T1160" s="7" t="inlineStr">
        <is>
          <t>Dan. 4:16; Dan. 4:23; Dan. 4:25; Luke 21:24; Ezek. 21:25-27</t>
        </is>
      </c>
      <c r="U1160" s="7" t="inlineStr">
        <is>
          <t>தானி. 4:25; லூக். 21:24; எசே. 21:25-27</t>
        </is>
      </c>
      <c r="V1160" s="7" t="n">
        <v>3</v>
      </c>
      <c r="W1160" s="7" t="inlineStr">
        <is>
          <t>Appointed Times of the Nations</t>
        </is>
      </c>
      <c r="X1160" s="9" t="inlineStr">
        <is>
          <t>open</t>
        </is>
      </c>
      <c r="Y1160" s="7" t="n"/>
      <c r="Z1160" s="7" t="inlineStr">
        <is>
          <t>https://wol.jw.org/en/wol/d/r1/lp-e/1200000316
https://wol.jw.org/en/wol/d/r1/lp-e/1102014241
https://wol.jw.org/en/wol/d/r1/lp-e/1102014241</t>
        </is>
      </c>
      <c r="AA1160" s="7" t="n">
        <v>0</v>
      </c>
      <c r="AB1160" s="7" t="n"/>
      <c r="AC1160" s="7" t="n">
        <v>0</v>
      </c>
      <c r="AD1160" s="7" t="n"/>
      <c r="AE1160" s="7" t="n"/>
      <c r="AF1160" s="7" t="n"/>
      <c r="AG1160" s="7" t="n"/>
      <c r="AH1160" s="7" t="n"/>
      <c r="AI1160" s="7" t="inlineStr">
        <is>
          <t>Span endpoint – keep</t>
        </is>
      </c>
      <c r="AJ1160" s="7" t="inlineStr">
        <is>
          <t>end of “Seven times”: the appointed times of the nations (Gentile Times) (b12-0025)</t>
        </is>
      </c>
      <c r="AK1160" s="7" t="inlineStr">
        <is>
          <t>daniel-time-prophecies #4 (end)</t>
        </is>
      </c>
      <c r="AL1160" s="7" t="inlineStr">
        <is>
          <t>sort_key fraction reflects kr chap. 2 timeline: in October 1914 C. T. Russell announced to the Bethel family that the Gentile times had ended. Insight Tamil mirror not available.</t>
        </is>
      </c>
      <c r="AM1160" s="7" t="n">
        <v>1914.75</v>
      </c>
      <c r="AN1160" s="10" t="n"/>
      <c r="AO1160" s="10" t="n"/>
      <c r="AP1160" s="10" t="n"/>
      <c r="AQ1160" s="10" t="n"/>
    </row>
    <row r="1161">
      <c r="A1161" s="7" t="inlineStr">
        <is>
          <t>b8-0098</t>
        </is>
      </c>
      <c r="B1161" s="7" t="inlineStr">
        <is>
          <t>Point</t>
        </is>
      </c>
      <c r="C1161" s="7" t="n"/>
      <c r="D1161" s="7" t="inlineStr">
        <is>
          <t>October 2, 1914</t>
        </is>
      </c>
      <c r="E1161" s="7" t="inlineStr">
        <is>
          <t>அக்டோபர் 2, 1914</t>
        </is>
      </c>
      <c r="F1161" s="7" t="inlineStr">
        <is>
          <t>1914 CE</t>
        </is>
      </c>
      <c r="G1161" s="7" t="inlineStr">
        <is>
          <t>Exact</t>
        </is>
      </c>
      <c r="H1161" s="7" t="n"/>
      <c r="I1161" s="7" t="n"/>
      <c r="J1161" s="7" t="n"/>
      <c r="K1161" s="2" t="inlineStr">
        <is>
          <t>Russell announces: “The Gentile times have ended”</t>
        </is>
      </c>
      <c r="L1161" s="2" t="n"/>
      <c r="M1161" s="7" t="inlineStr">
        <is>
          <t>On Friday morning, October 2, 1914, in the Bethel dining room at Brooklyn, C. T. Russell announces: “The Gentile times have ended; their kings have had their day.”</t>
        </is>
      </c>
      <c r="N1161" s="7" t="inlineStr">
        <is>
          <t>அக்டோபரில் பெத்தேல் குடும்பத்திடம் “மற்ற தேசத்தாரின் காலம் முடிந்துவிட்டது; அவர்களுடைய ராஜாக்களின் காலம் முடிந்துவிட்டது!” என்று ரஸல் அறிவிக்கிறார். அதோடு, “அடுத்து என்ன நடக்கும் என்று நமக்குத் தெரியாது” என்றும் அவர் சொன்னதாக அங்கிருந்த ஒரு சகோதரி சொல்கிறார்</t>
        </is>
      </c>
      <c r="O1161" s="13" t="inlineStr">
        <is>
          <t>Jehovah's Witnesses</t>
        </is>
      </c>
      <c r="P1161" s="7" t="inlineStr">
        <is>
          <t>jw.doctrine</t>
        </is>
      </c>
      <c r="Q1161" s="7" t="inlineStr">
        <is>
          <t>announcement</t>
        </is>
      </c>
      <c r="R1161" s="7" t="inlineStr">
        <is>
          <t>Charles Taze Russell</t>
        </is>
      </c>
      <c r="S1161" s="7" t="inlineStr">
        <is>
          <t>Brooklyn, New York</t>
        </is>
      </c>
      <c r="T1161" s="7" t="inlineStr">
        <is>
          <t>Luke 21:24</t>
        </is>
      </c>
      <c r="U1161" s="7" t="n"/>
      <c r="V1161" s="7" t="n">
        <v>4</v>
      </c>
      <c r="W1161" s="7" t="inlineStr">
        <is>
          <t>Noteworthy Events in the Modern-day History of Jehovah’s Witnesses</t>
        </is>
      </c>
      <c r="X1161" s="9" t="inlineStr">
        <is>
          <t>open</t>
        </is>
      </c>
      <c r="Y1161" s="7" t="n"/>
      <c r="Z1161" s="7" t="inlineStr">
        <is>
          <t>https://wol.jw.org/en/wol/d/r1/lp-e/1101993046
https://wol.jw.org/en/wol/d/r1/lp-e/1102014241
https://wol.jw.org/en/wol/d/r1/lp-e/1101993007
https://wol.jw.org/en/wol/d/r1/lp-e/1102014268</t>
        </is>
      </c>
      <c r="AA1161" s="7" t="n">
        <v>1</v>
      </c>
      <c r="AB1161" s="9" t="inlineStr">
        <is>
          <t>open</t>
        </is>
      </c>
      <c r="AC1161" s="7" t="n">
        <v>0</v>
      </c>
      <c r="AD1161" s="7" t="n"/>
      <c r="AE1161" s="7" t="n"/>
      <c r="AF1161" s="7" t="n"/>
      <c r="AG1161" s="7" t="n"/>
      <c r="AH1161" s="7" t="n"/>
      <c r="AI1161" s="7" t="n"/>
      <c r="AJ1161" s="7" t="n"/>
      <c r="AK1161" s="7" t="n"/>
      <c r="AL1161" s="7" t="n"/>
      <c r="AM1161" s="7" t="n">
        <v>1914.7525</v>
      </c>
      <c r="AN1161" s="10" t="n"/>
      <c r="AO1161" s="10" t="n"/>
      <c r="AP1161" s="10" t="n"/>
      <c r="AQ1161" s="10" t="n"/>
    </row>
    <row r="1162">
      <c r="A1162" s="7" t="inlineStr">
        <is>
          <t>b10-0002</t>
        </is>
      </c>
      <c r="B1162" s="7" t="inlineStr">
        <is>
          <t>Point</t>
        </is>
      </c>
      <c r="C1162" s="7" t="n"/>
      <c r="D1162" s="7" t="inlineStr">
        <is>
          <t>1914</t>
        </is>
      </c>
      <c r="E1162" s="7" t="inlineStr">
        <is>
          <t>1914</t>
        </is>
      </c>
      <c r="F1162" s="7" t="inlineStr">
        <is>
          <t>1914 CE</t>
        </is>
      </c>
      <c r="G1162" s="7" t="inlineStr">
        <is>
          <t>Exact</t>
        </is>
      </c>
      <c r="H1162" s="7" t="n"/>
      <c r="I1162" s="7" t="n"/>
      <c r="J1162" s="7" t="n"/>
      <c r="K1162" s="2" t="inlineStr">
        <is>
          <t>God's Kingdom born in heaven; Christ begins ruling as King</t>
        </is>
      </c>
      <c r="L1162" s="2" t="inlineStr">
        <is>
          <t>கடவுளுடைய அரசாங்கம் பரலோகத்தில் நிறுவப்படுகிறது</t>
        </is>
      </c>
      <c r="M1162" s="7" t="inlineStr">
        <is>
          <t>In 1914 God's Messianic Kingdom was established in heaven, pictured in John's vision by a woman giving birth to a male child who is caught up to God's throne. No human witnessed it, but a voice in heaven announced that the Kingdom of God and the authority of his Christ had come.</t>
        </is>
      </c>
      <c r="N1162" s="7" t="inlineStr">
        <is>
          <t>கடைசியில், ஆவலோடு எதிர்பார்க்கப்பட்ட 1914-ஆம் வருஷம் வந்தது. இந்த அதிகாரத்தின் ஆரம்பத்தில் நாம் பார்த்தபடி, பரலோகத்தில் நடந்த முக்கியமான சம்பவங்களை மனிதர்கள் யாரும் பார்க்கவில்லை.</t>
        </is>
      </c>
      <c r="O1162" s="8" t="inlineStr">
        <is>
          <t>Bible</t>
        </is>
      </c>
      <c r="P1162" s="7" t="inlineStr">
        <is>
          <t>bible.prophecy_fulfilled</t>
        </is>
      </c>
      <c r="Q1162" s="7" t="inlineStr">
        <is>
          <t>enthronement</t>
        </is>
      </c>
      <c r="R1162" s="7" t="inlineStr">
        <is>
          <t>Jesus Christ</t>
        </is>
      </c>
      <c r="S1162" s="7" t="inlineStr">
        <is>
          <t>heaven</t>
        </is>
      </c>
      <c r="T1162" s="7" t="inlineStr">
        <is>
          <t>Rev. 12:1; Rev. 12:5; Rev. 12:10; Dan. 2:44; Dan. 7:13, 14; Dan. 4:17</t>
        </is>
      </c>
      <c r="U1162" s="7" t="inlineStr">
        <is>
          <t>வெளி. 12:1; தானி. 2:44; தானி. 7:13, 14; தானி. 4:17</t>
        </is>
      </c>
      <c r="V1162" s="7" t="n">
        <v>2</v>
      </c>
      <c r="W1162" s="7" t="inlineStr">
        <is>
          <t>The Kingdom Is Born in Heaven</t>
        </is>
      </c>
      <c r="X1162" s="9" t="inlineStr">
        <is>
          <t>open</t>
        </is>
      </c>
      <c r="Y1162" s="9" t="inlineStr">
        <is>
          <t>open</t>
        </is>
      </c>
      <c r="Z1162" s="7" t="inlineStr">
        <is>
          <t>https://wol.jw.org/en/wol/d/r1/lp-e/1102014241
https://wol.jw.org/en/wol/d/r1/lp-e/1200000316</t>
        </is>
      </c>
      <c r="AA1162" s="7" t="n">
        <v>2</v>
      </c>
      <c r="AB1162" s="9" t="inlineStr">
        <is>
          <t>open</t>
        </is>
      </c>
      <c r="AC1162" s="7" t="n">
        <v>0</v>
      </c>
      <c r="AD1162" s="7" t="n"/>
      <c r="AE1162" s="7" t="n"/>
      <c r="AF1162" s="7" t="n"/>
      <c r="AG1162" s="7" t="n"/>
      <c r="AH1162" s="7" t="n"/>
      <c r="AI1162" s="7" t="inlineStr">
        <is>
          <t>Span endpoint – keep</t>
        </is>
      </c>
      <c r="AJ1162" s="7" t="inlineStr">
        <is>
          <t>start of Christ’s presence and Kingdom rule in heaven (b12-0067)</t>
        </is>
      </c>
      <c r="AK1162" s="7" t="inlineStr">
        <is>
          <t>daniel-time-prophecies #5 (fulfillment); last-days-sign #4 (fulfillment); world-powers-daniel #21 (fulfillment)</t>
        </is>
      </c>
      <c r="AL1162" s="7" t="n"/>
      <c r="AM1162" s="7" t="n">
        <v>1914.76</v>
      </c>
      <c r="AN1162" s="10" t="n"/>
      <c r="AO1162" s="10" t="n"/>
      <c r="AP1162" s="10" t="n"/>
      <c r="AQ1162" s="10" t="n"/>
    </row>
    <row r="1163">
      <c r="A1163" s="7" t="inlineStr">
        <is>
          <t>b12-0067</t>
        </is>
      </c>
      <c r="B1163" s="11" t="inlineStr">
        <is>
          <t>Span</t>
        </is>
      </c>
      <c r="C1163" s="7" t="inlineStr">
        <is>
          <t>prophetic period</t>
        </is>
      </c>
      <c r="D1163" s="7" t="inlineStr">
        <is>
          <t>1914–</t>
        </is>
      </c>
      <c r="E1163" s="7" t="n"/>
      <c r="F1163" s="7" t="inlineStr">
        <is>
          <t>1914 CE</t>
        </is>
      </c>
      <c r="G1163" s="7" t="inlineStr">
        <is>
          <t>Exact</t>
        </is>
      </c>
      <c r="H1163" s="7" t="n"/>
      <c r="I1163" s="7" t="inlineStr">
        <is>
          <t>Ongoing</t>
        </is>
      </c>
      <c r="J1163" s="7" t="n"/>
      <c r="K1163" s="2" t="inlineStr">
        <is>
          <t>Christ’s presence and Kingdom rule in heaven</t>
        </is>
      </c>
      <c r="L1163" s="2" t="n"/>
      <c r="M1163" s="7" t="inlineStr">
        <is>
          <t>In 1914 God’s Kingdom began ruling in heaven with Christ as King, marking the start of his invisible presence (parousia); one of its first acts was to cast Satan out of heaven.</t>
        </is>
      </c>
      <c r="N1163" s="7" t="inlineStr">
        <is>
          <t>1914-ல் கடவுளுடைய அரசாங்கம் பரலோகத்திலிருந்து ஆட்சி செய்யத் தொடங்கியது.</t>
        </is>
      </c>
      <c r="O1163" s="8" t="inlineStr">
        <is>
          <t>Bible</t>
        </is>
      </c>
      <c r="P1163" s="7" t="inlineStr">
        <is>
          <t>bible.prophecy_fulfilled</t>
        </is>
      </c>
      <c r="Q1163" s="7" t="n"/>
      <c r="R1163" s="7" t="n"/>
      <c r="S1163" s="7" t="n"/>
      <c r="T1163" s="7" t="inlineStr">
        <is>
          <t>Matt. 24:3; Rev. 12:7-12</t>
        </is>
      </c>
      <c r="U1163" s="7" t="inlineStr">
        <is>
          <t>மத். 24:3; வெளி. 12:7-12</t>
        </is>
      </c>
      <c r="V1163" s="7" t="n">
        <v>2</v>
      </c>
      <c r="W1163" s="7" t="inlineStr">
        <is>
          <t>What Is the Sign of “the Last Days,” or “End Times”?</t>
        </is>
      </c>
      <c r="X1163" s="9" t="inlineStr">
        <is>
          <t>open</t>
        </is>
      </c>
      <c r="Y1163" s="9" t="inlineStr">
        <is>
          <t>open</t>
        </is>
      </c>
      <c r="Z1163" s="7" t="inlineStr">
        <is>
          <t>https://wol.jw.org/en/wol/d/r1/lp-e/502016185
https://wol.jw.org/en/wol/d/r1/lp-e/1102014241</t>
        </is>
      </c>
      <c r="AA1163" s="7" t="n">
        <v>0</v>
      </c>
      <c r="AB1163" s="7" t="n"/>
      <c r="AC1163" s="7" t="n">
        <v>0</v>
      </c>
      <c r="AD1163" s="7" t="n"/>
      <c r="AE1163" s="7" t="n"/>
      <c r="AF1163" s="7" t="inlineStr">
        <is>
          <t>b10-0002</t>
        </is>
      </c>
      <c r="AG1163" s="7" t="n"/>
      <c r="AH1163" s="7" t="n"/>
      <c r="AI1163" s="7" t="n"/>
      <c r="AJ1163" s="7" t="n"/>
      <c r="AK1163" s="7" t="n"/>
      <c r="AL1163" s="7" t="n"/>
      <c r="AM1163" s="7" t="n">
        <v>1914.76</v>
      </c>
      <c r="AN1163" s="10" t="n"/>
      <c r="AO1163" s="10" t="n"/>
      <c r="AP1163" s="10" t="n"/>
      <c r="AQ1163" s="10" t="n"/>
    </row>
    <row r="1164">
      <c r="A1164" s="7" t="inlineStr">
        <is>
          <t>b13-0001</t>
        </is>
      </c>
      <c r="B1164" s="7" t="inlineStr">
        <is>
          <t>Point</t>
        </is>
      </c>
      <c r="C1164" s="7" t="n"/>
      <c r="D1164" s="7" t="inlineStr">
        <is>
          <t>About 1914 C.E.</t>
        </is>
      </c>
      <c r="E1164" s="7" t="inlineStr">
        <is>
          <t>கி.பி. சுமார் 1914</t>
        </is>
      </c>
      <c r="F1164" s="7" t="inlineStr">
        <is>
          <t>1914 CE</t>
        </is>
      </c>
      <c r="G1164" s="7" t="inlineStr">
        <is>
          <t>Approx. (c.)</t>
        </is>
      </c>
      <c r="H1164" s="7" t="n"/>
      <c r="I1164" s="7" t="n"/>
      <c r="J1164" s="7" t="n"/>
      <c r="K1164" s="2" t="inlineStr">
        <is>
          <t>Satan hurled out of heaven down to the earth</t>
        </is>
      </c>
      <c r="L1164" s="2" t="inlineStr">
        <is>
          <t>சாத்தான் பரலோகத்திலிருந்து தள்ளப்படுகிறான்</t>
        </is>
      </c>
      <c r="M1164" s="7" t="inlineStr">
        <is>
          <t>Shortly after Jesus was installed as Messianic King in 1914, he and his angels warred against Satan and the demons and hurled them out of heaven down to the earth. Satan is now confined to the vicinity of the earth for a short time, venting his anger on God's people.</t>
        </is>
      </c>
      <c r="N1164" s="7" t="inlineStr">
        <is>
          <t>பாம்பை, அதாவது சாத்தானை, இயேசு பூமிக்குத் தள்ளி, கொஞ்சக் காலம் அங்கே விட்டுவைத்திருக்கிறார்.—வெளிப்படுத்துதல் 12:7-9, 12.</t>
        </is>
      </c>
      <c r="O1164" s="8" t="inlineStr">
        <is>
          <t>Bible</t>
        </is>
      </c>
      <c r="P1164" s="7" t="inlineStr">
        <is>
          <t>bible.prophecy_fulfilled</t>
        </is>
      </c>
      <c r="Q1164" s="7" t="inlineStr">
        <is>
          <t>prophecy_fulfilled</t>
        </is>
      </c>
      <c r="R1164" s="7" t="inlineStr">
        <is>
          <t>Satan; Jesus Christ; Michael</t>
        </is>
      </c>
      <c r="S1164" s="7" t="n"/>
      <c r="T1164" s="7" t="inlineStr">
        <is>
          <t>Rev. 12:7-9, 12; Rev. 12:13, 17</t>
        </is>
      </c>
      <c r="U1164" s="7" t="inlineStr">
        <is>
          <t>வெளி. 12:7-9, 12; வெளி. 12:13, 17</t>
        </is>
      </c>
      <c r="V1164" s="7" t="n">
        <v>4</v>
      </c>
      <c r="W1164" s="7" t="inlineStr">
        <is>
          <t>The Message of the Bible</t>
        </is>
      </c>
      <c r="X1164" s="9" t="inlineStr">
        <is>
          <t>open</t>
        </is>
      </c>
      <c r="Y1164" s="9" t="inlineStr">
        <is>
          <t>open</t>
        </is>
      </c>
      <c r="Z1164" s="7" t="inlineStr">
        <is>
          <t>https://wol.jw.org/en/wol/d/r1/lp-e/1001070221
https://wol.jw.org/en/wol/d/r1/lp-e/2022485
https://wol.jw.org/en/wol/d/r1/lp-e/2022485
https://wol.jw.org/en/wol/d/r1/lp-e/1102014241</t>
        </is>
      </c>
      <c r="AA1164" s="7" t="n">
        <v>1</v>
      </c>
      <c r="AB1164" s="9" t="inlineStr">
        <is>
          <t>open</t>
        </is>
      </c>
      <c r="AC1164" s="7" t="n">
        <v>0</v>
      </c>
      <c r="AD1164" s="7" t="n"/>
      <c r="AE1164" s="7" t="n"/>
      <c r="AF1164" s="7" t="n"/>
      <c r="AG1164" s="7" t="n"/>
      <c r="AH1164" s="7" t="n"/>
      <c r="AI1164" s="7" t="n"/>
      <c r="AJ1164" s="7" t="n"/>
      <c r="AK1164" s="7" t="inlineStr">
        <is>
          <t>promised-offspring #8 (fulfillment)</t>
        </is>
      </c>
      <c r="AL1164" s="7" t="inlineStr">
        <is>
          <t>Added for the promised-offspring series (NWT App. B1 step 'About 1914 C.E.'). Dated 'about 1914' as B1 and w22.07 word it; it follows the Kingdom's birth (b10-0002) and precedes the 'woe' for the earth (b10-0003).</t>
        </is>
      </c>
      <c r="AM1164" s="7" t="n">
        <v>1914.765</v>
      </c>
      <c r="AN1164" s="10" t="n"/>
      <c r="AO1164" s="10" t="n"/>
      <c r="AP1164" s="10" t="n"/>
      <c r="AQ1164" s="10" t="n"/>
    </row>
    <row r="1165">
      <c r="A1165" s="7" t="inlineStr">
        <is>
          <t>b10-0003</t>
        </is>
      </c>
      <c r="B1165" s="7" t="inlineStr">
        <is>
          <t>Point</t>
        </is>
      </c>
      <c r="C1165" s="7" t="n"/>
      <c r="D1165" s="7" t="inlineStr">
        <is>
          <t>1914</t>
        </is>
      </c>
      <c r="E1165" s="7" t="inlineStr">
        <is>
          <t>1914</t>
        </is>
      </c>
      <c r="F1165" s="7" t="inlineStr">
        <is>
          <t>1914 CE</t>
        </is>
      </c>
      <c r="G1165" s="7" t="inlineStr">
        <is>
          <t>Exact</t>
        </is>
      </c>
      <c r="H1165" s="7" t="n"/>
      <c r="I1165" s="7" t="n"/>
      <c r="J1165" s="7" t="n"/>
      <c r="K1165" s="2" t="inlineStr">
        <is>
          <t>Last days begin; World War I breaks out and Satan's 'woe' comes upon the earth</t>
        </is>
      </c>
      <c r="L1165" s="2" t="n"/>
      <c r="M1165" s="7" t="inlineStr">
        <is>
          <t>With Satan's greater influence on human society from 1914 (Rev. 12:12), the first world war broke out that year and the sign of Christ's presence in kingly power began to be fulfilled worldwide, marking the start of the last days of this system of things.</t>
        </is>
      </c>
      <c r="N1165" s="7" t="inlineStr">
        <is>
          <t>1914-ல், முதல் உலகப் போர் ஆரம்பமானது. அதோடு, கிறிஸ்து ராஜாவாக ஆட்சி செய்ய ஆரம்பித்ததற்கான அடையாளம் பூமி முழுவதும் நிறைவேற ஆரம்பித்தது. அந்தச் சமயத்திலிருந்து, இந்த உலகத்தின் ‘கடைசி நாட்கள்’ ஆரம்பமாயின.</t>
        </is>
      </c>
      <c r="O1165" s="8" t="inlineStr">
        <is>
          <t>Bible</t>
        </is>
      </c>
      <c r="P1165" s="7" t="inlineStr">
        <is>
          <t>bible.prophecy_fulfilled</t>
        </is>
      </c>
      <c r="Q1165" s="7" t="inlineStr">
        <is>
          <t>prophecy_fulfilled</t>
        </is>
      </c>
      <c r="R1165" s="7" t="inlineStr">
        <is>
          <t>Satan</t>
        </is>
      </c>
      <c r="S1165" s="7" t="n"/>
      <c r="T1165" s="7" t="inlineStr">
        <is>
          <t>Rev. 12:12; 2 Tim. 3:1; Luke 21:7-24; Rev. 11:15-18</t>
        </is>
      </c>
      <c r="U1165" s="7" t="inlineStr">
        <is>
          <t>வெளி. 12:12; 2 தீ. 3:1</t>
        </is>
      </c>
      <c r="V1165" s="7" t="n">
        <v>2</v>
      </c>
      <c r="W1165" s="7" t="inlineStr">
        <is>
          <t>The Kingdom Is Born in Heaven</t>
        </is>
      </c>
      <c r="X1165" s="9" t="inlineStr">
        <is>
          <t>open</t>
        </is>
      </c>
      <c r="Y1165" s="9" t="inlineStr">
        <is>
          <t>open</t>
        </is>
      </c>
      <c r="Z1165" s="7" t="inlineStr">
        <is>
          <t>https://wol.jw.org/en/wol/d/r1/lp-e/1102014241
https://wol.jw.org/en/wol/d/r1/lp-e/1200000316</t>
        </is>
      </c>
      <c r="AA1165" s="7" t="n">
        <v>0</v>
      </c>
      <c r="AB1165" s="7" t="n"/>
      <c r="AC1165" s="7" t="n">
        <v>0</v>
      </c>
      <c r="AD1165" s="7" t="n"/>
      <c r="AE1165" s="7" t="n"/>
      <c r="AF1165" s="7" t="n"/>
      <c r="AG1165" s="7" t="n"/>
      <c r="AH1165" s="7" t="n"/>
      <c r="AI1165" s="7" t="inlineStr">
        <is>
          <t>Span endpoint – keep</t>
        </is>
      </c>
      <c r="AJ1165" s="7" t="inlineStr">
        <is>
          <t>start of World War I (b12-0068); start of The last days (time of the end) (b12-0069)</t>
        </is>
      </c>
      <c r="AK1165" s="7" t="inlineStr">
        <is>
          <t>last-days-sign #2 (start)</t>
        </is>
      </c>
      <c r="AL1165" s="7" t="n"/>
      <c r="AM1165" s="7" t="n">
        <v>1914.77</v>
      </c>
      <c r="AN1165" s="10" t="n"/>
      <c r="AO1165" s="10" t="n"/>
      <c r="AP1165" s="10" t="n"/>
      <c r="AQ1165" s="10" t="n"/>
    </row>
    <row r="1166">
      <c r="A1166" s="7" t="inlineStr">
        <is>
          <t>b12-0068</t>
        </is>
      </c>
      <c r="B1166" s="11" t="inlineStr">
        <is>
          <t>Span</t>
        </is>
      </c>
      <c r="C1166" s="7" t="inlineStr">
        <is>
          <t>war</t>
        </is>
      </c>
      <c r="D1166" s="7" t="inlineStr">
        <is>
          <t>1914-1918</t>
        </is>
      </c>
      <c r="E1166" s="7" t="n"/>
      <c r="F1166" s="7" t="inlineStr">
        <is>
          <t>1914 CE</t>
        </is>
      </c>
      <c r="G1166" s="7" t="inlineStr">
        <is>
          <t>Exact</t>
        </is>
      </c>
      <c r="H1166" s="7" t="inlineStr">
        <is>
          <t>1918 CE</t>
        </is>
      </c>
      <c r="I1166" s="7" t="inlineStr">
        <is>
          <t>Exact</t>
        </is>
      </c>
      <c r="J1166" s="7" t="n"/>
      <c r="K1166" s="2" t="inlineStr">
        <is>
          <t>World War I</t>
        </is>
      </c>
      <c r="L1166" s="2" t="n"/>
      <c r="M1166" s="7" t="inlineStr">
        <is>
          <t>The Great War, the first world war, broke out in 1914, the year the last days began, and ended on November 11, 1918.</t>
        </is>
      </c>
      <c r="N1166" s="7" t="n"/>
      <c r="O1166" s="8" t="inlineStr">
        <is>
          <t>Bible</t>
        </is>
      </c>
      <c r="P1166" s="7" t="inlineStr">
        <is>
          <t>bible.prophecy_fulfilled</t>
        </is>
      </c>
      <c r="Q1166" s="7" t="n"/>
      <c r="R1166" s="7" t="n"/>
      <c r="S1166" s="7" t="n"/>
      <c r="T1166" s="7" t="inlineStr">
        <is>
          <t>Matt. 24:7; Rev. 6:4</t>
        </is>
      </c>
      <c r="U1166" s="7" t="inlineStr">
        <is>
          <t>மத். 24:7; வெளி. 6:4</t>
        </is>
      </c>
      <c r="V1166" s="7" t="n">
        <v>3</v>
      </c>
      <c r="W1166" s="7" t="inlineStr">
        <is>
          <t>What Binding Satan the Devil Will Mean for Mankind</t>
        </is>
      </c>
      <c r="X1166" s="9" t="inlineStr">
        <is>
          <t>open</t>
        </is>
      </c>
      <c r="Y1166" s="7" t="n"/>
      <c r="Z1166" s="7" t="inlineStr">
        <is>
          <t>https://wol.jw.org/en/wol/d/r1/lp-e/1966281
https://wol.jw.org/en/wol/d/r1/lp-e/1200271562
https://wol.jw.org/en/wol/d/r1/lp-e/502016185</t>
        </is>
      </c>
      <c r="AA1166" s="7" t="n">
        <v>0</v>
      </c>
      <c r="AB1166" s="7" t="n"/>
      <c r="AC1166" s="7" t="n">
        <v>0</v>
      </c>
      <c r="AD1166" s="7" t="n"/>
      <c r="AE1166" s="7" t="n"/>
      <c r="AF1166" s="7" t="inlineStr">
        <is>
          <t>b10-0003</t>
        </is>
      </c>
      <c r="AG1166" s="7" t="n"/>
      <c r="AH1166" s="7" t="n"/>
      <c r="AI1166" s="7" t="n"/>
      <c r="AJ1166" s="7" t="n"/>
      <c r="AK1166" s="7" t="inlineStr">
        <is>
          <t>kings-north-and-south #32 (fulfillment); last-days-sign #7 (fulfillment); seven-heads-of-the-beast #18 (step); world-powers-daniel #20 (rise)</t>
        </is>
      </c>
      <c r="AL1166" s="7" t="n"/>
      <c r="AM1166" s="7" t="n">
        <v>1914.77</v>
      </c>
      <c r="AN1166" s="10" t="n"/>
      <c r="AO1166" s="10" t="n"/>
      <c r="AP1166" s="10" t="n"/>
      <c r="AQ1166" s="10" t="n"/>
    </row>
    <row r="1167">
      <c r="A1167" s="7" t="inlineStr">
        <is>
          <t>b12-0069</t>
        </is>
      </c>
      <c r="B1167" s="11" t="inlineStr">
        <is>
          <t>Span</t>
        </is>
      </c>
      <c r="C1167" s="7" t="inlineStr">
        <is>
          <t>prophetic period</t>
        </is>
      </c>
      <c r="D1167" s="7" t="inlineStr">
        <is>
          <t>1914–</t>
        </is>
      </c>
      <c r="E1167" s="7" t="n"/>
      <c r="F1167" s="7" t="inlineStr">
        <is>
          <t>1914 CE</t>
        </is>
      </c>
      <c r="G1167" s="7" t="inlineStr">
        <is>
          <t>Exact</t>
        </is>
      </c>
      <c r="H1167" s="7" t="n"/>
      <c r="I1167" s="7" t="inlineStr">
        <is>
          <t>Ongoing</t>
        </is>
      </c>
      <c r="J1167" s="7" t="n"/>
      <c r="K1167" s="2" t="inlineStr">
        <is>
          <t>The last days (time of the end)</t>
        </is>
      </c>
      <c r="L1167" s="2" t="n"/>
      <c r="M1167" s="7" t="inlineStr">
        <is>
          <t>World conditions and Bible chronology show that the last days of this system began in 1914, the year World War I began; they continue until God’s Kingdom ends the present system.</t>
        </is>
      </c>
      <c r="N1167" s="7" t="inlineStr">
        <is>
          <t>1914-ல் முதல் உலக போர் வெடித்த சமயத்தில்தான் கடைசி நாட்கள் ஆரம்பித்தது என்பதை இந்த உலக நிலைமைகளும் பைபிள் காலக்கணக்கும் தெளிவாக காட்டுகிறது.</t>
        </is>
      </c>
      <c r="O1167" s="8" t="inlineStr">
        <is>
          <t>Bible</t>
        </is>
      </c>
      <c r="P1167" s="7" t="inlineStr">
        <is>
          <t>bible.prophecy_fulfilled</t>
        </is>
      </c>
      <c r="Q1167" s="7" t="n"/>
      <c r="R1167" s="7" t="n"/>
      <c r="S1167" s="7" t="n"/>
      <c r="T1167" s="7" t="inlineStr">
        <is>
          <t>2 Tim. 3:1-5; Matt. 24:3-14</t>
        </is>
      </c>
      <c r="U1167" s="7" t="inlineStr">
        <is>
          <t>2 தீ. 3:1-5; மத். 24:3-14</t>
        </is>
      </c>
      <c r="V1167" s="7" t="n">
        <v>1</v>
      </c>
      <c r="W1167" s="7" t="inlineStr">
        <is>
          <t>What Is the Sign of “the Last Days,” or “End Times”?</t>
        </is>
      </c>
      <c r="X1167" s="9" t="inlineStr">
        <is>
          <t>open</t>
        </is>
      </c>
      <c r="Y1167" s="9" t="inlineStr">
        <is>
          <t>open</t>
        </is>
      </c>
      <c r="Z1167" s="7" t="inlineStr">
        <is>
          <t>https://wol.jw.org/en/wol/d/r1/lp-e/502016185</t>
        </is>
      </c>
      <c r="AA1167" s="7" t="n">
        <v>0</v>
      </c>
      <c r="AB1167" s="7" t="n"/>
      <c r="AC1167" s="7" t="n">
        <v>0</v>
      </c>
      <c r="AD1167" s="7" t="n"/>
      <c r="AE1167" s="7" t="n"/>
      <c r="AF1167" s="7" t="inlineStr">
        <is>
          <t>b10-0003</t>
        </is>
      </c>
      <c r="AG1167" s="7" t="n"/>
      <c r="AH1167" s="7" t="n"/>
      <c r="AI1167" s="7" t="n"/>
      <c r="AJ1167" s="7" t="n"/>
      <c r="AK1167" s="7" t="inlineStr">
        <is>
          <t>last-days-sign #1 (start)</t>
        </is>
      </c>
      <c r="AL1167" s="7" t="n"/>
      <c r="AM1167" s="7" t="n">
        <v>1914.77</v>
      </c>
      <c r="AN1167" s="10" t="n"/>
      <c r="AO1167" s="10" t="n"/>
      <c r="AP1167" s="10" t="n"/>
      <c r="AQ1167" s="10" t="n"/>
    </row>
    <row r="1168">
      <c r="A1168" s="7" t="inlineStr">
        <is>
          <t>b10-0004</t>
        </is>
      </c>
      <c r="B1168" s="7" t="inlineStr">
        <is>
          <t>Point</t>
        </is>
      </c>
      <c r="C1168" s="7" t="n"/>
      <c r="D1168" s="7" t="inlineStr">
        <is>
          <t>1914</t>
        </is>
      </c>
      <c r="E1168" s="7" t="inlineStr">
        <is>
          <t>1914</t>
        </is>
      </c>
      <c r="F1168" s="7" t="inlineStr">
        <is>
          <t>1914 CE</t>
        </is>
      </c>
      <c r="G1168" s="7" t="inlineStr">
        <is>
          <t>Exact</t>
        </is>
      </c>
      <c r="H1168" s="7" t="n"/>
      <c r="I1168" s="7" t="n"/>
      <c r="J1168" s="7" t="n"/>
      <c r="K1168" s="2" t="inlineStr">
        <is>
          <t>Harvest season begins: separating of 'wheat' from 'weeds'</t>
        </is>
      </c>
      <c r="L1168" s="2" t="n"/>
      <c r="M1168" s="7" t="inlineStr">
        <is>
          <t>The harvest season foretold in Jesus' illustration of the wheat and the weeds began in 1914, when the time came to separate anointed Christians from imitation Christians.</t>
        </is>
      </c>
      <c r="N1168" s="7" t="inlineStr">
        <is>
          <t>1914-ல் அறுவடைக் காலம் ஆரம்பித்தது</t>
        </is>
      </c>
      <c r="O1168" s="8" t="inlineStr">
        <is>
          <t>Bible</t>
        </is>
      </c>
      <c r="P1168" s="7" t="inlineStr">
        <is>
          <t>bible.prophecy_fulfilled</t>
        </is>
      </c>
      <c r="Q1168" s="7" t="inlineStr">
        <is>
          <t>prophecy_fulfilled</t>
        </is>
      </c>
      <c r="R1168" s="7" t="n"/>
      <c r="S1168" s="7" t="n"/>
      <c r="T1168" s="7" t="inlineStr">
        <is>
          <t>Matt. 13:36-43; Matt. 13:30</t>
        </is>
      </c>
      <c r="U1168" s="7" t="inlineStr">
        <is>
          <t>மத். 13:36-43; மத். 13:30</t>
        </is>
      </c>
      <c r="V1168" s="7" t="n">
        <v>2</v>
      </c>
      <c r="W1168" s="7" t="inlineStr">
        <is>
          <t>“Who Really Is the Faithful and Discreet Slave?”</t>
        </is>
      </c>
      <c r="X1168" s="9" t="inlineStr">
        <is>
          <t>open</t>
        </is>
      </c>
      <c r="Y1168" s="9" t="inlineStr">
        <is>
          <t>open</t>
        </is>
      </c>
      <c r="Z1168" s="7" t="inlineStr">
        <is>
          <t>https://wol.jw.org/en/wol/d/r1/lp-e/2013533
https://wol.jw.org/en/wol/d/r1/lp-e/1102014244</t>
        </is>
      </c>
      <c r="AA1168" s="7" t="n">
        <v>1</v>
      </c>
      <c r="AB1168" s="9" t="inlineStr">
        <is>
          <t>open</t>
        </is>
      </c>
      <c r="AC1168" s="7" t="n">
        <v>0</v>
      </c>
      <c r="AD1168" s="7" t="n"/>
      <c r="AE1168" s="7" t="n"/>
      <c r="AF1168" s="7" t="n"/>
      <c r="AG1168" s="7" t="n"/>
      <c r="AH1168" s="7" t="n"/>
      <c r="AI1168" s="7" t="inlineStr">
        <is>
          <t>Span endpoint – keep</t>
        </is>
      </c>
      <c r="AJ1168" s="7" t="inlineStr">
        <is>
          <t>end of Wheat and weeds grow together until the harvest (b17-0002); start of The harvest season: separating wheat from weeds (b12-0070)</t>
        </is>
      </c>
      <c r="AK1168" s="7" t="inlineStr">
        <is>
          <t>wheat-and-weeds #15 (fulfillment)</t>
        </is>
      </c>
      <c r="AL1168" s="7" t="inlineStr">
        <is>
          <t>description_ta is the Tamil caption of the kr chap. 5 illustration.</t>
        </is>
      </c>
      <c r="AM1168" s="7" t="n">
        <v>1914.78</v>
      </c>
      <c r="AN1168" s="10" t="n"/>
      <c r="AO1168" s="10" t="n"/>
      <c r="AP1168" s="10" t="n"/>
      <c r="AQ1168" s="10" t="n"/>
    </row>
    <row r="1169">
      <c r="A1169" s="7" t="inlineStr">
        <is>
          <t>b12-0070</t>
        </is>
      </c>
      <c r="B1169" s="11" t="inlineStr">
        <is>
          <t>Span</t>
        </is>
      </c>
      <c r="C1169" s="7" t="inlineStr">
        <is>
          <t>prophetic period</t>
        </is>
      </c>
      <c r="D1169" s="7" t="inlineStr">
        <is>
          <t>1914–</t>
        </is>
      </c>
      <c r="E1169" s="7" t="n"/>
      <c r="F1169" s="7" t="inlineStr">
        <is>
          <t>1914 CE</t>
        </is>
      </c>
      <c r="G1169" s="7" t="inlineStr">
        <is>
          <t>Exact</t>
        </is>
      </c>
      <c r="H1169" s="7" t="n"/>
      <c r="I1169" s="7" t="inlineStr">
        <is>
          <t>Ongoing</t>
        </is>
      </c>
      <c r="J1169" s="7" t="n"/>
      <c r="K1169" s="2" t="inlineStr">
        <is>
          <t>The harvest season: separating wheat from weeds</t>
        </is>
      </c>
      <c r="L1169" s="2" t="n"/>
      <c r="M1169" s="7" t="inlineStr">
        <is>
          <t>The harvest season of Jesus’ illustration of the wheat and the weeds began in 1914, when the time came to separate faithful anointed Christians from imitation Christians and to gather the remaining anointed.</t>
        </is>
      </c>
      <c r="N1169" s="7" t="inlineStr">
        <is>
          <t>களைகளான போலிக் கிறிஸ்தவர்களையும் கோதுமைப் பயிர்களான பரலோக நம்பிக்கையுள்ள கிறிஸ்தவர்களையும் பிரிக்கும் காலம், அதாவது அறுவடைக் காலம், 1914-ல் ஆரம்பித்தது என்று இப்போது நாம் சரியாகப் புரிந்திருக்கிறோம்.</t>
        </is>
      </c>
      <c r="O1169" s="8" t="inlineStr">
        <is>
          <t>Bible</t>
        </is>
      </c>
      <c r="P1169" s="7" t="inlineStr">
        <is>
          <t>bible.prophecy_fulfilled</t>
        </is>
      </c>
      <c r="Q1169" s="7" t="n"/>
      <c r="R1169" s="7" t="n"/>
      <c r="S1169" s="7" t="n"/>
      <c r="T1169" s="7" t="inlineStr">
        <is>
          <t>Matt. 13:24-30, 36-43</t>
        </is>
      </c>
      <c r="U1169" s="7" t="inlineStr">
        <is>
          <t>மத். 13:24-30, 36-43</t>
        </is>
      </c>
      <c r="V1169" s="7" t="n">
        <v>1</v>
      </c>
      <c r="W1169" s="7" t="inlineStr">
        <is>
          <t>The King Shines Light on the Kingdom</t>
        </is>
      </c>
      <c r="X1169" s="9" t="inlineStr">
        <is>
          <t>open</t>
        </is>
      </c>
      <c r="Y1169" s="9" t="inlineStr">
        <is>
          <t>open</t>
        </is>
      </c>
      <c r="Z1169" s="7" t="inlineStr">
        <is>
          <t>https://wol.jw.org/en/wol/d/r1/lp-e/1102014244</t>
        </is>
      </c>
      <c r="AA1169" s="7" t="n">
        <v>0</v>
      </c>
      <c r="AB1169" s="7" t="n"/>
      <c r="AC1169" s="7" t="n">
        <v>0</v>
      </c>
      <c r="AD1169" s="7" t="n"/>
      <c r="AE1169" s="7" t="n"/>
      <c r="AF1169" s="7" t="inlineStr">
        <is>
          <t>b10-0004</t>
        </is>
      </c>
      <c r="AG1169" s="7" t="n"/>
      <c r="AH1169" s="7" t="n"/>
      <c r="AI1169" s="7" t="n"/>
      <c r="AJ1169" s="7" t="n"/>
      <c r="AK1169" s="7" t="n"/>
      <c r="AL1169" s="7" t="n"/>
      <c r="AM1169" s="7" t="n">
        <v>1914.78</v>
      </c>
      <c r="AN1169" s="10" t="n"/>
      <c r="AO1169" s="10" t="n"/>
      <c r="AP1169" s="10" t="n"/>
      <c r="AQ1169" s="10" t="n"/>
    </row>
    <row r="1170">
      <c r="A1170" s="7" t="inlineStr">
        <is>
          <t>b10-0005</t>
        </is>
      </c>
      <c r="B1170" s="11" t="inlineStr">
        <is>
          <t>Span</t>
        </is>
      </c>
      <c r="C1170" s="7" t="inlineStr">
        <is>
          <t>prophetic period</t>
        </is>
      </c>
      <c r="D1170" s="7" t="inlineStr">
        <is>
          <t>1914–early 1919</t>
        </is>
      </c>
      <c r="E1170" s="7" t="inlineStr">
        <is>
          <t>1914 முதல் 1919-ன் ஆரம்பம் வரை</t>
        </is>
      </c>
      <c r="F1170" s="7" t="inlineStr">
        <is>
          <t>1914 CE</t>
        </is>
      </c>
      <c r="G1170" s="7" t="inlineStr">
        <is>
          <t>Exact</t>
        </is>
      </c>
      <c r="H1170" s="7" t="inlineStr">
        <is>
          <t>1919 CE</t>
        </is>
      </c>
      <c r="I1170" s="7" t="inlineStr">
        <is>
          <t>Approx. (c.)</t>
        </is>
      </c>
      <c r="J1170" s="7" t="inlineStr">
        <is>
          <t>c. 5 years</t>
        </is>
      </c>
      <c r="K1170" s="2" t="inlineStr">
        <is>
          <t>Jehovah and Jesus inspect and refine the spiritual temple</t>
        </is>
      </c>
      <c r="L1170" s="2" t="n"/>
      <c r="M1170" s="7" t="inlineStr">
        <is>
          <t>From 1914 to the early part of 1919, Jehovah and Jesus came to inspect the spiritual temple, as foretold at Malachi 3:1-4. They found a small band of loyal Bible Students who, through a brief period of testing and refining, including persecution, imprisonment and unfulfilled expectations, humbly accepted cleansing.</t>
        </is>
      </c>
      <c r="N1170" s="7" t="inlineStr">
        <is>
          <t>இயேசுவும் அவருடைய தகப்பனும் ஆன்மீக ஆலயத்தை, அதாவது வணக்கத்திற்கான ஏற்பாடுகளை, 1914 முதல் 1919-ன் ஆரம்பம் வரையான காலப்பகுதியில் சோதனையிட்ட பிறகே இந்தக் கேள்விக்குப் பதிலளிக்கப்பட்டது.</t>
        </is>
      </c>
      <c r="O1170" s="8" t="inlineStr">
        <is>
          <t>Bible</t>
        </is>
      </c>
      <c r="P1170" s="7" t="inlineStr">
        <is>
          <t>bible.prophecy_fulfilled</t>
        </is>
      </c>
      <c r="Q1170" s="7" t="inlineStr">
        <is>
          <t>inspection</t>
        </is>
      </c>
      <c r="R1170" s="7" t="inlineStr">
        <is>
          <t>Jehovah; Jesus Christ</t>
        </is>
      </c>
      <c r="S1170" s="7" t="n"/>
      <c r="T1170" s="7" t="inlineStr">
        <is>
          <t>Mal. 3:1; Mal. 3:2-4; Mal. 3:3</t>
        </is>
      </c>
      <c r="U1170" s="7" t="inlineStr">
        <is>
          <t>மல். 3:1; மல். 3:2-4; மல். 3:3</t>
        </is>
      </c>
      <c r="V1170" s="7" t="n">
        <v>2</v>
      </c>
      <c r="W1170" s="7" t="inlineStr">
        <is>
          <t>“Who Really Is the Faithful and Discreet Slave?”</t>
        </is>
      </c>
      <c r="X1170" s="9" t="inlineStr">
        <is>
          <t>open</t>
        </is>
      </c>
      <c r="Y1170" s="9" t="inlineStr">
        <is>
          <t>open</t>
        </is>
      </c>
      <c r="Z1170" s="7" t="inlineStr">
        <is>
          <t>https://wol.jw.org/en/wol/d/r1/lp-e/2013533
https://wol.jw.org/en/wol/d/r1/lp-e/1102014241</t>
        </is>
      </c>
      <c r="AA1170" s="7" t="n">
        <v>0</v>
      </c>
      <c r="AB1170" s="7" t="n"/>
      <c r="AC1170" s="7" t="n">
        <v>0</v>
      </c>
      <c r="AD1170" s="7" t="n"/>
      <c r="AE1170" s="7" t="n"/>
      <c r="AF1170" s="7" t="n"/>
      <c r="AG1170" s="7" t="n"/>
      <c r="AH1170" s="7" t="n"/>
      <c r="AI1170" s="7" t="n"/>
      <c r="AJ1170" s="7" t="n"/>
      <c r="AK1170" s="7" t="inlineStr">
        <is>
          <t>wheat-and-weeds #16 (fulfillment)</t>
        </is>
      </c>
      <c r="AL1170" s="7" t="n"/>
      <c r="AM1170" s="7" t="n">
        <v>1914.8</v>
      </c>
      <c r="AN1170" s="10" t="n"/>
      <c r="AO1170" s="10" t="n"/>
      <c r="AP1170" s="10" t="n"/>
      <c r="AQ1170" s="10" t="n"/>
    </row>
    <row r="1171">
      <c r="A1171" s="7" t="inlineStr">
        <is>
          <t>b12-0071</t>
        </is>
      </c>
      <c r="B1171" s="11" t="inlineStr">
        <is>
          <t>Span</t>
        </is>
      </c>
      <c r="C1171" s="7" t="inlineStr">
        <is>
          <t>prophetic period</t>
        </is>
      </c>
      <c r="D1171" s="7" t="inlineStr">
        <is>
          <t>December 1914 to June 1918</t>
        </is>
      </c>
      <c r="E1171" s="7" t="inlineStr">
        <is>
          <t>டிசம்பர் 1914 முதற்கொண்டு ஜூன் 1918 வரை</t>
        </is>
      </c>
      <c r="F1171" s="7" t="inlineStr">
        <is>
          <t>1914 CE</t>
        </is>
      </c>
      <c r="G1171" s="7" t="inlineStr">
        <is>
          <t>Exact</t>
        </is>
      </c>
      <c r="H1171" s="7" t="inlineStr">
        <is>
          <t>1918 CE</t>
        </is>
      </c>
      <c r="I1171" s="7" t="inlineStr">
        <is>
          <t>Exact</t>
        </is>
      </c>
      <c r="J1171" s="7" t="inlineStr">
        <is>
          <t>1,260 days</t>
        </is>
      </c>
      <c r="K1171" s="2" t="inlineStr">
        <is>
          <t>The three and a half times (1,260 days) of Daniel 7 and 12</t>
        </is>
      </c>
      <c r="L1171" s="2" t="inlineStr">
        <is>
          <t>மூன்றரை காலங்கள்</t>
        </is>
      </c>
      <c r="M1171" s="7" t="inlineStr">
        <is>
          <t>During the three and a half times the anointed were harassed and “prophesied in sackcloth,” ending in mid-1918 when the Society’s leading members were convicted and imprisoned.</t>
        </is>
      </c>
      <c r="N1171" s="7" t="inlineStr">
        <is>
          <t>மூன்றரை காலங்கள் டிசம்பர் 1914 முதற்கொண்டு ஜூன் 1918 வரை</t>
        </is>
      </c>
      <c r="O1171" s="8" t="inlineStr">
        <is>
          <t>Bible</t>
        </is>
      </c>
      <c r="P1171" s="7" t="inlineStr">
        <is>
          <t>bible.prophecy_fulfilled</t>
        </is>
      </c>
      <c r="Q1171" s="7" t="n"/>
      <c r="R1171" s="7" t="n"/>
      <c r="S1171" s="7" t="n"/>
      <c r="T1171" s="7" t="inlineStr">
        <is>
          <t>Dan. 7:25; Dan. 12:7; Rev. 11:2, 3</t>
        </is>
      </c>
      <c r="U1171" s="7" t="inlineStr">
        <is>
          <t>தானி. 7:25; தானி. 12:7; வெளி. 11:2, 3</t>
        </is>
      </c>
      <c r="V1171" s="7" t="n">
        <v>2</v>
      </c>
      <c r="W1171" s="7" t="inlineStr">
        <is>
          <t>Identifying True Worshipers in the Time of the End</t>
        </is>
      </c>
      <c r="X1171" s="9" t="inlineStr">
        <is>
          <t>open</t>
        </is>
      </c>
      <c r="Y1171" s="9" t="inlineStr">
        <is>
          <t>open</t>
        </is>
      </c>
      <c r="Z1171" s="7" t="inlineStr">
        <is>
          <t>https://wol.jw.org/en/wol/d/r1/lp-e/1101999037
https://wol.jw.org/en/wol/d/r1/lp-e/1101999037</t>
        </is>
      </c>
      <c r="AA1171" s="7" t="n">
        <v>0</v>
      </c>
      <c r="AB1171" s="7" t="n"/>
      <c r="AC1171" s="7" t="n">
        <v>0</v>
      </c>
      <c r="AD1171" s="7" t="n"/>
      <c r="AE1171" s="7" t="n"/>
      <c r="AF1171" s="7" t="n"/>
      <c r="AG1171" s="7" t="n"/>
      <c r="AH1171" s="7" t="n"/>
      <c r="AI1171" s="7" t="n"/>
      <c r="AJ1171" s="7" t="n"/>
      <c r="AK1171" s="7" t="inlineStr">
        <is>
          <t>daniel-time-prophecies #18 (item)</t>
        </is>
      </c>
      <c r="AL1171" s="7" t="n"/>
      <c r="AM1171" s="7" t="n">
        <v>1914.95</v>
      </c>
      <c r="AN1171" s="10" t="n"/>
      <c r="AO1171" s="10" t="n"/>
      <c r="AP1171" s="10" t="n"/>
      <c r="AQ1171" s="10" t="n"/>
    </row>
    <row r="1172">
      <c r="A1172" s="7" t="inlineStr">
        <is>
          <t>b8-0099</t>
        </is>
      </c>
      <c r="B1172" s="7" t="inlineStr">
        <is>
          <t>Point</t>
        </is>
      </c>
      <c r="C1172" s="7" t="n"/>
      <c r="D1172" s="7" t="inlineStr">
        <is>
          <t>September 1, 1915</t>
        </is>
      </c>
      <c r="E1172" s="7" t="inlineStr">
        <is>
          <t>செப்டம்பர் 1, 1915</t>
        </is>
      </c>
      <c r="F1172" s="7" t="inlineStr">
        <is>
          <t>1915 CE</t>
        </is>
      </c>
      <c r="G1172" s="7" t="inlineStr">
        <is>
          <t>Exact</t>
        </is>
      </c>
      <c r="H1172" s="7" t="n"/>
      <c r="I1172" s="7" t="n"/>
      <c r="J1172" s="7" t="n"/>
      <c r="K1172" s="2" t="inlineStr">
        <is>
          <t>Watch Tower begins to refine understanding of neutrality</t>
        </is>
      </c>
      <c r="L1172" s="2" t="n"/>
      <c r="M1172" s="7" t="inlineStr">
        <is>
          <t>The Watch Tower of September 1, 1915, questions whether noncombatant military service would mean compromise, suggesting (without urging) that it would be better to die in loyalty to Christ.</t>
        </is>
      </c>
      <c r="N1172" s="7" t="inlineStr">
        <is>
          <t>செப்டம்பர் 1, 1915, காவற்கோபுரம் இன்னும் தெளிவான விளக்கம் கொடுத்தது.</t>
        </is>
      </c>
      <c r="O1172" s="13" t="inlineStr">
        <is>
          <t>Jehovah's Witnesses</t>
        </is>
      </c>
      <c r="P1172" s="7" t="inlineStr">
        <is>
          <t>jw.doctrine</t>
        </is>
      </c>
      <c r="Q1172" s="7" t="inlineStr">
        <is>
          <t>teaching</t>
        </is>
      </c>
      <c r="R1172" s="7" t="n"/>
      <c r="S1172" s="7" t="n"/>
      <c r="T1172" s="7" t="n"/>
      <c r="U1172" s="7" t="n"/>
      <c r="V1172" s="7" t="n">
        <v>1</v>
      </c>
      <c r="W1172" s="7" t="inlineStr">
        <is>
          <t>Loyally Supporting God’s Government and No Other</t>
        </is>
      </c>
      <c r="X1172" s="9" t="inlineStr">
        <is>
          <t>open</t>
        </is>
      </c>
      <c r="Y1172" s="9" t="inlineStr">
        <is>
          <t>open</t>
        </is>
      </c>
      <c r="Z1172" s="7" t="inlineStr">
        <is>
          <t>https://wol.jw.org/en/wol/d/r1/lp-e/1102014253</t>
        </is>
      </c>
      <c r="AA1172" s="7" t="n">
        <v>0</v>
      </c>
      <c r="AB1172" s="7" t="n"/>
      <c r="AC1172" s="7" t="n">
        <v>0</v>
      </c>
      <c r="AD1172" s="7" t="n"/>
      <c r="AE1172" s="7" t="n"/>
      <c r="AF1172" s="7" t="n"/>
      <c r="AG1172" s="7" t="n"/>
      <c r="AH1172" s="7" t="n"/>
      <c r="AI1172" s="7" t="n"/>
      <c r="AJ1172" s="7" t="n"/>
      <c r="AK1172" s="7" t="n"/>
      <c r="AL1172" s="7" t="n"/>
      <c r="AM1172" s="7" t="n">
        <v>1915.6667</v>
      </c>
      <c r="AN1172" s="10" t="n"/>
      <c r="AO1172" s="10" t="n"/>
      <c r="AP1172" s="10" t="n"/>
      <c r="AQ1172" s="10" t="n"/>
    </row>
    <row r="1173">
      <c r="A1173" s="7" t="inlineStr">
        <is>
          <t>b8-0100</t>
        </is>
      </c>
      <c r="B1173" s="7" t="inlineStr">
        <is>
          <t>Point</t>
        </is>
      </c>
      <c r="C1173" s="7" t="n"/>
      <c r="D1173" s="7" t="inlineStr">
        <is>
          <t>October 16, 1916</t>
        </is>
      </c>
      <c r="E1173" s="7" t="n"/>
      <c r="F1173" s="7" t="inlineStr">
        <is>
          <t>1916 CE</t>
        </is>
      </c>
      <c r="G1173" s="7" t="inlineStr">
        <is>
          <t>Exact</t>
        </is>
      </c>
      <c r="H1173" s="7" t="n"/>
      <c r="I1173" s="7" t="n"/>
      <c r="J1173" s="7" t="n"/>
      <c r="K1173" s="2" t="inlineStr">
        <is>
          <t>Russell departs on his final lecture tour</t>
        </is>
      </c>
      <c r="L1173" s="2" t="n"/>
      <c r="M1173" s="7" t="inlineStr">
        <is>
          <t>Russell and his secretary Menta Sturgeon leave on a previously arranged lecture tour of the western and southwestern United States; his last talk is in Los Angeles on October 29.</t>
        </is>
      </c>
      <c r="N1173" s="7" t="n"/>
      <c r="O1173" s="13" t="inlineStr">
        <is>
          <t>Jehovah's Witnesses</t>
        </is>
      </c>
      <c r="P1173" s="7" t="inlineStr">
        <is>
          <t>jw.leadership</t>
        </is>
      </c>
      <c r="Q1173" s="7" t="inlineStr">
        <is>
          <t>journey</t>
        </is>
      </c>
      <c r="R1173" s="7" t="inlineStr">
        <is>
          <t>Charles Taze Russell; Menta Sturgeon</t>
        </is>
      </c>
      <c r="S1173" s="7" t="n"/>
      <c r="T1173" s="7" t="n"/>
      <c r="U1173" s="7" t="n"/>
      <c r="V1173" s="7" t="n">
        <v>2</v>
      </c>
      <c r="W1173" s="7" t="inlineStr">
        <is>
          <t>A Time of Testing (1914-1918)</t>
        </is>
      </c>
      <c r="X1173" s="9" t="inlineStr">
        <is>
          <t>open</t>
        </is>
      </c>
      <c r="Y1173" s="7" t="n"/>
      <c r="Z1173" s="7" t="inlineStr">
        <is>
          <t>https://wol.jw.org/en/wol/d/r1/lp-e/1101993007
https://wol.jw.org/en/wol/d/r1/lp-e/301975002</t>
        </is>
      </c>
      <c r="AA1173" s="7" t="n">
        <v>0</v>
      </c>
      <c r="AB1173" s="7" t="n"/>
      <c r="AC1173" s="7" t="n">
        <v>0</v>
      </c>
      <c r="AD1173" s="7" t="n"/>
      <c r="AE1173" s="7" t="n"/>
      <c r="AF1173" s="7" t="n"/>
      <c r="AG1173" s="7" t="n"/>
      <c r="AH1173" s="7" t="n"/>
      <c r="AI1173" s="7" t="n"/>
      <c r="AJ1173" s="7" t="n"/>
      <c r="AK1173" s="7" t="n"/>
      <c r="AL1173" s="7" t="n"/>
      <c r="AM1173" s="7" t="n">
        <v>1916.7875</v>
      </c>
      <c r="AN1173" s="10" t="n"/>
      <c r="AO1173" s="10" t="n"/>
      <c r="AP1173" s="10" t="n"/>
      <c r="AQ1173" s="10" t="n"/>
    </row>
    <row r="1174">
      <c r="A1174" s="7" t="inlineStr">
        <is>
          <t>b8-0101</t>
        </is>
      </c>
      <c r="B1174" s="7" t="inlineStr">
        <is>
          <t>Point</t>
        </is>
      </c>
      <c r="C1174" s="7" t="n"/>
      <c r="D1174" s="7" t="inlineStr">
        <is>
          <t>October 31, 1916</t>
        </is>
      </c>
      <c r="E1174" s="7" t="inlineStr">
        <is>
          <t>அக்டோபர் 31, 1916</t>
        </is>
      </c>
      <c r="F1174" s="7" t="inlineStr">
        <is>
          <t>1916 CE</t>
        </is>
      </c>
      <c r="G1174" s="7" t="inlineStr">
        <is>
          <t>Exact</t>
        </is>
      </c>
      <c r="H1174" s="7" t="n"/>
      <c r="I1174" s="7" t="n"/>
      <c r="J1174" s="7" t="n"/>
      <c r="K1174" s="2" t="inlineStr">
        <is>
          <t>C. T. Russell dies at age 64</t>
        </is>
      </c>
      <c r="L1174" s="2" t="n"/>
      <c r="M1174" s="7" t="inlineStr">
        <is>
          <t>Charles Taze Russell dies on a train at Pampa, Texas, while traveling, at 64 years of age; his funeral is held in the New York City Temple on November 5.</t>
        </is>
      </c>
      <c r="N1174" s="7" t="inlineStr">
        <is>
          <t>அவர் அக்டோபர் 31, 1916-ல் இறந்துவிட்டார்.</t>
        </is>
      </c>
      <c r="O1174" s="13" t="inlineStr">
        <is>
          <t>Jehovah's Witnesses</t>
        </is>
      </c>
      <c r="P1174" s="7" t="inlineStr">
        <is>
          <t>jw.leadership</t>
        </is>
      </c>
      <c r="Q1174" s="7" t="inlineStr">
        <is>
          <t>death</t>
        </is>
      </c>
      <c r="R1174" s="7" t="inlineStr">
        <is>
          <t>Charles Taze Russell</t>
        </is>
      </c>
      <c r="S1174" s="7" t="inlineStr">
        <is>
          <t>Pampa, Texas</t>
        </is>
      </c>
      <c r="T1174" s="7" t="n"/>
      <c r="U1174" s="7" t="n"/>
      <c r="V1174" s="7" t="n">
        <v>5</v>
      </c>
      <c r="W1174" s="7" t="inlineStr">
        <is>
          <t>Noteworthy Events in the Modern-day History of Jehovah’s Witnesses</t>
        </is>
      </c>
      <c r="X1174" s="9" t="inlineStr">
        <is>
          <t>open</t>
        </is>
      </c>
      <c r="Y1174" s="7" t="n"/>
      <c r="Z1174" s="7" t="inlineStr">
        <is>
          <t>https://wol.jw.org/en/wol/d/r1/lp-e/1101993046
https://wol.jw.org/en/wol/d/r1/lp-e/1101993007
https://wol.jw.org/en/wol/d/r1/lp-e/1102014246
https://wol.jw.org/en/wol/d/r1/lp-e/1102014241
https://wol.jw.org/en/wol/d/r1/lp-e/301975002</t>
        </is>
      </c>
      <c r="AA1174" s="7" t="n">
        <v>0</v>
      </c>
      <c r="AB1174" s="7" t="n"/>
      <c r="AC1174" s="7" t="n">
        <v>0</v>
      </c>
      <c r="AD1174" s="7" t="n"/>
      <c r="AE1174" s="7" t="n"/>
      <c r="AF1174" s="7" t="n"/>
      <c r="AG1174" s="7" t="n"/>
      <c r="AH1174" s="7" t="n"/>
      <c r="AI1174" s="7" t="inlineStr">
        <is>
          <t>Span endpoint – keep</t>
        </is>
      </c>
      <c r="AJ1174" s="7" t="inlineStr">
        <is>
          <t>end of Life of Charles Taze Russell (d1-0029); end of C. T. Russell, first president of the Watch Tower Society (b12-0063)</t>
        </is>
      </c>
      <c r="AK1174" s="7" t="inlineStr">
        <is>
          <t>wheat-and-weeds #17 (context)</t>
        </is>
      </c>
      <c r="AL1174" s="7" t="n"/>
      <c r="AM1174" s="7" t="n">
        <v>1916.825</v>
      </c>
      <c r="AN1174" s="10" t="n"/>
      <c r="AO1174" s="10" t="n"/>
      <c r="AP1174" s="10" t="n"/>
      <c r="AQ1174" s="10" t="n"/>
    </row>
    <row r="1175">
      <c r="A1175" s="7" t="inlineStr">
        <is>
          <t>b8-0102</t>
        </is>
      </c>
      <c r="B1175" s="7" t="inlineStr">
        <is>
          <t>Point</t>
        </is>
      </c>
      <c r="C1175" s="7" t="n"/>
      <c r="D1175" s="7" t="inlineStr">
        <is>
          <t>December 1, 1916</t>
        </is>
      </c>
      <c r="E1175" s="7" t="n"/>
      <c r="F1175" s="7" t="inlineStr">
        <is>
          <t>1916 CE</t>
        </is>
      </c>
      <c r="G1175" s="7" t="inlineStr">
        <is>
          <t>Exact</t>
        </is>
      </c>
      <c r="H1175" s="7" t="n"/>
      <c r="I1175" s="7" t="n"/>
      <c r="J1175" s="7" t="n"/>
      <c r="K1175" s="2" t="inlineStr">
        <is>
          <t>Watch Tower lists an editorial committee instead of one editor</t>
        </is>
      </c>
      <c r="L1175" s="2" t="n"/>
      <c r="M1175" s="7" t="inlineStr">
        <is>
          <t>Starting with the December 1, 1916, issue, The Watch Tower lists an editorial committee rather than one man as editor.</t>
        </is>
      </c>
      <c r="N1175" s="7" t="n"/>
      <c r="O1175" s="13" t="inlineStr">
        <is>
          <t>Jehovah's Witnesses</t>
        </is>
      </c>
      <c r="P1175" s="7" t="inlineStr">
        <is>
          <t>jw.organization</t>
        </is>
      </c>
      <c r="Q1175" s="7" t="inlineStr">
        <is>
          <t>arrangement</t>
        </is>
      </c>
      <c r="R1175" s="7" t="n"/>
      <c r="S1175" s="7" t="n"/>
      <c r="T1175" s="7" t="n"/>
      <c r="U1175" s="7" t="n"/>
      <c r="V1175" s="7" t="n">
        <v>1</v>
      </c>
      <c r="W1175" s="7" t="inlineStr">
        <is>
          <t>Growing in Accurate Knowledge of the Truth</t>
        </is>
      </c>
      <c r="X1175" s="9" t="inlineStr">
        <is>
          <t>open</t>
        </is>
      </c>
      <c r="Y1175" s="7" t="n"/>
      <c r="Z1175" s="7" t="inlineStr">
        <is>
          <t>https://wol.jw.org/en/wol/d/r1/lp-e/1101993012</t>
        </is>
      </c>
      <c r="AA1175" s="7" t="n">
        <v>0</v>
      </c>
      <c r="AB1175" s="7" t="n"/>
      <c r="AC1175" s="7" t="n">
        <v>0</v>
      </c>
      <c r="AD1175" s="7" t="n"/>
      <c r="AE1175" s="7" t="n"/>
      <c r="AF1175" s="7" t="n"/>
      <c r="AG1175" s="7" t="n"/>
      <c r="AH1175" s="7" t="n"/>
      <c r="AI1175" s="7" t="n"/>
      <c r="AJ1175" s="7" t="n"/>
      <c r="AK1175" s="7" t="n"/>
      <c r="AL1175" s="7" t="n"/>
      <c r="AM1175" s="7" t="n">
        <v>1916.9167</v>
      </c>
      <c r="AN1175" s="10" t="n"/>
      <c r="AO1175" s="10" t="n"/>
      <c r="AP1175" s="10" t="n"/>
      <c r="AQ1175" s="10" t="n"/>
    </row>
    <row r="1176">
      <c r="A1176" s="7" t="inlineStr">
        <is>
          <t>b8-0103</t>
        </is>
      </c>
      <c r="B1176" s="7" t="inlineStr">
        <is>
          <t>Point</t>
        </is>
      </c>
      <c r="C1176" s="7" t="n"/>
      <c r="D1176" s="7" t="inlineStr">
        <is>
          <t>December 15, 1916</t>
        </is>
      </c>
      <c r="E1176" s="7" t="inlineStr">
        <is>
          <t>டிசம்பர் 15, 1916</t>
        </is>
      </c>
      <c r="F1176" s="7" t="inlineStr">
        <is>
          <t>1916 CE</t>
        </is>
      </c>
      <c r="G1176" s="7" t="inlineStr">
        <is>
          <t>Exact</t>
        </is>
      </c>
      <c r="H1176" s="7" t="n"/>
      <c r="I1176" s="7" t="n"/>
      <c r="J1176" s="7" t="n"/>
      <c r="K1176" s="2" t="inlineStr">
        <is>
          <t>Newspaper sermon feature discontinued</t>
        </is>
      </c>
      <c r="L1176" s="2" t="n"/>
      <c r="M1176" s="7" t="inlineStr">
        <is>
          <t>The Watch Tower of December 15, 1916, announces that with Russell’s death the newspaper sermon feature will be discontinued entirely.</t>
        </is>
      </c>
      <c r="N1176" s="7" t="inlineStr">
        <is>
          <t>என்று டிசம்பர் 15, 1916, காவற்கோபுரம் அறிவித்தது.</t>
        </is>
      </c>
      <c r="O1176" s="13" t="inlineStr">
        <is>
          <t>Jehovah's Witnesses</t>
        </is>
      </c>
      <c r="P1176" s="7" t="inlineStr">
        <is>
          <t>jw.preaching</t>
        </is>
      </c>
      <c r="Q1176" s="7" t="inlineStr">
        <is>
          <t>method</t>
        </is>
      </c>
      <c r="R1176" s="7" t="n"/>
      <c r="S1176" s="7" t="n"/>
      <c r="T1176" s="7" t="n"/>
      <c r="U1176" s="7" t="n"/>
      <c r="V1176" s="7" t="n">
        <v>1</v>
      </c>
      <c r="W1176" s="7" t="inlineStr">
        <is>
          <t>Methods of Preaching—Using Every Means to Reach People</t>
        </is>
      </c>
      <c r="X1176" s="9" t="inlineStr">
        <is>
          <t>open</t>
        </is>
      </c>
      <c r="Y1176" s="9" t="inlineStr">
        <is>
          <t>open</t>
        </is>
      </c>
      <c r="Z1176" s="7" t="inlineStr">
        <is>
          <t>https://wol.jw.org/en/wol/d/r1/lp-e/1102014246</t>
        </is>
      </c>
      <c r="AA1176" s="7" t="n">
        <v>0</v>
      </c>
      <c r="AB1176" s="7" t="n"/>
      <c r="AC1176" s="7" t="n">
        <v>0</v>
      </c>
      <c r="AD1176" s="7" t="n"/>
      <c r="AE1176" s="7" t="n"/>
      <c r="AF1176" s="7" t="n"/>
      <c r="AG1176" s="7" t="n"/>
      <c r="AH1176" s="7" t="n"/>
      <c r="AI1176" s="7" t="n"/>
      <c r="AJ1176" s="7" t="n"/>
      <c r="AK1176" s="7" t="n"/>
      <c r="AL1176" s="7" t="n"/>
      <c r="AM1176" s="7" t="n">
        <v>1916.9517</v>
      </c>
      <c r="AN1176" s="10" t="n"/>
      <c r="AO1176" s="10" t="n"/>
      <c r="AP1176" s="10" t="n"/>
      <c r="AQ1176" s="10" t="n"/>
    </row>
    <row r="1177">
      <c r="A1177" s="7" t="inlineStr">
        <is>
          <t>b8-0104</t>
        </is>
      </c>
      <c r="B1177" s="7" t="inlineStr">
        <is>
          <t>Point</t>
        </is>
      </c>
      <c r="C1177" s="7" t="n"/>
      <c r="D1177" s="7" t="inlineStr">
        <is>
          <t>January 6, 1917</t>
        </is>
      </c>
      <c r="E1177" s="7" t="inlineStr">
        <is>
          <t>ஜனவரி 6, 1917</t>
        </is>
      </c>
      <c r="F1177" s="7" t="inlineStr">
        <is>
          <t>1917 CE</t>
        </is>
      </c>
      <c r="G1177" s="7" t="inlineStr">
        <is>
          <t>Exact</t>
        </is>
      </c>
      <c r="H1177" s="7" t="n"/>
      <c r="I1177" s="7" t="n"/>
      <c r="J1177" s="7" t="n"/>
      <c r="K1177" s="2" t="inlineStr">
        <is>
          <t>J. F. Rutherford elected president of the Society</t>
        </is>
      </c>
      <c r="L1177" s="2" t="n"/>
      <c r="M1177" s="7" t="inlineStr">
        <is>
          <t>At the annual meeting, J. F. Rutherford becomes president of the Watch Tower Society, after an executive committee of three had administered affairs for about two months.</t>
        </is>
      </c>
      <c r="N1177" s="7" t="inlineStr">
        <is>
          <t>1916-ல், சொஸைட்டியின் முதல் பிரஸிடென்ட் சி. டி. ரஸல் காலமானார், அவருக்குப் பிறகு அடுத்த ஆண்டில் ஜோசஃப் எஃப். ரதர்ஃபர்டு தலைமையேற்றார்.</t>
        </is>
      </c>
      <c r="O1177" s="13" t="inlineStr">
        <is>
          <t>Jehovah's Witnesses</t>
        </is>
      </c>
      <c r="P1177" s="7" t="inlineStr">
        <is>
          <t>jw.leadership</t>
        </is>
      </c>
      <c r="Q1177" s="7" t="inlineStr">
        <is>
          <t>election</t>
        </is>
      </c>
      <c r="R1177" s="7" t="inlineStr">
        <is>
          <t>Joseph F. Rutherford</t>
        </is>
      </c>
      <c r="S1177" s="7" t="n"/>
      <c r="T1177" s="7" t="n"/>
      <c r="U1177" s="7" t="n"/>
      <c r="V1177" s="7" t="n">
        <v>4</v>
      </c>
      <c r="W1177" s="7" t="inlineStr">
        <is>
          <t>Noteworthy Events in the Modern-day History of Jehovah’s Witnesses</t>
        </is>
      </c>
      <c r="X1177" s="9" t="inlineStr">
        <is>
          <t>open</t>
        </is>
      </c>
      <c r="Y1177" s="7" t="n"/>
      <c r="Z1177" s="7" t="inlineStr">
        <is>
          <t>https://wol.jw.org/en/wol/d/r1/lp-e/1101993046
https://wol.jw.org/en/wol/d/r1/lp-e/1101993007
https://wol.jw.org/en/wol/d/r1/lp-e/301975002
https://wol.jw.org/en/wol/d/r1/lp-e/1102000101</t>
        </is>
      </c>
      <c r="AA1177" s="7" t="n">
        <v>0</v>
      </c>
      <c r="AB1177" s="7" t="n"/>
      <c r="AC1177" s="7" t="n">
        <v>0</v>
      </c>
      <c r="AD1177" s="7" t="n"/>
      <c r="AE1177" s="7" t="n"/>
      <c r="AF1177" s="7" t="n"/>
      <c r="AG1177" s="7" t="n"/>
      <c r="AH1177" s="7" t="n"/>
      <c r="AI1177" s="7" t="inlineStr">
        <is>
          <t>Covered by span – hide on chart</t>
        </is>
      </c>
      <c r="AJ1177" s="7" t="inlineStr">
        <is>
          <t>start of J. F. Rutherford, second president of the Watch Tower Society (b12-0072)</t>
        </is>
      </c>
      <c r="AK1177" s="7" t="n"/>
      <c r="AL1177" s="7" t="n"/>
      <c r="AM1177" s="7" t="n">
        <v>1917.0125</v>
      </c>
      <c r="AN1177" s="10" t="n"/>
      <c r="AO1177" s="10" t="n"/>
      <c r="AP1177" s="10" t="n"/>
      <c r="AQ1177" s="10" t="n"/>
    </row>
    <row r="1178">
      <c r="A1178" s="7" t="inlineStr">
        <is>
          <t>b12-0072</t>
        </is>
      </c>
      <c r="B1178" s="11" t="inlineStr">
        <is>
          <t>Span</t>
        </is>
      </c>
      <c r="C1178" s="7" t="inlineStr">
        <is>
          <t>office</t>
        </is>
      </c>
      <c r="D1178" s="7" t="inlineStr">
        <is>
          <t>January 6, 1917–January 8, 1942</t>
        </is>
      </c>
      <c r="E1178" s="7" t="n"/>
      <c r="F1178" s="7" t="inlineStr">
        <is>
          <t>1917 CE</t>
        </is>
      </c>
      <c r="G1178" s="7" t="inlineStr">
        <is>
          <t>Exact</t>
        </is>
      </c>
      <c r="H1178" s="7" t="inlineStr">
        <is>
          <t>1942 CE</t>
        </is>
      </c>
      <c r="I1178" s="7" t="inlineStr">
        <is>
          <t>Exact</t>
        </is>
      </c>
      <c r="J1178" s="7" t="n"/>
      <c r="K1178" s="2" t="inlineStr">
        <is>
          <t>J. F. Rutherford, second president of the Watch Tower Society</t>
        </is>
      </c>
      <c r="L1178" s="2" t="n"/>
      <c r="M1178" s="7" t="inlineStr">
        <is>
          <t>Joseph F. Rutherford became president after Russell’s death and led the Bible Students, who took the name Jehovah’s Witnesses in 1931, until his death in San Diego.</t>
        </is>
      </c>
      <c r="N1178" s="7" t="n"/>
      <c r="O1178" s="13" t="inlineStr">
        <is>
          <t>Jehovah's Witnesses</t>
        </is>
      </c>
      <c r="P1178" s="7" t="inlineStr">
        <is>
          <t>jw.leadership</t>
        </is>
      </c>
      <c r="Q1178" s="7" t="n"/>
      <c r="R1178" s="7" t="inlineStr">
        <is>
          <t>Joseph F. Rutherford</t>
        </is>
      </c>
      <c r="S1178" s="7" t="n"/>
      <c r="T1178" s="7" t="n"/>
      <c r="U1178" s="7" t="n"/>
      <c r="V1178" s="7" t="n">
        <v>2</v>
      </c>
      <c r="W1178" s="7" t="inlineStr">
        <is>
          <t>Noteworthy Events in the Modern-day History of Jehovah’s Witnesses</t>
        </is>
      </c>
      <c r="X1178" s="9" t="inlineStr">
        <is>
          <t>open</t>
        </is>
      </c>
      <c r="Y1178" s="7" t="n"/>
      <c r="Z1178" s="7" t="inlineStr">
        <is>
          <t>https://wol.jw.org/en/wol/d/r1/lp-e/1101993046
https://wol.jw.org/en/wol/d/r1/lp-e/1101993046</t>
        </is>
      </c>
      <c r="AA1178" s="7" t="n">
        <v>0</v>
      </c>
      <c r="AB1178" s="7" t="n"/>
      <c r="AC1178" s="7" t="n">
        <v>0</v>
      </c>
      <c r="AD1178" s="7" t="n"/>
      <c r="AE1178" s="7" t="n"/>
      <c r="AF1178" s="7" t="inlineStr">
        <is>
          <t>b8-0104</t>
        </is>
      </c>
      <c r="AG1178" s="7" t="inlineStr">
        <is>
          <t>b8-0237</t>
        </is>
      </c>
      <c r="AH1178" s="7" t="n"/>
      <c r="AI1178" s="7" t="n"/>
      <c r="AJ1178" s="7" t="n"/>
      <c r="AK1178" s="7" t="inlineStr">
        <is>
          <t>watch-tower-presidents #2 (ruler)</t>
        </is>
      </c>
      <c r="AL1178" s="7" t="n"/>
      <c r="AM1178" s="7" t="n">
        <v>1917.0125</v>
      </c>
      <c r="AN1178" s="10" t="n"/>
      <c r="AO1178" s="10" t="n"/>
      <c r="AP1178" s="10" t="n"/>
      <c r="AQ1178" s="10" t="n"/>
    </row>
    <row r="1179">
      <c r="A1179" s="7" t="inlineStr">
        <is>
          <t>b8-0105</t>
        </is>
      </c>
      <c r="B1179" s="7" t="inlineStr">
        <is>
          <t>Point</t>
        </is>
      </c>
      <c r="C1179" s="7" t="n"/>
      <c r="D1179" s="7" t="inlineStr">
        <is>
          <t>March 1, 1917</t>
        </is>
      </c>
      <c r="E1179" s="7" t="n"/>
      <c r="F1179" s="7" t="inlineStr">
        <is>
          <t>1917 CE</t>
        </is>
      </c>
      <c r="G1179" s="7" t="inlineStr">
        <is>
          <t>Exact</t>
        </is>
      </c>
      <c r="H1179" s="7" t="n"/>
      <c r="I1179" s="7" t="n"/>
      <c r="J1179" s="7" t="n"/>
      <c r="K1179" s="2" t="inlineStr">
        <is>
          <t>Society begins assigning preaching territory</t>
        </is>
      </c>
      <c r="L1179" s="2" t="n"/>
      <c r="M1179" s="7" t="inlineStr">
        <is>
          <t>The March 1, 1917, Watch Tower announces that all territory worked by colporteurs and congregation pastoral workers will be assigned by the Society’s office.</t>
        </is>
      </c>
      <c r="N1179" s="7" t="n"/>
      <c r="O1179" s="13" t="inlineStr">
        <is>
          <t>Jehovah's Witnesses</t>
        </is>
      </c>
      <c r="P1179" s="7" t="inlineStr">
        <is>
          <t>jw.organization</t>
        </is>
      </c>
      <c r="Q1179" s="7" t="inlineStr">
        <is>
          <t>arrangement</t>
        </is>
      </c>
      <c r="R1179" s="7" t="n"/>
      <c r="S1179" s="7" t="n"/>
      <c r="T1179" s="7" t="n"/>
      <c r="U1179" s="7" t="n"/>
      <c r="V1179" s="7" t="n">
        <v>1</v>
      </c>
      <c r="W1179" s="7" t="inlineStr">
        <is>
          <t>Development of the Organization Structure</t>
        </is>
      </c>
      <c r="X1179" s="9" t="inlineStr">
        <is>
          <t>open</t>
        </is>
      </c>
      <c r="Y1179" s="7" t="n"/>
      <c r="Z1179" s="7" t="inlineStr">
        <is>
          <t>https://wol.jw.org/en/wol/d/r1/lp-e/1101993018</t>
        </is>
      </c>
      <c r="AA1179" s="7" t="n">
        <v>0</v>
      </c>
      <c r="AB1179" s="7" t="n"/>
      <c r="AC1179" s="7" t="n">
        <v>0</v>
      </c>
      <c r="AD1179" s="7" t="n"/>
      <c r="AE1179" s="7" t="n"/>
      <c r="AF1179" s="7" t="n"/>
      <c r="AG1179" s="7" t="n"/>
      <c r="AH1179" s="7" t="n"/>
      <c r="AI1179" s="7" t="n"/>
      <c r="AJ1179" s="7" t="n"/>
      <c r="AK1179" s="7" t="n"/>
      <c r="AL1179" s="7" t="n"/>
      <c r="AM1179" s="7" t="n">
        <v>1917.1667</v>
      </c>
      <c r="AN1179" s="10" t="n"/>
      <c r="AO1179" s="10" t="n"/>
      <c r="AP1179" s="10" t="n"/>
      <c r="AQ1179" s="10" t="n"/>
    </row>
    <row r="1180">
      <c r="A1180" s="7" t="inlineStr">
        <is>
          <t>b8-0106</t>
        </is>
      </c>
      <c r="B1180" s="7" t="inlineStr">
        <is>
          <t>Point</t>
        </is>
      </c>
      <c r="C1180" s="7" t="n"/>
      <c r="D1180" s="7" t="inlineStr">
        <is>
          <t>July 17, 1917</t>
        </is>
      </c>
      <c r="E1180" s="7" t="n"/>
      <c r="F1180" s="7" t="inlineStr">
        <is>
          <t>1917 CE</t>
        </is>
      </c>
      <c r="G1180" s="7" t="inlineStr">
        <is>
          <t>Exact</t>
        </is>
      </c>
      <c r="H1180" s="7" t="n"/>
      <c r="I1180" s="7" t="n"/>
      <c r="J1180" s="7" t="n"/>
      <c r="K1180" s="2" t="inlineStr">
        <is>
          <t>The Finished Mystery released to the Bethel family</t>
        </is>
      </c>
      <c r="L1180" s="2" t="n"/>
      <c r="M1180" s="7" t="inlineStr">
        <is>
          <t>The Finished Mystery, the seventh volume of Studies in the Scriptures (a commentary on Revelation and Ezekiel), is released to the Bethel family at the dining table; by the end of 1917 an 850,000 edition is being printed.</t>
        </is>
      </c>
      <c r="N1180" s="7" t="n"/>
      <c r="O1180" s="13" t="inlineStr">
        <is>
          <t>Jehovah's Witnesses</t>
        </is>
      </c>
      <c r="P1180" s="7" t="inlineStr">
        <is>
          <t>jw.publication</t>
        </is>
      </c>
      <c r="Q1180" s="7" t="inlineStr">
        <is>
          <t>release</t>
        </is>
      </c>
      <c r="R1180" s="7" t="n"/>
      <c r="S1180" s="7" t="n"/>
      <c r="T1180" s="7" t="n"/>
      <c r="U1180" s="7" t="n"/>
      <c r="V1180" s="7" t="n">
        <v>4</v>
      </c>
      <c r="W1180" s="7" t="inlineStr">
        <is>
          <t>Noteworthy Events in the Modern-day History of Jehovah’s Witnesses</t>
        </is>
      </c>
      <c r="X1180" s="9" t="inlineStr">
        <is>
          <t>open</t>
        </is>
      </c>
      <c r="Y1180" s="7" t="n"/>
      <c r="Z1180" s="7" t="inlineStr">
        <is>
          <t>https://wol.jw.org/en/wol/d/r1/lp-e/1101993046
https://wol.jw.org/en/wol/d/r1/lp-e/1101993007
https://wol.jw.org/en/wol/d/r1/lp-e/1101993036
https://wol.jw.org/en/wol/d/r1/lp-e/301975002</t>
        </is>
      </c>
      <c r="AA1180" s="7" t="n">
        <v>0</v>
      </c>
      <c r="AB1180" s="7" t="n"/>
      <c r="AC1180" s="7" t="n">
        <v>0</v>
      </c>
      <c r="AD1180" s="7" t="n"/>
      <c r="AE1180" s="7" t="n"/>
      <c r="AF1180" s="7" t="n"/>
      <c r="AG1180" s="7" t="n"/>
      <c r="AH1180" s="7" t="n"/>
      <c r="AI1180" s="7" t="n"/>
      <c r="AJ1180" s="7" t="n"/>
      <c r="AK1180" s="7" t="n"/>
      <c r="AL1180" s="7" t="n"/>
      <c r="AM1180" s="7" t="n">
        <v>1917.54</v>
      </c>
      <c r="AN1180" s="10" t="n"/>
      <c r="AO1180" s="10" t="n"/>
      <c r="AP1180" s="10" t="n"/>
      <c r="AQ1180" s="10" t="n"/>
    </row>
    <row r="1181">
      <c r="A1181" s="7" t="inlineStr">
        <is>
          <t>b8-0107</t>
        </is>
      </c>
      <c r="B1181" s="7" t="inlineStr">
        <is>
          <t>Point</t>
        </is>
      </c>
      <c r="C1181" s="7" t="n"/>
      <c r="D1181" s="7" t="inlineStr">
        <is>
          <t>July 1917 onward</t>
        </is>
      </c>
      <c r="E1181" s="7" t="n"/>
      <c r="F1181" s="7" t="inlineStr">
        <is>
          <t>1917 CE</t>
        </is>
      </c>
      <c r="G1181" s="7" t="inlineStr">
        <is>
          <t>Exact</t>
        </is>
      </c>
      <c r="H1181" s="7" t="n"/>
      <c r="I1181" s="7" t="n"/>
      <c r="J1181" s="7" t="n"/>
      <c r="K1181" s="2" t="inlineStr">
        <is>
          <t>Opposition from four directors; congregations split</t>
        </is>
      </c>
      <c r="L1181" s="2" t="n"/>
      <c r="M1181" s="7" t="inlineStr">
        <is>
          <t>Four men serving on the Society’s board of directors become heated in their opposition when The Finished Mystery is released; Rutherford replaces them, and many congregations split after the summer of 1917.</t>
        </is>
      </c>
      <c r="N1181" s="7" t="n"/>
      <c r="O1181" s="13" t="inlineStr">
        <is>
          <t>Jehovah's Witnesses</t>
        </is>
      </c>
      <c r="P1181" s="7" t="inlineStr">
        <is>
          <t>jw.organization</t>
        </is>
      </c>
      <c r="Q1181" s="7" t="inlineStr">
        <is>
          <t>opposition</t>
        </is>
      </c>
      <c r="R1181" s="7" t="n"/>
      <c r="S1181" s="7" t="n"/>
      <c r="T1181" s="7" t="n"/>
      <c r="U1181" s="7" t="n"/>
      <c r="V1181" s="7" t="n">
        <v>2</v>
      </c>
      <c r="W1181" s="7" t="inlineStr">
        <is>
          <t>Noteworthy Events in the Modern-day History of Jehovah’s Witnesses</t>
        </is>
      </c>
      <c r="X1181" s="9" t="inlineStr">
        <is>
          <t>open</t>
        </is>
      </c>
      <c r="Y1181" s="7" t="n"/>
      <c r="Z1181" s="7" t="inlineStr">
        <is>
          <t>https://wol.jw.org/en/wol/d/r1/lp-e/1101993046
https://wol.jw.org/en/wol/d/r1/lp-e/1101993007</t>
        </is>
      </c>
      <c r="AA1181" s="7" t="n">
        <v>0</v>
      </c>
      <c r="AB1181" s="7" t="n"/>
      <c r="AC1181" s="7" t="n">
        <v>0</v>
      </c>
      <c r="AD1181" s="7" t="n"/>
      <c r="AE1181" s="7" t="n"/>
      <c r="AF1181" s="7" t="n"/>
      <c r="AG1181" s="7" t="n"/>
      <c r="AH1181" s="7" t="n"/>
      <c r="AI1181" s="7" t="n"/>
      <c r="AJ1181" s="7" t="n"/>
      <c r="AK1181" s="7" t="inlineStr">
        <is>
          <t>wheat-and-weeds #18 (context)</t>
        </is>
      </c>
      <c r="AL1181" s="7" t="n"/>
      <c r="AM1181" s="7" t="n">
        <v>1917.54</v>
      </c>
      <c r="AN1181" s="10" t="n"/>
      <c r="AO1181" s="10" t="n"/>
      <c r="AP1181" s="10" t="n"/>
      <c r="AQ1181" s="10" t="n"/>
    </row>
    <row r="1182">
      <c r="A1182" s="7" t="inlineStr">
        <is>
          <t>b8-0108</t>
        </is>
      </c>
      <c r="B1182" s="7" t="inlineStr">
        <is>
          <t>Point</t>
        </is>
      </c>
      <c r="C1182" s="7" t="n"/>
      <c r="D1182" s="7" t="inlineStr">
        <is>
          <t>1918</t>
        </is>
      </c>
      <c r="E1182" s="7" t="n"/>
      <c r="F1182" s="7" t="inlineStr">
        <is>
          <t>1918 CE</t>
        </is>
      </c>
      <c r="G1182" s="7" t="inlineStr">
        <is>
          <t>Exact</t>
        </is>
      </c>
      <c r="H1182" s="7" t="n"/>
      <c r="I1182" s="7" t="n"/>
      <c r="J1182" s="7" t="n"/>
      <c r="K1182" s="2" t="inlineStr">
        <is>
          <t>Congregations encouraged to arrange juvenile Bible classes</t>
        </is>
      </c>
      <c r="L1182" s="2" t="n"/>
      <c r="M1182" s="7" t="inlineStr">
        <is>
          <t>The Society encourages congregations to arrange a juvenile class for children aged 8 to 15.</t>
        </is>
      </c>
      <c r="N1182" s="7" t="n"/>
      <c r="O1182" s="13" t="inlineStr">
        <is>
          <t>Jehovah's Witnesses</t>
        </is>
      </c>
      <c r="P1182" s="7" t="inlineStr">
        <is>
          <t>jw.education</t>
        </is>
      </c>
      <c r="Q1182" s="7" t="inlineStr">
        <is>
          <t>arrangement</t>
        </is>
      </c>
      <c r="R1182" s="7" t="n"/>
      <c r="S1182" s="7" t="n"/>
      <c r="T1182" s="7" t="n"/>
      <c r="U1182" s="7" t="n"/>
      <c r="V1182" s="7" t="n">
        <v>1</v>
      </c>
      <c r="W1182" s="7" t="inlineStr">
        <is>
          <t>Meetings for Worship, Instruction, and Encouragement</t>
        </is>
      </c>
      <c r="X1182" s="9" t="inlineStr">
        <is>
          <t>open</t>
        </is>
      </c>
      <c r="Y1182" s="7" t="n"/>
      <c r="Z1182" s="7" t="inlineStr">
        <is>
          <t>https://wol.jw.org/en/wol/d/r1/lp-e/1101993019</t>
        </is>
      </c>
      <c r="AA1182" s="7" t="n">
        <v>0</v>
      </c>
      <c r="AB1182" s="7" t="n"/>
      <c r="AC1182" s="7" t="n">
        <v>0</v>
      </c>
      <c r="AD1182" s="7" t="n"/>
      <c r="AE1182" s="7" t="n"/>
      <c r="AF1182" s="7" t="n"/>
      <c r="AG1182" s="7" t="n"/>
      <c r="AH1182" s="7" t="n"/>
      <c r="AI1182" s="7" t="n"/>
      <c r="AJ1182" s="7" t="n"/>
      <c r="AK1182" s="7" t="n"/>
      <c r="AL1182" s="7" t="n"/>
      <c r="AM1182" s="7" t="n">
        <v>1918</v>
      </c>
      <c r="AN1182" s="10" t="n"/>
      <c r="AO1182" s="10" t="n"/>
      <c r="AP1182" s="10" t="n"/>
      <c r="AQ1182" s="10" t="n"/>
    </row>
    <row r="1183">
      <c r="A1183" s="7" t="inlineStr">
        <is>
          <t>b8-0109</t>
        </is>
      </c>
      <c r="B1183" s="7" t="inlineStr">
        <is>
          <t>Point</t>
        </is>
      </c>
      <c r="C1183" s="7" t="n"/>
      <c r="D1183" s="7" t="inlineStr">
        <is>
          <t>January 5, 1918</t>
        </is>
      </c>
      <c r="E1183" s="7" t="n"/>
      <c r="F1183" s="7" t="inlineStr">
        <is>
          <t>1918 CE</t>
        </is>
      </c>
      <c r="G1183" s="7" t="inlineStr">
        <is>
          <t>Exact</t>
        </is>
      </c>
      <c r="H1183" s="7" t="n"/>
      <c r="I1183" s="7" t="n"/>
      <c r="J1183" s="7" t="n"/>
      <c r="K1183" s="2" t="inlineStr">
        <is>
          <t>Annual meeting confirms Rutherford’s leadership</t>
        </is>
      </c>
      <c r="L1183" s="2" t="n"/>
      <c r="M1183" s="7" t="inlineStr">
        <is>
          <t>At the annual meeting the seven receiving the most votes are elected directors, with overwhelming support for J. F. Rutherford; opposers later splinter off, holding their own Memorial on March 26, 1918.</t>
        </is>
      </c>
      <c r="N1183" s="7" t="n"/>
      <c r="O1183" s="13" t="inlineStr">
        <is>
          <t>Jehovah's Witnesses</t>
        </is>
      </c>
      <c r="P1183" s="7" t="inlineStr">
        <is>
          <t>jw.leadership</t>
        </is>
      </c>
      <c r="Q1183" s="7" t="inlineStr">
        <is>
          <t>election</t>
        </is>
      </c>
      <c r="R1183" s="7" t="inlineStr">
        <is>
          <t>Joseph F. Rutherford</t>
        </is>
      </c>
      <c r="S1183" s="7" t="n"/>
      <c r="T1183" s="7" t="n"/>
      <c r="U1183" s="7" t="n"/>
      <c r="V1183" s="7" t="n">
        <v>1</v>
      </c>
      <c r="W1183" s="7" t="inlineStr">
        <is>
          <t>A Time of Testing (1914-1918)</t>
        </is>
      </c>
      <c r="X1183" s="9" t="inlineStr">
        <is>
          <t>open</t>
        </is>
      </c>
      <c r="Y1183" s="7" t="n"/>
      <c r="Z1183" s="7" t="inlineStr">
        <is>
          <t>https://wol.jw.org/en/wol/d/r1/lp-e/1101993007</t>
        </is>
      </c>
      <c r="AA1183" s="7" t="n">
        <v>0</v>
      </c>
      <c r="AB1183" s="7" t="n"/>
      <c r="AC1183" s="7" t="n">
        <v>0</v>
      </c>
      <c r="AD1183" s="7" t="n"/>
      <c r="AE1183" s="7" t="n"/>
      <c r="AF1183" s="7" t="n"/>
      <c r="AG1183" s="7" t="n"/>
      <c r="AH1183" s="7" t="n"/>
      <c r="AI1183" s="7" t="n"/>
      <c r="AJ1183" s="7" t="n"/>
      <c r="AK1183" s="7" t="n"/>
      <c r="AL1183" s="7" t="n"/>
      <c r="AM1183" s="7" t="n">
        <v>1918.01</v>
      </c>
      <c r="AN1183" s="10" t="n"/>
      <c r="AO1183" s="10" t="n"/>
      <c r="AP1183" s="10" t="n"/>
      <c r="AQ1183" s="10" t="n"/>
    </row>
    <row r="1184">
      <c r="A1184" s="7" t="inlineStr">
        <is>
          <t>b8-0110</t>
        </is>
      </c>
      <c r="B1184" s="7" t="inlineStr">
        <is>
          <t>Point</t>
        </is>
      </c>
      <c r="C1184" s="7" t="n"/>
      <c r="D1184" s="7" t="inlineStr">
        <is>
          <t>February 12, 1918</t>
        </is>
      </c>
      <c r="E1184" s="7" t="n"/>
      <c r="F1184" s="7" t="inlineStr">
        <is>
          <t>1918 CE</t>
        </is>
      </c>
      <c r="G1184" s="7" t="inlineStr">
        <is>
          <t>Exact</t>
        </is>
      </c>
      <c r="H1184" s="7" t="n"/>
      <c r="I1184" s="7" t="n"/>
      <c r="J1184" s="7" t="n"/>
      <c r="K1184" s="2" t="inlineStr">
        <is>
          <t>Canada bans The Finished Mystery</t>
        </is>
      </c>
      <c r="L1184" s="2" t="n"/>
      <c r="M1184" s="7" t="inlineStr">
        <is>
          <t>Following a petition by some 600 Canadian clergymen, a government decree makes possession of The Finished Mystery or the tract Bible Students Monthly punishable by fine and imprisonment.</t>
        </is>
      </c>
      <c r="N1184" s="7" t="n"/>
      <c r="O1184" s="13" t="inlineStr">
        <is>
          <t>Jehovah's Witnesses</t>
        </is>
      </c>
      <c r="P1184" s="7" t="inlineStr">
        <is>
          <t>jw.persecution</t>
        </is>
      </c>
      <c r="Q1184" s="7" t="inlineStr">
        <is>
          <t>ban</t>
        </is>
      </c>
      <c r="R1184" s="7" t="n"/>
      <c r="S1184" s="7" t="inlineStr">
        <is>
          <t>Canada</t>
        </is>
      </c>
      <c r="T1184" s="7" t="n"/>
      <c r="U1184" s="7" t="n"/>
      <c r="V1184" s="7" t="n">
        <v>2</v>
      </c>
      <c r="W1184" s="7" t="inlineStr">
        <is>
          <t>“Objects of Hatred by All the Nations”</t>
        </is>
      </c>
      <c r="X1184" s="9" t="inlineStr">
        <is>
          <t>open</t>
        </is>
      </c>
      <c r="Y1184" s="7" t="n"/>
      <c r="Z1184" s="7" t="inlineStr">
        <is>
          <t>https://wol.jw.org/en/wol/d/r1/lp-e/1101993040
https://wol.jw.org/en/wol/d/r1/lp-e/1101993007</t>
        </is>
      </c>
      <c r="AA1184" s="7" t="n">
        <v>0</v>
      </c>
      <c r="AB1184" s="7" t="n"/>
      <c r="AC1184" s="7" t="n">
        <v>0</v>
      </c>
      <c r="AD1184" s="7" t="n"/>
      <c r="AE1184" s="7" t="n"/>
      <c r="AF1184" s="7" t="n"/>
      <c r="AG1184" s="7" t="n"/>
      <c r="AH1184" s="7" t="n"/>
      <c r="AI1184" s="7" t="n"/>
      <c r="AJ1184" s="7" t="n"/>
      <c r="AK1184" s="7" t="n"/>
      <c r="AL1184" s="7" t="n"/>
      <c r="AM1184" s="7" t="n">
        <v>1918.1108</v>
      </c>
      <c r="AN1184" s="10" t="n"/>
      <c r="AO1184" s="10" t="n"/>
      <c r="AP1184" s="10" t="n"/>
      <c r="AQ1184" s="10" t="n"/>
    </row>
    <row r="1185">
      <c r="A1185" s="7" t="inlineStr">
        <is>
          <t>b8-0111</t>
        </is>
      </c>
      <c r="B1185" s="7" t="inlineStr">
        <is>
          <t>Point</t>
        </is>
      </c>
      <c r="C1185" s="7" t="n"/>
      <c r="D1185" s="7" t="inlineStr">
        <is>
          <t>February 24, 1918</t>
        </is>
      </c>
      <c r="E1185" s="7" t="n"/>
      <c r="F1185" s="7" t="inlineStr">
        <is>
          <t>1918 CE</t>
        </is>
      </c>
      <c r="G1185" s="7" t="inlineStr">
        <is>
          <t>Exact</t>
        </is>
      </c>
      <c r="H1185" s="7" t="n"/>
      <c r="I1185" s="7" t="n"/>
      <c r="J1185" s="7" t="n"/>
      <c r="K1185" s="2" t="inlineStr">
        <is>
          <t>“The World Has Ended—Millions Now Living May Never Die” first delivered</t>
        </is>
      </c>
      <c r="L1185" s="2" t="n"/>
      <c r="M1185" s="7" t="inlineStr">
        <is>
          <t>The discourse “The World Has Ended—Millions Now Living May Never Die” is first delivered, in Los Angeles, California.</t>
        </is>
      </c>
      <c r="N1185" s="7" t="n"/>
      <c r="O1185" s="13" t="inlineStr">
        <is>
          <t>Jehovah's Witnesses</t>
        </is>
      </c>
      <c r="P1185" s="7" t="inlineStr">
        <is>
          <t>jw.preaching</t>
        </is>
      </c>
      <c r="Q1185" s="7" t="inlineStr">
        <is>
          <t>discourse</t>
        </is>
      </c>
      <c r="R1185" s="7" t="inlineStr">
        <is>
          <t>Joseph F. Rutherford</t>
        </is>
      </c>
      <c r="S1185" s="7" t="inlineStr">
        <is>
          <t>Los Angeles</t>
        </is>
      </c>
      <c r="T1185" s="7" t="n"/>
      <c r="U1185" s="7" t="n"/>
      <c r="V1185" s="7" t="n">
        <v>1</v>
      </c>
      <c r="W1185" s="7" t="inlineStr">
        <is>
          <t>Noteworthy Events in the Modern-day History of Jehovah’s Witnesses</t>
        </is>
      </c>
      <c r="X1185" s="9" t="inlineStr">
        <is>
          <t>open</t>
        </is>
      </c>
      <c r="Y1185" s="7" t="n"/>
      <c r="Z1185" s="7" t="inlineStr">
        <is>
          <t>https://wol.jw.org/en/wol/d/r1/lp-e/1101993046</t>
        </is>
      </c>
      <c r="AA1185" s="7" t="n">
        <v>0</v>
      </c>
      <c r="AB1185" s="7" t="n"/>
      <c r="AC1185" s="7" t="n">
        <v>0</v>
      </c>
      <c r="AD1185" s="7" t="n"/>
      <c r="AE1185" s="7" t="n"/>
      <c r="AF1185" s="7" t="n"/>
      <c r="AG1185" s="7" t="n"/>
      <c r="AH1185" s="7" t="n"/>
      <c r="AI1185" s="7" t="n"/>
      <c r="AJ1185" s="7" t="n"/>
      <c r="AK1185" s="7" t="n"/>
      <c r="AL1185" s="7" t="n"/>
      <c r="AM1185" s="7" t="n">
        <v>1918.1408</v>
      </c>
      <c r="AN1185" s="10" t="n"/>
      <c r="AO1185" s="10" t="n"/>
      <c r="AP1185" s="10" t="n"/>
      <c r="AQ1185" s="10" t="n"/>
    </row>
    <row r="1186">
      <c r="A1186" s="7" t="inlineStr">
        <is>
          <t>b8-0112</t>
        </is>
      </c>
      <c r="B1186" s="7" t="inlineStr">
        <is>
          <t>Point</t>
        </is>
      </c>
      <c r="C1186" s="7" t="n"/>
      <c r="D1186" s="7" t="inlineStr">
        <is>
          <t>March 15, 1918</t>
        </is>
      </c>
      <c r="E1186" s="7" t="n"/>
      <c r="F1186" s="7" t="inlineStr">
        <is>
          <t>1918 CE</t>
        </is>
      </c>
      <c r="G1186" s="7" t="inlineStr">
        <is>
          <t>Exact</t>
        </is>
      </c>
      <c r="H1186" s="7" t="n"/>
      <c r="I1186" s="7" t="n"/>
      <c r="J1186" s="7" t="n"/>
      <c r="K1186" s="2" t="inlineStr">
        <is>
          <t>Tract Kingdom News No. 1 released</t>
        </is>
      </c>
      <c r="L1186" s="2" t="n"/>
      <c r="M1186" s="7" t="inlineStr">
        <is>
          <t>To expose clergy-inspired pressure against The Finished Mystery, the Society releases the tract Kingdom News No. 1; No. 2 follows on April 15 and No. 3 in May.</t>
        </is>
      </c>
      <c r="N1186" s="7" t="n"/>
      <c r="O1186" s="13" t="inlineStr">
        <is>
          <t>Jehovah's Witnesses</t>
        </is>
      </c>
      <c r="P1186" s="7" t="inlineStr">
        <is>
          <t>jw.publication</t>
        </is>
      </c>
      <c r="Q1186" s="7" t="inlineStr">
        <is>
          <t>release</t>
        </is>
      </c>
      <c r="R1186" s="7" t="n"/>
      <c r="S1186" s="7" t="n"/>
      <c r="T1186" s="7" t="n"/>
      <c r="U1186" s="7" t="n"/>
      <c r="V1186" s="7" t="n">
        <v>1</v>
      </c>
      <c r="W1186" s="7" t="inlineStr">
        <is>
          <t>A Time of Testing (1914-1918)</t>
        </is>
      </c>
      <c r="X1186" s="9" t="inlineStr">
        <is>
          <t>open</t>
        </is>
      </c>
      <c r="Y1186" s="7" t="n"/>
      <c r="Z1186" s="7" t="inlineStr">
        <is>
          <t>https://wol.jw.org/en/wol/d/r1/lp-e/1101993007</t>
        </is>
      </c>
      <c r="AA1186" s="7" t="n">
        <v>0</v>
      </c>
      <c r="AB1186" s="7" t="n"/>
      <c r="AC1186" s="7" t="n">
        <v>0</v>
      </c>
      <c r="AD1186" s="7" t="n"/>
      <c r="AE1186" s="7" t="n"/>
      <c r="AF1186" s="7" t="n"/>
      <c r="AG1186" s="7" t="n"/>
      <c r="AH1186" s="7" t="n"/>
      <c r="AI1186" s="7" t="n"/>
      <c r="AJ1186" s="7" t="n"/>
      <c r="AK1186" s="7" t="n"/>
      <c r="AL1186" s="7" t="n"/>
      <c r="AM1186" s="7" t="n">
        <v>1918.2017</v>
      </c>
      <c r="AN1186" s="10" t="n"/>
      <c r="AO1186" s="10" t="n"/>
      <c r="AP1186" s="10" t="n"/>
      <c r="AQ1186" s="10" t="n"/>
    </row>
    <row r="1187">
      <c r="A1187" s="7" t="inlineStr">
        <is>
          <t>b8-0113</t>
        </is>
      </c>
      <c r="B1187" s="7" t="inlineStr">
        <is>
          <t>Point</t>
        </is>
      </c>
      <c r="C1187" s="7" t="n"/>
      <c r="D1187" s="7" t="inlineStr">
        <is>
          <t>March 31, 1918</t>
        </is>
      </c>
      <c r="E1187" s="7" t="n"/>
      <c r="F1187" s="7" t="inlineStr">
        <is>
          <t>1918 CE</t>
        </is>
      </c>
      <c r="G1187" s="7" t="inlineStr">
        <is>
          <t>Exact</t>
        </is>
      </c>
      <c r="H1187" s="7" t="n"/>
      <c r="I1187" s="7" t="n"/>
      <c r="J1187" s="7" t="n"/>
      <c r="K1187" s="2" t="inlineStr">
        <is>
          <t>Boston talk titled “Millions Now Living Will Never Die”</t>
        </is>
      </c>
      <c r="L1187" s="2" t="n"/>
      <c r="M1187" s="7" t="inlineStr">
        <is>
          <t>In Boston, Massachusetts, the talk is given under the title “The World Has Ended—Millions Now Living Will Never Die.”</t>
        </is>
      </c>
      <c r="N1187" s="7" t="n"/>
      <c r="O1187" s="13" t="inlineStr">
        <is>
          <t>Jehovah's Witnesses</t>
        </is>
      </c>
      <c r="P1187" s="7" t="inlineStr">
        <is>
          <t>jw.preaching</t>
        </is>
      </c>
      <c r="Q1187" s="7" t="inlineStr">
        <is>
          <t>discourse</t>
        </is>
      </c>
      <c r="R1187" s="7" t="n"/>
      <c r="S1187" s="7" t="inlineStr">
        <is>
          <t>Boston</t>
        </is>
      </c>
      <c r="T1187" s="7" t="n"/>
      <c r="U1187" s="7" t="n"/>
      <c r="V1187" s="7" t="n">
        <v>1</v>
      </c>
      <c r="W1187" s="7" t="inlineStr">
        <is>
          <t>Noteworthy Events in the Modern-day History of Jehovah’s Witnesses</t>
        </is>
      </c>
      <c r="X1187" s="9" t="inlineStr">
        <is>
          <t>open</t>
        </is>
      </c>
      <c r="Y1187" s="7" t="n"/>
      <c r="Z1187" s="7" t="inlineStr">
        <is>
          <t>https://wol.jw.org/en/wol/d/r1/lp-e/1101993046</t>
        </is>
      </c>
      <c r="AA1187" s="7" t="n">
        <v>0</v>
      </c>
      <c r="AB1187" s="7" t="n"/>
      <c r="AC1187" s="7" t="n">
        <v>0</v>
      </c>
      <c r="AD1187" s="7" t="n"/>
      <c r="AE1187" s="7" t="n"/>
      <c r="AF1187" s="7" t="n"/>
      <c r="AG1187" s="7" t="n"/>
      <c r="AH1187" s="7" t="n"/>
      <c r="AI1187" s="7" t="n"/>
      <c r="AJ1187" s="7" t="n"/>
      <c r="AK1187" s="7" t="n"/>
      <c r="AL1187" s="7" t="n"/>
      <c r="AM1187" s="7" t="n">
        <v>1918.2417</v>
      </c>
      <c r="AN1187" s="10" t="n"/>
      <c r="AO1187" s="10" t="n"/>
      <c r="AP1187" s="10" t="n"/>
      <c r="AQ1187" s="10" t="n"/>
    </row>
    <row r="1188">
      <c r="A1188" s="7" t="inlineStr">
        <is>
          <t>b8-0114</t>
        </is>
      </c>
      <c r="B1188" s="7" t="inlineStr">
        <is>
          <t>Point</t>
        </is>
      </c>
      <c r="C1188" s="7" t="n"/>
      <c r="D1188" s="7" t="inlineStr">
        <is>
          <t>May 7, 1918</t>
        </is>
      </c>
      <c r="E1188" s="7" t="n"/>
      <c r="F1188" s="7" t="inlineStr">
        <is>
          <t>1918 CE</t>
        </is>
      </c>
      <c r="G1188" s="7" t="inlineStr">
        <is>
          <t>Exact</t>
        </is>
      </c>
      <c r="H1188" s="7" t="n"/>
      <c r="I1188" s="7" t="n"/>
      <c r="J1188" s="7" t="n"/>
      <c r="K1188" s="2" t="inlineStr">
        <is>
          <t>Federal arrest warrants issued for Rutherford and associates</t>
        </is>
      </c>
      <c r="L1188" s="2" t="n"/>
      <c r="M1188" s="7" t="inlineStr">
        <is>
          <t>Clergy-inspired opposition culminates as U.S. federal warrants are issued for the arrest of J. F. Rutherford and close associates, charged under the Espionage Act.</t>
        </is>
      </c>
      <c r="N1188" s="7" t="n"/>
      <c r="O1188" s="13" t="inlineStr">
        <is>
          <t>Jehovah's Witnesses</t>
        </is>
      </c>
      <c r="P1188" s="7" t="inlineStr">
        <is>
          <t>jw.persecution</t>
        </is>
      </c>
      <c r="Q1188" s="7" t="inlineStr">
        <is>
          <t>arrest</t>
        </is>
      </c>
      <c r="R1188" s="7" t="inlineStr">
        <is>
          <t>Joseph F. Rutherford</t>
        </is>
      </c>
      <c r="S1188" s="7" t="n"/>
      <c r="T1188" s="7" t="n"/>
      <c r="U1188" s="7" t="n"/>
      <c r="V1188" s="7" t="n">
        <v>4</v>
      </c>
      <c r="W1188" s="7" t="inlineStr">
        <is>
          <t>Noteworthy Events in the Modern-day History of Jehovah’s Witnesses</t>
        </is>
      </c>
      <c r="X1188" s="9" t="inlineStr">
        <is>
          <t>open</t>
        </is>
      </c>
      <c r="Y1188" s="7" t="n"/>
      <c r="Z1188" s="7" t="inlineStr">
        <is>
          <t>https://wol.jw.org/en/wol/d/r1/lp-e/1101993046
https://wol.jw.org/en/wol/d/r1/lp-e/1101993007
https://wol.jw.org/en/wol/d/r1/lp-e/1101993040
https://wol.jw.org/en/wol/d/r1/lp-e/301975002</t>
        </is>
      </c>
      <c r="AA1188" s="7" t="n">
        <v>0</v>
      </c>
      <c r="AB1188" s="7" t="n"/>
      <c r="AC1188" s="7" t="n">
        <v>0</v>
      </c>
      <c r="AD1188" s="7" t="n"/>
      <c r="AE1188" s="7" t="n"/>
      <c r="AF1188" s="7" t="n"/>
      <c r="AG1188" s="7" t="n"/>
      <c r="AH1188" s="7" t="n"/>
      <c r="AI1188" s="7" t="n"/>
      <c r="AJ1188" s="7" t="n"/>
      <c r="AK1188" s="7" t="n"/>
      <c r="AL1188" s="7" t="n"/>
      <c r="AM1188" s="7" t="n">
        <v>1918.3483</v>
      </c>
      <c r="AN1188" s="10" t="n"/>
      <c r="AO1188" s="10" t="n"/>
      <c r="AP1188" s="10" t="n"/>
      <c r="AQ1188" s="10" t="n"/>
    </row>
    <row r="1189">
      <c r="A1189" s="7" t="inlineStr">
        <is>
          <t>b8-0115</t>
        </is>
      </c>
      <c r="B1189" s="7" t="inlineStr">
        <is>
          <t>Point</t>
        </is>
      </c>
      <c r="C1189" s="7" t="n"/>
      <c r="D1189" s="7" t="inlineStr">
        <is>
          <t>June 5, 1918</t>
        </is>
      </c>
      <c r="E1189" s="7" t="n"/>
      <c r="F1189" s="7" t="inlineStr">
        <is>
          <t>1918 CE</t>
        </is>
      </c>
      <c r="G1189" s="7" t="inlineStr">
        <is>
          <t>Exact</t>
        </is>
      </c>
      <c r="H1189" s="7" t="n"/>
      <c r="I1189" s="7" t="n"/>
      <c r="J1189" s="7" t="n"/>
      <c r="K1189" s="2" t="inlineStr">
        <is>
          <t>Trial of the Society’s officers begins</t>
        </is>
      </c>
      <c r="L1189" s="2" t="n"/>
      <c r="M1189" s="7" t="inlineStr">
        <is>
          <t>The trial of J. F. Rutherford and his associates begins.</t>
        </is>
      </c>
      <c r="N1189" s="7" t="n"/>
      <c r="O1189" s="13" t="inlineStr">
        <is>
          <t>Jehovah's Witnesses</t>
        </is>
      </c>
      <c r="P1189" s="7" t="inlineStr">
        <is>
          <t>jw.legal</t>
        </is>
      </c>
      <c r="Q1189" s="7" t="inlineStr">
        <is>
          <t>trial</t>
        </is>
      </c>
      <c r="R1189" s="7" t="inlineStr">
        <is>
          <t>Joseph F. Rutherford</t>
        </is>
      </c>
      <c r="S1189" s="7" t="n"/>
      <c r="T1189" s="7" t="n"/>
      <c r="U1189" s="7" t="n"/>
      <c r="V1189" s="7" t="n">
        <v>1</v>
      </c>
      <c r="W1189" s="7" t="inlineStr">
        <is>
          <t>Noteworthy Events in the Modern-day History of Jehovah’s Witnesses</t>
        </is>
      </c>
      <c r="X1189" s="9" t="inlineStr">
        <is>
          <t>open</t>
        </is>
      </c>
      <c r="Y1189" s="7" t="n"/>
      <c r="Z1189" s="7" t="inlineStr">
        <is>
          <t>https://wol.jw.org/en/wol/d/r1/lp-e/1101993046</t>
        </is>
      </c>
      <c r="AA1189" s="7" t="n">
        <v>0</v>
      </c>
      <c r="AB1189" s="7" t="n"/>
      <c r="AC1189" s="7" t="n">
        <v>0</v>
      </c>
      <c r="AD1189" s="7" t="n"/>
      <c r="AE1189" s="7" t="n"/>
      <c r="AF1189" s="7" t="n"/>
      <c r="AG1189" s="7" t="n"/>
      <c r="AH1189" s="7" t="n"/>
      <c r="AI1189" s="7" t="n"/>
      <c r="AJ1189" s="7" t="n"/>
      <c r="AK1189" s="7" t="n"/>
      <c r="AL1189" s="7" t="n"/>
      <c r="AM1189" s="7" t="n">
        <v>1918.4267</v>
      </c>
      <c r="AN1189" s="10" t="n"/>
      <c r="AO1189" s="10" t="n"/>
      <c r="AP1189" s="10" t="n"/>
      <c r="AQ1189" s="10" t="n"/>
    </row>
    <row r="1190">
      <c r="A1190" s="7" t="inlineStr">
        <is>
          <t>b15-0003</t>
        </is>
      </c>
      <c r="B1190" s="7" t="inlineStr">
        <is>
          <t>Point</t>
        </is>
      </c>
      <c r="C1190" s="7" t="n"/>
      <c r="D1190" s="7" t="inlineStr">
        <is>
          <t>1918</t>
        </is>
      </c>
      <c r="E1190" s="7" t="inlineStr">
        <is>
          <t>1918</t>
        </is>
      </c>
      <c r="F1190" s="7" t="inlineStr">
        <is>
          <t>1918 CE</t>
        </is>
      </c>
      <c r="G1190" s="7" t="inlineStr">
        <is>
          <t>Exact</t>
        </is>
      </c>
      <c r="H1190" s="7" t="n"/>
      <c r="I1190" s="7" t="n"/>
      <c r="J1190" s="7" t="n"/>
      <c r="K1190" s="2" t="inlineStr">
        <is>
          <t>Spanish influenza kills tens of millions</t>
        </is>
      </c>
      <c r="L1190" s="2" t="n"/>
      <c r="M1190" s="7" t="inlineStr">
        <is>
          <t>The Spanish influenza, which invaded the battlefields of France in June 1918 and spread worldwide with returning troops, killed an estimated 20 million to 50 million people in 1918. The Watchtower presents it as a fulfillment of Jesus’ words “in one place after another pestilences” (Luke 21:11) and of the rider of the pale horse (Revelation 6:8).</t>
        </is>
      </c>
      <c r="N1190" s="7" t="inlineStr">
        <is>
          <t>“1918-⁠ல், ஸ்பானிஷ் ஃப்ளுவினால் 2 முதல் 5 கோடி பேர் உயிரிழந்தார்கள்; இப்படி உயிரிழந்தவர்களின் எண்ணிக்கை, பிளேக் நோயால் இறந்தவர்களைவிட அல்லது முதல் உலகப் போரில் இறந்தவர்களைவிட அதிகம்” என ஸுயெட்டாச்செ ட்ஸைட்டுங் என்ற செய்தித்தாள் அறிக்கை செய்கிறது.</t>
        </is>
      </c>
      <c r="O1190" s="8" t="inlineStr">
        <is>
          <t>Bible</t>
        </is>
      </c>
      <c r="P1190" s="7" t="inlineStr">
        <is>
          <t>bible.prophecy_fulfilled</t>
        </is>
      </c>
      <c r="Q1190" s="7" t="inlineStr">
        <is>
          <t>pandemic</t>
        </is>
      </c>
      <c r="R1190" s="7" t="n"/>
      <c r="S1190" s="7" t="inlineStr">
        <is>
          <t>France</t>
        </is>
      </c>
      <c r="T1190" s="7" t="inlineStr">
        <is>
          <t>Luke 21:11; Rev. 6:8</t>
        </is>
      </c>
      <c r="U1190" s="7" t="inlineStr">
        <is>
          <t>லூக். 21:11; வெளி. 6:8</t>
        </is>
      </c>
      <c r="V1190" s="7" t="n">
        <v>3</v>
      </c>
      <c r="W1190" s="7" t="inlineStr">
        <is>
          <t>Do You Recognize the Sign of Jesus’ Presence?</t>
        </is>
      </c>
      <c r="X1190" s="9" t="inlineStr">
        <is>
          <t>open</t>
        </is>
      </c>
      <c r="Y1190" s="9" t="inlineStr">
        <is>
          <t>open</t>
        </is>
      </c>
      <c r="Z1190" s="7" t="inlineStr">
        <is>
          <t>https://wol.jw.org/en/wol/d/r1/lp-e/2005721
https://wol.jw.org/en/wol/d/r1/lp-e/2014083
https://wol.jw.org/en/wol/d/r1/lp-e/2014083</t>
        </is>
      </c>
      <c r="AA1190" s="7" t="n">
        <v>0</v>
      </c>
      <c r="AB1190" s="7" t="n"/>
      <c r="AC1190" s="7" t="n">
        <v>0</v>
      </c>
      <c r="AD1190" s="7" t="n"/>
      <c r="AE1190" s="7" t="n"/>
      <c r="AF1190" s="7" t="n"/>
      <c r="AG1190" s="7" t="n"/>
      <c r="AH1190" s="7" t="n"/>
      <c r="AI1190" s="7" t="n"/>
      <c r="AJ1190" s="7" t="n"/>
      <c r="AK1190" s="7" t="inlineStr">
        <is>
          <t>last-days-sign #16 (fulfillment)</t>
        </is>
      </c>
      <c r="AL1190" s="7" t="inlineStr">
        <is>
          <t>sort_key 1918.45 places it after the June 1918 outbreak in France (wp14 2/1 p. 5). Older publications speak of 1918-1919 (e.g. w91 4/1); the 2005 and 2014 articles cited here are used.</t>
        </is>
      </c>
      <c r="AM1190" s="7" t="n">
        <v>1918.45</v>
      </c>
      <c r="AN1190" s="10" t="n"/>
      <c r="AO1190" s="10" t="n"/>
      <c r="AP1190" s="10" t="n"/>
      <c r="AQ1190" s="10" t="n"/>
    </row>
    <row r="1191">
      <c r="A1191" s="7" t="inlineStr">
        <is>
          <t>b8-0116</t>
        </is>
      </c>
      <c r="B1191" s="7" t="inlineStr">
        <is>
          <t>Point</t>
        </is>
      </c>
      <c r="C1191" s="7" t="n"/>
      <c r="D1191" s="7" t="inlineStr">
        <is>
          <t>June 20, 1918</t>
        </is>
      </c>
      <c r="E1191" s="7" t="n"/>
      <c r="F1191" s="7" t="inlineStr">
        <is>
          <t>1918 CE</t>
        </is>
      </c>
      <c r="G1191" s="7" t="inlineStr">
        <is>
          <t>Exact</t>
        </is>
      </c>
      <c r="H1191" s="7" t="n"/>
      <c r="I1191" s="7" t="n"/>
      <c r="J1191" s="7" t="n"/>
      <c r="K1191" s="2" t="inlineStr">
        <is>
          <t>Jury finds Rutherford and associates guilty</t>
        </is>
      </c>
      <c r="L1191" s="2" t="n"/>
      <c r="M1191" s="7" t="inlineStr">
        <is>
          <t>A jury returns a verdict finding each of the defendants guilty on each count; principal members of the Society are convicted for material allegedly contrary to the war effort.</t>
        </is>
      </c>
      <c r="N1191" s="7" t="n"/>
      <c r="O1191" s="13" t="inlineStr">
        <is>
          <t>Jehovah's Witnesses</t>
        </is>
      </c>
      <c r="P1191" s="7" t="inlineStr">
        <is>
          <t>jw.legal</t>
        </is>
      </c>
      <c r="Q1191" s="7" t="inlineStr">
        <is>
          <t>court_ruling</t>
        </is>
      </c>
      <c r="R1191" s="7" t="inlineStr">
        <is>
          <t>Joseph F. Rutherford</t>
        </is>
      </c>
      <c r="S1191" s="7" t="inlineStr">
        <is>
          <t>Brooklyn, New York</t>
        </is>
      </c>
      <c r="T1191" s="7" t="n"/>
      <c r="U1191" s="7" t="n"/>
      <c r="V1191" s="7" t="n">
        <v>3</v>
      </c>
      <c r="W1191" s="7" t="inlineStr">
        <is>
          <t>“Objects of Hatred by All the Nations”</t>
        </is>
      </c>
      <c r="X1191" s="9" t="inlineStr">
        <is>
          <t>open</t>
        </is>
      </c>
      <c r="Y1191" s="7" t="n"/>
      <c r="Z1191" s="7" t="inlineStr">
        <is>
          <t>https://wol.jw.org/en/wol/d/r1/lp-e/1101993040
https://www.jw.org/en/news/region/united-states/historic-milestones-united-states/
https://wol.jw.org/en/wol/d/r1/lp-e/301975002</t>
        </is>
      </c>
      <c r="AA1191" s="7" t="n">
        <v>0</v>
      </c>
      <c r="AB1191" s="7" t="n"/>
      <c r="AC1191" s="7" t="n">
        <v>0</v>
      </c>
      <c r="AD1191" s="7" t="n"/>
      <c r="AE1191" s="7" t="n"/>
      <c r="AF1191" s="7" t="n"/>
      <c r="AG1191" s="7" t="n"/>
      <c r="AH1191" s="7" t="n"/>
      <c r="AI1191" s="7" t="n"/>
      <c r="AJ1191" s="7" t="n"/>
      <c r="AK1191" s="7" t="n"/>
      <c r="AL1191" s="7" t="n"/>
      <c r="AM1191" s="7" t="n">
        <v>1918.4642</v>
      </c>
      <c r="AN1191" s="10" t="n"/>
      <c r="AO1191" s="10" t="n"/>
      <c r="AP1191" s="10" t="n"/>
      <c r="AQ1191" s="10" t="n"/>
    </row>
    <row r="1192">
      <c r="A1192" s="7" t="inlineStr">
        <is>
          <t>b8-0117</t>
        </is>
      </c>
      <c r="B1192" s="7" t="inlineStr">
        <is>
          <t>Point</t>
        </is>
      </c>
      <c r="C1192" s="7" t="n"/>
      <c r="D1192" s="7" t="inlineStr">
        <is>
          <t>June 21, 1918</t>
        </is>
      </c>
      <c r="E1192" s="7" t="n"/>
      <c r="F1192" s="7" t="inlineStr">
        <is>
          <t>1918 CE</t>
        </is>
      </c>
      <c r="G1192" s="7" t="inlineStr">
        <is>
          <t>Exact</t>
        </is>
      </c>
      <c r="H1192" s="7" t="n"/>
      <c r="I1192" s="7" t="n"/>
      <c r="J1192" s="7" t="n"/>
      <c r="K1192" s="2" t="inlineStr">
        <is>
          <t>Rutherford and associates sentenced to long prison terms</t>
        </is>
      </c>
      <c r="L1192" s="2" t="n"/>
      <c r="M1192" s="7" t="inlineStr">
        <is>
          <t>J. F. Rutherford and associates are sentenced to long terms (20 years for most) in federal penitentiary; one is sentenced on July 10. By mid-1918 eight are in the Atlanta penitentiary.</t>
        </is>
      </c>
      <c r="N1192" s="7" t="n"/>
      <c r="O1192" s="13" t="inlineStr">
        <is>
          <t>Jehovah's Witnesses</t>
        </is>
      </c>
      <c r="P1192" s="7" t="inlineStr">
        <is>
          <t>jw.persecution</t>
        </is>
      </c>
      <c r="Q1192" s="7" t="inlineStr">
        <is>
          <t>sentence</t>
        </is>
      </c>
      <c r="R1192" s="7" t="inlineStr">
        <is>
          <t>Joseph F. Rutherford</t>
        </is>
      </c>
      <c r="S1192" s="7" t="inlineStr">
        <is>
          <t>Atlanta, Georgia</t>
        </is>
      </c>
      <c r="T1192" s="7" t="n"/>
      <c r="U1192" s="7" t="n"/>
      <c r="V1192" s="7" t="n">
        <v>3</v>
      </c>
      <c r="W1192" s="7" t="inlineStr">
        <is>
          <t>Noteworthy Events in the Modern-day History of Jehovah’s Witnesses</t>
        </is>
      </c>
      <c r="X1192" s="9" t="inlineStr">
        <is>
          <t>open</t>
        </is>
      </c>
      <c r="Y1192" s="7" t="n"/>
      <c r="Z1192" s="7" t="inlineStr">
        <is>
          <t>https://wol.jw.org/en/wol/d/r1/lp-e/1101993046
https://wol.jw.org/en/wol/d/r1/lp-e/1101993018
https://wol.jw.org/en/wol/d/r1/lp-e/1101993007</t>
        </is>
      </c>
      <c r="AA1192" s="7" t="n">
        <v>0</v>
      </c>
      <c r="AB1192" s="7" t="n"/>
      <c r="AC1192" s="7" t="n">
        <v>0</v>
      </c>
      <c r="AD1192" s="7" t="n"/>
      <c r="AE1192" s="7" t="n"/>
      <c r="AF1192" s="7" t="n"/>
      <c r="AG1192" s="7" t="n"/>
      <c r="AH1192" s="7" t="n"/>
      <c r="AI1192" s="7" t="n"/>
      <c r="AJ1192" s="7" t="n"/>
      <c r="AK1192" s="7" t="inlineStr">
        <is>
          <t>daniel-time-prophecies #19 (end)</t>
        </is>
      </c>
      <c r="AL1192" s="7" t="n"/>
      <c r="AM1192" s="7" t="n">
        <v>1918.4667</v>
      </c>
      <c r="AN1192" s="10" t="n"/>
      <c r="AO1192" s="10" t="n"/>
      <c r="AP1192" s="10" t="n"/>
      <c r="AQ1192" s="10" t="n"/>
    </row>
    <row r="1193">
      <c r="A1193" s="7" t="inlineStr">
        <is>
          <t>b12-0073</t>
        </is>
      </c>
      <c r="B1193" s="11" t="inlineStr">
        <is>
          <t>Span</t>
        </is>
      </c>
      <c r="C1193" s="7" t="inlineStr">
        <is>
          <t>imprisonment</t>
        </is>
      </c>
      <c r="D1193" s="7" t="inlineStr">
        <is>
          <t>July 4, 1918–March 26, 1919</t>
        </is>
      </c>
      <c r="E1193" s="7" t="n"/>
      <c r="F1193" s="7" t="inlineStr">
        <is>
          <t>1918 CE</t>
        </is>
      </c>
      <c r="G1193" s="7" t="inlineStr">
        <is>
          <t>Exact</t>
        </is>
      </c>
      <c r="H1193" s="7" t="inlineStr">
        <is>
          <t>1919 CE</t>
        </is>
      </c>
      <c r="I1193" s="7" t="inlineStr">
        <is>
          <t>Exact</t>
        </is>
      </c>
      <c r="J1193" s="7" t="n"/>
      <c r="K1193" s="2" t="inlineStr">
        <is>
          <t>Imprisonment of J. F. Rutherford and his associates</t>
        </is>
      </c>
      <c r="L1193" s="2" t="n"/>
      <c r="M1193" s="7" t="inlineStr">
        <is>
          <t>Convicted on false charges, Rutherford and seven associates were imprisoned in the federal penitentiary in Atlanta, Georgia, until they were released on bail in March 1919; the conviction was later reversed.</t>
        </is>
      </c>
      <c r="N1193" s="7" t="n"/>
      <c r="O1193" s="13" t="inlineStr">
        <is>
          <t>Jehovah's Witnesses</t>
        </is>
      </c>
      <c r="P1193" s="7" t="inlineStr">
        <is>
          <t>jw.persecution</t>
        </is>
      </c>
      <c r="Q1193" s="7" t="n"/>
      <c r="R1193" s="7" t="inlineStr">
        <is>
          <t>Joseph F. Rutherford; W. E. Van Amburgh; A. H. Macmillan; R. J. Martin; F. H. Robison; C. J. Woodworth; G. H. Fisher; G. DeCecca</t>
        </is>
      </c>
      <c r="S1193" s="7" t="inlineStr">
        <is>
          <t>Atlanta, Georgia</t>
        </is>
      </c>
      <c r="T1193" s="7" t="n"/>
      <c r="U1193" s="7" t="n"/>
      <c r="V1193" s="7" t="n">
        <v>2</v>
      </c>
      <c r="W1193" s="7" t="inlineStr">
        <is>
          <t>Dates (Calendar)</t>
        </is>
      </c>
      <c r="X1193" s="9" t="inlineStr">
        <is>
          <t>open</t>
        </is>
      </c>
      <c r="Y1193" s="7" t="n"/>
      <c r="Z1193" s="7" t="inlineStr">
        <is>
          <t>https://wol.jw.org/en/wol/d/r1/lp-e/1200271562
https://wol.jw.org/en/wol/d/r1/lp-e/1101993046</t>
        </is>
      </c>
      <c r="AA1193" s="7" t="n">
        <v>0</v>
      </c>
      <c r="AB1193" s="7" t="n"/>
      <c r="AC1193" s="7" t="n">
        <v>0</v>
      </c>
      <c r="AD1193" s="7" t="n"/>
      <c r="AE1193" s="7" t="n"/>
      <c r="AF1193" s="7" t="n"/>
      <c r="AG1193" s="7" t="inlineStr">
        <is>
          <t>b8-0123</t>
        </is>
      </c>
      <c r="AH1193" s="7" t="n"/>
      <c r="AI1193" s="7" t="n"/>
      <c r="AJ1193" s="7" t="n"/>
      <c r="AK1193" s="7" t="n"/>
      <c r="AL1193" s="7" t="n"/>
      <c r="AM1193" s="7" t="n">
        <v>1918.5082</v>
      </c>
      <c r="AN1193" s="10" t="n"/>
      <c r="AO1193" s="10" t="n"/>
      <c r="AP1193" s="10" t="n"/>
      <c r="AQ1193" s="10" t="n"/>
    </row>
    <row r="1194">
      <c r="A1194" s="7" t="inlineStr">
        <is>
          <t>b8-0118</t>
        </is>
      </c>
      <c r="B1194" s="7" t="inlineStr">
        <is>
          <t>Point</t>
        </is>
      </c>
      <c r="C1194" s="7" t="n"/>
      <c r="D1194" s="7" t="inlineStr">
        <is>
          <t>August 26, 1918</t>
        </is>
      </c>
      <c r="E1194" s="7" t="n"/>
      <c r="F1194" s="7" t="inlineStr">
        <is>
          <t>1918 CE</t>
        </is>
      </c>
      <c r="G1194" s="7" t="inlineStr">
        <is>
          <t>Exact</t>
        </is>
      </c>
      <c r="H1194" s="7" t="n"/>
      <c r="I1194" s="7" t="n"/>
      <c r="J1194" s="7" t="n"/>
      <c r="K1194" s="2" t="inlineStr">
        <is>
          <t>Brooklyn headquarters closed; operations moved to Pittsburgh</t>
        </is>
      </c>
      <c r="L1194" s="2" t="n"/>
      <c r="M1194" s="7" t="inlineStr">
        <is>
          <t>With the officers imprisoned and coal unavailable, the Brooklyn headquarters is closed and operations transferred back to Pittsburgh (119 Federal Street) for over a year.</t>
        </is>
      </c>
      <c r="N1194" s="7" t="n"/>
      <c r="O1194" s="13" t="inlineStr">
        <is>
          <t>Jehovah's Witnesses</t>
        </is>
      </c>
      <c r="P1194" s="7" t="inlineStr">
        <is>
          <t>jw.organization</t>
        </is>
      </c>
      <c r="Q1194" s="7" t="inlineStr">
        <is>
          <t>relocation</t>
        </is>
      </c>
      <c r="R1194" s="7" t="n"/>
      <c r="S1194" s="7" t="inlineStr">
        <is>
          <t>Pittsburgh</t>
        </is>
      </c>
      <c r="T1194" s="7" t="n"/>
      <c r="U1194" s="7" t="n"/>
      <c r="V1194" s="7" t="n">
        <v>3</v>
      </c>
      <c r="W1194" s="7" t="inlineStr">
        <is>
          <t>Noteworthy Events in the Modern-day History of Jehovah’s Witnesses</t>
        </is>
      </c>
      <c r="X1194" s="9" t="inlineStr">
        <is>
          <t>open</t>
        </is>
      </c>
      <c r="Y1194" s="7" t="n"/>
      <c r="Z1194" s="7" t="inlineStr">
        <is>
          <t>https://wol.jw.org/en/wol/d/r1/lp-e/1101993046
https://wol.jw.org/en/wol/d/r1/lp-e/1101993007
https://wol.jw.org/en/wol/d/r1/lp-e/1101993036</t>
        </is>
      </c>
      <c r="AA1194" s="7" t="n">
        <v>0</v>
      </c>
      <c r="AB1194" s="7" t="n"/>
      <c r="AC1194" s="7" t="n">
        <v>0</v>
      </c>
      <c r="AD1194" s="7" t="n"/>
      <c r="AE1194" s="7" t="n"/>
      <c r="AF1194" s="7" t="n"/>
      <c r="AG1194" s="7" t="n"/>
      <c r="AH1194" s="7" t="n"/>
      <c r="AI1194" s="7" t="inlineStr">
        <is>
          <t>Span endpoint – keep</t>
        </is>
      </c>
      <c r="AJ1194" s="7" t="inlineStr">
        <is>
          <t>start of Headquarters operations moved back to Pittsburgh (b12-0074)</t>
        </is>
      </c>
      <c r="AK1194" s="7" t="n"/>
      <c r="AL1194" s="7" t="n"/>
      <c r="AM1194" s="7" t="n">
        <v>1918.6458</v>
      </c>
      <c r="AN1194" s="10" t="n"/>
      <c r="AO1194" s="10" t="n"/>
      <c r="AP1194" s="10" t="n"/>
      <c r="AQ1194" s="10" t="n"/>
    </row>
    <row r="1195">
      <c r="A1195" s="7" t="inlineStr">
        <is>
          <t>b12-0074</t>
        </is>
      </c>
      <c r="B1195" s="11" t="inlineStr">
        <is>
          <t>Span</t>
        </is>
      </c>
      <c r="C1195" s="7" t="inlineStr">
        <is>
          <t>residence</t>
        </is>
      </c>
      <c r="D1195" s="7" t="inlineStr">
        <is>
          <t>August 26, 1918–October 1, 1919</t>
        </is>
      </c>
      <c r="E1195" s="7" t="n"/>
      <c r="F1195" s="7" t="inlineStr">
        <is>
          <t>1918 CE</t>
        </is>
      </c>
      <c r="G1195" s="7" t="inlineStr">
        <is>
          <t>Exact</t>
        </is>
      </c>
      <c r="H1195" s="7" t="inlineStr">
        <is>
          <t>1919 CE</t>
        </is>
      </c>
      <c r="I1195" s="7" t="inlineStr">
        <is>
          <t>Exact</t>
        </is>
      </c>
      <c r="J1195" s="7" t="n"/>
      <c r="K1195" s="2" t="inlineStr">
        <is>
          <t>Headquarters operations moved back to Pittsburgh</t>
        </is>
      </c>
      <c r="L1195" s="2" t="n"/>
      <c r="M1195" s="7" t="inlineStr">
        <is>
          <t>While Rutherford and his associates were imprisoned, the Brooklyn headquarters was closed and its operations were transferred back to Pittsburgh for over a year.</t>
        </is>
      </c>
      <c r="N1195" s="7" t="n"/>
      <c r="O1195" s="13" t="inlineStr">
        <is>
          <t>Jehovah's Witnesses</t>
        </is>
      </c>
      <c r="P1195" s="7" t="inlineStr">
        <is>
          <t>jw.organization</t>
        </is>
      </c>
      <c r="Q1195" s="7" t="n"/>
      <c r="R1195" s="7" t="n"/>
      <c r="S1195" s="7" t="inlineStr">
        <is>
          <t>Pittsburgh, Pennsylvania</t>
        </is>
      </c>
      <c r="T1195" s="7" t="n"/>
      <c r="U1195" s="7" t="n"/>
      <c r="V1195" s="7" t="n">
        <v>3</v>
      </c>
      <c r="W1195" s="7" t="inlineStr">
        <is>
          <t>Noteworthy Events in the Modern-day History of Jehovah’s Witnesses</t>
        </is>
      </c>
      <c r="X1195" s="9" t="inlineStr">
        <is>
          <t>open</t>
        </is>
      </c>
      <c r="Y1195" s="7" t="n"/>
      <c r="Z1195" s="7" t="inlineStr">
        <is>
          <t>https://wol.jw.org/en/wol/d/r1/lp-e/1101993046
https://wol.jw.org/en/wol/d/r1/lp-e/1200271562
https://wol.jw.org/en/wol/d/r1/lp-e/1200271562</t>
        </is>
      </c>
      <c r="AA1195" s="7" t="n">
        <v>0</v>
      </c>
      <c r="AB1195" s="7" t="n"/>
      <c r="AC1195" s="7" t="n">
        <v>0</v>
      </c>
      <c r="AD1195" s="7" t="n"/>
      <c r="AE1195" s="7" t="n"/>
      <c r="AF1195" s="7" t="inlineStr">
        <is>
          <t>b8-0118</t>
        </is>
      </c>
      <c r="AG1195" s="7" t="inlineStr">
        <is>
          <t>b8-0127</t>
        </is>
      </c>
      <c r="AH1195" s="7" t="n"/>
      <c r="AI1195" s="7" t="n"/>
      <c r="AJ1195" s="7" t="n"/>
      <c r="AK1195" s="7" t="n"/>
      <c r="AL1195" s="7" t="n"/>
      <c r="AM1195" s="7" t="n">
        <v>1918.6458</v>
      </c>
      <c r="AN1195" s="10" t="n"/>
      <c r="AO1195" s="10" t="n"/>
      <c r="AP1195" s="10" t="n"/>
      <c r="AQ1195" s="10" t="n"/>
    </row>
    <row r="1196">
      <c r="A1196" s="7" t="inlineStr">
        <is>
          <t>b17-0007</t>
        </is>
      </c>
      <c r="B1196" s="7" t="inlineStr">
        <is>
          <t>Point</t>
        </is>
      </c>
      <c r="C1196" s="7" t="n"/>
      <c r="D1196" s="7" t="inlineStr">
        <is>
          <t>by 1919</t>
        </is>
      </c>
      <c r="E1196" s="7" t="inlineStr">
        <is>
          <t>1919-ல்</t>
        </is>
      </c>
      <c r="F1196" s="7" t="inlineStr">
        <is>
          <t>1919 CE</t>
        </is>
      </c>
      <c r="G1196" s="7" t="inlineStr">
        <is>
          <t>Before (b.)</t>
        </is>
      </c>
      <c r="H1196" s="7" t="n"/>
      <c r="I1196" s="7" t="n"/>
      <c r="J1196" s="7" t="n"/>
      <c r="K1196" s="2" t="inlineStr">
        <is>
          <t>Babylon the Great evidently fallen</t>
        </is>
      </c>
      <c r="L1196" s="2" t="inlineStr">
        <is>
          <t>1919-ல் மகா பாபிலோன் வீழ்ந்துவிட்டது என்பது தெளிவாகத் தெரிந்தது</t>
        </is>
      </c>
      <c r="M1196" s="7" t="inlineStr">
        <is>
          <t>As the angels’ collecting of the weedlike Christians progressed after 1914, the distinction between true and imitation Christians became ever clearer. By 1919 it became evident that Babylon the Great had fallen.</t>
        </is>
      </c>
      <c r="N1196" s="7" t="inlineStr">
        <is>
          <t>களைகளைப் பிடுங்கப் பிடுங்க, இரண்டு வகுப்பாருக்கும் இடையிலுள்ள வித்தியாசம் பளிச்சென தெரிய ஆரம்பித்தது. (வெளி. 18:1, 4) 1919-ல் மகா பாபிலோன் வீழ்ந்துவிட்டது என்பது தெளிவாகத் தெரிந்தது.</t>
        </is>
      </c>
      <c r="O1196" s="8" t="inlineStr">
        <is>
          <t>Bible</t>
        </is>
      </c>
      <c r="P1196" s="7" t="inlineStr">
        <is>
          <t>bible.prophecy_fulfilled</t>
        </is>
      </c>
      <c r="Q1196" s="7" t="inlineStr">
        <is>
          <t>prophecy_fulfilled</t>
        </is>
      </c>
      <c r="R1196" s="7" t="n"/>
      <c r="S1196" s="7" t="n"/>
      <c r="T1196" s="7" t="inlineStr">
        <is>
          <t>Rev. 18:1, 4</t>
        </is>
      </c>
      <c r="U1196" s="7" t="inlineStr">
        <is>
          <t>வெளி. 18:1, 4</t>
        </is>
      </c>
      <c r="V1196" s="7" t="n">
        <v>1</v>
      </c>
      <c r="W1196" s="7" t="inlineStr">
        <is>
          <t>“Look! I Am With You All the Days”</t>
        </is>
      </c>
      <c r="X1196" s="9" t="inlineStr">
        <is>
          <t>open</t>
        </is>
      </c>
      <c r="Y1196" s="9" t="inlineStr">
        <is>
          <t>open</t>
        </is>
      </c>
      <c r="Z1196" s="7" t="inlineStr">
        <is>
          <t>https://wol.jw.org/en/wol/d/r1/lp-e/2013531</t>
        </is>
      </c>
      <c r="AA1196" s="7" t="n">
        <v>0</v>
      </c>
      <c r="AB1196" s="7" t="n"/>
      <c r="AC1196" s="7" t="n">
        <v>0</v>
      </c>
      <c r="AD1196" s="7" t="n"/>
      <c r="AE1196" s="7" t="n"/>
      <c r="AF1196" s="7" t="n"/>
      <c r="AG1196" s="7" t="n"/>
      <c r="AH1196" s="7" t="inlineStr">
        <is>
          <t>b12-0070</t>
        </is>
      </c>
      <c r="AI1196" s="7" t="n"/>
      <c r="AJ1196" s="7" t="n"/>
      <c r="AK1196" s="7" t="inlineStr">
        <is>
          <t>wheat-and-weeds #19 (fulfillment)</t>
        </is>
      </c>
      <c r="AL1196" s="7" t="inlineStr">
        <is>
          <t>English: 'By 1919' (precision 'before'); the Tamil edition says '1919-ல்' (in 1919).</t>
        </is>
      </c>
      <c r="AM1196" s="7" t="n">
        <v>1919</v>
      </c>
      <c r="AN1196" s="10" t="n"/>
      <c r="AO1196" s="10" t="n"/>
      <c r="AP1196" s="10" t="n"/>
      <c r="AQ1196" s="10" t="n"/>
    </row>
    <row r="1197">
      <c r="A1197" s="7" t="inlineStr">
        <is>
          <t>b8-0119</t>
        </is>
      </c>
      <c r="B1197" s="7" t="inlineStr">
        <is>
          <t>Point</t>
        </is>
      </c>
      <c r="C1197" s="7" t="n"/>
      <c r="D1197" s="7" t="inlineStr">
        <is>
          <t>1919</t>
        </is>
      </c>
      <c r="E1197" s="7" t="n"/>
      <c r="F1197" s="7" t="inlineStr">
        <is>
          <t>1919 CE</t>
        </is>
      </c>
      <c r="G1197" s="7" t="inlineStr">
        <is>
          <t>Exact</t>
        </is>
      </c>
      <c r="H1197" s="7" t="n"/>
      <c r="I1197" s="7" t="n"/>
      <c r="J1197" s="7" t="n"/>
      <c r="K1197" s="2" t="inlineStr">
        <is>
          <t>The Bulletin published to stimulate field service</t>
        </is>
      </c>
      <c r="L1197" s="2" t="n"/>
      <c r="M1197" s="7" t="inlineStr">
        <is>
          <t>The Bulletin (forerunner of Our Kingdom Ministry, later called Director and Informant) begins publication as a stimulus to field service.</t>
        </is>
      </c>
      <c r="N1197" s="7" t="n"/>
      <c r="O1197" s="13" t="inlineStr">
        <is>
          <t>Jehovah's Witnesses</t>
        </is>
      </c>
      <c r="P1197" s="7" t="inlineStr">
        <is>
          <t>jw.publication</t>
        </is>
      </c>
      <c r="Q1197" s="7" t="inlineStr">
        <is>
          <t>release</t>
        </is>
      </c>
      <c r="R1197" s="7" t="n"/>
      <c r="S1197" s="7" t="n"/>
      <c r="T1197" s="7" t="n"/>
      <c r="U1197" s="7" t="n"/>
      <c r="V1197" s="7" t="n">
        <v>2</v>
      </c>
      <c r="W1197" s="7" t="inlineStr">
        <is>
          <t>Noteworthy Events in the Modern-day History of Jehovah’s Witnesses</t>
        </is>
      </c>
      <c r="X1197" s="9" t="inlineStr">
        <is>
          <t>open</t>
        </is>
      </c>
      <c r="Y1197" s="7" t="n"/>
      <c r="Z1197" s="7" t="inlineStr">
        <is>
          <t>https://wol.jw.org/en/wol/d/r1/lp-e/1101993046
https://wol.jw.org/en/wol/d/r1/lp-e/1101993019</t>
        </is>
      </c>
      <c r="AA1197" s="7" t="n">
        <v>1</v>
      </c>
      <c r="AB1197" s="9" t="inlineStr">
        <is>
          <t>open</t>
        </is>
      </c>
      <c r="AC1197" s="7" t="n">
        <v>0</v>
      </c>
      <c r="AD1197" s="7" t="n"/>
      <c r="AE1197" s="7" t="n"/>
      <c r="AF1197" s="7" t="n"/>
      <c r="AG1197" s="7" t="n"/>
      <c r="AH1197" s="7" t="n"/>
      <c r="AI1197" s="7" t="n"/>
      <c r="AJ1197" s="7" t="n"/>
      <c r="AK1197" s="7" t="n"/>
      <c r="AL1197" s="7" t="n"/>
      <c r="AM1197" s="7" t="n">
        <v>1919</v>
      </c>
      <c r="AN1197" s="10" t="n"/>
      <c r="AO1197" s="10" t="n"/>
      <c r="AP1197" s="10" t="n"/>
      <c r="AQ1197" s="10" t="n"/>
    </row>
    <row r="1198">
      <c r="A1198" s="7" t="inlineStr">
        <is>
          <t>b8-0120</t>
        </is>
      </c>
      <c r="B1198" s="7" t="inlineStr">
        <is>
          <t>Point</t>
        </is>
      </c>
      <c r="C1198" s="7" t="n"/>
      <c r="D1198" s="7" t="inlineStr">
        <is>
          <t>1919</t>
        </is>
      </c>
      <c r="E1198" s="7" t="inlineStr">
        <is>
          <t>1919</t>
        </is>
      </c>
      <c r="F1198" s="7" t="inlineStr">
        <is>
          <t>1919 CE</t>
        </is>
      </c>
      <c r="G1198" s="7" t="inlineStr">
        <is>
          <t>Exact</t>
        </is>
      </c>
      <c r="H1198" s="7" t="n"/>
      <c r="I1198" s="7" t="n"/>
      <c r="J1198" s="7" t="n"/>
      <c r="K1198" s="2" t="inlineStr">
        <is>
          <t>Service director appointed in each congregation</t>
        </is>
      </c>
      <c r="L1198" s="2" t="n"/>
      <c r="M1198" s="7" t="inlineStr">
        <is>
          <t>In each congregation a service director is appointed theocratically by the branch office to organize field service, and field service begins to be reported weekly.</t>
        </is>
      </c>
      <c r="N1198" s="7" t="inlineStr">
        <is>
          <t>ஒவ்வொரு சபையிலும் ஊழிய வேலையை ஒழுங்கமைக்கவும் ஊழியத்தில் கலந்துகொள்ளும்படி சபையாரை உற்சாகப்படுத்தவும் சர்வீஸ் டைரக்டரை கிளை அலுவலகம் நியமித்தது. இந்த ஏற்பாட்டை சில மூப்பர்கள் ஆதரிக்கவில்லை.</t>
        </is>
      </c>
      <c r="O1198" s="13" t="inlineStr">
        <is>
          <t>Jehovah's Witnesses</t>
        </is>
      </c>
      <c r="P1198" s="7" t="inlineStr">
        <is>
          <t>jw.organization</t>
        </is>
      </c>
      <c r="Q1198" s="7" t="inlineStr">
        <is>
          <t>arrangement</t>
        </is>
      </c>
      <c r="R1198" s="7" t="n"/>
      <c r="S1198" s="7" t="n"/>
      <c r="T1198" s="7" t="n"/>
      <c r="U1198" s="7" t="n"/>
      <c r="V1198" s="7" t="n">
        <v>2</v>
      </c>
      <c r="W1198" s="7" t="inlineStr">
        <is>
          <t>Organized to Serve “the God of Peace”</t>
        </is>
      </c>
      <c r="X1198" s="9" t="inlineStr">
        <is>
          <t>open</t>
        </is>
      </c>
      <c r="Y1198" s="9" t="inlineStr">
        <is>
          <t>open</t>
        </is>
      </c>
      <c r="Z1198" s="7" t="inlineStr">
        <is>
          <t>https://wol.jw.org/en/wol/d/r1/lp-e/1102014251
https://wol.jw.org/en/wol/d/r1/lp-e/1101993018</t>
        </is>
      </c>
      <c r="AA1198" s="7" t="n">
        <v>0</v>
      </c>
      <c r="AB1198" s="7" t="n"/>
      <c r="AC1198" s="7" t="n">
        <v>0</v>
      </c>
      <c r="AD1198" s="7" t="n"/>
      <c r="AE1198" s="7" t="n"/>
      <c r="AF1198" s="7" t="n"/>
      <c r="AG1198" s="7" t="n"/>
      <c r="AH1198" s="7" t="n"/>
      <c r="AI1198" s="7" t="n"/>
      <c r="AJ1198" s="7" t="n"/>
      <c r="AK1198" s="7" t="n"/>
      <c r="AL1198" s="7" t="n"/>
      <c r="AM1198" s="7" t="n">
        <v>1919</v>
      </c>
      <c r="AN1198" s="10" t="n"/>
      <c r="AO1198" s="10" t="n"/>
      <c r="AP1198" s="10" t="n"/>
      <c r="AQ1198" s="10" t="n"/>
    </row>
    <row r="1199">
      <c r="A1199" s="7" t="inlineStr">
        <is>
          <t>b8-0121</t>
        </is>
      </c>
      <c r="B1199" s="7" t="inlineStr">
        <is>
          <t>Point</t>
        </is>
      </c>
      <c r="C1199" s="7" t="n"/>
      <c r="D1199" s="7" t="inlineStr">
        <is>
          <t>1919</t>
        </is>
      </c>
      <c r="E1199" s="7" t="n"/>
      <c r="F1199" s="7" t="inlineStr">
        <is>
          <t>1919 CE</t>
        </is>
      </c>
      <c r="G1199" s="7" t="inlineStr">
        <is>
          <t>Exact</t>
        </is>
      </c>
      <c r="H1199" s="7" t="n"/>
      <c r="I1199" s="7" t="n"/>
      <c r="J1199" s="7" t="n"/>
      <c r="K1199" s="2" t="inlineStr">
        <is>
          <t>1919 report: 5,793 preaching in 43 lands</t>
        </is>
      </c>
      <c r="L1199" s="2" t="n"/>
      <c r="M1199" s="7" t="inlineStr">
        <is>
          <t>The report for the year shows 5,793 Bible Students actively preaching in 43 lands, with Memorial attendance of 21,411.</t>
        </is>
      </c>
      <c r="N1199" s="7" t="n"/>
      <c r="O1199" s="13" t="inlineStr">
        <is>
          <t>Jehovah's Witnesses</t>
        </is>
      </c>
      <c r="P1199" s="7" t="inlineStr">
        <is>
          <t>jw.preaching</t>
        </is>
      </c>
      <c r="Q1199" s="7" t="inlineStr">
        <is>
          <t>statistic</t>
        </is>
      </c>
      <c r="R1199" s="7" t="n"/>
      <c r="S1199" s="7" t="n"/>
      <c r="T1199" s="7" t="n"/>
      <c r="U1199" s="7" t="n"/>
      <c r="V1199" s="7" t="n">
        <v>1</v>
      </c>
      <c r="W1199" s="7" t="inlineStr">
        <is>
          <t>Noteworthy Events in the Modern-day History of Jehovah’s Witnesses</t>
        </is>
      </c>
      <c r="X1199" s="9" t="inlineStr">
        <is>
          <t>open</t>
        </is>
      </c>
      <c r="Y1199" s="7" t="n"/>
      <c r="Z1199" s="7" t="inlineStr">
        <is>
          <t>https://wol.jw.org/en/wol/d/r1/lp-e/1101993046</t>
        </is>
      </c>
      <c r="AA1199" s="7" t="n">
        <v>0</v>
      </c>
      <c r="AB1199" s="7" t="n"/>
      <c r="AC1199" s="7" t="n">
        <v>0</v>
      </c>
      <c r="AD1199" s="7" t="n"/>
      <c r="AE1199" s="7" t="n"/>
      <c r="AF1199" s="7" t="n"/>
      <c r="AG1199" s="7" t="n"/>
      <c r="AH1199" s="7" t="n"/>
      <c r="AI1199" s="7" t="n"/>
      <c r="AJ1199" s="7" t="n"/>
      <c r="AK1199" s="7" t="n"/>
      <c r="AL1199" s="7" t="n"/>
      <c r="AM1199" s="7" t="n">
        <v>1919</v>
      </c>
      <c r="AN1199" s="10" t="n"/>
      <c r="AO1199" s="10" t="n"/>
      <c r="AP1199" s="10" t="n"/>
      <c r="AQ1199" s="10" t="n"/>
    </row>
    <row r="1200">
      <c r="A1200" s="7" t="inlineStr">
        <is>
          <t>b8-0122</t>
        </is>
      </c>
      <c r="B1200" s="7" t="inlineStr">
        <is>
          <t>Point</t>
        </is>
      </c>
      <c r="C1200" s="7" t="n"/>
      <c r="D1200" s="7" t="inlineStr">
        <is>
          <t>January 4, 1919</t>
        </is>
      </c>
      <c r="E1200" s="7" t="n"/>
      <c r="F1200" s="7" t="inlineStr">
        <is>
          <t>1919 CE</t>
        </is>
      </c>
      <c r="G1200" s="7" t="inlineStr">
        <is>
          <t>Exact</t>
        </is>
      </c>
      <c r="H1200" s="7" t="n"/>
      <c r="I1200" s="7" t="n"/>
      <c r="J1200" s="7" t="n"/>
      <c r="K1200" s="2" t="inlineStr">
        <is>
          <t>Rutherford reelected while in prison</t>
        </is>
      </c>
      <c r="L1200" s="2" t="n"/>
      <c r="M1200" s="7" t="inlineStr">
        <is>
          <t>At the annual meeting held with a convention in Pittsburgh (January 2-5, 1919), J. F. Rutherford is reelected president while imprisoned.</t>
        </is>
      </c>
      <c r="N1200" s="7" t="n"/>
      <c r="O1200" s="13" t="inlineStr">
        <is>
          <t>Jehovah's Witnesses</t>
        </is>
      </c>
      <c r="P1200" s="7" t="inlineStr">
        <is>
          <t>jw.leadership</t>
        </is>
      </c>
      <c r="Q1200" s="7" t="inlineStr">
        <is>
          <t>election</t>
        </is>
      </c>
      <c r="R1200" s="7" t="inlineStr">
        <is>
          <t>Joseph F. Rutherford</t>
        </is>
      </c>
      <c r="S1200" s="7" t="inlineStr">
        <is>
          <t>Pittsburgh</t>
        </is>
      </c>
      <c r="T1200" s="7" t="n"/>
      <c r="U1200" s="7" t="n"/>
      <c r="V1200" s="7" t="n">
        <v>1</v>
      </c>
      <c r="W1200" s="7" t="inlineStr">
        <is>
          <t>Advertise the King and the Kingdom! (1919-1941)</t>
        </is>
      </c>
      <c r="X1200" s="9" t="inlineStr">
        <is>
          <t>open</t>
        </is>
      </c>
      <c r="Y1200" s="7" t="n"/>
      <c r="Z1200" s="7" t="inlineStr">
        <is>
          <t>https://wol.jw.org/en/wol/d/r1/lp-e/1101993008</t>
        </is>
      </c>
      <c r="AA1200" s="7" t="n">
        <v>0</v>
      </c>
      <c r="AB1200" s="7" t="n"/>
      <c r="AC1200" s="7" t="n">
        <v>0</v>
      </c>
      <c r="AD1200" s="7" t="n"/>
      <c r="AE1200" s="7" t="n"/>
      <c r="AF1200" s="7" t="n"/>
      <c r="AG1200" s="7" t="n"/>
      <c r="AH1200" s="7" t="n"/>
      <c r="AI1200" s="7" t="n"/>
      <c r="AJ1200" s="7" t="n"/>
      <c r="AK1200" s="7" t="n"/>
      <c r="AL1200" s="7" t="n"/>
      <c r="AM1200" s="7" t="n">
        <v>1919.0075</v>
      </c>
      <c r="AN1200" s="10" t="n"/>
      <c r="AO1200" s="10" t="n"/>
      <c r="AP1200" s="10" t="n"/>
      <c r="AQ1200" s="10" t="n"/>
    </row>
    <row r="1201">
      <c r="A1201" s="7" t="inlineStr">
        <is>
          <t>b14-0005</t>
        </is>
      </c>
      <c r="B1201" s="7" t="inlineStr">
        <is>
          <t>Point</t>
        </is>
      </c>
      <c r="C1201" s="7" t="n"/>
      <c r="D1201" s="7" t="inlineStr">
        <is>
          <t>January 1919</t>
        </is>
      </c>
      <c r="E1201" s="7" t="inlineStr">
        <is>
          <t>ஜனவரி 1919</t>
        </is>
      </c>
      <c r="F1201" s="7" t="inlineStr">
        <is>
          <t>1919 CE</t>
        </is>
      </c>
      <c r="G1201" s="7" t="inlineStr">
        <is>
          <t>Exact</t>
        </is>
      </c>
      <c r="H1201" s="7" t="n"/>
      <c r="I1201" s="7" t="n"/>
      <c r="J1201" s="7" t="n"/>
      <c r="K1201" s="2" t="inlineStr">
        <is>
          <t>League of Nations officially proposed; the 1,290 days begin</t>
        </is>
      </c>
      <c r="L1201" s="2" t="inlineStr">
        <is>
          <t>ஜனவரி 1919-ல், சர்வதேச சங்கம் அதிகாரப்பூர்வமாய் முன்மொழியப்பட்டது.</t>
        </is>
      </c>
      <c r="M1201" s="7" t="inlineStr">
        <is>
          <t>The League of Nations, the first form of “the disgusting thing that is causing desolation,” was officially proposed in January 1919. With this, both conditions of Daniel 12:11 were met, so the 1,290 days began in early 1919.</t>
        </is>
      </c>
      <c r="N1201" s="7" t="inlineStr">
        <is>
          <t>ஜனவரி 1919-ல், சர்வதேச சங்கம் அதிகாரப்பூர்வமாய் முன்மொழியப்பட்டது.</t>
        </is>
      </c>
      <c r="O1201" s="8" t="inlineStr">
        <is>
          <t>Bible</t>
        </is>
      </c>
      <c r="P1201" s="7" t="inlineStr">
        <is>
          <t>bible.prophecy_fulfilled</t>
        </is>
      </c>
      <c r="Q1201" s="7" t="inlineStr">
        <is>
          <t>proposal</t>
        </is>
      </c>
      <c r="R1201" s="7" t="n"/>
      <c r="S1201" s="7" t="n"/>
      <c r="T1201" s="7" t="inlineStr">
        <is>
          <t>Dan. 11:31; Dan. 12:11</t>
        </is>
      </c>
      <c r="U1201" s="7" t="inlineStr">
        <is>
          <t>தானி. 11:31; தானி. 12:11</t>
        </is>
      </c>
      <c r="V1201" s="7" t="n">
        <v>1</v>
      </c>
      <c r="W1201" s="7" t="inlineStr">
        <is>
          <t>Identifying True Worshipers in the Time of the End</t>
        </is>
      </c>
      <c r="X1201" s="9" t="inlineStr">
        <is>
          <t>open</t>
        </is>
      </c>
      <c r="Y1201" s="9" t="inlineStr">
        <is>
          <t>open</t>
        </is>
      </c>
      <c r="Z1201" s="7" t="inlineStr">
        <is>
          <t>https://wol.jw.org/en/wol/d/r1/lp-e/1101999037</t>
        </is>
      </c>
      <c r="AA1201" s="7" t="n">
        <v>0</v>
      </c>
      <c r="AB1201" s="7" t="n"/>
      <c r="AC1201" s="7" t="n">
        <v>0</v>
      </c>
      <c r="AD1201" s="7" t="n"/>
      <c r="AE1201" s="7" t="n"/>
      <c r="AF1201" s="7" t="n"/>
      <c r="AG1201" s="7" t="n"/>
      <c r="AH1201" s="7" t="n"/>
      <c r="AI1201" s="7" t="n"/>
      <c r="AJ1201" s="7" t="n"/>
      <c r="AK1201" s="7" t="inlineStr">
        <is>
          <t>daniel-time-prophecies #21 (start); seven-heads-of-the-beast #19 (step)</t>
        </is>
      </c>
      <c r="AL1201" s="7" t="n"/>
      <c r="AM1201" s="7" t="n">
        <v>1919.04</v>
      </c>
      <c r="AN1201" s="10" t="n"/>
      <c r="AO1201" s="10" t="n"/>
      <c r="AP1201" s="10" t="n"/>
      <c r="AQ1201" s="10" t="n"/>
    </row>
    <row r="1202">
      <c r="A1202" s="7" t="inlineStr">
        <is>
          <t>b12-0075</t>
        </is>
      </c>
      <c r="B1202" s="11" t="inlineStr">
        <is>
          <t>Span</t>
        </is>
      </c>
      <c r="C1202" s="7" t="inlineStr">
        <is>
          <t>prophetic period</t>
        </is>
      </c>
      <c r="D1202" s="7" t="inlineStr">
        <is>
          <t>January 1919 to September 1922</t>
        </is>
      </c>
      <c r="E1202" s="7" t="inlineStr">
        <is>
          <t>ஜனவரி 1919 முதற்கொண்டு</t>
        </is>
      </c>
      <c r="F1202" s="7" t="inlineStr">
        <is>
          <t>1919 CE</t>
        </is>
      </c>
      <c r="G1202" s="7" t="inlineStr">
        <is>
          <t>Exact</t>
        </is>
      </c>
      <c r="H1202" s="7" t="inlineStr">
        <is>
          <t>1922 CE</t>
        </is>
      </c>
      <c r="I1202" s="7" t="inlineStr">
        <is>
          <t>Exact</t>
        </is>
      </c>
      <c r="J1202" s="7" t="inlineStr">
        <is>
          <t>1,290 days</t>
        </is>
      </c>
      <c r="K1202" s="2" t="inlineStr">
        <is>
          <t>The 1,290 days of Daniel 12:11</t>
        </is>
      </c>
      <c r="L1202" s="2" t="inlineStr">
        <is>
          <t>1,290 நாட்கள்</t>
        </is>
      </c>
      <c r="M1202" s="7" t="inlineStr">
        <is>
          <t>The 1,290 days began in early 1919, when the League of Nations was proposed, and ran until the autumn of 1922; during them the anointed awakened and progressed spiritually.</t>
        </is>
      </c>
      <c r="N1202" s="7" t="inlineStr">
        <is>
          <t>ஆகவே 1,290 நாட்கள், 1919-ன் ஆரம்பத்தில் துவங்கி, 1922-ன் (வட அரைகோள) இலையுதிர்காலம் வரை நீடித்தன.</t>
        </is>
      </c>
      <c r="O1202" s="8" t="inlineStr">
        <is>
          <t>Bible</t>
        </is>
      </c>
      <c r="P1202" s="7" t="inlineStr">
        <is>
          <t>bible.prophecy_fulfilled</t>
        </is>
      </c>
      <c r="Q1202" s="7" t="n"/>
      <c r="R1202" s="7" t="n"/>
      <c r="S1202" s="7" t="n"/>
      <c r="T1202" s="7" t="inlineStr">
        <is>
          <t>Dan. 12:11</t>
        </is>
      </c>
      <c r="U1202" s="7" t="inlineStr">
        <is>
          <t>தானி. 12:11</t>
        </is>
      </c>
      <c r="V1202" s="7" t="n">
        <v>2</v>
      </c>
      <c r="W1202" s="7" t="inlineStr">
        <is>
          <t>Identifying True Worshipers in the Time of the End</t>
        </is>
      </c>
      <c r="X1202" s="9" t="inlineStr">
        <is>
          <t>open</t>
        </is>
      </c>
      <c r="Y1202" s="9" t="inlineStr">
        <is>
          <t>open</t>
        </is>
      </c>
      <c r="Z1202" s="7" t="inlineStr">
        <is>
          <t>https://wol.jw.org/en/wol/d/r1/lp-e/1101999037
https://wol.jw.org/en/wol/d/r1/lp-e/1101999037</t>
        </is>
      </c>
      <c r="AA1202" s="7" t="n">
        <v>0</v>
      </c>
      <c r="AB1202" s="7" t="n"/>
      <c r="AC1202" s="7" t="n">
        <v>0</v>
      </c>
      <c r="AD1202" s="7" t="n"/>
      <c r="AE1202" s="7" t="n"/>
      <c r="AF1202" s="7" t="n"/>
      <c r="AG1202" s="7" t="n"/>
      <c r="AH1202" s="7" t="n"/>
      <c r="AI1202" s="7" t="n"/>
      <c r="AJ1202" s="7" t="n"/>
      <c r="AK1202" s="7" t="inlineStr">
        <is>
          <t>daniel-time-prophecies #20 (item)</t>
        </is>
      </c>
      <c r="AL1202" s="7" t="n"/>
      <c r="AM1202" s="7" t="n">
        <v>1919.05</v>
      </c>
      <c r="AN1202" s="10" t="n"/>
      <c r="AO1202" s="10" t="n"/>
      <c r="AP1202" s="10" t="n"/>
      <c r="AQ1202" s="10" t="n"/>
    </row>
    <row r="1203">
      <c r="A1203" s="7" t="inlineStr">
        <is>
          <t>b10-0006</t>
        </is>
      </c>
      <c r="B1203" s="7" t="inlineStr">
        <is>
          <t>Point</t>
        </is>
      </c>
      <c r="C1203" s="7" t="n"/>
      <c r="D1203" s="7" t="inlineStr">
        <is>
          <t>early 1919</t>
        </is>
      </c>
      <c r="E1203" s="7" t="inlineStr">
        <is>
          <t>1919</t>
        </is>
      </c>
      <c r="F1203" s="7" t="inlineStr">
        <is>
          <t>1919 CE</t>
        </is>
      </c>
      <c r="G1203" s="7" t="inlineStr">
        <is>
          <t>Exact</t>
        </is>
      </c>
      <c r="H1203" s="7" t="n"/>
      <c r="I1203" s="7" t="n"/>
      <c r="J1203" s="7" t="n"/>
      <c r="K1203" s="2" t="inlineStr">
        <is>
          <t>Faithful Bible Students revived after the 1918 test</t>
        </is>
      </c>
      <c r="L1203" s="2" t="n"/>
      <c r="M1203" s="7" t="inlineStr">
        <is>
          <t>After the 1918 imprisonment of J. F. Rutherford and seven associates made the work seem paralyzed and the clergy thought the Bible Students 'dead,' God's spirit revived the faithful ones from early in 1919, fulfilling Revelation 11:11.</t>
        </is>
      </c>
      <c r="N1203" s="7" t="inlineStr">
        <is>
          <t>எது நடக்கவே நடக்காது என்று எதிரிகள் நினைத்தார்களோ அது 1919-ல் நடக்க ஆரம்பித்தது; கடவுளுடைய சக்தியினால் உண்மையுள்ளவர்கள் புத்துயிர் பெற்றார்கள்!</t>
        </is>
      </c>
      <c r="O1203" s="8" t="inlineStr">
        <is>
          <t>Bible</t>
        </is>
      </c>
      <c r="P1203" s="7" t="inlineStr">
        <is>
          <t>bible.prophecy_fulfilled</t>
        </is>
      </c>
      <c r="Q1203" s="7" t="inlineStr">
        <is>
          <t>prophecy_fulfilled</t>
        </is>
      </c>
      <c r="R1203" s="7" t="inlineStr">
        <is>
          <t>J. F. Rutherford</t>
        </is>
      </c>
      <c r="S1203" s="7" t="n"/>
      <c r="T1203" s="7" t="inlineStr">
        <is>
          <t>Rev. 11:3; Rev. 11:7-10; Rev. 11:11</t>
        </is>
      </c>
      <c r="U1203" s="7" t="inlineStr">
        <is>
          <t>வெளி. 11:3; வெளி. 11:11</t>
        </is>
      </c>
      <c r="V1203" s="7" t="n">
        <v>2</v>
      </c>
      <c r="W1203" s="7" t="inlineStr">
        <is>
          <t>The Kingdom Is Born in Heaven</t>
        </is>
      </c>
      <c r="X1203" s="9" t="inlineStr">
        <is>
          <t>open</t>
        </is>
      </c>
      <c r="Y1203" s="9" t="inlineStr">
        <is>
          <t>open</t>
        </is>
      </c>
      <c r="Z1203" s="7" t="inlineStr">
        <is>
          <t>https://wol.jw.org/en/wol/d/r1/lp-e/1102014241
https://wol.jw.org/en/wol/d/r1/lp-e/1102014241</t>
        </is>
      </c>
      <c r="AA1203" s="7" t="n">
        <v>1</v>
      </c>
      <c r="AB1203" s="9" t="inlineStr">
        <is>
          <t>open</t>
        </is>
      </c>
      <c r="AC1203" s="7" t="n">
        <v>0</v>
      </c>
      <c r="AD1203" s="7" t="n"/>
      <c r="AE1203" s="7" t="n"/>
      <c r="AF1203" s="7" t="n"/>
      <c r="AG1203" s="7" t="n"/>
      <c r="AH1203" s="7" t="n"/>
      <c r="AI1203" s="7" t="n"/>
      <c r="AJ1203" s="7" t="n"/>
      <c r="AK1203" s="7" t="n"/>
      <c r="AL1203" s="7" t="n"/>
      <c r="AM1203" s="7" t="n">
        <v>1919.1</v>
      </c>
      <c r="AN1203" s="10" t="n"/>
      <c r="AO1203" s="10" t="n"/>
      <c r="AP1203" s="10" t="n"/>
      <c r="AQ1203" s="10" t="n"/>
    </row>
    <row r="1204">
      <c r="A1204" s="7" t="inlineStr">
        <is>
          <t>b10-0007</t>
        </is>
      </c>
      <c r="B1204" s="7" t="inlineStr">
        <is>
          <t>Point</t>
        </is>
      </c>
      <c r="C1204" s="7" t="n"/>
      <c r="D1204" s="7" t="inlineStr">
        <is>
          <t>1919</t>
        </is>
      </c>
      <c r="E1204" s="7" t="inlineStr">
        <is>
          <t>1919</t>
        </is>
      </c>
      <c r="F1204" s="7" t="inlineStr">
        <is>
          <t>1919 CE</t>
        </is>
      </c>
      <c r="G1204" s="7" t="inlineStr">
        <is>
          <t>Exact</t>
        </is>
      </c>
      <c r="H1204" s="7" t="n"/>
      <c r="I1204" s="7" t="n"/>
      <c r="J1204" s="7" t="n"/>
      <c r="K1204" s="2" t="inlineStr">
        <is>
          <t>Christ appoints the faithful and discreet slave over his domestics</t>
        </is>
      </c>
      <c r="L1204" s="2" t="n"/>
      <c r="M1204" s="7" t="inlineStr">
        <is>
          <t>In 1919, a time of spiritual revival, Jesus selected capable anointed brothers from among the refined Bible Students to be 'the faithful and discreet slave,' appointing them over his domestics to provide spiritual food at the proper time.</t>
        </is>
      </c>
      <c r="N1204" s="7" t="inlineStr">
        <is>
          <t>1919-ல், அவர்களிலிருந்து தகுதியுள்ள பரலோக நம்பிக்கையுள்ள சகோதரர்களை இயேசு உண்மையும் விவேகமும் உள்ள அடிமையாகத் தேர்ந்தெடுத்து தம் வீட்டார் மீது நியமித்தார்.</t>
        </is>
      </c>
      <c r="O1204" s="8" t="inlineStr">
        <is>
          <t>Bible</t>
        </is>
      </c>
      <c r="P1204" s="7" t="inlineStr">
        <is>
          <t>bible.prophecy_fulfilled</t>
        </is>
      </c>
      <c r="Q1204" s="7" t="inlineStr">
        <is>
          <t>appointment</t>
        </is>
      </c>
      <c r="R1204" s="7" t="inlineStr">
        <is>
          <t>Jesus Christ</t>
        </is>
      </c>
      <c r="S1204" s="7" t="n"/>
      <c r="T1204" s="7" t="inlineStr">
        <is>
          <t>Matt. 24:45-47; Mal. 3:1</t>
        </is>
      </c>
      <c r="U1204" s="7" t="inlineStr">
        <is>
          <t>மத். 24:45-47; மல். 3:1</t>
        </is>
      </c>
      <c r="V1204" s="7" t="n">
        <v>2</v>
      </c>
      <c r="W1204" s="7" t="inlineStr">
        <is>
          <t>“Who Really Is the Faithful and Discreet Slave?”</t>
        </is>
      </c>
      <c r="X1204" s="9" t="inlineStr">
        <is>
          <t>open</t>
        </is>
      </c>
      <c r="Y1204" s="9" t="inlineStr">
        <is>
          <t>open</t>
        </is>
      </c>
      <c r="Z1204" s="7" t="inlineStr">
        <is>
          <t>https://wol.jw.org/en/wol/d/r1/lp-e/2013533
https://wol.jw.org/en/wol/d/r1/lp-e/1102014241</t>
        </is>
      </c>
      <c r="AA1204" s="7" t="n">
        <v>0</v>
      </c>
      <c r="AB1204" s="7" t="n"/>
      <c r="AC1204" s="7" t="n">
        <v>1</v>
      </c>
      <c r="AD1204" s="7" t="inlineStr">
        <is>
          <t>w13 7/15 par. 3 records the earlier understanding (slave appointed over domestics at Pentecost 33 C.E., over 'all his belongings' in 1919) and clarifies it: appointment over domestics in 1919; appointment over all belongings still future, at Christ's coming during the great tribulation.</t>
        </is>
      </c>
      <c r="AE1204" s="7" t="n"/>
      <c r="AF1204" s="7" t="n"/>
      <c r="AG1204" s="7" t="n"/>
      <c r="AH1204" s="7" t="n"/>
      <c r="AI1204" s="7" t="n"/>
      <c r="AJ1204" s="7" t="n"/>
      <c r="AK1204" s="7" t="inlineStr">
        <is>
          <t>wheat-and-weeds #22 (context)</t>
        </is>
      </c>
      <c r="AL1204" s="7" t="n"/>
      <c r="AM1204" s="7" t="n">
        <v>1919.2</v>
      </c>
      <c r="AN1204" s="10" t="n"/>
      <c r="AO1204" s="10" t="n"/>
      <c r="AP1204" s="10" t="n"/>
      <c r="AQ1204" s="10" t="n"/>
    </row>
    <row r="1205">
      <c r="A1205" s="7" t="inlineStr">
        <is>
          <t>b8-0123</t>
        </is>
      </c>
      <c r="B1205" s="7" t="inlineStr">
        <is>
          <t>Point</t>
        </is>
      </c>
      <c r="C1205" s="7" t="n"/>
      <c r="D1205" s="7" t="inlineStr">
        <is>
          <t>March 26, 1919</t>
        </is>
      </c>
      <c r="E1205" s="7" t="inlineStr">
        <is>
          <t>மார்ச் 26, 1919</t>
        </is>
      </c>
      <c r="F1205" s="7" t="inlineStr">
        <is>
          <t>1919 CE</t>
        </is>
      </c>
      <c r="G1205" s="7" t="inlineStr">
        <is>
          <t>Exact</t>
        </is>
      </c>
      <c r="H1205" s="7" t="n"/>
      <c r="I1205" s="7" t="n"/>
      <c r="J1205" s="7" t="n"/>
      <c r="K1205" s="2" t="inlineStr">
        <is>
          <t>Society’s officers released on bail</t>
        </is>
      </c>
      <c r="L1205" s="2" t="n"/>
      <c r="M1205" s="7" t="inlineStr">
        <is>
          <t>Rutherford and his associates are released from prison on bail in Brooklyn, the appeals court having ordered bail on March 21.</t>
        </is>
      </c>
      <c r="N1205" s="7" t="inlineStr">
        <is>
          <t>சகோதரர் ரதர்ஃபர்டும் மற்ற சகோதரர்களும் மார்ச் 26, 1919-ல் சிறையிலிருந்து விடுதலை செய்யப்பட்டார்கள்.</t>
        </is>
      </c>
      <c r="O1205" s="13" t="inlineStr">
        <is>
          <t>Jehovah's Witnesses</t>
        </is>
      </c>
      <c r="P1205" s="7" t="inlineStr">
        <is>
          <t>jw.legal</t>
        </is>
      </c>
      <c r="Q1205" s="7" t="inlineStr">
        <is>
          <t>release</t>
        </is>
      </c>
      <c r="R1205" s="7" t="inlineStr">
        <is>
          <t>Joseph F. Rutherford</t>
        </is>
      </c>
      <c r="S1205" s="7" t="n"/>
      <c r="T1205" s="7" t="n"/>
      <c r="U1205" s="7" t="n"/>
      <c r="V1205" s="7" t="n">
        <v>4</v>
      </c>
      <c r="W1205" s="7" t="inlineStr">
        <is>
          <t>Noteworthy Events in the Modern-day History of Jehovah’s Witnesses</t>
        </is>
      </c>
      <c r="X1205" s="9" t="inlineStr">
        <is>
          <t>open</t>
        </is>
      </c>
      <c r="Y1205" s="7" t="n"/>
      <c r="Z1205" s="7" t="inlineStr">
        <is>
          <t>https://wol.jw.org/en/wol/d/r1/lp-e/1101993046
https://wol.jw.org/en/wol/d/r1/lp-e/1102014241
https://wol.jw.org/en/wol/d/r1/lp-e/1101993040
https://wol.jw.org/en/wol/d/r1/lp-e/301975003</t>
        </is>
      </c>
      <c r="AA1205" s="7" t="n">
        <v>0</v>
      </c>
      <c r="AB1205" s="7" t="n"/>
      <c r="AC1205" s="7" t="n">
        <v>0</v>
      </c>
      <c r="AD1205" s="7" t="n"/>
      <c r="AE1205" s="7" t="n"/>
      <c r="AF1205" s="7" t="n"/>
      <c r="AG1205" s="7" t="n"/>
      <c r="AH1205" s="7" t="n"/>
      <c r="AI1205" s="7" t="inlineStr">
        <is>
          <t>Span endpoint – keep</t>
        </is>
      </c>
      <c r="AJ1205" s="7" t="inlineStr">
        <is>
          <t>end of Imprisonment of J. F. Rutherford and his associates (b12-0073)</t>
        </is>
      </c>
      <c r="AK1205" s="7" t="n"/>
      <c r="AL1205" s="7" t="n"/>
      <c r="AM1205" s="7" t="n">
        <v>1919.2292</v>
      </c>
      <c r="AN1205" s="10" t="n"/>
      <c r="AO1205" s="10" t="n"/>
      <c r="AP1205" s="10" t="n"/>
      <c r="AQ1205" s="10" t="n"/>
    </row>
    <row r="1206">
      <c r="A1206" s="7" t="inlineStr">
        <is>
          <t>b8-0124</t>
        </is>
      </c>
      <c r="B1206" s="7" t="inlineStr">
        <is>
          <t>Point</t>
        </is>
      </c>
      <c r="C1206" s="7" t="n"/>
      <c r="D1206" s="7" t="inlineStr">
        <is>
          <t>May 4, 1919</t>
        </is>
      </c>
      <c r="E1206" s="7" t="n"/>
      <c r="F1206" s="7" t="inlineStr">
        <is>
          <t>1919 CE</t>
        </is>
      </c>
      <c r="G1206" s="7" t="inlineStr">
        <is>
          <t>Exact</t>
        </is>
      </c>
      <c r="H1206" s="7" t="n"/>
      <c r="I1206" s="7" t="n"/>
      <c r="J1206" s="7" t="n"/>
      <c r="K1206" s="2" t="inlineStr">
        <is>
          <t>Public lecture “The Hope for Distressed Humanity” in Los Angeles</t>
        </is>
      </c>
      <c r="L1206" s="2" t="n"/>
      <c r="M1206" s="7" t="inlineStr">
        <is>
          <t>As a test of whether the work can be revived, Rutherford gives the lecture “The Hope for Distressed Humanity” at Clune’s Auditorium, Los Angeles; the crowd cannot all fit in and it is repeated.</t>
        </is>
      </c>
      <c r="N1206" s="7" t="n"/>
      <c r="O1206" s="13" t="inlineStr">
        <is>
          <t>Jehovah's Witnesses</t>
        </is>
      </c>
      <c r="P1206" s="7" t="inlineStr">
        <is>
          <t>jw.preaching</t>
        </is>
      </c>
      <c r="Q1206" s="7" t="inlineStr">
        <is>
          <t>discourse</t>
        </is>
      </c>
      <c r="R1206" s="7" t="inlineStr">
        <is>
          <t>Joseph F. Rutherford</t>
        </is>
      </c>
      <c r="S1206" s="7" t="inlineStr">
        <is>
          <t>Los Angeles</t>
        </is>
      </c>
      <c r="T1206" s="7" t="n"/>
      <c r="U1206" s="7" t="n"/>
      <c r="V1206" s="7" t="n">
        <v>3</v>
      </c>
      <c r="W1206" s="7" t="inlineStr">
        <is>
          <t>Noteworthy Events in the Modern-day History of Jehovah’s Witnesses</t>
        </is>
      </c>
      <c r="X1206" s="9" t="inlineStr">
        <is>
          <t>open</t>
        </is>
      </c>
      <c r="Y1206" s="7" t="n"/>
      <c r="Z1206" s="7" t="inlineStr">
        <is>
          <t>https://wol.jw.org/en/wol/d/r1/lp-e/1101993046
https://wol.jw.org/en/wol/d/r1/lp-e/1101993008
https://wol.jw.org/en/wol/d/r1/lp-e/301975003</t>
        </is>
      </c>
      <c r="AA1206" s="7" t="n">
        <v>0</v>
      </c>
      <c r="AB1206" s="7" t="n"/>
      <c r="AC1206" s="7" t="n">
        <v>0</v>
      </c>
      <c r="AD1206" s="7" t="n"/>
      <c r="AE1206" s="7" t="n"/>
      <c r="AF1206" s="7" t="n"/>
      <c r="AG1206" s="7" t="n"/>
      <c r="AH1206" s="7" t="n"/>
      <c r="AI1206" s="7" t="n"/>
      <c r="AJ1206" s="7" t="n"/>
      <c r="AK1206" s="7" t="n"/>
      <c r="AL1206" s="7" t="n"/>
      <c r="AM1206" s="7" t="n">
        <v>1919.3408</v>
      </c>
      <c r="AN1206" s="10" t="n"/>
      <c r="AO1206" s="10" t="n"/>
      <c r="AP1206" s="10" t="n"/>
      <c r="AQ1206" s="10" t="n"/>
    </row>
    <row r="1207">
      <c r="A1207" s="7" t="inlineStr">
        <is>
          <t>b8-0125</t>
        </is>
      </c>
      <c r="B1207" s="7" t="inlineStr">
        <is>
          <t>Point</t>
        </is>
      </c>
      <c r="C1207" s="7" t="n"/>
      <c r="D1207" s="7" t="inlineStr">
        <is>
          <t>May 14, 1919</t>
        </is>
      </c>
      <c r="E1207" s="7" t="n"/>
      <c r="F1207" s="7" t="inlineStr">
        <is>
          <t>1919 CE</t>
        </is>
      </c>
      <c r="G1207" s="7" t="inlineStr">
        <is>
          <t>Exact</t>
        </is>
      </c>
      <c r="H1207" s="7" t="n"/>
      <c r="I1207" s="7" t="n"/>
      <c r="J1207" s="7" t="n"/>
      <c r="K1207" s="2" t="inlineStr">
        <is>
          <t>Court of appeals reverses the convictions</t>
        </is>
      </c>
      <c r="L1207" s="2" t="n"/>
      <c r="M1207" s="7" t="inlineStr">
        <is>
          <t>The U.S. court of appeals reverses the lower court’s decision against the Society’s officers and orders a new trial.</t>
        </is>
      </c>
      <c r="N1207" s="7" t="n"/>
      <c r="O1207" s="13" t="inlineStr">
        <is>
          <t>Jehovah's Witnesses</t>
        </is>
      </c>
      <c r="P1207" s="7" t="inlineStr">
        <is>
          <t>jw.legal</t>
        </is>
      </c>
      <c r="Q1207" s="7" t="inlineStr">
        <is>
          <t>court_ruling</t>
        </is>
      </c>
      <c r="R1207" s="7" t="n"/>
      <c r="S1207" s="7" t="n"/>
      <c r="T1207" s="7" t="n"/>
      <c r="U1207" s="7" t="n"/>
      <c r="V1207" s="7" t="n">
        <v>3</v>
      </c>
      <c r="W1207" s="7" t="inlineStr">
        <is>
          <t>Noteworthy Events in the Modern-day History of Jehovah’s Witnesses</t>
        </is>
      </c>
      <c r="X1207" s="9" t="inlineStr">
        <is>
          <t>open</t>
        </is>
      </c>
      <c r="Y1207" s="7" t="n"/>
      <c r="Z1207" s="7" t="inlineStr">
        <is>
          <t>https://wol.jw.org/en/wol/d/r1/lp-e/1101993046
https://www.jw.org/en/news/region/united-states/historic-milestones-united-states/
https://wol.jw.org/en/wol/d/r1/lp-e/301975003</t>
        </is>
      </c>
      <c r="AA1207" s="7" t="n">
        <v>0</v>
      </c>
      <c r="AB1207" s="7" t="n"/>
      <c r="AC1207" s="7" t="n">
        <v>0</v>
      </c>
      <c r="AD1207" s="7" t="n"/>
      <c r="AE1207" s="7" t="n"/>
      <c r="AF1207" s="7" t="n"/>
      <c r="AG1207" s="7" t="n"/>
      <c r="AH1207" s="7" t="n"/>
      <c r="AI1207" s="7" t="n"/>
      <c r="AJ1207" s="7" t="n"/>
      <c r="AK1207" s="7" t="n"/>
      <c r="AL1207" s="7" t="n"/>
      <c r="AM1207" s="7" t="n">
        <v>1919.3658</v>
      </c>
      <c r="AN1207" s="10" t="n"/>
      <c r="AO1207" s="10" t="n"/>
      <c r="AP1207" s="10" t="n"/>
      <c r="AQ1207" s="10" t="n"/>
    </row>
    <row r="1208">
      <c r="A1208" s="7" t="inlineStr">
        <is>
          <t>b17-0008</t>
        </is>
      </c>
      <c r="B1208" s="7" t="inlineStr">
        <is>
          <t>Point</t>
        </is>
      </c>
      <c r="C1208" s="7" t="n"/>
      <c r="D1208" s="7" t="inlineStr">
        <is>
          <t>1919</t>
        </is>
      </c>
      <c r="E1208" s="7" t="inlineStr">
        <is>
          <t>1919</t>
        </is>
      </c>
      <c r="F1208" s="7" t="inlineStr">
        <is>
          <t>1919 CE</t>
        </is>
      </c>
      <c r="G1208" s="7" t="inlineStr">
        <is>
          <t>Exact</t>
        </is>
      </c>
      <c r="H1208" s="7" t="n"/>
      <c r="I1208" s="7" t="n"/>
      <c r="J1208" s="7" t="n"/>
      <c r="K1208" s="2" t="inlineStr">
        <is>
          <t>Pamphlet To Whom the Work Is Entrusted urges house-to-house preaching</t>
        </is>
      </c>
      <c r="L1208" s="2" t="inlineStr">
        <is>
          <t>யாரிடம் இந்த வேலை ஒப்படைக்கப்பட்டிருக்கிறது (ஆங்கிலம்) என்ற கைப்பிரதி</t>
        </is>
      </c>
      <c r="M1208" s="7" t="inlineStr">
        <is>
          <t>The pamphlet To Whom the Work Is Entrusted, published in 1919, urged all anointed Christians to preach from house to house. The preaching work especially set true Christians apart from imitation ones, and house-to-house preaching became their hallmark.</t>
        </is>
      </c>
      <c r="N1208" s="7" t="inlineStr">
        <is>
          <t>உதாரணத்திற்கு, 1919-ல் பிரசுரிக்கப்பட்ட யாரிடம் இந்த வேலை ஒப்படைக்கப்பட்டிருக்கிறது (ஆங்கிலம்) என்ற கைப்பிரதி பரலோக நம்பிக்கையுள்ள கிறிஸ்தவர்கள் எல்லோரையும் வீட்டுக்கு வீடு ஊழியத்தில் ஈடுபட உந்துவித்தது.</t>
        </is>
      </c>
      <c r="O1208" s="13" t="inlineStr">
        <is>
          <t>Jehovah's Witnesses</t>
        </is>
      </c>
      <c r="P1208" s="7" t="inlineStr">
        <is>
          <t>jw.publication</t>
        </is>
      </c>
      <c r="Q1208" s="7" t="inlineStr">
        <is>
          <t>release</t>
        </is>
      </c>
      <c r="R1208" s="7" t="n"/>
      <c r="S1208" s="7" t="n"/>
      <c r="T1208" s="7" t="n"/>
      <c r="U1208" s="7" t="n"/>
      <c r="V1208" s="7" t="n">
        <v>1</v>
      </c>
      <c r="W1208" s="7" t="inlineStr">
        <is>
          <t>“Look! I Am With You All the Days”</t>
        </is>
      </c>
      <c r="X1208" s="9" t="inlineStr">
        <is>
          <t>open</t>
        </is>
      </c>
      <c r="Y1208" s="9" t="inlineStr">
        <is>
          <t>open</t>
        </is>
      </c>
      <c r="Z1208" s="7" t="inlineStr">
        <is>
          <t>https://wol.jw.org/en/wol/d/r1/lp-e/2013531</t>
        </is>
      </c>
      <c r="AA1208" s="7" t="n">
        <v>0</v>
      </c>
      <c r="AB1208" s="7" t="n"/>
      <c r="AC1208" s="7" t="n">
        <v>0</v>
      </c>
      <c r="AD1208" s="7" t="n"/>
      <c r="AE1208" s="7" t="n"/>
      <c r="AF1208" s="7" t="n"/>
      <c r="AG1208" s="7" t="n"/>
      <c r="AH1208" s="7" t="n"/>
      <c r="AI1208" s="7" t="n"/>
      <c r="AJ1208" s="7" t="n"/>
      <c r="AK1208" s="7" t="inlineStr">
        <is>
          <t>wheat-and-weeds #20 (step)</t>
        </is>
      </c>
      <c r="AL1208" s="7" t="inlineStr">
        <is>
          <t>The article adds that The Watch Tower reported in 1922 that the Bible Students had stepped up their preaching from that time onward.</t>
        </is>
      </c>
      <c r="AM1208" s="7" t="n">
        <v>1919.4</v>
      </c>
      <c r="AN1208" s="10" t="n"/>
      <c r="AO1208" s="10" t="n"/>
      <c r="AP1208" s="10" t="n"/>
      <c r="AQ1208" s="10" t="n"/>
    </row>
    <row r="1209">
      <c r="A1209" s="7" t="inlineStr">
        <is>
          <t>b17-0009</t>
        </is>
      </c>
      <c r="B1209" s="11" t="inlineStr">
        <is>
          <t>Span</t>
        </is>
      </c>
      <c r="C1209" s="7" t="inlineStr">
        <is>
          <t>prophetic period</t>
        </is>
      </c>
      <c r="D1209" s="7" t="inlineStr">
        <is>
          <t>1919–</t>
        </is>
      </c>
      <c r="E1209" s="7" t="inlineStr">
        <is>
          <t>1919 முதற்கொண்டு</t>
        </is>
      </c>
      <c r="F1209" s="7" t="inlineStr">
        <is>
          <t>1919 CE</t>
        </is>
      </c>
      <c r="G1209" s="7" t="inlineStr">
        <is>
          <t>Exact</t>
        </is>
      </c>
      <c r="H1209" s="7" t="n"/>
      <c r="I1209" s="7" t="inlineStr">
        <is>
          <t>Ongoing</t>
        </is>
      </c>
      <c r="J1209" s="7" t="n"/>
      <c r="K1209" s="2" t="inlineStr">
        <is>
          <t>Wheat gathered into the storehouse: anointed gathered into the restored congregation</t>
        </is>
      </c>
      <c r="L1209" s="2" t="inlineStr">
        <is>
          <t>1919 முதற்கொண்டு பரலோக நம்பிக்கையுள்ள கிறிஸ்தவர்கள் சுத்திகரிக்கப்பட்ட கிறிஸ்தவ சபைக்குள் கூட்டிச் சேர்க்கப்படுகிறார்கள்</t>
        </is>
      </c>
      <c r="M1209" s="7" t="inlineStr">
        <is>
          <t>Jesus commands his angels: “Go to gathering the wheat into my storehouse.” Since 1919, anointed ones have been gathered into the restored Christian congregation; for those alive at the end of this system, the final gathering will take place when they receive their heavenly reward.</t>
        </is>
      </c>
      <c r="N1209" s="7" t="inlineStr">
        <is>
          <t>இரண்டாவது, கோதுமையைச் சேர்ப்பது. “கோதுமையை என்னுடைய களஞ்சியத்தில் சேர்த்து வையுங்கள்” என்று தேவதூதர்களுக்கு இயேசு கட்டளையிடுகிறார். (மத். 13:30) 1919 முதற்கொண்டு பரலோக நம்பிக்கையுள்ள கிறிஸ்தவர்கள் சுத்திகரிக்கப்பட்ட கிறிஸ்தவ சபைக்குள் கூட்டிச் சேர்க்கப்படுகிறார்கள்.</t>
        </is>
      </c>
      <c r="O1209" s="8" t="inlineStr">
        <is>
          <t>Bible</t>
        </is>
      </c>
      <c r="P1209" s="7" t="inlineStr">
        <is>
          <t>bible.prophecy_fulfilled</t>
        </is>
      </c>
      <c r="Q1209" s="7" t="inlineStr">
        <is>
          <t>prophetic_period</t>
        </is>
      </c>
      <c r="R1209" s="7" t="n"/>
      <c r="S1209" s="7" t="n"/>
      <c r="T1209" s="7" t="inlineStr">
        <is>
          <t>Matt. 13:30; Dan. 7:18, 22, 27</t>
        </is>
      </c>
      <c r="U1209" s="7" t="inlineStr">
        <is>
          <t>மத். 13:30; தானி. 7:18, 22, 27</t>
        </is>
      </c>
      <c r="V1209" s="7" t="n">
        <v>1</v>
      </c>
      <c r="W1209" s="7" t="inlineStr">
        <is>
          <t>“Look! I Am With You All the Days”</t>
        </is>
      </c>
      <c r="X1209" s="9" t="inlineStr">
        <is>
          <t>open</t>
        </is>
      </c>
      <c r="Y1209" s="9" t="inlineStr">
        <is>
          <t>open</t>
        </is>
      </c>
      <c r="Z1209" s="7" t="inlineStr">
        <is>
          <t>https://wol.jw.org/en/wol/d/r1/lp-e/2013531</t>
        </is>
      </c>
      <c r="AA1209" s="7" t="n">
        <v>0</v>
      </c>
      <c r="AB1209" s="7" t="n"/>
      <c r="AC1209" s="7" t="n">
        <v>0</v>
      </c>
      <c r="AD1209" s="7" t="n"/>
      <c r="AE1209" s="7" t="n"/>
      <c r="AF1209" s="7" t="n"/>
      <c r="AG1209" s="7" t="n"/>
      <c r="AH1209" s="7" t="inlineStr">
        <is>
          <t>b12-0070</t>
        </is>
      </c>
      <c r="AI1209" s="7" t="n"/>
      <c r="AJ1209" s="7" t="n"/>
      <c r="AK1209" s="7" t="inlineStr">
        <is>
          <t>wheat-and-weeds #21 (fulfillment)</t>
        </is>
      </c>
      <c r="AL1209" s="7" t="inlineStr">
        <is>
          <t>Ongoing; the article places the final gathering in the future, when the anointed alive at the end receive their heavenly reward (b10-0016).</t>
        </is>
      </c>
      <c r="AM1209" s="7" t="n">
        <v>1919.5</v>
      </c>
      <c r="AN1209" s="10" t="n"/>
      <c r="AO1209" s="10" t="n"/>
      <c r="AP1209" s="10" t="n"/>
      <c r="AQ1209" s="10" t="n"/>
    </row>
    <row r="1210">
      <c r="A1210" s="7" t="inlineStr">
        <is>
          <t>b8-0126</t>
        </is>
      </c>
      <c r="B1210" s="11" t="inlineStr">
        <is>
          <t>Span</t>
        </is>
      </c>
      <c r="C1210" s="7" t="inlineStr">
        <is>
          <t>convention</t>
        </is>
      </c>
      <c r="D1210" s="7" t="inlineStr">
        <is>
          <t>September 1-8, 1919</t>
        </is>
      </c>
      <c r="E1210" s="7" t="inlineStr">
        <is>
          <t>செப்டம்பர் 1-8, 1919</t>
        </is>
      </c>
      <c r="F1210" s="7" t="inlineStr">
        <is>
          <t>1919 CE</t>
        </is>
      </c>
      <c r="G1210" s="7" t="inlineStr">
        <is>
          <t>Exact</t>
        </is>
      </c>
      <c r="H1210" s="7" t="inlineStr">
        <is>
          <t>1919 CE</t>
        </is>
      </c>
      <c r="I1210" s="7" t="inlineStr">
        <is>
          <t>Exact</t>
        </is>
      </c>
      <c r="J1210" s="7" t="inlineStr">
        <is>
          <t>8 days</t>
        </is>
      </c>
      <c r="K1210" s="2" t="inlineStr">
        <is>
          <t>Cedar Point convention; The Golden Age announced</t>
        </is>
      </c>
      <c r="L1210" s="2" t="inlineStr">
        <is>
          <t>த கோல்டன் ஏஜ் (இப்போது விழித்தெழு! என்று அழைக்கப்படுகிறது) பத்திரிகை பிரசுரிக்கப்படும் என்று அறிவிக்கப்பட்டது.</t>
        </is>
      </c>
      <c r="M1210" s="7" t="inlineStr">
        <is>
          <t>Bible Students gather at Cedar Point, Ohio, for their first major convention after World War I; the preaching work is revitalized and the coming magazine The Golden Age (now Awake!) is announced.</t>
        </is>
      </c>
      <c r="N1210" s="7" t="inlineStr">
        <is>
          <t>த கோல்டன் ஏஜ் (இப்போது விழித்தெழு! என்று அழைக்கப்படுகிறது) பத்திரிகை பிரசுரிக்கப்படும் என்று அறிவிக்கப்பட்டது.</t>
        </is>
      </c>
      <c r="O1210" s="13" t="inlineStr">
        <is>
          <t>Jehovah's Witnesses</t>
        </is>
      </c>
      <c r="P1210" s="7" t="inlineStr">
        <is>
          <t>jw.convention</t>
        </is>
      </c>
      <c r="Q1210" s="7" t="inlineStr">
        <is>
          <t>convention</t>
        </is>
      </c>
      <c r="R1210" s="7" t="inlineStr">
        <is>
          <t>Joseph F. Rutherford</t>
        </is>
      </c>
      <c r="S1210" s="7" t="inlineStr">
        <is>
          <t>Cedar Point, Ohio</t>
        </is>
      </c>
      <c r="T1210" s="7" t="n"/>
      <c r="U1210" s="7" t="n"/>
      <c r="V1210" s="7" t="n">
        <v>4</v>
      </c>
      <c r="W1210" s="7" t="inlineStr">
        <is>
          <t>Noteworthy Events in the Modern-day History of Jehovah’s Witnesses</t>
        </is>
      </c>
      <c r="X1210" s="9" t="inlineStr">
        <is>
          <t>open</t>
        </is>
      </c>
      <c r="Y1210" s="7" t="n"/>
      <c r="Z1210" s="7" t="inlineStr">
        <is>
          <t>https://wol.jw.org/en/wol/d/r1/lp-e/1101993046
https://wol.jw.org/en/wol/d/r1/lp-e/1102014255
https://wol.jw.org/en/wol/d/r1/lp-e/1102014245
https://wol.jw.org/en/wol/d/r1/lp-e/1101993008</t>
        </is>
      </c>
      <c r="AA1210" s="7" t="n">
        <v>1</v>
      </c>
      <c r="AB1210" s="9" t="inlineStr">
        <is>
          <t>open</t>
        </is>
      </c>
      <c r="AC1210" s="7" t="n">
        <v>0</v>
      </c>
      <c r="AD1210" s="7" t="n"/>
      <c r="AE1210" s="7" t="n"/>
      <c r="AF1210" s="7" t="n"/>
      <c r="AG1210" s="7" t="n"/>
      <c r="AH1210" s="7" t="n"/>
      <c r="AI1210" s="7" t="n"/>
      <c r="AJ1210" s="7" t="n"/>
      <c r="AK1210" s="7" t="n"/>
      <c r="AL1210" s="7" t="n"/>
      <c r="AM1210" s="7" t="n">
        <v>1919.6667</v>
      </c>
      <c r="AN1210" s="10" t="n"/>
      <c r="AO1210" s="10" t="n"/>
      <c r="AP1210" s="10" t="n"/>
      <c r="AQ1210" s="10" t="n"/>
    </row>
    <row r="1211">
      <c r="A1211" s="7" t="inlineStr">
        <is>
          <t>b8-0127</t>
        </is>
      </c>
      <c r="B1211" s="7" t="inlineStr">
        <is>
          <t>Point</t>
        </is>
      </c>
      <c r="C1211" s="7" t="n"/>
      <c r="D1211" s="7" t="inlineStr">
        <is>
          <t>By October 1, 1919</t>
        </is>
      </c>
      <c r="E1211" s="7" t="n"/>
      <c r="F1211" s="7" t="inlineStr">
        <is>
          <t>1919 CE</t>
        </is>
      </c>
      <c r="G1211" s="7" t="inlineStr">
        <is>
          <t>Before (b.)</t>
        </is>
      </c>
      <c r="H1211" s="7" t="n"/>
      <c r="I1211" s="7" t="n"/>
      <c r="J1211" s="7" t="n"/>
      <c r="K1211" s="2" t="inlineStr">
        <is>
          <t>Headquarters activity resumes in Brooklyn</t>
        </is>
      </c>
      <c r="L1211" s="2" t="n"/>
      <c r="M1211" s="7" t="inlineStr">
        <is>
          <t>By the first of October 1919 the headquarters staff is once again carrying on its activity from Brooklyn.</t>
        </is>
      </c>
      <c r="N1211" s="7" t="n"/>
      <c r="O1211" s="13" t="inlineStr">
        <is>
          <t>Jehovah's Witnesses</t>
        </is>
      </c>
      <c r="P1211" s="7" t="inlineStr">
        <is>
          <t>jw.organization</t>
        </is>
      </c>
      <c r="Q1211" s="7" t="inlineStr">
        <is>
          <t>relocation</t>
        </is>
      </c>
      <c r="R1211" s="7" t="n"/>
      <c r="S1211" s="7" t="inlineStr">
        <is>
          <t>Brooklyn, New York</t>
        </is>
      </c>
      <c r="T1211" s="7" t="n"/>
      <c r="U1211" s="7" t="n"/>
      <c r="V1211" s="7" t="n">
        <v>1</v>
      </c>
      <c r="W1211" s="7" t="inlineStr">
        <is>
          <t>Producing Bible Literature for Use in the Ministry</t>
        </is>
      </c>
      <c r="X1211" s="9" t="inlineStr">
        <is>
          <t>open</t>
        </is>
      </c>
      <c r="Y1211" s="7" t="n"/>
      <c r="Z1211" s="7" t="inlineStr">
        <is>
          <t>https://wol.jw.org/en/wol/d/r1/lp-e/1101993036</t>
        </is>
      </c>
      <c r="AA1211" s="7" t="n">
        <v>0</v>
      </c>
      <c r="AB1211" s="7" t="n"/>
      <c r="AC1211" s="7" t="n">
        <v>0</v>
      </c>
      <c r="AD1211" s="7" t="n"/>
      <c r="AE1211" s="7" t="n"/>
      <c r="AF1211" s="7" t="n"/>
      <c r="AG1211" s="7" t="n"/>
      <c r="AH1211" s="7" t="n"/>
      <c r="AI1211" s="7" t="inlineStr">
        <is>
          <t>Span endpoint – keep</t>
        </is>
      </c>
      <c r="AJ1211" s="7" t="inlineStr">
        <is>
          <t>end of Headquarters operations moved back to Pittsburgh (b12-0074)</t>
        </is>
      </c>
      <c r="AK1211" s="7" t="n"/>
      <c r="AL1211" s="7" t="n"/>
      <c r="AM1211" s="7" t="n">
        <v>1919.74</v>
      </c>
      <c r="AN1211" s="10" t="n"/>
      <c r="AO1211" s="10" t="n"/>
      <c r="AP1211" s="10" t="n"/>
      <c r="AQ1211" s="10" t="n"/>
    </row>
    <row r="1212">
      <c r="A1212" s="7" t="inlineStr">
        <is>
          <t>b8-0128</t>
        </is>
      </c>
      <c r="B1212" s="7" t="inlineStr">
        <is>
          <t>Point</t>
        </is>
      </c>
      <c r="C1212" s="7" t="n"/>
      <c r="D1212" s="7" t="inlineStr">
        <is>
          <t>October 1, 1919</t>
        </is>
      </c>
      <c r="E1212" s="7" t="inlineStr">
        <is>
          <t>அக்டோபர் 1, 1919</t>
        </is>
      </c>
      <c r="F1212" s="7" t="inlineStr">
        <is>
          <t>1919 CE</t>
        </is>
      </c>
      <c r="G1212" s="7" t="inlineStr">
        <is>
          <t>Exact</t>
        </is>
      </c>
      <c r="H1212" s="7" t="n"/>
      <c r="I1212" s="7" t="n"/>
      <c r="J1212" s="7" t="n"/>
      <c r="K1212" s="2" t="inlineStr">
        <is>
          <t>First issue of The Golden Age</t>
        </is>
      </c>
      <c r="L1212" s="2" t="n"/>
      <c r="M1212" s="7" t="inlineStr">
        <is>
          <t>The magazine The Golden Age (later Consolation, now Awake!), designed to appeal to the public, is released with its first issue dated October 1, 1919.</t>
        </is>
      </c>
      <c r="N1212" s="7" t="inlineStr">
        <is>
          <t>அக்டோபர் 1, 1919-ல் பொது மக்களின் ஆர்வத்தைத் தூண்டும் இன்னொரு பத்திரிகையை யெகோவாவின் அமைப்பு வெளியிட்டது.</t>
        </is>
      </c>
      <c r="O1212" s="13" t="inlineStr">
        <is>
          <t>Jehovah's Witnesses</t>
        </is>
      </c>
      <c r="P1212" s="7" t="inlineStr">
        <is>
          <t>jw.publication</t>
        </is>
      </c>
      <c r="Q1212" s="7" t="inlineStr">
        <is>
          <t>release</t>
        </is>
      </c>
      <c r="R1212" s="7" t="n"/>
      <c r="S1212" s="7" t="n"/>
      <c r="T1212" s="7" t="n"/>
      <c r="U1212" s="7" t="n"/>
      <c r="V1212" s="7" t="n">
        <v>3</v>
      </c>
      <c r="W1212" s="7" t="inlineStr">
        <is>
          <t>Tools for Preaching—Producing Literature for the Worldwide Field</t>
        </is>
      </c>
      <c r="X1212" s="9" t="inlineStr">
        <is>
          <t>open</t>
        </is>
      </c>
      <c r="Y1212" s="9" t="inlineStr">
        <is>
          <t>open</t>
        </is>
      </c>
      <c r="Z1212" s="7" t="inlineStr">
        <is>
          <t>https://wol.jw.org/en/wol/d/r1/lp-e/1102014247
https://wol.jw.org/en/wol/d/r1/lp-e/1101993041
https://wol.jw.org/en/wol/d/r1/lp-e/1101993018</t>
        </is>
      </c>
      <c r="AA1212" s="7" t="n">
        <v>1</v>
      </c>
      <c r="AB1212" s="9" t="inlineStr">
        <is>
          <t>open</t>
        </is>
      </c>
      <c r="AC1212" s="7" t="n">
        <v>0</v>
      </c>
      <c r="AD1212" s="7" t="n"/>
      <c r="AE1212" s="7" t="n"/>
      <c r="AF1212" s="7" t="n"/>
      <c r="AG1212" s="7" t="n"/>
      <c r="AH1212" s="7" t="n"/>
      <c r="AI1212" s="7" t="inlineStr">
        <is>
          <t>Span endpoint – keep</t>
        </is>
      </c>
      <c r="AJ1212" s="7" t="inlineStr">
        <is>
          <t>start of The Golden Age magazine (b12-0076)</t>
        </is>
      </c>
      <c r="AK1212" s="7" t="n"/>
      <c r="AL1212" s="7" t="n"/>
      <c r="AM1212" s="7" t="n">
        <v>1919.75</v>
      </c>
      <c r="AN1212" s="10" t="n"/>
      <c r="AO1212" s="10" t="n"/>
      <c r="AP1212" s="10" t="n"/>
      <c r="AQ1212" s="10" t="n"/>
    </row>
    <row r="1213">
      <c r="A1213" s="7" t="inlineStr">
        <is>
          <t>b12-0076</t>
        </is>
      </c>
      <c r="B1213" s="11" t="inlineStr">
        <is>
          <t>Span</t>
        </is>
      </c>
      <c r="C1213" s="7" t="inlineStr">
        <is>
          <t>publication</t>
        </is>
      </c>
      <c r="D1213" s="7" t="inlineStr">
        <is>
          <t>1919–1937</t>
        </is>
      </c>
      <c r="E1213" s="7" t="n"/>
      <c r="F1213" s="7" t="inlineStr">
        <is>
          <t>1919 CE</t>
        </is>
      </c>
      <c r="G1213" s="7" t="inlineStr">
        <is>
          <t>Exact</t>
        </is>
      </c>
      <c r="H1213" s="7" t="inlineStr">
        <is>
          <t>1937 CE</t>
        </is>
      </c>
      <c r="I1213" s="7" t="inlineStr">
        <is>
          <t>Exact</t>
        </is>
      </c>
      <c r="J1213" s="7" t="n"/>
      <c r="K1213" s="2" t="inlineStr">
        <is>
          <t>The Golden Age magazine</t>
        </is>
      </c>
      <c r="L1213" s="2" t="n"/>
      <c r="M1213" s="7" t="inlineStr">
        <is>
          <t>The Golden Age, a magazine for the general public, was first released on October 1, 1919; in 1937 it was renamed Consolation.</t>
        </is>
      </c>
      <c r="N1213" s="7" t="inlineStr">
        <is>
          <t>அக்டோபர் 1, 1919-ல் பொது மக்களின் ஆர்வத்தைத் தூண்டும் இன்னொரு பத்திரிகையை யெகோவாவின் அமைப்பு வெளியிட்டது.</t>
        </is>
      </c>
      <c r="O1213" s="13" t="inlineStr">
        <is>
          <t>Jehovah's Witnesses</t>
        </is>
      </c>
      <c r="P1213" s="7" t="inlineStr">
        <is>
          <t>jw.publication</t>
        </is>
      </c>
      <c r="Q1213" s="7" t="n"/>
      <c r="R1213" s="7" t="n"/>
      <c r="S1213" s="7" t="n"/>
      <c r="T1213" s="7" t="n"/>
      <c r="U1213" s="7" t="n"/>
      <c r="V1213" s="7" t="n">
        <v>3</v>
      </c>
      <c r="W1213" s="7" t="inlineStr">
        <is>
          <t>Tools for Preaching—Producing Literature for the Worldwide Field</t>
        </is>
      </c>
      <c r="X1213" s="9" t="inlineStr">
        <is>
          <t>open</t>
        </is>
      </c>
      <c r="Y1213" s="9" t="inlineStr">
        <is>
          <t>open</t>
        </is>
      </c>
      <c r="Z1213" s="7" t="inlineStr">
        <is>
          <t>https://wol.jw.org/en/wol/d/r1/lp-e/1102014247
https://wol.jw.org/en/wol/d/r1/lp-e/1102014247
https://wol.jw.org/en/wol/d/r1/lp-e/102006001</t>
        </is>
      </c>
      <c r="AA1213" s="7" t="n">
        <v>0</v>
      </c>
      <c r="AB1213" s="7" t="n"/>
      <c r="AC1213" s="7" t="n">
        <v>0</v>
      </c>
      <c r="AD1213" s="7" t="n"/>
      <c r="AE1213" s="7" t="n"/>
      <c r="AF1213" s="7" t="inlineStr">
        <is>
          <t>b8-0128</t>
        </is>
      </c>
      <c r="AG1213" s="7" t="inlineStr">
        <is>
          <t>b8-0206</t>
        </is>
      </c>
      <c r="AH1213" s="7" t="n"/>
      <c r="AI1213" s="7" t="n"/>
      <c r="AJ1213" s="7" t="n"/>
      <c r="AK1213" s="7" t="n"/>
      <c r="AL1213" s="7" t="n"/>
      <c r="AM1213" s="7" t="n">
        <v>1919.75</v>
      </c>
      <c r="AN1213" s="10" t="n"/>
      <c r="AO1213" s="10" t="n"/>
      <c r="AP1213" s="10" t="n"/>
      <c r="AQ1213" s="10" t="n"/>
    </row>
    <row r="1214">
      <c r="A1214" s="7" t="inlineStr">
        <is>
          <t>b12-0077</t>
        </is>
      </c>
      <c r="B1214" s="11" t="inlineStr">
        <is>
          <t>Span</t>
        </is>
      </c>
      <c r="C1214" s="7" t="inlineStr">
        <is>
          <t>publication</t>
        </is>
      </c>
      <c r="D1214" s="7" t="inlineStr">
        <is>
          <t>1919–2015</t>
        </is>
      </c>
      <c r="E1214" s="7" t="n"/>
      <c r="F1214" s="7" t="inlineStr">
        <is>
          <t>1919 CE</t>
        </is>
      </c>
      <c r="G1214" s="7" t="inlineStr">
        <is>
          <t>Exact</t>
        </is>
      </c>
      <c r="H1214" s="7" t="inlineStr">
        <is>
          <t>2015 CE</t>
        </is>
      </c>
      <c r="I1214" s="7" t="inlineStr">
        <is>
          <t>Exact</t>
        </is>
      </c>
      <c r="J1214" s="7" t="n"/>
      <c r="K1214" s="2" t="inlineStr">
        <is>
          <t>Bulletin / Our Kingdom Ministry (monthly service publication)</t>
        </is>
      </c>
      <c r="L1214" s="2" t="n"/>
      <c r="M1214" s="7" t="inlineStr">
        <is>
          <t>The Bulletin, first published in 1919 to stimulate field service, later became Our Kingdom Ministry; in 2015 it was announced that it would be replaced by the Our Christian Life and Ministry—Meeting Workbook.</t>
        </is>
      </c>
      <c r="N1214" s="7" t="n"/>
      <c r="O1214" s="13" t="inlineStr">
        <is>
          <t>Jehovah's Witnesses</t>
        </is>
      </c>
      <c r="P1214" s="7" t="inlineStr">
        <is>
          <t>jw.publication</t>
        </is>
      </c>
      <c r="Q1214" s="7" t="n"/>
      <c r="R1214" s="7" t="n"/>
      <c r="S1214" s="7" t="n"/>
      <c r="T1214" s="7" t="n"/>
      <c r="U1214" s="7" t="n"/>
      <c r="V1214" s="7" t="n">
        <v>3</v>
      </c>
      <c r="W1214" s="7" t="inlineStr">
        <is>
          <t>Noteworthy Events in the Modern-day History of Jehovah’s Witnesses</t>
        </is>
      </c>
      <c r="X1214" s="9" t="inlineStr">
        <is>
          <t>open</t>
        </is>
      </c>
      <c r="Y1214" s="7" t="n"/>
      <c r="Z1214" s="7" t="inlineStr">
        <is>
          <t>https://wol.jw.org/en/wol/d/r1/lp-e/1101993046
https://wol.jw.org/en/wol/d/r1/lp-e/1200271562
https://wol.jw.org/en/wol/d/r1/lp-e/302017039</t>
        </is>
      </c>
      <c r="AA1214" s="7" t="n">
        <v>0</v>
      </c>
      <c r="AB1214" s="7" t="n"/>
      <c r="AC1214" s="7" t="n">
        <v>0</v>
      </c>
      <c r="AD1214" s="7" t="n"/>
      <c r="AE1214" s="7" t="n"/>
      <c r="AF1214" s="7" t="n"/>
      <c r="AG1214" s="7" t="n"/>
      <c r="AH1214" s="7" t="n"/>
      <c r="AI1214" s="7" t="n"/>
      <c r="AJ1214" s="7" t="n"/>
      <c r="AK1214" s="7" t="n"/>
      <c r="AL1214" s="7" t="inlineStr">
        <is>
          <t>End = announcement of October 3, 2015; the first Meeting Workbook issue is dated January 2016.</t>
        </is>
      </c>
      <c r="AM1214" s="7" t="n">
        <v>1919.9167</v>
      </c>
      <c r="AN1214" s="10" t="n"/>
      <c r="AO1214" s="10" t="n"/>
      <c r="AP1214" s="10" t="n"/>
      <c r="AQ1214" s="10" t="n"/>
    </row>
    <row r="1215">
      <c r="A1215" s="7" t="inlineStr">
        <is>
          <t>b8-0129</t>
        </is>
      </c>
      <c r="B1215" s="7" t="inlineStr">
        <is>
          <t>Point</t>
        </is>
      </c>
      <c r="C1215" s="7" t="n"/>
      <c r="D1215" s="7" t="inlineStr">
        <is>
          <t>1920</t>
        </is>
      </c>
      <c r="E1215" s="7" t="inlineStr">
        <is>
          <t>1920</t>
        </is>
      </c>
      <c r="F1215" s="7" t="inlineStr">
        <is>
          <t>1920 CE</t>
        </is>
      </c>
      <c r="G1215" s="7" t="inlineStr">
        <is>
          <t>Exact</t>
        </is>
      </c>
      <c r="H1215" s="7" t="n"/>
      <c r="I1215" s="7" t="n"/>
      <c r="J1215" s="7" t="n"/>
      <c r="K1215" s="2" t="inlineStr">
        <is>
          <t>Watch Tower Society begins its own printing in Brooklyn</t>
        </is>
      </c>
      <c r="L1215" s="2" t="n"/>
      <c r="M1215" s="7" t="inlineStr">
        <is>
          <t>The Society undertakes its own printing operations in rented factory space in Brooklyn (35 Myrtle Avenue), beginning with magazines.</t>
        </is>
      </c>
      <c r="N1215" s="7" t="inlineStr">
        <is>
          <t>பின்னர் 1920-ல், வாடகைக்கு எடுக்கப்பட்ட தொழிற்சாலைகளில் சில பிரசுரங்களை யெகோவாவின் சாட்சிகள் தயாரித்தனர்.</t>
        </is>
      </c>
      <c r="O1215" s="13" t="inlineStr">
        <is>
          <t>Jehovah's Witnesses</t>
        </is>
      </c>
      <c r="P1215" s="7" t="inlineStr">
        <is>
          <t>jw.construction</t>
        </is>
      </c>
      <c r="Q1215" s="7" t="inlineStr">
        <is>
          <t>printing</t>
        </is>
      </c>
      <c r="R1215" s="7" t="n"/>
      <c r="S1215" s="7" t="inlineStr">
        <is>
          <t>Brooklyn, New York</t>
        </is>
      </c>
      <c r="T1215" s="7" t="n"/>
      <c r="U1215" s="7" t="n"/>
      <c r="V1215" s="7" t="n">
        <v>3</v>
      </c>
      <c r="W1215" s="7" t="inlineStr">
        <is>
          <t>Noteworthy Events in the Modern-day History of Jehovah’s Witnesses</t>
        </is>
      </c>
      <c r="X1215" s="9" t="inlineStr">
        <is>
          <t>open</t>
        </is>
      </c>
      <c r="Y1215" s="7" t="n"/>
      <c r="Z1215" s="7" t="inlineStr">
        <is>
          <t>https://wol.jw.org/en/wol/d/r1/lp-e/1101993046
https://wol.jw.org/en/wol/d/r1/lp-e/1101993036
https://wol.jw.org/en/wol/d/r1/lp-e/1102000101</t>
        </is>
      </c>
      <c r="AA1215" s="7" t="n">
        <v>0</v>
      </c>
      <c r="AB1215" s="7" t="n"/>
      <c r="AC1215" s="7" t="n">
        <v>0</v>
      </c>
      <c r="AD1215" s="7" t="n"/>
      <c r="AE1215" s="7" t="n"/>
      <c r="AF1215" s="7" t="n"/>
      <c r="AG1215" s="7" t="n"/>
      <c r="AH1215" s="7" t="n"/>
      <c r="AI1215" s="7" t="n"/>
      <c r="AJ1215" s="7" t="n"/>
      <c r="AK1215" s="7" t="n"/>
      <c r="AL1215" s="7" t="n"/>
      <c r="AM1215" s="7" t="n">
        <v>1920</v>
      </c>
      <c r="AN1215" s="10" t="n"/>
      <c r="AO1215" s="10" t="n"/>
      <c r="AP1215" s="10" t="n"/>
      <c r="AQ1215" s="10" t="n"/>
    </row>
    <row r="1216">
      <c r="A1216" s="7" t="inlineStr">
        <is>
          <t>b8-0130</t>
        </is>
      </c>
      <c r="B1216" s="7" t="inlineStr">
        <is>
          <t>Point</t>
        </is>
      </c>
      <c r="C1216" s="7" t="n"/>
      <c r="D1216" s="7" t="inlineStr">
        <is>
          <t>1920</t>
        </is>
      </c>
      <c r="E1216" s="7" t="n"/>
      <c r="F1216" s="7" t="inlineStr">
        <is>
          <t>1920 CE</t>
        </is>
      </c>
      <c r="G1216" s="7" t="inlineStr">
        <is>
          <t>Exact</t>
        </is>
      </c>
      <c r="H1216" s="7" t="n"/>
      <c r="I1216" s="7" t="n"/>
      <c r="J1216" s="7" t="n"/>
      <c r="K1216" s="2" t="inlineStr">
        <is>
          <t>Booklet Millions Now Living Will Never Die points to 1925</t>
        </is>
      </c>
      <c r="L1216" s="2" t="n"/>
      <c r="M1216" s="7" t="inlineStr">
        <is>
          <t>The booklet Millions Now Living Will Never Die expresses the expectation that 1925 would mark the return of faithful men of old; the year came and went without that occurring.</t>
        </is>
      </c>
      <c r="N1216" s="7" t="n"/>
      <c r="O1216" s="13" t="inlineStr">
        <is>
          <t>Jehovah's Witnesses</t>
        </is>
      </c>
      <c r="P1216" s="7" t="inlineStr">
        <is>
          <t>jw.doctrine</t>
        </is>
      </c>
      <c r="Q1216" s="7" t="inlineStr">
        <is>
          <t>expectation</t>
        </is>
      </c>
      <c r="R1216" s="7" t="n"/>
      <c r="S1216" s="7" t="n"/>
      <c r="T1216" s="7" t="n"/>
      <c r="U1216" s="7" t="n"/>
      <c r="V1216" s="7" t="n">
        <v>2</v>
      </c>
      <c r="W1216" s="7" t="inlineStr">
        <is>
          <t>Advertise the King and the Kingdom! (1919-1941)</t>
        </is>
      </c>
      <c r="X1216" s="9" t="inlineStr">
        <is>
          <t>open</t>
        </is>
      </c>
      <c r="Y1216" s="7" t="n"/>
      <c r="Z1216" s="7" t="inlineStr">
        <is>
          <t>https://wol.jw.org/en/wol/d/r1/lp-e/1101993008
https://wol.jw.org/en/wol/d/r1/lp-e/1101993014</t>
        </is>
      </c>
      <c r="AA1216" s="7" t="n">
        <v>0</v>
      </c>
      <c r="AB1216" s="7" t="n"/>
      <c r="AC1216" s="7" t="n">
        <v>0</v>
      </c>
      <c r="AD1216" s="7" t="n"/>
      <c r="AE1216" s="7" t="n"/>
      <c r="AF1216" s="7" t="n"/>
      <c r="AG1216" s="7" t="n"/>
      <c r="AH1216" s="7" t="n"/>
      <c r="AI1216" s="7" t="n"/>
      <c r="AJ1216" s="7" t="n"/>
      <c r="AK1216" s="7" t="n"/>
      <c r="AL1216" s="7" t="n"/>
      <c r="AM1216" s="7" t="n">
        <v>1920</v>
      </c>
      <c r="AN1216" s="10" t="n"/>
      <c r="AO1216" s="10" t="n"/>
      <c r="AP1216" s="10" t="n"/>
      <c r="AQ1216" s="10" t="n"/>
    </row>
    <row r="1217">
      <c r="A1217" s="7" t="inlineStr">
        <is>
          <t>b14-0006</t>
        </is>
      </c>
      <c r="B1217" s="7" t="inlineStr">
        <is>
          <t>Point</t>
        </is>
      </c>
      <c r="C1217" s="7" t="n"/>
      <c r="D1217" s="7" t="inlineStr">
        <is>
          <t>January 10, 1920</t>
        </is>
      </c>
      <c r="E1217" s="7" t="inlineStr">
        <is>
          <t>ஜனவரி 10, 1920</t>
        </is>
      </c>
      <c r="F1217" s="7" t="inlineStr">
        <is>
          <t>1920 CE</t>
        </is>
      </c>
      <c r="G1217" s="7" t="inlineStr">
        <is>
          <t>Exact</t>
        </is>
      </c>
      <c r="H1217" s="7" t="n"/>
      <c r="I1217" s="7" t="n"/>
      <c r="J1217" s="7" t="n"/>
      <c r="K1217" s="2" t="inlineStr">
        <is>
          <t>League of Nations comes into existence (“the wild beast . . . was”)</t>
        </is>
      </c>
      <c r="L1217" s="2" t="inlineStr">
        <is>
          <t>1920-ல், சர்வதேச சங்கம் ஏற்படுத்தப்படுகிறது.</t>
        </is>
      </c>
      <c r="M1217" s="7" t="inlineStr">
        <is>
          <t>The League of Nations, promoted by Britain and the United States, existed from January 10, 1920, onward, with 63 nations participating at one time or another. Jehovah’s Witnesses identify it as the image of the wild beast of Revelation 13 and the scarlet-colored wild beast of Revelation 17.</t>
        </is>
      </c>
      <c r="N1217" s="7" t="inlineStr">
        <is>
          <t>ஆம், 63 தேசங்கள் ஒரு சமயத்திலோ அல்லது வேறொரு சமயத்திலோ பங்கெடுத்தன; ஜனவரி 10, 1920 முதல் சர்வதேச சங்கமாக அது இருந்தது.</t>
        </is>
      </c>
      <c r="O1217" s="8" t="inlineStr">
        <is>
          <t>Bible</t>
        </is>
      </c>
      <c r="P1217" s="7" t="inlineStr">
        <is>
          <t>bible.prophecy_fulfilled</t>
        </is>
      </c>
      <c r="Q1217" s="7" t="inlineStr">
        <is>
          <t>founding</t>
        </is>
      </c>
      <c r="R1217" s="7" t="n"/>
      <c r="S1217" s="7" t="n"/>
      <c r="T1217" s="7" t="inlineStr">
        <is>
          <t>Rev. 13:14, 15; Rev. 17:8</t>
        </is>
      </c>
      <c r="U1217" s="7" t="inlineStr">
        <is>
          <t>வெளி. 13:14, 15; வெளி. 17:8</t>
        </is>
      </c>
      <c r="V1217" s="7" t="n">
        <v>3</v>
      </c>
      <c r="W1217" s="7" t="inlineStr">
        <is>
          <t>An Awesome Mystery Solved</t>
        </is>
      </c>
      <c r="X1217" s="9" t="inlineStr">
        <is>
          <t>open</t>
        </is>
      </c>
      <c r="Y1217" s="9" t="inlineStr">
        <is>
          <t>open</t>
        </is>
      </c>
      <c r="Z1217" s="7" t="inlineStr">
        <is>
          <t>https://wol.jw.org/en/wol/d/r1/lp-e/1101988034
https://wol.jw.org/en/wol/d/r1/lp-e/2020408
https://wol.jw.org/en/wol/d/r1/lp-e/1101988028</t>
        </is>
      </c>
      <c r="AA1217" s="7" t="n">
        <v>0</v>
      </c>
      <c r="AB1217" s="7" t="n"/>
      <c r="AC1217" s="7" t="n">
        <v>0</v>
      </c>
      <c r="AD1217" s="7" t="n"/>
      <c r="AE1217" s="7" t="n"/>
      <c r="AF1217" s="7" t="n"/>
      <c r="AG1217" s="7" t="n"/>
      <c r="AH1217" s="7" t="n"/>
      <c r="AI1217" s="7" t="inlineStr">
        <is>
          <t>Span endpoint – keep</t>
        </is>
      </c>
      <c r="AJ1217" s="7" t="inlineStr">
        <is>
          <t>start of The League of Nations (the image of the wild beast) (b14-0007)</t>
        </is>
      </c>
      <c r="AK1217" s="7" t="inlineStr">
        <is>
          <t>kings-north-and-south #35 (step); seven-heads-of-the-beast #20 (rise)</t>
        </is>
      </c>
      <c r="AL1217" s="7" t="n"/>
      <c r="AM1217" s="7" t="n">
        <v>1920.025</v>
      </c>
      <c r="AN1217" s="10" t="n"/>
      <c r="AO1217" s="10" t="n"/>
      <c r="AP1217" s="10" t="n"/>
      <c r="AQ1217" s="10" t="n"/>
    </row>
    <row r="1218">
      <c r="A1218" s="7" t="inlineStr">
        <is>
          <t>b14-0007</t>
        </is>
      </c>
      <c r="B1218" s="11" t="inlineStr">
        <is>
          <t>Span</t>
        </is>
      </c>
      <c r="C1218" s="7" t="inlineStr">
        <is>
          <t>period</t>
        </is>
      </c>
      <c r="D1218" s="7" t="inlineStr">
        <is>
          <t>January 10, 1920–September 1939</t>
        </is>
      </c>
      <c r="E1218" s="7" t="n"/>
      <c r="F1218" s="7" t="inlineStr">
        <is>
          <t>1920 CE</t>
        </is>
      </c>
      <c r="G1218" s="7" t="inlineStr">
        <is>
          <t>Exact</t>
        </is>
      </c>
      <c r="H1218" s="7" t="inlineStr">
        <is>
          <t>1939 CE</t>
        </is>
      </c>
      <c r="I1218" s="7" t="inlineStr">
        <is>
          <t>Exact</t>
        </is>
      </c>
      <c r="J1218" s="7" t="inlineStr">
        <is>
          <t>19 years</t>
        </is>
      </c>
      <c r="K1218" s="2" t="inlineStr">
        <is>
          <t>The League of Nations (the image of the wild beast)</t>
        </is>
      </c>
      <c r="L1218" s="2" t="inlineStr">
        <is>
          <t>சர்வதேச சங்கம்</t>
        </is>
      </c>
      <c r="M1218" s="7" t="inlineStr">
        <is>
          <t>The League of Nations “was” from 1920 until the start of World War II. When the Nazi dictator of Germany launched the war in September 1939, the League, having failed to keep peace, virtually plunged into an abyss of inactivity (“is not”).</t>
        </is>
      </c>
      <c r="N1218" s="7" t="inlineStr">
        <is>
          <t>1920-ல், சர்வதேச சங்கம் ஏற்படுத்தப்படுகிறது. இரண்டாம் உலகப் போர் ஆரம்பிக்கும்வரை அது செயல்படுகிறது.</t>
        </is>
      </c>
      <c r="O1218" s="8" t="inlineStr">
        <is>
          <t>Bible</t>
        </is>
      </c>
      <c r="P1218" s="7" t="inlineStr">
        <is>
          <t>bible.prophecy_fulfilled</t>
        </is>
      </c>
      <c r="Q1218" s="7" t="n"/>
      <c r="R1218" s="7" t="n"/>
      <c r="S1218" s="7" t="n"/>
      <c r="T1218" s="7" t="inlineStr">
        <is>
          <t>Rev. 13:14, 15; Rev. 17:8, 11</t>
        </is>
      </c>
      <c r="U1218" s="7" t="inlineStr">
        <is>
          <t>வெளி. 13:14, 15; வெளி. 17:8, 11</t>
        </is>
      </c>
      <c r="V1218" s="7" t="n">
        <v>4</v>
      </c>
      <c r="W1218" s="7" t="inlineStr">
        <is>
          <t>An Awesome Mystery Solved</t>
        </is>
      </c>
      <c r="X1218" s="9" t="inlineStr">
        <is>
          <t>open</t>
        </is>
      </c>
      <c r="Y1218" s="9" t="inlineStr">
        <is>
          <t>open</t>
        </is>
      </c>
      <c r="Z1218" s="7" t="inlineStr">
        <is>
          <t>https://wol.jw.org/en/wol/d/r1/lp-e/1101988034
https://wol.jw.org/en/wol/d/r1/lp-e/1101988034
https://wol.jw.org/en/wol/d/r1/lp-e/1101988034
https://wol.jw.org/en/wol/d/r1/lp-e/2020408</t>
        </is>
      </c>
      <c r="AA1218" s="7" t="n">
        <v>0</v>
      </c>
      <c r="AB1218" s="7" t="n"/>
      <c r="AC1218" s="7" t="n">
        <v>0</v>
      </c>
      <c r="AD1218" s="7" t="n"/>
      <c r="AE1218" s="7" t="n"/>
      <c r="AF1218" s="7" t="inlineStr">
        <is>
          <t>b14-0006</t>
        </is>
      </c>
      <c r="AG1218" s="7" t="n"/>
      <c r="AH1218" s="7" t="n"/>
      <c r="AI1218" s="7" t="n"/>
      <c r="AJ1218" s="7" t="n"/>
      <c r="AK1218" s="7" t="inlineStr">
        <is>
          <t>seven-heads-of-the-beast #21 (item)</t>
        </is>
      </c>
      <c r="AL1218" s="7" t="inlineStr">
        <is>
          <t>End taken as the start of World War II (September 1939), when, per re ch. 34, the League “virtually plunged into an abyss of inactivity”; by 1942 it had become “a has-been.”</t>
        </is>
      </c>
      <c r="AM1218" s="7" t="n">
        <v>1920.025</v>
      </c>
      <c r="AN1218" s="10" t="n"/>
      <c r="AO1218" s="10" t="n"/>
      <c r="AP1218" s="10" t="n"/>
      <c r="AQ1218" s="10" t="n"/>
    </row>
    <row r="1219">
      <c r="A1219" s="7" t="inlineStr">
        <is>
          <t>b8-0131</t>
        </is>
      </c>
      <c r="B1219" s="7" t="inlineStr">
        <is>
          <t>Point</t>
        </is>
      </c>
      <c r="C1219" s="7" t="n"/>
      <c r="D1219" s="7" t="inlineStr">
        <is>
          <t>May 5, 1920</t>
        </is>
      </c>
      <c r="E1219" s="7" t="n"/>
      <c r="F1219" s="7" t="inlineStr">
        <is>
          <t>1920 CE</t>
        </is>
      </c>
      <c r="G1219" s="7" t="inlineStr">
        <is>
          <t>Exact</t>
        </is>
      </c>
      <c r="H1219" s="7" t="n"/>
      <c r="I1219" s="7" t="n"/>
      <c r="J1219" s="7" t="n"/>
      <c r="K1219" s="2" t="inlineStr">
        <is>
          <t>Government withdraws the case against the Society’s officers</t>
        </is>
      </c>
      <c r="L1219" s="2" t="n"/>
      <c r="M1219" s="7" t="inlineStr">
        <is>
          <t>After the defendants appear in court five times, the government’s attorney announces in open court in Brooklyn the withdrawal of the prosecution.</t>
        </is>
      </c>
      <c r="N1219" s="7" t="n"/>
      <c r="O1219" s="13" t="inlineStr">
        <is>
          <t>Jehovah's Witnesses</t>
        </is>
      </c>
      <c r="P1219" s="7" t="inlineStr">
        <is>
          <t>jw.legal</t>
        </is>
      </c>
      <c r="Q1219" s="7" t="inlineStr">
        <is>
          <t>court_ruling</t>
        </is>
      </c>
      <c r="R1219" s="7" t="n"/>
      <c r="S1219" s="7" t="n"/>
      <c r="T1219" s="7" t="n"/>
      <c r="U1219" s="7" t="n"/>
      <c r="V1219" s="7" t="n">
        <v>2</v>
      </c>
      <c r="W1219" s="7" t="inlineStr">
        <is>
          <t>Noteworthy Events in the Modern-day History of Jehovah’s Witnesses</t>
        </is>
      </c>
      <c r="X1219" s="9" t="inlineStr">
        <is>
          <t>open</t>
        </is>
      </c>
      <c r="Y1219" s="7" t="n"/>
      <c r="Z1219" s="7" t="inlineStr">
        <is>
          <t>https://wol.jw.org/en/wol/d/r1/lp-e/1101993046
https://wol.jw.org/en/wol/d/r1/lp-e/1101993040</t>
        </is>
      </c>
      <c r="AA1219" s="7" t="n">
        <v>0</v>
      </c>
      <c r="AB1219" s="7" t="n"/>
      <c r="AC1219" s="7" t="n">
        <v>0</v>
      </c>
      <c r="AD1219" s="7" t="n"/>
      <c r="AE1219" s="7" t="n"/>
      <c r="AF1219" s="7" t="n"/>
      <c r="AG1219" s="7" t="n"/>
      <c r="AH1219" s="7" t="n"/>
      <c r="AI1219" s="7" t="n"/>
      <c r="AJ1219" s="7" t="n"/>
      <c r="AK1219" s="7" t="n"/>
      <c r="AL1219" s="7" t="n"/>
      <c r="AM1219" s="7" t="n">
        <v>1920.3433</v>
      </c>
      <c r="AN1219" s="10" t="n"/>
      <c r="AO1219" s="10" t="n"/>
      <c r="AP1219" s="10" t="n"/>
      <c r="AQ1219" s="10" t="n"/>
    </row>
    <row r="1220">
      <c r="A1220" s="7" t="inlineStr">
        <is>
          <t>b8-0132</t>
        </is>
      </c>
      <c r="B1220" s="7" t="inlineStr">
        <is>
          <t>Point</t>
        </is>
      </c>
      <c r="C1220" s="7" t="n"/>
      <c r="D1220" s="7" t="inlineStr">
        <is>
          <t>July 1, 1920</t>
        </is>
      </c>
      <c r="E1220" s="7" t="inlineStr">
        <is>
          <t>ஜூலை 1, 1920</t>
        </is>
      </c>
      <c r="F1220" s="7" t="inlineStr">
        <is>
          <t>1920 CE</t>
        </is>
      </c>
      <c r="G1220" s="7" t="inlineStr">
        <is>
          <t>Exact</t>
        </is>
      </c>
      <c r="H1220" s="7" t="n"/>
      <c r="I1220" s="7" t="n"/>
      <c r="J1220" s="7" t="n"/>
      <c r="K1220" s="2" t="inlineStr">
        <is>
          <t>Watch Tower article “Gospel of the Kingdom”</t>
        </is>
      </c>
      <c r="L1220" s="2" t="n"/>
      <c r="M1220" s="7" t="inlineStr">
        <is>
          <t>The July 1, 1920, Watch Tower article “Gospel of the Kingdom” shows that now is the time to proclaim the good news of the end of the old order and the establishment of Messiah’s Kingdom.</t>
        </is>
      </c>
      <c r="N1220" s="7" t="inlineStr">
        <is>
          <t>ஜூலை 1, 1920, காவற்கோபுரத்தில் “கடவுளுடைய அரசாங்கத்தைப் பற்றிய நல்ல செய்தி”</t>
        </is>
      </c>
      <c r="O1220" s="13" t="inlineStr">
        <is>
          <t>Jehovah's Witnesses</t>
        </is>
      </c>
      <c r="P1220" s="7" t="inlineStr">
        <is>
          <t>jw.doctrine</t>
        </is>
      </c>
      <c r="Q1220" s="7" t="inlineStr">
        <is>
          <t>article</t>
        </is>
      </c>
      <c r="R1220" s="7" t="n"/>
      <c r="S1220" s="7" t="n"/>
      <c r="T1220" s="7" t="inlineStr">
        <is>
          <t>Matt. 24:14</t>
        </is>
      </c>
      <c r="U1220" s="7" t="n"/>
      <c r="V1220" s="7" t="n">
        <v>3</v>
      </c>
      <c r="W1220" s="7" t="inlineStr">
        <is>
          <t>People Who Preach—Ministers Offer Themselves Willingly</t>
        </is>
      </c>
      <c r="X1220" s="9" t="inlineStr">
        <is>
          <t>open</t>
        </is>
      </c>
      <c r="Y1220" s="9" t="inlineStr">
        <is>
          <t>open</t>
        </is>
      </c>
      <c r="Z1220" s="7" t="inlineStr">
        <is>
          <t>https://wol.jw.org/en/wol/d/r1/lp-e/1102014245
https://wol.jw.org/en/wol/d/r1/lp-e/1101993012
https://wol.jw.org/en/wol/d/r1/lp-e/1101993018</t>
        </is>
      </c>
      <c r="AA1220" s="7" t="n">
        <v>0</v>
      </c>
      <c r="AB1220" s="7" t="n"/>
      <c r="AC1220" s="7" t="n">
        <v>0</v>
      </c>
      <c r="AD1220" s="7" t="n"/>
      <c r="AE1220" s="7" t="n"/>
      <c r="AF1220" s="7" t="n"/>
      <c r="AG1220" s="7" t="n"/>
      <c r="AH1220" s="7" t="n"/>
      <c r="AI1220" s="7" t="n"/>
      <c r="AJ1220" s="7" t="n"/>
      <c r="AK1220" s="7" t="n"/>
      <c r="AL1220" s="7" t="n"/>
      <c r="AM1220" s="7" t="n">
        <v>1920.5</v>
      </c>
      <c r="AN1220" s="10" t="n"/>
      <c r="AO1220" s="10" t="n"/>
      <c r="AP1220" s="10" t="n"/>
      <c r="AQ1220" s="10" t="n"/>
    </row>
    <row r="1221">
      <c r="A1221" s="7" t="inlineStr">
        <is>
          <t>b15-0004</t>
        </is>
      </c>
      <c r="B1221" s="7" t="inlineStr">
        <is>
          <t>Point</t>
        </is>
      </c>
      <c r="C1221" s="7" t="n"/>
      <c r="D1221" s="7" t="inlineStr">
        <is>
          <t>1921</t>
        </is>
      </c>
      <c r="E1221" s="7" t="n"/>
      <c r="F1221" s="7" t="inlineStr">
        <is>
          <t>1921 CE</t>
        </is>
      </c>
      <c r="G1221" s="7" t="inlineStr">
        <is>
          <t>Exact</t>
        </is>
      </c>
      <c r="H1221" s="7" t="n"/>
      <c r="I1221" s="7" t="n"/>
      <c r="J1221" s="7" t="n"/>
      <c r="K1221" s="2" t="inlineStr">
        <is>
          <t>Over two million Russians starve to death</t>
        </is>
      </c>
      <c r="L1221" s="2" t="n"/>
      <c r="M1221" s="7" t="inlineStr">
        <is>
          <t>The Watchtower lists the famine of 1921, in which over two million Russians starved to death, among the famines of the 20th century that it connects with the rider of the black horse (Revelation 6:5, 6) and Jesus’ words about food shortages.</t>
        </is>
      </c>
      <c r="N1221" s="7" t="n"/>
      <c r="O1221" s="8" t="inlineStr">
        <is>
          <t>Bible</t>
        </is>
      </c>
      <c r="P1221" s="7" t="inlineStr">
        <is>
          <t>bible.prophecy_fulfilled</t>
        </is>
      </c>
      <c r="Q1221" s="7" t="inlineStr">
        <is>
          <t>famine</t>
        </is>
      </c>
      <c r="R1221" s="7" t="n"/>
      <c r="S1221" s="7" t="inlineStr">
        <is>
          <t>Russia</t>
        </is>
      </c>
      <c r="T1221" s="7" t="inlineStr">
        <is>
          <t>Rev. 6:5, 6; Matt. 24:7</t>
        </is>
      </c>
      <c r="U1221" s="7" t="inlineStr">
        <is>
          <t>வெளி. 6:5, 6; மத். 24:7</t>
        </is>
      </c>
      <c r="V1221" s="7" t="n">
        <v>1</v>
      </c>
      <c r="W1221" s="7" t="inlineStr">
        <is>
          <t>The True Culprit Behind War and Suffering</t>
        </is>
      </c>
      <c r="X1221" s="9" t="inlineStr">
        <is>
          <t>open</t>
        </is>
      </c>
      <c r="Y1221" s="7" t="n"/>
      <c r="Z1221" s="7" t="inlineStr">
        <is>
          <t>https://wol.jw.org/en/wol/d/r1/lp-e/2014083</t>
        </is>
      </c>
      <c r="AA1221" s="7" t="n">
        <v>0</v>
      </c>
      <c r="AB1221" s="7" t="n"/>
      <c r="AC1221" s="7" t="n">
        <v>0</v>
      </c>
      <c r="AD1221" s="7" t="n"/>
      <c r="AE1221" s="7" t="n"/>
      <c r="AF1221" s="7" t="n"/>
      <c r="AG1221" s="7" t="n"/>
      <c r="AH1221" s="7" t="n"/>
      <c r="AI1221" s="7" t="n"/>
      <c r="AJ1221" s="7" t="n"/>
      <c r="AK1221" s="7" t="inlineStr">
        <is>
          <t>last-days-sign #11 (fulfillment)</t>
        </is>
      </c>
      <c r="AL1221" s="7" t="n"/>
      <c r="AM1221" s="7" t="n">
        <v>1921</v>
      </c>
      <c r="AN1221" s="10" t="n"/>
      <c r="AO1221" s="10" t="n"/>
      <c r="AP1221" s="10" t="n"/>
      <c r="AQ1221" s="10" t="n"/>
    </row>
    <row r="1222">
      <c r="A1222" s="7" t="inlineStr">
        <is>
          <t>b8-0133</t>
        </is>
      </c>
      <c r="B1222" s="7" t="inlineStr">
        <is>
          <t>Point</t>
        </is>
      </c>
      <c r="C1222" s="7" t="n"/>
      <c r="D1222" s="7" t="inlineStr">
        <is>
          <t>1921</t>
        </is>
      </c>
      <c r="E1222" s="7" t="n"/>
      <c r="F1222" s="7" t="inlineStr">
        <is>
          <t>1921 CE</t>
        </is>
      </c>
      <c r="G1222" s="7" t="inlineStr">
        <is>
          <t>Exact</t>
        </is>
      </c>
      <c r="H1222" s="7" t="n"/>
      <c r="I1222" s="7" t="n"/>
      <c r="J1222" s="7" t="n"/>
      <c r="K1222" s="2" t="inlineStr">
        <is>
          <t>The Harp of God published</t>
        </is>
      </c>
      <c r="L1222" s="2" t="n"/>
      <c r="M1222" s="7" t="inlineStr">
        <is>
          <t>The Bible study aid The Harp of God is published.</t>
        </is>
      </c>
      <c r="N1222" s="7" t="n"/>
      <c r="O1222" s="13" t="inlineStr">
        <is>
          <t>Jehovah's Witnesses</t>
        </is>
      </c>
      <c r="P1222" s="7" t="inlineStr">
        <is>
          <t>jw.publication</t>
        </is>
      </c>
      <c r="Q1222" s="7" t="inlineStr">
        <is>
          <t>release</t>
        </is>
      </c>
      <c r="R1222" s="7" t="n"/>
      <c r="S1222" s="7" t="n"/>
      <c r="T1222" s="7" t="n"/>
      <c r="U1222" s="7" t="n"/>
      <c r="V1222" s="7" t="n">
        <v>1</v>
      </c>
      <c r="W1222" s="7" t="inlineStr">
        <is>
          <t>Tools for Preaching—Producing Literature for the Worldwide Field</t>
        </is>
      </c>
      <c r="X1222" s="9" t="inlineStr">
        <is>
          <t>open</t>
        </is>
      </c>
      <c r="Y1222" s="9" t="inlineStr">
        <is>
          <t>open</t>
        </is>
      </c>
      <c r="Z1222" s="7" t="inlineStr">
        <is>
          <t>https://wol.jw.org/en/wol/d/r1/lp-e/1102014247</t>
        </is>
      </c>
      <c r="AA1222" s="7" t="n">
        <v>0</v>
      </c>
      <c r="AB1222" s="7" t="n"/>
      <c r="AC1222" s="7" t="n">
        <v>0</v>
      </c>
      <c r="AD1222" s="7" t="n"/>
      <c r="AE1222" s="7" t="n"/>
      <c r="AF1222" s="7" t="n"/>
      <c r="AG1222" s="7" t="n"/>
      <c r="AH1222" s="7" t="n"/>
      <c r="AI1222" s="7" t="n"/>
      <c r="AJ1222" s="7" t="n"/>
      <c r="AK1222" s="7" t="n"/>
      <c r="AL1222" s="7" t="n"/>
      <c r="AM1222" s="7" t="n">
        <v>1921</v>
      </c>
      <c r="AN1222" s="10" t="n"/>
      <c r="AO1222" s="10" t="n"/>
      <c r="AP1222" s="10" t="n"/>
      <c r="AQ1222" s="10" t="n"/>
    </row>
    <row r="1223">
      <c r="A1223" s="7" t="inlineStr">
        <is>
          <t>b8-0134</t>
        </is>
      </c>
      <c r="B1223" s="7" t="inlineStr">
        <is>
          <t>Point</t>
        </is>
      </c>
      <c r="C1223" s="7" t="n"/>
      <c r="D1223" s="7" t="inlineStr">
        <is>
          <t>1922</t>
        </is>
      </c>
      <c r="E1223" s="7" t="n"/>
      <c r="F1223" s="7" t="inlineStr">
        <is>
          <t>1922 CE</t>
        </is>
      </c>
      <c r="G1223" s="7" t="inlineStr">
        <is>
          <t>Exact</t>
        </is>
      </c>
      <c r="H1223" s="7" t="n"/>
      <c r="I1223" s="7" t="n"/>
      <c r="J1223" s="7" t="n"/>
      <c r="K1223" s="2" t="inlineStr">
        <is>
          <t>Convention resolution “A Challenge to World Leaders”</t>
        </is>
      </c>
      <c r="L1223" s="2" t="n"/>
      <c r="M1223" s="7" t="inlineStr">
        <is>
          <t>The 1922 convention adopts the resolution “A Challenge to World Leaders,” first of seven yearly resolutions (1922-1928) distributed widely.</t>
        </is>
      </c>
      <c r="N1223" s="7" t="n"/>
      <c r="O1223" s="13" t="inlineStr">
        <is>
          <t>Jehovah's Witnesses</t>
        </is>
      </c>
      <c r="P1223" s="7" t="inlineStr">
        <is>
          <t>jw.convention</t>
        </is>
      </c>
      <c r="Q1223" s="7" t="inlineStr">
        <is>
          <t>resolution</t>
        </is>
      </c>
      <c r="R1223" s="7" t="n"/>
      <c r="S1223" s="7" t="n"/>
      <c r="T1223" s="7" t="n"/>
      <c r="U1223" s="7" t="n"/>
      <c r="V1223" s="7" t="n">
        <v>2</v>
      </c>
      <c r="W1223" s="7" t="inlineStr">
        <is>
          <t>Conventions Proof of Our Brotherhood</t>
        </is>
      </c>
      <c r="X1223" s="9" t="inlineStr">
        <is>
          <t>open</t>
        </is>
      </c>
      <c r="Y1223" s="7" t="n"/>
      <c r="Z1223" s="7" t="inlineStr">
        <is>
          <t>https://wol.jw.org/en/wol/d/r1/lp-e/1101993020
https://wol.jw.org/en/wol/d/r1/lp-e/1101993020</t>
        </is>
      </c>
      <c r="AA1223" s="7" t="n">
        <v>0</v>
      </c>
      <c r="AB1223" s="7" t="n"/>
      <c r="AC1223" s="7" t="n">
        <v>0</v>
      </c>
      <c r="AD1223" s="7" t="n"/>
      <c r="AE1223" s="7" t="n"/>
      <c r="AF1223" s="7" t="n"/>
      <c r="AG1223" s="7" t="n"/>
      <c r="AH1223" s="7" t="n"/>
      <c r="AI1223" s="7" t="n"/>
      <c r="AJ1223" s="7" t="n"/>
      <c r="AK1223" s="7" t="n"/>
      <c r="AL1223" s="7" t="n"/>
      <c r="AM1223" s="7" t="n">
        <v>1922</v>
      </c>
      <c r="AN1223" s="10" t="n"/>
      <c r="AO1223" s="10" t="n"/>
      <c r="AP1223" s="10" t="n"/>
      <c r="AQ1223" s="10" t="n"/>
    </row>
    <row r="1224">
      <c r="A1224" s="7" t="inlineStr">
        <is>
          <t>b8-0135</t>
        </is>
      </c>
      <c r="B1224" s="7" t="inlineStr">
        <is>
          <t>Point</t>
        </is>
      </c>
      <c r="C1224" s="7" t="n"/>
      <c r="D1224" s="7" t="inlineStr">
        <is>
          <t>1922</t>
        </is>
      </c>
      <c r="E1224" s="7" t="n"/>
      <c r="F1224" s="7" t="inlineStr">
        <is>
          <t>1922 CE</t>
        </is>
      </c>
      <c r="G1224" s="7" t="inlineStr">
        <is>
          <t>Exact</t>
        </is>
      </c>
      <c r="H1224" s="7" t="n"/>
      <c r="I1224" s="7" t="n"/>
      <c r="J1224" s="7" t="n"/>
      <c r="K1224" s="2" t="inlineStr">
        <is>
          <t>Clergy in Germany agitate for arrests of Bible Students</t>
        </is>
      </c>
      <c r="L1224" s="2" t="n"/>
      <c r="M1224" s="7" t="inlineStr">
        <is>
          <t>Clergy in Germany agitate for police to arrest Bible Students engaged in public distribution of Bible literature.</t>
        </is>
      </c>
      <c r="N1224" s="7" t="n"/>
      <c r="O1224" s="13" t="inlineStr">
        <is>
          <t>Jehovah's Witnesses</t>
        </is>
      </c>
      <c r="P1224" s="7" t="inlineStr">
        <is>
          <t>jw.persecution</t>
        </is>
      </c>
      <c r="Q1224" s="7" t="inlineStr">
        <is>
          <t>opposition</t>
        </is>
      </c>
      <c r="R1224" s="7" t="n"/>
      <c r="S1224" s="7" t="inlineStr">
        <is>
          <t>Germany</t>
        </is>
      </c>
      <c r="T1224" s="7" t="n"/>
      <c r="U1224" s="7" t="n"/>
      <c r="V1224" s="7" t="n">
        <v>1</v>
      </c>
      <c r="W1224" s="7" t="inlineStr">
        <is>
          <t>Noteworthy Events in the Modern-day History of Jehovah’s Witnesses</t>
        </is>
      </c>
      <c r="X1224" s="9" t="inlineStr">
        <is>
          <t>open</t>
        </is>
      </c>
      <c r="Y1224" s="7" t="n"/>
      <c r="Z1224" s="7" t="inlineStr">
        <is>
          <t>https://wol.jw.org/en/wol/d/r1/lp-e/1101993046</t>
        </is>
      </c>
      <c r="AA1224" s="7" t="n">
        <v>0</v>
      </c>
      <c r="AB1224" s="7" t="n"/>
      <c r="AC1224" s="7" t="n">
        <v>0</v>
      </c>
      <c r="AD1224" s="7" t="n"/>
      <c r="AE1224" s="7" t="n"/>
      <c r="AF1224" s="7" t="n"/>
      <c r="AG1224" s="7" t="n"/>
      <c r="AH1224" s="7" t="n"/>
      <c r="AI1224" s="7" t="n"/>
      <c r="AJ1224" s="7" t="n"/>
      <c r="AK1224" s="7" t="n"/>
      <c r="AL1224" s="7" t="n"/>
      <c r="AM1224" s="7" t="n">
        <v>1922</v>
      </c>
      <c r="AN1224" s="10" t="n"/>
      <c r="AO1224" s="10" t="n"/>
      <c r="AP1224" s="10" t="n"/>
      <c r="AQ1224" s="10" t="n"/>
    </row>
    <row r="1225">
      <c r="A1225" s="7" t="inlineStr">
        <is>
          <t>b8-0136</t>
        </is>
      </c>
      <c r="B1225" s="7" t="inlineStr">
        <is>
          <t>Point</t>
        </is>
      </c>
      <c r="C1225" s="7" t="n"/>
      <c r="D1225" s="7" t="inlineStr">
        <is>
          <t>1922</t>
        </is>
      </c>
      <c r="E1225" s="7" t="inlineStr">
        <is>
          <t>1922</t>
        </is>
      </c>
      <c r="F1225" s="7" t="inlineStr">
        <is>
          <t>1922 CE</t>
        </is>
      </c>
      <c r="G1225" s="7" t="inlineStr">
        <is>
          <t>Exact</t>
        </is>
      </c>
      <c r="H1225" s="7" t="n"/>
      <c r="I1225" s="7" t="n"/>
      <c r="J1225" s="7" t="n"/>
      <c r="K1225" s="2" t="inlineStr">
        <is>
          <t>Watch Tower points to two organizations, Jehovah’s and Satan’s</t>
        </is>
      </c>
      <c r="L1225" s="2" t="n"/>
      <c r="M1225" s="7" t="inlineStr">
        <is>
          <t>The Watch Tower points out that there are two organizations at work, Jehovah’s and Satan’s, Satan’s being made up of commercial, religious, and political elements.</t>
        </is>
      </c>
      <c r="N1225" s="7" t="inlineStr">
        <is>
          <t>இது சம்பந்தமாக 1922-ல் வெளிவந்த காவற்கோபுரம், இரண்டு அமைப்புகள் இருப்பதாகச் சொன்னது.</t>
        </is>
      </c>
      <c r="O1225" s="13" t="inlineStr">
        <is>
          <t>Jehovah's Witnesses</t>
        </is>
      </c>
      <c r="P1225" s="7" t="inlineStr">
        <is>
          <t>jw.doctrine</t>
        </is>
      </c>
      <c r="Q1225" s="7" t="inlineStr">
        <is>
          <t>teaching</t>
        </is>
      </c>
      <c r="R1225" s="7" t="n"/>
      <c r="S1225" s="7" t="n"/>
      <c r="T1225" s="7" t="n"/>
      <c r="U1225" s="7" t="n"/>
      <c r="V1225" s="7" t="n">
        <v>2</v>
      </c>
      <c r="W1225" s="7" t="inlineStr">
        <is>
          <t>The King Shines Light on the Kingdom</t>
        </is>
      </c>
      <c r="X1225" s="9" t="inlineStr">
        <is>
          <t>open</t>
        </is>
      </c>
      <c r="Y1225" s="9" t="inlineStr">
        <is>
          <t>open</t>
        </is>
      </c>
      <c r="Z1225" s="7" t="inlineStr">
        <is>
          <t>https://wol.jw.org/en/wol/d/r1/lp-e/1102014244
https://wol.jw.org/en/wol/d/r1/lp-e/1101993046</t>
        </is>
      </c>
      <c r="AA1225" s="7" t="n">
        <v>0</v>
      </c>
      <c r="AB1225" s="7" t="n"/>
      <c r="AC1225" s="7" t="n">
        <v>1</v>
      </c>
      <c r="AD1225" s="7" t="inlineStr">
        <is>
          <t>jv events table attributes the explanation of two opposing organizations to the March 1, 1925, Watch Tower; kr ch. 5 says the point was made in 1922 (kr is newer).</t>
        </is>
      </c>
      <c r="AE1225" s="7" t="n"/>
      <c r="AF1225" s="7" t="n"/>
      <c r="AG1225" s="7" t="n"/>
      <c r="AH1225" s="7" t="n"/>
      <c r="AI1225" s="7" t="n"/>
      <c r="AJ1225" s="7" t="n"/>
      <c r="AK1225" s="7" t="n"/>
      <c r="AL1225" s="7" t="n"/>
      <c r="AM1225" s="7" t="n">
        <v>1922</v>
      </c>
      <c r="AN1225" s="10" t="n"/>
      <c r="AO1225" s="10" t="n"/>
      <c r="AP1225" s="10" t="n"/>
      <c r="AQ1225" s="10" t="n"/>
    </row>
    <row r="1226">
      <c r="A1226" s="7" t="inlineStr">
        <is>
          <t>b8-0137</t>
        </is>
      </c>
      <c r="B1226" s="7" t="inlineStr">
        <is>
          <t>Point</t>
        </is>
      </c>
      <c r="C1226" s="7" t="n"/>
      <c r="D1226" s="7" t="inlineStr">
        <is>
          <t>1922</t>
        </is>
      </c>
      <c r="E1226" s="7" t="n"/>
      <c r="F1226" s="7" t="inlineStr">
        <is>
          <t>1922 CE</t>
        </is>
      </c>
      <c r="G1226" s="7" t="inlineStr">
        <is>
          <t>Exact</t>
        </is>
      </c>
      <c r="H1226" s="7" t="n"/>
      <c r="I1226" s="7" t="n"/>
      <c r="J1226" s="7" t="n"/>
      <c r="K1226" s="2" t="inlineStr">
        <is>
          <t>Small printing plant set up in Korea</t>
        </is>
      </c>
      <c r="L1226" s="2" t="n"/>
      <c r="M1226" s="7" t="inlineStr">
        <is>
          <t>The Society sets up a small printing plant in Korea able to produce literature in Korean, Japanese, and Chinese.</t>
        </is>
      </c>
      <c r="N1226" s="7" t="n"/>
      <c r="O1226" s="13" t="inlineStr">
        <is>
          <t>Jehovah's Witnesses</t>
        </is>
      </c>
      <c r="P1226" s="7" t="inlineStr">
        <is>
          <t>jw.construction</t>
        </is>
      </c>
      <c r="Q1226" s="7" t="inlineStr">
        <is>
          <t>printing</t>
        </is>
      </c>
      <c r="R1226" s="7" t="n"/>
      <c r="S1226" s="7" t="inlineStr">
        <is>
          <t>Korea</t>
        </is>
      </c>
      <c r="T1226" s="7" t="n"/>
      <c r="U1226" s="7" t="n"/>
      <c r="V1226" s="7" t="n">
        <v>1</v>
      </c>
      <c r="W1226" s="7" t="inlineStr">
        <is>
          <t>Producing Bible Literature for Use in the Ministry</t>
        </is>
      </c>
      <c r="X1226" s="9" t="inlineStr">
        <is>
          <t>open</t>
        </is>
      </c>
      <c r="Y1226" s="7" t="n"/>
      <c r="Z1226" s="7" t="inlineStr">
        <is>
          <t>https://wol.jw.org/en/wol/d/r1/lp-e/1101993036</t>
        </is>
      </c>
      <c r="AA1226" s="7" t="n">
        <v>0</v>
      </c>
      <c r="AB1226" s="7" t="n"/>
      <c r="AC1226" s="7" t="n">
        <v>0</v>
      </c>
      <c r="AD1226" s="7" t="n"/>
      <c r="AE1226" s="7" t="n"/>
      <c r="AF1226" s="7" t="n"/>
      <c r="AG1226" s="7" t="n"/>
      <c r="AH1226" s="7" t="n"/>
      <c r="AI1226" s="7" t="n"/>
      <c r="AJ1226" s="7" t="n"/>
      <c r="AK1226" s="7" t="n"/>
      <c r="AL1226" s="7" t="n"/>
      <c r="AM1226" s="7" t="n">
        <v>1922</v>
      </c>
      <c r="AN1226" s="10" t="n"/>
      <c r="AO1226" s="10" t="n"/>
      <c r="AP1226" s="10" t="n"/>
      <c r="AQ1226" s="10" t="n"/>
    </row>
    <row r="1227">
      <c r="A1227" s="7" t="inlineStr">
        <is>
          <t>b8-0138</t>
        </is>
      </c>
      <c r="B1227" s="7" t="inlineStr">
        <is>
          <t>Point</t>
        </is>
      </c>
      <c r="C1227" s="7" t="n"/>
      <c r="D1227" s="7" t="inlineStr">
        <is>
          <t>February 26, 1922</t>
        </is>
      </c>
      <c r="E1227" s="7" t="inlineStr">
        <is>
          <t>பிப்ரவரி 26, 1922</t>
        </is>
      </c>
      <c r="F1227" s="7" t="inlineStr">
        <is>
          <t>1922 CE</t>
        </is>
      </c>
      <c r="G1227" s="7" t="inlineStr">
        <is>
          <t>Exact</t>
        </is>
      </c>
      <c r="H1227" s="7" t="n"/>
      <c r="I1227" s="7" t="n"/>
      <c r="J1227" s="7" t="n"/>
      <c r="K1227" s="2" t="inlineStr">
        <is>
          <t>Rutherford’s first radio broadcast</t>
        </is>
      </c>
      <c r="L1227" s="2" t="inlineStr">
        <is>
          <t>ரேடியோ</t>
        </is>
      </c>
      <c r="M1227" s="7" t="inlineStr">
        <is>
          <t>Radio is used for the first time as J. F. Rutherford broadcasts a Bible discourse in California.</t>
        </is>
      </c>
      <c r="N1227" s="7" t="inlineStr">
        <is>
          <t>ரேடியோ</t>
        </is>
      </c>
      <c r="O1227" s="13" t="inlineStr">
        <is>
          <t>Jehovah's Witnesses</t>
        </is>
      </c>
      <c r="P1227" s="7" t="inlineStr">
        <is>
          <t>jw.preaching</t>
        </is>
      </c>
      <c r="Q1227" s="7" t="inlineStr">
        <is>
          <t>broadcast</t>
        </is>
      </c>
      <c r="R1227" s="7" t="inlineStr">
        <is>
          <t>Joseph F. Rutherford</t>
        </is>
      </c>
      <c r="S1227" s="7" t="inlineStr">
        <is>
          <t>California</t>
        </is>
      </c>
      <c r="T1227" s="7" t="n"/>
      <c r="U1227" s="7" t="n"/>
      <c r="V1227" s="7" t="n">
        <v>3</v>
      </c>
      <c r="W1227" s="7" t="inlineStr">
        <is>
          <t>Noteworthy Events in the Modern-day History of Jehovah’s Witnesses</t>
        </is>
      </c>
      <c r="X1227" s="9" t="inlineStr">
        <is>
          <t>open</t>
        </is>
      </c>
      <c r="Y1227" s="7" t="n"/>
      <c r="Z1227" s="7" t="inlineStr">
        <is>
          <t>https://wol.jw.org/en/wol/d/r1/lp-e/1101993046
https://wol.jw.org/en/wol/d/r1/lp-e/1101993008
https://wol.jw.org/en/wol/d/r1/lp-e/1102014246</t>
        </is>
      </c>
      <c r="AA1227" s="7" t="n">
        <v>1</v>
      </c>
      <c r="AB1227" s="9" t="inlineStr">
        <is>
          <t>open</t>
        </is>
      </c>
      <c r="AC1227" s="7" t="n">
        <v>0</v>
      </c>
      <c r="AD1227" s="7" t="n"/>
      <c r="AE1227" s="7" t="n"/>
      <c r="AF1227" s="7" t="n"/>
      <c r="AG1227" s="7" t="n"/>
      <c r="AH1227" s="7" t="n"/>
      <c r="AI1227" s="7" t="n"/>
      <c r="AJ1227" s="7" t="n"/>
      <c r="AK1227" s="7" t="n"/>
      <c r="AL1227" s="7" t="n"/>
      <c r="AM1227" s="7" t="n">
        <v>1922.1458</v>
      </c>
      <c r="AN1227" s="10" t="n"/>
      <c r="AO1227" s="10" t="n"/>
      <c r="AP1227" s="10" t="n"/>
      <c r="AQ1227" s="10" t="n"/>
    </row>
    <row r="1228">
      <c r="A1228" s="7" t="inlineStr">
        <is>
          <t>b8-0139</t>
        </is>
      </c>
      <c r="B1228" s="7" t="inlineStr">
        <is>
          <t>Point</t>
        </is>
      </c>
      <c r="C1228" s="7" t="n"/>
      <c r="D1228" s="7" t="inlineStr">
        <is>
          <t>March 1, 1922</t>
        </is>
      </c>
      <c r="E1228" s="7" t="n"/>
      <c r="F1228" s="7" t="inlineStr">
        <is>
          <t>1922 CE</t>
        </is>
      </c>
      <c r="G1228" s="7" t="inlineStr">
        <is>
          <t>Exact</t>
        </is>
      </c>
      <c r="H1228" s="7" t="n"/>
      <c r="I1228" s="7" t="n"/>
      <c r="J1228" s="7" t="n"/>
      <c r="K1228" s="2" t="inlineStr">
        <is>
          <t>Printing moves to 18 Concord Street, Brooklyn</t>
        </is>
      </c>
      <c r="L1228" s="2" t="n"/>
      <c r="M1228" s="7" t="inlineStr">
        <is>
          <t>The Society moves its printing into a leased six-story building at 18 Concord Street, Brooklyn, where it begins printing and binding books.</t>
        </is>
      </c>
      <c r="N1228" s="7" t="n"/>
      <c r="O1228" s="13" t="inlineStr">
        <is>
          <t>Jehovah's Witnesses</t>
        </is>
      </c>
      <c r="P1228" s="7" t="inlineStr">
        <is>
          <t>jw.construction</t>
        </is>
      </c>
      <c r="Q1228" s="7" t="inlineStr">
        <is>
          <t>printing</t>
        </is>
      </c>
      <c r="R1228" s="7" t="n"/>
      <c r="S1228" s="7" t="inlineStr">
        <is>
          <t>Brooklyn, New York</t>
        </is>
      </c>
      <c r="T1228" s="7" t="n"/>
      <c r="U1228" s="7" t="n"/>
      <c r="V1228" s="7" t="n">
        <v>1</v>
      </c>
      <c r="W1228" s="7" t="inlineStr">
        <is>
          <t>Producing Bible Literature for Use in the Ministry</t>
        </is>
      </c>
      <c r="X1228" s="9" t="inlineStr">
        <is>
          <t>open</t>
        </is>
      </c>
      <c r="Y1228" s="7" t="n"/>
      <c r="Z1228" s="7" t="inlineStr">
        <is>
          <t>https://wol.jw.org/en/wol/d/r1/lp-e/1101993036</t>
        </is>
      </c>
      <c r="AA1228" s="7" t="n">
        <v>0</v>
      </c>
      <c r="AB1228" s="7" t="n"/>
      <c r="AC1228" s="7" t="n">
        <v>0</v>
      </c>
      <c r="AD1228" s="7" t="n"/>
      <c r="AE1228" s="7" t="n"/>
      <c r="AF1228" s="7" t="n"/>
      <c r="AG1228" s="7" t="n"/>
      <c r="AH1228" s="7" t="n"/>
      <c r="AI1228" s="7" t="n"/>
      <c r="AJ1228" s="7" t="n"/>
      <c r="AK1228" s="7" t="n"/>
      <c r="AL1228" s="7" t="n"/>
      <c r="AM1228" s="7" t="n">
        <v>1922.1667</v>
      </c>
      <c r="AN1228" s="10" t="n"/>
      <c r="AO1228" s="10" t="n"/>
      <c r="AP1228" s="10" t="n"/>
      <c r="AQ1228" s="10" t="n"/>
    </row>
    <row r="1229">
      <c r="A1229" s="7" t="inlineStr">
        <is>
          <t>b8-0140</t>
        </is>
      </c>
      <c r="B1229" s="7" t="inlineStr">
        <is>
          <t>Point</t>
        </is>
      </c>
      <c r="C1229" s="7" t="n"/>
      <c r="D1229" s="7" t="inlineStr">
        <is>
          <t>April 16, 1922</t>
        </is>
      </c>
      <c r="E1229" s="7" t="inlineStr">
        <is>
          <t>ஏப்ரல் 16, 1922</t>
        </is>
      </c>
      <c r="F1229" s="7" t="inlineStr">
        <is>
          <t>1922 CE</t>
        </is>
      </c>
      <c r="G1229" s="7" t="inlineStr">
        <is>
          <t>Exact</t>
        </is>
      </c>
      <c r="H1229" s="7" t="n"/>
      <c r="I1229" s="7" t="n"/>
      <c r="J1229" s="7" t="n"/>
      <c r="K1229" s="2" t="inlineStr">
        <is>
          <t>Broadcast from Metropolitan Opera House, Philadelphia</t>
        </is>
      </c>
      <c r="L1229" s="2" t="n"/>
      <c r="M1229" s="7" t="inlineStr">
        <is>
          <t>Rutherford gives a historic radio broadcast of “Millions Now Living Will Never Die” from the Metropolitan Opera House in Philadelphia, heard by an estimated 50,000.</t>
        </is>
      </c>
      <c r="N1229" s="7" t="inlineStr">
        <is>
          <t>ஏப்ரல் 16, 1922-ல் பென்ஸில்வேனியாவைச் சேர்ந்த பிலடெல்ஃபியாவிலுள்ள மெட்ரோபாலிட்டன் ஓப்ரா ஹவுஸிலிருந்து சகோதரர் ரதர்ஃபர்ட்டின் பேச்சு ஒலிபரப்பப்பட்டது.</t>
        </is>
      </c>
      <c r="O1229" s="13" t="inlineStr">
        <is>
          <t>Jehovah's Witnesses</t>
        </is>
      </c>
      <c r="P1229" s="7" t="inlineStr">
        <is>
          <t>jw.preaching</t>
        </is>
      </c>
      <c r="Q1229" s="7" t="inlineStr">
        <is>
          <t>broadcast</t>
        </is>
      </c>
      <c r="R1229" s="7" t="inlineStr">
        <is>
          <t>Joseph F. Rutherford</t>
        </is>
      </c>
      <c r="S1229" s="7" t="inlineStr">
        <is>
          <t>Philadelphia</t>
        </is>
      </c>
      <c r="T1229" s="7" t="n"/>
      <c r="U1229" s="7" t="n"/>
      <c r="V1229" s="7" t="n">
        <v>2</v>
      </c>
      <c r="W1229" s="7" t="inlineStr">
        <is>
          <t>Methods of Preaching—Using Every Means to Reach People</t>
        </is>
      </c>
      <c r="X1229" s="9" t="inlineStr">
        <is>
          <t>open</t>
        </is>
      </c>
      <c r="Y1229" s="9" t="inlineStr">
        <is>
          <t>open</t>
        </is>
      </c>
      <c r="Z1229" s="7" t="inlineStr">
        <is>
          <t>https://wol.jw.org/en/wol/d/r1/lp-e/1102014246
https://wol.jw.org/en/wol/d/r1/lp-e/301975003</t>
        </is>
      </c>
      <c r="AA1229" s="7" t="n">
        <v>0</v>
      </c>
      <c r="AB1229" s="7" t="n"/>
      <c r="AC1229" s="7" t="n">
        <v>0</v>
      </c>
      <c r="AD1229" s="7" t="n"/>
      <c r="AE1229" s="7" t="n"/>
      <c r="AF1229" s="7" t="n"/>
      <c r="AG1229" s="7" t="n"/>
      <c r="AH1229" s="7" t="n"/>
      <c r="AI1229" s="7" t="n"/>
      <c r="AJ1229" s="7" t="n"/>
      <c r="AK1229" s="7" t="n"/>
      <c r="AL1229" s="7" t="n"/>
      <c r="AM1229" s="7" t="n">
        <v>1922.2875</v>
      </c>
      <c r="AN1229" s="10" t="n"/>
      <c r="AO1229" s="10" t="n"/>
      <c r="AP1229" s="10" t="n"/>
      <c r="AQ1229" s="10" t="n"/>
    </row>
    <row r="1230">
      <c r="A1230" s="7" t="inlineStr">
        <is>
          <t>b8-0141</t>
        </is>
      </c>
      <c r="B1230" s="7" t="inlineStr">
        <is>
          <t>Point</t>
        </is>
      </c>
      <c r="C1230" s="7" t="n"/>
      <c r="D1230" s="7" t="inlineStr">
        <is>
          <t>May 15, 1922</t>
        </is>
      </c>
      <c r="E1230" s="7" t="inlineStr">
        <is>
          <t>மே 15, 1922</t>
        </is>
      </c>
      <c r="F1230" s="7" t="inlineStr">
        <is>
          <t>1922 CE</t>
        </is>
      </c>
      <c r="G1230" s="7" t="inlineStr">
        <is>
          <t>Exact</t>
        </is>
      </c>
      <c r="H1230" s="7" t="n"/>
      <c r="I1230" s="7" t="n"/>
      <c r="J1230" s="7" t="n"/>
      <c r="K1230" s="2" t="inlineStr">
        <is>
          <t>Study questions become a regular Watch Tower feature</t>
        </is>
      </c>
      <c r="L1230" s="2" t="n"/>
      <c r="M1230" s="7" t="inlineStr">
        <is>
          <t>Following a recommendation by pilgrims that a regular meeting study The Watch Tower, questions for studying principal articles become a regular feature beginning with the May 15, 1922, issue.</t>
        </is>
      </c>
      <c r="N1230" s="7" t="inlineStr">
        <is>
          <t>சபைகளில் பேச்சுகளைக் கொடுப்பதற்கும் பிரசங்க வேலையை முன்நின்று வழிநடத்துவதற்கும் காவற்கோபுர சங்கத்தால் அனுப்பிவைக்கப்பட்ட ஊழியர்கள் 1922-ல் ஒரு விஷயத்தைச் சிபாரிசு செய்தார்கள்.</t>
        </is>
      </c>
      <c r="O1230" s="13" t="inlineStr">
        <is>
          <t>Jehovah's Witnesses</t>
        </is>
      </c>
      <c r="P1230" s="7" t="inlineStr">
        <is>
          <t>jw.organization</t>
        </is>
      </c>
      <c r="Q1230" s="7" t="inlineStr">
        <is>
          <t>meeting</t>
        </is>
      </c>
      <c r="R1230" s="7" t="n"/>
      <c r="S1230" s="7" t="n"/>
      <c r="T1230" s="7" t="n"/>
      <c r="U1230" s="7" t="n"/>
      <c r="V1230" s="7" t="n">
        <v>2</v>
      </c>
      <c r="W1230" s="7" t="inlineStr">
        <is>
          <t>Meetings for Worship, Instruction, and Encouragement</t>
        </is>
      </c>
      <c r="X1230" s="9" t="inlineStr">
        <is>
          <t>open</t>
        </is>
      </c>
      <c r="Y1230" s="7" t="n"/>
      <c r="Z1230" s="7" t="inlineStr">
        <is>
          <t>https://wol.jw.org/en/wol/d/r1/lp-e/1101993019
https://wol.jw.org/en/wol/d/r1/lp-e/1102014255</t>
        </is>
      </c>
      <c r="AA1230" s="7" t="n">
        <v>1</v>
      </c>
      <c r="AB1230" s="9" t="inlineStr">
        <is>
          <t>open</t>
        </is>
      </c>
      <c r="AC1230" s="7" t="n">
        <v>0</v>
      </c>
      <c r="AD1230" s="7" t="n"/>
      <c r="AE1230" s="7" t="n"/>
      <c r="AF1230" s="7" t="n"/>
      <c r="AG1230" s="7" t="n"/>
      <c r="AH1230" s="7" t="n"/>
      <c r="AI1230" s="7" t="n"/>
      <c r="AJ1230" s="7" t="n"/>
      <c r="AK1230" s="7" t="n"/>
      <c r="AL1230" s="7" t="n"/>
      <c r="AM1230" s="7" t="n">
        <v>1922.3683</v>
      </c>
      <c r="AN1230" s="10" t="n"/>
      <c r="AO1230" s="10" t="n"/>
      <c r="AP1230" s="10" t="n"/>
      <c r="AQ1230" s="10" t="n"/>
    </row>
    <row r="1231">
      <c r="A1231" s="7" t="inlineStr">
        <is>
          <t>b8-0142</t>
        </is>
      </c>
      <c r="B1231" s="11" t="inlineStr">
        <is>
          <t>Span</t>
        </is>
      </c>
      <c r="C1231" s="7" t="inlineStr">
        <is>
          <t>convention</t>
        </is>
      </c>
      <c r="D1231" s="7" t="inlineStr">
        <is>
          <t>September 5-13, 1922</t>
        </is>
      </c>
      <c r="E1231" s="7" t="inlineStr">
        <is>
          <t>செப்டம்பர் 5-13, 1922</t>
        </is>
      </c>
      <c r="F1231" s="7" t="inlineStr">
        <is>
          <t>1922 CE</t>
        </is>
      </c>
      <c r="G1231" s="7" t="inlineStr">
        <is>
          <t>Exact</t>
        </is>
      </c>
      <c r="H1231" s="7" t="inlineStr">
        <is>
          <t>1922 CE</t>
        </is>
      </c>
      <c r="I1231" s="7" t="inlineStr">
        <is>
          <t>Exact</t>
        </is>
      </c>
      <c r="J1231" s="7" t="inlineStr">
        <is>
          <t>9 days</t>
        </is>
      </c>
      <c r="K1231" s="2" t="inlineStr">
        <is>
          <t>Cedar Point convention: “Advertise, advertise, advertise”</t>
        </is>
      </c>
      <c r="L1231" s="2" t="n"/>
      <c r="M1231" s="7" t="inlineStr">
        <is>
          <t>At the nine-day Cedar Point, Ohio, convention, Rutherford’s talk “The Kingdom” urges: “Advertise, advertise, advertise, the King and his kingdom,” giving great impetus to the preaching work.</t>
        </is>
      </c>
      <c r="N1231" s="7" t="inlineStr">
        <is>
          <t>“கடவுளுடைய அரசாங்கம்” என்ற தலைப்பில் கொடுக்கப்பட்ட பேச்சு, பிரசங்க வேலையைச் செய்ய எல்லாரையும் உற்சாகப்படுத்தியது. இந்தப் பேச்சில்தான், “ராஜாவையும் அவருடைய அரசாங்கத்தையும் விளம்பரப்படுத்துங்கள், விளம்பரப்படுத்துங்கள், விளம்பரப்படுத்துங்கள்” என்ற அறிவிப்பு செய்யப்பட்டது.</t>
        </is>
      </c>
      <c r="O1231" s="13" t="inlineStr">
        <is>
          <t>Jehovah's Witnesses</t>
        </is>
      </c>
      <c r="P1231" s="7" t="inlineStr">
        <is>
          <t>jw.convention</t>
        </is>
      </c>
      <c r="Q1231" s="7" t="inlineStr">
        <is>
          <t>convention</t>
        </is>
      </c>
      <c r="R1231" s="7" t="inlineStr">
        <is>
          <t>Joseph F. Rutherford</t>
        </is>
      </c>
      <c r="S1231" s="7" t="inlineStr">
        <is>
          <t>Cedar Point, Ohio</t>
        </is>
      </c>
      <c r="T1231" s="7" t="n"/>
      <c r="U1231" s="7" t="n"/>
      <c r="V1231" s="7" t="n">
        <v>4</v>
      </c>
      <c r="W1231" s="7" t="inlineStr">
        <is>
          <t>Noteworthy Events in the Modern-day History of Jehovah’s Witnesses</t>
        </is>
      </c>
      <c r="X1231" s="9" t="inlineStr">
        <is>
          <t>open</t>
        </is>
      </c>
      <c r="Y1231" s="7" t="n"/>
      <c r="Z1231" s="7" t="inlineStr">
        <is>
          <t>https://wol.jw.org/en/wol/d/r1/lp-e/1101993046
https://wol.jw.org/en/wol/d/r1/lp-e/1102014255
https://wol.jw.org/en/wol/d/r1/lp-e/1101993008
https://wol.jw.org/en/wol/d/r1/lp-e/1101993012</t>
        </is>
      </c>
      <c r="AA1231" s="7" t="n">
        <v>1</v>
      </c>
      <c r="AB1231" s="9" t="inlineStr">
        <is>
          <t>open</t>
        </is>
      </c>
      <c r="AC1231" s="7" t="n">
        <v>0</v>
      </c>
      <c r="AD1231" s="7" t="n"/>
      <c r="AE1231" s="7" t="n"/>
      <c r="AF1231" s="7" t="n"/>
      <c r="AG1231" s="7" t="n"/>
      <c r="AH1231" s="7" t="n"/>
      <c r="AI1231" s="7" t="n"/>
      <c r="AJ1231" s="7" t="n"/>
      <c r="AK1231" s="7" t="inlineStr">
        <is>
          <t>daniel-time-prophecies #22 (end); daniel-time-prophecies #24 (start)</t>
        </is>
      </c>
      <c r="AL1231" s="7" t="n"/>
      <c r="AM1231" s="7" t="n">
        <v>1922.6767</v>
      </c>
      <c r="AN1231" s="10" t="n"/>
      <c r="AO1231" s="10" t="n"/>
      <c r="AP1231" s="10" t="n"/>
      <c r="AQ1231" s="10" t="n"/>
    </row>
    <row r="1232">
      <c r="A1232" s="7" t="inlineStr">
        <is>
          <t>b12-0078</t>
        </is>
      </c>
      <c r="B1232" s="11" t="inlineStr">
        <is>
          <t>Span</t>
        </is>
      </c>
      <c r="C1232" s="7" t="inlineStr">
        <is>
          <t>prophetic period</t>
        </is>
      </c>
      <c r="D1232" s="7" t="inlineStr">
        <is>
          <t>September 1922 to May 1926</t>
        </is>
      </c>
      <c r="E1232" s="7" t="n"/>
      <c r="F1232" s="7" t="inlineStr">
        <is>
          <t>1922 CE</t>
        </is>
      </c>
      <c r="G1232" s="7" t="inlineStr">
        <is>
          <t>Exact</t>
        </is>
      </c>
      <c r="H1232" s="7" t="inlineStr">
        <is>
          <t>1926 CE</t>
        </is>
      </c>
      <c r="I1232" s="7" t="inlineStr">
        <is>
          <t>Exact</t>
        </is>
      </c>
      <c r="J1232" s="7" t="inlineStr">
        <is>
          <t>1,335 days</t>
        </is>
      </c>
      <c r="K1232" s="2" t="inlineStr">
        <is>
          <t>The 1,335 days of Daniel 12:12</t>
        </is>
      </c>
      <c r="L1232" s="2" t="inlineStr">
        <is>
          <t>1,335 நாட்கள்</t>
        </is>
      </c>
      <c r="M1232" s="7" t="inlineStr">
        <is>
          <t>The 1,335 days ran from the Cedar Point convention of September 1922 to May 1926, when the anointed attained a happy state with a clear focus on the sanctification of Jehovah’s name.</t>
        </is>
      </c>
      <c r="N1232" s="7" t="inlineStr">
        <is>
          <t>முன்னறிவிக்கப்பட்டபடி, 1,335 நாட்களின் முடிவில் பரிசுத்தவான்கள் சந்தோஷமான நிலையில் இருந்தார்கள்.</t>
        </is>
      </c>
      <c r="O1232" s="8" t="inlineStr">
        <is>
          <t>Bible</t>
        </is>
      </c>
      <c r="P1232" s="7" t="inlineStr">
        <is>
          <t>bible.prophecy_fulfilled</t>
        </is>
      </c>
      <c r="Q1232" s="7" t="n"/>
      <c r="R1232" s="7" t="n"/>
      <c r="S1232" s="7" t="n"/>
      <c r="T1232" s="7" t="inlineStr">
        <is>
          <t>Dan. 12:12</t>
        </is>
      </c>
      <c r="U1232" s="7" t="inlineStr">
        <is>
          <t>தானி. 12:12</t>
        </is>
      </c>
      <c r="V1232" s="7" t="n">
        <v>2</v>
      </c>
      <c r="W1232" s="7" t="inlineStr">
        <is>
          <t>Identifying True Worshipers in the Time of the End</t>
        </is>
      </c>
      <c r="X1232" s="9" t="inlineStr">
        <is>
          <t>open</t>
        </is>
      </c>
      <c r="Y1232" s="9" t="inlineStr">
        <is>
          <t>open</t>
        </is>
      </c>
      <c r="Z1232" s="7" t="inlineStr">
        <is>
          <t>https://wol.jw.org/en/wol/d/r1/lp-e/1101999037
https://wol.jw.org/en/wol/d/r1/lp-e/1101999037</t>
        </is>
      </c>
      <c r="AA1232" s="7" t="n">
        <v>0</v>
      </c>
      <c r="AB1232" s="7" t="n"/>
      <c r="AC1232" s="7" t="n">
        <v>0</v>
      </c>
      <c r="AD1232" s="7" t="n"/>
      <c r="AE1232" s="7" t="n"/>
      <c r="AF1232" s="7" t="n"/>
      <c r="AG1232" s="7" t="n"/>
      <c r="AH1232" s="7" t="n"/>
      <c r="AI1232" s="7" t="n"/>
      <c r="AJ1232" s="7" t="n"/>
      <c r="AK1232" s="7" t="inlineStr">
        <is>
          <t>daniel-time-prophecies #23 (item)</t>
        </is>
      </c>
      <c r="AL1232" s="7" t="n"/>
      <c r="AM1232" s="7" t="n">
        <v>1922.7</v>
      </c>
      <c r="AN1232" s="10" t="n"/>
      <c r="AO1232" s="10" t="n"/>
      <c r="AP1232" s="10" t="n"/>
      <c r="AQ1232" s="10" t="n"/>
    </row>
    <row r="1233">
      <c r="A1233" s="7" t="inlineStr">
        <is>
          <t>b8-0143</t>
        </is>
      </c>
      <c r="B1233" s="7" t="inlineStr">
        <is>
          <t>Point</t>
        </is>
      </c>
      <c r="C1233" s="7" t="n"/>
      <c r="D1233" s="7" t="inlineStr">
        <is>
          <t>1923</t>
        </is>
      </c>
      <c r="E1233" s="7" t="n"/>
      <c r="F1233" s="7" t="inlineStr">
        <is>
          <t>1923 CE</t>
        </is>
      </c>
      <c r="G1233" s="7" t="inlineStr">
        <is>
          <t>Exact</t>
        </is>
      </c>
      <c r="H1233" s="7" t="n"/>
      <c r="I1233" s="7" t="n"/>
      <c r="J1233" s="7" t="n"/>
      <c r="K1233" s="2" t="inlineStr">
        <is>
          <t>Watch Tower draws attention to a class with earthly hope</t>
        </is>
      </c>
      <c r="L1233" s="2" t="n"/>
      <c r="M1233" s="7" t="inlineStr">
        <is>
          <t>The Watch Tower draws attention to a group with no heavenly aspirations who would live on earth under Christ’s reign, connected with the parable of the sheep and the goats.</t>
        </is>
      </c>
      <c r="N1233" s="7" t="n"/>
      <c r="O1233" s="13" t="inlineStr">
        <is>
          <t>Jehovah's Witnesses</t>
        </is>
      </c>
      <c r="P1233" s="7" t="inlineStr">
        <is>
          <t>jw.doctrine</t>
        </is>
      </c>
      <c r="Q1233" s="7" t="inlineStr">
        <is>
          <t>teaching</t>
        </is>
      </c>
      <c r="R1233" s="7" t="n"/>
      <c r="S1233" s="7" t="n"/>
      <c r="T1233" s="7" t="inlineStr">
        <is>
          <t>Matt. 25:31-46</t>
        </is>
      </c>
      <c r="U1233" s="7" t="n"/>
      <c r="V1233" s="7" t="n">
        <v>2</v>
      </c>
      <c r="W1233" s="7" t="inlineStr">
        <is>
          <t>The King Shines Light on the Kingdom</t>
        </is>
      </c>
      <c r="X1233" s="9" t="inlineStr">
        <is>
          <t>open</t>
        </is>
      </c>
      <c r="Y1233" s="9" t="inlineStr">
        <is>
          <t>open</t>
        </is>
      </c>
      <c r="Z1233" s="7" t="inlineStr">
        <is>
          <t>https://wol.jw.org/en/wol/d/r1/lp-e/1102014244
https://wol.jw.org/en/wol/d/r1/lp-e/1101993014</t>
        </is>
      </c>
      <c r="AA1233" s="7" t="n">
        <v>0</v>
      </c>
      <c r="AB1233" s="7" t="n"/>
      <c r="AC1233" s="7" t="n">
        <v>0</v>
      </c>
      <c r="AD1233" s="7" t="n"/>
      <c r="AE1233" s="7" t="n"/>
      <c r="AF1233" s="7" t="n"/>
      <c r="AG1233" s="7" t="n"/>
      <c r="AH1233" s="7" t="n"/>
      <c r="AI1233" s="7" t="n"/>
      <c r="AJ1233" s="7" t="n"/>
      <c r="AK1233" s="7" t="n"/>
      <c r="AL1233" s="7" t="n"/>
      <c r="AM1233" s="7" t="n">
        <v>1923</v>
      </c>
      <c r="AN1233" s="10" t="n"/>
      <c r="AO1233" s="10" t="n"/>
      <c r="AP1233" s="10" t="n"/>
      <c r="AQ1233" s="10" t="n"/>
    </row>
    <row r="1234">
      <c r="A1234" s="7" t="inlineStr">
        <is>
          <t>b8-0144</t>
        </is>
      </c>
      <c r="B1234" s="7" t="inlineStr">
        <is>
          <t>Point</t>
        </is>
      </c>
      <c r="C1234" s="7" t="n"/>
      <c r="D1234" s="7" t="inlineStr">
        <is>
          <t>1923</t>
        </is>
      </c>
      <c r="E1234" s="7" t="inlineStr">
        <is>
          <t>1923</t>
        </is>
      </c>
      <c r="F1234" s="7" t="inlineStr">
        <is>
          <t>1923 CE</t>
        </is>
      </c>
      <c r="G1234" s="7" t="inlineStr">
        <is>
          <t>Exact</t>
        </is>
      </c>
      <c r="H1234" s="7" t="n"/>
      <c r="I1234" s="7" t="n"/>
      <c r="J1234" s="7" t="n"/>
      <c r="K1234" s="2" t="inlineStr">
        <is>
          <t>First broadcast of a convention session</t>
        </is>
      </c>
      <c r="L1234" s="2" t="n"/>
      <c r="M1234" s="7" t="inlineStr">
        <is>
          <t>A convention session is broadcast by radio for the first time.</t>
        </is>
      </c>
      <c r="N1234" s="7" t="inlineStr">
        <is>
          <t>பிறகு, 1923-ல் முதன்முதலாக ஒரு மாநாட்டின் ஒரு பாகம் ஒலிபரப்பப்பட்டது.</t>
        </is>
      </c>
      <c r="O1234" s="13" t="inlineStr">
        <is>
          <t>Jehovah's Witnesses</t>
        </is>
      </c>
      <c r="P1234" s="7" t="inlineStr">
        <is>
          <t>jw.convention</t>
        </is>
      </c>
      <c r="Q1234" s="7" t="inlineStr">
        <is>
          <t>broadcast</t>
        </is>
      </c>
      <c r="R1234" s="7" t="n"/>
      <c r="S1234" s="7" t="n"/>
      <c r="T1234" s="7" t="n"/>
      <c r="U1234" s="7" t="n"/>
      <c r="V1234" s="7" t="n">
        <v>1</v>
      </c>
      <c r="W1234" s="7" t="inlineStr">
        <is>
          <t>Methods of Preaching—Using Every Means to Reach People</t>
        </is>
      </c>
      <c r="X1234" s="9" t="inlineStr">
        <is>
          <t>open</t>
        </is>
      </c>
      <c r="Y1234" s="9" t="inlineStr">
        <is>
          <t>open</t>
        </is>
      </c>
      <c r="Z1234" s="7" t="inlineStr">
        <is>
          <t>https://wol.jw.org/en/wol/d/r1/lp-e/1102014246</t>
        </is>
      </c>
      <c r="AA1234" s="7" t="n">
        <v>0</v>
      </c>
      <c r="AB1234" s="7" t="n"/>
      <c r="AC1234" s="7" t="n">
        <v>0</v>
      </c>
      <c r="AD1234" s="7" t="n"/>
      <c r="AE1234" s="7" t="n"/>
      <c r="AF1234" s="7" t="n"/>
      <c r="AG1234" s="7" t="n"/>
      <c r="AH1234" s="7" t="n"/>
      <c r="AI1234" s="7" t="n"/>
      <c r="AJ1234" s="7" t="n"/>
      <c r="AK1234" s="7" t="n"/>
      <c r="AL1234" s="7" t="n"/>
      <c r="AM1234" s="7" t="n">
        <v>1923</v>
      </c>
      <c r="AN1234" s="10" t="n"/>
      <c r="AO1234" s="10" t="n"/>
      <c r="AP1234" s="10" t="n"/>
      <c r="AQ1234" s="10" t="n"/>
    </row>
    <row r="1235">
      <c r="A1235" s="7" t="inlineStr">
        <is>
          <t>b8-0145</t>
        </is>
      </c>
      <c r="B1235" s="7" t="inlineStr">
        <is>
          <t>Point</t>
        </is>
      </c>
      <c r="C1235" s="7" t="n"/>
      <c r="D1235" s="7" t="inlineStr">
        <is>
          <t>1923</t>
        </is>
      </c>
      <c r="E1235" s="7" t="inlineStr">
        <is>
          <t>1923</t>
        </is>
      </c>
      <c r="F1235" s="7" t="inlineStr">
        <is>
          <t>1923 CE</t>
        </is>
      </c>
      <c r="G1235" s="7" t="inlineStr">
        <is>
          <t>Exact</t>
        </is>
      </c>
      <c r="H1235" s="7" t="n"/>
      <c r="I1235" s="7" t="n"/>
      <c r="J1235" s="7" t="n"/>
      <c r="K1235" s="2" t="inlineStr">
        <is>
          <t>Monthly field-service testimonies (forerunner of Service Meeting)</t>
        </is>
      </c>
      <c r="L1235" s="2" t="n"/>
      <c r="M1235" s="7" t="inlineStr">
        <is>
          <t>For much of 1923, a monthly meeting focused on field service is held, with half of the Wednesday-night meeting given to field-service testimonies.</t>
        </is>
      </c>
      <c r="N1235" s="7" t="inlineStr">
        <is>
          <t>1923-லிருந்து மாதத்துக்கு ஒருமுறை ஊழியக் கூட்டம் நடத்தப்பட்டது.</t>
        </is>
      </c>
      <c r="O1235" s="13" t="inlineStr">
        <is>
          <t>Jehovah's Witnesses</t>
        </is>
      </c>
      <c r="P1235" s="7" t="inlineStr">
        <is>
          <t>jw.organization</t>
        </is>
      </c>
      <c r="Q1235" s="7" t="inlineStr">
        <is>
          <t>meeting</t>
        </is>
      </c>
      <c r="R1235" s="7" t="n"/>
      <c r="S1235" s="7" t="n"/>
      <c r="T1235" s="7" t="n"/>
      <c r="U1235" s="7" t="n"/>
      <c r="V1235" s="7" t="n">
        <v>2</v>
      </c>
      <c r="W1235" s="7" t="inlineStr">
        <is>
          <t>Meeting Together for Worship</t>
        </is>
      </c>
      <c r="X1235" s="9" t="inlineStr">
        <is>
          <t>open</t>
        </is>
      </c>
      <c r="Y1235" s="9" t="inlineStr">
        <is>
          <t>open</t>
        </is>
      </c>
      <c r="Z1235" s="7" t="inlineStr">
        <is>
          <t>https://wol.jw.org/en/wol/d/r1/lp-e/1102014255
https://wol.jw.org/en/wol/d/r1/lp-e/1101993019</t>
        </is>
      </c>
      <c r="AA1235" s="7" t="n">
        <v>0</v>
      </c>
      <c r="AB1235" s="7" t="n"/>
      <c r="AC1235" s="7" t="n">
        <v>0</v>
      </c>
      <c r="AD1235" s="7" t="n"/>
      <c r="AE1235" s="7" t="n"/>
      <c r="AF1235" s="7" t="n"/>
      <c r="AG1235" s="7" t="n"/>
      <c r="AH1235" s="7" t="n"/>
      <c r="AI1235" s="7" t="n"/>
      <c r="AJ1235" s="7" t="n"/>
      <c r="AK1235" s="7" t="n"/>
      <c r="AL1235" s="7" t="n"/>
      <c r="AM1235" s="7" t="n">
        <v>1923</v>
      </c>
      <c r="AN1235" s="10" t="n"/>
      <c r="AO1235" s="10" t="n"/>
      <c r="AP1235" s="10" t="n"/>
      <c r="AQ1235" s="10" t="n"/>
    </row>
    <row r="1236">
      <c r="A1236" s="7" t="inlineStr">
        <is>
          <t>b8-0146</t>
        </is>
      </c>
      <c r="B1236" s="7" t="inlineStr">
        <is>
          <t>Point</t>
        </is>
      </c>
      <c r="C1236" s="7" t="n"/>
      <c r="D1236" s="7" t="inlineStr">
        <is>
          <t>July 4, 1923</t>
        </is>
      </c>
      <c r="E1236" s="7" t="n"/>
      <c r="F1236" s="7" t="inlineStr">
        <is>
          <t>1923 CE</t>
        </is>
      </c>
      <c r="G1236" s="7" t="inlineStr">
        <is>
          <t>Exact</t>
        </is>
      </c>
      <c r="H1236" s="7" t="n"/>
      <c r="I1236" s="7" t="n"/>
      <c r="J1236" s="7" t="n"/>
      <c r="K1236" s="2" t="inlineStr">
        <is>
          <t>Nathan H. Knorr baptized</t>
        </is>
      </c>
      <c r="L1236" s="2" t="n"/>
      <c r="M1236" s="7" t="inlineStr">
        <is>
          <t>Eighteen-year-old Nathan H. Knorr is baptized in the Little Lehigh River, Pennsylvania; on September 6, 1923, he becomes a member of the Bethel family.</t>
        </is>
      </c>
      <c r="N1236" s="7" t="n"/>
      <c r="O1236" s="13" t="inlineStr">
        <is>
          <t>Jehovah's Witnesses</t>
        </is>
      </c>
      <c r="P1236" s="7" t="inlineStr">
        <is>
          <t>jw.leadership</t>
        </is>
      </c>
      <c r="Q1236" s="7" t="inlineStr">
        <is>
          <t>baptism</t>
        </is>
      </c>
      <c r="R1236" s="7" t="inlineStr">
        <is>
          <t>Nathan H. Knorr</t>
        </is>
      </c>
      <c r="S1236" s="7" t="n"/>
      <c r="T1236" s="7" t="n"/>
      <c r="U1236" s="7" t="n"/>
      <c r="V1236" s="7" t="n">
        <v>1</v>
      </c>
      <c r="W1236" s="7" t="inlineStr">
        <is>
          <t>Declaring the Good News Without Letup (1942-1975)</t>
        </is>
      </c>
      <c r="X1236" s="9" t="inlineStr">
        <is>
          <t>open</t>
        </is>
      </c>
      <c r="Y1236" s="7" t="n"/>
      <c r="Z1236" s="7" t="inlineStr">
        <is>
          <t>https://wol.jw.org/en/wol/d/r1/lp-e/1101993009</t>
        </is>
      </c>
      <c r="AA1236" s="7" t="n">
        <v>0</v>
      </c>
      <c r="AB1236" s="7" t="n"/>
      <c r="AC1236" s="7" t="n">
        <v>0</v>
      </c>
      <c r="AD1236" s="7" t="n"/>
      <c r="AE1236" s="7" t="n"/>
      <c r="AF1236" s="7" t="n"/>
      <c r="AG1236" s="7" t="n"/>
      <c r="AH1236" s="7" t="n"/>
      <c r="AI1236" s="7" t="n"/>
      <c r="AJ1236" s="7" t="n"/>
      <c r="AK1236" s="7" t="n"/>
      <c r="AL1236" s="7" t="n"/>
      <c r="AM1236" s="7" t="n">
        <v>1923.5075</v>
      </c>
      <c r="AN1236" s="10" t="n"/>
      <c r="AO1236" s="10" t="n"/>
      <c r="AP1236" s="10" t="n"/>
      <c r="AQ1236" s="10" t="n"/>
    </row>
    <row r="1237">
      <c r="A1237" s="7" t="inlineStr">
        <is>
          <t>b8-0147</t>
        </is>
      </c>
      <c r="B1237" s="7" t="inlineStr">
        <is>
          <t>Point</t>
        </is>
      </c>
      <c r="C1237" s="7" t="n"/>
      <c r="D1237" s="7" t="inlineStr">
        <is>
          <t>1924</t>
        </is>
      </c>
      <c r="E1237" s="7" t="n"/>
      <c r="F1237" s="7" t="inlineStr">
        <is>
          <t>1924 CE</t>
        </is>
      </c>
      <c r="G1237" s="7" t="inlineStr">
        <is>
          <t>Exact</t>
        </is>
      </c>
      <c r="H1237" s="7" t="n"/>
      <c r="I1237" s="7" t="n"/>
      <c r="J1237" s="7" t="n"/>
      <c r="K1237" s="2" t="inlineStr">
        <is>
          <t>Resolution “Ecclesiastics Indicted” distributed</t>
        </is>
      </c>
      <c r="L1237" s="2" t="n"/>
      <c r="M1237" s="7" t="inlineStr">
        <is>
          <t>The 1924 convention resolution “Ecclesiastics Indicted” is distributed by Bible Students in many lands during 1924-25.</t>
        </is>
      </c>
      <c r="N1237" s="7" t="n"/>
      <c r="O1237" s="13" t="inlineStr">
        <is>
          <t>Jehovah's Witnesses</t>
        </is>
      </c>
      <c r="P1237" s="7" t="inlineStr">
        <is>
          <t>jw.convention</t>
        </is>
      </c>
      <c r="Q1237" s="7" t="inlineStr">
        <is>
          <t>resolution</t>
        </is>
      </c>
      <c r="R1237" s="7" t="n"/>
      <c r="S1237" s="7" t="n"/>
      <c r="T1237" s="7" t="n"/>
      <c r="U1237" s="7" t="n"/>
      <c r="V1237" s="7" t="n">
        <v>2</v>
      </c>
      <c r="W1237" s="7" t="inlineStr">
        <is>
          <t>Conventions Proof of Our Brotherhood</t>
        </is>
      </c>
      <c r="X1237" s="9" t="inlineStr">
        <is>
          <t>open</t>
        </is>
      </c>
      <c r="Y1237" s="7" t="n"/>
      <c r="Z1237" s="7" t="inlineStr">
        <is>
          <t>https://wol.jw.org/en/wol/d/r1/lp-e/1101993020
https://wol.jw.org/en/wol/d/r1/lp-e/1101993040</t>
        </is>
      </c>
      <c r="AA1237" s="7" t="n">
        <v>0</v>
      </c>
      <c r="AB1237" s="7" t="n"/>
      <c r="AC1237" s="7" t="n">
        <v>0</v>
      </c>
      <c r="AD1237" s="7" t="n"/>
      <c r="AE1237" s="7" t="n"/>
      <c r="AF1237" s="7" t="n"/>
      <c r="AG1237" s="7" t="n"/>
      <c r="AH1237" s="7" t="n"/>
      <c r="AI1237" s="7" t="n"/>
      <c r="AJ1237" s="7" t="n"/>
      <c r="AK1237" s="7" t="n"/>
      <c r="AL1237" s="7" t="n"/>
      <c r="AM1237" s="7" t="n">
        <v>1924</v>
      </c>
      <c r="AN1237" s="10" t="n"/>
      <c r="AO1237" s="10" t="n"/>
      <c r="AP1237" s="10" t="n"/>
      <c r="AQ1237" s="10" t="n"/>
    </row>
    <row r="1238">
      <c r="A1238" s="7" t="inlineStr">
        <is>
          <t>b8-0148</t>
        </is>
      </c>
      <c r="B1238" s="7" t="inlineStr">
        <is>
          <t>Point</t>
        </is>
      </c>
      <c r="C1238" s="7" t="n"/>
      <c r="D1238" s="7" t="inlineStr">
        <is>
          <t>February 24, 1924</t>
        </is>
      </c>
      <c r="E1238" s="7" t="inlineStr">
        <is>
          <t>பிப்ரவரி 24, 1924</t>
        </is>
      </c>
      <c r="F1238" s="7" t="inlineStr">
        <is>
          <t>1924 CE</t>
        </is>
      </c>
      <c r="G1238" s="7" t="inlineStr">
        <is>
          <t>Exact</t>
        </is>
      </c>
      <c r="H1238" s="7" t="n"/>
      <c r="I1238" s="7" t="n"/>
      <c r="J1238" s="7" t="n"/>
      <c r="K1238" s="2" t="inlineStr">
        <is>
          <t>WBBR, the Society’s own radio station, begins broadcasting</t>
        </is>
      </c>
      <c r="L1238" s="2" t="n"/>
      <c r="M1238" s="7" t="inlineStr">
        <is>
          <t>WBBR on Staten Island, New York, the first radio station owned by the Watch Tower Society, makes its first broadcast; by 1926 the Bible Students own six stations.</t>
        </is>
      </c>
      <c r="N1238" s="7" t="inlineStr">
        <is>
          <t>பிப்ரவரி 24, 1924-ல் அந்தப் புதிய வானொலி நிலையத்திலிருந்து முதல் ஒலிபரப்பு செய்யப்பட்டது.</t>
        </is>
      </c>
      <c r="O1238" s="13" t="inlineStr">
        <is>
          <t>Jehovah's Witnesses</t>
        </is>
      </c>
      <c r="P1238" s="7" t="inlineStr">
        <is>
          <t>jw.preaching</t>
        </is>
      </c>
      <c r="Q1238" s="7" t="inlineStr">
        <is>
          <t>broadcast</t>
        </is>
      </c>
      <c r="R1238" s="7" t="n"/>
      <c r="S1238" s="7" t="inlineStr">
        <is>
          <t>Staten Island, New York</t>
        </is>
      </c>
      <c r="T1238" s="7" t="n"/>
      <c r="U1238" s="7" t="n"/>
      <c r="V1238" s="7" t="n">
        <v>4</v>
      </c>
      <c r="W1238" s="7" t="inlineStr">
        <is>
          <t>Noteworthy Events in the Modern-day History of Jehovah’s Witnesses</t>
        </is>
      </c>
      <c r="X1238" s="9" t="inlineStr">
        <is>
          <t>open</t>
        </is>
      </c>
      <c r="Y1238" s="7" t="n"/>
      <c r="Z1238" s="7" t="inlineStr">
        <is>
          <t>https://wol.jw.org/en/wol/d/r1/lp-e/1101993046
https://wol.jw.org/en/wol/d/r1/lp-e/1102014246
https://wol.jw.org/en/wol/d/r1/lp-e/1101993008
https://wol.jw.org/en/wol/d/r1/lp-e/301975003</t>
        </is>
      </c>
      <c r="AA1238" s="7" t="n">
        <v>2</v>
      </c>
      <c r="AB1238" s="9" t="inlineStr">
        <is>
          <t>open</t>
        </is>
      </c>
      <c r="AC1238" s="7" t="n">
        <v>0</v>
      </c>
      <c r="AD1238" s="7" t="n"/>
      <c r="AE1238" s="7" t="n"/>
      <c r="AF1238" s="7" t="n"/>
      <c r="AG1238" s="7" t="n"/>
      <c r="AH1238" s="7" t="n"/>
      <c r="AI1238" s="7" t="inlineStr">
        <is>
          <t>Span endpoint – keep</t>
        </is>
      </c>
      <c r="AJ1238" s="7" t="inlineStr">
        <is>
          <t>start of Radio station WBBR operated by the Watch Tower Society (b12-0079)</t>
        </is>
      </c>
      <c r="AK1238" s="7" t="n"/>
      <c r="AL1238" s="7" t="n"/>
      <c r="AM1238" s="7" t="n">
        <v>1924.1408</v>
      </c>
      <c r="AN1238" s="10" t="n"/>
      <c r="AO1238" s="10" t="n"/>
      <c r="AP1238" s="10" t="n"/>
      <c r="AQ1238" s="10" t="n"/>
    </row>
    <row r="1239">
      <c r="A1239" s="7" t="inlineStr">
        <is>
          <t>b12-0079</t>
        </is>
      </c>
      <c r="B1239" s="11" t="inlineStr">
        <is>
          <t>Span</t>
        </is>
      </c>
      <c r="C1239" s="7" t="inlineStr">
        <is>
          <t>broadcast</t>
        </is>
      </c>
      <c r="D1239" s="7" t="inlineStr">
        <is>
          <t>1924 to 1957</t>
        </is>
      </c>
      <c r="E1239" s="7" t="n"/>
      <c r="F1239" s="7" t="inlineStr">
        <is>
          <t>1924 CE</t>
        </is>
      </c>
      <c r="G1239" s="7" t="inlineStr">
        <is>
          <t>Exact</t>
        </is>
      </c>
      <c r="H1239" s="7" t="inlineStr">
        <is>
          <t>1957 CE</t>
        </is>
      </c>
      <c r="I1239" s="7" t="inlineStr">
        <is>
          <t>Exact</t>
        </is>
      </c>
      <c r="J1239" s="7" t="n"/>
      <c r="K1239" s="2" t="inlineStr">
        <is>
          <t>Radio station WBBR operated by the Watch Tower Society</t>
        </is>
      </c>
      <c r="L1239" s="2" t="n"/>
      <c r="M1239" s="7" t="inlineStr">
        <is>
          <t>WBBR, the first radio station owned by the Watch Tower Society, broadcast Bible discourses from Staten Island, New York, from 1924 until it was sold in 1957.</t>
        </is>
      </c>
      <c r="N1239" s="7" t="inlineStr">
        <is>
          <t>அது யெகோவாவின் சாட்சிகளால் 1924-லிருந்து 1957 வரை இயக்கப்பட்டது.</t>
        </is>
      </c>
      <c r="O1239" s="13" t="inlineStr">
        <is>
          <t>Jehovah's Witnesses</t>
        </is>
      </c>
      <c r="P1239" s="7" t="inlineStr">
        <is>
          <t>jw.preaching</t>
        </is>
      </c>
      <c r="Q1239" s="7" t="n"/>
      <c r="R1239" s="7" t="n"/>
      <c r="S1239" s="7" t="inlineStr">
        <is>
          <t>Staten Island, New York</t>
        </is>
      </c>
      <c r="T1239" s="7" t="n"/>
      <c r="U1239" s="7" t="n"/>
      <c r="V1239" s="7" t="n">
        <v>3</v>
      </c>
      <c r="W1239" s="7" t="inlineStr">
        <is>
          <t>I Have Benefited From Walking With Wise Ones</t>
        </is>
      </c>
      <c r="X1239" s="9" t="inlineStr">
        <is>
          <t>open</t>
        </is>
      </c>
      <c r="Y1239" s="9" t="inlineStr">
        <is>
          <t>open</t>
        </is>
      </c>
      <c r="Z1239" s="7" t="inlineStr">
        <is>
          <t>https://wol.jw.org/en/wol/d/r1/lp-e/2017321
https://wol.jw.org/en/wol/d/r1/lp-e/1101993008
https://wol.jw.org/en/wol/d/r1/lp-e/1101993046</t>
        </is>
      </c>
      <c r="AA1239" s="7" t="n">
        <v>0</v>
      </c>
      <c r="AB1239" s="7" t="n"/>
      <c r="AC1239" s="7" t="n">
        <v>0</v>
      </c>
      <c r="AD1239" s="7" t="n"/>
      <c r="AE1239" s="7" t="n"/>
      <c r="AF1239" s="7" t="inlineStr">
        <is>
          <t>b8-0148</t>
        </is>
      </c>
      <c r="AG1239" s="7" t="inlineStr">
        <is>
          <t>b9-0051</t>
        </is>
      </c>
      <c r="AH1239" s="7" t="n"/>
      <c r="AI1239" s="7" t="n"/>
      <c r="AJ1239" s="7" t="n"/>
      <c r="AK1239" s="7" t="n"/>
      <c r="AL1239" s="7" t="n"/>
      <c r="AM1239" s="7" t="n">
        <v>1924.1408</v>
      </c>
      <c r="AN1239" s="10" t="n"/>
      <c r="AO1239" s="10" t="n"/>
      <c r="AP1239" s="10" t="n"/>
      <c r="AQ1239" s="10" t="n"/>
    </row>
    <row r="1240">
      <c r="A1240" s="7" t="inlineStr">
        <is>
          <t>b8-0149</t>
        </is>
      </c>
      <c r="B1240" s="7" t="inlineStr">
        <is>
          <t>Point</t>
        </is>
      </c>
      <c r="C1240" s="7" t="n"/>
      <c r="D1240" s="7" t="inlineStr">
        <is>
          <t>1925</t>
        </is>
      </c>
      <c r="E1240" s="7" t="n"/>
      <c r="F1240" s="7" t="inlineStr">
        <is>
          <t>1925 CE</t>
        </is>
      </c>
      <c r="G1240" s="7" t="inlineStr">
        <is>
          <t>Exact</t>
        </is>
      </c>
      <c r="H1240" s="7" t="n"/>
      <c r="I1240" s="7" t="n"/>
      <c r="J1240" s="7" t="n"/>
      <c r="K1240" s="2" t="inlineStr">
        <is>
          <t>Songbook Kingdom Hymns published</t>
        </is>
      </c>
      <c r="L1240" s="2" t="n"/>
      <c r="M1240" s="7" t="inlineStr">
        <is>
          <t>The songbook Kingdom Hymns is published.</t>
        </is>
      </c>
      <c r="N1240" s="7" t="n"/>
      <c r="O1240" s="13" t="inlineStr">
        <is>
          <t>Jehovah's Witnesses</t>
        </is>
      </c>
      <c r="P1240" s="7" t="inlineStr">
        <is>
          <t>jw.publication</t>
        </is>
      </c>
      <c r="Q1240" s="7" t="inlineStr">
        <is>
          <t>release</t>
        </is>
      </c>
      <c r="R1240" s="7" t="n"/>
      <c r="S1240" s="7" t="n"/>
      <c r="T1240" s="7" t="n"/>
      <c r="U1240" s="7" t="n"/>
      <c r="V1240" s="7" t="n">
        <v>2</v>
      </c>
      <c r="W1240" s="7" t="inlineStr">
        <is>
          <t>Meeting Together for Worship</t>
        </is>
      </c>
      <c r="X1240" s="9" t="inlineStr">
        <is>
          <t>open</t>
        </is>
      </c>
      <c r="Y1240" s="9" t="inlineStr">
        <is>
          <t>open</t>
        </is>
      </c>
      <c r="Z1240" s="7" t="inlineStr">
        <is>
          <t>https://wol.jw.org/en/wol/d/r1/lp-e/1102014255
https://wol.jw.org/en/wol/d/r1/lp-e/1101993019</t>
        </is>
      </c>
      <c r="AA1240" s="7" t="n">
        <v>1</v>
      </c>
      <c r="AB1240" s="9" t="inlineStr">
        <is>
          <t>open</t>
        </is>
      </c>
      <c r="AC1240" s="7" t="n">
        <v>0</v>
      </c>
      <c r="AD1240" s="7" t="n"/>
      <c r="AE1240" s="7" t="n"/>
      <c r="AF1240" s="7" t="n"/>
      <c r="AG1240" s="7" t="n"/>
      <c r="AH1240" s="7" t="n"/>
      <c r="AI1240" s="7" t="n"/>
      <c r="AJ1240" s="7" t="n"/>
      <c r="AK1240" s="7" t="n"/>
      <c r="AL1240" s="7" t="n"/>
      <c r="AM1240" s="7" t="n">
        <v>1925</v>
      </c>
      <c r="AN1240" s="10" t="n"/>
      <c r="AO1240" s="10" t="n"/>
      <c r="AP1240" s="10" t="n"/>
      <c r="AQ1240" s="10" t="n"/>
    </row>
    <row r="1241">
      <c r="A1241" s="7" t="inlineStr">
        <is>
          <t>b8-0150</t>
        </is>
      </c>
      <c r="B1241" s="7" t="inlineStr">
        <is>
          <t>Point</t>
        </is>
      </c>
      <c r="C1241" s="7" t="n"/>
      <c r="D1241" s="7" t="inlineStr">
        <is>
          <t>March 1, 1925</t>
        </is>
      </c>
      <c r="E1241" s="7" t="inlineStr">
        <is>
          <t>மார்ச் 1, 1925</t>
        </is>
      </c>
      <c r="F1241" s="7" t="inlineStr">
        <is>
          <t>1925 CE</t>
        </is>
      </c>
      <c r="G1241" s="7" t="inlineStr">
        <is>
          <t>Exact</t>
        </is>
      </c>
      <c r="H1241" s="7" t="n"/>
      <c r="I1241" s="7" t="n"/>
      <c r="J1241" s="7" t="n"/>
      <c r="K1241" s="2" t="inlineStr">
        <is>
          <t>Watch Tower article “Birth of the Nation”</t>
        </is>
      </c>
      <c r="L1241" s="2" t="n"/>
      <c r="M1241" s="7" t="inlineStr">
        <is>
          <t>The March 1, 1925, Watch Tower article “Birth of the Nation” shows that the Messianic Kingdom was born in heaven in 1914, fulfilling Revelation chapter 12, and that Satan was then hurled down.</t>
        </is>
      </c>
      <c r="N1241" s="7" t="inlineStr">
        <is>
          <t>1925-ல் வெளிவந்த ஆங்கில காவற்கோபுரத்தில் “ஒரு தேசத்தின் பிறப்பு”</t>
        </is>
      </c>
      <c r="O1241" s="13" t="inlineStr">
        <is>
          <t>Jehovah's Witnesses</t>
        </is>
      </c>
      <c r="P1241" s="7" t="inlineStr">
        <is>
          <t>jw.doctrine</t>
        </is>
      </c>
      <c r="Q1241" s="7" t="inlineStr">
        <is>
          <t>article</t>
        </is>
      </c>
      <c r="R1241" s="7" t="n"/>
      <c r="S1241" s="7" t="n"/>
      <c r="T1241" s="7" t="inlineStr">
        <is>
          <t>Rev. 12:1-10</t>
        </is>
      </c>
      <c r="U1241" s="7" t="n"/>
      <c r="V1241" s="7" t="n">
        <v>4</v>
      </c>
      <c r="W1241" s="7" t="inlineStr">
        <is>
          <t>Noteworthy Events in the Modern-day History of Jehovah’s Witnesses</t>
        </is>
      </c>
      <c r="X1241" s="9" t="inlineStr">
        <is>
          <t>open</t>
        </is>
      </c>
      <c r="Y1241" s="7" t="n"/>
      <c r="Z1241" s="7" t="inlineStr">
        <is>
          <t>https://wol.jw.org/en/wol/d/r1/lp-e/1101993046
https://wol.jw.org/en/wol/d/r1/lp-e/1102014244
https://wol.jw.org/en/wol/d/r1/lp-e/1101993008
https://wol.jw.org/en/wol/d/r1/lp-e/1101993012</t>
        </is>
      </c>
      <c r="AA1241" s="7" t="n">
        <v>0</v>
      </c>
      <c r="AB1241" s="7" t="n"/>
      <c r="AC1241" s="7" t="n">
        <v>0</v>
      </c>
      <c r="AD1241" s="7" t="n"/>
      <c r="AE1241" s="7" t="n"/>
      <c r="AF1241" s="7" t="n"/>
      <c r="AG1241" s="7" t="n"/>
      <c r="AH1241" s="7" t="n"/>
      <c r="AI1241" s="7" t="n"/>
      <c r="AJ1241" s="7" t="n"/>
      <c r="AK1241" s="7" t="n"/>
      <c r="AL1241" s="7" t="n"/>
      <c r="AM1241" s="7" t="n">
        <v>1925.1667</v>
      </c>
      <c r="AN1241" s="10" t="n"/>
      <c r="AO1241" s="10" t="n"/>
      <c r="AP1241" s="10" t="n"/>
      <c r="AQ1241" s="10" t="n"/>
    </row>
    <row r="1242">
      <c r="A1242" s="7" t="inlineStr">
        <is>
          <t>b8-0151</t>
        </is>
      </c>
      <c r="B1242" s="7" t="inlineStr">
        <is>
          <t>Point</t>
        </is>
      </c>
      <c r="C1242" s="7" t="n"/>
      <c r="D1242" s="7" t="inlineStr">
        <is>
          <t>January 1, 1926</t>
        </is>
      </c>
      <c r="E1242" s="7" t="inlineStr">
        <is>
          <t>ஜனவரி 1, 1926</t>
        </is>
      </c>
      <c r="F1242" s="7" t="inlineStr">
        <is>
          <t>1926 CE</t>
        </is>
      </c>
      <c r="G1242" s="7" t="inlineStr">
        <is>
          <t>Exact</t>
        </is>
      </c>
      <c r="H1242" s="7" t="n"/>
      <c r="I1242" s="7" t="n"/>
      <c r="J1242" s="7" t="n"/>
      <c r="K1242" s="2" t="inlineStr">
        <is>
          <t>Watch Tower article “Who Will Honor Jehovah?”</t>
        </is>
      </c>
      <c r="L1242" s="2" t="n"/>
      <c r="M1242" s="7" t="inlineStr">
        <is>
          <t>The principal article of the January 1, 1926, Watch Tower presents the issue each individual must face, “Who Will Honor Jehovah?”, highlighting the meaning of God’s name.</t>
        </is>
      </c>
      <c r="N1242" s="7" t="inlineStr">
        <is>
          <t>அதனால்தான், ஜனவரி 1, 1926, காவற்கோபுரம் இப்படிச் சொன்னது: “யெகோவா என்ற பெயர், .</t>
        </is>
      </c>
      <c r="O1242" s="13" t="inlineStr">
        <is>
          <t>Jehovah's Witnesses</t>
        </is>
      </c>
      <c r="P1242" s="7" t="inlineStr">
        <is>
          <t>jw.doctrine</t>
        </is>
      </c>
      <c r="Q1242" s="7" t="inlineStr">
        <is>
          <t>article</t>
        </is>
      </c>
      <c r="R1242" s="7" t="n"/>
      <c r="S1242" s="7" t="n"/>
      <c r="T1242" s="7" t="n"/>
      <c r="U1242" s="7" t="n"/>
      <c r="V1242" s="7" t="n">
        <v>3</v>
      </c>
      <c r="W1242" s="7" t="inlineStr">
        <is>
          <t>How We Came to Be Known as Jehovah’s Witnesses</t>
        </is>
      </c>
      <c r="X1242" s="9" t="inlineStr">
        <is>
          <t>open</t>
        </is>
      </c>
      <c r="Y1242" s="7" t="n"/>
      <c r="Z1242" s="7" t="inlineStr">
        <is>
          <t>https://wol.jw.org/en/wol/d/r1/lp-e/1101993013
https://wol.jw.org/en/wol/d/r1/lp-e/1102014243
https://wol.jw.org/en/wol/d/r1/lp-e/1101993012</t>
        </is>
      </c>
      <c r="AA1242" s="7" t="n">
        <v>0</v>
      </c>
      <c r="AB1242" s="7" t="n"/>
      <c r="AC1242" s="7" t="n">
        <v>0</v>
      </c>
      <c r="AD1242" s="7" t="n"/>
      <c r="AE1242" s="7" t="n"/>
      <c r="AF1242" s="7" t="n"/>
      <c r="AG1242" s="7" t="n"/>
      <c r="AH1242" s="7" t="n"/>
      <c r="AI1242" s="7" t="n"/>
      <c r="AJ1242" s="7" t="n"/>
      <c r="AK1242" s="7" t="n"/>
      <c r="AL1242" s="7" t="n"/>
      <c r="AM1242" s="7" t="n">
        <v>1926</v>
      </c>
      <c r="AN1242" s="10" t="n"/>
      <c r="AO1242" s="10" t="n"/>
      <c r="AP1242" s="10" t="n"/>
      <c r="AQ1242" s="10" t="n"/>
    </row>
    <row r="1243">
      <c r="A1243" s="7" t="inlineStr">
        <is>
          <t>b8-0152</t>
        </is>
      </c>
      <c r="B1243" s="7" t="inlineStr">
        <is>
          <t>Point</t>
        </is>
      </c>
      <c r="C1243" s="7" t="n"/>
      <c r="D1243" s="7" t="inlineStr">
        <is>
          <t>1926</t>
        </is>
      </c>
      <c r="E1243" s="7" t="n"/>
      <c r="F1243" s="7" t="inlineStr">
        <is>
          <t>1926 CE</t>
        </is>
      </c>
      <c r="G1243" s="7" t="inlineStr">
        <is>
          <t>Exact</t>
        </is>
      </c>
      <c r="H1243" s="7" t="n"/>
      <c r="I1243" s="7" t="n"/>
      <c r="J1243" s="7" t="n"/>
      <c r="K1243" s="2" t="inlineStr">
        <is>
          <t>House-to-house preaching with books on Sunday encouraged</t>
        </is>
      </c>
      <c r="L1243" s="2" t="n"/>
      <c r="M1243" s="7" t="inlineStr">
        <is>
          <t>House-to-house preaching with books on Sundays is encouraged; during 1927 publishers are urged to spend part of every Sunday in group witnessing.</t>
        </is>
      </c>
      <c r="N1243" s="7" t="n"/>
      <c r="O1243" s="13" t="inlineStr">
        <is>
          <t>Jehovah's Witnesses</t>
        </is>
      </c>
      <c r="P1243" s="7" t="inlineStr">
        <is>
          <t>jw.preaching</t>
        </is>
      </c>
      <c r="Q1243" s="7" t="inlineStr">
        <is>
          <t>campaign</t>
        </is>
      </c>
      <c r="R1243" s="7" t="n"/>
      <c r="S1243" s="7" t="n"/>
      <c r="T1243" s="7" t="n"/>
      <c r="U1243" s="7" t="n"/>
      <c r="V1243" s="7" t="n">
        <v>3</v>
      </c>
      <c r="W1243" s="7" t="inlineStr">
        <is>
          <t>Noteworthy Events in the Modern-day History of Jehovah’s Witnesses</t>
        </is>
      </c>
      <c r="X1243" s="9" t="inlineStr">
        <is>
          <t>open</t>
        </is>
      </c>
      <c r="Y1243" s="7" t="n"/>
      <c r="Z1243" s="7" t="inlineStr">
        <is>
          <t>https://wol.jw.org/en/wol/d/r1/lp-e/1101993046
https://wol.jw.org/en/wol/d/r1/lp-e/1101993041
https://wol.jw.org/en/wol/d/r1/lp-e/1101993008</t>
        </is>
      </c>
      <c r="AA1243" s="7" t="n">
        <v>0</v>
      </c>
      <c r="AB1243" s="7" t="n"/>
      <c r="AC1243" s="7" t="n">
        <v>0</v>
      </c>
      <c r="AD1243" s="7" t="n"/>
      <c r="AE1243" s="7" t="n"/>
      <c r="AF1243" s="7" t="n"/>
      <c r="AG1243" s="7" t="n"/>
      <c r="AH1243" s="7" t="n"/>
      <c r="AI1243" s="7" t="n"/>
      <c r="AJ1243" s="7" t="n"/>
      <c r="AK1243" s="7" t="n"/>
      <c r="AL1243" s="7" t="n"/>
      <c r="AM1243" s="7" t="n">
        <v>1926</v>
      </c>
      <c r="AN1243" s="10" t="n"/>
      <c r="AO1243" s="10" t="n"/>
      <c r="AP1243" s="10" t="n"/>
      <c r="AQ1243" s="10" t="n"/>
    </row>
    <row r="1244">
      <c r="A1244" s="7" t="inlineStr">
        <is>
          <t>b8-0153</t>
        </is>
      </c>
      <c r="B1244" s="7" t="inlineStr">
        <is>
          <t>Point</t>
        </is>
      </c>
      <c r="C1244" s="7" t="n"/>
      <c r="D1244" s="7" t="inlineStr">
        <is>
          <t>1926</t>
        </is>
      </c>
      <c r="E1244" s="7" t="inlineStr">
        <is>
          <t>1926</t>
        </is>
      </c>
      <c r="F1244" s="7" t="inlineStr">
        <is>
          <t>1926 CE</t>
        </is>
      </c>
      <c r="G1244" s="7" t="inlineStr">
        <is>
          <t>Exact</t>
        </is>
      </c>
      <c r="H1244" s="7" t="n"/>
      <c r="I1244" s="7" t="n"/>
      <c r="J1244" s="7" t="n"/>
      <c r="K1244" s="2" t="inlineStr">
        <is>
          <t>Bible Students own six radio stations</t>
        </is>
      </c>
      <c r="L1244" s="2" t="n"/>
      <c r="M1244" s="7" t="inlineStr">
        <is>
          <t>By 1926 the Bible Students own six radio stations: WBBR in New York, WORD near Chicago, and four in Canada.</t>
        </is>
      </c>
      <c r="N1244" s="7" t="inlineStr">
        <is>
          <t>யெகோவாவின் மக்கள் 1926-க்குள் சொந்தமாக ஆறு வானொலி நிலையங்களை அமைத்தார்கள்.</t>
        </is>
      </c>
      <c r="O1244" s="13" t="inlineStr">
        <is>
          <t>Jehovah's Witnesses</t>
        </is>
      </c>
      <c r="P1244" s="7" t="inlineStr">
        <is>
          <t>jw.preaching</t>
        </is>
      </c>
      <c r="Q1244" s="7" t="inlineStr">
        <is>
          <t>statistic</t>
        </is>
      </c>
      <c r="R1244" s="7" t="n"/>
      <c r="S1244" s="7" t="n"/>
      <c r="T1244" s="7" t="n"/>
      <c r="U1244" s="7" t="n"/>
      <c r="V1244" s="7" t="n">
        <v>1</v>
      </c>
      <c r="W1244" s="7" t="inlineStr">
        <is>
          <t>Methods of Preaching—Using Every Means to Reach People</t>
        </is>
      </c>
      <c r="X1244" s="9" t="inlineStr">
        <is>
          <t>open</t>
        </is>
      </c>
      <c r="Y1244" s="9" t="inlineStr">
        <is>
          <t>open</t>
        </is>
      </c>
      <c r="Z1244" s="7" t="inlineStr">
        <is>
          <t>https://wol.jw.org/en/wol/d/r1/lp-e/1102014246</t>
        </is>
      </c>
      <c r="AA1244" s="7" t="n">
        <v>0</v>
      </c>
      <c r="AB1244" s="7" t="n"/>
      <c r="AC1244" s="7" t="n">
        <v>0</v>
      </c>
      <c r="AD1244" s="7" t="n"/>
      <c r="AE1244" s="7" t="n"/>
      <c r="AF1244" s="7" t="n"/>
      <c r="AG1244" s="7" t="n"/>
      <c r="AH1244" s="7" t="n"/>
      <c r="AI1244" s="7" t="n"/>
      <c r="AJ1244" s="7" t="n"/>
      <c r="AK1244" s="7" t="n"/>
      <c r="AL1244" s="7" t="n"/>
      <c r="AM1244" s="7" t="n">
        <v>1926</v>
      </c>
      <c r="AN1244" s="10" t="n"/>
      <c r="AO1244" s="10" t="n"/>
      <c r="AP1244" s="10" t="n"/>
      <c r="AQ1244" s="10" t="n"/>
    </row>
    <row r="1245">
      <c r="A1245" s="7" t="inlineStr">
        <is>
          <t>b8-0154</t>
        </is>
      </c>
      <c r="B1245" s="7" t="inlineStr">
        <is>
          <t>Point</t>
        </is>
      </c>
      <c r="C1245" s="7" t="n"/>
      <c r="D1245" s="7" t="inlineStr">
        <is>
          <t>1926</t>
        </is>
      </c>
      <c r="E1245" s="7" t="n"/>
      <c r="F1245" s="7" t="inlineStr">
        <is>
          <t>1926 CE</t>
        </is>
      </c>
      <c r="G1245" s="7" t="inlineStr">
        <is>
          <t>Exact</t>
        </is>
      </c>
      <c r="H1245" s="7" t="n"/>
      <c r="I1245" s="7" t="n"/>
      <c r="J1245" s="7" t="n"/>
      <c r="K1245" s="2" t="inlineStr">
        <is>
          <t>Pilgrims become supervisors of field service</t>
        </is>
      </c>
      <c r="L1245" s="2" t="n"/>
      <c r="M1245" s="7" t="inlineStr">
        <is>
          <t>Rutherford begins changing the work of pilgrims from traveling speakers into traveling supervisors and promoters of congregation field service; in 1928 they are called regional service directors.</t>
        </is>
      </c>
      <c r="N1245" s="7" t="n"/>
      <c r="O1245" s="13" t="inlineStr">
        <is>
          <t>Jehovah's Witnesses</t>
        </is>
      </c>
      <c r="P1245" s="7" t="inlineStr">
        <is>
          <t>jw.organization</t>
        </is>
      </c>
      <c r="Q1245" s="7" t="inlineStr">
        <is>
          <t>arrangement</t>
        </is>
      </c>
      <c r="R1245" s="7" t="inlineStr">
        <is>
          <t>Joseph F. Rutherford</t>
        </is>
      </c>
      <c r="S1245" s="7" t="n"/>
      <c r="T1245" s="7" t="n"/>
      <c r="U1245" s="7" t="n"/>
      <c r="V1245" s="7" t="n">
        <v>1</v>
      </c>
      <c r="W1245" s="7" t="inlineStr">
        <is>
          <t>Development of the Organization Structure</t>
        </is>
      </c>
      <c r="X1245" s="9" t="inlineStr">
        <is>
          <t>open</t>
        </is>
      </c>
      <c r="Y1245" s="7" t="n"/>
      <c r="Z1245" s="7" t="inlineStr">
        <is>
          <t>https://wol.jw.org/en/wol/d/r1/lp-e/1101993018</t>
        </is>
      </c>
      <c r="AA1245" s="7" t="n">
        <v>0</v>
      </c>
      <c r="AB1245" s="7" t="n"/>
      <c r="AC1245" s="7" t="n">
        <v>0</v>
      </c>
      <c r="AD1245" s="7" t="n"/>
      <c r="AE1245" s="7" t="n"/>
      <c r="AF1245" s="7" t="n"/>
      <c r="AG1245" s="7" t="n"/>
      <c r="AH1245" s="7" t="n"/>
      <c r="AI1245" s="7" t="n"/>
      <c r="AJ1245" s="7" t="n"/>
      <c r="AK1245" s="7" t="n"/>
      <c r="AL1245" s="7" t="n"/>
      <c r="AM1245" s="7" t="n">
        <v>1926</v>
      </c>
      <c r="AN1245" s="10" t="n"/>
      <c r="AO1245" s="10" t="n"/>
      <c r="AP1245" s="10" t="n"/>
      <c r="AQ1245" s="10" t="n"/>
    </row>
    <row r="1246">
      <c r="A1246" s="7" t="inlineStr">
        <is>
          <t>b8-0155</t>
        </is>
      </c>
      <c r="B1246" s="7" t="inlineStr">
        <is>
          <t>Point</t>
        </is>
      </c>
      <c r="C1246" s="7" t="n"/>
      <c r="D1246" s="7" t="inlineStr">
        <is>
          <t>1926</t>
        </is>
      </c>
      <c r="E1246" s="7" t="n"/>
      <c r="F1246" s="7" t="inlineStr">
        <is>
          <t>1926 CE</t>
        </is>
      </c>
      <c r="G1246" s="7" t="inlineStr">
        <is>
          <t>Exact</t>
        </is>
      </c>
      <c r="H1246" s="7" t="n"/>
      <c r="I1246" s="7" t="n"/>
      <c r="J1246" s="7" t="n"/>
      <c r="K1246" s="2" t="inlineStr">
        <is>
          <t>Legal department established at Magdeburg, Germany</t>
        </is>
      </c>
      <c r="L1246" s="2" t="n"/>
      <c r="M1246" s="7" t="inlineStr">
        <is>
          <t>With 897 cases pending in German courts, the Watch Tower Society establishes a legal department at its Magdeburg branch.</t>
        </is>
      </c>
      <c r="N1246" s="7" t="n"/>
      <c r="O1246" s="13" t="inlineStr">
        <is>
          <t>Jehovah's Witnesses</t>
        </is>
      </c>
      <c r="P1246" s="7" t="inlineStr">
        <is>
          <t>jw.legal</t>
        </is>
      </c>
      <c r="Q1246" s="7" t="inlineStr">
        <is>
          <t>arrangement</t>
        </is>
      </c>
      <c r="R1246" s="7" t="n"/>
      <c r="S1246" s="7" t="inlineStr">
        <is>
          <t>Magdeburg, Germany</t>
        </is>
      </c>
      <c r="T1246" s="7" t="n"/>
      <c r="U1246" s="7" t="n"/>
      <c r="V1246" s="7" t="n">
        <v>1</v>
      </c>
      <c r="W1246" s="7" t="inlineStr">
        <is>
          <t>‘Defending and Legally Establishing the Good News’</t>
        </is>
      </c>
      <c r="X1246" s="9" t="inlineStr">
        <is>
          <t>open</t>
        </is>
      </c>
      <c r="Y1246" s="7" t="n"/>
      <c r="Z1246" s="7" t="inlineStr">
        <is>
          <t>https://wol.jw.org/en/wol/d/r1/lp-e/1101993041</t>
        </is>
      </c>
      <c r="AA1246" s="7" t="n">
        <v>0</v>
      </c>
      <c r="AB1246" s="7" t="n"/>
      <c r="AC1246" s="7" t="n">
        <v>0</v>
      </c>
      <c r="AD1246" s="7" t="n"/>
      <c r="AE1246" s="7" t="n"/>
      <c r="AF1246" s="7" t="n"/>
      <c r="AG1246" s="7" t="n"/>
      <c r="AH1246" s="7" t="n"/>
      <c r="AI1246" s="7" t="n"/>
      <c r="AJ1246" s="7" t="n"/>
      <c r="AK1246" s="7" t="n"/>
      <c r="AL1246" s="7" t="n"/>
      <c r="AM1246" s="7" t="n">
        <v>1926</v>
      </c>
      <c r="AN1246" s="10" t="n"/>
      <c r="AO1246" s="10" t="n"/>
      <c r="AP1246" s="10" t="n"/>
      <c r="AQ1246" s="10" t="n"/>
    </row>
    <row r="1247">
      <c r="A1247" s="7" t="inlineStr">
        <is>
          <t>b14-0008</t>
        </is>
      </c>
      <c r="B1247" s="7" t="inlineStr">
        <is>
          <t>Point</t>
        </is>
      </c>
      <c r="C1247" s="7" t="n"/>
      <c r="D1247" s="7" t="inlineStr">
        <is>
          <t>May 1926</t>
        </is>
      </c>
      <c r="E1247" s="7" t="inlineStr">
        <is>
          <t>மே 1926</t>
        </is>
      </c>
      <c r="F1247" s="7" t="inlineStr">
        <is>
          <t>1926 CE</t>
        </is>
      </c>
      <c r="G1247" s="7" t="inlineStr">
        <is>
          <t>Exact</t>
        </is>
      </c>
      <c r="H1247" s="7" t="n"/>
      <c r="I1247" s="7" t="n"/>
      <c r="J1247" s="7" t="n"/>
      <c r="K1247" s="2" t="inlineStr">
        <is>
          <t>Convention in May 1926; book Deliverance released; the 1,335 days end</t>
        </is>
      </c>
      <c r="L1247" s="2" t="inlineStr">
        <is>
          <t>மே 1926-ல் நடந்த மாநாட்டில் விடுதலை என்ற ஆங்கில புத்தகம் வெளியிடப்பட்டது.</t>
        </is>
      </c>
      <c r="M1247" s="7" t="inlineStr">
        <is>
          <t>At the convention in May 1926, the book Deliverance was released, one of a series of new books to replace Studies in the Scriptures. Daniel’s Prophecy explains that the 1,335 days of Daniel 12:12 thus ended with the holy ones in a happy state.</t>
        </is>
      </c>
      <c r="N1247" s="7" t="inlineStr">
        <is>
          <t>மே 1926-ல் நடந்த மாநாட்டில் விடுதலை என்ற ஆங்கில புத்தகம் வெளியிடப்பட்டது.</t>
        </is>
      </c>
      <c r="O1247" s="13" t="inlineStr">
        <is>
          <t>Jehovah's Witnesses</t>
        </is>
      </c>
      <c r="P1247" s="7" t="inlineStr">
        <is>
          <t>jw.convention</t>
        </is>
      </c>
      <c r="Q1247" s="7" t="inlineStr">
        <is>
          <t>convention</t>
        </is>
      </c>
      <c r="R1247" s="7" t="n"/>
      <c r="S1247" s="7" t="n"/>
      <c r="T1247" s="7" t="inlineStr">
        <is>
          <t>Dan. 12:12</t>
        </is>
      </c>
      <c r="U1247" s="7" t="inlineStr">
        <is>
          <t>தானி. 12:12</t>
        </is>
      </c>
      <c r="V1247" s="7" t="n">
        <v>1</v>
      </c>
      <c r="W1247" s="7" t="inlineStr">
        <is>
          <t>Identifying True Worshipers in the Time of the End</t>
        </is>
      </c>
      <c r="X1247" s="9" t="inlineStr">
        <is>
          <t>open</t>
        </is>
      </c>
      <c r="Y1247" s="9" t="inlineStr">
        <is>
          <t>open</t>
        </is>
      </c>
      <c r="Z1247" s="7" t="inlineStr">
        <is>
          <t>https://wol.jw.org/en/wol/d/r1/lp-e/1101999037</t>
        </is>
      </c>
      <c r="AA1247" s="7" t="n">
        <v>0</v>
      </c>
      <c r="AB1247" s="7" t="n"/>
      <c r="AC1247" s="7" t="n">
        <v>0</v>
      </c>
      <c r="AD1247" s="7" t="n"/>
      <c r="AE1247" s="7" t="n"/>
      <c r="AF1247" s="7" t="n"/>
      <c r="AG1247" s="7" t="n"/>
      <c r="AH1247" s="7" t="n"/>
      <c r="AI1247" s="7" t="n"/>
      <c r="AJ1247" s="7" t="n"/>
      <c r="AK1247" s="7" t="inlineStr">
        <is>
          <t>daniel-time-prophecies #25 (end)</t>
        </is>
      </c>
      <c r="AL1247" s="7" t="n"/>
      <c r="AM1247" s="7" t="n">
        <v>1926.37</v>
      </c>
      <c r="AN1247" s="10" t="n"/>
      <c r="AO1247" s="10" t="n"/>
      <c r="AP1247" s="10" t="n"/>
      <c r="AQ1247" s="10" t="n"/>
    </row>
    <row r="1248">
      <c r="A1248" s="7" t="inlineStr">
        <is>
          <t>b8-0156</t>
        </is>
      </c>
      <c r="B1248" s="7" t="inlineStr">
        <is>
          <t>Point</t>
        </is>
      </c>
      <c r="C1248" s="7" t="n"/>
      <c r="D1248" s="7" t="inlineStr">
        <is>
          <t>December 1926</t>
        </is>
      </c>
      <c r="E1248" s="7" t="inlineStr">
        <is>
          <t>டிசம்பர் 1926</t>
        </is>
      </c>
      <c r="F1248" s="7" t="inlineStr">
        <is>
          <t>1926 CE</t>
        </is>
      </c>
      <c r="G1248" s="7" t="inlineStr">
        <is>
          <t>Exact</t>
        </is>
      </c>
      <c r="H1248" s="7" t="n"/>
      <c r="I1248" s="7" t="n"/>
      <c r="J1248" s="7" t="n"/>
      <c r="K1248" s="2" t="inlineStr">
        <is>
          <t>Society prints The Emphatic Diaglott on its own presses</t>
        </is>
      </c>
      <c r="L1248" s="2" t="n"/>
      <c r="M1248" s="7" t="inlineStr">
        <is>
          <t>In December 1926 the Society prints The Emphatic Diaglott, Benjamin Wilson’s translation of the Christian Greek Scriptures, on a flatbed press at its Concord Street factory.</t>
        </is>
      </c>
      <c r="N1248" s="7" t="inlineStr">
        <is>
          <t>அதற்காக, 1926-ல் த எம்ஃபடிக் டயக்லாட், அதாவது பென்ஜமின் வில்சன் மொழிபெயர்த்த கிறிஸ்தவ கிரேக்க வேதாகமம், நம் சொந்த அச்சகத்தில் அச்சடிக்கப்பட்டது.</t>
        </is>
      </c>
      <c r="O1248" s="13" t="inlineStr">
        <is>
          <t>Jehovah's Witnesses</t>
        </is>
      </c>
      <c r="P1248" s="7" t="inlineStr">
        <is>
          <t>jw.publication</t>
        </is>
      </c>
      <c r="Q1248" s="7" t="inlineStr">
        <is>
          <t>bible_release</t>
        </is>
      </c>
      <c r="R1248" s="7" t="n"/>
      <c r="S1248" s="7" t="n"/>
      <c r="T1248" s="7" t="n"/>
      <c r="U1248" s="7" t="n"/>
      <c r="V1248" s="7" t="n">
        <v>2</v>
      </c>
      <c r="W1248" s="7" t="inlineStr">
        <is>
          <t>Tools for Preaching—Producing Literature for the Worldwide Field</t>
        </is>
      </c>
      <c r="X1248" s="9" t="inlineStr">
        <is>
          <t>open</t>
        </is>
      </c>
      <c r="Y1248" s="9" t="inlineStr">
        <is>
          <t>open</t>
        </is>
      </c>
      <c r="Z1248" s="7" t="inlineStr">
        <is>
          <t>https://wol.jw.org/en/wol/d/r1/lp-e/1102014247
https://wol.jw.org/en/wol/d/r1/lp-e/1101993037</t>
        </is>
      </c>
      <c r="AA1248" s="7" t="n">
        <v>0</v>
      </c>
      <c r="AB1248" s="7" t="n"/>
      <c r="AC1248" s="7" t="n">
        <v>0</v>
      </c>
      <c r="AD1248" s="7" t="n"/>
      <c r="AE1248" s="7" t="n"/>
      <c r="AF1248" s="7" t="n"/>
      <c r="AG1248" s="7" t="n"/>
      <c r="AH1248" s="7" t="n"/>
      <c r="AI1248" s="7" t="n"/>
      <c r="AJ1248" s="7" t="n"/>
      <c r="AK1248" s="7" t="n"/>
      <c r="AL1248" s="7" t="n"/>
      <c r="AM1248" s="7" t="n">
        <v>1926.9167</v>
      </c>
      <c r="AN1248" s="10" t="n"/>
      <c r="AO1248" s="10" t="n"/>
      <c r="AP1248" s="10" t="n"/>
      <c r="AQ1248" s="10" t="n"/>
    </row>
    <row r="1249">
      <c r="A1249" s="7" t="inlineStr">
        <is>
          <t>b8-0157</t>
        </is>
      </c>
      <c r="B1249" s="7" t="inlineStr">
        <is>
          <t>Point</t>
        </is>
      </c>
      <c r="C1249" s="7" t="n"/>
      <c r="D1249" s="7" t="inlineStr">
        <is>
          <t>1926</t>
        </is>
      </c>
      <c r="E1249" s="7" t="n"/>
      <c r="F1249" s="7" t="inlineStr">
        <is>
          <t>1926 CE</t>
        </is>
      </c>
      <c r="G1249" s="7" t="inlineStr">
        <is>
          <t>Exact</t>
        </is>
      </c>
      <c r="H1249" s="7" t="n"/>
      <c r="I1249" s="7" t="n"/>
      <c r="J1249" s="7" t="n"/>
      <c r="K1249" s="2" t="inlineStr">
        <is>
          <t>Last Christmas celebrated at Brooklyn Bethel</t>
        </is>
      </c>
      <c r="L1249" s="2" t="n"/>
      <c r="M1249" s="7" t="inlineStr">
        <is>
          <t>The Bethel family in Brooklyn celebrates Christmas for the last time; after 1926 Christmas begins to be recognized as pagan in origin.</t>
        </is>
      </c>
      <c r="N1249" s="7" t="n"/>
      <c r="O1249" s="13" t="inlineStr">
        <is>
          <t>Jehovah's Witnesses</t>
        </is>
      </c>
      <c r="P1249" s="7" t="inlineStr">
        <is>
          <t>jw.doctrine</t>
        </is>
      </c>
      <c r="Q1249" s="7" t="inlineStr">
        <is>
          <t>practice</t>
        </is>
      </c>
      <c r="R1249" s="7" t="n"/>
      <c r="S1249" s="7" t="n"/>
      <c r="T1249" s="7" t="n"/>
      <c r="U1249" s="7" t="n"/>
      <c r="V1249" s="7" t="n">
        <v>1</v>
      </c>
      <c r="W1249" s="7" t="inlineStr">
        <is>
          <t>The King Refines His People Spiritually</t>
        </is>
      </c>
      <c r="X1249" s="9" t="inlineStr">
        <is>
          <t>open</t>
        </is>
      </c>
      <c r="Y1249" s="9" t="inlineStr">
        <is>
          <t>open</t>
        </is>
      </c>
      <c r="Z1249" s="7" t="inlineStr">
        <is>
          <t>https://wol.jw.org/en/wol/d/r1/lp-e/1102014249</t>
        </is>
      </c>
      <c r="AA1249" s="7" t="n">
        <v>1</v>
      </c>
      <c r="AB1249" s="9" t="inlineStr">
        <is>
          <t>open</t>
        </is>
      </c>
      <c r="AC1249" s="7" t="n">
        <v>0</v>
      </c>
      <c r="AD1249" s="7" t="n"/>
      <c r="AE1249" s="7" t="n"/>
      <c r="AF1249" s="7" t="n"/>
      <c r="AG1249" s="7" t="n"/>
      <c r="AH1249" s="7" t="n"/>
      <c r="AI1249" s="7" t="n"/>
      <c r="AJ1249" s="7" t="n"/>
      <c r="AK1249" s="7" t="n"/>
      <c r="AL1249" s="7" t="inlineStr">
        <is>
          <t>Day not given in source; 1926 is the year.</t>
        </is>
      </c>
      <c r="AM1249" s="7" t="n">
        <v>1926.9767</v>
      </c>
      <c r="AN1249" s="10" t="n"/>
      <c r="AO1249" s="10" t="n"/>
      <c r="AP1249" s="10" t="n"/>
      <c r="AQ1249" s="10" t="n"/>
    </row>
    <row r="1250">
      <c r="A1250" s="7" t="inlineStr">
        <is>
          <t>b8-0158</t>
        </is>
      </c>
      <c r="B1250" s="7" t="inlineStr">
        <is>
          <t>Point</t>
        </is>
      </c>
      <c r="C1250" s="7" t="n"/>
      <c r="D1250" s="7" t="inlineStr">
        <is>
          <t>February 1927</t>
        </is>
      </c>
      <c r="E1250" s="7" t="inlineStr">
        <is>
          <t>பிப்ரவரி 1927</t>
        </is>
      </c>
      <c r="F1250" s="7" t="inlineStr">
        <is>
          <t>1927 CE</t>
        </is>
      </c>
      <c r="G1250" s="7" t="inlineStr">
        <is>
          <t>Exact</t>
        </is>
      </c>
      <c r="H1250" s="7" t="n"/>
      <c r="I1250" s="7" t="n"/>
      <c r="J1250" s="7" t="n"/>
      <c r="K1250" s="2" t="inlineStr">
        <is>
          <t>Society moves into its own factory at 117 Adams Street, Brooklyn</t>
        </is>
      </c>
      <c r="L1250" s="2" t="n"/>
      <c r="M1250" s="7" t="inlineStr">
        <is>
          <t>The Society moves into its newly constructed eight-story factory building at 117 Adams Street, Brooklyn, from which much more literature is produced.</t>
        </is>
      </c>
      <c r="N1250" s="7" t="inlineStr">
        <is>
          <t>ஆனால் 1927 முதல், உவாட்ச் டவர் பைபிள் அண்டு டிராக்ட் சொஸைட்டி ஆஃப் நியூ யார்க்கிற்கு சொந்தமான எட்டு மாடி தொழிற்சாலை கட்டடத்தில் அதிகமான பிரசுரங்கள் தயாரிக்கப்பட்டன.</t>
        </is>
      </c>
      <c r="O1250" s="13" t="inlineStr">
        <is>
          <t>Jehovah's Witnesses</t>
        </is>
      </c>
      <c r="P1250" s="7" t="inlineStr">
        <is>
          <t>jw.construction</t>
        </is>
      </c>
      <c r="Q1250" s="7" t="inlineStr">
        <is>
          <t>printing</t>
        </is>
      </c>
      <c r="R1250" s="7" t="n"/>
      <c r="S1250" s="7" t="inlineStr">
        <is>
          <t>Brooklyn, New York</t>
        </is>
      </c>
      <c r="T1250" s="7" t="n"/>
      <c r="U1250" s="7" t="n"/>
      <c r="V1250" s="7" t="n">
        <v>3</v>
      </c>
      <c r="W1250" s="7" t="inlineStr">
        <is>
          <t>Producing Bible Literature for Use in the Ministry</t>
        </is>
      </c>
      <c r="X1250" s="9" t="inlineStr">
        <is>
          <t>open</t>
        </is>
      </c>
      <c r="Y1250" s="7" t="n"/>
      <c r="Z1250" s="7" t="inlineStr">
        <is>
          <t>https://wol.jw.org/en/wol/d/r1/lp-e/1101993036
https://wol.jw.org/en/wol/d/r1/lp-e/1102014258
https://wol.jw.org/en/wol/d/r1/lp-e/1102000101</t>
        </is>
      </c>
      <c r="AA1250" s="7" t="n">
        <v>1</v>
      </c>
      <c r="AB1250" s="9" t="inlineStr">
        <is>
          <t>open</t>
        </is>
      </c>
      <c r="AC1250" s="7" t="n">
        <v>0</v>
      </c>
      <c r="AD1250" s="7" t="n"/>
      <c r="AE1250" s="7" t="n"/>
      <c r="AF1250" s="7" t="n"/>
      <c r="AG1250" s="7" t="n"/>
      <c r="AH1250" s="7" t="n"/>
      <c r="AI1250" s="7" t="n"/>
      <c r="AJ1250" s="7" t="n"/>
      <c r="AK1250" s="7" t="n"/>
      <c r="AL1250" s="7" t="n"/>
      <c r="AM1250" s="7" t="n">
        <v>1927.0833</v>
      </c>
      <c r="AN1250" s="10" t="n"/>
      <c r="AO1250" s="10" t="n"/>
      <c r="AP1250" s="10" t="n"/>
      <c r="AQ1250" s="10" t="n"/>
    </row>
    <row r="1251">
      <c r="A1251" s="7" t="inlineStr">
        <is>
          <t>b8-0159</t>
        </is>
      </c>
      <c r="B1251" s="7" t="inlineStr">
        <is>
          <t>Point</t>
        </is>
      </c>
      <c r="C1251" s="7" t="n"/>
      <c r="D1251" s="7" t="inlineStr">
        <is>
          <t>February 15, 1927</t>
        </is>
      </c>
      <c r="E1251" s="7" t="n"/>
      <c r="F1251" s="7" t="inlineStr">
        <is>
          <t>1927 CE</t>
        </is>
      </c>
      <c r="G1251" s="7" t="inlineStr">
        <is>
          <t>Exact</t>
        </is>
      </c>
      <c r="H1251" s="7" t="n"/>
      <c r="I1251" s="7" t="n"/>
      <c r="J1251" s="7" t="n"/>
      <c r="K1251" s="2" t="inlineStr">
        <is>
          <t>Faithful and wise servant reaffirmed as collective</t>
        </is>
      </c>
      <c r="L1251" s="2" t="n"/>
      <c r="M1251" s="7" t="inlineStr">
        <is>
          <t>The Watch Tower of February 15, 1927, reaffirms that the faithful and wise servant is a collective servant, not one individual.</t>
        </is>
      </c>
      <c r="N1251" s="7" t="n"/>
      <c r="O1251" s="13" t="inlineStr">
        <is>
          <t>Jehovah's Witnesses</t>
        </is>
      </c>
      <c r="P1251" s="7" t="inlineStr">
        <is>
          <t>jw.doctrine</t>
        </is>
      </c>
      <c r="Q1251" s="7" t="inlineStr">
        <is>
          <t>teaching</t>
        </is>
      </c>
      <c r="R1251" s="7" t="n"/>
      <c r="S1251" s="7" t="n"/>
      <c r="T1251" s="7" t="inlineStr">
        <is>
          <t>Matt. 24:45</t>
        </is>
      </c>
      <c r="U1251" s="7" t="n"/>
      <c r="V1251" s="7" t="n">
        <v>1</v>
      </c>
      <c r="W1251" s="7" t="inlineStr">
        <is>
          <t>Growing in Accurate Knowledge of the Truth</t>
        </is>
      </c>
      <c r="X1251" s="9" t="inlineStr">
        <is>
          <t>open</t>
        </is>
      </c>
      <c r="Y1251" s="7" t="n"/>
      <c r="Z1251" s="7" t="inlineStr">
        <is>
          <t>https://wol.jw.org/en/wol/d/r1/lp-e/1101993012</t>
        </is>
      </c>
      <c r="AA1251" s="7" t="n">
        <v>0</v>
      </c>
      <c r="AB1251" s="7" t="n"/>
      <c r="AC1251" s="7" t="n">
        <v>0</v>
      </c>
      <c r="AD1251" s="7" t="n"/>
      <c r="AE1251" s="7" t="n"/>
      <c r="AF1251" s="7" t="n"/>
      <c r="AG1251" s="7" t="n"/>
      <c r="AH1251" s="7" t="n"/>
      <c r="AI1251" s="7" t="n"/>
      <c r="AJ1251" s="7" t="n"/>
      <c r="AK1251" s="7" t="n"/>
      <c r="AL1251" s="7" t="n"/>
      <c r="AM1251" s="7" t="n">
        <v>1927.1183</v>
      </c>
      <c r="AN1251" s="10" t="n"/>
      <c r="AO1251" s="10" t="n"/>
      <c r="AP1251" s="10" t="n"/>
      <c r="AQ1251" s="10" t="n"/>
    </row>
    <row r="1252">
      <c r="A1252" s="7" t="inlineStr">
        <is>
          <t>b8-0160</t>
        </is>
      </c>
      <c r="B1252" s="7" t="inlineStr">
        <is>
          <t>Point</t>
        </is>
      </c>
      <c r="C1252" s="7" t="n"/>
      <c r="D1252" s="7" t="inlineStr">
        <is>
          <t>July 24, 1927</t>
        </is>
      </c>
      <c r="E1252" s="7" t="n"/>
      <c r="F1252" s="7" t="inlineStr">
        <is>
          <t>1927 CE</t>
        </is>
      </c>
      <c r="G1252" s="7" t="inlineStr">
        <is>
          <t>Exact</t>
        </is>
      </c>
      <c r="H1252" s="7" t="n"/>
      <c r="I1252" s="7" t="n"/>
      <c r="J1252" s="7" t="n"/>
      <c r="K1252" s="2" t="inlineStr">
        <is>
          <t>Toronto convention talk carried by unparalleled radio network</t>
        </is>
      </c>
      <c r="L1252" s="2" t="n"/>
      <c r="M1252" s="7" t="inlineStr">
        <is>
          <t>Rutherford’s lecture “Freedom for the Peoples” to some 15,000 at Toronto, Canada, is heard by millions through a hitherto unparalleled radio network.</t>
        </is>
      </c>
      <c r="N1252" s="7" t="n"/>
      <c r="O1252" s="13" t="inlineStr">
        <is>
          <t>Jehovah's Witnesses</t>
        </is>
      </c>
      <c r="P1252" s="7" t="inlineStr">
        <is>
          <t>jw.convention</t>
        </is>
      </c>
      <c r="Q1252" s="7" t="inlineStr">
        <is>
          <t>broadcast</t>
        </is>
      </c>
      <c r="R1252" s="7" t="inlineStr">
        <is>
          <t>Joseph F. Rutherford</t>
        </is>
      </c>
      <c r="S1252" s="7" t="inlineStr">
        <is>
          <t>Toronto, Canada</t>
        </is>
      </c>
      <c r="T1252" s="7" t="n"/>
      <c r="U1252" s="7" t="n"/>
      <c r="V1252" s="7" t="n">
        <v>2</v>
      </c>
      <c r="W1252" s="7" t="inlineStr">
        <is>
          <t>Part 2—United States of America</t>
        </is>
      </c>
      <c r="X1252" s="9" t="inlineStr">
        <is>
          <t>open</t>
        </is>
      </c>
      <c r="Y1252" s="7" t="n"/>
      <c r="Z1252" s="7" t="inlineStr">
        <is>
          <t>https://wol.jw.org/en/wol/d/r1/lp-e/301975003
https://wol.jw.org/en/wol/d/r1/lp-e/1101993020</t>
        </is>
      </c>
      <c r="AA1252" s="7" t="n">
        <v>0</v>
      </c>
      <c r="AB1252" s="7" t="n"/>
      <c r="AC1252" s="7" t="n">
        <v>0</v>
      </c>
      <c r="AD1252" s="7" t="n"/>
      <c r="AE1252" s="7" t="n"/>
      <c r="AF1252" s="7" t="n"/>
      <c r="AG1252" s="7" t="n"/>
      <c r="AH1252" s="7" t="n"/>
      <c r="AI1252" s="7" t="n"/>
      <c r="AJ1252" s="7" t="n"/>
      <c r="AK1252" s="7" t="n"/>
      <c r="AL1252" s="7" t="n"/>
      <c r="AM1252" s="7" t="n">
        <v>1927.5575</v>
      </c>
      <c r="AN1252" s="10" t="n"/>
      <c r="AO1252" s="10" t="n"/>
      <c r="AP1252" s="10" t="n"/>
      <c r="AQ1252" s="10" t="n"/>
    </row>
    <row r="1253">
      <c r="A1253" s="7" t="inlineStr">
        <is>
          <t>b8-0161</t>
        </is>
      </c>
      <c r="B1253" s="7" t="inlineStr">
        <is>
          <t>Point</t>
        </is>
      </c>
      <c r="C1253" s="7" t="n"/>
      <c r="D1253" s="7" t="inlineStr">
        <is>
          <t>November 11, 1927</t>
        </is>
      </c>
      <c r="E1253" s="7" t="inlineStr">
        <is>
          <t>நவம்பர் 11, 1927</t>
        </is>
      </c>
      <c r="F1253" s="7" t="inlineStr">
        <is>
          <t>1927 CE</t>
        </is>
      </c>
      <c r="G1253" s="7" t="inlineStr">
        <is>
          <t>Exact</t>
        </is>
      </c>
      <c r="H1253" s="7" t="n"/>
      <c r="I1253" s="7" t="n"/>
      <c r="J1253" s="7" t="n"/>
      <c r="K1253" s="2" t="inlineStr">
        <is>
          <t>Swiss Federal Supreme Court rules confiscating tracts violates freedom of belief</t>
        </is>
      </c>
      <c r="L1253" s="2" t="n"/>
      <c r="M1253" s="7" t="inlineStr">
        <is>
          <t>In the case of Adolf Huber, Switzerland’s Federal Supreme Court finds that confiscating religious tracts violates “freedom of belief,” stopping police interference with the Bible Students’ ministry.</t>
        </is>
      </c>
      <c r="N1253" s="7" t="inlineStr">
        <is>
          <t>தீர்ப்பு அந்த போலீஸ் அதிகாரியின் செயல் தவறு என்று உச்ச நீதிமன்றத்தில் சகோதரர் ஹூபர் சொன்னார். மதம் சம்பந்தப்பட்ட துண்டுப்பிரதிகளைப் பறிமுதல் செய்வது ஒருவரின் “மதச் சுதந்திரத்துக்கு” எதிரானது என்று நீதிமன்றம் தீர்ப்பளித்தது.</t>
        </is>
      </c>
      <c r="O1253" s="13" t="inlineStr">
        <is>
          <t>Jehovah's Witnesses</t>
        </is>
      </c>
      <c r="P1253" s="7" t="inlineStr">
        <is>
          <t>jw.legal</t>
        </is>
      </c>
      <c r="Q1253" s="7" t="inlineStr">
        <is>
          <t>court_ruling</t>
        </is>
      </c>
      <c r="R1253" s="7" t="inlineStr">
        <is>
          <t>Adolf Huber</t>
        </is>
      </c>
      <c r="S1253" s="7" t="inlineStr">
        <is>
          <t>Switzerland</t>
        </is>
      </c>
      <c r="T1253" s="7" t="n"/>
      <c r="U1253" s="7" t="n"/>
      <c r="V1253" s="7" t="n">
        <v>1</v>
      </c>
      <c r="W1253" s="7" t="inlineStr">
        <is>
          <t>Kingdom Preachers Take Their Case to Court</t>
        </is>
      </c>
      <c r="X1253" s="9" t="inlineStr">
        <is>
          <t>open</t>
        </is>
      </c>
      <c r="Y1253" s="9" t="inlineStr">
        <is>
          <t>open</t>
        </is>
      </c>
      <c r="Z1253" s="7" t="inlineStr">
        <is>
          <t>https://wol.jw.org/en/wol/d/r1/lp-e/1102014252</t>
        </is>
      </c>
      <c r="AA1253" s="7" t="n">
        <v>0</v>
      </c>
      <c r="AB1253" s="7" t="n"/>
      <c r="AC1253" s="7" t="n">
        <v>0</v>
      </c>
      <c r="AD1253" s="7" t="n"/>
      <c r="AE1253" s="7" t="n"/>
      <c r="AF1253" s="7" t="n"/>
      <c r="AG1253" s="7" t="n"/>
      <c r="AH1253" s="7" t="n"/>
      <c r="AI1253" s="7" t="n"/>
      <c r="AJ1253" s="7" t="n"/>
      <c r="AK1253" s="7" t="n"/>
      <c r="AL1253" s="7" t="n"/>
      <c r="AM1253" s="7" t="n">
        <v>1927.8583</v>
      </c>
      <c r="AN1253" s="10" t="n"/>
      <c r="AO1253" s="10" t="n"/>
      <c r="AP1253" s="10" t="n"/>
      <c r="AQ1253" s="10" t="n"/>
    </row>
    <row r="1254">
      <c r="A1254" s="7" t="inlineStr">
        <is>
          <t>b8-0162</t>
        </is>
      </c>
      <c r="B1254" s="7" t="inlineStr">
        <is>
          <t>Point</t>
        </is>
      </c>
      <c r="C1254" s="7" t="n"/>
      <c r="D1254" s="7" t="inlineStr">
        <is>
          <t>December 14, 1927</t>
        </is>
      </c>
      <c r="E1254" s="7" t="n"/>
      <c r="F1254" s="7" t="inlineStr">
        <is>
          <t>1927 CE</t>
        </is>
      </c>
      <c r="G1254" s="7" t="inlineStr">
        <is>
          <t>Exact</t>
        </is>
      </c>
      <c r="H1254" s="7" t="n"/>
      <c r="I1254" s="7" t="n"/>
      <c r="J1254" s="7" t="n"/>
      <c r="K1254" s="2" t="inlineStr">
        <is>
          <t>The Golden Age notes Christmas is a pagan celebration</t>
        </is>
      </c>
      <c r="L1254" s="2" t="n"/>
      <c r="M1254" s="7" t="inlineStr">
        <is>
          <t>The Golden Age of December 14, 1927, notes that Christmas is a pagan celebration that focuses on pleasures and involves idol worship.</t>
        </is>
      </c>
      <c r="N1254" s="7" t="n"/>
      <c r="O1254" s="13" t="inlineStr">
        <is>
          <t>Jehovah's Witnesses</t>
        </is>
      </c>
      <c r="P1254" s="7" t="inlineStr">
        <is>
          <t>jw.doctrine</t>
        </is>
      </c>
      <c r="Q1254" s="7" t="inlineStr">
        <is>
          <t>article</t>
        </is>
      </c>
      <c r="R1254" s="7" t="n"/>
      <c r="S1254" s="7" t="n"/>
      <c r="T1254" s="7" t="n"/>
      <c r="U1254" s="7" t="n"/>
      <c r="V1254" s="7" t="n">
        <v>1</v>
      </c>
      <c r="W1254" s="7" t="inlineStr">
        <is>
          <t>The King Refines His People Spiritually</t>
        </is>
      </c>
      <c r="X1254" s="9" t="inlineStr">
        <is>
          <t>open</t>
        </is>
      </c>
      <c r="Y1254" s="9" t="inlineStr">
        <is>
          <t>open</t>
        </is>
      </c>
      <c r="Z1254" s="7" t="inlineStr">
        <is>
          <t>https://wol.jw.org/en/wol/d/r1/lp-e/1102014249</t>
        </is>
      </c>
      <c r="AA1254" s="7" t="n">
        <v>0</v>
      </c>
      <c r="AB1254" s="7" t="n"/>
      <c r="AC1254" s="7" t="n">
        <v>0</v>
      </c>
      <c r="AD1254" s="7" t="n"/>
      <c r="AE1254" s="7" t="n"/>
      <c r="AF1254" s="7" t="n"/>
      <c r="AG1254" s="7" t="n"/>
      <c r="AH1254" s="7" t="n"/>
      <c r="AI1254" s="7" t="n"/>
      <c r="AJ1254" s="7" t="n"/>
      <c r="AK1254" s="7" t="n"/>
      <c r="AL1254" s="7" t="n"/>
      <c r="AM1254" s="7" t="n">
        <v>1927.9492</v>
      </c>
      <c r="AN1254" s="10" t="n"/>
      <c r="AO1254" s="10" t="n"/>
      <c r="AP1254" s="10" t="n"/>
      <c r="AQ1254" s="10" t="n"/>
    </row>
    <row r="1255">
      <c r="A1255" s="7" t="inlineStr">
        <is>
          <t>b8-0163</t>
        </is>
      </c>
      <c r="B1255" s="7" t="inlineStr">
        <is>
          <t>Point</t>
        </is>
      </c>
      <c r="C1255" s="7" t="n"/>
      <c r="D1255" s="7" t="inlineStr">
        <is>
          <t>1928</t>
        </is>
      </c>
      <c r="E1255" s="7" t="n"/>
      <c r="F1255" s="7" t="inlineStr">
        <is>
          <t>1928 CE</t>
        </is>
      </c>
      <c r="G1255" s="7" t="inlineStr">
        <is>
          <t>Exact</t>
        </is>
      </c>
      <c r="H1255" s="7" t="n"/>
      <c r="I1255" s="7" t="n"/>
      <c r="J1255" s="7" t="n"/>
      <c r="K1255" s="2" t="inlineStr">
        <is>
          <t>Bible Students arrested in New Jersey for house-to-house preaching</t>
        </is>
      </c>
      <c r="L1255" s="2" t="n"/>
      <c r="M1255" s="7" t="inlineStr">
        <is>
          <t>Bible Students are arrested in South Amboy, New Jersey, for distributing literature from house to house; within a decade such arrests exceed 500 a year in the United States.</t>
        </is>
      </c>
      <c r="N1255" s="7" t="n"/>
      <c r="O1255" s="13" t="inlineStr">
        <is>
          <t>Jehovah's Witnesses</t>
        </is>
      </c>
      <c r="P1255" s="7" t="inlineStr">
        <is>
          <t>jw.legal</t>
        </is>
      </c>
      <c r="Q1255" s="7" t="inlineStr">
        <is>
          <t>arrest</t>
        </is>
      </c>
      <c r="R1255" s="7" t="n"/>
      <c r="S1255" s="7" t="inlineStr">
        <is>
          <t>South Amboy, New Jersey</t>
        </is>
      </c>
      <c r="T1255" s="7" t="n"/>
      <c r="U1255" s="7" t="n"/>
      <c r="V1255" s="7" t="n">
        <v>2</v>
      </c>
      <c r="W1255" s="7" t="inlineStr">
        <is>
          <t>Noteworthy Events in the Modern-day History of Jehovah’s Witnesses</t>
        </is>
      </c>
      <c r="X1255" s="9" t="inlineStr">
        <is>
          <t>open</t>
        </is>
      </c>
      <c r="Y1255" s="7" t="n"/>
      <c r="Z1255" s="7" t="inlineStr">
        <is>
          <t>https://wol.jw.org/en/wol/d/r1/lp-e/1101993046
https://wol.jw.org/en/wol/d/r1/lp-e/1101993041</t>
        </is>
      </c>
      <c r="AA1255" s="7" t="n">
        <v>0</v>
      </c>
      <c r="AB1255" s="7" t="n"/>
      <c r="AC1255" s="7" t="n">
        <v>0</v>
      </c>
      <c r="AD1255" s="7" t="n"/>
      <c r="AE1255" s="7" t="n"/>
      <c r="AF1255" s="7" t="n"/>
      <c r="AG1255" s="7" t="n"/>
      <c r="AH1255" s="7" t="n"/>
      <c r="AI1255" s="7" t="n"/>
      <c r="AJ1255" s="7" t="n"/>
      <c r="AK1255" s="7" t="n"/>
      <c r="AL1255" s="7" t="n"/>
      <c r="AM1255" s="7" t="n">
        <v>1928</v>
      </c>
      <c r="AN1255" s="10" t="n"/>
      <c r="AO1255" s="10" t="n"/>
      <c r="AP1255" s="10" t="n"/>
      <c r="AQ1255" s="10" t="n"/>
    </row>
    <row r="1256">
      <c r="A1256" s="7" t="inlineStr">
        <is>
          <t>b8-0164</t>
        </is>
      </c>
      <c r="B1256" s="7" t="inlineStr">
        <is>
          <t>Point</t>
        </is>
      </c>
      <c r="C1256" s="7" t="n"/>
      <c r="D1256" s="7" t="inlineStr">
        <is>
          <t>1928</t>
        </is>
      </c>
      <c r="E1256" s="7" t="inlineStr">
        <is>
          <t>1928</t>
        </is>
      </c>
      <c r="F1256" s="7" t="inlineStr">
        <is>
          <t>1928 CE</t>
        </is>
      </c>
      <c r="G1256" s="7" t="inlineStr">
        <is>
          <t>Exact</t>
        </is>
      </c>
      <c r="H1256" s="7" t="n"/>
      <c r="I1256" s="7" t="n"/>
      <c r="J1256" s="7" t="n"/>
      <c r="K1256" s="2" t="inlineStr">
        <is>
          <t>Cross-and-crown emblems shown to be objectionable (Detroit)</t>
        </is>
      </c>
      <c r="L1256" s="2" t="n"/>
      <c r="M1256" s="7" t="inlineStr">
        <is>
          <t>At the 1928 assembly in Detroit, Michigan, cross-and-crown emblems are shown to be not only unnecessary but objectionable.</t>
        </is>
      </c>
      <c r="N1256" s="7" t="inlineStr">
        <is>
          <t>1928-ல் அமெரிக்காவில், மிச்சிகனிலுள்ள டெட்ராய்ட் என்ற இடத்தில் நடந்த மாநாட்டில் சொல்லப்பட்ட விஷயத்தைப் பற்றி சகோதரர் க்ரான்ட் சூட்டர் (இவர் பிற்பாடு, ஆளும் குழு அங்கத்தினராகச் சேவை செய்தவர்) இப்படிச் சொன்னார்: “சிலுவையும் கிரீடமும் கொண்ட சின்னங்களைப் பயன்படுத்த வேண்டியதில்லை என்று சொல்லப்பட்டதோடு அதைப் பயன்படுத்துவது தவறு என்றும் அந்த மாநாட்டில் சொல்லப்பட்டது.”</t>
        </is>
      </c>
      <c r="O1256" s="13" t="inlineStr">
        <is>
          <t>Jehovah's Witnesses</t>
        </is>
      </c>
      <c r="P1256" s="7" t="inlineStr">
        <is>
          <t>jw.doctrine</t>
        </is>
      </c>
      <c r="Q1256" s="7" t="inlineStr">
        <is>
          <t>practice</t>
        </is>
      </c>
      <c r="R1256" s="7" t="n"/>
      <c r="S1256" s="7" t="inlineStr">
        <is>
          <t>Detroit, Michigan</t>
        </is>
      </c>
      <c r="T1256" s="7" t="n"/>
      <c r="U1256" s="7" t="n"/>
      <c r="V1256" s="7" t="n">
        <v>1</v>
      </c>
      <c r="W1256" s="7" t="inlineStr">
        <is>
          <t>The King Refines His People Spiritually</t>
        </is>
      </c>
      <c r="X1256" s="9" t="inlineStr">
        <is>
          <t>open</t>
        </is>
      </c>
      <c r="Y1256" s="9" t="inlineStr">
        <is>
          <t>open</t>
        </is>
      </c>
      <c r="Z1256" s="7" t="inlineStr">
        <is>
          <t>https://wol.jw.org/en/wol/d/r1/lp-e/1102014249</t>
        </is>
      </c>
      <c r="AA1256" s="7" t="n">
        <v>1</v>
      </c>
      <c r="AB1256" s="9" t="inlineStr">
        <is>
          <t>open</t>
        </is>
      </c>
      <c r="AC1256" s="7" t="n">
        <v>0</v>
      </c>
      <c r="AD1256" s="7" t="n"/>
      <c r="AE1256" s="7" t="n"/>
      <c r="AF1256" s="7" t="n"/>
      <c r="AG1256" s="7" t="n"/>
      <c r="AH1256" s="7" t="n"/>
      <c r="AI1256" s="7" t="n"/>
      <c r="AJ1256" s="7" t="n"/>
      <c r="AK1256" s="7" t="n"/>
      <c r="AL1256" s="7" t="n"/>
      <c r="AM1256" s="7" t="n">
        <v>1928</v>
      </c>
      <c r="AN1256" s="10" t="n"/>
      <c r="AO1256" s="10" t="n"/>
      <c r="AP1256" s="10" t="n"/>
      <c r="AQ1256" s="10" t="n"/>
    </row>
    <row r="1257">
      <c r="A1257" s="7" t="inlineStr">
        <is>
          <t>b8-0165</t>
        </is>
      </c>
      <c r="B1257" s="7" t="inlineStr">
        <is>
          <t>Point</t>
        </is>
      </c>
      <c r="C1257" s="7" t="n"/>
      <c r="D1257" s="7" t="inlineStr">
        <is>
          <t>1928</t>
        </is>
      </c>
      <c r="E1257" s="7" t="inlineStr">
        <is>
          <t>1928</t>
        </is>
      </c>
      <c r="F1257" s="7" t="inlineStr">
        <is>
          <t>1928 CE</t>
        </is>
      </c>
      <c r="G1257" s="7" t="inlineStr">
        <is>
          <t>Exact</t>
        </is>
      </c>
      <c r="H1257" s="7" t="n"/>
      <c r="I1257" s="7" t="n"/>
      <c r="J1257" s="7" t="n"/>
      <c r="K1257" s="2" t="inlineStr">
        <is>
          <t>Watch Tower stresses the Kingdom above personal salvation</t>
        </is>
      </c>
      <c r="L1257" s="2" t="n"/>
      <c r="M1257" s="7" t="inlineStr">
        <is>
          <t>The Watch Tower begins to stress that the Kingdom is more important than personal salvation by means of the ransom.</t>
        </is>
      </c>
      <c r="N1257" s="7" t="inlineStr">
        <is>
          <t>மீட்புவிலை மூலம் நமக்குக் கிடைக்கும் மீட்பைவிட கடவுளுடைய அரசாங்கம்தான் மிக முக்கியம் என்பதை 1928-ல் வெளிவந்த காவற்கோபுர கட்டுரைகள் வலியுறுத்த ஆரம்பித்தன.</t>
        </is>
      </c>
      <c r="O1257" s="13" t="inlineStr">
        <is>
          <t>Jehovah's Witnesses</t>
        </is>
      </c>
      <c r="P1257" s="7" t="inlineStr">
        <is>
          <t>jw.doctrine</t>
        </is>
      </c>
      <c r="Q1257" s="7" t="inlineStr">
        <is>
          <t>teaching</t>
        </is>
      </c>
      <c r="R1257" s="7" t="n"/>
      <c r="S1257" s="7" t="n"/>
      <c r="T1257" s="7" t="n"/>
      <c r="U1257" s="7" t="n"/>
      <c r="V1257" s="7" t="n">
        <v>1</v>
      </c>
      <c r="W1257" s="7" t="inlineStr">
        <is>
          <t>The King Shines Light on the Kingdom</t>
        </is>
      </c>
      <c r="X1257" s="9" t="inlineStr">
        <is>
          <t>open</t>
        </is>
      </c>
      <c r="Y1257" s="9" t="inlineStr">
        <is>
          <t>open</t>
        </is>
      </c>
      <c r="Z1257" s="7" t="inlineStr">
        <is>
          <t>https://wol.jw.org/en/wol/d/r1/lp-e/1102014244</t>
        </is>
      </c>
      <c r="AA1257" s="7" t="n">
        <v>0</v>
      </c>
      <c r="AB1257" s="7" t="n"/>
      <c r="AC1257" s="7" t="n">
        <v>0</v>
      </c>
      <c r="AD1257" s="7" t="n"/>
      <c r="AE1257" s="7" t="n"/>
      <c r="AF1257" s="7" t="n"/>
      <c r="AG1257" s="7" t="n"/>
      <c r="AH1257" s="7" t="n"/>
      <c r="AI1257" s="7" t="n"/>
      <c r="AJ1257" s="7" t="n"/>
      <c r="AK1257" s="7" t="n"/>
      <c r="AL1257" s="7" t="n"/>
      <c r="AM1257" s="7" t="n">
        <v>1928</v>
      </c>
      <c r="AN1257" s="10" t="n"/>
      <c r="AO1257" s="10" t="n"/>
      <c r="AP1257" s="10" t="n"/>
      <c r="AQ1257" s="10" t="n"/>
    </row>
    <row r="1258">
      <c r="A1258" s="7" t="inlineStr">
        <is>
          <t>b8-0166</t>
        </is>
      </c>
      <c r="B1258" s="7" t="inlineStr">
        <is>
          <t>Point</t>
        </is>
      </c>
      <c r="C1258" s="7" t="n"/>
      <c r="D1258" s="7" t="inlineStr">
        <is>
          <t>1928</t>
        </is>
      </c>
      <c r="E1258" s="7" t="n"/>
      <c r="F1258" s="7" t="inlineStr">
        <is>
          <t>1928 CE</t>
        </is>
      </c>
      <c r="G1258" s="7" t="inlineStr">
        <is>
          <t>Exact</t>
        </is>
      </c>
      <c r="H1258" s="7" t="n"/>
      <c r="I1258" s="7" t="n"/>
      <c r="J1258" s="7" t="n"/>
      <c r="K1258" s="2" t="inlineStr">
        <is>
          <t>Songbook Songs of Praise to Jehovah published</t>
        </is>
      </c>
      <c r="L1258" s="2" t="n"/>
      <c r="M1258" s="7" t="inlineStr">
        <is>
          <t>The songbook Songs of Praise to Jehovah is published.</t>
        </is>
      </c>
      <c r="N1258" s="7" t="n"/>
      <c r="O1258" s="13" t="inlineStr">
        <is>
          <t>Jehovah's Witnesses</t>
        </is>
      </c>
      <c r="P1258" s="7" t="inlineStr">
        <is>
          <t>jw.publication</t>
        </is>
      </c>
      <c r="Q1258" s="7" t="inlineStr">
        <is>
          <t>release</t>
        </is>
      </c>
      <c r="R1258" s="7" t="n"/>
      <c r="S1258" s="7" t="n"/>
      <c r="T1258" s="7" t="n"/>
      <c r="U1258" s="7" t="n"/>
      <c r="V1258" s="7" t="n">
        <v>2</v>
      </c>
      <c r="W1258" s="7" t="inlineStr">
        <is>
          <t>Meeting Together for Worship</t>
        </is>
      </c>
      <c r="X1258" s="9" t="inlineStr">
        <is>
          <t>open</t>
        </is>
      </c>
      <c r="Y1258" s="9" t="inlineStr">
        <is>
          <t>open</t>
        </is>
      </c>
      <c r="Z1258" s="7" t="inlineStr">
        <is>
          <t>https://wol.jw.org/en/wol/d/r1/lp-e/1102014255
https://wol.jw.org/en/wol/d/r1/lp-e/1101993019</t>
        </is>
      </c>
      <c r="AA1258" s="7" t="n">
        <v>1</v>
      </c>
      <c r="AB1258" s="9" t="inlineStr">
        <is>
          <t>open</t>
        </is>
      </c>
      <c r="AC1258" s="7" t="n">
        <v>0</v>
      </c>
      <c r="AD1258" s="7" t="n"/>
      <c r="AE1258" s="7" t="n"/>
      <c r="AF1258" s="7" t="n"/>
      <c r="AG1258" s="7" t="n"/>
      <c r="AH1258" s="7" t="n"/>
      <c r="AI1258" s="7" t="n"/>
      <c r="AJ1258" s="7" t="n"/>
      <c r="AK1258" s="7" t="n"/>
      <c r="AL1258" s="7" t="n"/>
      <c r="AM1258" s="7" t="n">
        <v>1928</v>
      </c>
      <c r="AN1258" s="10" t="n"/>
      <c r="AO1258" s="10" t="n"/>
      <c r="AP1258" s="10" t="n"/>
      <c r="AQ1258" s="10" t="n"/>
    </row>
    <row r="1259">
      <c r="A1259" s="7" t="inlineStr">
        <is>
          <t>b8-0167</t>
        </is>
      </c>
      <c r="B1259" s="7" t="inlineStr">
        <is>
          <t>Point</t>
        </is>
      </c>
      <c r="C1259" s="7" t="n"/>
      <c r="D1259" s="7" t="inlineStr">
        <is>
          <t>1928</t>
        </is>
      </c>
      <c r="E1259" s="7" t="n"/>
      <c r="F1259" s="7" t="inlineStr">
        <is>
          <t>1928 CE</t>
        </is>
      </c>
      <c r="G1259" s="7" t="inlineStr">
        <is>
          <t>Exact</t>
        </is>
      </c>
      <c r="H1259" s="7" t="n"/>
      <c r="I1259" s="7" t="n"/>
      <c r="J1259" s="7" t="n"/>
      <c r="K1259" s="2" t="inlineStr">
        <is>
          <t>Bible Students’ radio stations in Canada lose licenses</t>
        </is>
      </c>
      <c r="L1259" s="2" t="n"/>
      <c r="M1259" s="7" t="inlineStr">
        <is>
          <t>Under clergy pressure, all the stations in Canada run by the Bible Students lose their licenses; lectures continue on commercial stations.</t>
        </is>
      </c>
      <c r="N1259" s="7" t="n"/>
      <c r="O1259" s="13" t="inlineStr">
        <is>
          <t>Jehovah's Witnesses</t>
        </is>
      </c>
      <c r="P1259" s="7" t="inlineStr">
        <is>
          <t>jw.persecution</t>
        </is>
      </c>
      <c r="Q1259" s="7" t="inlineStr">
        <is>
          <t>opposition</t>
        </is>
      </c>
      <c r="R1259" s="7" t="n"/>
      <c r="S1259" s="7" t="inlineStr">
        <is>
          <t>Canada</t>
        </is>
      </c>
      <c r="T1259" s="7" t="n"/>
      <c r="U1259" s="7" t="n"/>
      <c r="V1259" s="7" t="n">
        <v>1</v>
      </c>
      <c r="W1259" s="7" t="inlineStr">
        <is>
          <t>Methods of Preaching—Using Every Means to Reach People</t>
        </is>
      </c>
      <c r="X1259" s="9" t="inlineStr">
        <is>
          <t>open</t>
        </is>
      </c>
      <c r="Y1259" s="9" t="inlineStr">
        <is>
          <t>open</t>
        </is>
      </c>
      <c r="Z1259" s="7" t="inlineStr">
        <is>
          <t>https://wol.jw.org/en/wol/d/r1/lp-e/1102014246</t>
        </is>
      </c>
      <c r="AA1259" s="7" t="n">
        <v>0</v>
      </c>
      <c r="AB1259" s="7" t="n"/>
      <c r="AC1259" s="7" t="n">
        <v>0</v>
      </c>
      <c r="AD1259" s="7" t="n"/>
      <c r="AE1259" s="7" t="n"/>
      <c r="AF1259" s="7" t="n"/>
      <c r="AG1259" s="7" t="n"/>
      <c r="AH1259" s="7" t="n"/>
      <c r="AI1259" s="7" t="n"/>
      <c r="AJ1259" s="7" t="n"/>
      <c r="AK1259" s="7" t="n"/>
      <c r="AL1259" s="7" t="n"/>
      <c r="AM1259" s="7" t="n">
        <v>1928</v>
      </c>
      <c r="AN1259" s="10" t="n"/>
      <c r="AO1259" s="10" t="n"/>
      <c r="AP1259" s="10" t="n"/>
      <c r="AQ1259" s="10" t="n"/>
    </row>
    <row r="1260">
      <c r="A1260" s="7" t="inlineStr">
        <is>
          <t>b8-0168</t>
        </is>
      </c>
      <c r="B1260" s="7" t="inlineStr">
        <is>
          <t>Point</t>
        </is>
      </c>
      <c r="C1260" s="7" t="n"/>
      <c r="D1260" s="7" t="inlineStr">
        <is>
          <t>1928</t>
        </is>
      </c>
      <c r="E1260" s="7" t="n"/>
      <c r="F1260" s="7" t="inlineStr">
        <is>
          <t>1928 CE</t>
        </is>
      </c>
      <c r="G1260" s="7" t="inlineStr">
        <is>
          <t>Exact</t>
        </is>
      </c>
      <c r="H1260" s="7" t="n"/>
      <c r="I1260" s="7" t="n"/>
      <c r="J1260" s="7" t="n"/>
      <c r="K1260" s="2" t="inlineStr">
        <is>
          <t>Congregations urged to hold Service Meeting weekly</t>
        </is>
      </c>
      <c r="L1260" s="2" t="n"/>
      <c r="M1260" s="7" t="inlineStr">
        <is>
          <t>By 1928 congregations are urged to hold a meeting for field service each week.</t>
        </is>
      </c>
      <c r="N1260" s="7" t="n"/>
      <c r="O1260" s="13" t="inlineStr">
        <is>
          <t>Jehovah's Witnesses</t>
        </is>
      </c>
      <c r="P1260" s="7" t="inlineStr">
        <is>
          <t>jw.organization</t>
        </is>
      </c>
      <c r="Q1260" s="7" t="inlineStr">
        <is>
          <t>meeting</t>
        </is>
      </c>
      <c r="R1260" s="7" t="n"/>
      <c r="S1260" s="7" t="n"/>
      <c r="T1260" s="7" t="n"/>
      <c r="U1260" s="7" t="n"/>
      <c r="V1260" s="7" t="n">
        <v>2</v>
      </c>
      <c r="W1260" s="7" t="inlineStr">
        <is>
          <t>Meeting Together for Worship</t>
        </is>
      </c>
      <c r="X1260" s="9" t="inlineStr">
        <is>
          <t>open</t>
        </is>
      </c>
      <c r="Y1260" s="9" t="inlineStr">
        <is>
          <t>open</t>
        </is>
      </c>
      <c r="Z1260" s="7" t="inlineStr">
        <is>
          <t>https://wol.jw.org/en/wol/d/r1/lp-e/1102014255
https://wol.jw.org/en/wol/d/r1/lp-e/1101993019</t>
        </is>
      </c>
      <c r="AA1260" s="7" t="n">
        <v>0</v>
      </c>
      <c r="AB1260" s="7" t="n"/>
      <c r="AC1260" s="7" t="n">
        <v>0</v>
      </c>
      <c r="AD1260" s="7" t="n"/>
      <c r="AE1260" s="7" t="n"/>
      <c r="AF1260" s="7" t="n"/>
      <c r="AG1260" s="7" t="n"/>
      <c r="AH1260" s="7" t="n"/>
      <c r="AI1260" s="7" t="n"/>
      <c r="AJ1260" s="7" t="n"/>
      <c r="AK1260" s="7" t="n"/>
      <c r="AL1260" s="7" t="n"/>
      <c r="AM1260" s="7" t="n">
        <v>1928</v>
      </c>
      <c r="AN1260" s="10" t="n"/>
      <c r="AO1260" s="10" t="n"/>
      <c r="AP1260" s="10" t="n"/>
      <c r="AQ1260" s="10" t="n"/>
    </row>
    <row r="1261">
      <c r="A1261" s="7" t="inlineStr">
        <is>
          <t>b8-0169</t>
        </is>
      </c>
      <c r="B1261" s="7" t="inlineStr">
        <is>
          <t>Point</t>
        </is>
      </c>
      <c r="C1261" s="7" t="n"/>
      <c r="D1261" s="7" t="inlineStr">
        <is>
          <t>December 12, 1928</t>
        </is>
      </c>
      <c r="E1261" s="7" t="inlineStr">
        <is>
          <t>டிசம்பர் 12, 1928</t>
        </is>
      </c>
      <c r="F1261" s="7" t="inlineStr">
        <is>
          <t>1928 CE</t>
        </is>
      </c>
      <c r="G1261" s="7" t="inlineStr">
        <is>
          <t>Exact</t>
        </is>
      </c>
      <c r="H1261" s="7" t="n"/>
      <c r="I1261" s="7" t="n"/>
      <c r="J1261" s="7" t="n"/>
      <c r="K1261" s="2" t="inlineStr">
        <is>
          <t>Exposé “Christmas, Its Origin and Purpose”</t>
        </is>
      </c>
      <c r="L1261" s="2" t="n"/>
      <c r="M1261" s="7" t="inlineStr">
        <is>
          <t>A thorough exposé of Christmas by Richard H. Barber is published in The Golden Age of December 12, 1928, as “Christmas, Its Origin and Purpose.”</t>
        </is>
      </c>
      <c r="N1261" s="7" t="inlineStr">
        <is>
          <t>டிசம்பர் 1928-ல் சகோதரர் ரிச்சர்ட் எச். பார்பர் (இடது பக்கம் வட்டமிட்டுக் காட்டப்பட்டிருக்கிறார்), ரேடியோவில் கிறிஸ்மஸ் என்ற தலைப்பில் ஒரு வலிமையான பேச்சைக் கொடுத்தார்.</t>
        </is>
      </c>
      <c r="O1261" s="13" t="inlineStr">
        <is>
          <t>Jehovah's Witnesses</t>
        </is>
      </c>
      <c r="P1261" s="7" t="inlineStr">
        <is>
          <t>jw.doctrine</t>
        </is>
      </c>
      <c r="Q1261" s="7" t="inlineStr">
        <is>
          <t>article</t>
        </is>
      </c>
      <c r="R1261" s="7" t="inlineStr">
        <is>
          <t>Richard H. Barber</t>
        </is>
      </c>
      <c r="S1261" s="7" t="n"/>
      <c r="T1261" s="7" t="n"/>
      <c r="U1261" s="7" t="n"/>
      <c r="V1261" s="7" t="n">
        <v>1</v>
      </c>
      <c r="W1261" s="7" t="inlineStr">
        <is>
          <t>The King Refines His People Spiritually</t>
        </is>
      </c>
      <c r="X1261" s="9" t="inlineStr">
        <is>
          <t>open</t>
        </is>
      </c>
      <c r="Y1261" s="9" t="inlineStr">
        <is>
          <t>open</t>
        </is>
      </c>
      <c r="Z1261" s="7" t="inlineStr">
        <is>
          <t>https://wol.jw.org/en/wol/d/r1/lp-e/1102014249</t>
        </is>
      </c>
      <c r="AA1261" s="7" t="n">
        <v>0</v>
      </c>
      <c r="AB1261" s="7" t="n"/>
      <c r="AC1261" s="7" t="n">
        <v>0</v>
      </c>
      <c r="AD1261" s="7" t="n"/>
      <c r="AE1261" s="7" t="n"/>
      <c r="AF1261" s="7" t="n"/>
      <c r="AG1261" s="7" t="n"/>
      <c r="AH1261" s="7" t="n"/>
      <c r="AI1261" s="7" t="n"/>
      <c r="AJ1261" s="7" t="n"/>
      <c r="AK1261" s="7" t="n"/>
      <c r="AL1261" s="7" t="n"/>
      <c r="AM1261" s="7" t="n">
        <v>1928.9442</v>
      </c>
      <c r="AN1261" s="10" t="n"/>
      <c r="AO1261" s="10" t="n"/>
      <c r="AP1261" s="10" t="n"/>
      <c r="AQ1261" s="10" t="n"/>
    </row>
    <row r="1262">
      <c r="A1262" s="7" t="inlineStr">
        <is>
          <t>b8-0170</t>
        </is>
      </c>
      <c r="B1262" s="7" t="inlineStr">
        <is>
          <t>Point</t>
        </is>
      </c>
      <c r="C1262" s="7" t="n"/>
      <c r="D1262" s="7" t="inlineStr">
        <is>
          <t>1929</t>
        </is>
      </c>
      <c r="E1262" s="7" t="n"/>
      <c r="F1262" s="7" t="inlineStr">
        <is>
          <t>1929 CE</t>
        </is>
      </c>
      <c r="G1262" s="7" t="inlineStr">
        <is>
          <t>Exact</t>
        </is>
      </c>
      <c r="H1262" s="7" t="n"/>
      <c r="I1262" s="7" t="n"/>
      <c r="J1262" s="7" t="n"/>
      <c r="K1262" s="2" t="inlineStr">
        <is>
          <t>Book Prophecy: Jehovah’s name the vital issue</t>
        </is>
      </c>
      <c r="L1262" s="2" t="n"/>
      <c r="M1262" s="7" t="inlineStr">
        <is>
          <t>The book Prophecy states that “Jehovah’s name is the most vital issue before all creation.”</t>
        </is>
      </c>
      <c r="N1262" s="7" t="n"/>
      <c r="O1262" s="13" t="inlineStr">
        <is>
          <t>Jehovah's Witnesses</t>
        </is>
      </c>
      <c r="P1262" s="7" t="inlineStr">
        <is>
          <t>jw.doctrine</t>
        </is>
      </c>
      <c r="Q1262" s="7" t="inlineStr">
        <is>
          <t>release</t>
        </is>
      </c>
      <c r="R1262" s="7" t="n"/>
      <c r="S1262" s="7" t="n"/>
      <c r="T1262" s="7" t="inlineStr">
        <is>
          <t>Ezek. 38:23</t>
        </is>
      </c>
      <c r="U1262" s="7" t="n"/>
      <c r="V1262" s="7" t="n">
        <v>2</v>
      </c>
      <c r="W1262" s="7" t="inlineStr">
        <is>
          <t>Jehovah Exalts His Name</t>
        </is>
      </c>
      <c r="X1262" s="9" t="inlineStr">
        <is>
          <t>open</t>
        </is>
      </c>
      <c r="Y1262" s="9" t="inlineStr">
        <is>
          <t>open</t>
        </is>
      </c>
      <c r="Z1262" s="7" t="inlineStr">
        <is>
          <t>https://wol.jw.org/en/wol/d/r1/lp-e/1102014243
https://wol.jw.org/en/wol/d/r1/lp-e/1101993012</t>
        </is>
      </c>
      <c r="AA1262" s="7" t="n">
        <v>0</v>
      </c>
      <c r="AB1262" s="7" t="n"/>
      <c r="AC1262" s="7" t="n">
        <v>0</v>
      </c>
      <c r="AD1262" s="7" t="n"/>
      <c r="AE1262" s="7" t="n"/>
      <c r="AF1262" s="7" t="n"/>
      <c r="AG1262" s="7" t="n"/>
      <c r="AH1262" s="7" t="n"/>
      <c r="AI1262" s="7" t="n"/>
      <c r="AJ1262" s="7" t="n"/>
      <c r="AK1262" s="7" t="n"/>
      <c r="AL1262" s="7" t="n"/>
      <c r="AM1262" s="7" t="n">
        <v>1929</v>
      </c>
      <c r="AN1262" s="10" t="n"/>
      <c r="AO1262" s="10" t="n"/>
      <c r="AP1262" s="10" t="n"/>
      <c r="AQ1262" s="10" t="n"/>
    </row>
    <row r="1263">
      <c r="A1263" s="7" t="inlineStr">
        <is>
          <t>b8-0171</t>
        </is>
      </c>
      <c r="B1263" s="7" t="inlineStr">
        <is>
          <t>Point</t>
        </is>
      </c>
      <c r="C1263" s="7" t="n"/>
      <c r="D1263" s="7" t="inlineStr">
        <is>
          <t>1929</t>
        </is>
      </c>
      <c r="E1263" s="7" t="inlineStr">
        <is>
          <t>1929</t>
        </is>
      </c>
      <c r="F1263" s="7" t="inlineStr">
        <is>
          <t>1929 CE</t>
        </is>
      </c>
      <c r="G1263" s="7" t="inlineStr">
        <is>
          <t>Exact</t>
        </is>
      </c>
      <c r="H1263" s="7" t="n"/>
      <c r="I1263" s="7" t="n"/>
      <c r="J1263" s="7" t="n"/>
      <c r="K1263" s="2" t="inlineStr">
        <is>
          <t>Superior authorities explained as Jehovah and Jesus</t>
        </is>
      </c>
      <c r="L1263" s="2" t="n"/>
      <c r="M1263" s="7" t="inlineStr">
        <is>
          <t>Beginning in 1929, publications reason that the “superior authorities” of Romans 13:1 are not secular rulers but Jehovah and Jesus (a view later refined).</t>
        </is>
      </c>
      <c r="N1263" s="7" t="inlineStr">
        <is>
          <t>‘அதிகாரத்தில் இருக்கிறவர்கள்’ என ரோமர் 13:1 -ல் சொல்லப்பட்டுள்ள வார்த்தைகள், உலக அதிகாரிகளை அர்த்தப்படுத்தவில்லை, யெகோவாவையும் இயேசுவையும்தான் அர்த்தப்படுத்துகிறது என 1929-ன் ஆரம்பத்தில் வெளிவந்த நம் பிரசுரங்கள் விளக்கின.</t>
        </is>
      </c>
      <c r="O1263" s="13" t="inlineStr">
        <is>
          <t>Jehovah's Witnesses</t>
        </is>
      </c>
      <c r="P1263" s="7" t="inlineStr">
        <is>
          <t>jw.doctrine</t>
        </is>
      </c>
      <c r="Q1263" s="7" t="inlineStr">
        <is>
          <t>teaching</t>
        </is>
      </c>
      <c r="R1263" s="7" t="n"/>
      <c r="S1263" s="7" t="n"/>
      <c r="T1263" s="7" t="inlineStr">
        <is>
          <t>Rom. 13:1</t>
        </is>
      </c>
      <c r="U1263" s="7" t="n"/>
      <c r="V1263" s="7" t="n">
        <v>1</v>
      </c>
      <c r="W1263" s="7" t="inlineStr">
        <is>
          <t>The King Shines Light on the Kingdom</t>
        </is>
      </c>
      <c r="X1263" s="9" t="inlineStr">
        <is>
          <t>open</t>
        </is>
      </c>
      <c r="Y1263" s="9" t="inlineStr">
        <is>
          <t>open</t>
        </is>
      </c>
      <c r="Z1263" s="7" t="inlineStr">
        <is>
          <t>https://wol.jw.org/en/wol/d/r1/lp-e/1102014244</t>
        </is>
      </c>
      <c r="AA1263" s="7" t="n">
        <v>0</v>
      </c>
      <c r="AB1263" s="7" t="n"/>
      <c r="AC1263" s="7" t="n">
        <v>0</v>
      </c>
      <c r="AD1263" s="7" t="n"/>
      <c r="AE1263" s="7" t="n"/>
      <c r="AF1263" s="7" t="n"/>
      <c r="AG1263" s="7" t="n"/>
      <c r="AH1263" s="7" t="n"/>
      <c r="AI1263" s="7" t="n"/>
      <c r="AJ1263" s="7" t="n"/>
      <c r="AK1263" s="7" t="n"/>
      <c r="AL1263" s="7" t="n"/>
      <c r="AM1263" s="7" t="n">
        <v>1929</v>
      </c>
      <c r="AN1263" s="10" t="n"/>
      <c r="AO1263" s="10" t="n"/>
      <c r="AP1263" s="10" t="n"/>
      <c r="AQ1263" s="10" t="n"/>
    </row>
    <row r="1264">
      <c r="A1264" s="7" t="inlineStr">
        <is>
          <t>b8-0172</t>
        </is>
      </c>
      <c r="B1264" s="7" t="inlineStr">
        <is>
          <t>Point</t>
        </is>
      </c>
      <c r="C1264" s="7" t="n"/>
      <c r="D1264" s="7" t="inlineStr">
        <is>
          <t>1930</t>
        </is>
      </c>
      <c r="E1264" s="7" t="n"/>
      <c r="F1264" s="7" t="inlineStr">
        <is>
          <t>1930 CE</t>
        </is>
      </c>
      <c r="G1264" s="7" t="inlineStr">
        <is>
          <t>Exact</t>
        </is>
      </c>
      <c r="H1264" s="7" t="n"/>
      <c r="I1264" s="7" t="n"/>
      <c r="J1264" s="7" t="n"/>
      <c r="K1264" s="2" t="inlineStr">
        <is>
          <t>Two-volume Light on Revelation published</t>
        </is>
      </c>
      <c r="L1264" s="2" t="n"/>
      <c r="M1264" s="7" t="inlineStr">
        <is>
          <t>A study of Revelation reflecting developments since 1917 is published in the two volumes entitled Light.</t>
        </is>
      </c>
      <c r="N1264" s="7" t="n"/>
      <c r="O1264" s="13" t="inlineStr">
        <is>
          <t>Jehovah's Witnesses</t>
        </is>
      </c>
      <c r="P1264" s="7" t="inlineStr">
        <is>
          <t>jw.publication</t>
        </is>
      </c>
      <c r="Q1264" s="7" t="inlineStr">
        <is>
          <t>release</t>
        </is>
      </c>
      <c r="R1264" s="7" t="n"/>
      <c r="S1264" s="7" t="n"/>
      <c r="T1264" s="7" t="n"/>
      <c r="U1264" s="7" t="n"/>
      <c r="V1264" s="7" t="n">
        <v>1</v>
      </c>
      <c r="W1264" s="7" t="inlineStr">
        <is>
          <t>Growing in Accurate Knowledge of the Truth</t>
        </is>
      </c>
      <c r="X1264" s="9" t="inlineStr">
        <is>
          <t>open</t>
        </is>
      </c>
      <c r="Y1264" s="7" t="n"/>
      <c r="Z1264" s="7" t="inlineStr">
        <is>
          <t>https://wol.jw.org/en/wol/d/r1/lp-e/1101993012</t>
        </is>
      </c>
      <c r="AA1264" s="7" t="n">
        <v>0</v>
      </c>
      <c r="AB1264" s="7" t="n"/>
      <c r="AC1264" s="7" t="n">
        <v>0</v>
      </c>
      <c r="AD1264" s="7" t="n"/>
      <c r="AE1264" s="7" t="n"/>
      <c r="AF1264" s="7" t="n"/>
      <c r="AG1264" s="7" t="n"/>
      <c r="AH1264" s="7" t="n"/>
      <c r="AI1264" s="7" t="n"/>
      <c r="AJ1264" s="7" t="n"/>
      <c r="AK1264" s="7" t="n"/>
      <c r="AL1264" s="7" t="n"/>
      <c r="AM1264" s="7" t="n">
        <v>1930</v>
      </c>
      <c r="AN1264" s="10" t="n"/>
      <c r="AO1264" s="10" t="n"/>
      <c r="AP1264" s="10" t="n"/>
      <c r="AQ1264" s="10" t="n"/>
    </row>
    <row r="1265">
      <c r="A1265" s="7" t="inlineStr">
        <is>
          <t>b8-0173</t>
        </is>
      </c>
      <c r="B1265" s="7" t="inlineStr">
        <is>
          <t>Point</t>
        </is>
      </c>
      <c r="C1265" s="7" t="n"/>
      <c r="D1265" s="7" t="inlineStr">
        <is>
          <t>1930</t>
        </is>
      </c>
      <c r="E1265" s="7" t="n"/>
      <c r="F1265" s="7" t="inlineStr">
        <is>
          <t>1930 CE</t>
        </is>
      </c>
      <c r="G1265" s="7" t="inlineStr">
        <is>
          <t>Exact</t>
        </is>
      </c>
      <c r="H1265" s="7" t="n"/>
      <c r="I1265" s="7" t="n"/>
      <c r="J1265" s="7" t="n"/>
      <c r="K1265" s="2" t="inlineStr">
        <is>
          <t>German Interior Ministry halts peddling prosecutions</t>
        </is>
      </c>
      <c r="L1265" s="2" t="n"/>
      <c r="M1265" s="7" t="inlineStr">
        <is>
          <t>After thousands of cases, Germany’s Ministry of the Interior issues a circular telling police to stop initiating legal action against Bible Students under peddling laws.</t>
        </is>
      </c>
      <c r="N1265" s="7" t="n"/>
      <c r="O1265" s="13" t="inlineStr">
        <is>
          <t>Jehovah's Witnesses</t>
        </is>
      </c>
      <c r="P1265" s="7" t="inlineStr">
        <is>
          <t>jw.legal</t>
        </is>
      </c>
      <c r="Q1265" s="7" t="inlineStr">
        <is>
          <t>decree</t>
        </is>
      </c>
      <c r="R1265" s="7" t="n"/>
      <c r="S1265" s="7" t="inlineStr">
        <is>
          <t>Germany</t>
        </is>
      </c>
      <c r="T1265" s="7" t="n"/>
      <c r="U1265" s="7" t="n"/>
      <c r="V1265" s="7" t="n">
        <v>1</v>
      </c>
      <c r="W1265" s="7" t="inlineStr">
        <is>
          <t>“Objects of Hatred by All the Nations”</t>
        </is>
      </c>
      <c r="X1265" s="9" t="inlineStr">
        <is>
          <t>open</t>
        </is>
      </c>
      <c r="Y1265" s="7" t="n"/>
      <c r="Z1265" s="7" t="inlineStr">
        <is>
          <t>https://wol.jw.org/en/wol/d/r1/lp-e/1101993040</t>
        </is>
      </c>
      <c r="AA1265" s="7" t="n">
        <v>0</v>
      </c>
      <c r="AB1265" s="7" t="n"/>
      <c r="AC1265" s="7" t="n">
        <v>0</v>
      </c>
      <c r="AD1265" s="7" t="n"/>
      <c r="AE1265" s="7" t="n"/>
      <c r="AF1265" s="7" t="n"/>
      <c r="AG1265" s="7" t="n"/>
      <c r="AH1265" s="7" t="n"/>
      <c r="AI1265" s="7" t="n"/>
      <c r="AJ1265" s="7" t="n"/>
      <c r="AK1265" s="7" t="n"/>
      <c r="AL1265" s="7" t="n"/>
      <c r="AM1265" s="7" t="n">
        <v>1930</v>
      </c>
      <c r="AN1265" s="10" t="n"/>
      <c r="AO1265" s="10" t="n"/>
      <c r="AP1265" s="10" t="n"/>
      <c r="AQ1265" s="10" t="n"/>
    </row>
    <row r="1266">
      <c r="A1266" s="7" t="inlineStr">
        <is>
          <t>b8-0174</t>
        </is>
      </c>
      <c r="B1266" s="7" t="inlineStr">
        <is>
          <t>Point</t>
        </is>
      </c>
      <c r="C1266" s="7" t="n"/>
      <c r="D1266" s="7" t="inlineStr">
        <is>
          <t>1931</t>
        </is>
      </c>
      <c r="E1266" s="7" t="n"/>
      <c r="F1266" s="7" t="inlineStr">
        <is>
          <t>1931 CE</t>
        </is>
      </c>
      <c r="G1266" s="7" t="inlineStr">
        <is>
          <t>Exact</t>
        </is>
      </c>
      <c r="H1266" s="7" t="n"/>
      <c r="I1266" s="7" t="n"/>
      <c r="J1266" s="7" t="n"/>
      <c r="K1266" s="2" t="inlineStr">
        <is>
          <t>Vindication, Book 1, published</t>
        </is>
      </c>
      <c r="L1266" s="2" t="n"/>
      <c r="M1266" s="7" t="inlineStr">
        <is>
          <t>The first of the three-volume commentary Vindication is published.</t>
        </is>
      </c>
      <c r="N1266" s="7" t="n"/>
      <c r="O1266" s="13" t="inlineStr">
        <is>
          <t>Jehovah's Witnesses</t>
        </is>
      </c>
      <c r="P1266" s="7" t="inlineStr">
        <is>
          <t>jw.publication</t>
        </is>
      </c>
      <c r="Q1266" s="7" t="inlineStr">
        <is>
          <t>release</t>
        </is>
      </c>
      <c r="R1266" s="7" t="n"/>
      <c r="S1266" s="7" t="n"/>
      <c r="T1266" s="7" t="n"/>
      <c r="U1266" s="7" t="n"/>
      <c r="V1266" s="7" t="n">
        <v>1</v>
      </c>
      <c r="W1266" s="7" t="inlineStr">
        <is>
          <t>The Great Crowd to Live in Heaven? Or on Earth?</t>
        </is>
      </c>
      <c r="X1266" s="9" t="inlineStr">
        <is>
          <t>open</t>
        </is>
      </c>
      <c r="Y1266" s="7" t="n"/>
      <c r="Z1266" s="7" t="inlineStr">
        <is>
          <t>https://wol.jw.org/en/wol/d/r1/lp-e/1101993014</t>
        </is>
      </c>
      <c r="AA1266" s="7" t="n">
        <v>0</v>
      </c>
      <c r="AB1266" s="7" t="n"/>
      <c r="AC1266" s="7" t="n">
        <v>0</v>
      </c>
      <c r="AD1266" s="7" t="n"/>
      <c r="AE1266" s="7" t="n"/>
      <c r="AF1266" s="7" t="n"/>
      <c r="AG1266" s="7" t="n"/>
      <c r="AH1266" s="7" t="n"/>
      <c r="AI1266" s="7" t="n"/>
      <c r="AJ1266" s="7" t="n"/>
      <c r="AK1266" s="7" t="n"/>
      <c r="AL1266" s="7" t="n"/>
      <c r="AM1266" s="7" t="n">
        <v>1931</v>
      </c>
      <c r="AN1266" s="10" t="n"/>
      <c r="AO1266" s="10" t="n"/>
      <c r="AP1266" s="10" t="n"/>
      <c r="AQ1266" s="10" t="n"/>
    </row>
    <row r="1267">
      <c r="A1267" s="7" t="inlineStr">
        <is>
          <t>b8-0175</t>
        </is>
      </c>
      <c r="B1267" s="11" t="inlineStr">
        <is>
          <t>Span</t>
        </is>
      </c>
      <c r="C1267" s="7" t="inlineStr">
        <is>
          <t>convention</t>
        </is>
      </c>
      <c r="D1267" s="7" t="inlineStr">
        <is>
          <t>July 24-30, 1931</t>
        </is>
      </c>
      <c r="E1267" s="7" t="inlineStr">
        <is>
          <t>ஜூலை 24-30, 1931</t>
        </is>
      </c>
      <c r="F1267" s="7" t="inlineStr">
        <is>
          <t>1931 CE</t>
        </is>
      </c>
      <c r="G1267" s="7" t="inlineStr">
        <is>
          <t>Exact</t>
        </is>
      </c>
      <c r="H1267" s="7" t="inlineStr">
        <is>
          <t>1931 CE</t>
        </is>
      </c>
      <c r="I1267" s="7" t="inlineStr">
        <is>
          <t>Exact</t>
        </is>
      </c>
      <c r="J1267" s="7" t="inlineStr">
        <is>
          <t>7 days</t>
        </is>
      </c>
      <c r="K1267" s="2" t="inlineStr">
        <is>
          <t>Columbus, Ohio, convention broadcast over vast radio network</t>
        </is>
      </c>
      <c r="L1267" s="2" t="n"/>
      <c r="M1267" s="7" t="inlineStr">
        <is>
          <t>Some 15,000 Bible Students meet at Columbus, Ohio, July 24-30; part of the program is transmitted over what was then the most extensive radio chain broadcast ever aired.</t>
        </is>
      </c>
      <c r="N1267" s="7" t="inlineStr">
        <is>
          <t>ஜூலை 1931-ல், அமெரிக்கா, ஒஹாயோவிலுள்ள கொலம்பஸில் நடந்த மாநாட்டுக்குச் சுமார் 15,000 பைபிள் மாணாக்கர்கள் வந்திருந்தார்கள்.</t>
        </is>
      </c>
      <c r="O1267" s="13" t="inlineStr">
        <is>
          <t>Jehovah's Witnesses</t>
        </is>
      </c>
      <c r="P1267" s="7" t="inlineStr">
        <is>
          <t>jw.convention</t>
        </is>
      </c>
      <c r="Q1267" s="7" t="inlineStr">
        <is>
          <t>convention</t>
        </is>
      </c>
      <c r="R1267" s="7" t="n"/>
      <c r="S1267" s="7" t="inlineStr">
        <is>
          <t>Columbus, Ohio</t>
        </is>
      </c>
      <c r="T1267" s="7" t="n"/>
      <c r="U1267" s="7" t="n"/>
      <c r="V1267" s="7" t="n">
        <v>5</v>
      </c>
      <c r="W1267" s="7" t="inlineStr">
        <is>
          <t>Jehovah Exalts His Name</t>
        </is>
      </c>
      <c r="X1267" s="9" t="inlineStr">
        <is>
          <t>open</t>
        </is>
      </c>
      <c r="Y1267" s="9" t="inlineStr">
        <is>
          <t>open</t>
        </is>
      </c>
      <c r="Z1267" s="7" t="inlineStr">
        <is>
          <t>https://wol.jw.org/en/wol/d/r1/lp-e/1102014243
https://wol.jw.org/en/wol/d/r1/lp-e/1102014246
https://wol.jw.org/en/wol/d/r1/lp-e/1101993013
https://wol.jw.org/en/wol/d/r1/lp-e/1101993020
https://wol.jw.org/en/wol/d/r1/lp-e/301975003</t>
        </is>
      </c>
      <c r="AA1267" s="7" t="n">
        <v>1</v>
      </c>
      <c r="AB1267" s="9" t="inlineStr">
        <is>
          <t>open</t>
        </is>
      </c>
      <c r="AC1267" s="7" t="n">
        <v>1</v>
      </c>
      <c r="AD1267" s="7" t="inlineStr">
        <is>
          <t>jv ch. 17 says the Society forged its own network of 163 stations (plus others); kr ch. 7 says the broadcast went over more than 450 radio stations in Australia, Canada, Europe, and the U.S.</t>
        </is>
      </c>
      <c r="AE1267" s="7" t="n"/>
      <c r="AF1267" s="7" t="n"/>
      <c r="AG1267" s="7" t="n"/>
      <c r="AH1267" s="7" t="n"/>
      <c r="AI1267" s="7" t="n"/>
      <c r="AJ1267" s="7" t="n"/>
      <c r="AK1267" s="7" t="n"/>
      <c r="AL1267" s="7" t="n"/>
      <c r="AM1267" s="7" t="n">
        <v>1931.5575</v>
      </c>
      <c r="AN1267" s="10" t="n"/>
      <c r="AO1267" s="10" t="n"/>
      <c r="AP1267" s="10" t="n"/>
      <c r="AQ1267" s="10" t="n"/>
    </row>
    <row r="1268">
      <c r="A1268" s="7" t="inlineStr">
        <is>
          <t>b8-0176</t>
        </is>
      </c>
      <c r="B1268" s="7" t="inlineStr">
        <is>
          <t>Point</t>
        </is>
      </c>
      <c r="C1268" s="7" t="n"/>
      <c r="D1268" s="7" t="inlineStr">
        <is>
          <t>July 26, 1931</t>
        </is>
      </c>
      <c r="E1268" s="7" t="inlineStr">
        <is>
          <t>ஜூலை 26, 1931</t>
        </is>
      </c>
      <c r="F1268" s="7" t="inlineStr">
        <is>
          <t>1931 CE</t>
        </is>
      </c>
      <c r="G1268" s="7" t="inlineStr">
        <is>
          <t>Exact</t>
        </is>
      </c>
      <c r="H1268" s="7" t="n"/>
      <c r="I1268" s="7" t="n"/>
      <c r="J1268" s="7" t="n"/>
      <c r="K1268" s="2" t="inlineStr">
        <is>
          <t>Name Jehovah’s Witnesses adopted by resolution</t>
        </is>
      </c>
      <c r="L1268" s="2" t="inlineStr">
        <is>
          <t>யெகோவாவின் சாட்சிகள் என்ற பெயரை நாம் ஏற்றுக்கொண்டோம்.</t>
        </is>
      </c>
      <c r="M1268" s="7" t="inlineStr">
        <is>
          <t>At the convention in Columbus, Ohio, the Bible Students adopt the name Jehovah’s Witnesses by resolution, and thereafter at conventions around the earth.</t>
        </is>
      </c>
      <c r="N1268" s="7" t="inlineStr">
        <is>
          <t>யெகோவாவின் சாட்சிகள் என்ற பெயரை நாம் ஏற்றுக்கொண்டோம்.</t>
        </is>
      </c>
      <c r="O1268" s="13" t="inlineStr">
        <is>
          <t>Jehovah's Witnesses</t>
        </is>
      </c>
      <c r="P1268" s="7" t="inlineStr">
        <is>
          <t>jw.organization</t>
        </is>
      </c>
      <c r="Q1268" s="7" t="inlineStr">
        <is>
          <t>resolution</t>
        </is>
      </c>
      <c r="R1268" s="7" t="inlineStr">
        <is>
          <t>Joseph F. Rutherford</t>
        </is>
      </c>
      <c r="S1268" s="7" t="inlineStr">
        <is>
          <t>Columbus, Ohio</t>
        </is>
      </c>
      <c r="T1268" s="7" t="inlineStr">
        <is>
          <t>Isa. 43:10-12</t>
        </is>
      </c>
      <c r="U1268" s="7" t="n"/>
      <c r="V1268" s="7" t="n">
        <v>6</v>
      </c>
      <c r="W1268" s="7" t="inlineStr">
        <is>
          <t>Noteworthy Events in the Modern-day History of Jehovah’s Witnesses</t>
        </is>
      </c>
      <c r="X1268" s="9" t="inlineStr">
        <is>
          <t>open</t>
        </is>
      </c>
      <c r="Y1268" s="7" t="n"/>
      <c r="Z1268" s="7" t="inlineStr">
        <is>
          <t>https://wol.jw.org/en/wol/d/r1/lp-e/1101993046
https://www.jw.org/en/news/region/united-states/historic-milestones-united-states/
https://wol.jw.org/en/wol/d/r1/lp-e/1102014255
https://wol.jw.org/en/wol/d/r1/lp-e/1101993013
https://wol.jw.org/en/wol/d/r1/lp-e/1102000101
https://wol.jw.org/en/wol/d/r1/lp-e/301975003</t>
        </is>
      </c>
      <c r="AA1268" s="7" t="n">
        <v>1</v>
      </c>
      <c r="AB1268" s="9" t="inlineStr">
        <is>
          <t>open</t>
        </is>
      </c>
      <c r="AC1268" s="7" t="n">
        <v>0</v>
      </c>
      <c r="AD1268" s="7" t="n"/>
      <c r="AE1268" s="7" t="n"/>
      <c r="AF1268" s="7" t="n"/>
      <c r="AG1268" s="7" t="n"/>
      <c r="AH1268" s="7" t="n"/>
      <c r="AI1268" s="7" t="n"/>
      <c r="AJ1268" s="7" t="n"/>
      <c r="AK1268" s="7" t="n"/>
      <c r="AL1268" s="7" t="n"/>
      <c r="AM1268" s="7" t="n">
        <v>1931.5625</v>
      </c>
      <c r="AN1268" s="10" t="n"/>
      <c r="AO1268" s="10" t="n"/>
      <c r="AP1268" s="10" t="n"/>
      <c r="AQ1268" s="10" t="n"/>
    </row>
    <row r="1269">
      <c r="A1269" s="7" t="inlineStr">
        <is>
          <t>b8-0177</t>
        </is>
      </c>
      <c r="B1269" s="7" t="inlineStr">
        <is>
          <t>Point</t>
        </is>
      </c>
      <c r="C1269" s="7" t="n"/>
      <c r="D1269" s="7" t="inlineStr">
        <is>
          <t>October 15, 1931</t>
        </is>
      </c>
      <c r="E1269" s="7" t="n"/>
      <c r="F1269" s="7" t="inlineStr">
        <is>
          <t>1931 CE</t>
        </is>
      </c>
      <c r="G1269" s="7" t="inlineStr">
        <is>
          <t>Exact</t>
        </is>
      </c>
      <c r="H1269" s="7" t="n"/>
      <c r="I1269" s="7" t="n"/>
      <c r="J1269" s="7" t="n"/>
      <c r="K1269" s="2" t="inlineStr">
        <is>
          <t>Jehovah’s name on every Watchtower cover; title becomes The Watchtower</t>
        </is>
      </c>
      <c r="L1269" s="2" t="n"/>
      <c r="M1269" s="7" t="inlineStr">
        <is>
          <t>From the October 15, 1931, issue, God’s name Jehovah appears on the front cover, the title becomes The Watchtower and Herald of Christ’s Presence, and the editorial committee list is replaced by Isaiah 54:13.</t>
        </is>
      </c>
      <c r="N1269" s="7" t="n"/>
      <c r="O1269" s="13" t="inlineStr">
        <is>
          <t>Jehovah's Witnesses</t>
        </is>
      </c>
      <c r="P1269" s="7" t="inlineStr">
        <is>
          <t>jw.publication</t>
        </is>
      </c>
      <c r="Q1269" s="7" t="inlineStr">
        <is>
          <t>design</t>
        </is>
      </c>
      <c r="R1269" s="7" t="n"/>
      <c r="S1269" s="7" t="n"/>
      <c r="T1269" s="7" t="inlineStr">
        <is>
          <t>Isa. 54:13</t>
        </is>
      </c>
      <c r="U1269" s="7" t="n"/>
      <c r="V1269" s="7" t="n">
        <v>3</v>
      </c>
      <c r="W1269" s="7" t="inlineStr">
        <is>
          <t>Growing in Accurate Knowledge of the Truth</t>
        </is>
      </c>
      <c r="X1269" s="9" t="inlineStr">
        <is>
          <t>open</t>
        </is>
      </c>
      <c r="Y1269" s="7" t="n"/>
      <c r="Z1269" s="7" t="inlineStr">
        <is>
          <t>https://wol.jw.org/en/wol/d/r1/lp-e/1101993012
https://wol.jw.org/en/wol/d/r1/lp-e/1101993019
https://wol.jw.org/en/wol/d/r1/lp-e/1102014243</t>
        </is>
      </c>
      <c r="AA1269" s="7" t="n">
        <v>0</v>
      </c>
      <c r="AB1269" s="7" t="n"/>
      <c r="AC1269" s="7" t="n">
        <v>0</v>
      </c>
      <c r="AD1269" s="7" t="n"/>
      <c r="AE1269" s="7" t="n"/>
      <c r="AF1269" s="7" t="n"/>
      <c r="AG1269" s="7" t="n"/>
      <c r="AH1269" s="7" t="n"/>
      <c r="AI1269" s="7" t="n"/>
      <c r="AJ1269" s="7" t="n"/>
      <c r="AK1269" s="7" t="n"/>
      <c r="AL1269" s="7" t="n"/>
      <c r="AM1269" s="7" t="n">
        <v>1931.785</v>
      </c>
      <c r="AN1269" s="10" t="n"/>
      <c r="AO1269" s="10" t="n"/>
      <c r="AP1269" s="10" t="n"/>
      <c r="AQ1269" s="10" t="n"/>
    </row>
    <row r="1270">
      <c r="A1270" s="7" t="inlineStr">
        <is>
          <t>b8-0178</t>
        </is>
      </c>
      <c r="B1270" s="7" t="inlineStr">
        <is>
          <t>Point</t>
        </is>
      </c>
      <c r="C1270" s="7" t="n"/>
      <c r="D1270" s="7" t="inlineStr">
        <is>
          <t>1932</t>
        </is>
      </c>
      <c r="E1270" s="7" t="n"/>
      <c r="F1270" s="7" t="inlineStr">
        <is>
          <t>1932 CE</t>
        </is>
      </c>
      <c r="G1270" s="7" t="inlineStr">
        <is>
          <t>Exact</t>
        </is>
      </c>
      <c r="H1270" s="7" t="n"/>
      <c r="I1270" s="7" t="n"/>
      <c r="J1270" s="7" t="n"/>
      <c r="K1270" s="2" t="inlineStr">
        <is>
          <t>Vindication, Book 2: restoration prophecies apply to spiritual Israel</t>
        </is>
      </c>
      <c r="L1270" s="2" t="n"/>
      <c r="M1270" s="7" t="inlineStr">
        <is>
          <t>Vindication, Book 2, explains that Bible restoration prophecies apply not to natural Jews but to spiritual Israel.</t>
        </is>
      </c>
      <c r="N1270" s="7" t="n"/>
      <c r="O1270" s="13" t="inlineStr">
        <is>
          <t>Jehovah's Witnesses</t>
        </is>
      </c>
      <c r="P1270" s="7" t="inlineStr">
        <is>
          <t>jw.doctrine</t>
        </is>
      </c>
      <c r="Q1270" s="7" t="inlineStr">
        <is>
          <t>release</t>
        </is>
      </c>
      <c r="R1270" s="7" t="n"/>
      <c r="S1270" s="7" t="n"/>
      <c r="T1270" s="7" t="n"/>
      <c r="U1270" s="7" t="n"/>
      <c r="V1270" s="7" t="n">
        <v>3</v>
      </c>
      <c r="W1270" s="7" t="inlineStr">
        <is>
          <t>Noteworthy Events in the Modern-day History of Jehovah’s Witnesses</t>
        </is>
      </c>
      <c r="X1270" s="9" t="inlineStr">
        <is>
          <t>open</t>
        </is>
      </c>
      <c r="Y1270" s="7" t="n"/>
      <c r="Z1270" s="7" t="inlineStr">
        <is>
          <t>https://wol.jw.org/en/wol/d/r1/lp-e/1101993046
https://wol.jw.org/en/wol/d/r1/lp-e/1101993012
https://wol.jw.org/en/wol/d/r1/lp-e/1102014250</t>
        </is>
      </c>
      <c r="AA1270" s="7" t="n">
        <v>0</v>
      </c>
      <c r="AB1270" s="7" t="n"/>
      <c r="AC1270" s="7" t="n">
        <v>0</v>
      </c>
      <c r="AD1270" s="7" t="n"/>
      <c r="AE1270" s="7" t="n"/>
      <c r="AF1270" s="7" t="n"/>
      <c r="AG1270" s="7" t="n"/>
      <c r="AH1270" s="7" t="n"/>
      <c r="AI1270" s="7" t="n"/>
      <c r="AJ1270" s="7" t="n"/>
      <c r="AK1270" s="7" t="n"/>
      <c r="AL1270" s="7" t="n"/>
      <c r="AM1270" s="7" t="n">
        <v>1932</v>
      </c>
      <c r="AN1270" s="10" t="n"/>
      <c r="AO1270" s="10" t="n"/>
      <c r="AP1270" s="10" t="n"/>
      <c r="AQ1270" s="10" t="n"/>
    </row>
    <row r="1271">
      <c r="A1271" s="7" t="inlineStr">
        <is>
          <t>b8-0179</t>
        </is>
      </c>
      <c r="B1271" s="7" t="inlineStr">
        <is>
          <t>Point</t>
        </is>
      </c>
      <c r="C1271" s="7" t="n"/>
      <c r="D1271" s="7" t="inlineStr">
        <is>
          <t>1932</t>
        </is>
      </c>
      <c r="E1271" s="7" t="n"/>
      <c r="F1271" s="7" t="inlineStr">
        <is>
          <t>1932 CE</t>
        </is>
      </c>
      <c r="G1271" s="7" t="inlineStr">
        <is>
          <t>Exact</t>
        </is>
      </c>
      <c r="H1271" s="7" t="n"/>
      <c r="I1271" s="7" t="n"/>
      <c r="J1271" s="7" t="n"/>
      <c r="K1271" s="2" t="inlineStr">
        <is>
          <t>Booklet Home and Happiness urges family Bible study</t>
        </is>
      </c>
      <c r="L1271" s="2" t="n"/>
      <c r="M1271" s="7" t="inlineStr">
        <is>
          <t>The booklet Home and Happiness urges: “Let each family begin at once a study of the Bible at home.”</t>
        </is>
      </c>
      <c r="N1271" s="7" t="n"/>
      <c r="O1271" s="13" t="inlineStr">
        <is>
          <t>Jehovah's Witnesses</t>
        </is>
      </c>
      <c r="P1271" s="7" t="inlineStr">
        <is>
          <t>jw.publication</t>
        </is>
      </c>
      <c r="Q1271" s="7" t="inlineStr">
        <is>
          <t>release</t>
        </is>
      </c>
      <c r="R1271" s="7" t="n"/>
      <c r="S1271" s="7" t="n"/>
      <c r="T1271" s="7" t="n"/>
      <c r="U1271" s="7" t="n"/>
      <c r="V1271" s="7" t="n">
        <v>1</v>
      </c>
      <c r="W1271" s="7" t="inlineStr">
        <is>
          <t>Meeting Together for Worship</t>
        </is>
      </c>
      <c r="X1271" s="9" t="inlineStr">
        <is>
          <t>open</t>
        </is>
      </c>
      <c r="Y1271" s="9" t="inlineStr">
        <is>
          <t>open</t>
        </is>
      </c>
      <c r="Z1271" s="7" t="inlineStr">
        <is>
          <t>https://wol.jw.org/en/wol/d/r1/lp-e/1102014255</t>
        </is>
      </c>
      <c r="AA1271" s="7" t="n">
        <v>0</v>
      </c>
      <c r="AB1271" s="7" t="n"/>
      <c r="AC1271" s="7" t="n">
        <v>0</v>
      </c>
      <c r="AD1271" s="7" t="n"/>
      <c r="AE1271" s="7" t="n"/>
      <c r="AF1271" s="7" t="n"/>
      <c r="AG1271" s="7" t="n"/>
      <c r="AH1271" s="7" t="n"/>
      <c r="AI1271" s="7" t="n"/>
      <c r="AJ1271" s="7" t="n"/>
      <c r="AK1271" s="7" t="n"/>
      <c r="AL1271" s="7" t="n"/>
      <c r="AM1271" s="7" t="n">
        <v>1932</v>
      </c>
      <c r="AN1271" s="10" t="n"/>
      <c r="AO1271" s="10" t="n"/>
      <c r="AP1271" s="10" t="n"/>
      <c r="AQ1271" s="10" t="n"/>
    </row>
    <row r="1272">
      <c r="A1272" s="7" t="inlineStr">
        <is>
          <t>b8-0180</t>
        </is>
      </c>
      <c r="B1272" s="7" t="inlineStr">
        <is>
          <t>Point</t>
        </is>
      </c>
      <c r="C1272" s="7" t="n"/>
      <c r="D1272" s="7" t="inlineStr">
        <is>
          <t>August 1, 1932</t>
        </is>
      </c>
      <c r="E1272" s="7" t="inlineStr">
        <is>
          <t>ஆகஸ்ட் 1, 1932</t>
        </is>
      </c>
      <c r="F1272" s="7" t="inlineStr">
        <is>
          <t>1932 CE</t>
        </is>
      </c>
      <c r="G1272" s="7" t="inlineStr">
        <is>
          <t>Exact</t>
        </is>
      </c>
      <c r="H1272" s="7" t="n"/>
      <c r="I1272" s="7" t="n"/>
      <c r="J1272" s="7" t="n"/>
      <c r="K1272" s="2" t="inlineStr">
        <is>
          <t>Jonadab pictures a class with earthly hope</t>
        </is>
      </c>
      <c r="L1272" s="2" t="n"/>
      <c r="M1272" s="7" t="inlineStr">
        <is>
          <t>The Watchtower of August 1, 1932, explains that Jehonadab (Jonadab), who supported King Jehu, foreshadowed a class of people now on earth who would enjoy everlasting life on earth.</t>
        </is>
      </c>
      <c r="N1272" s="7" t="inlineStr">
        <is>
          <t>1932-ல் வெளிவந்த காவற்கோபுரம் யோனதாபைப் பற்றிக் குறிப்பிட்டது.</t>
        </is>
      </c>
      <c r="O1272" s="13" t="inlineStr">
        <is>
          <t>Jehovah's Witnesses</t>
        </is>
      </c>
      <c r="P1272" s="7" t="inlineStr">
        <is>
          <t>jw.doctrine</t>
        </is>
      </c>
      <c r="Q1272" s="7" t="inlineStr">
        <is>
          <t>teaching</t>
        </is>
      </c>
      <c r="R1272" s="7" t="n"/>
      <c r="S1272" s="7" t="n"/>
      <c r="T1272" s="7" t="inlineStr">
        <is>
          <t>2 Ki. 10:15-17</t>
        </is>
      </c>
      <c r="U1272" s="7" t="n"/>
      <c r="V1272" s="7" t="n">
        <v>3</v>
      </c>
      <c r="W1272" s="7" t="inlineStr">
        <is>
          <t>The Great Crowd to Live in Heaven? Or on Earth?</t>
        </is>
      </c>
      <c r="X1272" s="9" t="inlineStr">
        <is>
          <t>open</t>
        </is>
      </c>
      <c r="Y1272" s="7" t="n"/>
      <c r="Z1272" s="7" t="inlineStr">
        <is>
          <t>https://wol.jw.org/en/wol/d/r1/lp-e/1101993014
https://wol.jw.org/en/wol/d/r1/lp-e/1102014244
https://wol.jw.org/en/wol/d/r1/lp-e/1101993008</t>
        </is>
      </c>
      <c r="AA1272" s="7" t="n">
        <v>0</v>
      </c>
      <c r="AB1272" s="7" t="n"/>
      <c r="AC1272" s="7" t="n">
        <v>0</v>
      </c>
      <c r="AD1272" s="7" t="n"/>
      <c r="AE1272" s="7" t="n"/>
      <c r="AF1272" s="7" t="n"/>
      <c r="AG1272" s="7" t="n"/>
      <c r="AH1272" s="7" t="n"/>
      <c r="AI1272" s="7" t="n"/>
      <c r="AJ1272" s="7" t="n"/>
      <c r="AK1272" s="7" t="n"/>
      <c r="AL1272" s="7" t="n"/>
      <c r="AM1272" s="7" t="n">
        <v>1932.5833</v>
      </c>
      <c r="AN1272" s="10" t="n"/>
      <c r="AO1272" s="10" t="n"/>
      <c r="AP1272" s="10" t="n"/>
      <c r="AQ1272" s="10" t="n"/>
    </row>
    <row r="1273">
      <c r="A1273" s="7" t="inlineStr">
        <is>
          <t>b8-0181</t>
        </is>
      </c>
      <c r="B1273" s="7" t="inlineStr">
        <is>
          <t>Point</t>
        </is>
      </c>
      <c r="C1273" s="7" t="n"/>
      <c r="D1273" s="7" t="inlineStr">
        <is>
          <t>August 15, 1932</t>
        </is>
      </c>
      <c r="E1273" s="7" t="inlineStr">
        <is>
          <t>ஆகஸ்ட் 15, 1932</t>
        </is>
      </c>
      <c r="F1273" s="7" t="inlineStr">
        <is>
          <t>1932 CE</t>
        </is>
      </c>
      <c r="G1273" s="7" t="inlineStr">
        <is>
          <t>Exact</t>
        </is>
      </c>
      <c r="H1273" s="7" t="n"/>
      <c r="I1273" s="7" t="n"/>
      <c r="J1273" s="7" t="n"/>
      <c r="K1273" s="2" t="inlineStr">
        <is>
          <t>Arrangement for elective elders terminated</t>
        </is>
      </c>
      <c r="L1273" s="2" t="n"/>
      <c r="M1273" s="7" t="inlineStr">
        <is>
          <t>In harmony with the Watchtower issues of August 15 and September 1, 1932, the annual election of elders by congregations is eliminated; congregations elect a service committee instead.</t>
        </is>
      </c>
      <c r="N1273" s="7" t="inlineStr">
        <is>
          <t>சபையார் ஒவ்வொரு வருஷமும் ஓட்டுப்போட்டு மூப்பர்களைத் தேர்ந்தெடுப்பது நிறுத்தப்பட்டது. அதற்குப் பதிலாக, சில சகோதரர்கள் ஊழியக் குழுவாகச் செயல்பட ஓட்டுப்போட்டு தேர்ந்தெடுக்கப்பட்டார்கள். ஊழியத்தில் மும்முரமாக ஈடுபடுகிற... யெகோவாவின் சாட்சிகள் என்ற புதிய பெயருக்கு ஏற்றபடி வாழ்கிற... சகோதரர்கள்தான் அப்படித் தேர்ந்தெடுக்கப்பட்டார்கள். அவர்களில் ஒருவரை சர்வீஸ் டைரக்டராக நியமிக்கும்படி சங்கத்துக்கு அல்லது கிளை அலுவலகத்துக்கு சபை சிபாரிசு செய்தது.</t>
        </is>
      </c>
      <c r="O1273" s="13" t="inlineStr">
        <is>
          <t>Jehovah's Witnesses</t>
        </is>
      </c>
      <c r="P1273" s="7" t="inlineStr">
        <is>
          <t>jw.organization</t>
        </is>
      </c>
      <c r="Q1273" s="7" t="inlineStr">
        <is>
          <t>arrangement</t>
        </is>
      </c>
      <c r="R1273" s="7" t="n"/>
      <c r="S1273" s="7" t="n"/>
      <c r="T1273" s="7" t="n"/>
      <c r="U1273" s="7" t="n"/>
      <c r="V1273" s="7" t="n">
        <v>3</v>
      </c>
      <c r="W1273" s="7" t="inlineStr">
        <is>
          <t>Noteworthy Events in the Modern-day History of Jehovah’s Witnesses</t>
        </is>
      </c>
      <c r="X1273" s="9" t="inlineStr">
        <is>
          <t>open</t>
        </is>
      </c>
      <c r="Y1273" s="7" t="n"/>
      <c r="Z1273" s="7" t="inlineStr">
        <is>
          <t>https://wol.jw.org/en/wol/d/r1/lp-e/1101993046
https://wol.jw.org/en/wol/d/r1/lp-e/1102014251
https://wol.jw.org/en/wol/d/r1/lp-e/1101993018</t>
        </is>
      </c>
      <c r="AA1273" s="7" t="n">
        <v>1</v>
      </c>
      <c r="AB1273" s="9" t="inlineStr">
        <is>
          <t>open</t>
        </is>
      </c>
      <c r="AC1273" s="7" t="n">
        <v>0</v>
      </c>
      <c r="AD1273" s="7" t="n"/>
      <c r="AE1273" s="7" t="n"/>
      <c r="AF1273" s="7" t="n"/>
      <c r="AG1273" s="7" t="n"/>
      <c r="AH1273" s="7" t="n"/>
      <c r="AI1273" s="7" t="n"/>
      <c r="AJ1273" s="7" t="n"/>
      <c r="AK1273" s="7" t="n"/>
      <c r="AL1273" s="7" t="n"/>
      <c r="AM1273" s="7" t="n">
        <v>1932.6183</v>
      </c>
      <c r="AN1273" s="10" t="n"/>
      <c r="AO1273" s="10" t="n"/>
      <c r="AP1273" s="10" t="n"/>
      <c r="AQ1273" s="10" t="n"/>
    </row>
    <row r="1274">
      <c r="A1274" s="7" t="inlineStr">
        <is>
          <t>b8-0182</t>
        </is>
      </c>
      <c r="B1274" s="7" t="inlineStr">
        <is>
          <t>Point</t>
        </is>
      </c>
      <c r="C1274" s="7" t="n"/>
      <c r="D1274" s="7" t="inlineStr">
        <is>
          <t>December 19, 1932</t>
        </is>
      </c>
      <c r="E1274" s="7" t="inlineStr">
        <is>
          <t>டிசம்பர் 19, 1932</t>
        </is>
      </c>
      <c r="F1274" s="7" t="inlineStr">
        <is>
          <t>1932 CE</t>
        </is>
      </c>
      <c r="G1274" s="7" t="inlineStr">
        <is>
          <t>Exact</t>
        </is>
      </c>
      <c r="H1274" s="7" t="n"/>
      <c r="I1274" s="7" t="n"/>
      <c r="J1274" s="7" t="n"/>
      <c r="K1274" s="2" t="inlineStr">
        <is>
          <t>Danish trial court rules preaching is not peddling (Lehmann case)</t>
        </is>
      </c>
      <c r="L1274" s="2" t="n"/>
      <c r="M1274" s="7" t="inlineStr">
        <is>
          <t>After a Danish law requiring a peddler’s license took effect October 1, 1932, August Lehmann is arrested in Roskilde; on December 19 the trial court rules his activity cannot be characterized as trade.</t>
        </is>
      </c>
      <c r="N1274" s="7" t="inlineStr">
        <is>
          <t>டிசம்பர் 19, 1932-ல் அகஸ்ட் லேமன் நீதிமன்றத்தில் ஆஜரானார்.</t>
        </is>
      </c>
      <c r="O1274" s="13" t="inlineStr">
        <is>
          <t>Jehovah's Witnesses</t>
        </is>
      </c>
      <c r="P1274" s="7" t="inlineStr">
        <is>
          <t>jw.legal</t>
        </is>
      </c>
      <c r="Q1274" s="7" t="inlineStr">
        <is>
          <t>court_ruling</t>
        </is>
      </c>
      <c r="R1274" s="7" t="inlineStr">
        <is>
          <t>August Lehmann</t>
        </is>
      </c>
      <c r="S1274" s="7" t="inlineStr">
        <is>
          <t>Roskilde, Denmark</t>
        </is>
      </c>
      <c r="T1274" s="7" t="n"/>
      <c r="U1274" s="7" t="n"/>
      <c r="V1274" s="7" t="n">
        <v>1</v>
      </c>
      <c r="W1274" s="7" t="inlineStr">
        <is>
          <t>Kingdom Preachers Take Their Case to Court</t>
        </is>
      </c>
      <c r="X1274" s="9" t="inlineStr">
        <is>
          <t>open</t>
        </is>
      </c>
      <c r="Y1274" s="9" t="inlineStr">
        <is>
          <t>open</t>
        </is>
      </c>
      <c r="Z1274" s="7" t="inlineStr">
        <is>
          <t>https://wol.jw.org/en/wol/d/r1/lp-e/1102014252</t>
        </is>
      </c>
      <c r="AA1274" s="7" t="n">
        <v>0</v>
      </c>
      <c r="AB1274" s="7" t="n"/>
      <c r="AC1274" s="7" t="n">
        <v>0</v>
      </c>
      <c r="AD1274" s="7" t="n"/>
      <c r="AE1274" s="7" t="n"/>
      <c r="AF1274" s="7" t="n"/>
      <c r="AG1274" s="7" t="n"/>
      <c r="AH1274" s="7" t="n"/>
      <c r="AI1274" s="7" t="n"/>
      <c r="AJ1274" s="7" t="n"/>
      <c r="AK1274" s="7" t="n"/>
      <c r="AL1274" s="7" t="n"/>
      <c r="AM1274" s="7" t="n">
        <v>1932.9617</v>
      </c>
      <c r="AN1274" s="10" t="n"/>
      <c r="AO1274" s="10" t="n"/>
      <c r="AP1274" s="10" t="n"/>
      <c r="AQ1274" s="10" t="n"/>
    </row>
    <row r="1275">
      <c r="A1275" s="7" t="inlineStr">
        <is>
          <t>b15-0005</t>
        </is>
      </c>
      <c r="B1275" s="7" t="inlineStr">
        <is>
          <t>Point</t>
        </is>
      </c>
      <c r="C1275" s="7" t="n"/>
      <c r="D1275" s="7" t="inlineStr">
        <is>
          <t>1933</t>
        </is>
      </c>
      <c r="E1275" s="7" t="inlineStr">
        <is>
          <t>1933</t>
        </is>
      </c>
      <c r="F1275" s="7" t="inlineStr">
        <is>
          <t>1933 CE</t>
        </is>
      </c>
      <c r="G1275" s="7" t="inlineStr">
        <is>
          <t>Exact</t>
        </is>
      </c>
      <c r="H1275" s="7" t="n"/>
      <c r="I1275" s="7" t="n"/>
      <c r="J1275" s="7" t="n"/>
      <c r="K1275" s="2" t="inlineStr">
        <is>
          <t>Famine in Russia and Ukraine</t>
        </is>
      </c>
      <c r="L1275" s="2" t="n"/>
      <c r="M1275" s="7" t="inlineStr">
        <is>
          <t>Quoting historian Alan Bullock, The Watchtower describes the famine of 1933 in Russia and Ukraine, when starving people wandered the countryside and corpses were piled by the roads, as an example of the food shortages Jesus foretold (Matthew 24:7).</t>
        </is>
      </c>
      <c r="N1275" s="7" t="inlineStr">
        <is>
          <t>‘பஞ்சங்கள் உண்டாகும்.’ (மத்தேயு 24:7) முதல் உலகப் போரின்போது ஐரோப்பா பஞ்சத்தாலும் பட்டினியாலும் பீடிக்கப்பட்டிருந்தது, அன்று முதல் பஞ்சம் மனிதகுலத்தை ஆட்டிப்படைத்து வருகிறது. 1933-⁠ல், ரஷ்யாவிலும் உக்ரைனிலும் “பசியால் தவித்த ஜனங்கள் கும்பல் கும்பலாக நாட்டுப்புற பகுதிகளெங்கும் அலைந்து திரிந்தார்கள் . . . சாலையோரங்களில் அவர்களுடைய பிரேதங்கள் குவிந்து கிடந்தன” என்று சரித்திராசிரியரான ஆலன் புலக் எழுதினார்.</t>
        </is>
      </c>
      <c r="O1275" s="8" t="inlineStr">
        <is>
          <t>Bible</t>
        </is>
      </c>
      <c r="P1275" s="7" t="inlineStr">
        <is>
          <t>bible.prophecy_fulfilled</t>
        </is>
      </c>
      <c r="Q1275" s="7" t="inlineStr">
        <is>
          <t>famine</t>
        </is>
      </c>
      <c r="R1275" s="7" t="n"/>
      <c r="S1275" s="7" t="inlineStr">
        <is>
          <t>Russia; Ukraine</t>
        </is>
      </c>
      <c r="T1275" s="7" t="inlineStr">
        <is>
          <t>Matt. 24:7</t>
        </is>
      </c>
      <c r="U1275" s="7" t="inlineStr">
        <is>
          <t>மத். 24:7</t>
        </is>
      </c>
      <c r="V1275" s="7" t="n">
        <v>1</v>
      </c>
      <c r="W1275" s="7" t="inlineStr">
        <is>
          <t>Do You Recognize the Sign of Jesus’ Presence?</t>
        </is>
      </c>
      <c r="X1275" s="9" t="inlineStr">
        <is>
          <t>open</t>
        </is>
      </c>
      <c r="Y1275" s="9" t="inlineStr">
        <is>
          <t>open</t>
        </is>
      </c>
      <c r="Z1275" s="7" t="inlineStr">
        <is>
          <t>https://wol.jw.org/en/wol/d/r1/lp-e/2005721</t>
        </is>
      </c>
      <c r="AA1275" s="7" t="n">
        <v>0</v>
      </c>
      <c r="AB1275" s="7" t="n"/>
      <c r="AC1275" s="7" t="n">
        <v>0</v>
      </c>
      <c r="AD1275" s="7" t="n"/>
      <c r="AE1275" s="7" t="n"/>
      <c r="AF1275" s="7" t="n"/>
      <c r="AG1275" s="7" t="n"/>
      <c r="AH1275" s="7" t="n"/>
      <c r="AI1275" s="7" t="n"/>
      <c r="AJ1275" s="7" t="n"/>
      <c r="AK1275" s="7" t="inlineStr">
        <is>
          <t>last-days-sign #12 (fulfillment)</t>
        </is>
      </c>
      <c r="AL1275" s="7" t="n"/>
      <c r="AM1275" s="7" t="n">
        <v>1933</v>
      </c>
      <c r="AN1275" s="10" t="n"/>
      <c r="AO1275" s="10" t="n"/>
      <c r="AP1275" s="10" t="n"/>
      <c r="AQ1275" s="10" t="n"/>
    </row>
    <row r="1276">
      <c r="A1276" s="7" t="inlineStr">
        <is>
          <t>b8-0183</t>
        </is>
      </c>
      <c r="B1276" s="7" t="inlineStr">
        <is>
          <t>Point</t>
        </is>
      </c>
      <c r="C1276" s="7" t="n"/>
      <c r="D1276" s="7" t="inlineStr">
        <is>
          <t>1933</t>
        </is>
      </c>
      <c r="E1276" s="7" t="n"/>
      <c r="F1276" s="7" t="inlineStr">
        <is>
          <t>1933 CE</t>
        </is>
      </c>
      <c r="G1276" s="7" t="inlineStr">
        <is>
          <t>Exact</t>
        </is>
      </c>
      <c r="H1276" s="7" t="n"/>
      <c r="I1276" s="7" t="n"/>
      <c r="J1276" s="7" t="n"/>
      <c r="K1276" s="2" t="inlineStr">
        <is>
          <t>Jehovah’s Witnesses banned in Germany; intense persecution begins</t>
        </is>
      </c>
      <c r="L1276" s="2" t="n"/>
      <c r="M1276" s="7" t="inlineStr">
        <is>
          <t>Jehovah’s Witnesses are banned in most German states (April and June 1933). Down to the end of World War II, 6,262 are arrested and 2,074 sent to concentration camps.</t>
        </is>
      </c>
      <c r="N1276" s="7" t="n"/>
      <c r="O1276" s="13" t="inlineStr">
        <is>
          <t>Jehovah's Witnesses</t>
        </is>
      </c>
      <c r="P1276" s="7" t="inlineStr">
        <is>
          <t>jw.persecution</t>
        </is>
      </c>
      <c r="Q1276" s="7" t="inlineStr">
        <is>
          <t>ban</t>
        </is>
      </c>
      <c r="R1276" s="7" t="n"/>
      <c r="S1276" s="7" t="inlineStr">
        <is>
          <t>Germany</t>
        </is>
      </c>
      <c r="T1276" s="7" t="n"/>
      <c r="U1276" s="7" t="n"/>
      <c r="V1276" s="7" t="n">
        <v>4</v>
      </c>
      <c r="W1276" s="7" t="inlineStr">
        <is>
          <t>Noteworthy Events in the Modern-day History of Jehovah’s Witnesses</t>
        </is>
      </c>
      <c r="X1276" s="9" t="inlineStr">
        <is>
          <t>open</t>
        </is>
      </c>
      <c r="Y1276" s="7" t="n"/>
      <c r="Z1276" s="7" t="inlineStr">
        <is>
          <t>https://wol.jw.org/en/wol/d/r1/lp-e/1101993046
https://wol.jw.org/en/wol/d/r1/lp-e/1101999301
https://wol.jw.org/en/wol/d/r1/lp-e/1101993040
https://wol.jw.org/en/wol/d/r1/lp-e/1101993041</t>
        </is>
      </c>
      <c r="AA1276" s="7" t="n">
        <v>0</v>
      </c>
      <c r="AB1276" s="7" t="n"/>
      <c r="AC1276" s="7" t="n">
        <v>0</v>
      </c>
      <c r="AD1276" s="7" t="n"/>
      <c r="AE1276" s="7" t="n"/>
      <c r="AF1276" s="7" t="n"/>
      <c r="AG1276" s="7" t="n"/>
      <c r="AH1276" s="7" t="n"/>
      <c r="AI1276" s="7" t="inlineStr">
        <is>
          <t>Span endpoint – keep</t>
        </is>
      </c>
      <c r="AJ1276" s="7" t="inlineStr">
        <is>
          <t>start of Ban and persecution of Jehovah’s Witnesses in Nazi Germany (b12-0080)</t>
        </is>
      </c>
      <c r="AK1276" s="7" t="n"/>
      <c r="AL1276" s="7" t="n"/>
      <c r="AM1276" s="7" t="n">
        <v>1933</v>
      </c>
      <c r="AN1276" s="10" t="n"/>
      <c r="AO1276" s="10" t="n"/>
      <c r="AP1276" s="10" t="n"/>
      <c r="AQ1276" s="10" t="n"/>
    </row>
    <row r="1277">
      <c r="A1277" s="7" t="inlineStr">
        <is>
          <t>b8-0184</t>
        </is>
      </c>
      <c r="B1277" s="7" t="inlineStr">
        <is>
          <t>Point</t>
        </is>
      </c>
      <c r="C1277" s="7" t="n"/>
      <c r="D1277" s="7" t="inlineStr">
        <is>
          <t>1933</t>
        </is>
      </c>
      <c r="E1277" s="7" t="inlineStr">
        <is>
          <t>1933</t>
        </is>
      </c>
      <c r="F1277" s="7" t="inlineStr">
        <is>
          <t>1933 CE</t>
        </is>
      </c>
      <c r="G1277" s="7" t="inlineStr">
        <is>
          <t>Exact</t>
        </is>
      </c>
      <c r="H1277" s="7" t="n"/>
      <c r="I1277" s="7" t="n"/>
      <c r="J1277" s="7" t="n"/>
      <c r="K1277" s="2" t="inlineStr">
        <is>
          <t>Transcription machines and sound cars used to broadcast lectures</t>
        </is>
      </c>
      <c r="L1277" s="2" t="inlineStr">
        <is>
          <t>சவுண்ட் கார்கள்</t>
        </is>
      </c>
      <c r="M1277" s="7" t="inlineStr">
        <is>
          <t>Witnesses use transportable transcription machines, some mounted on automobiles (sound cars) and boats, to play Bible lectures in halls, parks, and public places.</t>
        </is>
      </c>
      <c r="N1277" s="7" t="inlineStr">
        <is>
          <t>சவுண்ட் கார்கள்</t>
        </is>
      </c>
      <c r="O1277" s="13" t="inlineStr">
        <is>
          <t>Jehovah's Witnesses</t>
        </is>
      </c>
      <c r="P1277" s="7" t="inlineStr">
        <is>
          <t>jw.preaching</t>
        </is>
      </c>
      <c r="Q1277" s="7" t="inlineStr">
        <is>
          <t>method</t>
        </is>
      </c>
      <c r="R1277" s="7" t="n"/>
      <c r="S1277" s="7" t="n"/>
      <c r="T1277" s="7" t="n"/>
      <c r="U1277" s="7" t="n"/>
      <c r="V1277" s="7" t="n">
        <v>3</v>
      </c>
      <c r="W1277" s="7" t="inlineStr">
        <is>
          <t>Noteworthy Events in the Modern-day History of Jehovah’s Witnesses</t>
        </is>
      </c>
      <c r="X1277" s="9" t="inlineStr">
        <is>
          <t>open</t>
        </is>
      </c>
      <c r="Y1277" s="7" t="n"/>
      <c r="Z1277" s="7" t="inlineStr">
        <is>
          <t>https://wol.jw.org/en/wol/d/r1/lp-e/1101993046
https://wol.jw.org/en/wol/d/r1/lp-e/1101993008
https://wol.jw.org/en/wol/d/r1/lp-e/1102014246</t>
        </is>
      </c>
      <c r="AA1277" s="7" t="n">
        <v>1</v>
      </c>
      <c r="AB1277" s="9" t="inlineStr">
        <is>
          <t>open</t>
        </is>
      </c>
      <c r="AC1277" s="7" t="n">
        <v>0</v>
      </c>
      <c r="AD1277" s="7" t="n"/>
      <c r="AE1277" s="7" t="n"/>
      <c r="AF1277" s="7" t="n"/>
      <c r="AG1277" s="7" t="n"/>
      <c r="AH1277" s="7" t="n"/>
      <c r="AI1277" s="7" t="n"/>
      <c r="AJ1277" s="7" t="n"/>
      <c r="AK1277" s="7" t="n"/>
      <c r="AL1277" s="7" t="n"/>
      <c r="AM1277" s="7" t="n">
        <v>1933</v>
      </c>
      <c r="AN1277" s="10" t="n"/>
      <c r="AO1277" s="10" t="n"/>
      <c r="AP1277" s="10" t="n"/>
      <c r="AQ1277" s="10" t="n"/>
    </row>
    <row r="1278">
      <c r="A1278" s="7" t="inlineStr">
        <is>
          <t>b8-0185</t>
        </is>
      </c>
      <c r="B1278" s="7" t="inlineStr">
        <is>
          <t>Point</t>
        </is>
      </c>
      <c r="C1278" s="7" t="n"/>
      <c r="D1278" s="7" t="inlineStr">
        <is>
          <t>1933</t>
        </is>
      </c>
      <c r="E1278" s="7" t="inlineStr">
        <is>
          <t>1933</t>
        </is>
      </c>
      <c r="F1278" s="7" t="inlineStr">
        <is>
          <t>1933 CE</t>
        </is>
      </c>
      <c r="G1278" s="7" t="inlineStr">
        <is>
          <t>Exact</t>
        </is>
      </c>
      <c r="H1278" s="7" t="n"/>
      <c r="I1278" s="7" t="n"/>
      <c r="J1278" s="7" t="n"/>
      <c r="K1278" s="2" t="inlineStr">
        <is>
          <t>Testimony cards introduced for door-to-door ministry</t>
        </is>
      </c>
      <c r="L1278" s="2" t="n"/>
      <c r="M1278" s="7" t="inlineStr">
        <is>
          <t>Beginning in 1933, publishers are encouraged to use testimony cards in their door-to-door ministry.</t>
        </is>
      </c>
      <c r="N1278" s="7" t="inlineStr">
        <is>
          <t>1933-லிருந்து வீட்டுக்கு வீடு ஊழியத்தில் பிரசங்க அட்டைகளைப் பயன்படுத்தும்படி பிரஸ்தாபிகளிடம் சொல்லப்பட்டது.</t>
        </is>
      </c>
      <c r="O1278" s="13" t="inlineStr">
        <is>
          <t>Jehovah's Witnesses</t>
        </is>
      </c>
      <c r="P1278" s="7" t="inlineStr">
        <is>
          <t>jw.preaching</t>
        </is>
      </c>
      <c r="Q1278" s="7" t="inlineStr">
        <is>
          <t>method</t>
        </is>
      </c>
      <c r="R1278" s="7" t="n"/>
      <c r="S1278" s="7" t="n"/>
      <c r="T1278" s="7" t="n"/>
      <c r="U1278" s="7" t="n"/>
      <c r="V1278" s="7" t="n">
        <v>1</v>
      </c>
      <c r="W1278" s="7" t="inlineStr">
        <is>
          <t>Tools for Preaching—Producing Literature for the Worldwide Field</t>
        </is>
      </c>
      <c r="X1278" s="9" t="inlineStr">
        <is>
          <t>open</t>
        </is>
      </c>
      <c r="Y1278" s="9" t="inlineStr">
        <is>
          <t>open</t>
        </is>
      </c>
      <c r="Z1278" s="7" t="inlineStr">
        <is>
          <t>https://wol.jw.org/en/wol/d/r1/lp-e/1102014247</t>
        </is>
      </c>
      <c r="AA1278" s="7" t="n">
        <v>1</v>
      </c>
      <c r="AB1278" s="9" t="inlineStr">
        <is>
          <t>open</t>
        </is>
      </c>
      <c r="AC1278" s="7" t="n">
        <v>0</v>
      </c>
      <c r="AD1278" s="7" t="n"/>
      <c r="AE1278" s="7" t="n"/>
      <c r="AF1278" s="7" t="n"/>
      <c r="AG1278" s="7" t="n"/>
      <c r="AH1278" s="7" t="n"/>
      <c r="AI1278" s="7" t="n"/>
      <c r="AJ1278" s="7" t="n"/>
      <c r="AK1278" s="7" t="n"/>
      <c r="AL1278" s="7" t="n"/>
      <c r="AM1278" s="7" t="n">
        <v>1933</v>
      </c>
      <c r="AN1278" s="10" t="n"/>
      <c r="AO1278" s="10" t="n"/>
      <c r="AP1278" s="10" t="n"/>
      <c r="AQ1278" s="10" t="n"/>
    </row>
    <row r="1279">
      <c r="A1279" s="7" t="inlineStr">
        <is>
          <t>b8-0186</t>
        </is>
      </c>
      <c r="B1279" s="7" t="inlineStr">
        <is>
          <t>Point</t>
        </is>
      </c>
      <c r="C1279" s="7" t="n"/>
      <c r="D1279" s="7" t="inlineStr">
        <is>
          <t>1933</t>
        </is>
      </c>
      <c r="E1279" s="7" t="inlineStr">
        <is>
          <t>1933</t>
        </is>
      </c>
      <c r="F1279" s="7" t="inlineStr">
        <is>
          <t>1933 CE</t>
        </is>
      </c>
      <c r="G1279" s="7" t="inlineStr">
        <is>
          <t>Exact</t>
        </is>
      </c>
      <c r="H1279" s="7" t="n"/>
      <c r="I1279" s="7" t="n"/>
      <c r="J1279" s="7" t="n"/>
      <c r="K1279" s="2" t="inlineStr">
        <is>
          <t>Kingdom message carried by over 400 radio stations</t>
        </is>
      </c>
      <c r="L1279" s="2" t="n"/>
      <c r="M1279" s="7" t="inlineStr">
        <is>
          <t>Radio use peaks as some 400 stations carry Bible lectures to six continents.</t>
        </is>
      </c>
      <c r="N1279" s="7" t="inlineStr">
        <is>
          <t>1933-க்குள் பைபிள் சொற்பொழிவுகளை ஒலிபரப்ப 403 வானொலி நிலையங்களை சொஸைட்டி பயன்படுத்தி வந்தது.</t>
        </is>
      </c>
      <c r="O1279" s="13" t="inlineStr">
        <is>
          <t>Jehovah's Witnesses</t>
        </is>
      </c>
      <c r="P1279" s="7" t="inlineStr">
        <is>
          <t>jw.preaching</t>
        </is>
      </c>
      <c r="Q1279" s="7" t="inlineStr">
        <is>
          <t>statistic</t>
        </is>
      </c>
      <c r="R1279" s="7" t="n"/>
      <c r="S1279" s="7" t="n"/>
      <c r="T1279" s="7" t="n"/>
      <c r="U1279" s="7" t="n"/>
      <c r="V1279" s="7" t="n">
        <v>2</v>
      </c>
      <c r="W1279" s="7" t="inlineStr">
        <is>
          <t>Advertise the King and the Kingdom! (1919-1941)</t>
        </is>
      </c>
      <c r="X1279" s="9" t="inlineStr">
        <is>
          <t>open</t>
        </is>
      </c>
      <c r="Y1279" s="7" t="n"/>
      <c r="Z1279" s="7" t="inlineStr">
        <is>
          <t>https://wol.jw.org/en/wol/d/r1/lp-e/1101993008
https://wol.jw.org/en/wol/d/r1/lp-e/1102000101</t>
        </is>
      </c>
      <c r="AA1279" s="7" t="n">
        <v>0</v>
      </c>
      <c r="AB1279" s="7" t="n"/>
      <c r="AC1279" s="7" t="n">
        <v>1</v>
      </c>
      <c r="AD1279" s="7" t="inlineStr">
        <is>
          <t>jt brochure gives 403 stations by 1933; jv ch. 7 gives a peak of 408.</t>
        </is>
      </c>
      <c r="AE1279" s="7" t="n"/>
      <c r="AF1279" s="7" t="n"/>
      <c r="AG1279" s="7" t="n"/>
      <c r="AH1279" s="7" t="n"/>
      <c r="AI1279" s="7" t="n"/>
      <c r="AJ1279" s="7" t="n"/>
      <c r="AK1279" s="7" t="n"/>
      <c r="AL1279" s="7" t="n"/>
      <c r="AM1279" s="7" t="n">
        <v>1933</v>
      </c>
      <c r="AN1279" s="10" t="n"/>
      <c r="AO1279" s="10" t="n"/>
      <c r="AP1279" s="10" t="n"/>
      <c r="AQ1279" s="10" t="n"/>
    </row>
    <row r="1280">
      <c r="A1280" s="7" t="inlineStr">
        <is>
          <t>b8-0187</t>
        </is>
      </c>
      <c r="B1280" s="7" t="inlineStr">
        <is>
          <t>Point</t>
        </is>
      </c>
      <c r="C1280" s="7" t="n"/>
      <c r="D1280" s="7" t="inlineStr">
        <is>
          <t>1933</t>
        </is>
      </c>
      <c r="E1280" s="7" t="n"/>
      <c r="F1280" s="7" t="inlineStr">
        <is>
          <t>1933 CE</t>
        </is>
      </c>
      <c r="G1280" s="7" t="inlineStr">
        <is>
          <t>Exact</t>
        </is>
      </c>
      <c r="H1280" s="7" t="n"/>
      <c r="I1280" s="7" t="n"/>
      <c r="J1280" s="7" t="n"/>
      <c r="K1280" s="2" t="inlineStr">
        <is>
          <t>Arrests mount in the U.S.; legal department set up in Brooklyn</t>
        </is>
      </c>
      <c r="L1280" s="2" t="n"/>
      <c r="M1280" s="7" t="inlineStr">
        <is>
          <t>Arrests of Witnesses in the United States mount (268 in 1933, 1,149 in 1936), and the Society establishes a legal department in Brooklyn to give counsel; divisional campaigns are organized.</t>
        </is>
      </c>
      <c r="N1280" s="7" t="n"/>
      <c r="O1280" s="13" t="inlineStr">
        <is>
          <t>Jehovah's Witnesses</t>
        </is>
      </c>
      <c r="P1280" s="7" t="inlineStr">
        <is>
          <t>jw.legal</t>
        </is>
      </c>
      <c r="Q1280" s="7" t="inlineStr">
        <is>
          <t>arrest</t>
        </is>
      </c>
      <c r="R1280" s="7" t="n"/>
      <c r="S1280" s="7" t="n"/>
      <c r="T1280" s="7" t="n"/>
      <c r="U1280" s="7" t="n"/>
      <c r="V1280" s="7" t="n">
        <v>2</v>
      </c>
      <c r="W1280" s="7" t="inlineStr">
        <is>
          <t>Advertise the King and the Kingdom! (1919-1941)</t>
        </is>
      </c>
      <c r="X1280" s="9" t="inlineStr">
        <is>
          <t>open</t>
        </is>
      </c>
      <c r="Y1280" s="7" t="n"/>
      <c r="Z1280" s="7" t="inlineStr">
        <is>
          <t>https://wol.jw.org/en/wol/d/r1/lp-e/1101993008
https://wol.jw.org/en/wol/d/r1/lp-e/1101993041</t>
        </is>
      </c>
      <c r="AA1280" s="7" t="n">
        <v>0</v>
      </c>
      <c r="AB1280" s="7" t="n"/>
      <c r="AC1280" s="7" t="n">
        <v>0</v>
      </c>
      <c r="AD1280" s="7" t="n"/>
      <c r="AE1280" s="7" t="n"/>
      <c r="AF1280" s="7" t="n"/>
      <c r="AG1280" s="7" t="n"/>
      <c r="AH1280" s="7" t="n"/>
      <c r="AI1280" s="7" t="n"/>
      <c r="AJ1280" s="7" t="n"/>
      <c r="AK1280" s="7" t="n"/>
      <c r="AL1280" s="7" t="n"/>
      <c r="AM1280" s="7" t="n">
        <v>1933</v>
      </c>
      <c r="AN1280" s="10" t="n"/>
      <c r="AO1280" s="10" t="n"/>
      <c r="AP1280" s="10" t="n"/>
      <c r="AQ1280" s="10" t="n"/>
    </row>
    <row r="1281">
      <c r="A1281" s="7" t="inlineStr">
        <is>
          <t>b12-0080</t>
        </is>
      </c>
      <c r="B1281" s="11" t="inlineStr">
        <is>
          <t>Span</t>
        </is>
      </c>
      <c r="C1281" s="7" t="inlineStr">
        <is>
          <t>ban</t>
        </is>
      </c>
      <c r="D1281" s="7" t="inlineStr">
        <is>
          <t>1933–1945</t>
        </is>
      </c>
      <c r="E1281" s="7" t="n"/>
      <c r="F1281" s="7" t="inlineStr">
        <is>
          <t>1933 CE</t>
        </is>
      </c>
      <c r="G1281" s="7" t="inlineStr">
        <is>
          <t>Exact</t>
        </is>
      </c>
      <c r="H1281" s="7" t="inlineStr">
        <is>
          <t>1945 CE</t>
        </is>
      </c>
      <c r="I1281" s="7" t="inlineStr">
        <is>
          <t>Exact</t>
        </is>
      </c>
      <c r="J1281" s="7" t="n"/>
      <c r="K1281" s="2" t="inlineStr">
        <is>
          <t>Ban and persecution of Jehovah’s Witnesses in Nazi Germany</t>
        </is>
      </c>
      <c r="L1281" s="2" t="n"/>
      <c r="M1281" s="7" t="inlineStr">
        <is>
          <t>Banned in 1933, the Witnesses in Germany were persecuted until the end of World War II: 6,262 were arrested and over 2,000 sent to concentration camps.</t>
        </is>
      </c>
      <c r="N1281" s="7" t="n"/>
      <c r="O1281" s="13" t="inlineStr">
        <is>
          <t>Jehovah's Witnesses</t>
        </is>
      </c>
      <c r="P1281" s="7" t="inlineStr">
        <is>
          <t>jw.persecution</t>
        </is>
      </c>
      <c r="Q1281" s="7" t="n"/>
      <c r="R1281" s="7" t="n"/>
      <c r="S1281" s="7" t="inlineStr">
        <is>
          <t>Germany</t>
        </is>
      </c>
      <c r="T1281" s="7" t="n"/>
      <c r="U1281" s="7" t="n"/>
      <c r="V1281" s="7" t="n">
        <v>2</v>
      </c>
      <c r="W1281" s="7" t="inlineStr">
        <is>
          <t>Noteworthy Events in the Modern-day History of Jehovah’s Witnesses</t>
        </is>
      </c>
      <c r="X1281" s="9" t="inlineStr">
        <is>
          <t>open</t>
        </is>
      </c>
      <c r="Y1281" s="7" t="n"/>
      <c r="Z1281" s="7" t="inlineStr">
        <is>
          <t>https://wol.jw.org/en/wol/d/r1/lp-e/1101993046
https://wol.jw.org/en/wol/d/r1/lp-e/1101993040</t>
        </is>
      </c>
      <c r="AA1281" s="7" t="n">
        <v>0</v>
      </c>
      <c r="AB1281" s="7" t="n"/>
      <c r="AC1281" s="7" t="n">
        <v>0</v>
      </c>
      <c r="AD1281" s="7" t="n"/>
      <c r="AE1281" s="7" t="n"/>
      <c r="AF1281" s="7" t="inlineStr">
        <is>
          <t>b8-0183</t>
        </is>
      </c>
      <c r="AG1281" s="7" t="inlineStr">
        <is>
          <t>b8-0260</t>
        </is>
      </c>
      <c r="AH1281" s="7" t="n"/>
      <c r="AI1281" s="7" t="n"/>
      <c r="AJ1281" s="7" t="n"/>
      <c r="AK1281" s="7" t="inlineStr">
        <is>
          <t>kings-north-and-south #34 (fulfillment)</t>
        </is>
      </c>
      <c r="AL1281" s="7" t="n"/>
      <c r="AM1281" s="7" t="n">
        <v>1933</v>
      </c>
      <c r="AN1281" s="10" t="n"/>
      <c r="AO1281" s="10" t="n"/>
      <c r="AP1281" s="10" t="n"/>
      <c r="AQ1281" s="10" t="n"/>
    </row>
    <row r="1282">
      <c r="A1282" s="7" t="inlineStr">
        <is>
          <t>b8-0188</t>
        </is>
      </c>
      <c r="B1282" s="7" t="inlineStr">
        <is>
          <t>Point</t>
        </is>
      </c>
      <c r="C1282" s="7" t="n"/>
      <c r="D1282" s="7" t="inlineStr">
        <is>
          <t>June 25, 1933</t>
        </is>
      </c>
      <c r="E1282" s="7" t="n"/>
      <c r="F1282" s="7" t="inlineStr">
        <is>
          <t>1933 CE</t>
        </is>
      </c>
      <c r="G1282" s="7" t="inlineStr">
        <is>
          <t>Exact</t>
        </is>
      </c>
      <c r="H1282" s="7" t="n"/>
      <c r="I1282" s="7" t="n"/>
      <c r="J1282" s="7" t="n"/>
      <c r="K1282" s="2" t="inlineStr">
        <is>
          <t>Declaration adopted at Berlin assembly</t>
        </is>
      </c>
      <c r="L1282" s="2" t="n"/>
      <c r="M1282" s="7" t="inlineStr">
        <is>
          <t>At an assembly in Berlin, Jehovah’s Witnesses adopt a declaration regarding their ministry and objectives; copies go to high officials and millions are distributed, but in July courts refuse a hearing for relief.</t>
        </is>
      </c>
      <c r="N1282" s="7" t="n"/>
      <c r="O1282" s="13" t="inlineStr">
        <is>
          <t>Jehovah's Witnesses</t>
        </is>
      </c>
      <c r="P1282" s="7" t="inlineStr">
        <is>
          <t>jw.persecution</t>
        </is>
      </c>
      <c r="Q1282" s="7" t="inlineStr">
        <is>
          <t>resolution</t>
        </is>
      </c>
      <c r="R1282" s="7" t="n"/>
      <c r="S1282" s="7" t="inlineStr">
        <is>
          <t>Berlin</t>
        </is>
      </c>
      <c r="T1282" s="7" t="n"/>
      <c r="U1282" s="7" t="n"/>
      <c r="V1282" s="7" t="n">
        <v>2</v>
      </c>
      <c r="W1282" s="7" t="inlineStr">
        <is>
          <t>‘Defending and Legally Establishing the Good News’</t>
        </is>
      </c>
      <c r="X1282" s="9" t="inlineStr">
        <is>
          <t>open</t>
        </is>
      </c>
      <c r="Y1282" s="7" t="n"/>
      <c r="Z1282" s="7" t="inlineStr">
        <is>
          <t>https://wol.jw.org/en/wol/d/r1/lp-e/1101993041
https://wol.jw.org/en/wol/d/r1/lp-e/1101999301</t>
        </is>
      </c>
      <c r="AA1282" s="7" t="n">
        <v>0</v>
      </c>
      <c r="AB1282" s="7" t="n"/>
      <c r="AC1282" s="7" t="n">
        <v>0</v>
      </c>
      <c r="AD1282" s="7" t="n"/>
      <c r="AE1282" s="7" t="n"/>
      <c r="AF1282" s="7" t="n"/>
      <c r="AG1282" s="7" t="n"/>
      <c r="AH1282" s="7" t="n"/>
      <c r="AI1282" s="7" t="n"/>
      <c r="AJ1282" s="7" t="n"/>
      <c r="AK1282" s="7" t="n"/>
      <c r="AL1282" s="7" t="n"/>
      <c r="AM1282" s="7" t="n">
        <v>1933.4767</v>
      </c>
      <c r="AN1282" s="10" t="n"/>
      <c r="AO1282" s="10" t="n"/>
      <c r="AP1282" s="10" t="n"/>
      <c r="AQ1282" s="10" t="n"/>
    </row>
    <row r="1283">
      <c r="A1283" s="7" t="inlineStr">
        <is>
          <t>b8-0189</t>
        </is>
      </c>
      <c r="B1283" s="7" t="inlineStr">
        <is>
          <t>Point</t>
        </is>
      </c>
      <c r="C1283" s="7" t="n"/>
      <c r="D1283" s="7" t="inlineStr">
        <is>
          <t>October 3, 1933</t>
        </is>
      </c>
      <c r="E1283" s="7" t="inlineStr">
        <is>
          <t>அக்டோபர் 3, 1933</t>
        </is>
      </c>
      <c r="F1283" s="7" t="inlineStr">
        <is>
          <t>1933 CE</t>
        </is>
      </c>
      <c r="G1283" s="7" t="inlineStr">
        <is>
          <t>Exact</t>
        </is>
      </c>
      <c r="H1283" s="7" t="n"/>
      <c r="I1283" s="7" t="n"/>
      <c r="J1283" s="7" t="n"/>
      <c r="K1283" s="2" t="inlineStr">
        <is>
          <t>Supreme Court of Denmark upholds right to preach</t>
        </is>
      </c>
      <c r="L1283" s="2" t="n"/>
      <c r="M1283" s="7" t="inlineStr">
        <is>
          <t>Denmark’s Supreme Court agrees that August Lehmann had not broken the law, allowing the Witnesses to continue preaching freely; they respond by increasing their activity.</t>
        </is>
      </c>
      <c r="N1283" s="7" t="inlineStr">
        <is>
          <t>அக்டோபர் 3, 1933, செவ்வாய்கிழமை அன்று உச்ச நீதிமன்றம் அதன் தீர்ப்பை அளித்தது.</t>
        </is>
      </c>
      <c r="O1283" s="13" t="inlineStr">
        <is>
          <t>Jehovah's Witnesses</t>
        </is>
      </c>
      <c r="P1283" s="7" t="inlineStr">
        <is>
          <t>jw.legal</t>
        </is>
      </c>
      <c r="Q1283" s="7" t="inlineStr">
        <is>
          <t>court_ruling</t>
        </is>
      </c>
      <c r="R1283" s="7" t="inlineStr">
        <is>
          <t>August Lehmann</t>
        </is>
      </c>
      <c r="S1283" s="7" t="inlineStr">
        <is>
          <t>Denmark</t>
        </is>
      </c>
      <c r="T1283" s="7" t="n"/>
      <c r="U1283" s="7" t="n"/>
      <c r="V1283" s="7" t="n">
        <v>1</v>
      </c>
      <c r="W1283" s="7" t="inlineStr">
        <is>
          <t>Kingdom Preachers Take Their Case to Court</t>
        </is>
      </c>
      <c r="X1283" s="9" t="inlineStr">
        <is>
          <t>open</t>
        </is>
      </c>
      <c r="Y1283" s="9" t="inlineStr">
        <is>
          <t>open</t>
        </is>
      </c>
      <c r="Z1283" s="7" t="inlineStr">
        <is>
          <t>https://wol.jw.org/en/wol/d/r1/lp-e/1102014252</t>
        </is>
      </c>
      <c r="AA1283" s="7" t="n">
        <v>1</v>
      </c>
      <c r="AB1283" s="9" t="inlineStr">
        <is>
          <t>open</t>
        </is>
      </c>
      <c r="AC1283" s="7" t="n">
        <v>0</v>
      </c>
      <c r="AD1283" s="7" t="n"/>
      <c r="AE1283" s="7" t="n"/>
      <c r="AF1283" s="7" t="n"/>
      <c r="AG1283" s="7" t="n"/>
      <c r="AH1283" s="7" t="n"/>
      <c r="AI1283" s="7" t="n"/>
      <c r="AJ1283" s="7" t="n"/>
      <c r="AK1283" s="7" t="n"/>
      <c r="AL1283" s="7" t="n"/>
      <c r="AM1283" s="7" t="n">
        <v>1933.755</v>
      </c>
      <c r="AN1283" s="10" t="n"/>
      <c r="AO1283" s="10" t="n"/>
      <c r="AP1283" s="10" t="n"/>
      <c r="AQ1283" s="10" t="n"/>
    </row>
    <row r="1284">
      <c r="A1284" s="7" t="inlineStr">
        <is>
          <t>b8-0190</t>
        </is>
      </c>
      <c r="B1284" s="7" t="inlineStr">
        <is>
          <t>Point</t>
        </is>
      </c>
      <c r="C1284" s="7" t="n"/>
      <c r="D1284" s="7" t="inlineStr">
        <is>
          <t>1934</t>
        </is>
      </c>
      <c r="E1284" s="7" t="n"/>
      <c r="F1284" s="7" t="inlineStr">
        <is>
          <t>1934 CE</t>
        </is>
      </c>
      <c r="G1284" s="7" t="inlineStr">
        <is>
          <t>Exact</t>
        </is>
      </c>
      <c r="H1284" s="7" t="n"/>
      <c r="I1284" s="7" t="n"/>
      <c r="J1284" s="7" t="n"/>
      <c r="K1284" s="2" t="inlineStr">
        <is>
          <t>Portable phonographs used to play recorded Bible discourses</t>
        </is>
      </c>
      <c r="L1284" s="2" t="n"/>
      <c r="M1284" s="7" t="inlineStr">
        <is>
          <t>The Society begins producing portable phonographs and 78-rpm records of 4 1/2-minute Bible lectures for Witnesses to play for interested ones.</t>
        </is>
      </c>
      <c r="N1284" s="7" t="n"/>
      <c r="O1284" s="13" t="inlineStr">
        <is>
          <t>Jehovah's Witnesses</t>
        </is>
      </c>
      <c r="P1284" s="7" t="inlineStr">
        <is>
          <t>jw.preaching</t>
        </is>
      </c>
      <c r="Q1284" s="7" t="inlineStr">
        <is>
          <t>method</t>
        </is>
      </c>
      <c r="R1284" s="7" t="n"/>
      <c r="S1284" s="7" t="n"/>
      <c r="T1284" s="7" t="n"/>
      <c r="U1284" s="7" t="n"/>
      <c r="V1284" s="7" t="n">
        <v>3</v>
      </c>
      <c r="W1284" s="7" t="inlineStr">
        <is>
          <t>Noteworthy Events in the Modern-day History of Jehovah’s Witnesses</t>
        </is>
      </c>
      <c r="X1284" s="9" t="inlineStr">
        <is>
          <t>open</t>
        </is>
      </c>
      <c r="Y1284" s="7" t="n"/>
      <c r="Z1284" s="7" t="inlineStr">
        <is>
          <t>https://wol.jw.org/en/wol/d/r1/lp-e/1101993046
https://wol.jw.org/en/wol/d/r1/lp-e/1101993008
https://wol.jw.org/en/wol/d/r1/lp-e/1102014247</t>
        </is>
      </c>
      <c r="AA1284" s="7" t="n">
        <v>2</v>
      </c>
      <c r="AB1284" s="9" t="inlineStr">
        <is>
          <t>open</t>
        </is>
      </c>
      <c r="AC1284" s="7" t="n">
        <v>0</v>
      </c>
      <c r="AD1284" s="7" t="n"/>
      <c r="AE1284" s="7" t="n"/>
      <c r="AF1284" s="7" t="n"/>
      <c r="AG1284" s="7" t="n"/>
      <c r="AH1284" s="7" t="n"/>
      <c r="AI1284" s="7" t="n"/>
      <c r="AJ1284" s="7" t="n"/>
      <c r="AK1284" s="7" t="n"/>
      <c r="AL1284" s="7" t="n"/>
      <c r="AM1284" s="7" t="n">
        <v>1934</v>
      </c>
      <c r="AN1284" s="10" t="n"/>
      <c r="AO1284" s="10" t="n"/>
      <c r="AP1284" s="10" t="n"/>
      <c r="AQ1284" s="10" t="n"/>
    </row>
    <row r="1285">
      <c r="A1285" s="7" t="inlineStr">
        <is>
          <t>b8-0191</t>
        </is>
      </c>
      <c r="B1285" s="7" t="inlineStr">
        <is>
          <t>Point</t>
        </is>
      </c>
      <c r="C1285" s="7" t="n"/>
      <c r="D1285" s="7" t="inlineStr">
        <is>
          <t>August 15, 1934</t>
        </is>
      </c>
      <c r="E1285" s="7" t="n"/>
      <c r="F1285" s="7" t="inlineStr">
        <is>
          <t>1934 CE</t>
        </is>
      </c>
      <c r="G1285" s="7" t="inlineStr">
        <is>
          <t>Exact</t>
        </is>
      </c>
      <c r="H1285" s="7" t="n"/>
      <c r="I1285" s="7" t="n"/>
      <c r="J1285" s="7" t="n"/>
      <c r="K1285" s="2" t="inlineStr">
        <is>
          <t>Watchtower: Jonadabs should dedicate themselves and be baptized</t>
        </is>
      </c>
      <c r="L1285" s="2" t="n"/>
      <c r="M1285" s="7" t="inlineStr">
        <is>
          <t>The Watchtower of August 15, 1934 (“His Kindness”), explains that it is proper for a Jonadab to consecrate himself to God and be baptized.</t>
        </is>
      </c>
      <c r="N1285" s="7" t="n"/>
      <c r="O1285" s="13" t="inlineStr">
        <is>
          <t>Jehovah's Witnesses</t>
        </is>
      </c>
      <c r="P1285" s="7" t="inlineStr">
        <is>
          <t>jw.doctrine</t>
        </is>
      </c>
      <c r="Q1285" s="7" t="inlineStr">
        <is>
          <t>teaching</t>
        </is>
      </c>
      <c r="R1285" s="7" t="n"/>
      <c r="S1285" s="7" t="n"/>
      <c r="T1285" s="7" t="n"/>
      <c r="U1285" s="7" t="n"/>
      <c r="V1285" s="7" t="n">
        <v>1</v>
      </c>
      <c r="W1285" s="7" t="inlineStr">
        <is>
          <t>Advertise the King and the Kingdom! (1919-1941)</t>
        </is>
      </c>
      <c r="X1285" s="9" t="inlineStr">
        <is>
          <t>open</t>
        </is>
      </c>
      <c r="Y1285" s="7" t="n"/>
      <c r="Z1285" s="7" t="inlineStr">
        <is>
          <t>https://wol.jw.org/en/wol/d/r1/lp-e/1101993008</t>
        </is>
      </c>
      <c r="AA1285" s="7" t="n">
        <v>0</v>
      </c>
      <c r="AB1285" s="7" t="n"/>
      <c r="AC1285" s="7" t="n">
        <v>0</v>
      </c>
      <c r="AD1285" s="7" t="n"/>
      <c r="AE1285" s="7" t="n"/>
      <c r="AF1285" s="7" t="n"/>
      <c r="AG1285" s="7" t="n"/>
      <c r="AH1285" s="7" t="n"/>
      <c r="AI1285" s="7" t="n"/>
      <c r="AJ1285" s="7" t="n"/>
      <c r="AK1285" s="7" t="n"/>
      <c r="AL1285" s="7" t="n"/>
      <c r="AM1285" s="7" t="n">
        <v>1934.6183</v>
      </c>
      <c r="AN1285" s="10" t="n"/>
      <c r="AO1285" s="10" t="n"/>
      <c r="AP1285" s="10" t="n"/>
      <c r="AQ1285" s="10" t="n"/>
    </row>
    <row r="1286">
      <c r="A1286" s="7" t="inlineStr">
        <is>
          <t>b8-0192</t>
        </is>
      </c>
      <c r="B1286" s="7" t="inlineStr">
        <is>
          <t>Point</t>
        </is>
      </c>
      <c r="C1286" s="7" t="n"/>
      <c r="D1286" s="7" t="inlineStr">
        <is>
          <t>October 7, 1934</t>
        </is>
      </c>
      <c r="E1286" s="7" t="n"/>
      <c r="F1286" s="7" t="inlineStr">
        <is>
          <t>1934 CE</t>
        </is>
      </c>
      <c r="G1286" s="7" t="inlineStr">
        <is>
          <t>Exact</t>
        </is>
      </c>
      <c r="H1286" s="7" t="n"/>
      <c r="I1286" s="7" t="n"/>
      <c r="J1286" s="7" t="n"/>
      <c r="K1286" s="2" t="inlineStr">
        <is>
          <t>German congregations send protest letters to the government</t>
        </is>
      </c>
      <c r="L1286" s="2" t="n"/>
      <c r="M1286" s="7" t="inlineStr">
        <is>
          <t>Every group of Witnesses in Germany assembles, prays, and sends a letter to the government declaring they will obey God; a flood of protest telegrams from abroad also reaches Hitler.</t>
        </is>
      </c>
      <c r="N1286" s="7" t="n"/>
      <c r="O1286" s="13" t="inlineStr">
        <is>
          <t>Jehovah's Witnesses</t>
        </is>
      </c>
      <c r="P1286" s="7" t="inlineStr">
        <is>
          <t>jw.persecution</t>
        </is>
      </c>
      <c r="Q1286" s="7" t="inlineStr">
        <is>
          <t>protest</t>
        </is>
      </c>
      <c r="R1286" s="7" t="n"/>
      <c r="S1286" s="7" t="inlineStr">
        <is>
          <t>Germany</t>
        </is>
      </c>
      <c r="T1286" s="7" t="n"/>
      <c r="U1286" s="7" t="n"/>
      <c r="V1286" s="7" t="n">
        <v>2</v>
      </c>
      <c r="W1286" s="7" t="inlineStr">
        <is>
          <t>‘Defending and Legally Establishing the Good News’</t>
        </is>
      </c>
      <c r="X1286" s="9" t="inlineStr">
        <is>
          <t>open</t>
        </is>
      </c>
      <c r="Y1286" s="7" t="n"/>
      <c r="Z1286" s="7" t="inlineStr">
        <is>
          <t>https://wol.jw.org/en/wol/d/r1/lp-e/1101993041
https://wol.jw.org/en/wol/d/r1/lp-e/1101999301</t>
        </is>
      </c>
      <c r="AA1286" s="7" t="n">
        <v>0</v>
      </c>
      <c r="AB1286" s="7" t="n"/>
      <c r="AC1286" s="7" t="n">
        <v>0</v>
      </c>
      <c r="AD1286" s="7" t="n"/>
      <c r="AE1286" s="7" t="n"/>
      <c r="AF1286" s="7" t="n"/>
      <c r="AG1286" s="7" t="n"/>
      <c r="AH1286" s="7" t="n"/>
      <c r="AI1286" s="7" t="n"/>
      <c r="AJ1286" s="7" t="n"/>
      <c r="AK1286" s="7" t="n"/>
      <c r="AL1286" s="7" t="n"/>
      <c r="AM1286" s="7" t="n">
        <v>1934.765</v>
      </c>
      <c r="AN1286" s="10" t="n"/>
      <c r="AO1286" s="10" t="n"/>
      <c r="AP1286" s="10" t="n"/>
      <c r="AQ1286" s="10" t="n"/>
    </row>
    <row r="1287">
      <c r="A1287" s="7" t="inlineStr">
        <is>
          <t>b8-0193</t>
        </is>
      </c>
      <c r="B1287" s="7" t="inlineStr">
        <is>
          <t>Point</t>
        </is>
      </c>
      <c r="C1287" s="7" t="n"/>
      <c r="D1287" s="7" t="inlineStr">
        <is>
          <t>1935</t>
        </is>
      </c>
      <c r="E1287" s="7" t="inlineStr">
        <is>
          <t>1935</t>
        </is>
      </c>
      <c r="F1287" s="7" t="inlineStr">
        <is>
          <t>1935 CE</t>
        </is>
      </c>
      <c r="G1287" s="7" t="inlineStr">
        <is>
          <t>Exact</t>
        </is>
      </c>
      <c r="H1287" s="7" t="n"/>
      <c r="I1287" s="7" t="n"/>
      <c r="J1287" s="7" t="n"/>
      <c r="K1287" s="2" t="inlineStr">
        <is>
          <t>Meeting place first called Kingdom Hall, in Honolulu</t>
        </is>
      </c>
      <c r="L1287" s="2" t="n"/>
      <c r="M1287" s="7" t="inlineStr">
        <is>
          <t>During a visit to Hawaii, where a hall was being built with a new branch office, J. F. Rutherford suggests the name Kingdom Hall; it gradually comes into general use.</t>
        </is>
      </c>
      <c r="N1287" s="7" t="inlineStr">
        <is>
          <t>1935-ல் ஹவாய் என்ற இடத்தில் ஒரு புதிய கிளை அலுவலகம் கட்டப்பட்டது.</t>
        </is>
      </c>
      <c r="O1287" s="13" t="inlineStr">
        <is>
          <t>Jehovah's Witnesses</t>
        </is>
      </c>
      <c r="P1287" s="7" t="inlineStr">
        <is>
          <t>jw.construction</t>
        </is>
      </c>
      <c r="Q1287" s="7" t="inlineStr">
        <is>
          <t>naming</t>
        </is>
      </c>
      <c r="R1287" s="7" t="inlineStr">
        <is>
          <t>Joseph F. Rutherford</t>
        </is>
      </c>
      <c r="S1287" s="7" t="inlineStr">
        <is>
          <t>Honolulu, Hawaii</t>
        </is>
      </c>
      <c r="T1287" s="7" t="n"/>
      <c r="U1287" s="7" t="n"/>
      <c r="V1287" s="7" t="n">
        <v>3</v>
      </c>
      <c r="W1287" s="7" t="inlineStr">
        <is>
          <t>Noteworthy Events in the Modern-day History of Jehovah’s Witnesses</t>
        </is>
      </c>
      <c r="X1287" s="9" t="inlineStr">
        <is>
          <t>open</t>
        </is>
      </c>
      <c r="Y1287" s="7" t="n"/>
      <c r="Z1287" s="7" t="inlineStr">
        <is>
          <t>https://wol.jw.org/en/wol/d/r1/lp-e/1101993046
https://wol.jw.org/en/wol/d/r1/lp-e/1102014258
https://wol.jw.org/en/wol/d/r1/lp-e/1101993023</t>
        </is>
      </c>
      <c r="AA1287" s="7" t="n">
        <v>0</v>
      </c>
      <c r="AB1287" s="7" t="n"/>
      <c r="AC1287" s="7" t="n">
        <v>0</v>
      </c>
      <c r="AD1287" s="7" t="n"/>
      <c r="AE1287" s="7" t="n"/>
      <c r="AF1287" s="7" t="n"/>
      <c r="AG1287" s="7" t="n"/>
      <c r="AH1287" s="7" t="n"/>
      <c r="AI1287" s="7" t="n"/>
      <c r="AJ1287" s="7" t="n"/>
      <c r="AK1287" s="7" t="n"/>
      <c r="AL1287" s="7" t="n"/>
      <c r="AM1287" s="7" t="n">
        <v>1935</v>
      </c>
      <c r="AN1287" s="10" t="n"/>
      <c r="AO1287" s="10" t="n"/>
      <c r="AP1287" s="10" t="n"/>
      <c r="AQ1287" s="10" t="n"/>
    </row>
    <row r="1288">
      <c r="A1288" s="7" t="inlineStr">
        <is>
          <t>b8-0194</t>
        </is>
      </c>
      <c r="B1288" s="7" t="inlineStr">
        <is>
          <t>Point</t>
        </is>
      </c>
      <c r="C1288" s="7" t="n"/>
      <c r="D1288" s="7" t="inlineStr">
        <is>
          <t>1935</t>
        </is>
      </c>
      <c r="E1288" s="7" t="n"/>
      <c r="F1288" s="7" t="inlineStr">
        <is>
          <t>1935 CE</t>
        </is>
      </c>
      <c r="G1288" s="7" t="inlineStr">
        <is>
          <t>Exact</t>
        </is>
      </c>
      <c r="H1288" s="7" t="n"/>
      <c r="I1288" s="7" t="n"/>
      <c r="J1288" s="7" t="n"/>
      <c r="K1288" s="2" t="inlineStr">
        <is>
          <t>Flag-salute issue first reaches American courts</t>
        </is>
      </c>
      <c r="L1288" s="2" t="n"/>
      <c r="M1288" s="7" t="inlineStr">
        <is>
          <t>The flag-salute issue involving Witness schoolchildren first reaches U.S. courts (Nichols case); in November 1935 children in Canonsburg, Pennsylvania, are whipped for refusing to salute.</t>
        </is>
      </c>
      <c r="N1288" s="7" t="n"/>
      <c r="O1288" s="13" t="inlineStr">
        <is>
          <t>Jehovah's Witnesses</t>
        </is>
      </c>
      <c r="P1288" s="7" t="inlineStr">
        <is>
          <t>jw.legal</t>
        </is>
      </c>
      <c r="Q1288" s="7" t="inlineStr">
        <is>
          <t>court_case</t>
        </is>
      </c>
      <c r="R1288" s="7" t="n"/>
      <c r="S1288" s="7" t="n"/>
      <c r="T1288" s="7" t="n"/>
      <c r="U1288" s="7" t="n"/>
      <c r="V1288" s="7" t="n">
        <v>2</v>
      </c>
      <c r="W1288" s="7" t="inlineStr">
        <is>
          <t>‘Defending and Legally Establishing the Good News’</t>
        </is>
      </c>
      <c r="X1288" s="9" t="inlineStr">
        <is>
          <t>open</t>
        </is>
      </c>
      <c r="Y1288" s="7" t="n"/>
      <c r="Z1288" s="7" t="inlineStr">
        <is>
          <t>https://wol.jw.org/en/wol/d/r1/lp-e/1101993041
https://wol.jw.org/en/wol/d/r1/lp-e/1101993040</t>
        </is>
      </c>
      <c r="AA1288" s="7" t="n">
        <v>0</v>
      </c>
      <c r="AB1288" s="7" t="n"/>
      <c r="AC1288" s="7" t="n">
        <v>0</v>
      </c>
      <c r="AD1288" s="7" t="n"/>
      <c r="AE1288" s="7" t="n"/>
      <c r="AF1288" s="7" t="n"/>
      <c r="AG1288" s="7" t="n"/>
      <c r="AH1288" s="7" t="n"/>
      <c r="AI1288" s="7" t="n"/>
      <c r="AJ1288" s="7" t="n"/>
      <c r="AK1288" s="7" t="n"/>
      <c r="AL1288" s="7" t="n"/>
      <c r="AM1288" s="7" t="n">
        <v>1935</v>
      </c>
      <c r="AN1288" s="10" t="n"/>
      <c r="AO1288" s="10" t="n"/>
      <c r="AP1288" s="10" t="n"/>
      <c r="AQ1288" s="10" t="n"/>
    </row>
    <row r="1289">
      <c r="A1289" s="7" t="inlineStr">
        <is>
          <t>b8-0195</t>
        </is>
      </c>
      <c r="B1289" s="7" t="inlineStr">
        <is>
          <t>Point</t>
        </is>
      </c>
      <c r="C1289" s="7" t="n"/>
      <c r="D1289" s="7" t="inlineStr">
        <is>
          <t>March 1, 1935</t>
        </is>
      </c>
      <c r="E1289" s="7" t="inlineStr">
        <is>
          <t>மார்ச் 1, 1935</t>
        </is>
      </c>
      <c r="F1289" s="7" t="inlineStr">
        <is>
          <t>1935 CE</t>
        </is>
      </c>
      <c r="G1289" s="7" t="inlineStr">
        <is>
          <t>Exact</t>
        </is>
      </c>
      <c r="H1289" s="7" t="n"/>
      <c r="I1289" s="7" t="n"/>
      <c r="J1289" s="7" t="n"/>
      <c r="K1289" s="2" t="inlineStr">
        <is>
          <t>Watchtower addresses moral problems and drunkenness</t>
        </is>
      </c>
      <c r="L1289" s="2" t="n"/>
      <c r="M1289" s="7" t="inlineStr">
        <is>
          <t>The March 1, 1935, Watchtower squarely addresses a growing moral problem among God’s people and the issue of sharing in service under the influence of alcohol; tobacco is called “the filthy weed.”</t>
        </is>
      </c>
      <c r="N1289" s="7" t="inlineStr">
        <is>
          <t>மார்ச் 1, 1935, காவற்கோபுரம், கடவுளுடைய மக்கள் மத்தியில் அதிகமாக வளர்ந்துகொண்டிருந்த ஒரு பிரச்சினையைப் பற்றி வெளிப்படையாகச் சொன்னது.</t>
        </is>
      </c>
      <c r="O1289" s="13" t="inlineStr">
        <is>
          <t>Jehovah's Witnesses</t>
        </is>
      </c>
      <c r="P1289" s="7" t="inlineStr">
        <is>
          <t>jw.doctrine</t>
        </is>
      </c>
      <c r="Q1289" s="7" t="inlineStr">
        <is>
          <t>moral</t>
        </is>
      </c>
      <c r="R1289" s="7" t="n"/>
      <c r="S1289" s="7" t="n"/>
      <c r="T1289" s="7" t="n"/>
      <c r="U1289" s="7" t="n"/>
      <c r="V1289" s="7" t="n">
        <v>1</v>
      </c>
      <c r="W1289" s="7" t="inlineStr">
        <is>
          <t>Moral Refinements—Reflecting God’s Holiness</t>
        </is>
      </c>
      <c r="X1289" s="9" t="inlineStr">
        <is>
          <t>open</t>
        </is>
      </c>
      <c r="Y1289" s="9" t="inlineStr">
        <is>
          <t>open</t>
        </is>
      </c>
      <c r="Z1289" s="7" t="inlineStr">
        <is>
          <t>https://wol.jw.org/en/wol/d/r1/lp-e/1102014250</t>
        </is>
      </c>
      <c r="AA1289" s="7" t="n">
        <v>0</v>
      </c>
      <c r="AB1289" s="7" t="n"/>
      <c r="AC1289" s="7" t="n">
        <v>0</v>
      </c>
      <c r="AD1289" s="7" t="n"/>
      <c r="AE1289" s="7" t="n"/>
      <c r="AF1289" s="7" t="n"/>
      <c r="AG1289" s="7" t="n"/>
      <c r="AH1289" s="7" t="n"/>
      <c r="AI1289" s="7" t="n"/>
      <c r="AJ1289" s="7" t="n"/>
      <c r="AK1289" s="7" t="n"/>
      <c r="AL1289" s="7" t="n"/>
      <c r="AM1289" s="7" t="n">
        <v>1935.1667</v>
      </c>
      <c r="AN1289" s="10" t="n"/>
      <c r="AO1289" s="10" t="n"/>
      <c r="AP1289" s="10" t="n"/>
      <c r="AQ1289" s="10" t="n"/>
    </row>
    <row r="1290">
      <c r="A1290" s="7" t="inlineStr">
        <is>
          <t>b8-0196</t>
        </is>
      </c>
      <c r="B1290" s="7" t="inlineStr">
        <is>
          <t>Point</t>
        </is>
      </c>
      <c r="C1290" s="7" t="n"/>
      <c r="D1290" s="7" t="inlineStr">
        <is>
          <t>April 1, 1935</t>
        </is>
      </c>
      <c r="E1290" s="7" t="n"/>
      <c r="F1290" s="7" t="inlineStr">
        <is>
          <t>1935 CE</t>
        </is>
      </c>
      <c r="G1290" s="7" t="inlineStr">
        <is>
          <t>Exact</t>
        </is>
      </c>
      <c r="H1290" s="7" t="n"/>
      <c r="I1290" s="7" t="n"/>
      <c r="J1290" s="7" t="n"/>
      <c r="K1290" s="2" t="inlineStr">
        <is>
          <t>General ban of Jehovah’s Witnesses throughout Germany</t>
        </is>
      </c>
      <c r="L1290" s="2" t="n"/>
      <c r="M1290" s="7" t="inlineStr">
        <is>
          <t>A general ban of Jehovah’s Witnesses takes effect throughout the Reich; special courts impose long sentences and the Gestapo sends many to concentration camps.</t>
        </is>
      </c>
      <c r="N1290" s="7" t="n"/>
      <c r="O1290" s="13" t="inlineStr">
        <is>
          <t>Jehovah's Witnesses</t>
        </is>
      </c>
      <c r="P1290" s="7" t="inlineStr">
        <is>
          <t>jw.persecution</t>
        </is>
      </c>
      <c r="Q1290" s="7" t="inlineStr">
        <is>
          <t>ban</t>
        </is>
      </c>
      <c r="R1290" s="7" t="n"/>
      <c r="S1290" s="7" t="inlineStr">
        <is>
          <t>Germany</t>
        </is>
      </c>
      <c r="T1290" s="7" t="n"/>
      <c r="U1290" s="7" t="n"/>
      <c r="V1290" s="7" t="n">
        <v>2</v>
      </c>
      <c r="W1290" s="7" t="inlineStr">
        <is>
          <t>Chronicle</t>
        </is>
      </c>
      <c r="X1290" s="9" t="inlineStr">
        <is>
          <t>open</t>
        </is>
      </c>
      <c r="Y1290" s="7" t="n"/>
      <c r="Z1290" s="7" t="inlineStr">
        <is>
          <t>https://wol.jw.org/en/wol/d/r1/lp-e/1101999301
https://wol.jw.org/en/wol/d/r1/lp-e/1101993040</t>
        </is>
      </c>
      <c r="AA1290" s="7" t="n">
        <v>0</v>
      </c>
      <c r="AB1290" s="7" t="n"/>
      <c r="AC1290" s="7" t="n">
        <v>0</v>
      </c>
      <c r="AD1290" s="7" t="n"/>
      <c r="AE1290" s="7" t="n"/>
      <c r="AF1290" s="7" t="n"/>
      <c r="AG1290" s="7" t="n"/>
      <c r="AH1290" s="7" t="n"/>
      <c r="AI1290" s="7" t="n"/>
      <c r="AJ1290" s="7" t="n"/>
      <c r="AK1290" s="7" t="n"/>
      <c r="AL1290" s="7" t="n"/>
      <c r="AM1290" s="7" t="n">
        <v>1935.25</v>
      </c>
      <c r="AN1290" s="10" t="n"/>
      <c r="AO1290" s="10" t="n"/>
      <c r="AP1290" s="10" t="n"/>
      <c r="AQ1290" s="10" t="n"/>
    </row>
    <row r="1291">
      <c r="A1291" s="7" t="inlineStr">
        <is>
          <t>b8-0197</t>
        </is>
      </c>
      <c r="B1291" s="7" t="inlineStr">
        <is>
          <t>Point</t>
        </is>
      </c>
      <c r="C1291" s="7" t="n"/>
      <c r="D1291" s="7" t="inlineStr">
        <is>
          <t>May 31, 1935</t>
        </is>
      </c>
      <c r="E1291" s="7" t="inlineStr">
        <is>
          <t>மே 31, 1935</t>
        </is>
      </c>
      <c r="F1291" s="7" t="inlineStr">
        <is>
          <t>1935 CE</t>
        </is>
      </c>
      <c r="G1291" s="7" t="inlineStr">
        <is>
          <t>Exact</t>
        </is>
      </c>
      <c r="H1291" s="7" t="n"/>
      <c r="I1291" s="7" t="n"/>
      <c r="J1291" s="7" t="n"/>
      <c r="K1291" s="2" t="inlineStr">
        <is>
          <t>Great multitude identified as an earthly class (Washington, D.C.)</t>
        </is>
      </c>
      <c r="L1291" s="2" t="inlineStr">
        <is>
          <t>வெளிப்படுத்துதல் 7:9 -ல் சொல்லப்பட்டிருக்கும் ‘திரள் கூட்டத்தை’ சேர்ந்தவர்கள் என்றென்றும் பூமியில் வாழ்வார்கள் என்று முதல்முறையாக நாம் புரிந்துகொண்டோம்.</t>
        </is>
      </c>
      <c r="M1291" s="7" t="inlineStr">
        <is>
          <t>In a discourse at the Washington, D.C., convention (May 30–June 3), the “great multitude” of Revelation 7:9 is identified as an earthly class; 840 are baptized, and emphasis grows on everlasting life on a paradise earth.</t>
        </is>
      </c>
      <c r="N1291" s="7" t="inlineStr">
        <is>
          <t>வெளிப்படுத்துதல் 7:9 -ல் சொல்லப்பட்டிருக்கும் ‘திரள் கூட்டத்தை’ சேர்ந்தவர்கள் என்றென்றும் பூமியில் வாழ்வார்கள் என்று முதல்முறையாக நாம் புரிந்துகொண்டோம்.</t>
        </is>
      </c>
      <c r="O1291" s="13" t="inlineStr">
        <is>
          <t>Jehovah's Witnesses</t>
        </is>
      </c>
      <c r="P1291" s="7" t="inlineStr">
        <is>
          <t>jw.doctrine</t>
        </is>
      </c>
      <c r="Q1291" s="7" t="inlineStr">
        <is>
          <t>teaching</t>
        </is>
      </c>
      <c r="R1291" s="7" t="inlineStr">
        <is>
          <t>Joseph F. Rutherford</t>
        </is>
      </c>
      <c r="S1291" s="7" t="inlineStr">
        <is>
          <t>Washington, D.C.</t>
        </is>
      </c>
      <c r="T1291" s="7" t="inlineStr">
        <is>
          <t>Rev. 7:9</t>
        </is>
      </c>
      <c r="U1291" s="7" t="n"/>
      <c r="V1291" s="7" t="n">
        <v>4</v>
      </c>
      <c r="W1291" s="7" t="inlineStr">
        <is>
          <t>Noteworthy Events in the Modern-day History of Jehovah’s Witnesses</t>
        </is>
      </c>
      <c r="X1291" s="9" t="inlineStr">
        <is>
          <t>open</t>
        </is>
      </c>
      <c r="Y1291" s="7" t="n"/>
      <c r="Z1291" s="7" t="inlineStr">
        <is>
          <t>https://wol.jw.org/en/wol/d/r1/lp-e/1101993046
https://wol.jw.org/en/wol/d/r1/lp-e/1102014244
https://wol.jw.org/en/wol/d/r1/lp-e/1102014255
https://wol.jw.org/en/wol/d/r1/lp-e/1101993014</t>
        </is>
      </c>
      <c r="AA1291" s="7" t="n">
        <v>1</v>
      </c>
      <c r="AB1291" s="9" t="inlineStr">
        <is>
          <t>open</t>
        </is>
      </c>
      <c r="AC1291" s="7" t="n">
        <v>0</v>
      </c>
      <c r="AD1291" s="7" t="n"/>
      <c r="AE1291" s="7" t="n"/>
      <c r="AF1291" s="7" t="n"/>
      <c r="AG1291" s="7" t="n"/>
      <c r="AH1291" s="7" t="n"/>
      <c r="AI1291" s="7" t="n"/>
      <c r="AJ1291" s="7" t="n"/>
      <c r="AK1291" s="7" t="n"/>
      <c r="AL1291" s="7" t="n"/>
      <c r="AM1291" s="7" t="n">
        <v>1935.4083</v>
      </c>
      <c r="AN1291" s="10" t="n"/>
      <c r="AO1291" s="10" t="n"/>
      <c r="AP1291" s="10" t="n"/>
      <c r="AQ1291" s="10" t="n"/>
    </row>
    <row r="1292">
      <c r="A1292" s="7" t="inlineStr">
        <is>
          <t>b10-0008</t>
        </is>
      </c>
      <c r="B1292" s="7" t="inlineStr">
        <is>
          <t>Point</t>
        </is>
      </c>
      <c r="C1292" s="7" t="n"/>
      <c r="D1292" s="7" t="inlineStr">
        <is>
          <t>May 31, 1935</t>
        </is>
      </c>
      <c r="E1292" s="7" t="inlineStr">
        <is>
          <t>1935</t>
        </is>
      </c>
      <c r="F1292" s="7" t="inlineStr">
        <is>
          <t>1935 CE</t>
        </is>
      </c>
      <c r="G1292" s="7" t="inlineStr">
        <is>
          <t>Exact</t>
        </is>
      </c>
      <c r="H1292" s="7" t="n"/>
      <c r="I1292" s="7" t="n"/>
      <c r="J1292" s="7" t="n"/>
      <c r="K1292" s="2" t="inlineStr">
        <is>
          <t>Great crowd identified as an earthly class at Washington, D.C., convention</t>
        </is>
      </c>
      <c r="L1292" s="2" t="n"/>
      <c r="M1292" s="7" t="inlineStr">
        <is>
          <t>On May 31, 1935, at the convention in Washington, D.C., J. F. Rutherford's discourse identified the great multitude of Revelation 7 as an earthly class, the same as the 'sheep' of Jesus' parable and part of the 'other sheep.' When he asked those hoping to live forever on earth to stand, more than half the audience rose.</t>
        </is>
      </c>
      <c r="N1292" s="7" t="inlineStr">
        <is>
          <t>1935-ல் மாபெரும் ஆன்மீக ஒளி கடவுளுடைய மக்கள்மேல் பிரகாசித்தது. வாஷிங்டன், டி.சி.-யில் நடந்த மாநாட்டில் திரள் கூட்டமான மக்கள் பூமிக்குரிய வகுப்பாராக அடையாளம் காட்டப்பட்டார்கள்.</t>
        </is>
      </c>
      <c r="O1292" s="8" t="inlineStr">
        <is>
          <t>Bible</t>
        </is>
      </c>
      <c r="P1292" s="7" t="inlineStr">
        <is>
          <t>bible.prophecy_fulfilled</t>
        </is>
      </c>
      <c r="Q1292" s="7" t="inlineStr">
        <is>
          <t>doctrinal_clarification</t>
        </is>
      </c>
      <c r="R1292" s="7" t="inlineStr">
        <is>
          <t>J. F. Rutherford</t>
        </is>
      </c>
      <c r="S1292" s="7" t="inlineStr">
        <is>
          <t>Washington, D.C., U.S.A.</t>
        </is>
      </c>
      <c r="T1292" s="7" t="inlineStr">
        <is>
          <t>Rev. 7:9; Rev. 7:14; John 10:16; Matt. 25:33-40</t>
        </is>
      </c>
      <c r="U1292" s="7" t="inlineStr">
        <is>
          <t>வெளி. 7:9; வெளி. 7:14; யோவா. 10:16; மத். 25:33-40</t>
        </is>
      </c>
      <c r="V1292" s="7" t="n">
        <v>2</v>
      </c>
      <c r="W1292" s="7" t="inlineStr">
        <is>
          <t>The King Shines Light on the Kingdom</t>
        </is>
      </c>
      <c r="X1292" s="9" t="inlineStr">
        <is>
          <t>open</t>
        </is>
      </c>
      <c r="Y1292" s="9" t="inlineStr">
        <is>
          <t>open</t>
        </is>
      </c>
      <c r="Z1292" s="7" t="inlineStr">
        <is>
          <t>https://wol.jw.org/en/wol/d/r1/lp-e/1102014244
https://wol.jw.org/en/wol/d/r1/lp-e/1101993014</t>
        </is>
      </c>
      <c r="AA1292" s="7" t="n">
        <v>2</v>
      </c>
      <c r="AB1292" s="9" t="inlineStr">
        <is>
          <t>open</t>
        </is>
      </c>
      <c r="AC1292" s="7" t="n">
        <v>0</v>
      </c>
      <c r="AD1292" s="7" t="n"/>
      <c r="AE1292" s="7" t="n"/>
      <c r="AF1292" s="7" t="n"/>
      <c r="AG1292" s="7" t="n"/>
      <c r="AH1292" s="7" t="n"/>
      <c r="AI1292" s="7" t="n"/>
      <c r="AJ1292" s="7" t="n"/>
      <c r="AK1292" s="7" t="n"/>
      <c r="AL1292" s="7" t="inlineStr">
        <is>
          <t>kr box gives the discourse date as May 31, 1935; jv chap. 12 gives convention dates May 30–June 3, 1935. jv Tamil mirror not available.</t>
        </is>
      </c>
      <c r="AM1292" s="7" t="n">
        <v>1935.41</v>
      </c>
      <c r="AN1292" s="10" t="n"/>
      <c r="AO1292" s="10" t="n"/>
      <c r="AP1292" s="10" t="n"/>
      <c r="AQ1292" s="10" t="n"/>
    </row>
    <row r="1293">
      <c r="A1293" s="7" t="inlineStr">
        <is>
          <t>b8-0198</t>
        </is>
      </c>
      <c r="B1293" s="7" t="inlineStr">
        <is>
          <t>Point</t>
        </is>
      </c>
      <c r="C1293" s="7" t="n"/>
      <c r="D1293" s="7" t="inlineStr">
        <is>
          <t>July 9, 1935</t>
        </is>
      </c>
      <c r="E1293" s="7" t="inlineStr">
        <is>
          <t>ஜூலை 9, 1935</t>
        </is>
      </c>
      <c r="F1293" s="7" t="inlineStr">
        <is>
          <t>1935 CE</t>
        </is>
      </c>
      <c r="G1293" s="7" t="inlineStr">
        <is>
          <t>Exact</t>
        </is>
      </c>
      <c r="H1293" s="7" t="n"/>
      <c r="I1293" s="7" t="n"/>
      <c r="J1293" s="7" t="n"/>
      <c r="K1293" s="2" t="inlineStr">
        <is>
          <t>Romania’s High Court rules for Witnesses’ freedom of expression</t>
        </is>
      </c>
      <c r="L1293" s="2" t="n"/>
      <c r="M1293" s="7" t="inlineStr">
        <is>
          <t>Romania’s High Court of Cassation and Justice finds that six arrested Witnesses acted peacefully and had the right to share their opinions; this and other rulings among 530 cases (1933-39) protect the preaching.</t>
        </is>
      </c>
      <c r="N1293" s="7" t="inlineStr">
        <is>
          <t>தீர்ப்பு யெகோவாவின் சாட்சிகள் தங்களுடைய ஊழிய வேலைகளை அமைதியாகச் செய்வதாகவும், அவர்களுடைய பிரசுரங்களால் சமுதாயத்துக்கு எந்த ஆபத்தும் இல்லை என்பதாகவும், அவர்களுடைய கருத்துக்களைத் தெரிவிக்கும் உரிமை அவர்களுக்கு இருப்பதாகவும் உச்ச நீதிமன்றம் தீர்ப்பு வழங்கியது.</t>
        </is>
      </c>
      <c r="O1293" s="13" t="inlineStr">
        <is>
          <t>Jehovah's Witnesses</t>
        </is>
      </c>
      <c r="P1293" s="7" t="inlineStr">
        <is>
          <t>jw.legal</t>
        </is>
      </c>
      <c r="Q1293" s="7" t="inlineStr">
        <is>
          <t>court_ruling</t>
        </is>
      </c>
      <c r="R1293" s="7" t="n"/>
      <c r="S1293" s="7" t="inlineStr">
        <is>
          <t>Romania</t>
        </is>
      </c>
      <c r="T1293" s="7" t="n"/>
      <c r="U1293" s="7" t="n"/>
      <c r="V1293" s="7" t="n">
        <v>1</v>
      </c>
      <c r="W1293" s="7" t="inlineStr">
        <is>
          <t>Kingdom Preachers Take Their Case to Court</t>
        </is>
      </c>
      <c r="X1293" s="9" t="inlineStr">
        <is>
          <t>open</t>
        </is>
      </c>
      <c r="Y1293" s="9" t="inlineStr">
        <is>
          <t>open</t>
        </is>
      </c>
      <c r="Z1293" s="7" t="inlineStr">
        <is>
          <t>https://wol.jw.org/en/wol/d/r1/lp-e/1102014252</t>
        </is>
      </c>
      <c r="AA1293" s="7" t="n">
        <v>0</v>
      </c>
      <c r="AB1293" s="7" t="n"/>
      <c r="AC1293" s="7" t="n">
        <v>0</v>
      </c>
      <c r="AD1293" s="7" t="n"/>
      <c r="AE1293" s="7" t="n"/>
      <c r="AF1293" s="7" t="n"/>
      <c r="AG1293" s="7" t="n"/>
      <c r="AH1293" s="7" t="n"/>
      <c r="AI1293" s="7" t="n"/>
      <c r="AJ1293" s="7" t="n"/>
      <c r="AK1293" s="7" t="n"/>
      <c r="AL1293" s="7" t="n"/>
      <c r="AM1293" s="7" t="n">
        <v>1935.52</v>
      </c>
      <c r="AN1293" s="10" t="n"/>
      <c r="AO1293" s="10" t="n"/>
      <c r="AP1293" s="10" t="n"/>
      <c r="AQ1293" s="10" t="n"/>
    </row>
    <row r="1294">
      <c r="A1294" s="7" t="inlineStr">
        <is>
          <t>b8-0199</t>
        </is>
      </c>
      <c r="B1294" s="7" t="inlineStr">
        <is>
          <t>Point</t>
        </is>
      </c>
      <c r="C1294" s="7" t="n"/>
      <c r="D1294" s="7" t="inlineStr">
        <is>
          <t>1936</t>
        </is>
      </c>
      <c r="E1294" s="7" t="inlineStr">
        <is>
          <t>1936</t>
        </is>
      </c>
      <c r="F1294" s="7" t="inlineStr">
        <is>
          <t>1936 CE</t>
        </is>
      </c>
      <c r="G1294" s="7" t="inlineStr">
        <is>
          <t>Exact</t>
        </is>
      </c>
      <c r="H1294" s="7" t="n"/>
      <c r="I1294" s="7" t="n"/>
      <c r="J1294" s="7" t="n"/>
      <c r="K1294" s="2" t="inlineStr">
        <is>
          <t>Placards first worn to advertise public lectures</t>
        </is>
      </c>
      <c r="L1294" s="2" t="inlineStr">
        <is>
          <t>விளம்பர அட்டைகள்</t>
        </is>
      </c>
      <c r="M1294" s="7" t="inlineStr">
        <is>
          <t>Kingdom publishers begin wearing advertising placards and distributing handbills in orderly parades to notify the public of Bible lectures.</t>
        </is>
      </c>
      <c r="N1294" s="7" t="inlineStr">
        <is>
          <t>விளம்பர அட்டைகள்</t>
        </is>
      </c>
      <c r="O1294" s="13" t="inlineStr">
        <is>
          <t>Jehovah's Witnesses</t>
        </is>
      </c>
      <c r="P1294" s="7" t="inlineStr">
        <is>
          <t>jw.preaching</t>
        </is>
      </c>
      <c r="Q1294" s="7" t="inlineStr">
        <is>
          <t>method</t>
        </is>
      </c>
      <c r="R1294" s="7" t="n"/>
      <c r="S1294" s="7" t="n"/>
      <c r="T1294" s="7" t="n"/>
      <c r="U1294" s="7" t="n"/>
      <c r="V1294" s="7" t="n">
        <v>3</v>
      </c>
      <c r="W1294" s="7" t="inlineStr">
        <is>
          <t>Noteworthy Events in the Modern-day History of Jehovah’s Witnesses</t>
        </is>
      </c>
      <c r="X1294" s="9" t="inlineStr">
        <is>
          <t>open</t>
        </is>
      </c>
      <c r="Y1294" s="7" t="n"/>
      <c r="Z1294" s="7" t="inlineStr">
        <is>
          <t>https://wol.jw.org/en/wol/d/r1/lp-e/1101993046
https://wol.jw.org/en/wol/d/r1/lp-e/1102014246
https://wol.jw.org/en/wol/d/r1/lp-e/1101993020</t>
        </is>
      </c>
      <c r="AA1294" s="7" t="n">
        <v>2</v>
      </c>
      <c r="AB1294" s="9" t="inlineStr">
        <is>
          <t>open</t>
        </is>
      </c>
      <c r="AC1294" s="7" t="n">
        <v>0</v>
      </c>
      <c r="AD1294" s="7" t="n"/>
      <c r="AE1294" s="7" t="n"/>
      <c r="AF1294" s="7" t="n"/>
      <c r="AG1294" s="7" t="n"/>
      <c r="AH1294" s="7" t="n"/>
      <c r="AI1294" s="7" t="n"/>
      <c r="AJ1294" s="7" t="n"/>
      <c r="AK1294" s="7" t="n"/>
      <c r="AL1294" s="7" t="n"/>
      <c r="AM1294" s="7" t="n">
        <v>1936</v>
      </c>
      <c r="AN1294" s="10" t="n"/>
      <c r="AO1294" s="10" t="n"/>
      <c r="AP1294" s="10" t="n"/>
      <c r="AQ1294" s="10" t="n"/>
    </row>
    <row r="1295">
      <c r="A1295" s="7" t="inlineStr">
        <is>
          <t>b8-0200</t>
        </is>
      </c>
      <c r="B1295" s="7" t="inlineStr">
        <is>
          <t>Point</t>
        </is>
      </c>
      <c r="C1295" s="7" t="n"/>
      <c r="D1295" s="7" t="inlineStr">
        <is>
          <t>1936</t>
        </is>
      </c>
      <c r="E1295" s="7" t="n"/>
      <c r="F1295" s="7" t="inlineStr">
        <is>
          <t>1936 CE</t>
        </is>
      </c>
      <c r="G1295" s="7" t="inlineStr">
        <is>
          <t>Exact</t>
        </is>
      </c>
      <c r="H1295" s="7" t="n"/>
      <c r="I1295" s="7" t="n"/>
      <c r="J1295" s="7" t="n"/>
      <c r="K1295" s="2" t="inlineStr">
        <is>
          <t>Book Riches published; Bible studies encouraged</t>
        </is>
      </c>
      <c r="L1295" s="2" t="n"/>
      <c r="M1295" s="7" t="inlineStr">
        <is>
          <t>The book Riches, with an extensive discussion of the great multitude’s prospects, is published, and Witnesses are encouraged to start Bible studies with interested people using it, frequently in groups.</t>
        </is>
      </c>
      <c r="N1295" s="7" t="n"/>
      <c r="O1295" s="13" t="inlineStr">
        <is>
          <t>Jehovah's Witnesses</t>
        </is>
      </c>
      <c r="P1295" s="7" t="inlineStr">
        <is>
          <t>jw.education</t>
        </is>
      </c>
      <c r="Q1295" s="7" t="inlineStr">
        <is>
          <t>release</t>
        </is>
      </c>
      <c r="R1295" s="7" t="n"/>
      <c r="S1295" s="7" t="n"/>
      <c r="T1295" s="7" t="n"/>
      <c r="U1295" s="7" t="n"/>
      <c r="V1295" s="7" t="n">
        <v>2</v>
      </c>
      <c r="W1295" s="7" t="inlineStr">
        <is>
          <t>Noteworthy Events in the Modern-day History of Jehovah’s Witnesses</t>
        </is>
      </c>
      <c r="X1295" s="9" t="inlineStr">
        <is>
          <t>open</t>
        </is>
      </c>
      <c r="Y1295" s="7" t="n"/>
      <c r="Z1295" s="7" t="inlineStr">
        <is>
          <t>https://wol.jw.org/en/wol/d/r1/lp-e/1101993046
https://wol.jw.org/en/wol/d/r1/lp-e/1101993008</t>
        </is>
      </c>
      <c r="AA1295" s="7" t="n">
        <v>0</v>
      </c>
      <c r="AB1295" s="7" t="n"/>
      <c r="AC1295" s="7" t="n">
        <v>0</v>
      </c>
      <c r="AD1295" s="7" t="n"/>
      <c r="AE1295" s="7" t="n"/>
      <c r="AF1295" s="7" t="n"/>
      <c r="AG1295" s="7" t="n"/>
      <c r="AH1295" s="7" t="n"/>
      <c r="AI1295" s="7" t="n"/>
      <c r="AJ1295" s="7" t="n"/>
      <c r="AK1295" s="7" t="n"/>
      <c r="AL1295" s="7" t="n"/>
      <c r="AM1295" s="7" t="n">
        <v>1936</v>
      </c>
      <c r="AN1295" s="10" t="n"/>
      <c r="AO1295" s="10" t="n"/>
      <c r="AP1295" s="10" t="n"/>
      <c r="AQ1295" s="10" t="n"/>
    </row>
    <row r="1296">
      <c r="A1296" s="7" t="inlineStr">
        <is>
          <t>b8-0201</t>
        </is>
      </c>
      <c r="B1296" s="7" t="inlineStr">
        <is>
          <t>Point</t>
        </is>
      </c>
      <c r="C1296" s="7" t="n"/>
      <c r="D1296" s="7" t="inlineStr">
        <is>
          <t>1936</t>
        </is>
      </c>
      <c r="E1296" s="7" t="n"/>
      <c r="F1296" s="7" t="inlineStr">
        <is>
          <t>1936 CE</t>
        </is>
      </c>
      <c r="G1296" s="7" t="inlineStr">
        <is>
          <t>Exact</t>
        </is>
      </c>
      <c r="H1296" s="7" t="n"/>
      <c r="I1296" s="7" t="n"/>
      <c r="J1296" s="7" t="n"/>
      <c r="K1296" s="2" t="inlineStr">
        <is>
          <t>Jesus shown to have died on a stake, not a cross</t>
        </is>
      </c>
      <c r="L1296" s="2" t="n"/>
      <c r="M1296" s="7" t="inlineStr">
        <is>
          <t>Publications explain that Jesus died on a stake, not a cross (The Golden Age, November 4, 1936; Riches, 1936).</t>
        </is>
      </c>
      <c r="N1296" s="7" t="n"/>
      <c r="O1296" s="13" t="inlineStr">
        <is>
          <t>Jehovah's Witnesses</t>
        </is>
      </c>
      <c r="P1296" s="7" t="inlineStr">
        <is>
          <t>jw.doctrine</t>
        </is>
      </c>
      <c r="Q1296" s="7" t="inlineStr">
        <is>
          <t>teaching</t>
        </is>
      </c>
      <c r="R1296" s="7" t="n"/>
      <c r="S1296" s="7" t="n"/>
      <c r="T1296" s="7" t="n"/>
      <c r="U1296" s="7" t="n"/>
      <c r="V1296" s="7" t="n">
        <v>1</v>
      </c>
      <c r="W1296" s="7" t="inlineStr">
        <is>
          <t>The King Refines His People Spiritually</t>
        </is>
      </c>
      <c r="X1296" s="9" t="inlineStr">
        <is>
          <t>open</t>
        </is>
      </c>
      <c r="Y1296" s="9" t="inlineStr">
        <is>
          <t>open</t>
        </is>
      </c>
      <c r="Z1296" s="7" t="inlineStr">
        <is>
          <t>https://wol.jw.org/en/wol/d/r1/lp-e/1102014249</t>
        </is>
      </c>
      <c r="AA1296" s="7" t="n">
        <v>0</v>
      </c>
      <c r="AB1296" s="7" t="n"/>
      <c r="AC1296" s="7" t="n">
        <v>0</v>
      </c>
      <c r="AD1296" s="7" t="n"/>
      <c r="AE1296" s="7" t="n"/>
      <c r="AF1296" s="7" t="n"/>
      <c r="AG1296" s="7" t="n"/>
      <c r="AH1296" s="7" t="n"/>
      <c r="AI1296" s="7" t="n"/>
      <c r="AJ1296" s="7" t="n"/>
      <c r="AK1296" s="7" t="n"/>
      <c r="AL1296" s="7" t="n"/>
      <c r="AM1296" s="7" t="n">
        <v>1936</v>
      </c>
      <c r="AN1296" s="10" t="n"/>
      <c r="AO1296" s="10" t="n"/>
      <c r="AP1296" s="10" t="n"/>
      <c r="AQ1296" s="10" t="n"/>
    </row>
    <row r="1297">
      <c r="A1297" s="7" t="inlineStr">
        <is>
          <t>b8-0202</t>
        </is>
      </c>
      <c r="B1297" s="7" t="inlineStr">
        <is>
          <t>Point</t>
        </is>
      </c>
      <c r="C1297" s="7" t="n"/>
      <c r="D1297" s="7" t="inlineStr">
        <is>
          <t>May 6, 1936</t>
        </is>
      </c>
      <c r="E1297" s="7" t="n"/>
      <c r="F1297" s="7" t="inlineStr">
        <is>
          <t>1936 CE</t>
        </is>
      </c>
      <c r="G1297" s="7" t="inlineStr">
        <is>
          <t>Exact</t>
        </is>
      </c>
      <c r="H1297" s="7" t="n"/>
      <c r="I1297" s="7" t="n"/>
      <c r="J1297" s="7" t="n"/>
      <c r="K1297" s="2" t="inlineStr">
        <is>
          <t>Golden Age notes no birthday celebrations among God’s people in the Bible</t>
        </is>
      </c>
      <c r="L1297" s="2" t="n"/>
      <c r="M1297" s="7" t="inlineStr">
        <is>
          <t>The Golden Age of May 6, 1936, observes that the Bible records no instance of God’s people celebrating birthdays.</t>
        </is>
      </c>
      <c r="N1297" s="7" t="n"/>
      <c r="O1297" s="13" t="inlineStr">
        <is>
          <t>Jehovah's Witnesses</t>
        </is>
      </c>
      <c r="P1297" s="7" t="inlineStr">
        <is>
          <t>jw.doctrine</t>
        </is>
      </c>
      <c r="Q1297" s="7" t="inlineStr">
        <is>
          <t>practice</t>
        </is>
      </c>
      <c r="R1297" s="7" t="n"/>
      <c r="S1297" s="7" t="n"/>
      <c r="T1297" s="7" t="n"/>
      <c r="U1297" s="7" t="n"/>
      <c r="V1297" s="7" t="n">
        <v>1</v>
      </c>
      <c r="W1297" s="7" t="inlineStr">
        <is>
          <t>The King Refines His People Spiritually</t>
        </is>
      </c>
      <c r="X1297" s="9" t="inlineStr">
        <is>
          <t>open</t>
        </is>
      </c>
      <c r="Y1297" s="9" t="inlineStr">
        <is>
          <t>open</t>
        </is>
      </c>
      <c r="Z1297" s="7" t="inlineStr">
        <is>
          <t>https://wol.jw.org/en/wol/d/r1/lp-e/1102014249</t>
        </is>
      </c>
      <c r="AA1297" s="7" t="n">
        <v>0</v>
      </c>
      <c r="AB1297" s="7" t="n"/>
      <c r="AC1297" s="7" t="n">
        <v>0</v>
      </c>
      <c r="AD1297" s="7" t="n"/>
      <c r="AE1297" s="7" t="n"/>
      <c r="AF1297" s="7" t="n"/>
      <c r="AG1297" s="7" t="n"/>
      <c r="AH1297" s="7" t="n"/>
      <c r="AI1297" s="7" t="n"/>
      <c r="AJ1297" s="7" t="n"/>
      <c r="AK1297" s="7" t="n"/>
      <c r="AL1297" s="7" t="n"/>
      <c r="AM1297" s="7" t="n">
        <v>1936.3458</v>
      </c>
      <c r="AN1297" s="10" t="n"/>
      <c r="AO1297" s="10" t="n"/>
      <c r="AP1297" s="10" t="n"/>
      <c r="AQ1297" s="10" t="n"/>
    </row>
    <row r="1298">
      <c r="A1298" s="7" t="inlineStr">
        <is>
          <t>b8-0203</t>
        </is>
      </c>
      <c r="B1298" s="7" t="inlineStr">
        <is>
          <t>Point</t>
        </is>
      </c>
      <c r="C1298" s="7" t="n"/>
      <c r="D1298" s="7" t="inlineStr">
        <is>
          <t>July 1936</t>
        </is>
      </c>
      <c r="E1298" s="7" t="n"/>
      <c r="F1298" s="7" t="inlineStr">
        <is>
          <t>1936 CE</t>
        </is>
      </c>
      <c r="G1298" s="7" t="inlineStr">
        <is>
          <t>Exact</t>
        </is>
      </c>
      <c r="H1298" s="7" t="n"/>
      <c r="I1298" s="7" t="n"/>
      <c r="J1298" s="7" t="n"/>
      <c r="K1298" s="2" t="inlineStr">
        <is>
          <t>Traveling overseers called regional servants</t>
        </is>
      </c>
      <c r="L1298" s="2" t="n"/>
      <c r="M1298" s="7" t="inlineStr">
        <is>
          <t>From July 1936, traveling representatives become known as regional servants, emphasizing their relationship to local brothers; the title service director also ends in 1936.</t>
        </is>
      </c>
      <c r="N1298" s="7" t="n"/>
      <c r="O1298" s="13" t="inlineStr">
        <is>
          <t>Jehovah's Witnesses</t>
        </is>
      </c>
      <c r="P1298" s="7" t="inlineStr">
        <is>
          <t>jw.organization</t>
        </is>
      </c>
      <c r="Q1298" s="7" t="inlineStr">
        <is>
          <t>arrangement</t>
        </is>
      </c>
      <c r="R1298" s="7" t="n"/>
      <c r="S1298" s="7" t="n"/>
      <c r="T1298" s="7" t="n"/>
      <c r="U1298" s="7" t="n"/>
      <c r="V1298" s="7" t="n">
        <v>2</v>
      </c>
      <c r="W1298" s="7" t="inlineStr">
        <is>
          <t>Development of the Organization Structure</t>
        </is>
      </c>
      <c r="X1298" s="9" t="inlineStr">
        <is>
          <t>open</t>
        </is>
      </c>
      <c r="Y1298" s="7" t="n"/>
      <c r="Z1298" s="7" t="inlineStr">
        <is>
          <t>https://wol.jw.org/en/wol/d/r1/lp-e/1101993018
https://wol.jw.org/en/wol/d/r1/lp-e/1102014251</t>
        </is>
      </c>
      <c r="AA1298" s="7" t="n">
        <v>0</v>
      </c>
      <c r="AB1298" s="7" t="n"/>
      <c r="AC1298" s="7" t="n">
        <v>0</v>
      </c>
      <c r="AD1298" s="7" t="n"/>
      <c r="AE1298" s="7" t="n"/>
      <c r="AF1298" s="7" t="n"/>
      <c r="AG1298" s="7" t="n"/>
      <c r="AH1298" s="7" t="n"/>
      <c r="AI1298" s="7" t="n"/>
      <c r="AJ1298" s="7" t="n"/>
      <c r="AK1298" s="7" t="n"/>
      <c r="AL1298" s="7" t="n"/>
      <c r="AM1298" s="7" t="n">
        <v>1936.5</v>
      </c>
      <c r="AN1298" s="10" t="n"/>
      <c r="AO1298" s="10" t="n"/>
      <c r="AP1298" s="10" t="n"/>
      <c r="AQ1298" s="10" t="n"/>
    </row>
    <row r="1299">
      <c r="A1299" s="7" t="inlineStr">
        <is>
          <t>b8-0204</t>
        </is>
      </c>
      <c r="B1299" s="7" t="inlineStr">
        <is>
          <t>Point</t>
        </is>
      </c>
      <c r="C1299" s="7" t="n"/>
      <c r="D1299" s="7" t="inlineStr">
        <is>
          <t>December 12, 1936</t>
        </is>
      </c>
      <c r="E1299" s="7" t="n"/>
      <c r="F1299" s="7" t="inlineStr">
        <is>
          <t>1936 CE</t>
        </is>
      </c>
      <c r="G1299" s="7" t="inlineStr">
        <is>
          <t>Exact</t>
        </is>
      </c>
      <c r="H1299" s="7" t="n"/>
      <c r="I1299" s="7" t="n"/>
      <c r="J1299" s="7" t="n"/>
      <c r="K1299" s="2" t="inlineStr">
        <is>
          <t>Witnesses in Germany distribute the Lucerne resolution</t>
        </is>
      </c>
      <c r="L1299" s="2" t="n"/>
      <c r="M1299" s="7" t="inlineStr">
        <is>
          <t>Despite mass arrests, some 3,450 Witnesses still free in Germany blitz the country with a printed resolution (adopted at Lucerne) declaring their determination to obey God rather than men.</t>
        </is>
      </c>
      <c r="N1299" s="7" t="n"/>
      <c r="O1299" s="13" t="inlineStr">
        <is>
          <t>Jehovah's Witnesses</t>
        </is>
      </c>
      <c r="P1299" s="7" t="inlineStr">
        <is>
          <t>jw.persecution</t>
        </is>
      </c>
      <c r="Q1299" s="7" t="inlineStr">
        <is>
          <t>campaign</t>
        </is>
      </c>
      <c r="R1299" s="7" t="n"/>
      <c r="S1299" s="7" t="inlineStr">
        <is>
          <t>Germany</t>
        </is>
      </c>
      <c r="T1299" s="7" t="inlineStr">
        <is>
          <t>Acts 5:29</t>
        </is>
      </c>
      <c r="U1299" s="7" t="n"/>
      <c r="V1299" s="7" t="n">
        <v>2</v>
      </c>
      <c r="W1299" s="7" t="inlineStr">
        <is>
          <t>‘Defending and Legally Establishing the Good News’</t>
        </is>
      </c>
      <c r="X1299" s="9" t="inlineStr">
        <is>
          <t>open</t>
        </is>
      </c>
      <c r="Y1299" s="7" t="n"/>
      <c r="Z1299" s="7" t="inlineStr">
        <is>
          <t>https://wol.jw.org/en/wol/d/r1/lp-e/1101993041
https://wol.jw.org/en/wol/d/r1/lp-e/1101999301</t>
        </is>
      </c>
      <c r="AA1299" s="7" t="n">
        <v>0</v>
      </c>
      <c r="AB1299" s="7" t="n"/>
      <c r="AC1299" s="7" t="n">
        <v>0</v>
      </c>
      <c r="AD1299" s="7" t="n"/>
      <c r="AE1299" s="7" t="n"/>
      <c r="AF1299" s="7" t="n"/>
      <c r="AG1299" s="7" t="n"/>
      <c r="AH1299" s="7" t="n"/>
      <c r="AI1299" s="7" t="n"/>
      <c r="AJ1299" s="7" t="n"/>
      <c r="AK1299" s="7" t="n"/>
      <c r="AL1299" s="7" t="n"/>
      <c r="AM1299" s="7" t="n">
        <v>1936.9442</v>
      </c>
      <c r="AN1299" s="10" t="n"/>
      <c r="AO1299" s="10" t="n"/>
      <c r="AP1299" s="10" t="n"/>
      <c r="AQ1299" s="10" t="n"/>
    </row>
    <row r="1300">
      <c r="A1300" s="7" t="inlineStr">
        <is>
          <t>b8-0205</t>
        </is>
      </c>
      <c r="B1300" s="7" t="inlineStr">
        <is>
          <t>Point</t>
        </is>
      </c>
      <c r="C1300" s="7" t="n"/>
      <c r="D1300" s="7" t="inlineStr">
        <is>
          <t>1937</t>
        </is>
      </c>
      <c r="E1300" s="7" t="n"/>
      <c r="F1300" s="7" t="inlineStr">
        <is>
          <t>1937 CE</t>
        </is>
      </c>
      <c r="G1300" s="7" t="inlineStr">
        <is>
          <t>Exact</t>
        </is>
      </c>
      <c r="H1300" s="7" t="n"/>
      <c r="I1300" s="7" t="n"/>
      <c r="J1300" s="7" t="n"/>
      <c r="K1300" s="2" t="inlineStr">
        <is>
          <t>Phonographs played on the doorstep; special pioneers outlined</t>
        </is>
      </c>
      <c r="L1300" s="2" t="n"/>
      <c r="M1300" s="7" t="inlineStr">
        <is>
          <t>At the 1937 Columbus convention the doorstep use of portable phonographs is introduced, and an organization of “special pioneers” is outlined to spearhead it with back-calls and model studies.</t>
        </is>
      </c>
      <c r="N1300" s="7" t="n"/>
      <c r="O1300" s="13" t="inlineStr">
        <is>
          <t>Jehovah's Witnesses</t>
        </is>
      </c>
      <c r="P1300" s="7" t="inlineStr">
        <is>
          <t>jw.preaching</t>
        </is>
      </c>
      <c r="Q1300" s="7" t="inlineStr">
        <is>
          <t>method</t>
        </is>
      </c>
      <c r="R1300" s="7" t="n"/>
      <c r="S1300" s="7" t="n"/>
      <c r="T1300" s="7" t="n"/>
      <c r="U1300" s="7" t="n"/>
      <c r="V1300" s="7" t="n">
        <v>2</v>
      </c>
      <c r="W1300" s="7" t="inlineStr">
        <is>
          <t>Noteworthy Events in the Modern-day History of Jehovah’s Witnesses</t>
        </is>
      </c>
      <c r="X1300" s="9" t="inlineStr">
        <is>
          <t>open</t>
        </is>
      </c>
      <c r="Y1300" s="7" t="n"/>
      <c r="Z1300" s="7" t="inlineStr">
        <is>
          <t>https://wol.jw.org/en/wol/d/r1/lp-e/1101993046
https://wol.jw.org/en/wol/d/r1/lp-e/1101993008</t>
        </is>
      </c>
      <c r="AA1300" s="7" t="n">
        <v>1</v>
      </c>
      <c r="AB1300" s="9" t="inlineStr">
        <is>
          <t>open</t>
        </is>
      </c>
      <c r="AC1300" s="7" t="n">
        <v>0</v>
      </c>
      <c r="AD1300" s="7" t="n"/>
      <c r="AE1300" s="7" t="n"/>
      <c r="AF1300" s="7" t="n"/>
      <c r="AG1300" s="7" t="n"/>
      <c r="AH1300" s="7" t="n"/>
      <c r="AI1300" s="7" t="n"/>
      <c r="AJ1300" s="7" t="n"/>
      <c r="AK1300" s="7" t="n"/>
      <c r="AL1300" s="7" t="n"/>
      <c r="AM1300" s="7" t="n">
        <v>1937</v>
      </c>
      <c r="AN1300" s="10" t="n"/>
      <c r="AO1300" s="10" t="n"/>
      <c r="AP1300" s="10" t="n"/>
      <c r="AQ1300" s="10" t="n"/>
    </row>
    <row r="1301">
      <c r="A1301" s="7" t="inlineStr">
        <is>
          <t>b8-0206</t>
        </is>
      </c>
      <c r="B1301" s="7" t="inlineStr">
        <is>
          <t>Point</t>
        </is>
      </c>
      <c r="C1301" s="7" t="n"/>
      <c r="D1301" s="7" t="inlineStr">
        <is>
          <t>1937</t>
        </is>
      </c>
      <c r="E1301" s="7" t="inlineStr">
        <is>
          <t>1937</t>
        </is>
      </c>
      <c r="F1301" s="7" t="inlineStr">
        <is>
          <t>1937 CE</t>
        </is>
      </c>
      <c r="G1301" s="7" t="inlineStr">
        <is>
          <t>Exact</t>
        </is>
      </c>
      <c r="H1301" s="7" t="n"/>
      <c r="I1301" s="7" t="n"/>
      <c r="J1301" s="7" t="n"/>
      <c r="K1301" s="2" t="inlineStr">
        <is>
          <t>The Golden Age renamed Consolation</t>
        </is>
      </c>
      <c r="L1301" s="2" t="n"/>
      <c r="M1301" s="7" t="inlineStr">
        <is>
          <t>The magazine The Golden Age is renamed Consolation.</t>
        </is>
      </c>
      <c r="N1301" s="7" t="inlineStr">
        <is>
          <t>1937-ல் இதன் பெயர் கான்சலேஷன் என்று மாற்றப்பட்டது.</t>
        </is>
      </c>
      <c r="O1301" s="13" t="inlineStr">
        <is>
          <t>Jehovah's Witnesses</t>
        </is>
      </c>
      <c r="P1301" s="7" t="inlineStr">
        <is>
          <t>jw.publication</t>
        </is>
      </c>
      <c r="Q1301" s="7" t="inlineStr">
        <is>
          <t>name_change</t>
        </is>
      </c>
      <c r="R1301" s="7" t="n"/>
      <c r="S1301" s="7" t="n"/>
      <c r="T1301" s="7" t="n"/>
      <c r="U1301" s="7" t="n"/>
      <c r="V1301" s="7" t="n">
        <v>1</v>
      </c>
      <c r="W1301" s="7" t="inlineStr">
        <is>
          <t>Tools for Preaching—Producing Literature for the Worldwide Field</t>
        </is>
      </c>
      <c r="X1301" s="9" t="inlineStr">
        <is>
          <t>open</t>
        </is>
      </c>
      <c r="Y1301" s="9" t="inlineStr">
        <is>
          <t>open</t>
        </is>
      </c>
      <c r="Z1301" s="7" t="inlineStr">
        <is>
          <t>https://wol.jw.org/en/wol/d/r1/lp-e/1102014247</t>
        </is>
      </c>
      <c r="AA1301" s="7" t="n">
        <v>0</v>
      </c>
      <c r="AB1301" s="7" t="n"/>
      <c r="AC1301" s="7" t="n">
        <v>0</v>
      </c>
      <c r="AD1301" s="7" t="n"/>
      <c r="AE1301" s="7" t="n"/>
      <c r="AF1301" s="7" t="n"/>
      <c r="AG1301" s="7" t="n"/>
      <c r="AH1301" s="7" t="n"/>
      <c r="AI1301" s="7" t="inlineStr">
        <is>
          <t>Span endpoint – keep</t>
        </is>
      </c>
      <c r="AJ1301" s="7" t="inlineStr">
        <is>
          <t>end of The Golden Age magazine (b12-0076); start of Consolation magazine (b12-0081)</t>
        </is>
      </c>
      <c r="AK1301" s="7" t="n"/>
      <c r="AL1301" s="7" t="n"/>
      <c r="AM1301" s="7" t="n">
        <v>1937</v>
      </c>
      <c r="AN1301" s="10" t="n"/>
      <c r="AO1301" s="10" t="n"/>
      <c r="AP1301" s="10" t="n"/>
      <c r="AQ1301" s="10" t="n"/>
    </row>
    <row r="1302">
      <c r="A1302" s="7" t="inlineStr">
        <is>
          <t>b8-0207</t>
        </is>
      </c>
      <c r="B1302" s="7" t="inlineStr">
        <is>
          <t>Point</t>
        </is>
      </c>
      <c r="C1302" s="7" t="n"/>
      <c r="D1302" s="7" t="inlineStr">
        <is>
          <t>1937</t>
        </is>
      </c>
      <c r="E1302" s="7" t="inlineStr">
        <is>
          <t>1937</t>
        </is>
      </c>
      <c r="F1302" s="7" t="inlineStr">
        <is>
          <t>1937 CE</t>
        </is>
      </c>
      <c r="G1302" s="7" t="inlineStr">
        <is>
          <t>Exact</t>
        </is>
      </c>
      <c r="H1302" s="7" t="n"/>
      <c r="I1302" s="7" t="n"/>
      <c r="J1302" s="7" t="n"/>
      <c r="K1302" s="2" t="inlineStr">
        <is>
          <t>Great crowd brothers may serve on service committees</t>
        </is>
      </c>
      <c r="L1302" s="2" t="inlineStr">
        <is>
          <t>திரள் கூட்டத்தைச் சேர்ந்த சகோதரர்கள் பரலோக நம்பிக்கையுள்ள சகோதரர்களோடு சேர்ந்து ஊழியக் குழுக்களில் சேவை செய்ய முடிந்தது.</t>
        </is>
      </c>
      <c r="M1302" s="7" t="inlineStr">
        <is>
          <t>Brothers of the great crowd begin to serve on congregation service committees alongside their anointed brothers.</t>
        </is>
      </c>
      <c r="N1302" s="7" t="inlineStr">
        <is>
          <t>திரள் கூட்டத்தைச் சேர்ந்த சகோதரர்கள் பரலோக நம்பிக்கையுள்ள சகோதரர்களோடு சேர்ந்து ஊழியக் குழுக்களில் சேவை செய்ய முடிந்தது.</t>
        </is>
      </c>
      <c r="O1302" s="13" t="inlineStr">
        <is>
          <t>Jehovah's Witnesses</t>
        </is>
      </c>
      <c r="P1302" s="7" t="inlineStr">
        <is>
          <t>jw.organization</t>
        </is>
      </c>
      <c r="Q1302" s="7" t="inlineStr">
        <is>
          <t>arrangement</t>
        </is>
      </c>
      <c r="R1302" s="7" t="n"/>
      <c r="S1302" s="7" t="n"/>
      <c r="T1302" s="7" t="n"/>
      <c r="U1302" s="7" t="n"/>
      <c r="V1302" s="7" t="n">
        <v>2</v>
      </c>
      <c r="W1302" s="7" t="inlineStr">
        <is>
          <t>Organized to Serve “the God of Peace”</t>
        </is>
      </c>
      <c r="X1302" s="9" t="inlineStr">
        <is>
          <t>open</t>
        </is>
      </c>
      <c r="Y1302" s="9" t="inlineStr">
        <is>
          <t>open</t>
        </is>
      </c>
      <c r="Z1302" s="7" t="inlineStr">
        <is>
          <t>https://wol.jw.org/en/wol/d/r1/lp-e/1102014251
https://wol.jw.org/en/wol/d/r1/lp-e/1101993018</t>
        </is>
      </c>
      <c r="AA1302" s="7" t="n">
        <v>0</v>
      </c>
      <c r="AB1302" s="7" t="n"/>
      <c r="AC1302" s="7" t="n">
        <v>0</v>
      </c>
      <c r="AD1302" s="7" t="n"/>
      <c r="AE1302" s="7" t="n"/>
      <c r="AF1302" s="7" t="n"/>
      <c r="AG1302" s="7" t="n"/>
      <c r="AH1302" s="7" t="n"/>
      <c r="AI1302" s="7" t="n"/>
      <c r="AJ1302" s="7" t="n"/>
      <c r="AK1302" s="7" t="n"/>
      <c r="AL1302" s="7" t="n"/>
      <c r="AM1302" s="7" t="n">
        <v>1937</v>
      </c>
      <c r="AN1302" s="10" t="n"/>
      <c r="AO1302" s="10" t="n"/>
      <c r="AP1302" s="10" t="n"/>
      <c r="AQ1302" s="10" t="n"/>
    </row>
    <row r="1303">
      <c r="A1303" s="7" t="inlineStr">
        <is>
          <t>b12-0081</t>
        </is>
      </c>
      <c r="B1303" s="11" t="inlineStr">
        <is>
          <t>Span</t>
        </is>
      </c>
      <c r="C1303" s="7" t="inlineStr">
        <is>
          <t>publication</t>
        </is>
      </c>
      <c r="D1303" s="7" t="inlineStr">
        <is>
          <t>1937–1946</t>
        </is>
      </c>
      <c r="E1303" s="7" t="n"/>
      <c r="F1303" s="7" t="inlineStr">
        <is>
          <t>1937 CE</t>
        </is>
      </c>
      <c r="G1303" s="7" t="inlineStr">
        <is>
          <t>Exact</t>
        </is>
      </c>
      <c r="H1303" s="7" t="inlineStr">
        <is>
          <t>1946 CE</t>
        </is>
      </c>
      <c r="I1303" s="7" t="inlineStr">
        <is>
          <t>Exact</t>
        </is>
      </c>
      <c r="J1303" s="7" t="n"/>
      <c r="K1303" s="2" t="inlineStr">
        <is>
          <t>Consolation magazine</t>
        </is>
      </c>
      <c r="L1303" s="2" t="n"/>
      <c r="M1303" s="7" t="inlineStr">
        <is>
          <t>The Golden Age was renamed Consolation in 1937; in 1946 the magazine became Awake!</t>
        </is>
      </c>
      <c r="N1303" s="7" t="inlineStr">
        <is>
          <t>1937-ல் இதன் பெயர் கான்சலேஷன் என்று மாற்றப்பட்டது.</t>
        </is>
      </c>
      <c r="O1303" s="13" t="inlineStr">
        <is>
          <t>Jehovah's Witnesses</t>
        </is>
      </c>
      <c r="P1303" s="7" t="inlineStr">
        <is>
          <t>jw.publication</t>
        </is>
      </c>
      <c r="Q1303" s="7" t="n"/>
      <c r="R1303" s="7" t="n"/>
      <c r="S1303" s="7" t="n"/>
      <c r="T1303" s="7" t="n"/>
      <c r="U1303" s="7" t="n"/>
      <c r="V1303" s="7" t="n">
        <v>2</v>
      </c>
      <c r="W1303" s="7" t="inlineStr">
        <is>
          <t>Tools for Preaching—Producing Literature for the Worldwide Field</t>
        </is>
      </c>
      <c r="X1303" s="9" t="inlineStr">
        <is>
          <t>open</t>
        </is>
      </c>
      <c r="Y1303" s="9" t="inlineStr">
        <is>
          <t>open</t>
        </is>
      </c>
      <c r="Z1303" s="7" t="inlineStr">
        <is>
          <t>https://wol.jw.org/en/wol/d/r1/lp-e/1102014247
https://wol.jw.org/en/wol/d/r1/lp-e/102006001</t>
        </is>
      </c>
      <c r="AA1303" s="7" t="n">
        <v>0</v>
      </c>
      <c r="AB1303" s="7" t="n"/>
      <c r="AC1303" s="7" t="n">
        <v>0</v>
      </c>
      <c r="AD1303" s="7" t="n"/>
      <c r="AE1303" s="7" t="n"/>
      <c r="AF1303" s="7" t="inlineStr">
        <is>
          <t>b8-0206</t>
        </is>
      </c>
      <c r="AG1303" s="7" t="inlineStr">
        <is>
          <t>b9-0001</t>
        </is>
      </c>
      <c r="AH1303" s="7" t="n"/>
      <c r="AI1303" s="7" t="n"/>
      <c r="AJ1303" s="7" t="n"/>
      <c r="AK1303" s="7" t="n"/>
      <c r="AL1303" s="7" t="n"/>
      <c r="AM1303" s="7" t="n">
        <v>1937</v>
      </c>
      <c r="AN1303" s="10" t="n"/>
      <c r="AO1303" s="10" t="n"/>
      <c r="AP1303" s="10" t="n"/>
      <c r="AQ1303" s="10" t="n"/>
    </row>
    <row r="1304">
      <c r="A1304" s="7" t="inlineStr">
        <is>
          <t>b8-0208</t>
        </is>
      </c>
      <c r="B1304" s="7" t="inlineStr">
        <is>
          <t>Point</t>
        </is>
      </c>
      <c r="C1304" s="7" t="n"/>
      <c r="D1304" s="7" t="inlineStr">
        <is>
          <t>September 18, 1937</t>
        </is>
      </c>
      <c r="E1304" s="7" t="n"/>
      <c r="F1304" s="7" t="inlineStr">
        <is>
          <t>1937 CE</t>
        </is>
      </c>
      <c r="G1304" s="7" t="inlineStr">
        <is>
          <t>Exact</t>
        </is>
      </c>
      <c r="H1304" s="7" t="n"/>
      <c r="I1304" s="7" t="n"/>
      <c r="J1304" s="7" t="n"/>
      <c r="K1304" s="2" t="inlineStr">
        <is>
          <t>Book Enemies released at Columbus convention</t>
        </is>
      </c>
      <c r="L1304" s="2" t="n"/>
      <c r="M1304" s="7" t="inlineStr">
        <is>
          <t>At the general convention in Columbus, Ohio (September 15-20, 1937), Rutherford releases the tan-colored book Enemies, exposing false religion.</t>
        </is>
      </c>
      <c r="N1304" s="7" t="n"/>
      <c r="O1304" s="13" t="inlineStr">
        <is>
          <t>Jehovah's Witnesses</t>
        </is>
      </c>
      <c r="P1304" s="7" t="inlineStr">
        <is>
          <t>jw.publication</t>
        </is>
      </c>
      <c r="Q1304" s="7" t="inlineStr">
        <is>
          <t>release</t>
        </is>
      </c>
      <c r="R1304" s="7" t="inlineStr">
        <is>
          <t>Joseph F. Rutherford</t>
        </is>
      </c>
      <c r="S1304" s="7" t="inlineStr">
        <is>
          <t>Columbus, Ohio</t>
        </is>
      </c>
      <c r="T1304" s="7" t="n"/>
      <c r="U1304" s="7" t="n"/>
      <c r="V1304" s="7" t="n">
        <v>1</v>
      </c>
      <c r="W1304" s="7" t="inlineStr">
        <is>
          <t>Advertise the King and the Kingdom! (1919-1941)</t>
        </is>
      </c>
      <c r="X1304" s="9" t="inlineStr">
        <is>
          <t>open</t>
        </is>
      </c>
      <c r="Y1304" s="7" t="n"/>
      <c r="Z1304" s="7" t="inlineStr">
        <is>
          <t>https://wol.jw.org/en/wol/d/r1/lp-e/1101993008</t>
        </is>
      </c>
      <c r="AA1304" s="7" t="n">
        <v>0</v>
      </c>
      <c r="AB1304" s="7" t="n"/>
      <c r="AC1304" s="7" t="n">
        <v>0</v>
      </c>
      <c r="AD1304" s="7" t="n"/>
      <c r="AE1304" s="7" t="n"/>
      <c r="AF1304" s="7" t="n"/>
      <c r="AG1304" s="7" t="n"/>
      <c r="AH1304" s="7" t="n"/>
      <c r="AI1304" s="7" t="n"/>
      <c r="AJ1304" s="7" t="n"/>
      <c r="AK1304" s="7" t="n"/>
      <c r="AL1304" s="7" t="n"/>
      <c r="AM1304" s="7" t="n">
        <v>1937.7092</v>
      </c>
      <c r="AN1304" s="10" t="n"/>
      <c r="AO1304" s="10" t="n"/>
      <c r="AP1304" s="10" t="n"/>
      <c r="AQ1304" s="10" t="n"/>
    </row>
    <row r="1305">
      <c r="A1305" s="7" t="inlineStr">
        <is>
          <t>b8-0209</t>
        </is>
      </c>
      <c r="B1305" s="7" t="inlineStr">
        <is>
          <t>Point</t>
        </is>
      </c>
      <c r="C1305" s="7" t="n"/>
      <c r="D1305" s="7" t="inlineStr">
        <is>
          <t>Late 1937</t>
        </is>
      </c>
      <c r="E1305" s="7" t="inlineStr">
        <is>
          <t>1937</t>
        </is>
      </c>
      <c r="F1305" s="7" t="inlineStr">
        <is>
          <t>1937 CE</t>
        </is>
      </c>
      <c r="G1305" s="7" t="inlineStr">
        <is>
          <t>Exact</t>
        </is>
      </c>
      <c r="H1305" s="7" t="n"/>
      <c r="I1305" s="7" t="n"/>
      <c r="J1305" s="7" t="n"/>
      <c r="K1305" s="2" t="inlineStr">
        <is>
          <t>Witnesses withdraw from commercial radio</t>
        </is>
      </c>
      <c r="L1305" s="2" t="n"/>
      <c r="M1305" s="7" t="inlineStr">
        <is>
          <t>With opposition to their use of commercial stations mounting, Jehovah’s people withdraw from commercial broadcasting and focus even more on the house-to-house ministry.</t>
        </is>
      </c>
      <c r="N1305" s="7" t="inlineStr">
        <is>
          <t>அதனால், 1937-ன் முடிவில், யெகோவாவின் மக்கள் சூழ்நிலைகளுக்கு ஏற்றபடி தங்களுடைய ஊழிய முறைகளை மாற்றிக்கொண்டார்கள்.</t>
        </is>
      </c>
      <c r="O1305" s="13" t="inlineStr">
        <is>
          <t>Jehovah's Witnesses</t>
        </is>
      </c>
      <c r="P1305" s="7" t="inlineStr">
        <is>
          <t>jw.preaching</t>
        </is>
      </c>
      <c r="Q1305" s="7" t="inlineStr">
        <is>
          <t>method</t>
        </is>
      </c>
      <c r="R1305" s="7" t="n"/>
      <c r="S1305" s="7" t="n"/>
      <c r="T1305" s="7" t="n"/>
      <c r="U1305" s="7" t="n"/>
      <c r="V1305" s="7" t="n">
        <v>1</v>
      </c>
      <c r="W1305" s="7" t="inlineStr">
        <is>
          <t>Methods of Preaching—Using Every Means to Reach People</t>
        </is>
      </c>
      <c r="X1305" s="9" t="inlineStr">
        <is>
          <t>open</t>
        </is>
      </c>
      <c r="Y1305" s="9" t="inlineStr">
        <is>
          <t>open</t>
        </is>
      </c>
      <c r="Z1305" s="7" t="inlineStr">
        <is>
          <t>https://wol.jw.org/en/wol/d/r1/lp-e/1102014246</t>
        </is>
      </c>
      <c r="AA1305" s="7" t="n">
        <v>0</v>
      </c>
      <c r="AB1305" s="7" t="n"/>
      <c r="AC1305" s="7" t="n">
        <v>0</v>
      </c>
      <c r="AD1305" s="7" t="n"/>
      <c r="AE1305" s="7" t="n"/>
      <c r="AF1305" s="7" t="n"/>
      <c r="AG1305" s="7" t="n"/>
      <c r="AH1305" s="7" t="n"/>
      <c r="AI1305" s="7" t="n"/>
      <c r="AJ1305" s="7" t="n"/>
      <c r="AK1305" s="7" t="n"/>
      <c r="AL1305" s="7" t="n"/>
      <c r="AM1305" s="7" t="n">
        <v>1937.95</v>
      </c>
      <c r="AN1305" s="10" t="n"/>
      <c r="AO1305" s="10" t="n"/>
      <c r="AP1305" s="10" t="n"/>
      <c r="AQ1305" s="10" t="n"/>
    </row>
    <row r="1306">
      <c r="A1306" s="7" t="inlineStr">
        <is>
          <t>b8-0210</t>
        </is>
      </c>
      <c r="B1306" s="7" t="inlineStr">
        <is>
          <t>Point</t>
        </is>
      </c>
      <c r="C1306" s="7" t="n"/>
      <c r="D1306" s="7" t="inlineStr">
        <is>
          <t>1938</t>
        </is>
      </c>
      <c r="E1306" s="7" t="n"/>
      <c r="F1306" s="7" t="inlineStr">
        <is>
          <t>1938 CE</t>
        </is>
      </c>
      <c r="G1306" s="7" t="inlineStr">
        <is>
          <t>Exact</t>
        </is>
      </c>
      <c r="H1306" s="7" t="n"/>
      <c r="I1306" s="7" t="n"/>
      <c r="J1306" s="7" t="n"/>
      <c r="K1306" s="2" t="inlineStr">
        <is>
          <t>Zone assemblies (forerunner of circuit assemblies) arranged</t>
        </is>
      </c>
      <c r="L1306" s="2" t="n"/>
      <c r="M1306" s="7" t="inlineStr">
        <is>
          <t>Zone assemblies, now known as circuit assemblies, are arranged for groups of congregations, served weekly by regional servants (1938-41).</t>
        </is>
      </c>
      <c r="N1306" s="7" t="n"/>
      <c r="O1306" s="13" t="inlineStr">
        <is>
          <t>Jehovah's Witnesses</t>
        </is>
      </c>
      <c r="P1306" s="7" t="inlineStr">
        <is>
          <t>jw.convention</t>
        </is>
      </c>
      <c r="Q1306" s="7" t="inlineStr">
        <is>
          <t>arrangement</t>
        </is>
      </c>
      <c r="R1306" s="7" t="n"/>
      <c r="S1306" s="7" t="n"/>
      <c r="T1306" s="7" t="n"/>
      <c r="U1306" s="7" t="n"/>
      <c r="V1306" s="7" t="n">
        <v>2</v>
      </c>
      <c r="W1306" s="7" t="inlineStr">
        <is>
          <t>Noteworthy Events in the Modern-day History of Jehovah’s Witnesses</t>
        </is>
      </c>
      <c r="X1306" s="9" t="inlineStr">
        <is>
          <t>open</t>
        </is>
      </c>
      <c r="Y1306" s="7" t="n"/>
      <c r="Z1306" s="7" t="inlineStr">
        <is>
          <t>https://wol.jw.org/en/wol/d/r1/lp-e/1101993046
https://wol.jw.org/en/wol/d/r1/lp-e/1101993018</t>
        </is>
      </c>
      <c r="AA1306" s="7" t="n">
        <v>0</v>
      </c>
      <c r="AB1306" s="7" t="n"/>
      <c r="AC1306" s="7" t="n">
        <v>0</v>
      </c>
      <c r="AD1306" s="7" t="n"/>
      <c r="AE1306" s="7" t="n"/>
      <c r="AF1306" s="7" t="n"/>
      <c r="AG1306" s="7" t="n"/>
      <c r="AH1306" s="7" t="n"/>
      <c r="AI1306" s="7" t="n"/>
      <c r="AJ1306" s="7" t="n"/>
      <c r="AK1306" s="7" t="n"/>
      <c r="AL1306" s="7" t="n"/>
      <c r="AM1306" s="7" t="n">
        <v>1938</v>
      </c>
      <c r="AN1306" s="10" t="n"/>
      <c r="AO1306" s="10" t="n"/>
      <c r="AP1306" s="10" t="n"/>
      <c r="AQ1306" s="10" t="n"/>
    </row>
    <row r="1307">
      <c r="A1307" s="7" t="inlineStr">
        <is>
          <t>b8-0211</t>
        </is>
      </c>
      <c r="B1307" s="7" t="inlineStr">
        <is>
          <t>Point</t>
        </is>
      </c>
      <c r="C1307" s="7" t="n"/>
      <c r="D1307" s="7" t="inlineStr">
        <is>
          <t>1938</t>
        </is>
      </c>
      <c r="E1307" s="7" t="n"/>
      <c r="F1307" s="7" t="inlineStr">
        <is>
          <t>1938 CE</t>
        </is>
      </c>
      <c r="G1307" s="7" t="inlineStr">
        <is>
          <t>Exact</t>
        </is>
      </c>
      <c r="H1307" s="7" t="n"/>
      <c r="I1307" s="7" t="n"/>
      <c r="J1307" s="7" t="n"/>
      <c r="K1307" s="2" t="inlineStr">
        <is>
          <t>Congregation singing largely dispensed with</t>
        </is>
      </c>
      <c r="L1307" s="2" t="n"/>
      <c r="M1307" s="7" t="inlineStr">
        <is>
          <t>Singing in local congregations is largely dispensed with (revived in 1944).</t>
        </is>
      </c>
      <c r="N1307" s="7" t="n"/>
      <c r="O1307" s="13" t="inlineStr">
        <is>
          <t>Jehovah's Witnesses</t>
        </is>
      </c>
      <c r="P1307" s="7" t="inlineStr">
        <is>
          <t>jw.organization</t>
        </is>
      </c>
      <c r="Q1307" s="7" t="inlineStr">
        <is>
          <t>practice</t>
        </is>
      </c>
      <c r="R1307" s="7" t="n"/>
      <c r="S1307" s="7" t="n"/>
      <c r="T1307" s="7" t="n"/>
      <c r="U1307" s="7" t="n"/>
      <c r="V1307" s="7" t="n">
        <v>1</v>
      </c>
      <c r="W1307" s="7" t="inlineStr">
        <is>
          <t>Meetings for Worship, Instruction, and Encouragement</t>
        </is>
      </c>
      <c r="X1307" s="9" t="inlineStr">
        <is>
          <t>open</t>
        </is>
      </c>
      <c r="Y1307" s="7" t="n"/>
      <c r="Z1307" s="7" t="inlineStr">
        <is>
          <t>https://wol.jw.org/en/wol/d/r1/lp-e/1101993019</t>
        </is>
      </c>
      <c r="AA1307" s="7" t="n">
        <v>0</v>
      </c>
      <c r="AB1307" s="7" t="n"/>
      <c r="AC1307" s="7" t="n">
        <v>0</v>
      </c>
      <c r="AD1307" s="7" t="n"/>
      <c r="AE1307" s="7" t="n"/>
      <c r="AF1307" s="7" t="n"/>
      <c r="AG1307" s="7" t="n"/>
      <c r="AH1307" s="7" t="n"/>
      <c r="AI1307" s="7" t="n"/>
      <c r="AJ1307" s="7" t="n"/>
      <c r="AK1307" s="7" t="n"/>
      <c r="AL1307" s="7" t="n"/>
      <c r="AM1307" s="7" t="n">
        <v>1938</v>
      </c>
      <c r="AN1307" s="10" t="n"/>
      <c r="AO1307" s="10" t="n"/>
      <c r="AP1307" s="10" t="n"/>
      <c r="AQ1307" s="10" t="n"/>
    </row>
    <row r="1308">
      <c r="A1308" s="7" t="inlineStr">
        <is>
          <t>b8-0212</t>
        </is>
      </c>
      <c r="B1308" s="7" t="inlineStr">
        <is>
          <t>Point</t>
        </is>
      </c>
      <c r="C1308" s="7" t="n"/>
      <c r="D1308" s="7" t="inlineStr">
        <is>
          <t>February 15, 1938</t>
        </is>
      </c>
      <c r="E1308" s="7" t="n"/>
      <c r="F1308" s="7" t="inlineStr">
        <is>
          <t>1938 CE</t>
        </is>
      </c>
      <c r="G1308" s="7" t="inlineStr">
        <is>
          <t>Exact</t>
        </is>
      </c>
      <c r="H1308" s="7" t="n"/>
      <c r="I1308" s="7" t="n"/>
      <c r="J1308" s="7" t="n"/>
      <c r="K1308" s="2" t="inlineStr">
        <is>
          <t>Prospective great multitude invited to attend the Memorial</t>
        </is>
      </c>
      <c r="L1308" s="2" t="n"/>
      <c r="M1308" s="7" t="inlineStr">
        <is>
          <t>For the first time, The Watchtower of February 15, 1938, specifically invites those of the prospective great multitude to attend the Memorial; attendance that year is 73,420.</t>
        </is>
      </c>
      <c r="N1308" s="7" t="n"/>
      <c r="O1308" s="13" t="inlineStr">
        <is>
          <t>Jehovah's Witnesses</t>
        </is>
      </c>
      <c r="P1308" s="7" t="inlineStr">
        <is>
          <t>jw.organization</t>
        </is>
      </c>
      <c r="Q1308" s="7" t="inlineStr">
        <is>
          <t>memorial</t>
        </is>
      </c>
      <c r="R1308" s="7" t="n"/>
      <c r="S1308" s="7" t="n"/>
      <c r="T1308" s="7" t="n"/>
      <c r="U1308" s="7" t="n"/>
      <c r="V1308" s="7" t="n">
        <v>1</v>
      </c>
      <c r="W1308" s="7" t="inlineStr">
        <is>
          <t>Meetings for Worship, Instruction, and Encouragement</t>
        </is>
      </c>
      <c r="X1308" s="9" t="inlineStr">
        <is>
          <t>open</t>
        </is>
      </c>
      <c r="Y1308" s="7" t="n"/>
      <c r="Z1308" s="7" t="inlineStr">
        <is>
          <t>https://wol.jw.org/en/wol/d/r1/lp-e/1101993019</t>
        </is>
      </c>
      <c r="AA1308" s="7" t="n">
        <v>0</v>
      </c>
      <c r="AB1308" s="7" t="n"/>
      <c r="AC1308" s="7" t="n">
        <v>0</v>
      </c>
      <c r="AD1308" s="7" t="n"/>
      <c r="AE1308" s="7" t="n"/>
      <c r="AF1308" s="7" t="n"/>
      <c r="AG1308" s="7" t="n"/>
      <c r="AH1308" s="7" t="n"/>
      <c r="AI1308" s="7" t="n"/>
      <c r="AJ1308" s="7" t="n"/>
      <c r="AK1308" s="7" t="n"/>
      <c r="AL1308" s="7" t="n"/>
      <c r="AM1308" s="7" t="n">
        <v>1938.1183</v>
      </c>
      <c r="AN1308" s="10" t="n"/>
      <c r="AO1308" s="10" t="n"/>
      <c r="AP1308" s="10" t="n"/>
      <c r="AQ1308" s="10" t="n"/>
    </row>
    <row r="1309">
      <c r="A1309" s="7" t="inlineStr">
        <is>
          <t>b8-0213</t>
        </is>
      </c>
      <c r="B1309" s="7" t="inlineStr">
        <is>
          <t>Point</t>
        </is>
      </c>
      <c r="C1309" s="7" t="n"/>
      <c r="D1309" s="7" t="inlineStr">
        <is>
          <t>March 28, 1938</t>
        </is>
      </c>
      <c r="E1309" s="7" t="n"/>
      <c r="F1309" s="7" t="inlineStr">
        <is>
          <t>1938 CE</t>
        </is>
      </c>
      <c r="G1309" s="7" t="inlineStr">
        <is>
          <t>Exact</t>
        </is>
      </c>
      <c r="H1309" s="7" t="n"/>
      <c r="I1309" s="7" t="n"/>
      <c r="J1309" s="7" t="n"/>
      <c r="K1309" s="2" t="inlineStr">
        <is>
          <t>U.S. Supreme Court rules for Witnesses in Lovell v. City of Griffin</t>
        </is>
      </c>
      <c r="L1309" s="2" t="n"/>
      <c r="M1309" s="7" t="inlineStr">
        <is>
          <t>The U.S. Supreme Court invalidates a Griffin, Georgia, ordinance requiring a permit to distribute literature, ruling that it subjected freedom of the press to license and censorship.</t>
        </is>
      </c>
      <c r="N1309" s="7" t="n"/>
      <c r="O1309" s="13" t="inlineStr">
        <is>
          <t>Jehovah's Witnesses</t>
        </is>
      </c>
      <c r="P1309" s="7" t="inlineStr">
        <is>
          <t>jw.legal</t>
        </is>
      </c>
      <c r="Q1309" s="7" t="inlineStr">
        <is>
          <t>court_ruling</t>
        </is>
      </c>
      <c r="R1309" s="7" t="inlineStr">
        <is>
          <t>Alma Lovell</t>
        </is>
      </c>
      <c r="S1309" s="7" t="inlineStr">
        <is>
          <t>Griffin, Georgia</t>
        </is>
      </c>
      <c r="T1309" s="7" t="n"/>
      <c r="U1309" s="7" t="n"/>
      <c r="V1309" s="7" t="n">
        <v>2</v>
      </c>
      <c r="W1309" s="7" t="inlineStr">
        <is>
          <t>‘Defending and Legally Establishing the Good News’</t>
        </is>
      </c>
      <c r="X1309" s="9" t="inlineStr">
        <is>
          <t>open</t>
        </is>
      </c>
      <c r="Y1309" s="7" t="n"/>
      <c r="Z1309" s="7" t="inlineStr">
        <is>
          <t>https://wol.jw.org/en/wol/d/r1/lp-e/1101993041
https://www.jw.org/en/news/region/united-states/historic-milestones-united-states/</t>
        </is>
      </c>
      <c r="AA1309" s="7" t="n">
        <v>0</v>
      </c>
      <c r="AB1309" s="7" t="n"/>
      <c r="AC1309" s="7" t="n">
        <v>0</v>
      </c>
      <c r="AD1309" s="7" t="n"/>
      <c r="AE1309" s="7" t="n"/>
      <c r="AF1309" s="7" t="n"/>
      <c r="AG1309" s="7" t="n"/>
      <c r="AH1309" s="7" t="n"/>
      <c r="AI1309" s="7" t="n"/>
      <c r="AJ1309" s="7" t="n"/>
      <c r="AK1309" s="7" t="n"/>
      <c r="AL1309" s="7" t="n"/>
      <c r="AM1309" s="7" t="n">
        <v>1938.2342</v>
      </c>
      <c r="AN1309" s="10" t="n"/>
      <c r="AO1309" s="10" t="n"/>
      <c r="AP1309" s="10" t="n"/>
      <c r="AQ1309" s="10" t="n"/>
    </row>
    <row r="1310">
      <c r="A1310" s="7" t="inlineStr">
        <is>
          <t>b8-0214</t>
        </is>
      </c>
      <c r="B1310" s="7" t="inlineStr">
        <is>
          <t>Point</t>
        </is>
      </c>
      <c r="C1310" s="7" t="n"/>
      <c r="D1310" s="7" t="inlineStr">
        <is>
          <t>April 26, 1938</t>
        </is>
      </c>
      <c r="E1310" s="7" t="inlineStr">
        <is>
          <t>ஏப்ரல் 26, 1938</t>
        </is>
      </c>
      <c r="F1310" s="7" t="inlineStr">
        <is>
          <t>1938 CE</t>
        </is>
      </c>
      <c r="G1310" s="7" t="inlineStr">
        <is>
          <t>Exact</t>
        </is>
      </c>
      <c r="H1310" s="7" t="n"/>
      <c r="I1310" s="7" t="n"/>
      <c r="J1310" s="7" t="n"/>
      <c r="K1310" s="2" t="inlineStr">
        <is>
          <t>Cantwell family arrested in New Haven</t>
        </is>
      </c>
      <c r="L1310" s="2" t="n"/>
      <c r="M1310" s="7" t="inlineStr">
        <is>
          <t>Newton Cantwell, his wife Esther, and sons Henry, Russell, and Jesse, all special pioneers, are arrested while preaching in New Haven, Connecticut, leading to a landmark case.</t>
        </is>
      </c>
      <c r="N1310" s="7" t="inlineStr">
        <is>
          <t>ஏப்ரல் 26, 1938, செவ்வாய்க்கிழமை காலையில் 60 வயதுள்ள நியூட்டன் கேன்ட்வெல் என்ற சகோதரர், அவருடைய மனைவி எஸ்டரோடும் மகன்கள் ஹென்றி, ரஸல், ஜெசியோடும் கனெடிகட்டிலுள்ள நியூ ஹேவன் என்ற நகரத்தில் நாள்முழுக்க ஊழியம் செய்யப் புறப்பட்டார்கள்.</t>
        </is>
      </c>
      <c r="O1310" s="13" t="inlineStr">
        <is>
          <t>Jehovah's Witnesses</t>
        </is>
      </c>
      <c r="P1310" s="7" t="inlineStr">
        <is>
          <t>jw.legal</t>
        </is>
      </c>
      <c r="Q1310" s="7" t="inlineStr">
        <is>
          <t>arrest</t>
        </is>
      </c>
      <c r="R1310" s="7" t="inlineStr">
        <is>
          <t>Newton Cantwell; Jesse Cantwell</t>
        </is>
      </c>
      <c r="S1310" s="7" t="inlineStr">
        <is>
          <t>New Haven, Connecticut</t>
        </is>
      </c>
      <c r="T1310" s="7" t="n"/>
      <c r="U1310" s="7" t="n"/>
      <c r="V1310" s="7" t="n">
        <v>1</v>
      </c>
      <c r="W1310" s="7" t="inlineStr">
        <is>
          <t>Kingdom Preachers Take Their Case to Court</t>
        </is>
      </c>
      <c r="X1310" s="9" t="inlineStr">
        <is>
          <t>open</t>
        </is>
      </c>
      <c r="Y1310" s="9" t="inlineStr">
        <is>
          <t>open</t>
        </is>
      </c>
      <c r="Z1310" s="7" t="inlineStr">
        <is>
          <t>https://wol.jw.org/en/wol/d/r1/lp-e/1102014252</t>
        </is>
      </c>
      <c r="AA1310" s="7" t="n">
        <v>0</v>
      </c>
      <c r="AB1310" s="7" t="n"/>
      <c r="AC1310" s="7" t="n">
        <v>0</v>
      </c>
      <c r="AD1310" s="7" t="n"/>
      <c r="AE1310" s="7" t="n"/>
      <c r="AF1310" s="7" t="n"/>
      <c r="AG1310" s="7" t="n"/>
      <c r="AH1310" s="7" t="n"/>
      <c r="AI1310" s="7" t="n"/>
      <c r="AJ1310" s="7" t="n"/>
      <c r="AK1310" s="7" t="n"/>
      <c r="AL1310" s="7" t="n"/>
      <c r="AM1310" s="7" t="n">
        <v>1938.3125</v>
      </c>
      <c r="AN1310" s="10" t="n"/>
      <c r="AO1310" s="10" t="n"/>
      <c r="AP1310" s="10" t="n"/>
      <c r="AQ1310" s="10" t="n"/>
    </row>
    <row r="1311">
      <c r="A1311" s="7" t="inlineStr">
        <is>
          <t>b12-0082</t>
        </is>
      </c>
      <c r="B1311" s="11" t="inlineStr">
        <is>
          <t>Span</t>
        </is>
      </c>
      <c r="C1311" s="7" t="inlineStr">
        <is>
          <t>prophetic period</t>
        </is>
      </c>
      <c r="D1311" s="7" t="inlineStr">
        <is>
          <t>June 1 or 15, 1938, to October 8 or 22, 1944</t>
        </is>
      </c>
      <c r="E1311" s="7" t="inlineStr">
        <is>
          <t>ஜூன் 1 அல்லது 15, 1938 முதற்கொண்டு</t>
        </is>
      </c>
      <c r="F1311" s="7" t="inlineStr">
        <is>
          <t>1938 CE</t>
        </is>
      </c>
      <c r="G1311" s="7" t="inlineStr">
        <is>
          <t>Between (one moment in a window)</t>
        </is>
      </c>
      <c r="H1311" s="7" t="inlineStr">
        <is>
          <t>1944 CE</t>
        </is>
      </c>
      <c r="I1311" s="7" t="inlineStr">
        <is>
          <t>Between (one moment in a window)</t>
        </is>
      </c>
      <c r="J1311" s="7" t="inlineStr">
        <is>
          <t>2,300 days (6 years, 4 months, and 20 days)</t>
        </is>
      </c>
      <c r="K1311" s="2" t="inlineStr">
        <is>
          <t>The 2,300 evenings and mornings of Daniel 8:14</t>
        </is>
      </c>
      <c r="L1311" s="2" t="n"/>
      <c r="M1311" s="7" t="inlineStr">
        <is>
          <t>The 2,300 days began with The Watchtower’s articles on “Organization” in June 1938 and ended in October 1944, when theocratic organization was more fully installed after the Society’s charter was amended.</t>
        </is>
      </c>
      <c r="N1311" s="7" t="inlineStr">
        <is>
          <t>ஜூன் 1 அல்லது 15, 1938-லிருந்து 2,300 நாட்களை (எபிரெய காலண்டர்படி 6 வருடங்கள், 4 மாதங்கள், 20 நாட்கள்) கூட்டினால், அக்டோபர் 8 அல்லது 22, 1944-க்கு வருகிறோம்.</t>
        </is>
      </c>
      <c r="O1311" s="8" t="inlineStr">
        <is>
          <t>Bible</t>
        </is>
      </c>
      <c r="P1311" s="7" t="inlineStr">
        <is>
          <t>bible.prophecy_fulfilled</t>
        </is>
      </c>
      <c r="Q1311" s="7" t="n"/>
      <c r="R1311" s="7" t="n"/>
      <c r="S1311" s="7" t="n"/>
      <c r="T1311" s="7" t="inlineStr">
        <is>
          <t>Dan. 8:14</t>
        </is>
      </c>
      <c r="U1311" s="7" t="inlineStr">
        <is>
          <t>தானி. 8:14</t>
        </is>
      </c>
      <c r="V1311" s="7" t="n">
        <v>2</v>
      </c>
      <c r="W1311" s="7" t="inlineStr">
        <is>
          <t>Identifying True Worshipers in the Time of the End</t>
        </is>
      </c>
      <c r="X1311" s="9" t="inlineStr">
        <is>
          <t>open</t>
        </is>
      </c>
      <c r="Y1311" s="9" t="inlineStr">
        <is>
          <t>open</t>
        </is>
      </c>
      <c r="Z1311" s="7" t="inlineStr">
        <is>
          <t>https://wol.jw.org/en/wol/d/r1/lp-e/1101999037
https://wol.jw.org/en/wol/d/r1/lp-e/1101999029</t>
        </is>
      </c>
      <c r="AA1311" s="7" t="n">
        <v>0</v>
      </c>
      <c r="AB1311" s="7" t="n"/>
      <c r="AC1311" s="7" t="n">
        <v>0</v>
      </c>
      <c r="AD1311" s="7" t="n"/>
      <c r="AE1311" s="7" t="n"/>
      <c r="AF1311" s="7" t="n"/>
      <c r="AG1311" s="7" t="n"/>
      <c r="AH1311" s="7" t="n"/>
      <c r="AI1311" s="7" t="n"/>
      <c r="AJ1311" s="7" t="n"/>
      <c r="AK1311" s="7" t="inlineStr">
        <is>
          <t>daniel-time-prophecies #27 (item)</t>
        </is>
      </c>
      <c r="AL1311" s="7" t="n"/>
      <c r="AM1311" s="7" t="n">
        <v>1938.41</v>
      </c>
      <c r="AN1311" s="10" t="n"/>
      <c r="AO1311" s="10" t="n"/>
      <c r="AP1311" s="10" t="n"/>
      <c r="AQ1311" s="10" t="n"/>
    </row>
    <row r="1312">
      <c r="A1312" s="7" t="inlineStr">
        <is>
          <t>b8-0215</t>
        </is>
      </c>
      <c r="B1312" s="7" t="inlineStr">
        <is>
          <t>Point</t>
        </is>
      </c>
      <c r="C1312" s="7" t="n"/>
      <c r="D1312" s="7" t="inlineStr">
        <is>
          <t>June 15, 1938</t>
        </is>
      </c>
      <c r="E1312" s="7" t="inlineStr">
        <is>
          <t>ஜூன் 15, 1938</t>
        </is>
      </c>
      <c r="F1312" s="7" t="inlineStr">
        <is>
          <t>1938 CE</t>
        </is>
      </c>
      <c r="G1312" s="7" t="inlineStr">
        <is>
          <t>Exact</t>
        </is>
      </c>
      <c r="H1312" s="7" t="n"/>
      <c r="I1312" s="7" t="n"/>
      <c r="J1312" s="7" t="n"/>
      <c r="K1312" s="2" t="inlineStr">
        <is>
          <t>Theocratic appointment of congregation servants replaces elections</t>
        </is>
      </c>
      <c r="L1312" s="2" t="n"/>
      <c r="M1312" s="7" t="inlineStr">
        <is>
          <t>In harmony with The Watchtower of June 1 and 15, 1938 (“Organization”), congregations adopt resolutions requesting that all servants be appointed theocratically, ending democratic election; it takes effect October 1, 1938.</t>
        </is>
      </c>
      <c r="N1312" s="7" t="inlineStr">
        <is>
          <t>புருக்லின் தலைமை அலுவலகத்திலுள்ள சகோதரர்களால் மூப்பர்கள் நியமிக்கப்பட வேண்டும் என்ற தீர்மானத்தை சபைகள் ஏற்றுக்கொண்டன. ஓட்டுப்போட்டு தேர்ந்தெடுக்கும் முறை அத்துடன் முடிவுக்கு வந்தது.</t>
        </is>
      </c>
      <c r="O1312" s="13" t="inlineStr">
        <is>
          <t>Jehovah's Witnesses</t>
        </is>
      </c>
      <c r="P1312" s="7" t="inlineStr">
        <is>
          <t>jw.organization</t>
        </is>
      </c>
      <c r="Q1312" s="7" t="inlineStr">
        <is>
          <t>arrangement</t>
        </is>
      </c>
      <c r="R1312" s="7" t="n"/>
      <c r="S1312" s="7" t="n"/>
      <c r="T1312" s="7" t="n"/>
      <c r="U1312" s="7" t="n"/>
      <c r="V1312" s="7" t="n">
        <v>3</v>
      </c>
      <c r="W1312" s="7" t="inlineStr">
        <is>
          <t>Noteworthy Events in the Modern-day History of Jehovah’s Witnesses</t>
        </is>
      </c>
      <c r="X1312" s="9" t="inlineStr">
        <is>
          <t>open</t>
        </is>
      </c>
      <c r="Y1312" s="7" t="n"/>
      <c r="Z1312" s="7" t="inlineStr">
        <is>
          <t>https://wol.jw.org/en/wol/d/r1/lp-e/1101993046
https://wol.jw.org/en/wol/d/r1/lp-e/1102014251
https://wol.jw.org/en/wol/d/r1/lp-e/1101993018</t>
        </is>
      </c>
      <c r="AA1312" s="7" t="n">
        <v>0</v>
      </c>
      <c r="AB1312" s="7" t="n"/>
      <c r="AC1312" s="7" t="n">
        <v>0</v>
      </c>
      <c r="AD1312" s="7" t="n"/>
      <c r="AE1312" s="7" t="n"/>
      <c r="AF1312" s="7" t="n"/>
      <c r="AG1312" s="7" t="n"/>
      <c r="AH1312" s="7" t="n"/>
      <c r="AI1312" s="7" t="n"/>
      <c r="AJ1312" s="7" t="n"/>
      <c r="AK1312" s="7" t="inlineStr">
        <is>
          <t>daniel-time-prophecies #28 (start)</t>
        </is>
      </c>
      <c r="AL1312" s="7" t="n"/>
      <c r="AM1312" s="7" t="n">
        <v>1938.4517</v>
      </c>
      <c r="AN1312" s="10" t="n"/>
      <c r="AO1312" s="10" t="n"/>
      <c r="AP1312" s="10" t="n"/>
      <c r="AQ1312" s="10" t="n"/>
    </row>
    <row r="1313">
      <c r="A1313" s="7" t="inlineStr">
        <is>
          <t>b8-0216</t>
        </is>
      </c>
      <c r="B1313" s="7" t="inlineStr">
        <is>
          <t>Point</t>
        </is>
      </c>
      <c r="C1313" s="7" t="n"/>
      <c r="D1313" s="7" t="inlineStr">
        <is>
          <t>September 11, 1938</t>
        </is>
      </c>
      <c r="E1313" s="7" t="n"/>
      <c r="F1313" s="7" t="inlineStr">
        <is>
          <t>1938 CE</t>
        </is>
      </c>
      <c r="G1313" s="7" t="inlineStr">
        <is>
          <t>Exact</t>
        </is>
      </c>
      <c r="H1313" s="7" t="n"/>
      <c r="I1313" s="7" t="n"/>
      <c r="J1313" s="7" t="n"/>
      <c r="K1313" s="2" t="inlineStr">
        <is>
          <t>“Face the Facts” lecture from Royal Albert Hall, London</t>
        </is>
      </c>
      <c r="L1313" s="2" t="n"/>
      <c r="M1313" s="7" t="inlineStr">
        <is>
          <t>J. F. Rutherford delivers the lecture “Face the Facts” at the Royal Albert Hall in London to more than 10,000, with millions more listening by radio.</t>
        </is>
      </c>
      <c r="N1313" s="7" t="n"/>
      <c r="O1313" s="13" t="inlineStr">
        <is>
          <t>Jehovah's Witnesses</t>
        </is>
      </c>
      <c r="P1313" s="7" t="inlineStr">
        <is>
          <t>jw.convention</t>
        </is>
      </c>
      <c r="Q1313" s="7" t="inlineStr">
        <is>
          <t>discourse</t>
        </is>
      </c>
      <c r="R1313" s="7" t="inlineStr">
        <is>
          <t>Joseph F. Rutherford</t>
        </is>
      </c>
      <c r="S1313" s="7" t="inlineStr">
        <is>
          <t>London</t>
        </is>
      </c>
      <c r="T1313" s="7" t="n"/>
      <c r="U1313" s="7" t="n"/>
      <c r="V1313" s="7" t="n">
        <v>2</v>
      </c>
      <c r="W1313" s="7" t="inlineStr">
        <is>
          <t>Advertise the King and the Kingdom! (1919-1941)</t>
        </is>
      </c>
      <c r="X1313" s="9" t="inlineStr">
        <is>
          <t>open</t>
        </is>
      </c>
      <c r="Y1313" s="7" t="n"/>
      <c r="Z1313" s="7" t="inlineStr">
        <is>
          <t>https://wol.jw.org/en/wol/d/r1/lp-e/1101993008
https://wol.jw.org/en/wol/d/r1/lp-e/1101993020</t>
        </is>
      </c>
      <c r="AA1313" s="7" t="n">
        <v>0</v>
      </c>
      <c r="AB1313" s="7" t="n"/>
      <c r="AC1313" s="7" t="n">
        <v>0</v>
      </c>
      <c r="AD1313" s="7" t="n"/>
      <c r="AE1313" s="7" t="n"/>
      <c r="AF1313" s="7" t="n"/>
      <c r="AG1313" s="7" t="n"/>
      <c r="AH1313" s="7" t="n"/>
      <c r="AI1313" s="7" t="n"/>
      <c r="AJ1313" s="7" t="n"/>
      <c r="AK1313" s="7" t="n"/>
      <c r="AL1313" s="7" t="n"/>
      <c r="AM1313" s="7" t="n">
        <v>1938.6917</v>
      </c>
      <c r="AN1313" s="10" t="n"/>
      <c r="AO1313" s="10" t="n"/>
      <c r="AP1313" s="10" t="n"/>
      <c r="AQ1313" s="10" t="n"/>
    </row>
    <row r="1314">
      <c r="A1314" s="7" t="inlineStr">
        <is>
          <t>b8-0217</t>
        </is>
      </c>
      <c r="B1314" s="7" t="inlineStr">
        <is>
          <t>Point</t>
        </is>
      </c>
      <c r="C1314" s="7" t="n"/>
      <c r="D1314" s="7" t="inlineStr">
        <is>
          <t>October 2, 1938</t>
        </is>
      </c>
      <c r="E1314" s="7" t="n"/>
      <c r="F1314" s="7" t="inlineStr">
        <is>
          <t>1938 CE</t>
        </is>
      </c>
      <c r="G1314" s="7" t="inlineStr">
        <is>
          <t>Exact</t>
        </is>
      </c>
      <c r="H1314" s="7" t="n"/>
      <c r="I1314" s="7" t="n"/>
      <c r="J1314" s="7" t="n"/>
      <c r="K1314" s="2" t="inlineStr">
        <is>
          <t>Lecture “Fascism or Freedom”</t>
        </is>
      </c>
      <c r="L1314" s="2" t="n"/>
      <c r="M1314" s="7" t="inlineStr">
        <is>
          <t>Rutherford delivers the lecture “Fascism or Freedom,” detailing collusion between public officials and religious groups; it is later distributed by the millions as a booklet.</t>
        </is>
      </c>
      <c r="N1314" s="7" t="n"/>
      <c r="O1314" s="13" t="inlineStr">
        <is>
          <t>Jehovah's Witnesses</t>
        </is>
      </c>
      <c r="P1314" s="7" t="inlineStr">
        <is>
          <t>jw.preaching</t>
        </is>
      </c>
      <c r="Q1314" s="7" t="inlineStr">
        <is>
          <t>discourse</t>
        </is>
      </c>
      <c r="R1314" s="7" t="inlineStr">
        <is>
          <t>Joseph F. Rutherford</t>
        </is>
      </c>
      <c r="S1314" s="7" t="n"/>
      <c r="T1314" s="7" t="n"/>
      <c r="U1314" s="7" t="n"/>
      <c r="V1314" s="7" t="n">
        <v>2</v>
      </c>
      <c r="W1314" s="7" t="inlineStr">
        <is>
          <t>Advertise the King and the Kingdom! (1919-1941)</t>
        </is>
      </c>
      <c r="X1314" s="9" t="inlineStr">
        <is>
          <t>open</t>
        </is>
      </c>
      <c r="Y1314" s="7" t="n"/>
      <c r="Z1314" s="7" t="inlineStr">
        <is>
          <t>https://wol.jw.org/en/wol/d/r1/lp-e/1101993008
https://wol.jw.org/en/wol/d/r1/lp-e/1101999301</t>
        </is>
      </c>
      <c r="AA1314" s="7" t="n">
        <v>0</v>
      </c>
      <c r="AB1314" s="7" t="n"/>
      <c r="AC1314" s="7" t="n">
        <v>1</v>
      </c>
      <c r="AD1314" s="7" t="inlineStr">
        <is>
          <t>Purple Triangles chronicle reports a Rutherford speech in New York broadcast by 60 stations condemning Hitler on October 8, 1938; jv dates “Fascism or Freedom” to October 2, 1938. It is unclear whether these are the same speech.</t>
        </is>
      </c>
      <c r="AE1314" s="7" t="n"/>
      <c r="AF1314" s="7" t="n"/>
      <c r="AG1314" s="7" t="n"/>
      <c r="AH1314" s="7" t="n"/>
      <c r="AI1314" s="7" t="n"/>
      <c r="AJ1314" s="7" t="n"/>
      <c r="AK1314" s="7" t="n"/>
      <c r="AL1314" s="7" t="n"/>
      <c r="AM1314" s="7" t="n">
        <v>1938.7525</v>
      </c>
      <c r="AN1314" s="10" t="n"/>
      <c r="AO1314" s="10" t="n"/>
      <c r="AP1314" s="10" t="n"/>
      <c r="AQ1314" s="10" t="n"/>
    </row>
    <row r="1315">
      <c r="A1315" s="7" t="inlineStr">
        <is>
          <t>b8-0219</t>
        </is>
      </c>
      <c r="B1315" s="7" t="inlineStr">
        <is>
          <t>Point</t>
        </is>
      </c>
      <c r="C1315" s="7" t="n"/>
      <c r="D1315" s="7" t="inlineStr">
        <is>
          <t>1939</t>
        </is>
      </c>
      <c r="E1315" s="7" t="n"/>
      <c r="F1315" s="7" t="inlineStr">
        <is>
          <t>1939 CE</t>
        </is>
      </c>
      <c r="G1315" s="7" t="inlineStr">
        <is>
          <t>Exact</t>
        </is>
      </c>
      <c r="H1315" s="7" t="n"/>
      <c r="I1315" s="7" t="n"/>
      <c r="J1315" s="7" t="n"/>
      <c r="K1315" s="2" t="inlineStr">
        <is>
          <t>Mob attempts to break up assembly at Madison Square Garden</t>
        </is>
      </c>
      <c r="L1315" s="2" t="n"/>
      <c r="M1315" s="7" t="inlineStr">
        <is>
          <t>When Jehovah’s Witnesses meet in Madison Square Garden, New York, some 200 mobsters, following threats by followers of priest Charles Coughlin, try to break up the assembly.</t>
        </is>
      </c>
      <c r="N1315" s="7" t="n"/>
      <c r="O1315" s="13" t="inlineStr">
        <is>
          <t>Jehovah's Witnesses</t>
        </is>
      </c>
      <c r="P1315" s="7" t="inlineStr">
        <is>
          <t>jw.persecution</t>
        </is>
      </c>
      <c r="Q1315" s="7" t="inlineStr">
        <is>
          <t>mob</t>
        </is>
      </c>
      <c r="R1315" s="7" t="n"/>
      <c r="S1315" s="7" t="inlineStr">
        <is>
          <t>New York City</t>
        </is>
      </c>
      <c r="T1315" s="7" t="n"/>
      <c r="U1315" s="7" t="n"/>
      <c r="V1315" s="7" t="n">
        <v>1</v>
      </c>
      <c r="W1315" s="7" t="inlineStr">
        <is>
          <t>“Objects of Hatred by All the Nations”</t>
        </is>
      </c>
      <c r="X1315" s="9" t="inlineStr">
        <is>
          <t>open</t>
        </is>
      </c>
      <c r="Y1315" s="7" t="n"/>
      <c r="Z1315" s="7" t="inlineStr">
        <is>
          <t>https://wol.jw.org/en/wol/d/r1/lp-e/1101993040</t>
        </is>
      </c>
      <c r="AA1315" s="7" t="n">
        <v>0</v>
      </c>
      <c r="AB1315" s="7" t="n"/>
      <c r="AC1315" s="7" t="n">
        <v>0</v>
      </c>
      <c r="AD1315" s="7" t="n"/>
      <c r="AE1315" s="7" t="n"/>
      <c r="AF1315" s="7" t="n"/>
      <c r="AG1315" s="7" t="n"/>
      <c r="AH1315" s="7" t="n"/>
      <c r="AI1315" s="7" t="n"/>
      <c r="AJ1315" s="7" t="n"/>
      <c r="AK1315" s="7" t="n"/>
      <c r="AL1315" s="7" t="n"/>
      <c r="AM1315" s="7" t="n">
        <v>1939</v>
      </c>
      <c r="AN1315" s="10" t="n"/>
      <c r="AO1315" s="10" t="n"/>
      <c r="AP1315" s="10" t="n"/>
      <c r="AQ1315" s="10" t="n"/>
    </row>
    <row r="1316">
      <c r="A1316" s="7" t="inlineStr">
        <is>
          <t>b8-0220</t>
        </is>
      </c>
      <c r="B1316" s="7" t="inlineStr">
        <is>
          <t>Point</t>
        </is>
      </c>
      <c r="C1316" s="7" t="n"/>
      <c r="D1316" s="7" t="inlineStr">
        <is>
          <t>1939</t>
        </is>
      </c>
      <c r="E1316" s="7" t="n"/>
      <c r="F1316" s="7" t="inlineStr">
        <is>
          <t>1939 CE</t>
        </is>
      </c>
      <c r="G1316" s="7" t="inlineStr">
        <is>
          <t>Exact</t>
        </is>
      </c>
      <c r="H1316" s="7" t="n"/>
      <c r="I1316" s="7" t="n"/>
      <c r="J1316" s="7" t="n"/>
      <c r="K1316" s="2" t="inlineStr">
        <is>
          <t>New York corporation renamed Watchtower Bible and Tract Society, Inc.</t>
        </is>
      </c>
      <c r="L1316" s="2" t="n"/>
      <c r="M1316" s="7" t="inlineStr">
        <is>
          <t>The New York corporation (formerly Peoples Pulpit Association) is renamed Watchtower Bible and Tract Society, Inc.</t>
        </is>
      </c>
      <c r="N1316" s="7" t="n"/>
      <c r="O1316" s="13" t="inlineStr">
        <is>
          <t>Jehovah's Witnesses</t>
        </is>
      </c>
      <c r="P1316" s="7" t="inlineStr">
        <is>
          <t>jw.legal</t>
        </is>
      </c>
      <c r="Q1316" s="7" t="inlineStr">
        <is>
          <t>name_change</t>
        </is>
      </c>
      <c r="R1316" s="7" t="n"/>
      <c r="S1316" s="7" t="n"/>
      <c r="T1316" s="7" t="n"/>
      <c r="U1316" s="7" t="n"/>
      <c r="V1316" s="7" t="n">
        <v>1</v>
      </c>
      <c r="W1316" s="7" t="inlineStr">
        <is>
          <t>Development of the Organization Structure</t>
        </is>
      </c>
      <c r="X1316" s="9" t="inlineStr">
        <is>
          <t>open</t>
        </is>
      </c>
      <c r="Y1316" s="7" t="n"/>
      <c r="Z1316" s="7" t="inlineStr">
        <is>
          <t>https://wol.jw.org/en/wol/d/r1/lp-e/1101993018</t>
        </is>
      </c>
      <c r="AA1316" s="7" t="n">
        <v>0</v>
      </c>
      <c r="AB1316" s="7" t="n"/>
      <c r="AC1316" s="7" t="n">
        <v>0</v>
      </c>
      <c r="AD1316" s="7" t="n"/>
      <c r="AE1316" s="7" t="n"/>
      <c r="AF1316" s="7" t="n"/>
      <c r="AG1316" s="7" t="n"/>
      <c r="AH1316" s="7" t="n"/>
      <c r="AI1316" s="7" t="n"/>
      <c r="AJ1316" s="7" t="n"/>
      <c r="AK1316" s="7" t="n"/>
      <c r="AL1316" s="7" t="n"/>
      <c r="AM1316" s="7" t="n">
        <v>1939</v>
      </c>
      <c r="AN1316" s="10" t="n"/>
      <c r="AO1316" s="10" t="n"/>
      <c r="AP1316" s="10" t="n"/>
      <c r="AQ1316" s="10" t="n"/>
    </row>
    <row r="1317">
      <c r="A1317" s="7" t="inlineStr">
        <is>
          <t>b8-0218</t>
        </is>
      </c>
      <c r="B1317" s="11" t="inlineStr">
        <is>
          <t>Span</t>
        </is>
      </c>
      <c r="C1317" s="7" t="inlineStr">
        <is>
          <t>ban</t>
        </is>
      </c>
      <c r="D1317" s="7" t="inlineStr">
        <is>
          <t>1939-45</t>
        </is>
      </c>
      <c r="E1317" s="7" t="n"/>
      <c r="F1317" s="7" t="inlineStr">
        <is>
          <t>1939 CE</t>
        </is>
      </c>
      <c r="G1317" s="7" t="inlineStr">
        <is>
          <t>Exact</t>
        </is>
      </c>
      <c r="H1317" s="7" t="inlineStr">
        <is>
          <t>1945 CE</t>
        </is>
      </c>
      <c r="I1317" s="7" t="inlineStr">
        <is>
          <t>Exact</t>
        </is>
      </c>
      <c r="J1317" s="7" t="inlineStr">
        <is>
          <t>6 years</t>
        </is>
      </c>
      <c r="K1317" s="2" t="inlineStr">
        <is>
          <t>23 British Commonwealth nations ban Witnesses or their literature</t>
        </is>
      </c>
      <c r="L1317" s="2" t="n"/>
      <c r="M1317" s="7" t="inlineStr">
        <is>
          <t>Throughout the British Empire and Commonwealth, 23 nations ban Jehovah’s Witnesses or their Bible literature during 1939-45.</t>
        </is>
      </c>
      <c r="N1317" s="7" t="n"/>
      <c r="O1317" s="13" t="inlineStr">
        <is>
          <t>Jehovah's Witnesses</t>
        </is>
      </c>
      <c r="P1317" s="7" t="inlineStr">
        <is>
          <t>jw.persecution</t>
        </is>
      </c>
      <c r="Q1317" s="7" t="inlineStr">
        <is>
          <t>ban</t>
        </is>
      </c>
      <c r="R1317" s="7" t="n"/>
      <c r="S1317" s="7" t="n"/>
      <c r="T1317" s="7" t="n"/>
      <c r="U1317" s="7" t="n"/>
      <c r="V1317" s="7" t="n">
        <v>1</v>
      </c>
      <c r="W1317" s="7" t="inlineStr">
        <is>
          <t>Noteworthy Events in the Modern-day History of Jehovah’s Witnesses</t>
        </is>
      </c>
      <c r="X1317" s="9" t="inlineStr">
        <is>
          <t>open</t>
        </is>
      </c>
      <c r="Y1317" s="7" t="n"/>
      <c r="Z1317" s="7" t="inlineStr">
        <is>
          <t>https://wol.jw.org/en/wol/d/r1/lp-e/1101993046</t>
        </is>
      </c>
      <c r="AA1317" s="7" t="n">
        <v>0</v>
      </c>
      <c r="AB1317" s="7" t="n"/>
      <c r="AC1317" s="7" t="n">
        <v>0</v>
      </c>
      <c r="AD1317" s="7" t="n"/>
      <c r="AE1317" s="7" t="n"/>
      <c r="AF1317" s="7" t="n"/>
      <c r="AG1317" s="7" t="n"/>
      <c r="AH1317" s="7" t="n"/>
      <c r="AI1317" s="7" t="n"/>
      <c r="AJ1317" s="7" t="n"/>
      <c r="AK1317" s="7" t="n"/>
      <c r="AL1317" s="7" t="n"/>
      <c r="AM1317" s="7" t="n">
        <v>1939</v>
      </c>
      <c r="AN1317" s="10" t="n"/>
      <c r="AO1317" s="10" t="n"/>
      <c r="AP1317" s="10" t="n"/>
      <c r="AQ1317" s="10" t="n"/>
    </row>
    <row r="1318">
      <c r="A1318" s="7" t="inlineStr">
        <is>
          <t>b12-0084</t>
        </is>
      </c>
      <c r="B1318" s="11" t="inlineStr">
        <is>
          <t>Span</t>
        </is>
      </c>
      <c r="C1318" s="7" t="inlineStr">
        <is>
          <t>war</t>
        </is>
      </c>
      <c r="D1318" s="7" t="inlineStr">
        <is>
          <t>1939-1945</t>
        </is>
      </c>
      <c r="E1318" s="7" t="n"/>
      <c r="F1318" s="7" t="inlineStr">
        <is>
          <t>1939 CE</t>
        </is>
      </c>
      <c r="G1318" s="7" t="inlineStr">
        <is>
          <t>Exact</t>
        </is>
      </c>
      <c r="H1318" s="7" t="inlineStr">
        <is>
          <t>1945 CE</t>
        </is>
      </c>
      <c r="I1318" s="7" t="inlineStr">
        <is>
          <t>Exact</t>
        </is>
      </c>
      <c r="J1318" s="7" t="n"/>
      <c r="K1318" s="2" t="inlineStr">
        <is>
          <t>World War II</t>
        </is>
      </c>
      <c r="L1318" s="2" t="n"/>
      <c r="M1318" s="7" t="inlineStr">
        <is>
          <t>World War II engulfed the world from 1939 to 1945; Jehovah’s Witnesses remained neutral and were persecuted in many lands.</t>
        </is>
      </c>
      <c r="N1318" s="7" t="inlineStr">
        <is>
          <t>இரண்டாம் உலகப் போரின்போது (1939-1945) அவர்கள் எடுத்த உறுதியான தீர்மானத்திலிருந்து இதைத் தெரிந்துகொள்ளலாம்.</t>
        </is>
      </c>
      <c r="O1318" s="8" t="inlineStr">
        <is>
          <t>Bible</t>
        </is>
      </c>
      <c r="P1318" s="7" t="inlineStr">
        <is>
          <t>bible.prophecy_fulfilled</t>
        </is>
      </c>
      <c r="Q1318" s="7" t="n"/>
      <c r="R1318" s="7" t="n"/>
      <c r="S1318" s="7" t="n"/>
      <c r="T1318" s="7" t="n"/>
      <c r="U1318" s="7" t="n"/>
      <c r="V1318" s="7" t="n">
        <v>3</v>
      </c>
      <c r="W1318" s="7" t="inlineStr">
        <is>
          <t>Why Do Jehovah’s Witnesses Not Go to War?</t>
        </is>
      </c>
      <c r="X1318" s="9" t="inlineStr">
        <is>
          <t>open</t>
        </is>
      </c>
      <c r="Y1318" s="9" t="inlineStr">
        <is>
          <t>open</t>
        </is>
      </c>
      <c r="Z1318" s="7" t="inlineStr">
        <is>
          <t>https://wol.jw.org/en/wol/d/r1/lp-e/2008487
https://wol.jw.org/en/wol/d/r1/lp-e/1200271562
https://wol.jw.org/en/wol/d/r1/lp-e/1200271562</t>
        </is>
      </c>
      <c r="AA1318" s="7" t="n">
        <v>0</v>
      </c>
      <c r="AB1318" s="7" t="n"/>
      <c r="AC1318" s="7" t="n">
        <v>0</v>
      </c>
      <c r="AD1318" s="7" t="n"/>
      <c r="AE1318" s="7" t="n"/>
      <c r="AF1318" s="7" t="n"/>
      <c r="AG1318" s="7" t="n"/>
      <c r="AH1318" s="7" t="n"/>
      <c r="AI1318" s="7" t="n"/>
      <c r="AJ1318" s="7" t="n"/>
      <c r="AK1318" s="7" t="inlineStr">
        <is>
          <t>last-days-sign #8 (fulfillment); seven-heads-of-the-beast #22 (context)</t>
        </is>
      </c>
      <c r="AL1318" s="7" t="n"/>
      <c r="AM1318" s="7" t="n">
        <v>1939</v>
      </c>
      <c r="AN1318" s="10" t="n"/>
      <c r="AO1318" s="10" t="n"/>
      <c r="AP1318" s="10" t="n"/>
      <c r="AQ1318" s="10" t="n"/>
    </row>
    <row r="1319">
      <c r="A1319" s="7" t="inlineStr">
        <is>
          <t>b8-0221</t>
        </is>
      </c>
      <c r="B1319" s="7" t="inlineStr">
        <is>
          <t>Point</t>
        </is>
      </c>
      <c r="C1319" s="7" t="n"/>
      <c r="D1319" s="7" t="inlineStr">
        <is>
          <t>March 1, 1939</t>
        </is>
      </c>
      <c r="E1319" s="7" t="n"/>
      <c r="F1319" s="7" t="inlineStr">
        <is>
          <t>1939 CE</t>
        </is>
      </c>
      <c r="G1319" s="7" t="inlineStr">
        <is>
          <t>Exact</t>
        </is>
      </c>
      <c r="H1319" s="7" t="n"/>
      <c r="I1319" s="7" t="n"/>
      <c r="J1319" s="7" t="n"/>
      <c r="K1319" s="2" t="inlineStr">
        <is>
          <t>Magazine titled The Watchtower Announcing Jehovah’s Kingdom</t>
        </is>
      </c>
      <c r="L1319" s="2" t="n"/>
      <c r="M1319" s="7" t="inlineStr">
        <is>
          <t>Since the issue of March 1, 1939, the principal magazine bears the title The Watchtower Announcing Jehovah’s Kingdom.</t>
        </is>
      </c>
      <c r="N1319" s="7" t="n"/>
      <c r="O1319" s="13" t="inlineStr">
        <is>
          <t>Jehovah's Witnesses</t>
        </is>
      </c>
      <c r="P1319" s="7" t="inlineStr">
        <is>
          <t>jw.publication</t>
        </is>
      </c>
      <c r="Q1319" s="7" t="inlineStr">
        <is>
          <t>name_change</t>
        </is>
      </c>
      <c r="R1319" s="7" t="n"/>
      <c r="S1319" s="7" t="n"/>
      <c r="T1319" s="7" t="n"/>
      <c r="U1319" s="7" t="n"/>
      <c r="V1319" s="7" t="n">
        <v>2</v>
      </c>
      <c r="W1319" s="7" t="inlineStr">
        <is>
          <t>Growing in Accurate Knowledge of the Truth</t>
        </is>
      </c>
      <c r="X1319" s="9" t="inlineStr">
        <is>
          <t>open</t>
        </is>
      </c>
      <c r="Y1319" s="7" t="n"/>
      <c r="Z1319" s="7" t="inlineStr">
        <is>
          <t>https://wol.jw.org/en/wol/d/r1/lp-e/1101993012
https://wol.jw.org/en/wol/d/r1/lp-e/1102014243</t>
        </is>
      </c>
      <c r="AA1319" s="7" t="n">
        <v>1</v>
      </c>
      <c r="AB1319" s="9" t="inlineStr">
        <is>
          <t>open</t>
        </is>
      </c>
      <c r="AC1319" s="7" t="n">
        <v>0</v>
      </c>
      <c r="AD1319" s="7" t="n"/>
      <c r="AE1319" s="7" t="n"/>
      <c r="AF1319" s="7" t="n"/>
      <c r="AG1319" s="7" t="n"/>
      <c r="AH1319" s="7" t="n"/>
      <c r="AI1319" s="7" t="n"/>
      <c r="AJ1319" s="7" t="n"/>
      <c r="AK1319" s="7" t="n"/>
      <c r="AL1319" s="7" t="n"/>
      <c r="AM1319" s="7" t="n">
        <v>1939.1667</v>
      </c>
      <c r="AN1319" s="10" t="n"/>
      <c r="AO1319" s="10" t="n"/>
      <c r="AP1319" s="10" t="n"/>
      <c r="AQ1319" s="10" t="n"/>
    </row>
    <row r="1320">
      <c r="A1320" s="7" t="inlineStr">
        <is>
          <t>b8-0222</t>
        </is>
      </c>
      <c r="B1320" s="7" t="inlineStr">
        <is>
          <t>Point</t>
        </is>
      </c>
      <c r="C1320" s="7" t="n"/>
      <c r="D1320" s="7" t="inlineStr">
        <is>
          <t>September 15, 1939</t>
        </is>
      </c>
      <c r="E1320" s="7" t="n"/>
      <c r="F1320" s="7" t="inlineStr">
        <is>
          <t>1939 CE</t>
        </is>
      </c>
      <c r="G1320" s="7" t="inlineStr">
        <is>
          <t>Exact</t>
        </is>
      </c>
      <c r="H1320" s="7" t="n"/>
      <c r="I1320" s="7" t="n"/>
      <c r="J1320" s="7" t="n"/>
      <c r="K1320" s="2" t="inlineStr">
        <is>
          <t>August Dickmann publicly shot at Sachsenhausen</t>
        </is>
      </c>
      <c r="L1320" s="2" t="n"/>
      <c r="M1320" s="7" t="inlineStr">
        <is>
          <t>August Dickmann, a Witness, becomes the first conscientious objector of the war sentenced to death by police judiciary and is publicly shot at Sachsenhausen camp.</t>
        </is>
      </c>
      <c r="N1320" s="7" t="n"/>
      <c r="O1320" s="13" t="inlineStr">
        <is>
          <t>Jehovah's Witnesses</t>
        </is>
      </c>
      <c r="P1320" s="7" t="inlineStr">
        <is>
          <t>jw.persecution</t>
        </is>
      </c>
      <c r="Q1320" s="7" t="inlineStr">
        <is>
          <t>execution</t>
        </is>
      </c>
      <c r="R1320" s="7" t="inlineStr">
        <is>
          <t>August Dickmann</t>
        </is>
      </c>
      <c r="S1320" s="7" t="inlineStr">
        <is>
          <t>Sachsenhausen</t>
        </is>
      </c>
      <c r="T1320" s="7" t="n"/>
      <c r="U1320" s="7" t="n"/>
      <c r="V1320" s="7" t="n">
        <v>1</v>
      </c>
      <c r="W1320" s="7" t="inlineStr">
        <is>
          <t>Chronicle</t>
        </is>
      </c>
      <c r="X1320" s="9" t="inlineStr">
        <is>
          <t>open</t>
        </is>
      </c>
      <c r="Y1320" s="7" t="n"/>
      <c r="Z1320" s="7" t="inlineStr">
        <is>
          <t>https://wol.jw.org/en/wol/d/r1/lp-e/1101999301</t>
        </is>
      </c>
      <c r="AA1320" s="7" t="n">
        <v>0</v>
      </c>
      <c r="AB1320" s="7" t="n"/>
      <c r="AC1320" s="7" t="n">
        <v>0</v>
      </c>
      <c r="AD1320" s="7" t="n"/>
      <c r="AE1320" s="7" t="n"/>
      <c r="AF1320" s="7" t="n"/>
      <c r="AG1320" s="7" t="n"/>
      <c r="AH1320" s="7" t="n"/>
      <c r="AI1320" s="7" t="n"/>
      <c r="AJ1320" s="7" t="n"/>
      <c r="AK1320" s="7" t="n"/>
      <c r="AL1320" s="7" t="n"/>
      <c r="AM1320" s="7" t="n">
        <v>1939.7017</v>
      </c>
      <c r="AN1320" s="10" t="n"/>
      <c r="AO1320" s="10" t="n"/>
      <c r="AP1320" s="10" t="n"/>
      <c r="AQ1320" s="10" t="n"/>
    </row>
    <row r="1321">
      <c r="A1321" s="7" t="inlineStr">
        <is>
          <t>b8-0223</t>
        </is>
      </c>
      <c r="B1321" s="7" t="inlineStr">
        <is>
          <t>Point</t>
        </is>
      </c>
      <c r="C1321" s="7" t="n"/>
      <c r="D1321" s="7" t="inlineStr">
        <is>
          <t>November 1, 1939</t>
        </is>
      </c>
      <c r="E1321" s="7" t="inlineStr">
        <is>
          <t>நவம்பர் 1, 1939</t>
        </is>
      </c>
      <c r="F1321" s="7" t="inlineStr">
        <is>
          <t>1939 CE</t>
        </is>
      </c>
      <c r="G1321" s="7" t="inlineStr">
        <is>
          <t>Exact</t>
        </is>
      </c>
      <c r="H1321" s="7" t="n"/>
      <c r="I1321" s="7" t="n"/>
      <c r="J1321" s="7" t="n"/>
      <c r="K1321" s="2" t="inlineStr">
        <is>
          <t>Landmark Watchtower article “Neutrality”</t>
        </is>
      </c>
      <c r="L1321" s="2" t="n"/>
      <c r="M1321" s="7" t="inlineStr">
        <is>
          <t>As World War II erupts, The Watchtower of November 1, 1939, carries the landmark article “Neutrality,” stating that Jehovah’s people must maintain strict neutrality between nations at war.</t>
        </is>
      </c>
      <c r="N1321" s="7" t="inlineStr">
        <is>
          <t>உதாரணத்துக்கு, நவம்பர் 1, 1939, காவற்கோபுரத்தில் “நடுநிலையோடு இருப்பது”</t>
        </is>
      </c>
      <c r="O1321" s="13" t="inlineStr">
        <is>
          <t>Jehovah's Witnesses</t>
        </is>
      </c>
      <c r="P1321" s="7" t="inlineStr">
        <is>
          <t>jw.doctrine</t>
        </is>
      </c>
      <c r="Q1321" s="7" t="inlineStr">
        <is>
          <t>article</t>
        </is>
      </c>
      <c r="R1321" s="7" t="n"/>
      <c r="S1321" s="7" t="n"/>
      <c r="T1321" s="7" t="inlineStr">
        <is>
          <t>John 17:14-16</t>
        </is>
      </c>
      <c r="U1321" s="7" t="n"/>
      <c r="V1321" s="7" t="n">
        <v>2</v>
      </c>
      <c r="W1321" s="7" t="inlineStr">
        <is>
          <t>Loyally Supporting God’s Government and No Other</t>
        </is>
      </c>
      <c r="X1321" s="9" t="inlineStr">
        <is>
          <t>open</t>
        </is>
      </c>
      <c r="Y1321" s="9" t="inlineStr">
        <is>
          <t>open</t>
        </is>
      </c>
      <c r="Z1321" s="7" t="inlineStr">
        <is>
          <t>https://wol.jw.org/en/wol/d/r1/lp-e/1102014253
https://wol.jw.org/en/wol/d/r1/lp-e/1102014244</t>
        </is>
      </c>
      <c r="AA1321" s="7" t="n">
        <v>0</v>
      </c>
      <c r="AB1321" s="7" t="n"/>
      <c r="AC1321" s="7" t="n">
        <v>0</v>
      </c>
      <c r="AD1321" s="7" t="n"/>
      <c r="AE1321" s="7" t="n"/>
      <c r="AF1321" s="7" t="n"/>
      <c r="AG1321" s="7" t="n"/>
      <c r="AH1321" s="7" t="n"/>
      <c r="AI1321" s="7" t="n"/>
      <c r="AJ1321" s="7" t="n"/>
      <c r="AK1321" s="7" t="n"/>
      <c r="AL1321" s="7" t="n"/>
      <c r="AM1321" s="7" t="n">
        <v>1939.8333</v>
      </c>
      <c r="AN1321" s="10" t="n"/>
      <c r="AO1321" s="10" t="n"/>
      <c r="AP1321" s="10" t="n"/>
      <c r="AQ1321" s="10" t="n"/>
    </row>
    <row r="1322">
      <c r="A1322" s="7" t="inlineStr">
        <is>
          <t>b8-0224</t>
        </is>
      </c>
      <c r="B1322" s="7" t="inlineStr">
        <is>
          <t>Point</t>
        </is>
      </c>
      <c r="C1322" s="7" t="n"/>
      <c r="D1322" s="7" t="inlineStr">
        <is>
          <t>1940</t>
        </is>
      </c>
      <c r="E1322" s="7" t="n"/>
      <c r="F1322" s="7" t="inlineStr">
        <is>
          <t>1940 CE</t>
        </is>
      </c>
      <c r="G1322" s="7" t="inlineStr">
        <is>
          <t>Exact</t>
        </is>
      </c>
      <c r="H1322" s="7" t="n"/>
      <c r="I1322" s="7" t="n"/>
      <c r="J1322" s="7" t="n"/>
      <c r="K1322" s="2" t="inlineStr">
        <is>
          <t>Over 90 recorded talks and a million records produced</t>
        </is>
      </c>
      <c r="L1322" s="2" t="n"/>
      <c r="M1322" s="7" t="inlineStr">
        <is>
          <t>By 1940 more than 90 different recorded Bible talks are available and over a million phonograph records have been made.</t>
        </is>
      </c>
      <c r="N1322" s="7" t="n"/>
      <c r="O1322" s="13" t="inlineStr">
        <is>
          <t>Jehovah's Witnesses</t>
        </is>
      </c>
      <c r="P1322" s="7" t="inlineStr">
        <is>
          <t>jw.preaching</t>
        </is>
      </c>
      <c r="Q1322" s="7" t="inlineStr">
        <is>
          <t>statistic</t>
        </is>
      </c>
      <c r="R1322" s="7" t="n"/>
      <c r="S1322" s="7" t="n"/>
      <c r="T1322" s="7" t="n"/>
      <c r="U1322" s="7" t="n"/>
      <c r="V1322" s="7" t="n">
        <v>1</v>
      </c>
      <c r="W1322" s="7" t="inlineStr">
        <is>
          <t>Tools for Preaching—Producing Literature for the Worldwide Field</t>
        </is>
      </c>
      <c r="X1322" s="9" t="inlineStr">
        <is>
          <t>open</t>
        </is>
      </c>
      <c r="Y1322" s="9" t="inlineStr">
        <is>
          <t>open</t>
        </is>
      </c>
      <c r="Z1322" s="7" t="inlineStr">
        <is>
          <t>https://wol.jw.org/en/wol/d/r1/lp-e/1102014247</t>
        </is>
      </c>
      <c r="AA1322" s="7" t="n">
        <v>1</v>
      </c>
      <c r="AB1322" s="9" t="inlineStr">
        <is>
          <t>open</t>
        </is>
      </c>
      <c r="AC1322" s="7" t="n">
        <v>0</v>
      </c>
      <c r="AD1322" s="7" t="n"/>
      <c r="AE1322" s="7" t="n"/>
      <c r="AF1322" s="7" t="n"/>
      <c r="AG1322" s="7" t="n"/>
      <c r="AH1322" s="7" t="n"/>
      <c r="AI1322" s="7" t="n"/>
      <c r="AJ1322" s="7" t="n"/>
      <c r="AK1322" s="7" t="n"/>
      <c r="AL1322" s="7" t="n"/>
      <c r="AM1322" s="7" t="n">
        <v>1940</v>
      </c>
      <c r="AN1322" s="10" t="n"/>
      <c r="AO1322" s="10" t="n"/>
      <c r="AP1322" s="10" t="n"/>
      <c r="AQ1322" s="10" t="n"/>
    </row>
    <row r="1323">
      <c r="A1323" s="7" t="inlineStr">
        <is>
          <t>b8-0225</t>
        </is>
      </c>
      <c r="B1323" s="7" t="inlineStr">
        <is>
          <t>Point</t>
        </is>
      </c>
      <c r="C1323" s="7" t="n"/>
      <c r="D1323" s="7" t="inlineStr">
        <is>
          <t>February 1, 1940</t>
        </is>
      </c>
      <c r="E1323" s="7" t="inlineStr">
        <is>
          <t>பிப்ரவரி 1, 1940</t>
        </is>
      </c>
      <c r="F1323" s="7" t="inlineStr">
        <is>
          <t>1940 CE</t>
        </is>
      </c>
      <c r="G1323" s="7" t="inlineStr">
        <is>
          <t>Exact</t>
        </is>
      </c>
      <c r="H1323" s="7" t="n"/>
      <c r="I1323" s="7" t="n"/>
      <c r="J1323" s="7" t="n"/>
      <c r="K1323" s="2" t="inlineStr">
        <is>
          <t>Street distribution of magazines becomes a regular feature</t>
        </is>
      </c>
      <c r="L1323" s="2" t="n"/>
      <c r="M1323" s="7" t="inlineStr">
        <is>
          <t>From February 1, 1940, Witnesses are encouraged to distribute individual magazines and report placements; street work with The Watchtower and Consolation becomes a regular feature.</t>
        </is>
      </c>
      <c r="N1323" s="7" t="inlineStr">
        <is>
          <t>பிப்ரவரி 1, 1940-லிருந்து ஊழியத்தில் தனி பத்திரிகைகளைக் கொடுக்கும்படியும் எத்தனை பத்திரிகைகளைக் கொடுத்தார்கள் என்பதை அறிக்கை செய்யும்படியும் சொல்லப்பட்டார்கள்.</t>
        </is>
      </c>
      <c r="O1323" s="13" t="inlineStr">
        <is>
          <t>Jehovah's Witnesses</t>
        </is>
      </c>
      <c r="P1323" s="7" t="inlineStr">
        <is>
          <t>jw.preaching</t>
        </is>
      </c>
      <c r="Q1323" s="7" t="inlineStr">
        <is>
          <t>method</t>
        </is>
      </c>
      <c r="R1323" s="7" t="n"/>
      <c r="S1323" s="7" t="n"/>
      <c r="T1323" s="7" t="n"/>
      <c r="U1323" s="7" t="n"/>
      <c r="V1323" s="7" t="n">
        <v>2</v>
      </c>
      <c r="W1323" s="7" t="inlineStr">
        <is>
          <t>Noteworthy Events in the Modern-day History of Jehovah’s Witnesses</t>
        </is>
      </c>
      <c r="X1323" s="9" t="inlineStr">
        <is>
          <t>open</t>
        </is>
      </c>
      <c r="Y1323" s="7" t="n"/>
      <c r="Z1323" s="7" t="inlineStr">
        <is>
          <t>https://wol.jw.org/en/wol/d/r1/lp-e/1101993046
https://wol.jw.org/en/wol/d/r1/lp-e/1102014245</t>
        </is>
      </c>
      <c r="AA1323" s="7" t="n">
        <v>0</v>
      </c>
      <c r="AB1323" s="7" t="n"/>
      <c r="AC1323" s="7" t="n">
        <v>0</v>
      </c>
      <c r="AD1323" s="7" t="n"/>
      <c r="AE1323" s="7" t="n"/>
      <c r="AF1323" s="7" t="n"/>
      <c r="AG1323" s="7" t="n"/>
      <c r="AH1323" s="7" t="n"/>
      <c r="AI1323" s="7" t="n"/>
      <c r="AJ1323" s="7" t="n"/>
      <c r="AK1323" s="7" t="n"/>
      <c r="AL1323" s="7" t="n"/>
      <c r="AM1323" s="7" t="n">
        <v>1940.0833</v>
      </c>
      <c r="AN1323" s="10" t="n"/>
      <c r="AO1323" s="10" t="n"/>
      <c r="AP1323" s="10" t="n"/>
      <c r="AQ1323" s="10" t="n"/>
    </row>
    <row r="1324">
      <c r="A1324" s="7" t="inlineStr">
        <is>
          <t>b8-0226</t>
        </is>
      </c>
      <c r="B1324" s="7" t="inlineStr">
        <is>
          <t>Point</t>
        </is>
      </c>
      <c r="C1324" s="7" t="n"/>
      <c r="D1324" s="7" t="inlineStr">
        <is>
          <t>March 30, 1940</t>
        </is>
      </c>
      <c r="E1324" s="7" t="inlineStr">
        <is>
          <t>மார்ச் 30, 1940</t>
        </is>
      </c>
      <c r="F1324" s="7" t="inlineStr">
        <is>
          <t>1940 CE</t>
        </is>
      </c>
      <c r="G1324" s="7" t="inlineStr">
        <is>
          <t>Exact</t>
        </is>
      </c>
      <c r="H1324" s="7" t="n"/>
      <c r="I1324" s="7" t="n"/>
      <c r="J1324" s="7" t="n"/>
      <c r="K1324" s="2" t="inlineStr">
        <is>
          <t>Young Witness Gerhard Steinacher executed</t>
        </is>
      </c>
      <c r="L1324" s="2" t="n"/>
      <c r="M1324" s="7" t="inlineStr">
        <is>
          <t>Gerhard Steinacher of Austria, aged 19 and sentenced to death for refusing to join the German army, is executed, likely by guillotine; his epitaph reads “He died for God’s honor.”</t>
        </is>
      </c>
      <c r="N1324" s="7" t="inlineStr">
        <is>
          <t>மார்ச் 29, 1940-ல் மரணத் தண்டனை கொடுக்கப்படுவதற்கு முந்தின நாள், அவருடைய அப்பா-அம்மாவுக்கு இப்படி எழுதினார்: “நான் இன்னும் சின்ன பிள்ளைதான்.</t>
        </is>
      </c>
      <c r="O1324" s="13" t="inlineStr">
        <is>
          <t>Jehovah's Witnesses</t>
        </is>
      </c>
      <c r="P1324" s="7" t="inlineStr">
        <is>
          <t>jw.persecution</t>
        </is>
      </c>
      <c r="Q1324" s="7" t="inlineStr">
        <is>
          <t>execution</t>
        </is>
      </c>
      <c r="R1324" s="7" t="inlineStr">
        <is>
          <t>Gerhard Steinacher</t>
        </is>
      </c>
      <c r="S1324" s="7" t="n"/>
      <c r="T1324" s="7" t="n"/>
      <c r="U1324" s="7" t="n"/>
      <c r="V1324" s="7" t="n">
        <v>1</v>
      </c>
      <c r="W1324" s="7" t="inlineStr">
        <is>
          <t>Loyally Supporting God’s Government and No Other</t>
        </is>
      </c>
      <c r="X1324" s="9" t="inlineStr">
        <is>
          <t>open</t>
        </is>
      </c>
      <c r="Y1324" s="9" t="inlineStr">
        <is>
          <t>open</t>
        </is>
      </c>
      <c r="Z1324" s="7" t="inlineStr">
        <is>
          <t>https://wol.jw.org/en/wol/d/r1/lp-e/1102014253</t>
        </is>
      </c>
      <c r="AA1324" s="7" t="n">
        <v>1</v>
      </c>
      <c r="AB1324" s="9" t="inlineStr">
        <is>
          <t>open</t>
        </is>
      </c>
      <c r="AC1324" s="7" t="n">
        <v>0</v>
      </c>
      <c r="AD1324" s="7" t="n"/>
      <c r="AE1324" s="7" t="n"/>
      <c r="AF1324" s="7" t="n"/>
      <c r="AG1324" s="7" t="n"/>
      <c r="AH1324" s="7" t="n"/>
      <c r="AI1324" s="7" t="n"/>
      <c r="AJ1324" s="7" t="n"/>
      <c r="AK1324" s="7" t="n"/>
      <c r="AL1324" s="7" t="n"/>
      <c r="AM1324" s="7" t="n">
        <v>1940.2392</v>
      </c>
      <c r="AN1324" s="10" t="n"/>
      <c r="AO1324" s="10" t="n"/>
      <c r="AP1324" s="10" t="n"/>
      <c r="AQ1324" s="10" t="n"/>
    </row>
    <row r="1325">
      <c r="A1325" s="7" t="inlineStr">
        <is>
          <t>b8-0227</t>
        </is>
      </c>
      <c r="B1325" s="7" t="inlineStr">
        <is>
          <t>Point</t>
        </is>
      </c>
      <c r="C1325" s="7" t="n"/>
      <c r="D1325" s="7" t="inlineStr">
        <is>
          <t>May 20, 1940</t>
        </is>
      </c>
      <c r="E1325" s="7" t="inlineStr">
        <is>
          <t>மே 20, 1940</t>
        </is>
      </c>
      <c r="F1325" s="7" t="inlineStr">
        <is>
          <t>1940 CE</t>
        </is>
      </c>
      <c r="G1325" s="7" t="inlineStr">
        <is>
          <t>Exact</t>
        </is>
      </c>
      <c r="H1325" s="7" t="n"/>
      <c r="I1325" s="7" t="n"/>
      <c r="J1325" s="7" t="n"/>
      <c r="K1325" s="2" t="inlineStr">
        <is>
          <t>Cantwell v. Connecticut decided unanimously for the Witnesses</t>
        </is>
      </c>
      <c r="L1325" s="2" t="n"/>
      <c r="M1325" s="7" t="inlineStr">
        <is>
          <t>The U.S. Supreme Court unanimously rules for the Witnesses; for the first time it holds that First Amendment protection of free exercise of religion applies to state and local authorities.</t>
        </is>
      </c>
      <c r="N1325" s="7" t="inlineStr">
        <is>
          <t>மே 20, 1940-ல் நீதிமன்றம் யெகோவாவின் சாட்சிகளுக்குச் சாதகமாக ஒருமனதாகத் தீர்ப்பு வழங்கியது.</t>
        </is>
      </c>
      <c r="O1325" s="13" t="inlineStr">
        <is>
          <t>Jehovah's Witnesses</t>
        </is>
      </c>
      <c r="P1325" s="7" t="inlineStr">
        <is>
          <t>jw.legal</t>
        </is>
      </c>
      <c r="Q1325" s="7" t="inlineStr">
        <is>
          <t>court_ruling</t>
        </is>
      </c>
      <c r="R1325" s="7" t="n"/>
      <c r="S1325" s="7" t="inlineStr">
        <is>
          <t>Connecticut</t>
        </is>
      </c>
      <c r="T1325" s="7" t="n"/>
      <c r="U1325" s="7" t="n"/>
      <c r="V1325" s="7" t="n">
        <v>3</v>
      </c>
      <c r="W1325" s="7" t="inlineStr">
        <is>
          <t>Kingdom Preachers Take Their Case to Court</t>
        </is>
      </c>
      <c r="X1325" s="9" t="inlineStr">
        <is>
          <t>open</t>
        </is>
      </c>
      <c r="Y1325" s="9" t="inlineStr">
        <is>
          <t>open</t>
        </is>
      </c>
      <c r="Z1325" s="7" t="inlineStr">
        <is>
          <t>https://wol.jw.org/en/wol/d/r1/lp-e/1102014252
https://www.jw.org/en/news/region/united-states/historic-milestones-united-states/
https://wol.jw.org/en/wol/d/r1/lp-e/1101993041</t>
        </is>
      </c>
      <c r="AA1325" s="7" t="n">
        <v>0</v>
      </c>
      <c r="AB1325" s="7" t="n"/>
      <c r="AC1325" s="7" t="n">
        <v>0</v>
      </c>
      <c r="AD1325" s="7" t="n"/>
      <c r="AE1325" s="7" t="n"/>
      <c r="AF1325" s="7" t="n"/>
      <c r="AG1325" s="7" t="n"/>
      <c r="AH1325" s="7" t="n"/>
      <c r="AI1325" s="7" t="n"/>
      <c r="AJ1325" s="7" t="n"/>
      <c r="AK1325" s="7" t="n"/>
      <c r="AL1325" s="7" t="n"/>
      <c r="AM1325" s="7" t="n">
        <v>1940.3808</v>
      </c>
      <c r="AN1325" s="10" t="n"/>
      <c r="AO1325" s="10" t="n"/>
      <c r="AP1325" s="10" t="n"/>
      <c r="AQ1325" s="10" t="n"/>
    </row>
    <row r="1326">
      <c r="A1326" s="7" t="inlineStr">
        <is>
          <t>b8-0228</t>
        </is>
      </c>
      <c r="B1326" s="7" t="inlineStr">
        <is>
          <t>Point</t>
        </is>
      </c>
      <c r="C1326" s="7" t="n"/>
      <c r="D1326" s="7" t="inlineStr">
        <is>
          <t>June 3, 1940</t>
        </is>
      </c>
      <c r="E1326" s="7" t="inlineStr">
        <is>
          <t>ஜூன் 3, 1940</t>
        </is>
      </c>
      <c r="F1326" s="7" t="inlineStr">
        <is>
          <t>1940 CE</t>
        </is>
      </c>
      <c r="G1326" s="7" t="inlineStr">
        <is>
          <t>Exact</t>
        </is>
      </c>
      <c r="H1326" s="7" t="n"/>
      <c r="I1326" s="7" t="n"/>
      <c r="J1326" s="7" t="n"/>
      <c r="K1326" s="2" t="inlineStr">
        <is>
          <t>Gobitis decision upholds compulsory flag salute; mob violence follows</t>
        </is>
      </c>
      <c r="L1326" s="2" t="n"/>
      <c r="M1326" s="7" t="inlineStr">
        <is>
          <t>In Minersville School District v. Gobitis the U.S. Supreme Court rules 8 to 1 that schoolchildren can be required to salute the flag, unleashing nationwide mob violence against Witnesses (over 2,500 mobs, 1940-44).</t>
        </is>
      </c>
      <c r="N1326" s="7" t="inlineStr">
        <is>
          <t>1940-ல் அமெரிக்க உச்ச நீதிமன்றத்தில் நடந்த மைனர்ஸ்வில் ஸ்கூல் டிஸ்ட்ரிக்ட் v. கொபைட்டஸ் என்ற வழக்கை 9 நீதிபதிகள் அடங்கிய குழு விசாரித்தது.</t>
        </is>
      </c>
      <c r="O1326" s="13" t="inlineStr">
        <is>
          <t>Jehovah's Witnesses</t>
        </is>
      </c>
      <c r="P1326" s="7" t="inlineStr">
        <is>
          <t>jw.legal</t>
        </is>
      </c>
      <c r="Q1326" s="7" t="inlineStr">
        <is>
          <t>court_ruling</t>
        </is>
      </c>
      <c r="R1326" s="7" t="inlineStr">
        <is>
          <t>Lillian Gobitas; William Gobitas</t>
        </is>
      </c>
      <c r="S1326" s="7" t="n"/>
      <c r="T1326" s="7" t="n"/>
      <c r="U1326" s="7" t="n"/>
      <c r="V1326" s="7" t="n">
        <v>4</v>
      </c>
      <c r="W1326" s="7" t="inlineStr">
        <is>
          <t>Noteworthy Events in the Modern-day History of Jehovah’s Witnesses</t>
        </is>
      </c>
      <c r="X1326" s="9" t="inlineStr">
        <is>
          <t>open</t>
        </is>
      </c>
      <c r="Y1326" s="7" t="n"/>
      <c r="Z1326" s="7" t="inlineStr">
        <is>
          <t>https://wol.jw.org/en/wol/d/r1/lp-e/1101993046
https://www.jw.org/en/news/region/united-states/historic-milestones-united-states/
https://wol.jw.org/en/wol/d/r1/lp-e/1102014253
https://wol.jw.org/en/wol/d/r1/lp-e/1101993040</t>
        </is>
      </c>
      <c r="AA1326" s="7" t="n">
        <v>0</v>
      </c>
      <c r="AB1326" s="7" t="n"/>
      <c r="AC1326" s="7" t="n">
        <v>0</v>
      </c>
      <c r="AD1326" s="7" t="n"/>
      <c r="AE1326" s="7" t="n"/>
      <c r="AF1326" s="7" t="n"/>
      <c r="AG1326" s="7" t="n"/>
      <c r="AH1326" s="7" t="n"/>
      <c r="AI1326" s="7" t="n"/>
      <c r="AJ1326" s="7" t="n"/>
      <c r="AK1326" s="7" t="n"/>
      <c r="AL1326" s="7" t="n"/>
      <c r="AM1326" s="7" t="n">
        <v>1940.4217</v>
      </c>
      <c r="AN1326" s="10" t="n"/>
      <c r="AO1326" s="10" t="n"/>
      <c r="AP1326" s="10" t="n"/>
      <c r="AQ1326" s="10" t="n"/>
    </row>
    <row r="1327">
      <c r="A1327" s="7" t="inlineStr">
        <is>
          <t>b8-0229</t>
        </is>
      </c>
      <c r="B1327" s="7" t="inlineStr">
        <is>
          <t>Point</t>
        </is>
      </c>
      <c r="C1327" s="7" t="n"/>
      <c r="D1327" s="7" t="inlineStr">
        <is>
          <t>June 10, 1940</t>
        </is>
      </c>
      <c r="E1327" s="7" t="n"/>
      <c r="F1327" s="7" t="inlineStr">
        <is>
          <t>1940 CE</t>
        </is>
      </c>
      <c r="G1327" s="7" t="inlineStr">
        <is>
          <t>Exact</t>
        </is>
      </c>
      <c r="H1327" s="7" t="n"/>
      <c r="I1327" s="7" t="n"/>
      <c r="J1327" s="7" t="n"/>
      <c r="K1327" s="2" t="inlineStr">
        <is>
          <t>N. H. Knorr becomes vice president of the Society</t>
        </is>
      </c>
      <c r="L1327" s="2" t="n"/>
      <c r="M1327" s="7" t="inlineStr">
        <is>
          <t>Nathan H. Knorr becomes vice president of the Watch Tower Bible and Tract Society (Pennsylvania corporation).</t>
        </is>
      </c>
      <c r="N1327" s="7" t="n"/>
      <c r="O1327" s="13" t="inlineStr">
        <is>
          <t>Jehovah's Witnesses</t>
        </is>
      </c>
      <c r="P1327" s="7" t="inlineStr">
        <is>
          <t>jw.leadership</t>
        </is>
      </c>
      <c r="Q1327" s="7" t="inlineStr">
        <is>
          <t>appointment</t>
        </is>
      </c>
      <c r="R1327" s="7" t="inlineStr">
        <is>
          <t>Nathan H. Knorr</t>
        </is>
      </c>
      <c r="S1327" s="7" t="n"/>
      <c r="T1327" s="7" t="n"/>
      <c r="U1327" s="7" t="n"/>
      <c r="V1327" s="7" t="n">
        <v>1</v>
      </c>
      <c r="W1327" s="7" t="inlineStr">
        <is>
          <t>Declaring the Good News Without Letup (1942-1975)</t>
        </is>
      </c>
      <c r="X1327" s="9" t="inlineStr">
        <is>
          <t>open</t>
        </is>
      </c>
      <c r="Y1327" s="7" t="n"/>
      <c r="Z1327" s="7" t="inlineStr">
        <is>
          <t>https://wol.jw.org/en/wol/d/r1/lp-e/1101993009</t>
        </is>
      </c>
      <c r="AA1327" s="7" t="n">
        <v>0</v>
      </c>
      <c r="AB1327" s="7" t="n"/>
      <c r="AC1327" s="7" t="n">
        <v>0</v>
      </c>
      <c r="AD1327" s="7" t="n"/>
      <c r="AE1327" s="7" t="n"/>
      <c r="AF1327" s="7" t="n"/>
      <c r="AG1327" s="7" t="n"/>
      <c r="AH1327" s="7" t="n"/>
      <c r="AI1327" s="7" t="n"/>
      <c r="AJ1327" s="7" t="n"/>
      <c r="AK1327" s="7" t="n"/>
      <c r="AL1327" s="7" t="n"/>
      <c r="AM1327" s="7" t="n">
        <v>1940.4392</v>
      </c>
      <c r="AN1327" s="10" t="n"/>
      <c r="AO1327" s="10" t="n"/>
      <c r="AP1327" s="10" t="n"/>
      <c r="AQ1327" s="10" t="n"/>
    </row>
    <row r="1328">
      <c r="A1328" s="7" t="inlineStr">
        <is>
          <t>b8-0230</t>
        </is>
      </c>
      <c r="B1328" s="7" t="inlineStr">
        <is>
          <t>Point</t>
        </is>
      </c>
      <c r="C1328" s="7" t="n"/>
      <c r="D1328" s="7" t="inlineStr">
        <is>
          <t>June 16, 1940</t>
        </is>
      </c>
      <c r="E1328" s="7" t="n"/>
      <c r="F1328" s="7" t="inlineStr">
        <is>
          <t>1940 CE</t>
        </is>
      </c>
      <c r="G1328" s="7" t="inlineStr">
        <is>
          <t>Exact</t>
        </is>
      </c>
      <c r="H1328" s="7" t="n"/>
      <c r="I1328" s="7" t="n"/>
      <c r="J1328" s="7" t="n"/>
      <c r="K1328" s="2" t="inlineStr">
        <is>
          <t>U.S. solicitor general condemns attacks on Witnesses</t>
        </is>
      </c>
      <c r="L1328" s="2" t="n"/>
      <c r="M1328" s="7" t="inlineStr">
        <is>
          <t>U.S. Solicitor General Francis Biddle, in a coast-to-coast radio broadcast, refers to the atrocities against the Witnesses and says they will not be tolerated.</t>
        </is>
      </c>
      <c r="N1328" s="7" t="n"/>
      <c r="O1328" s="13" t="inlineStr">
        <is>
          <t>Jehovah's Witnesses</t>
        </is>
      </c>
      <c r="P1328" s="7" t="inlineStr">
        <is>
          <t>jw.persecution</t>
        </is>
      </c>
      <c r="Q1328" s="7" t="inlineStr">
        <is>
          <t>statement</t>
        </is>
      </c>
      <c r="R1328" s="7" t="inlineStr">
        <is>
          <t>Francis Biddle</t>
        </is>
      </c>
      <c r="S1328" s="7" t="n"/>
      <c r="T1328" s="7" t="n"/>
      <c r="U1328" s="7" t="n"/>
      <c r="V1328" s="7" t="n">
        <v>1</v>
      </c>
      <c r="W1328" s="7" t="inlineStr">
        <is>
          <t>“Objects of Hatred by All the Nations”</t>
        </is>
      </c>
      <c r="X1328" s="9" t="inlineStr">
        <is>
          <t>open</t>
        </is>
      </c>
      <c r="Y1328" s="7" t="n"/>
      <c r="Z1328" s="7" t="inlineStr">
        <is>
          <t>https://wol.jw.org/en/wol/d/r1/lp-e/1101993040</t>
        </is>
      </c>
      <c r="AA1328" s="7" t="n">
        <v>0</v>
      </c>
      <c r="AB1328" s="7" t="n"/>
      <c r="AC1328" s="7" t="n">
        <v>0</v>
      </c>
      <c r="AD1328" s="7" t="n"/>
      <c r="AE1328" s="7" t="n"/>
      <c r="AF1328" s="7" t="n"/>
      <c r="AG1328" s="7" t="n"/>
      <c r="AH1328" s="7" t="n"/>
      <c r="AI1328" s="7" t="n"/>
      <c r="AJ1328" s="7" t="n"/>
      <c r="AK1328" s="7" t="n"/>
      <c r="AL1328" s="7" t="n"/>
      <c r="AM1328" s="7" t="n">
        <v>1940.4542</v>
      </c>
      <c r="AN1328" s="10" t="n"/>
      <c r="AO1328" s="10" t="n"/>
      <c r="AP1328" s="10" t="n"/>
      <c r="AQ1328" s="10" t="n"/>
    </row>
    <row r="1329">
      <c r="A1329" s="7" t="inlineStr">
        <is>
          <t>b8-0231</t>
        </is>
      </c>
      <c r="B1329" s="7" t="inlineStr">
        <is>
          <t>Point</t>
        </is>
      </c>
      <c r="C1329" s="7" t="n"/>
      <c r="D1329" s="7" t="inlineStr">
        <is>
          <t>July 4, 1940</t>
        </is>
      </c>
      <c r="E1329" s="7" t="n"/>
      <c r="F1329" s="7" t="inlineStr">
        <is>
          <t>1940 CE</t>
        </is>
      </c>
      <c r="G1329" s="7" t="inlineStr">
        <is>
          <t>Exact</t>
        </is>
      </c>
      <c r="H1329" s="7" t="n"/>
      <c r="I1329" s="7" t="n"/>
      <c r="J1329" s="7" t="n"/>
      <c r="K1329" s="2" t="inlineStr">
        <is>
          <t>Jehovah’s Witnesses banned in Canada</t>
        </is>
      </c>
      <c r="L1329" s="2" t="n"/>
      <c r="M1329" s="7" t="inlineStr">
        <is>
          <t>Under wartime pressure, a new governor-general declares Jehovah’s Witnesses illegal in Canada.</t>
        </is>
      </c>
      <c r="N1329" s="7" t="n"/>
      <c r="O1329" s="13" t="inlineStr">
        <is>
          <t>Jehovah's Witnesses</t>
        </is>
      </c>
      <c r="P1329" s="7" t="inlineStr">
        <is>
          <t>jw.persecution</t>
        </is>
      </c>
      <c r="Q1329" s="7" t="inlineStr">
        <is>
          <t>ban</t>
        </is>
      </c>
      <c r="R1329" s="7" t="n"/>
      <c r="S1329" s="7" t="inlineStr">
        <is>
          <t>Canada</t>
        </is>
      </c>
      <c r="T1329" s="7" t="n"/>
      <c r="U1329" s="7" t="n"/>
      <c r="V1329" s="7" t="n">
        <v>2</v>
      </c>
      <c r="W1329" s="7" t="inlineStr">
        <is>
          <t>‘Defending and Legally Establishing the Good News’</t>
        </is>
      </c>
      <c r="X1329" s="9" t="inlineStr">
        <is>
          <t>open</t>
        </is>
      </c>
      <c r="Y1329" s="7" t="n"/>
      <c r="Z1329" s="7" t="inlineStr">
        <is>
          <t>https://wol.jw.org/en/wol/d/r1/lp-e/1101993041
https://wol.jw.org/en/wol/d/r1/lp-e/1101993040</t>
        </is>
      </c>
      <c r="AA1329" s="7" t="n">
        <v>0</v>
      </c>
      <c r="AB1329" s="7" t="n"/>
      <c r="AC1329" s="7" t="n">
        <v>0</v>
      </c>
      <c r="AD1329" s="7" t="n"/>
      <c r="AE1329" s="7" t="n"/>
      <c r="AF1329" s="7" t="n"/>
      <c r="AG1329" s="7" t="n"/>
      <c r="AH1329" s="7" t="n"/>
      <c r="AI1329" s="7" t="inlineStr">
        <is>
          <t>Span endpoint – keep</t>
        </is>
      </c>
      <c r="AJ1329" s="7" t="inlineStr">
        <is>
          <t>start of Ban on Jehovah’s Witnesses in Canada (b12-0085)</t>
        </is>
      </c>
      <c r="AK1329" s="7" t="n"/>
      <c r="AL1329" s="7" t="n"/>
      <c r="AM1329" s="7" t="n">
        <v>1940.5075</v>
      </c>
      <c r="AN1329" s="10" t="n"/>
      <c r="AO1329" s="10" t="n"/>
      <c r="AP1329" s="10" t="n"/>
      <c r="AQ1329" s="10" t="n"/>
    </row>
    <row r="1330">
      <c r="A1330" s="7" t="inlineStr">
        <is>
          <t>b12-0085</t>
        </is>
      </c>
      <c r="B1330" s="11" t="inlineStr">
        <is>
          <t>Span</t>
        </is>
      </c>
      <c r="C1330" s="7" t="inlineStr">
        <is>
          <t>ban</t>
        </is>
      </c>
      <c r="D1330" s="7" t="inlineStr">
        <is>
          <t>1940–June 1944</t>
        </is>
      </c>
      <c r="E1330" s="7" t="n"/>
      <c r="F1330" s="7" t="inlineStr">
        <is>
          <t>1940 CE</t>
        </is>
      </c>
      <c r="G1330" s="7" t="inlineStr">
        <is>
          <t>Exact</t>
        </is>
      </c>
      <c r="H1330" s="7" t="inlineStr">
        <is>
          <t>1944 CE</t>
        </is>
      </c>
      <c r="I1330" s="7" t="inlineStr">
        <is>
          <t>Exact</t>
        </is>
      </c>
      <c r="J1330" s="7" t="n"/>
      <c r="K1330" s="2" t="inlineStr">
        <is>
          <t>Ban on Jehovah’s Witnesses in Canada</t>
        </is>
      </c>
      <c r="L1330" s="2" t="n"/>
      <c r="M1330" s="7" t="inlineStr">
        <is>
          <t>The Canadian government banned the Witnesses in 1940; the ban was partly removed in October 1943 and the corporation ban was lifted in June 1944, by which time the publishers had grown from 6,081 to 10,345.</t>
        </is>
      </c>
      <c r="N1330" s="7" t="n"/>
      <c r="O1330" s="13" t="inlineStr">
        <is>
          <t>Jehovah's Witnesses</t>
        </is>
      </c>
      <c r="P1330" s="7" t="inlineStr">
        <is>
          <t>jw.persecution</t>
        </is>
      </c>
      <c r="Q1330" s="7" t="n"/>
      <c r="R1330" s="7" t="n"/>
      <c r="S1330" s="7" t="inlineStr">
        <is>
          <t>Canada</t>
        </is>
      </c>
      <c r="T1330" s="7" t="n"/>
      <c r="U1330" s="7" t="n"/>
      <c r="V1330" s="7" t="n">
        <v>3</v>
      </c>
      <c r="W1330" s="7" t="inlineStr">
        <is>
          <t>‘Defending and Legally Establishing the Good News’</t>
        </is>
      </c>
      <c r="X1330" s="9" t="inlineStr">
        <is>
          <t>open</t>
        </is>
      </c>
      <c r="Y1330" s="7" t="n"/>
      <c r="Z1330" s="7" t="inlineStr">
        <is>
          <t>https://wol.jw.org/en/wol/d/r1/lp-e/1101993041
https://wol.jw.org/en/wol/d/r1/lp-e/1955684
https://wol.jw.org/en/wol/d/r1/lp-e/1955684</t>
        </is>
      </c>
      <c r="AA1330" s="7" t="n">
        <v>0</v>
      </c>
      <c r="AB1330" s="7" t="n"/>
      <c r="AC1330" s="7" t="n">
        <v>1</v>
      </c>
      <c r="AD1330" s="7" t="inlineStr">
        <is>
          <t>The Watchtower, August 1, 2003, says “By 1943 the ban on Jehovah’s Witnesses in Canada was lifted”; w55 explains the ban was partly removed in October 1943 and fully lifted in June 1944.</t>
        </is>
      </c>
      <c r="AE1330" s="7" t="n"/>
      <c r="AF1330" s="7" t="inlineStr">
        <is>
          <t>b8-0231</t>
        </is>
      </c>
      <c r="AG1330" s="7" t="n"/>
      <c r="AH1330" s="7" t="inlineStr">
        <is>
          <t>b8-0218</t>
        </is>
      </c>
      <c r="AI1330" s="7" t="n"/>
      <c r="AJ1330" s="7" t="n"/>
      <c r="AK1330" s="7" t="n"/>
      <c r="AL1330" s="7" t="n"/>
      <c r="AM1330" s="7" t="n">
        <v>1940.5075</v>
      </c>
      <c r="AN1330" s="10" t="n"/>
      <c r="AO1330" s="10" t="n"/>
      <c r="AP1330" s="10" t="n"/>
      <c r="AQ1330" s="10" t="n"/>
    </row>
    <row r="1331">
      <c r="A1331" s="7" t="inlineStr">
        <is>
          <t>b8-0232</t>
        </is>
      </c>
      <c r="B1331" s="7" t="inlineStr">
        <is>
          <t>Point</t>
        </is>
      </c>
      <c r="C1331" s="7" t="n"/>
      <c r="D1331" s="7" t="inlineStr">
        <is>
          <t>1941</t>
        </is>
      </c>
      <c r="E1331" s="7" t="n"/>
      <c r="F1331" s="7" t="inlineStr">
        <is>
          <t>1941 CE</t>
        </is>
      </c>
      <c r="G1331" s="7" t="inlineStr">
        <is>
          <t>Exact</t>
        </is>
      </c>
      <c r="H1331" s="7" t="n"/>
      <c r="I1331" s="7" t="n"/>
      <c r="J1331" s="7" t="n"/>
      <c r="K1331" s="2" t="inlineStr">
        <is>
          <t>Active Witnesses pass 100,000</t>
        </is>
      </c>
      <c r="L1331" s="2" t="n"/>
      <c r="M1331" s="7" t="inlineStr">
        <is>
          <t>Despite World War II, active Witnesses pass the 100,000 mark, reaching a peak of 109,371 in 107 lands.</t>
        </is>
      </c>
      <c r="N1331" s="7" t="n"/>
      <c r="O1331" s="13" t="inlineStr">
        <is>
          <t>Jehovah's Witnesses</t>
        </is>
      </c>
      <c r="P1331" s="7" t="inlineStr">
        <is>
          <t>jw.preaching</t>
        </is>
      </c>
      <c r="Q1331" s="7" t="inlineStr">
        <is>
          <t>statistic</t>
        </is>
      </c>
      <c r="R1331" s="7" t="n"/>
      <c r="S1331" s="7" t="n"/>
      <c r="T1331" s="7" t="n"/>
      <c r="U1331" s="7" t="n"/>
      <c r="V1331" s="7" t="n">
        <v>1</v>
      </c>
      <c r="W1331" s="7" t="inlineStr">
        <is>
          <t>Noteworthy Events in the Modern-day History of Jehovah’s Witnesses</t>
        </is>
      </c>
      <c r="X1331" s="9" t="inlineStr">
        <is>
          <t>open</t>
        </is>
      </c>
      <c r="Y1331" s="7" t="n"/>
      <c r="Z1331" s="7" t="inlineStr">
        <is>
          <t>https://wol.jw.org/en/wol/d/r1/lp-e/1101993046</t>
        </is>
      </c>
      <c r="AA1331" s="7" t="n">
        <v>0</v>
      </c>
      <c r="AB1331" s="7" t="n"/>
      <c r="AC1331" s="7" t="n">
        <v>0</v>
      </c>
      <c r="AD1331" s="7" t="n"/>
      <c r="AE1331" s="7" t="n"/>
      <c r="AF1331" s="7" t="n"/>
      <c r="AG1331" s="7" t="n"/>
      <c r="AH1331" s="7" t="n"/>
      <c r="AI1331" s="7" t="n"/>
      <c r="AJ1331" s="7" t="n"/>
      <c r="AK1331" s="7" t="n"/>
      <c r="AL1331" s="7" t="n"/>
      <c r="AM1331" s="7" t="n">
        <v>1941</v>
      </c>
      <c r="AN1331" s="10" t="n"/>
      <c r="AO1331" s="10" t="n"/>
      <c r="AP1331" s="10" t="n"/>
      <c r="AQ1331" s="10" t="n"/>
    </row>
    <row r="1332">
      <c r="A1332" s="7" t="inlineStr">
        <is>
          <t>b12-0086</t>
        </is>
      </c>
      <c r="B1332" s="11" t="inlineStr">
        <is>
          <t>Span</t>
        </is>
      </c>
      <c r="C1332" s="7" t="inlineStr">
        <is>
          <t>ban</t>
        </is>
      </c>
      <c r="D1332" s="7" t="inlineStr">
        <is>
          <t>January 1941 to June 1943</t>
        </is>
      </c>
      <c r="E1332" s="7" t="n"/>
      <c r="F1332" s="7" t="inlineStr">
        <is>
          <t>1941 CE</t>
        </is>
      </c>
      <c r="G1332" s="7" t="inlineStr">
        <is>
          <t>Exact</t>
        </is>
      </c>
      <c r="H1332" s="7" t="inlineStr">
        <is>
          <t>1943 CE</t>
        </is>
      </c>
      <c r="I1332" s="7" t="inlineStr">
        <is>
          <t>Exact</t>
        </is>
      </c>
      <c r="J1332" s="7" t="n"/>
      <c r="K1332" s="2" t="inlineStr">
        <is>
          <t>Ban on the Watch Tower Society in Australia</t>
        </is>
      </c>
      <c r="L1332" s="2" t="n"/>
      <c r="M1332" s="7" t="inlineStr">
        <is>
          <t>Australia banned the Witnesses in January 1941, closing Bethel and seizing Kingdom Halls; on June 14, 1943, the High Court ruled that the ban was inconsistent with Australian law.</t>
        </is>
      </c>
      <c r="N1332" s="7" t="inlineStr">
        <is>
          <t>அங்கே நம் வேலைகள் பல வருஷங்களுக்கு ரகசியமாகச் செய்யப்பட்டு வந்தாலும், ஜூன் 14, 1943-ல் உயர் நீதிமன்றம் அந்தத் தடையை நீக்கியபோது யெகோவாவின் சாட்சிகளுக்கு விடிவு காலம் பிறந்தது.</t>
        </is>
      </c>
      <c r="O1332" s="13" t="inlineStr">
        <is>
          <t>Jehovah's Witnesses</t>
        </is>
      </c>
      <c r="P1332" s="7" t="inlineStr">
        <is>
          <t>jw.persecution</t>
        </is>
      </c>
      <c r="Q1332" s="7" t="n"/>
      <c r="R1332" s="7" t="n"/>
      <c r="S1332" s="7" t="inlineStr">
        <is>
          <t>Australia</t>
        </is>
      </c>
      <c r="T1332" s="7" t="n"/>
      <c r="U1332" s="7" t="n"/>
      <c r="V1332" s="7" t="n">
        <v>2</v>
      </c>
      <c r="W1332" s="7" t="inlineStr">
        <is>
          <t>Testing and Sifting From Within</t>
        </is>
      </c>
      <c r="X1332" s="9" t="inlineStr">
        <is>
          <t>open</t>
        </is>
      </c>
      <c r="Y1332" s="7" t="n"/>
      <c r="Z1332" s="7" t="inlineStr">
        <is>
          <t>https://wol.jw.org/en/wol/d/r1/lp-e/1101993039
https://wol.jw.org/en/wol/d/r1/lp-e/1102014254</t>
        </is>
      </c>
      <c r="AA1332" s="7" t="n">
        <v>0</v>
      </c>
      <c r="AB1332" s="7" t="n"/>
      <c r="AC1332" s="7" t="n">
        <v>0</v>
      </c>
      <c r="AD1332" s="7" t="n"/>
      <c r="AE1332" s="7" t="n"/>
      <c r="AF1332" s="7" t="n"/>
      <c r="AG1332" s="7" t="inlineStr">
        <is>
          <t>b8-0250</t>
        </is>
      </c>
      <c r="AH1332" s="7" t="inlineStr">
        <is>
          <t>b8-0218</t>
        </is>
      </c>
      <c r="AI1332" s="7" t="n"/>
      <c r="AJ1332" s="7" t="n"/>
      <c r="AK1332" s="7" t="n"/>
      <c r="AL1332" s="7" t="n"/>
      <c r="AM1332" s="7" t="n">
        <v>1941</v>
      </c>
      <c r="AN1332" s="10" t="n"/>
      <c r="AO1332" s="10" t="n"/>
      <c r="AP1332" s="10" t="n"/>
      <c r="AQ1332" s="10" t="n"/>
    </row>
    <row r="1333">
      <c r="A1333" s="7" t="inlineStr">
        <is>
          <t>b8-0233</t>
        </is>
      </c>
      <c r="B1333" s="11" t="inlineStr">
        <is>
          <t>Span</t>
        </is>
      </c>
      <c r="C1333" s="7" t="inlineStr">
        <is>
          <t>convention</t>
        </is>
      </c>
      <c r="D1333" s="7" t="inlineStr">
        <is>
          <t>August 6-10, 1941</t>
        </is>
      </c>
      <c r="E1333" s="7" t="n"/>
      <c r="F1333" s="7" t="inlineStr">
        <is>
          <t>1941 CE</t>
        </is>
      </c>
      <c r="G1333" s="7" t="inlineStr">
        <is>
          <t>Exact</t>
        </is>
      </c>
      <c r="H1333" s="7" t="inlineStr">
        <is>
          <t>1941 CE</t>
        </is>
      </c>
      <c r="I1333" s="7" t="inlineStr">
        <is>
          <t>Exact</t>
        </is>
      </c>
      <c r="J1333" s="7" t="inlineStr">
        <is>
          <t>5 days</t>
        </is>
      </c>
      <c r="K1333" s="2" t="inlineStr">
        <is>
          <t>St. Louis Theocratic Assembly; book Children released</t>
        </is>
      </c>
      <c r="L1333" s="2" t="n"/>
      <c r="M1333" s="7" t="inlineStr">
        <is>
          <t>At the Theocratic Assembly in St. Louis, Missouri (peak police estimate 115,000), Rutherford speaks to 15,000 children on “Children’s Day,” August 10, and releases the book Children.</t>
        </is>
      </c>
      <c r="N1333" s="7" t="n"/>
      <c r="O1333" s="13" t="inlineStr">
        <is>
          <t>Jehovah's Witnesses</t>
        </is>
      </c>
      <c r="P1333" s="7" t="inlineStr">
        <is>
          <t>jw.convention</t>
        </is>
      </c>
      <c r="Q1333" s="7" t="inlineStr">
        <is>
          <t>convention</t>
        </is>
      </c>
      <c r="R1333" s="7" t="inlineStr">
        <is>
          <t>Joseph F. Rutherford</t>
        </is>
      </c>
      <c r="S1333" s="7" t="inlineStr">
        <is>
          <t>St. Louis, Missouri</t>
        </is>
      </c>
      <c r="T1333" s="7" t="n"/>
      <c r="U1333" s="7" t="n"/>
      <c r="V1333" s="7" t="n">
        <v>3</v>
      </c>
      <c r="W1333" s="7" t="inlineStr">
        <is>
          <t>Advertise the King and the Kingdom! (1919-1941)</t>
        </is>
      </c>
      <c r="X1333" s="9" t="inlineStr">
        <is>
          <t>open</t>
        </is>
      </c>
      <c r="Y1333" s="7" t="n"/>
      <c r="Z1333" s="7" t="inlineStr">
        <is>
          <t>https://wol.jw.org/en/wol/d/r1/lp-e/1101993008
https://wol.jw.org/en/wol/d/r1/lp-e/1102014250
https://wol.jw.org/en/wol/d/r1/lp-e/1101993020</t>
        </is>
      </c>
      <c r="AA1333" s="7" t="n">
        <v>0</v>
      </c>
      <c r="AB1333" s="7" t="n"/>
      <c r="AC1333" s="7" t="n">
        <v>0</v>
      </c>
      <c r="AD1333" s="7" t="n"/>
      <c r="AE1333" s="7" t="n"/>
      <c r="AF1333" s="7" t="n"/>
      <c r="AG1333" s="7" t="n"/>
      <c r="AH1333" s="7" t="n"/>
      <c r="AI1333" s="7" t="n"/>
      <c r="AJ1333" s="7" t="n"/>
      <c r="AK1333" s="7" t="n"/>
      <c r="AL1333" s="7" t="n"/>
      <c r="AM1333" s="7" t="n">
        <v>1941.5958</v>
      </c>
      <c r="AN1333" s="10" t="n"/>
      <c r="AO1333" s="10" t="n"/>
      <c r="AP1333" s="10" t="n"/>
      <c r="AQ1333" s="10" t="n"/>
    </row>
    <row r="1334">
      <c r="A1334" s="7" t="inlineStr">
        <is>
          <t>b8-0234</t>
        </is>
      </c>
      <c r="B1334" s="7" t="inlineStr">
        <is>
          <t>Point</t>
        </is>
      </c>
      <c r="C1334" s="7" t="n"/>
      <c r="D1334" s="7" t="inlineStr">
        <is>
          <t>1942</t>
        </is>
      </c>
      <c r="E1334" s="7" t="n"/>
      <c r="F1334" s="7" t="inlineStr">
        <is>
          <t>1942 CE</t>
        </is>
      </c>
      <c r="G1334" s="7" t="inlineStr">
        <is>
          <t>Exact</t>
        </is>
      </c>
      <c r="H1334" s="7" t="n"/>
      <c r="I1334" s="7" t="n"/>
      <c r="J1334" s="7" t="n"/>
      <c r="K1334" s="2" t="inlineStr">
        <is>
          <t>Watchtower printing for the year: 11,325,143</t>
        </is>
      </c>
      <c r="L1334" s="2" t="n"/>
      <c r="M1334" s="7" t="inlineStr">
        <is>
          <t>Total printing of The Watchtower for the year in all languages is 11,325,143.</t>
        </is>
      </c>
      <c r="N1334" s="7" t="n"/>
      <c r="O1334" s="13" t="inlineStr">
        <is>
          <t>Jehovah's Witnesses</t>
        </is>
      </c>
      <c r="P1334" s="7" t="inlineStr">
        <is>
          <t>jw.publication</t>
        </is>
      </c>
      <c r="Q1334" s="7" t="inlineStr">
        <is>
          <t>statistic</t>
        </is>
      </c>
      <c r="R1334" s="7" t="n"/>
      <c r="S1334" s="7" t="n"/>
      <c r="T1334" s="7" t="n"/>
      <c r="U1334" s="7" t="n"/>
      <c r="V1334" s="7" t="n">
        <v>1</v>
      </c>
      <c r="W1334" s="7" t="inlineStr">
        <is>
          <t>Noteworthy Events in the Modern-day History of Jehovah’s Witnesses</t>
        </is>
      </c>
      <c r="X1334" s="9" t="inlineStr">
        <is>
          <t>open</t>
        </is>
      </c>
      <c r="Y1334" s="7" t="n"/>
      <c r="Z1334" s="7" t="inlineStr">
        <is>
          <t>https://wol.jw.org/en/wol/d/r1/lp-e/1101993046</t>
        </is>
      </c>
      <c r="AA1334" s="7" t="n">
        <v>0</v>
      </c>
      <c r="AB1334" s="7" t="n"/>
      <c r="AC1334" s="7" t="n">
        <v>0</v>
      </c>
      <c r="AD1334" s="7" t="n"/>
      <c r="AE1334" s="7" t="n"/>
      <c r="AF1334" s="7" t="n"/>
      <c r="AG1334" s="7" t="n"/>
      <c r="AH1334" s="7" t="n"/>
      <c r="AI1334" s="7" t="n"/>
      <c r="AJ1334" s="7" t="n"/>
      <c r="AK1334" s="7" t="n"/>
      <c r="AL1334" s="7" t="n"/>
      <c r="AM1334" s="7" t="n">
        <v>1942</v>
      </c>
      <c r="AN1334" s="10" t="n"/>
      <c r="AO1334" s="10" t="n"/>
      <c r="AP1334" s="10" t="n"/>
      <c r="AQ1334" s="10" t="n"/>
    </row>
    <row r="1335">
      <c r="A1335" s="7" t="inlineStr">
        <is>
          <t>b8-0235</t>
        </is>
      </c>
      <c r="B1335" s="7" t="inlineStr">
        <is>
          <t>Point</t>
        </is>
      </c>
      <c r="C1335" s="7" t="n"/>
      <c r="D1335" s="7" t="inlineStr">
        <is>
          <t>1942</t>
        </is>
      </c>
      <c r="E1335" s="7" t="inlineStr">
        <is>
          <t>1942</t>
        </is>
      </c>
      <c r="F1335" s="7" t="inlineStr">
        <is>
          <t>1942 CE</t>
        </is>
      </c>
      <c r="G1335" s="7" t="inlineStr">
        <is>
          <t>Exact</t>
        </is>
      </c>
      <c r="H1335" s="7" t="n"/>
      <c r="I1335" s="7" t="n"/>
      <c r="J1335" s="7" t="n"/>
      <c r="K1335" s="2" t="inlineStr">
        <is>
          <t>Society prints the complete King James Version on its own press</t>
        </is>
      </c>
      <c r="L1335" s="2" t="n"/>
      <c r="M1335" s="7" t="inlineStr">
        <is>
          <t>Using plates purchased in 1942, the Watch Tower Society prints the complete King James Version with a specially designed concordance on its own web rotary press, distributing some 700,000 copies.</t>
        </is>
      </c>
      <c r="N1335" s="7" t="inlineStr">
        <is>
          <t>1942-ன் ஆரம்பத்தில் கிங் ஜேம்ஸ் வர்ஷன் பைபிள் அச்சடிக்கப்பட்டு, சுமார் ஏழு லட்சம் பிரதிகள் வினியோகிக்கப்பட்டன.</t>
        </is>
      </c>
      <c r="O1335" s="13" t="inlineStr">
        <is>
          <t>Jehovah's Witnesses</t>
        </is>
      </c>
      <c r="P1335" s="7" t="inlineStr">
        <is>
          <t>jw.publication</t>
        </is>
      </c>
      <c r="Q1335" s="7" t="inlineStr">
        <is>
          <t>bible_release</t>
        </is>
      </c>
      <c r="R1335" s="7" t="n"/>
      <c r="S1335" s="7" t="n"/>
      <c r="T1335" s="7" t="n"/>
      <c r="U1335" s="7" t="n"/>
      <c r="V1335" s="7" t="n">
        <v>3</v>
      </c>
      <c r="W1335" s="7" t="inlineStr">
        <is>
          <t>Noteworthy Events in the Modern-day History of Jehovah’s Witnesses</t>
        </is>
      </c>
      <c r="X1335" s="9" t="inlineStr">
        <is>
          <t>open</t>
        </is>
      </c>
      <c r="Y1335" s="7" t="n"/>
      <c r="Z1335" s="7" t="inlineStr">
        <is>
          <t>https://wol.jw.org/en/wol/d/r1/lp-e/1101993046
https://wol.jw.org/en/wol/d/r1/lp-e/1101993037
https://wol.jw.org/en/wol/d/r1/lp-e/1102014247</t>
        </is>
      </c>
      <c r="AA1335" s="7" t="n">
        <v>0</v>
      </c>
      <c r="AB1335" s="7" t="n"/>
      <c r="AC1335" s="7" t="n">
        <v>0</v>
      </c>
      <c r="AD1335" s="7" t="n"/>
      <c r="AE1335" s="7" t="n"/>
      <c r="AF1335" s="7" t="n"/>
      <c r="AG1335" s="7" t="n"/>
      <c r="AH1335" s="7" t="n"/>
      <c r="AI1335" s="7" t="n"/>
      <c r="AJ1335" s="7" t="n"/>
      <c r="AK1335" s="7" t="n"/>
      <c r="AL1335" s="7" t="n"/>
      <c r="AM1335" s="7" t="n">
        <v>1942</v>
      </c>
      <c r="AN1335" s="10" t="n"/>
      <c r="AO1335" s="10" t="n"/>
      <c r="AP1335" s="10" t="n"/>
      <c r="AQ1335" s="10" t="n"/>
    </row>
    <row r="1336">
      <c r="A1336" s="7" t="inlineStr">
        <is>
          <t>b8-0236</t>
        </is>
      </c>
      <c r="B1336" s="7" t="inlineStr">
        <is>
          <t>Point</t>
        </is>
      </c>
      <c r="C1336" s="7" t="n"/>
      <c r="D1336" s="7" t="inlineStr">
        <is>
          <t>1942</t>
        </is>
      </c>
      <c r="E1336" s="7" t="n"/>
      <c r="F1336" s="7" t="inlineStr">
        <is>
          <t>1942 CE</t>
        </is>
      </c>
      <c r="G1336" s="7" t="inlineStr">
        <is>
          <t>Exact</t>
        </is>
      </c>
      <c r="H1336" s="7" t="n"/>
      <c r="I1336" s="7" t="n"/>
      <c r="J1336" s="7" t="n"/>
      <c r="K1336" s="2" t="inlineStr">
        <is>
          <t>Publications cease to name individual writers</t>
        </is>
      </c>
      <c r="L1336" s="2" t="n"/>
      <c r="M1336" s="7" t="inlineStr">
        <is>
          <t>Since 1942 it has been the general rule that Watch Tower publications do not draw attention to any individual as writer.</t>
        </is>
      </c>
      <c r="N1336" s="7" t="n"/>
      <c r="O1336" s="13" t="inlineStr">
        <is>
          <t>Jehovah's Witnesses</t>
        </is>
      </c>
      <c r="P1336" s="7" t="inlineStr">
        <is>
          <t>jw.publication</t>
        </is>
      </c>
      <c r="Q1336" s="7" t="inlineStr">
        <is>
          <t>policy</t>
        </is>
      </c>
      <c r="R1336" s="7" t="n"/>
      <c r="S1336" s="7" t="n"/>
      <c r="T1336" s="7" t="n"/>
      <c r="U1336" s="7" t="n"/>
      <c r="V1336" s="7" t="n">
        <v>1</v>
      </c>
      <c r="W1336" s="7" t="inlineStr">
        <is>
          <t>Growing in Accurate Knowledge of the Truth</t>
        </is>
      </c>
      <c r="X1336" s="9" t="inlineStr">
        <is>
          <t>open</t>
        </is>
      </c>
      <c r="Y1336" s="7" t="n"/>
      <c r="Z1336" s="7" t="inlineStr">
        <is>
          <t>https://wol.jw.org/en/wol/d/r1/lp-e/1101993012</t>
        </is>
      </c>
      <c r="AA1336" s="7" t="n">
        <v>0</v>
      </c>
      <c r="AB1336" s="7" t="n"/>
      <c r="AC1336" s="7" t="n">
        <v>0</v>
      </c>
      <c r="AD1336" s="7" t="n"/>
      <c r="AE1336" s="7" t="n"/>
      <c r="AF1336" s="7" t="n"/>
      <c r="AG1336" s="7" t="n"/>
      <c r="AH1336" s="7" t="n"/>
      <c r="AI1336" s="7" t="n"/>
      <c r="AJ1336" s="7" t="n"/>
      <c r="AK1336" s="7" t="n"/>
      <c r="AL1336" s="7" t="n"/>
      <c r="AM1336" s="7" t="n">
        <v>1942</v>
      </c>
      <c r="AN1336" s="10" t="n"/>
      <c r="AO1336" s="10" t="n"/>
      <c r="AP1336" s="10" t="n"/>
      <c r="AQ1336" s="10" t="n"/>
    </row>
    <row r="1337">
      <c r="A1337" s="7" t="inlineStr">
        <is>
          <t>b8-0237</t>
        </is>
      </c>
      <c r="B1337" s="7" t="inlineStr">
        <is>
          <t>Point</t>
        </is>
      </c>
      <c r="C1337" s="7" t="n"/>
      <c r="D1337" s="7" t="inlineStr">
        <is>
          <t>January 8, 1942</t>
        </is>
      </c>
      <c r="E1337" s="7" t="inlineStr">
        <is>
          <t>ஜனவரி 8, 1942</t>
        </is>
      </c>
      <c r="F1337" s="7" t="inlineStr">
        <is>
          <t>1942 CE</t>
        </is>
      </c>
      <c r="G1337" s="7" t="inlineStr">
        <is>
          <t>Exact</t>
        </is>
      </c>
      <c r="H1337" s="7" t="n"/>
      <c r="I1337" s="7" t="n"/>
      <c r="J1337" s="7" t="n"/>
      <c r="K1337" s="2" t="inlineStr">
        <is>
          <t>J. F. Rutherford dies in San Diego</t>
        </is>
      </c>
      <c r="L1337" s="2" t="n"/>
      <c r="M1337" s="7" t="inlineStr">
        <is>
          <t>Joseph F. Rutherford, second president of the Watch Tower Society, dies at Beth-Sarim, San Diego, California.</t>
        </is>
      </c>
      <c r="N1337" s="7" t="inlineStr">
        <is>
          <t>1942-ல் ஜே. எஃப். ரதர்ஃபர்டு இறந்தபோது என். எச். நார் தலைமை பொறுப்பேற்றார்.</t>
        </is>
      </c>
      <c r="O1337" s="13" t="inlineStr">
        <is>
          <t>Jehovah's Witnesses</t>
        </is>
      </c>
      <c r="P1337" s="7" t="inlineStr">
        <is>
          <t>jw.leadership</t>
        </is>
      </c>
      <c r="Q1337" s="7" t="inlineStr">
        <is>
          <t>death</t>
        </is>
      </c>
      <c r="R1337" s="7" t="inlineStr">
        <is>
          <t>Joseph F. Rutherford</t>
        </is>
      </c>
      <c r="S1337" s="7" t="inlineStr">
        <is>
          <t>San Diego, California</t>
        </is>
      </c>
      <c r="T1337" s="7" t="n"/>
      <c r="U1337" s="7" t="n"/>
      <c r="V1337" s="7" t="n">
        <v>5</v>
      </c>
      <c r="W1337" s="7" t="inlineStr">
        <is>
          <t>Noteworthy Events in the Modern-day History of Jehovah’s Witnesses</t>
        </is>
      </c>
      <c r="X1337" s="9" t="inlineStr">
        <is>
          <t>open</t>
        </is>
      </c>
      <c r="Y1337" s="7" t="n"/>
      <c r="Z1337" s="7" t="inlineStr">
        <is>
          <t>https://wol.jw.org/en/wol/d/r1/lp-e/1101993046
https://wol.jw.org/en/wol/d/r1/lp-e/1101993008
https://wol.jw.org/en/wol/d/r1/lp-e/1101993009
https://wol.jw.org/en/wol/d/r1/lp-e/301975006
https://wol.jw.org/en/wol/d/r1/lp-e/1102000101</t>
        </is>
      </c>
      <c r="AA1337" s="7" t="n">
        <v>1</v>
      </c>
      <c r="AB1337" s="9" t="inlineStr">
        <is>
          <t>open</t>
        </is>
      </c>
      <c r="AC1337" s="7" t="n">
        <v>0</v>
      </c>
      <c r="AD1337" s="7" t="n"/>
      <c r="AE1337" s="7" t="n"/>
      <c r="AF1337" s="7" t="n"/>
      <c r="AG1337" s="7" t="n"/>
      <c r="AH1337" s="7" t="n"/>
      <c r="AI1337" s="7" t="inlineStr">
        <is>
          <t>Covered by span – hide on chart</t>
        </is>
      </c>
      <c r="AJ1337" s="7" t="inlineStr">
        <is>
          <t>end of Life of Joseph F. Rutherford (d1-0030); end of J. F. Rutherford, second president of the Watch Tower Society (b12-0072)</t>
        </is>
      </c>
      <c r="AK1337" s="7" t="n"/>
      <c r="AL1337" s="7" t="n"/>
      <c r="AM1337" s="7" t="n">
        <v>1942.0175</v>
      </c>
      <c r="AN1337" s="10" t="n"/>
      <c r="AO1337" s="10" t="n"/>
      <c r="AP1337" s="10" t="n"/>
      <c r="AQ1337" s="10" t="n"/>
    </row>
    <row r="1338">
      <c r="A1338" s="7" t="inlineStr">
        <is>
          <t>b8-0238</t>
        </is>
      </c>
      <c r="B1338" s="7" t="inlineStr">
        <is>
          <t>Point</t>
        </is>
      </c>
      <c r="C1338" s="7" t="n"/>
      <c r="D1338" s="7" t="inlineStr">
        <is>
          <t>January 13, 1942</t>
        </is>
      </c>
      <c r="E1338" s="7" t="inlineStr">
        <is>
          <t>ஜனவரி 13, 1942</t>
        </is>
      </c>
      <c r="F1338" s="7" t="inlineStr">
        <is>
          <t>1942 CE</t>
        </is>
      </c>
      <c r="G1338" s="7" t="inlineStr">
        <is>
          <t>Exact</t>
        </is>
      </c>
      <c r="H1338" s="7" t="n"/>
      <c r="I1338" s="7" t="n"/>
      <c r="J1338" s="7" t="n"/>
      <c r="K1338" s="2" t="inlineStr">
        <is>
          <t>N. H. Knorr becomes third president of the Society</t>
        </is>
      </c>
      <c r="L1338" s="2" t="n"/>
      <c r="M1338" s="7" t="inlineStr">
        <is>
          <t>Five days after Rutherford’s death, the boards of the two corporations meet jointly at Brooklyn Bethel and elect Nathan H. Knorr president.</t>
        </is>
      </c>
      <c r="N1338" s="7" t="inlineStr">
        <is>
          <t>1942-ல் ஜே. எஃப். ரதர்ஃபர்டு இறந்தபோது என். எச். நார் தலைமை பொறுப்பேற்றார்.</t>
        </is>
      </c>
      <c r="O1338" s="13" t="inlineStr">
        <is>
          <t>Jehovah's Witnesses</t>
        </is>
      </c>
      <c r="P1338" s="7" t="inlineStr">
        <is>
          <t>jw.leadership</t>
        </is>
      </c>
      <c r="Q1338" s="7" t="inlineStr">
        <is>
          <t>election</t>
        </is>
      </c>
      <c r="R1338" s="7" t="inlineStr">
        <is>
          <t>Nathan H. Knorr</t>
        </is>
      </c>
      <c r="S1338" s="7" t="inlineStr">
        <is>
          <t>Brooklyn, New York</t>
        </is>
      </c>
      <c r="T1338" s="7" t="n"/>
      <c r="U1338" s="7" t="n"/>
      <c r="V1338" s="7" t="n">
        <v>4</v>
      </c>
      <c r="W1338" s="7" t="inlineStr">
        <is>
          <t>Noteworthy Events in the Modern-day History of Jehovah’s Witnesses</t>
        </is>
      </c>
      <c r="X1338" s="9" t="inlineStr">
        <is>
          <t>open</t>
        </is>
      </c>
      <c r="Y1338" s="7" t="n"/>
      <c r="Z1338" s="7" t="inlineStr">
        <is>
          <t>https://wol.jw.org/en/wol/d/r1/lp-e/1101993046
https://wol.jw.org/en/wol/d/r1/lp-e/1101993009
https://wol.jw.org/en/wol/d/r1/lp-e/301975006
https://wol.jw.org/en/wol/d/r1/lp-e/1102000101</t>
        </is>
      </c>
      <c r="AA1338" s="7" t="n">
        <v>0</v>
      </c>
      <c r="AB1338" s="7" t="n"/>
      <c r="AC1338" s="7" t="n">
        <v>0</v>
      </c>
      <c r="AD1338" s="7" t="n"/>
      <c r="AE1338" s="7" t="n"/>
      <c r="AF1338" s="7" t="n"/>
      <c r="AG1338" s="7" t="n"/>
      <c r="AH1338" s="7" t="n"/>
      <c r="AI1338" s="7" t="inlineStr">
        <is>
          <t>Covered by span – hide on chart</t>
        </is>
      </c>
      <c r="AJ1338" s="7" t="inlineStr">
        <is>
          <t>start of N. H. Knorr, third president of the Watch Tower Society (b12-0087)</t>
        </is>
      </c>
      <c r="AK1338" s="7" t="n"/>
      <c r="AL1338" s="7" t="n"/>
      <c r="AM1338" s="7" t="n">
        <v>1942.03</v>
      </c>
      <c r="AN1338" s="10" t="n"/>
      <c r="AO1338" s="10" t="n"/>
      <c r="AP1338" s="10" t="n"/>
      <c r="AQ1338" s="10" t="n"/>
    </row>
    <row r="1339">
      <c r="A1339" s="7" t="inlineStr">
        <is>
          <t>b12-0087</t>
        </is>
      </c>
      <c r="B1339" s="11" t="inlineStr">
        <is>
          <t>Span</t>
        </is>
      </c>
      <c r="C1339" s="7" t="inlineStr">
        <is>
          <t>office</t>
        </is>
      </c>
      <c r="D1339" s="7" t="inlineStr">
        <is>
          <t>January 13, 1942–June 8, 1977</t>
        </is>
      </c>
      <c r="E1339" s="7" t="n"/>
      <c r="F1339" s="7" t="inlineStr">
        <is>
          <t>1942 CE</t>
        </is>
      </c>
      <c r="G1339" s="7" t="inlineStr">
        <is>
          <t>Exact</t>
        </is>
      </c>
      <c r="H1339" s="7" t="inlineStr">
        <is>
          <t>1977 CE</t>
        </is>
      </c>
      <c r="I1339" s="7" t="inlineStr">
        <is>
          <t>Exact</t>
        </is>
      </c>
      <c r="J1339" s="7" t="n"/>
      <c r="K1339" s="2" t="inlineStr">
        <is>
          <t>N. H. Knorr, third president of the Watch Tower Society</t>
        </is>
      </c>
      <c r="L1339" s="2" t="n"/>
      <c r="M1339" s="7" t="inlineStr">
        <is>
          <t>Nathan H. Knorr served as president from shortly after Rutherford’s death until his own death in 1977; Gilead School and the Theocratic Ministry School began under his oversight.</t>
        </is>
      </c>
      <c r="N1339" s="7" t="n"/>
      <c r="O1339" s="13" t="inlineStr">
        <is>
          <t>Jehovah's Witnesses</t>
        </is>
      </c>
      <c r="P1339" s="7" t="inlineStr">
        <is>
          <t>jw.leadership</t>
        </is>
      </c>
      <c r="Q1339" s="7" t="n"/>
      <c r="R1339" s="7" t="inlineStr">
        <is>
          <t>Nathan H. Knorr</t>
        </is>
      </c>
      <c r="S1339" s="7" t="n"/>
      <c r="T1339" s="7" t="n"/>
      <c r="U1339" s="7" t="n"/>
      <c r="V1339" s="7" t="n">
        <v>2</v>
      </c>
      <c r="W1339" s="7" t="inlineStr">
        <is>
          <t>Noteworthy Events in the Modern-day History of Jehovah’s Witnesses</t>
        </is>
      </c>
      <c r="X1339" s="9" t="inlineStr">
        <is>
          <t>open</t>
        </is>
      </c>
      <c r="Y1339" s="7" t="n"/>
      <c r="Z1339" s="7" t="inlineStr">
        <is>
          <t>https://wol.jw.org/en/wol/d/r1/lp-e/1101993046
https://wol.jw.org/en/wol/d/r1/lp-e/1977526</t>
        </is>
      </c>
      <c r="AA1339" s="7" t="n">
        <v>0</v>
      </c>
      <c r="AB1339" s="7" t="n"/>
      <c r="AC1339" s="7" t="n">
        <v>0</v>
      </c>
      <c r="AD1339" s="7" t="n"/>
      <c r="AE1339" s="7" t="n"/>
      <c r="AF1339" s="7" t="inlineStr">
        <is>
          <t>b8-0238</t>
        </is>
      </c>
      <c r="AG1339" s="7" t="inlineStr">
        <is>
          <t>b9-0112</t>
        </is>
      </c>
      <c r="AH1339" s="7" t="n"/>
      <c r="AI1339" s="7" t="n"/>
      <c r="AJ1339" s="7" t="n"/>
      <c r="AK1339" s="7" t="inlineStr">
        <is>
          <t>watch-tower-presidents #3 (ruler)</t>
        </is>
      </c>
      <c r="AL1339" s="7" t="n"/>
      <c r="AM1339" s="7" t="n">
        <v>1942.03</v>
      </c>
      <c r="AN1339" s="10" t="n"/>
      <c r="AO1339" s="10" t="n"/>
      <c r="AP1339" s="10" t="n"/>
      <c r="AQ1339" s="10" t="n"/>
    </row>
    <row r="1340">
      <c r="A1340" s="7" t="inlineStr">
        <is>
          <t>b8-0239</t>
        </is>
      </c>
      <c r="B1340" s="7" t="inlineStr">
        <is>
          <t>Point</t>
        </is>
      </c>
      <c r="C1340" s="7" t="n"/>
      <c r="D1340" s="7" t="inlineStr">
        <is>
          <t>February 16, 1942</t>
        </is>
      </c>
      <c r="E1340" s="7" t="inlineStr">
        <is>
          <t>பிப்ரவரி 16, 1942</t>
        </is>
      </c>
      <c r="F1340" s="7" t="inlineStr">
        <is>
          <t>1942 CE</t>
        </is>
      </c>
      <c r="G1340" s="7" t="inlineStr">
        <is>
          <t>Exact</t>
        </is>
      </c>
      <c r="H1340" s="7" t="n"/>
      <c r="I1340" s="7" t="n"/>
      <c r="J1340" s="7" t="n"/>
      <c r="K1340" s="2" t="inlineStr">
        <is>
          <t>Advanced Course in Theocratic Ministry inaugurated at headquarters</t>
        </is>
      </c>
      <c r="L1340" s="2" t="n"/>
      <c r="M1340" s="7" t="inlineStr">
        <is>
          <t>An Advanced Course in Theocratic Ministry is inaugurated for the headquarters staff at Brooklyn Bethel on Monday night, February 16.</t>
        </is>
      </c>
      <c r="N1340" s="7" t="inlineStr">
        <is>
          <t>நியு யார்க்கிலுள்ள புருக்லின் தலைமை அலுவலகத்தில் சேவை செய்த சகோதரர் கேரி பார்பர் இப்படிச் சொன்னார்: “பிப்ரவரி 16, 1942, திங்கள்கிழமை இரவில், புருக்லின் பெத்தேலைச் சேர்ந்த எல்லா சகோதரர்களுக்கும் ஒரு அழைப்பு கொடுக்கப்பட்டது.</t>
        </is>
      </c>
      <c r="O1340" s="13" t="inlineStr">
        <is>
          <t>Jehovah's Witnesses</t>
        </is>
      </c>
      <c r="P1340" s="7" t="inlineStr">
        <is>
          <t>jw.education</t>
        </is>
      </c>
      <c r="Q1340" s="7" t="inlineStr">
        <is>
          <t>school</t>
        </is>
      </c>
      <c r="R1340" s="7" t="n"/>
      <c r="S1340" s="7" t="inlineStr">
        <is>
          <t>Brooklyn, New York</t>
        </is>
      </c>
      <c r="T1340" s="7" t="n"/>
      <c r="U1340" s="7" t="n"/>
      <c r="V1340" s="7" t="n">
        <v>3</v>
      </c>
      <c r="W1340" s="7" t="inlineStr">
        <is>
          <t>Noteworthy Events in the Modern-day History of Jehovah’s Witnesses</t>
        </is>
      </c>
      <c r="X1340" s="9" t="inlineStr">
        <is>
          <t>open</t>
        </is>
      </c>
      <c r="Y1340" s="7" t="n"/>
      <c r="Z1340" s="7" t="inlineStr">
        <is>
          <t>https://wol.jw.org/en/wol/d/r1/lp-e/1101993046
https://wol.jw.org/en/wol/d/r1/lp-e/1102014255
https://wol.jw.org/en/wol/d/r1/lp-e/1101993019</t>
        </is>
      </c>
      <c r="AA1340" s="7" t="n">
        <v>0</v>
      </c>
      <c r="AB1340" s="7" t="n"/>
      <c r="AC1340" s="7" t="n">
        <v>0</v>
      </c>
      <c r="AD1340" s="7" t="n"/>
      <c r="AE1340" s="7" t="n"/>
      <c r="AF1340" s="7" t="n"/>
      <c r="AG1340" s="7" t="n"/>
      <c r="AH1340" s="7" t="n"/>
      <c r="AI1340" s="7" t="n"/>
      <c r="AJ1340" s="7" t="n"/>
      <c r="AK1340" s="7" t="n"/>
      <c r="AL1340" s="7" t="n"/>
      <c r="AM1340" s="7" t="n">
        <v>1942.1208</v>
      </c>
      <c r="AN1340" s="10" t="n"/>
      <c r="AO1340" s="10" t="n"/>
      <c r="AP1340" s="10" t="n"/>
      <c r="AQ1340" s="10" t="n"/>
    </row>
    <row r="1341">
      <c r="A1341" s="7" t="inlineStr">
        <is>
          <t>b8-0240</t>
        </is>
      </c>
      <c r="B1341" s="11" t="inlineStr">
        <is>
          <t>Span</t>
        </is>
      </c>
      <c r="C1341" s="7" t="inlineStr">
        <is>
          <t>convention</t>
        </is>
      </c>
      <c r="D1341" s="7" t="inlineStr">
        <is>
          <t>September 18-20, 1942</t>
        </is>
      </c>
      <c r="E1341" s="7" t="inlineStr">
        <is>
          <t>செப்டம்பர் 18-20, 1942</t>
        </is>
      </c>
      <c r="F1341" s="7" t="inlineStr">
        <is>
          <t>1942 CE</t>
        </is>
      </c>
      <c r="G1341" s="7" t="inlineStr">
        <is>
          <t>Exact</t>
        </is>
      </c>
      <c r="H1341" s="7" t="inlineStr">
        <is>
          <t>1942 CE</t>
        </is>
      </c>
      <c r="I1341" s="7" t="inlineStr">
        <is>
          <t>Exact</t>
        </is>
      </c>
      <c r="J1341" s="7" t="inlineStr">
        <is>
          <t>3 days</t>
        </is>
      </c>
      <c r="K1341" s="2" t="inlineStr">
        <is>
          <t>New World Theocratic Assembly; talk “Peace—Can It Last?”</t>
        </is>
      </c>
      <c r="L1341" s="2" t="n"/>
      <c r="M1341" s="7" t="inlineStr">
        <is>
          <t>The New World Theocratic Assembly is held in 52 U.S. cities tied to Cleveland, Ohio, and in other cities worldwide (85 in all); Knorr’s talk “Peace—Can It Last?” shows from Revelation 17 that the war would end and a period of peace would allow more preaching.</t>
        </is>
      </c>
      <c r="N1341" s="7" t="inlineStr">
        <is>
          <t>“சமாதானம்—அது நீடிக்குமா?” என்ற தலைப்பில் கொடுக்கப்பட்ட பேச்சு வெளிப்படுத்தல் 17-ஆம் அதிகாரத்திலுள்ள தீர்க்கதரிசனத்தைப் புரிந்துகொள்ள உதவியது. இரண்டாம் உலகப் போருக்குப் பின், இன்னும் நிறைய பேரைக் கடவுளுடைய அரசாங்கத்தின் குடிமக்களாக ஆக்குவதற்கு வாய்ப்பு இருக்குமென்று அதில் சொல்லப்பட்டது.</t>
        </is>
      </c>
      <c r="O1341" s="13" t="inlineStr">
        <is>
          <t>Jehovah's Witnesses</t>
        </is>
      </c>
      <c r="P1341" s="7" t="inlineStr">
        <is>
          <t>jw.convention</t>
        </is>
      </c>
      <c r="Q1341" s="7" t="inlineStr">
        <is>
          <t>convention</t>
        </is>
      </c>
      <c r="R1341" s="7" t="inlineStr">
        <is>
          <t>Nathan H. Knorr</t>
        </is>
      </c>
      <c r="S1341" s="7" t="inlineStr">
        <is>
          <t>Cleveland, Ohio</t>
        </is>
      </c>
      <c r="T1341" s="7" t="inlineStr">
        <is>
          <t>Rev. 17:8</t>
        </is>
      </c>
      <c r="U1341" s="7" t="n"/>
      <c r="V1341" s="7" t="n">
        <v>3</v>
      </c>
      <c r="W1341" s="7" t="inlineStr">
        <is>
          <t>Declaring the Good News Without Letup (1942-1975)</t>
        </is>
      </c>
      <c r="X1341" s="9" t="inlineStr">
        <is>
          <t>open</t>
        </is>
      </c>
      <c r="Y1341" s="7" t="n"/>
      <c r="Z1341" s="7" t="inlineStr">
        <is>
          <t>https://wol.jw.org/en/wol/d/r1/lp-e/1101993009
https://wol.jw.org/en/wol/d/r1/lp-e/1101993009
https://wol.jw.org/en/wol/d/r1/lp-e/1102014255</t>
        </is>
      </c>
      <c r="AA1341" s="7" t="n">
        <v>0</v>
      </c>
      <c r="AB1341" s="7" t="n"/>
      <c r="AC1341" s="7" t="n">
        <v>0</v>
      </c>
      <c r="AD1341" s="7" t="n"/>
      <c r="AE1341" s="7" t="n"/>
      <c r="AF1341" s="7" t="n"/>
      <c r="AG1341" s="7" t="n"/>
      <c r="AH1341" s="7" t="n"/>
      <c r="AI1341" s="7" t="n"/>
      <c r="AJ1341" s="7" t="n"/>
      <c r="AK1341" s="7" t="inlineStr">
        <is>
          <t>seven-heads-of-the-beast #23 (context)</t>
        </is>
      </c>
      <c r="AL1341" s="7" t="n"/>
      <c r="AM1341" s="7" t="n">
        <v>1942.7092</v>
      </c>
      <c r="AN1341" s="10" t="n"/>
      <c r="AO1341" s="10" t="n"/>
      <c r="AP1341" s="10" t="n"/>
      <c r="AQ1341" s="10" t="n"/>
    </row>
    <row r="1342">
      <c r="A1342" s="7" t="inlineStr">
        <is>
          <t>b8-0241</t>
        </is>
      </c>
      <c r="B1342" s="7" t="inlineStr">
        <is>
          <t>Point</t>
        </is>
      </c>
      <c r="C1342" s="7" t="n"/>
      <c r="D1342" s="7" t="inlineStr">
        <is>
          <t>September 24, 1942</t>
        </is>
      </c>
      <c r="E1342" s="7" t="n"/>
      <c r="F1342" s="7" t="inlineStr">
        <is>
          <t>1942 CE</t>
        </is>
      </c>
      <c r="G1342" s="7" t="inlineStr">
        <is>
          <t>Exact</t>
        </is>
      </c>
      <c r="H1342" s="7" t="n"/>
      <c r="I1342" s="7" t="n"/>
      <c r="J1342" s="7" t="n"/>
      <c r="K1342" s="2" t="inlineStr">
        <is>
          <t>Boards approve a school to train missionaries</t>
        </is>
      </c>
      <c r="L1342" s="2" t="n"/>
      <c r="M1342" s="7" t="inlineStr">
        <is>
          <t>At a joint board meeting Knorr proposes a school at Kingdom Farm, South Lansing, New York, to train missionaries; the suggestion is unanimously approved.</t>
        </is>
      </c>
      <c r="N1342" s="7" t="n"/>
      <c r="O1342" s="13" t="inlineStr">
        <is>
          <t>Jehovah's Witnesses</t>
        </is>
      </c>
      <c r="P1342" s="7" t="inlineStr">
        <is>
          <t>jw.education</t>
        </is>
      </c>
      <c r="Q1342" s="7" t="inlineStr">
        <is>
          <t>decision</t>
        </is>
      </c>
      <c r="R1342" s="7" t="inlineStr">
        <is>
          <t>Nathan H. Knorr</t>
        </is>
      </c>
      <c r="S1342" s="7" t="inlineStr">
        <is>
          <t>South Lansing, New York</t>
        </is>
      </c>
      <c r="T1342" s="7" t="n"/>
      <c r="U1342" s="7" t="n"/>
      <c r="V1342" s="7" t="n">
        <v>1</v>
      </c>
      <c r="W1342" s="7" t="inlineStr">
        <is>
          <t>Declaring the Good News Without Letup (1942-1975)</t>
        </is>
      </c>
      <c r="X1342" s="9" t="inlineStr">
        <is>
          <t>open</t>
        </is>
      </c>
      <c r="Y1342" s="7" t="n"/>
      <c r="Z1342" s="7" t="inlineStr">
        <is>
          <t>https://wol.jw.org/en/wol/d/r1/lp-e/1101993009</t>
        </is>
      </c>
      <c r="AA1342" s="7" t="n">
        <v>0</v>
      </c>
      <c r="AB1342" s="7" t="n"/>
      <c r="AC1342" s="7" t="n">
        <v>0</v>
      </c>
      <c r="AD1342" s="7" t="n"/>
      <c r="AE1342" s="7" t="n"/>
      <c r="AF1342" s="7" t="n"/>
      <c r="AG1342" s="7" t="n"/>
      <c r="AH1342" s="7" t="n"/>
      <c r="AI1342" s="7" t="n"/>
      <c r="AJ1342" s="7" t="n"/>
      <c r="AK1342" s="7" t="n"/>
      <c r="AL1342" s="7" t="n"/>
      <c r="AM1342" s="7" t="n">
        <v>1942.7242</v>
      </c>
      <c r="AN1342" s="10" t="n"/>
      <c r="AO1342" s="10" t="n"/>
      <c r="AP1342" s="10" t="n"/>
      <c r="AQ1342" s="10" t="n"/>
    </row>
    <row r="1343">
      <c r="A1343" s="7" t="inlineStr">
        <is>
          <t>b8-0242</t>
        </is>
      </c>
      <c r="B1343" s="7" t="inlineStr">
        <is>
          <t>Point</t>
        </is>
      </c>
      <c r="C1343" s="7" t="n"/>
      <c r="D1343" s="7" t="inlineStr">
        <is>
          <t>October 1942</t>
        </is>
      </c>
      <c r="E1343" s="7" t="n"/>
      <c r="F1343" s="7" t="inlineStr">
        <is>
          <t>1942 CE</t>
        </is>
      </c>
      <c r="G1343" s="7" t="inlineStr">
        <is>
          <t>Exact</t>
        </is>
      </c>
      <c r="H1343" s="7" t="n"/>
      <c r="I1343" s="7" t="n"/>
      <c r="J1343" s="7" t="n"/>
      <c r="K1343" s="2" t="inlineStr">
        <is>
          <t>Servants to the brethren begin visiting congregations</t>
        </is>
      </c>
      <c r="L1343" s="2" t="n"/>
      <c r="M1343" s="7" t="inlineStr">
        <is>
          <t>After intensive schooling, traveling “servants to the brethren” begin visiting each congregation every six months, reviving the traveling work after about a year’s interruption.</t>
        </is>
      </c>
      <c r="N1343" s="7" t="n"/>
      <c r="O1343" s="13" t="inlineStr">
        <is>
          <t>Jehovah's Witnesses</t>
        </is>
      </c>
      <c r="P1343" s="7" t="inlineStr">
        <is>
          <t>jw.organization</t>
        </is>
      </c>
      <c r="Q1343" s="7" t="inlineStr">
        <is>
          <t>arrangement</t>
        </is>
      </c>
      <c r="R1343" s="7" t="n"/>
      <c r="S1343" s="7" t="n"/>
      <c r="T1343" s="7" t="n"/>
      <c r="U1343" s="7" t="n"/>
      <c r="V1343" s="7" t="n">
        <v>2</v>
      </c>
      <c r="W1343" s="7" t="inlineStr">
        <is>
          <t>Declaring the Good News Without Letup (1942-1975)</t>
        </is>
      </c>
      <c r="X1343" s="9" t="inlineStr">
        <is>
          <t>open</t>
        </is>
      </c>
      <c r="Y1343" s="7" t="n"/>
      <c r="Z1343" s="7" t="inlineStr">
        <is>
          <t>https://wol.jw.org/en/wol/d/r1/lp-e/1101993009
https://wol.jw.org/en/wol/d/r1/lp-e/1101993018</t>
        </is>
      </c>
      <c r="AA1343" s="7" t="n">
        <v>0</v>
      </c>
      <c r="AB1343" s="7" t="n"/>
      <c r="AC1343" s="7" t="n">
        <v>0</v>
      </c>
      <c r="AD1343" s="7" t="n"/>
      <c r="AE1343" s="7" t="n"/>
      <c r="AF1343" s="7" t="n"/>
      <c r="AG1343" s="7" t="n"/>
      <c r="AH1343" s="7" t="n"/>
      <c r="AI1343" s="7" t="n"/>
      <c r="AJ1343" s="7" t="n"/>
      <c r="AK1343" s="7" t="n"/>
      <c r="AL1343" s="7" t="n"/>
      <c r="AM1343" s="7" t="n">
        <v>1942.75</v>
      </c>
      <c r="AN1343" s="10" t="n"/>
      <c r="AO1343" s="10" t="n"/>
      <c r="AP1343" s="10" t="n"/>
      <c r="AQ1343" s="10" t="n"/>
    </row>
    <row r="1344">
      <c r="A1344" s="7" t="inlineStr">
        <is>
          <t>b8-0243</t>
        </is>
      </c>
      <c r="B1344" s="7" t="inlineStr">
        <is>
          <t>Point</t>
        </is>
      </c>
      <c r="C1344" s="7" t="n"/>
      <c r="D1344" s="7" t="inlineStr">
        <is>
          <t>October 1, 1942</t>
        </is>
      </c>
      <c r="E1344" s="7" t="inlineStr">
        <is>
          <t>அக்டோபர் 1, 1942</t>
        </is>
      </c>
      <c r="F1344" s="7" t="inlineStr">
        <is>
          <t>1942 CE</t>
        </is>
      </c>
      <c r="G1344" s="7" t="inlineStr">
        <is>
          <t>Exact</t>
        </is>
      </c>
      <c r="H1344" s="7" t="n"/>
      <c r="I1344" s="7" t="n"/>
      <c r="J1344" s="7" t="n"/>
      <c r="K1344" s="2" t="inlineStr">
        <is>
          <t>Watchtower Study restructured</t>
        </is>
      </c>
      <c r="L1344" s="2" t="n"/>
      <c r="M1344" s="7" t="inlineStr">
        <is>
          <t>Refinements published in the October 1, 1942, Watchtower restructure the congregation Watchtower Study into the form known today.</t>
        </is>
      </c>
      <c r="N1344" s="7" t="inlineStr">
        <is>
          <t>இந்தப் படிப்பில் செய்யப்பட்ட இன்னும் சில மாற்றங்களைப் பற்றி அக்டோபர் 1, 1942, காவற்கோபுரம் சொன்னது.</t>
        </is>
      </c>
      <c r="O1344" s="13" t="inlineStr">
        <is>
          <t>Jehovah's Witnesses</t>
        </is>
      </c>
      <c r="P1344" s="7" t="inlineStr">
        <is>
          <t>jw.organization</t>
        </is>
      </c>
      <c r="Q1344" s="7" t="inlineStr">
        <is>
          <t>meeting</t>
        </is>
      </c>
      <c r="R1344" s="7" t="n"/>
      <c r="S1344" s="7" t="n"/>
      <c r="T1344" s="7" t="n"/>
      <c r="U1344" s="7" t="n"/>
      <c r="V1344" s="7" t="n">
        <v>1</v>
      </c>
      <c r="W1344" s="7" t="inlineStr">
        <is>
          <t>Meeting Together for Worship</t>
        </is>
      </c>
      <c r="X1344" s="9" t="inlineStr">
        <is>
          <t>open</t>
        </is>
      </c>
      <c r="Y1344" s="9" t="inlineStr">
        <is>
          <t>open</t>
        </is>
      </c>
      <c r="Z1344" s="7" t="inlineStr">
        <is>
          <t>https://wol.jw.org/en/wol/d/r1/lp-e/1102014255</t>
        </is>
      </c>
      <c r="AA1344" s="7" t="n">
        <v>0</v>
      </c>
      <c r="AB1344" s="7" t="n"/>
      <c r="AC1344" s="7" t="n">
        <v>0</v>
      </c>
      <c r="AD1344" s="7" t="n"/>
      <c r="AE1344" s="7" t="n"/>
      <c r="AF1344" s="7" t="n"/>
      <c r="AG1344" s="7" t="n"/>
      <c r="AH1344" s="7" t="n"/>
      <c r="AI1344" s="7" t="n"/>
      <c r="AJ1344" s="7" t="n"/>
      <c r="AK1344" s="7" t="n"/>
      <c r="AL1344" s="7" t="n"/>
      <c r="AM1344" s="7" t="n">
        <v>1942.75</v>
      </c>
      <c r="AN1344" s="10" t="n"/>
      <c r="AO1344" s="10" t="n"/>
      <c r="AP1344" s="10" t="n"/>
      <c r="AQ1344" s="10" t="n"/>
    </row>
    <row r="1345">
      <c r="A1345" s="7" t="inlineStr">
        <is>
          <t>b15-0006</t>
        </is>
      </c>
      <c r="B1345" s="7" t="inlineStr">
        <is>
          <t>Point</t>
        </is>
      </c>
      <c r="C1345" s="7" t="n"/>
      <c r="D1345" s="7" t="inlineStr">
        <is>
          <t>1943</t>
        </is>
      </c>
      <c r="E1345" s="7" t="inlineStr">
        <is>
          <t>1943</t>
        </is>
      </c>
      <c r="F1345" s="7" t="inlineStr">
        <is>
          <t>1943 CE</t>
        </is>
      </c>
      <c r="G1345" s="7" t="inlineStr">
        <is>
          <t>Exact</t>
        </is>
      </c>
      <c r="H1345" s="7" t="n"/>
      <c r="I1345" s="7" t="n"/>
      <c r="J1345" s="7" t="n"/>
      <c r="K1345" s="2" t="inlineStr">
        <is>
          <t>Famine in Henan province, China</t>
        </is>
      </c>
      <c r="L1345" s="2" t="n"/>
      <c r="M1345" s="7" t="inlineStr">
        <is>
          <t>The Watchtower cites journalist T. H. White, who in 1943 witnessed famine in the Chinese province of Henan, as another example of the food shortages that form part of the sign of Jesus’ presence (Matthew 24:7).</t>
        </is>
      </c>
      <c r="N1345" s="7" t="inlineStr">
        <is>
          <t>1943-⁠ல், பத்திரிகை எழுத்தாளர் டி. எச். வைட் என்பவர் ஹனான் என்ற சீன மாகாணத்தில் நிலவிய பஞ்சத்தை நேரில் பார்த்தார்.</t>
        </is>
      </c>
      <c r="O1345" s="8" t="inlineStr">
        <is>
          <t>Bible</t>
        </is>
      </c>
      <c r="P1345" s="7" t="inlineStr">
        <is>
          <t>bible.prophecy_fulfilled</t>
        </is>
      </c>
      <c r="Q1345" s="7" t="inlineStr">
        <is>
          <t>famine</t>
        </is>
      </c>
      <c r="R1345" s="7" t="n"/>
      <c r="S1345" s="7" t="inlineStr">
        <is>
          <t>Henan; China</t>
        </is>
      </c>
      <c r="T1345" s="7" t="inlineStr">
        <is>
          <t>Matt. 24:7</t>
        </is>
      </c>
      <c r="U1345" s="7" t="inlineStr">
        <is>
          <t>மத். 24:7</t>
        </is>
      </c>
      <c r="V1345" s="7" t="n">
        <v>1</v>
      </c>
      <c r="W1345" s="7" t="inlineStr">
        <is>
          <t>Do You Recognize the Sign of Jesus’ Presence?</t>
        </is>
      </c>
      <c r="X1345" s="9" t="inlineStr">
        <is>
          <t>open</t>
        </is>
      </c>
      <c r="Y1345" s="9" t="inlineStr">
        <is>
          <t>open</t>
        </is>
      </c>
      <c r="Z1345" s="7" t="inlineStr">
        <is>
          <t>https://wol.jw.org/en/wol/d/r1/lp-e/2005721</t>
        </is>
      </c>
      <c r="AA1345" s="7" t="n">
        <v>0</v>
      </c>
      <c r="AB1345" s="7" t="n"/>
      <c r="AC1345" s="7" t="n">
        <v>0</v>
      </c>
      <c r="AD1345" s="7" t="n"/>
      <c r="AE1345" s="7" t="n"/>
      <c r="AF1345" s="7" t="n"/>
      <c r="AG1345" s="7" t="n"/>
      <c r="AH1345" s="7" t="n"/>
      <c r="AI1345" s="7" t="n"/>
      <c r="AJ1345" s="7" t="n"/>
      <c r="AK1345" s="7" t="inlineStr">
        <is>
          <t>last-days-sign #13 (fulfillment)</t>
        </is>
      </c>
      <c r="AL1345" s="7" t="n"/>
      <c r="AM1345" s="7" t="n">
        <v>1943</v>
      </c>
      <c r="AN1345" s="10" t="n"/>
      <c r="AO1345" s="10" t="n"/>
      <c r="AP1345" s="10" t="n"/>
      <c r="AQ1345" s="10" t="n"/>
    </row>
    <row r="1346">
      <c r="A1346" s="7" t="inlineStr">
        <is>
          <t>b8-0244</t>
        </is>
      </c>
      <c r="B1346" s="7" t="inlineStr">
        <is>
          <t>Point</t>
        </is>
      </c>
      <c r="C1346" s="7" t="n"/>
      <c r="D1346" s="7" t="inlineStr">
        <is>
          <t>1943</t>
        </is>
      </c>
      <c r="E1346" s="7" t="n"/>
      <c r="F1346" s="7" t="inlineStr">
        <is>
          <t>1943 CE</t>
        </is>
      </c>
      <c r="G1346" s="7" t="inlineStr">
        <is>
          <t>Exact</t>
        </is>
      </c>
      <c r="H1346" s="7" t="n"/>
      <c r="I1346" s="7" t="n"/>
      <c r="J1346" s="7" t="n"/>
      <c r="K1346" s="2" t="inlineStr">
        <is>
          <t>U.S. Supreme Court rules favorably in 20 of 24 Witness cases</t>
        </is>
      </c>
      <c r="L1346" s="2" t="n"/>
      <c r="M1346" s="7" t="inlineStr">
        <is>
          <t>During 1943 the U.S. Supreme Court renders decisions favorable to Jehovah’s Witnesses in 20 of 24 cases.</t>
        </is>
      </c>
      <c r="N1346" s="7" t="n"/>
      <c r="O1346" s="13" t="inlineStr">
        <is>
          <t>Jehovah's Witnesses</t>
        </is>
      </c>
      <c r="P1346" s="7" t="inlineStr">
        <is>
          <t>jw.legal</t>
        </is>
      </c>
      <c r="Q1346" s="7" t="inlineStr">
        <is>
          <t>statistic</t>
        </is>
      </c>
      <c r="R1346" s="7" t="n"/>
      <c r="S1346" s="7" t="n"/>
      <c r="T1346" s="7" t="n"/>
      <c r="U1346" s="7" t="n"/>
      <c r="V1346" s="7" t="n">
        <v>2</v>
      </c>
      <c r="W1346" s="7" t="inlineStr">
        <is>
          <t>Noteworthy Events in the Modern-day History of Jehovah’s Witnesses</t>
        </is>
      </c>
      <c r="X1346" s="9" t="inlineStr">
        <is>
          <t>open</t>
        </is>
      </c>
      <c r="Y1346" s="7" t="n"/>
      <c r="Z1346" s="7" t="inlineStr">
        <is>
          <t>https://wol.jw.org/en/wol/d/r1/lp-e/1101993046
https://wol.jw.org/en/wol/d/r1/lp-e/1101993041</t>
        </is>
      </c>
      <c r="AA1346" s="7" t="n">
        <v>0</v>
      </c>
      <c r="AB1346" s="7" t="n"/>
      <c r="AC1346" s="7" t="n">
        <v>0</v>
      </c>
      <c r="AD1346" s="7" t="n"/>
      <c r="AE1346" s="7" t="n"/>
      <c r="AF1346" s="7" t="n"/>
      <c r="AG1346" s="7" t="n"/>
      <c r="AH1346" s="7" t="n"/>
      <c r="AI1346" s="7" t="n"/>
      <c r="AJ1346" s="7" t="n"/>
      <c r="AK1346" s="7" t="n"/>
      <c r="AL1346" s="7" t="inlineStr">
        <is>
          <t>kr ch. 13 reports 12 of 13 cases won on May 3, 1943 alone; jv’s 20 of 24 covers the whole year.</t>
        </is>
      </c>
      <c r="AM1346" s="7" t="n">
        <v>1943</v>
      </c>
      <c r="AN1346" s="10" t="n"/>
      <c r="AO1346" s="10" t="n"/>
      <c r="AP1346" s="10" t="n"/>
      <c r="AQ1346" s="10" t="n"/>
    </row>
    <row r="1347">
      <c r="A1347" s="7" t="inlineStr">
        <is>
          <t>b8-0245</t>
        </is>
      </c>
      <c r="B1347" s="7" t="inlineStr">
        <is>
          <t>Point</t>
        </is>
      </c>
      <c r="C1347" s="7" t="n"/>
      <c r="D1347" s="7" t="inlineStr">
        <is>
          <t>1943</t>
        </is>
      </c>
      <c r="E1347" s="7" t="n"/>
      <c r="F1347" s="7" t="inlineStr">
        <is>
          <t>1943 CE</t>
        </is>
      </c>
      <c r="G1347" s="7" t="inlineStr">
        <is>
          <t>Exact</t>
        </is>
      </c>
      <c r="H1347" s="7" t="n"/>
      <c r="I1347" s="7" t="n"/>
      <c r="J1347" s="7" t="n"/>
      <c r="K1347" s="2" t="inlineStr">
        <is>
          <t>Book “The Truth Shall Make You Free” clarifies chronology</t>
        </is>
      </c>
      <c r="L1347" s="2" t="n"/>
      <c r="M1347" s="7" t="inlineStr">
        <is>
          <t>A clearer understanding of Bible chronology is published in the book “The Truth Shall Make You Free.”</t>
        </is>
      </c>
      <c r="N1347" s="7" t="n"/>
      <c r="O1347" s="13" t="inlineStr">
        <is>
          <t>Jehovah's Witnesses</t>
        </is>
      </c>
      <c r="P1347" s="7" t="inlineStr">
        <is>
          <t>jw.doctrine</t>
        </is>
      </c>
      <c r="Q1347" s="7" t="inlineStr">
        <is>
          <t>release</t>
        </is>
      </c>
      <c r="R1347" s="7" t="n"/>
      <c r="S1347" s="7" t="n"/>
      <c r="T1347" s="7" t="n"/>
      <c r="U1347" s="7" t="n"/>
      <c r="V1347" s="7" t="n">
        <v>1</v>
      </c>
      <c r="W1347" s="7" t="inlineStr">
        <is>
          <t>Growing in Accurate Knowledge of the Truth</t>
        </is>
      </c>
      <c r="X1347" s="9" t="inlineStr">
        <is>
          <t>open</t>
        </is>
      </c>
      <c r="Y1347" s="7" t="n"/>
      <c r="Z1347" s="7" t="inlineStr">
        <is>
          <t>https://wol.jw.org/en/wol/d/r1/lp-e/1101993012</t>
        </is>
      </c>
      <c r="AA1347" s="7" t="n">
        <v>0</v>
      </c>
      <c r="AB1347" s="7" t="n"/>
      <c r="AC1347" s="7" t="n">
        <v>0</v>
      </c>
      <c r="AD1347" s="7" t="n"/>
      <c r="AE1347" s="7" t="n"/>
      <c r="AF1347" s="7" t="n"/>
      <c r="AG1347" s="7" t="n"/>
      <c r="AH1347" s="7" t="n"/>
      <c r="AI1347" s="7" t="n"/>
      <c r="AJ1347" s="7" t="n"/>
      <c r="AK1347" s="7" t="n"/>
      <c r="AL1347" s="7" t="n"/>
      <c r="AM1347" s="7" t="n">
        <v>1943</v>
      </c>
      <c r="AN1347" s="10" t="n"/>
      <c r="AO1347" s="10" t="n"/>
      <c r="AP1347" s="10" t="n"/>
      <c r="AQ1347" s="10" t="n"/>
    </row>
    <row r="1348">
      <c r="A1348" s="7" t="inlineStr">
        <is>
          <t>b8-0246</t>
        </is>
      </c>
      <c r="B1348" s="7" t="inlineStr">
        <is>
          <t>Point</t>
        </is>
      </c>
      <c r="C1348" s="7" t="n"/>
      <c r="D1348" s="7" t="inlineStr">
        <is>
          <t>February 1, 1943</t>
        </is>
      </c>
      <c r="E1348" s="7" t="inlineStr">
        <is>
          <t>பிப்ரவரி 1, 1943</t>
        </is>
      </c>
      <c r="F1348" s="7" t="inlineStr">
        <is>
          <t>1943 CE</t>
        </is>
      </c>
      <c r="G1348" s="7" t="inlineStr">
        <is>
          <t>Exact</t>
        </is>
      </c>
      <c r="H1348" s="7" t="n"/>
      <c r="I1348" s="7" t="n"/>
      <c r="J1348" s="7" t="n"/>
      <c r="K1348" s="2" t="inlineStr">
        <is>
          <t>First class of the Watchtower Bible School of Gilead begins</t>
        </is>
      </c>
      <c r="L1348" s="2" t="n"/>
      <c r="M1348" s="7" t="inlineStr">
        <is>
          <t>The Watchtower Bible School of Gilead opens at South Lansing, New York, with a first class of 100 students to train missionaries for foreign service.</t>
        </is>
      </c>
      <c r="N1348" s="7" t="inlineStr">
        <is>
          <t>இந்தப் பள்ளி பிப்ரவரி 1, 1943, திங்கள்கிழமை அன்று ஆரம்பமானது.</t>
        </is>
      </c>
      <c r="O1348" s="13" t="inlineStr">
        <is>
          <t>Jehovah's Witnesses</t>
        </is>
      </c>
      <c r="P1348" s="7" t="inlineStr">
        <is>
          <t>jw.education</t>
        </is>
      </c>
      <c r="Q1348" s="7" t="inlineStr">
        <is>
          <t>school</t>
        </is>
      </c>
      <c r="R1348" s="7" t="n"/>
      <c r="S1348" s="7" t="inlineStr">
        <is>
          <t>South Lansing, New York</t>
        </is>
      </c>
      <c r="T1348" s="7" t="n"/>
      <c r="U1348" s="7" t="n"/>
      <c r="V1348" s="7" t="n">
        <v>5</v>
      </c>
      <c r="W1348" s="7" t="inlineStr">
        <is>
          <t>Noteworthy Events in the Modern-day History of Jehovah’s Witnesses</t>
        </is>
      </c>
      <c r="X1348" s="9" t="inlineStr">
        <is>
          <t>open</t>
        </is>
      </c>
      <c r="Y1348" s="7" t="n"/>
      <c r="Z1348" s="7" t="inlineStr">
        <is>
          <t>https://wol.jw.org/en/wol/d/r1/lp-e/1101993046
https://wol.jw.org/en/wol/d/r1/lp-e/1102014256
https://wol.jw.org/en/wol/d/r1/lp-e/1101993009
https://wol.jw.org/en/wol/d/r1/lp-e/1102000101
https://wol.jw.org/en/wol/d/r1/lp-e/301975006</t>
        </is>
      </c>
      <c r="AA1348" s="7" t="n">
        <v>0</v>
      </c>
      <c r="AB1348" s="7" t="n"/>
      <c r="AC1348" s="7" t="n">
        <v>0</v>
      </c>
      <c r="AD1348" s="7" t="n"/>
      <c r="AE1348" s="7" t="n"/>
      <c r="AF1348" s="7" t="n"/>
      <c r="AG1348" s="7" t="n"/>
      <c r="AH1348" s="7" t="n"/>
      <c r="AI1348" s="7" t="inlineStr">
        <is>
          <t>Span endpoint – keep</t>
        </is>
      </c>
      <c r="AJ1348" s="7" t="inlineStr">
        <is>
          <t>start of Watchtower Bible School of Gilead (b12-0088)</t>
        </is>
      </c>
      <c r="AK1348" s="7" t="n"/>
      <c r="AL1348" s="7" t="n"/>
      <c r="AM1348" s="7" t="n">
        <v>1943.0833</v>
      </c>
      <c r="AN1348" s="10" t="n"/>
      <c r="AO1348" s="10" t="n"/>
      <c r="AP1348" s="10" t="n"/>
      <c r="AQ1348" s="10" t="n"/>
    </row>
    <row r="1349">
      <c r="A1349" s="7" t="inlineStr">
        <is>
          <t>b12-0088</t>
        </is>
      </c>
      <c r="B1349" s="11" t="inlineStr">
        <is>
          <t>Span</t>
        </is>
      </c>
      <c r="C1349" s="7" t="inlineStr">
        <is>
          <t>school</t>
        </is>
      </c>
      <c r="D1349" s="7" t="inlineStr">
        <is>
          <t>February 1, 1943–</t>
        </is>
      </c>
      <c r="E1349" s="7" t="n"/>
      <c r="F1349" s="7" t="inlineStr">
        <is>
          <t>1943 CE</t>
        </is>
      </c>
      <c r="G1349" s="7" t="inlineStr">
        <is>
          <t>Exact</t>
        </is>
      </c>
      <c r="H1349" s="7" t="n"/>
      <c r="I1349" s="7" t="inlineStr">
        <is>
          <t>Ongoing</t>
        </is>
      </c>
      <c r="J1349" s="7" t="n"/>
      <c r="K1349" s="2" t="inlineStr">
        <is>
          <t>Watchtower Bible School of Gilead</t>
        </is>
      </c>
      <c r="L1349" s="2" t="n"/>
      <c r="M1349" s="7" t="inlineStr">
        <is>
          <t>Gilead School began in 1943 to train missionaries; since October 2011 it enrolls those already in special full-time service. Its graduates have served in over 170 lands.</t>
        </is>
      </c>
      <c r="N1349" s="7" t="inlineStr">
        <is>
          <t>இந்தப் பள்ளி பிப்ரவரி 1, 1943, திங்கள்கிழமை அன்று ஆரம்பமானது.</t>
        </is>
      </c>
      <c r="O1349" s="13" t="inlineStr">
        <is>
          <t>Jehovah's Witnesses</t>
        </is>
      </c>
      <c r="P1349" s="7" t="inlineStr">
        <is>
          <t>jw.education</t>
        </is>
      </c>
      <c r="Q1349" s="7" t="n"/>
      <c r="R1349" s="7" t="n"/>
      <c r="S1349" s="7" t="inlineStr">
        <is>
          <t>South Lansing, New York; Patterson, New York</t>
        </is>
      </c>
      <c r="T1349" s="7" t="n"/>
      <c r="U1349" s="7" t="n"/>
      <c r="V1349" s="7" t="n">
        <v>2</v>
      </c>
      <c r="W1349" s="7" t="inlineStr">
        <is>
          <t>Training Ministers of the Kingdom</t>
        </is>
      </c>
      <c r="X1349" s="9" t="inlineStr">
        <is>
          <t>open</t>
        </is>
      </c>
      <c r="Y1349" s="9" t="inlineStr">
        <is>
          <t>open</t>
        </is>
      </c>
      <c r="Z1349" s="7" t="inlineStr">
        <is>
          <t>https://wol.jw.org/en/wol/d/r1/lp-e/1102014256
https://wol.jw.org/en/wol/d/r1/lp-e/1102014256</t>
        </is>
      </c>
      <c r="AA1349" s="7" t="n">
        <v>0</v>
      </c>
      <c r="AB1349" s="7" t="n"/>
      <c r="AC1349" s="7" t="n">
        <v>0</v>
      </c>
      <c r="AD1349" s="7" t="n"/>
      <c r="AE1349" s="7" t="n"/>
      <c r="AF1349" s="7" t="inlineStr">
        <is>
          <t>b8-0246</t>
        </is>
      </c>
      <c r="AG1349" s="7" t="n"/>
      <c r="AH1349" s="7" t="n"/>
      <c r="AI1349" s="7" t="n"/>
      <c r="AJ1349" s="7" t="n"/>
      <c r="AK1349" s="7" t="n"/>
      <c r="AL1349" s="7" t="n"/>
      <c r="AM1349" s="7" t="n">
        <v>1943.0833</v>
      </c>
      <c r="AN1349" s="10" t="n"/>
      <c r="AO1349" s="10" t="n"/>
      <c r="AP1349" s="10" t="n"/>
      <c r="AQ1349" s="10" t="n"/>
    </row>
    <row r="1350">
      <c r="A1350" s="7" t="inlineStr">
        <is>
          <t>b8-0247</t>
        </is>
      </c>
      <c r="B1350" s="11" t="inlineStr">
        <is>
          <t>Span</t>
        </is>
      </c>
      <c r="C1350" s="7" t="inlineStr">
        <is>
          <t>school</t>
        </is>
      </c>
      <c r="D1350" s="7" t="inlineStr">
        <is>
          <t>April 17-18, 1943</t>
        </is>
      </c>
      <c r="E1350" s="7" t="inlineStr">
        <is>
          <t>ஏப்ரல் 17-18, 1943</t>
        </is>
      </c>
      <c r="F1350" s="7" t="inlineStr">
        <is>
          <t>1943 CE</t>
        </is>
      </c>
      <c r="G1350" s="7" t="inlineStr">
        <is>
          <t>Exact</t>
        </is>
      </c>
      <c r="H1350" s="7" t="inlineStr">
        <is>
          <t>1943 CE</t>
        </is>
      </c>
      <c r="I1350" s="7" t="inlineStr">
        <is>
          <t>Exact</t>
        </is>
      </c>
      <c r="J1350" s="7" t="inlineStr">
        <is>
          <t>2 days</t>
        </is>
      </c>
      <c r="K1350" s="2" t="inlineStr">
        <is>
          <t>Course in Theocratic Ministry introduced to congregations</t>
        </is>
      </c>
      <c r="L1350" s="2" t="n"/>
      <c r="M1350" s="7" t="inlineStr">
        <is>
          <t>At assemblies held April 17-18, 1943, the booklet Course in Theocratic Ministry is released, introducing the Theocratic Ministry School in congregations worldwide.</t>
        </is>
      </c>
      <c r="N1350" s="7" t="inlineStr">
        <is>
          <t>அதனால், 1943-லிருந்து தேவராஜ்ய ஊழியத்திற்கான பயிற்சி (ஆங்கிலம்) என்ற சிறுபுத்தகம் உலகம் முழுவதும் இருந்த சபைகளுக்குக் கிடைக்க ஆரம்பித்தது.</t>
        </is>
      </c>
      <c r="O1350" s="13" t="inlineStr">
        <is>
          <t>Jehovah's Witnesses</t>
        </is>
      </c>
      <c r="P1350" s="7" t="inlineStr">
        <is>
          <t>jw.education</t>
        </is>
      </c>
      <c r="Q1350" s="7" t="inlineStr">
        <is>
          <t>school</t>
        </is>
      </c>
      <c r="R1350" s="7" t="n"/>
      <c r="S1350" s="7" t="n"/>
      <c r="T1350" s="7" t="n"/>
      <c r="U1350" s="7" t="n"/>
      <c r="V1350" s="7" t="n">
        <v>3</v>
      </c>
      <c r="W1350" s="7" t="inlineStr">
        <is>
          <t>Noteworthy Events in the Modern-day History of Jehovah’s Witnesses</t>
        </is>
      </c>
      <c r="X1350" s="9" t="inlineStr">
        <is>
          <t>open</t>
        </is>
      </c>
      <c r="Y1350" s="7" t="n"/>
      <c r="Z1350" s="7" t="inlineStr">
        <is>
          <t>https://wol.jw.org/en/wol/d/r1/lp-e/1101993046
https://wol.jw.org/en/wol/d/r1/lp-e/1101993009
https://wol.jw.org/en/wol/d/r1/lp-e/1102014255</t>
        </is>
      </c>
      <c r="AA1350" s="7" t="n">
        <v>0</v>
      </c>
      <c r="AB1350" s="7" t="n"/>
      <c r="AC1350" s="7" t="n">
        <v>0</v>
      </c>
      <c r="AD1350" s="7" t="n"/>
      <c r="AE1350" s="7" t="n"/>
      <c r="AF1350" s="7" t="n"/>
      <c r="AG1350" s="7" t="n"/>
      <c r="AH1350" s="7" t="n"/>
      <c r="AI1350" s="7" t="n"/>
      <c r="AJ1350" s="7" t="n"/>
      <c r="AK1350" s="7" t="n"/>
      <c r="AL1350" s="7" t="n"/>
      <c r="AM1350" s="7" t="n">
        <v>1943.29</v>
      </c>
      <c r="AN1350" s="10" t="n"/>
      <c r="AO1350" s="10" t="n"/>
      <c r="AP1350" s="10" t="n"/>
      <c r="AQ1350" s="10" t="n"/>
    </row>
    <row r="1351">
      <c r="A1351" s="7" t="inlineStr">
        <is>
          <t>b12-0089</t>
        </is>
      </c>
      <c r="B1351" s="11" t="inlineStr">
        <is>
          <t>Span</t>
        </is>
      </c>
      <c r="C1351" s="7" t="inlineStr">
        <is>
          <t>school</t>
        </is>
      </c>
      <c r="D1351" s="7" t="inlineStr">
        <is>
          <t>1943–2015</t>
        </is>
      </c>
      <c r="E1351" s="7" t="n"/>
      <c r="F1351" s="7" t="inlineStr">
        <is>
          <t>1943 CE</t>
        </is>
      </c>
      <c r="G1351" s="7" t="inlineStr">
        <is>
          <t>Exact</t>
        </is>
      </c>
      <c r="H1351" s="7" t="inlineStr">
        <is>
          <t>2015 CE</t>
        </is>
      </c>
      <c r="I1351" s="7" t="inlineStr">
        <is>
          <t>Exact</t>
        </is>
      </c>
      <c r="J1351" s="7" t="n"/>
      <c r="K1351" s="2" t="inlineStr">
        <is>
          <t>Theocratic Ministry School in congregations</t>
        </is>
      </c>
      <c r="L1351" s="2" t="n"/>
      <c r="M1351" s="7" t="inlineStr">
        <is>
          <t>The Course in Theocratic Ministry, later called the Theocratic Ministry School, trained congregation members to teach and speak; in 2015 it was announced that it would be replaced by the Our Christian Life and Ministry meeting.</t>
        </is>
      </c>
      <c r="N1351" s="7" t="n"/>
      <c r="O1351" s="13" t="inlineStr">
        <is>
          <t>Jehovah's Witnesses</t>
        </is>
      </c>
      <c r="P1351" s="7" t="inlineStr">
        <is>
          <t>jw.education</t>
        </is>
      </c>
      <c r="Q1351" s="7" t="n"/>
      <c r="R1351" s="7" t="n"/>
      <c r="S1351" s="7" t="n"/>
      <c r="T1351" s="7" t="n"/>
      <c r="U1351" s="7" t="n"/>
      <c r="V1351" s="7" t="n">
        <v>3</v>
      </c>
      <c r="W1351" s="7" t="inlineStr">
        <is>
          <t>Noteworthy Events in the Modern-day History of Jehovah’s Witnesses</t>
        </is>
      </c>
      <c r="X1351" s="9" t="inlineStr">
        <is>
          <t>open</t>
        </is>
      </c>
      <c r="Y1351" s="7" t="n"/>
      <c r="Z1351" s="7" t="inlineStr">
        <is>
          <t>https://wol.jw.org/en/wol/d/r1/lp-e/1101993046
https://wol.jw.org/en/wol/d/r1/lp-e/1102014256
https://wol.jw.org/en/wol/d/r1/lp-e/302017039</t>
        </is>
      </c>
      <c r="AA1351" s="7" t="n">
        <v>0</v>
      </c>
      <c r="AB1351" s="7" t="n"/>
      <c r="AC1351" s="7" t="n">
        <v>0</v>
      </c>
      <c r="AD1351" s="7" t="n"/>
      <c r="AE1351" s="7" t="n"/>
      <c r="AF1351" s="7" t="inlineStr">
        <is>
          <t>b8-0247</t>
        </is>
      </c>
      <c r="AG1351" s="7" t="n"/>
      <c r="AH1351" s="7" t="n"/>
      <c r="AI1351" s="7" t="n"/>
      <c r="AJ1351" s="7" t="n"/>
      <c r="AK1351" s="7" t="n"/>
      <c r="AL1351" s="7" t="inlineStr">
        <is>
          <t>End = announcement at the annual meeting of October 3, 2015 (b9-0344); jw.org does not state the date of the last school session.</t>
        </is>
      </c>
      <c r="AM1351" s="7" t="n">
        <v>1943.29</v>
      </c>
      <c r="AN1351" s="10" t="n"/>
      <c r="AO1351" s="10" t="n"/>
      <c r="AP1351" s="10" t="n"/>
      <c r="AQ1351" s="10" t="n"/>
    </row>
    <row r="1352">
      <c r="A1352" s="7" t="inlineStr">
        <is>
          <t>b8-0248</t>
        </is>
      </c>
      <c r="B1352" s="7" t="inlineStr">
        <is>
          <t>Point</t>
        </is>
      </c>
      <c r="C1352" s="7" t="n"/>
      <c r="D1352" s="7" t="inlineStr">
        <is>
          <t>May 3, 1943</t>
        </is>
      </c>
      <c r="E1352" s="7" t="inlineStr">
        <is>
          <t>மே 3, 1943</t>
        </is>
      </c>
      <c r="F1352" s="7" t="inlineStr">
        <is>
          <t>1943 CE</t>
        </is>
      </c>
      <c r="G1352" s="7" t="inlineStr">
        <is>
          <t>Exact</t>
        </is>
      </c>
      <c r="H1352" s="7" t="n"/>
      <c r="I1352" s="7" t="n"/>
      <c r="J1352" s="7" t="n"/>
      <c r="K1352" s="2" t="inlineStr">
        <is>
          <t>Murdock v. Pennsylvania: Witnesses are ministers, not salesmen</t>
        </is>
      </c>
      <c r="L1352" s="2" t="n"/>
      <c r="M1352" s="7" t="inlineStr">
        <is>
          <t>The U.S. Supreme Court invalidates a license requirement for distributing religious literature (Murdock case, arising from Jeannette, Pennsylvania, arrests of February 25, 1940); that day Witnesses win 12 of 13 cases.</t>
        </is>
      </c>
      <c r="N1352" s="7" t="inlineStr">
        <is>
          <t>மே 3, 1943-ல் உச்ச நீதிமன்றம் யெகோவாவின் சாட்சிகளுக்குச் சாதகமாகத் தீர்ப்பளித்தது.</t>
        </is>
      </c>
      <c r="O1352" s="13" t="inlineStr">
        <is>
          <t>Jehovah's Witnesses</t>
        </is>
      </c>
      <c r="P1352" s="7" t="inlineStr">
        <is>
          <t>jw.legal</t>
        </is>
      </c>
      <c r="Q1352" s="7" t="inlineStr">
        <is>
          <t>court_ruling</t>
        </is>
      </c>
      <c r="R1352" s="7" t="inlineStr">
        <is>
          <t>Robert Murdock, Jr.</t>
        </is>
      </c>
      <c r="S1352" s="7" t="inlineStr">
        <is>
          <t>Jeannette, Pennsylvania</t>
        </is>
      </c>
      <c r="T1352" s="7" t="n"/>
      <c r="U1352" s="7" t="n"/>
      <c r="V1352" s="7" t="n">
        <v>3</v>
      </c>
      <c r="W1352" s="7" t="inlineStr">
        <is>
          <t>Kingdom Preachers Take Their Case to Court</t>
        </is>
      </c>
      <c r="X1352" s="9" t="inlineStr">
        <is>
          <t>open</t>
        </is>
      </c>
      <c r="Y1352" s="9" t="inlineStr">
        <is>
          <t>open</t>
        </is>
      </c>
      <c r="Z1352" s="7" t="inlineStr">
        <is>
          <t>https://wol.jw.org/en/wol/d/r1/lp-e/1102014252
https://www.jw.org/en/news/region/united-states/historic-milestones-united-states/
https://wol.jw.org/en/wol/d/r1/lp-e/1101993041</t>
        </is>
      </c>
      <c r="AA1352" s="7" t="n">
        <v>0</v>
      </c>
      <c r="AB1352" s="7" t="n"/>
      <c r="AC1352" s="7" t="n">
        <v>0</v>
      </c>
      <c r="AD1352" s="7" t="n"/>
      <c r="AE1352" s="7" t="n"/>
      <c r="AF1352" s="7" t="n"/>
      <c r="AG1352" s="7" t="n"/>
      <c r="AH1352" s="7" t="n"/>
      <c r="AI1352" s="7" t="n"/>
      <c r="AJ1352" s="7" t="n"/>
      <c r="AK1352" s="7" t="n"/>
      <c r="AL1352" s="7" t="n"/>
      <c r="AM1352" s="7" t="n">
        <v>1943.3383</v>
      </c>
      <c r="AN1352" s="10" t="n"/>
      <c r="AO1352" s="10" t="n"/>
      <c r="AP1352" s="10" t="n"/>
      <c r="AQ1352" s="10" t="n"/>
    </row>
    <row r="1353">
      <c r="A1353" s="7" t="inlineStr">
        <is>
          <t>b8-0249</t>
        </is>
      </c>
      <c r="B1353" s="7" t="inlineStr">
        <is>
          <t>Point</t>
        </is>
      </c>
      <c r="C1353" s="7" t="n"/>
      <c r="D1353" s="7" t="inlineStr">
        <is>
          <t>June 14, 1943</t>
        </is>
      </c>
      <c r="E1353" s="7" t="inlineStr">
        <is>
          <t>ஜூன் 14, 1943</t>
        </is>
      </c>
      <c r="F1353" s="7" t="inlineStr">
        <is>
          <t>1943 CE</t>
        </is>
      </c>
      <c r="G1353" s="7" t="inlineStr">
        <is>
          <t>Exact</t>
        </is>
      </c>
      <c r="H1353" s="7" t="n"/>
      <c r="I1353" s="7" t="n"/>
      <c r="J1353" s="7" t="n"/>
      <c r="K1353" s="2" t="inlineStr">
        <is>
          <t>Barnette decision overturns Gobitis on flag salute</t>
        </is>
      </c>
      <c r="L1353" s="2" t="n"/>
      <c r="M1353" s="7" t="inlineStr">
        <is>
          <t>On Flag Day, in West Virginia State Board of Education v. Barnette, the U.S. Supreme Court reverses Gobitis, holding compulsory flag salute unconstitutional; persecution in the U.S. then drastically decreases.</t>
        </is>
      </c>
      <c r="N1353" s="7" t="inlineStr">
        <is>
          <t>1943-ல் கொபைட்டஸ் வழக்கைப் போலவே இன்னொரு வழக்கை உச்ச நீதிமன்றம் விசாரித்தது.</t>
        </is>
      </c>
      <c r="O1353" s="13" t="inlineStr">
        <is>
          <t>Jehovah's Witnesses</t>
        </is>
      </c>
      <c r="P1353" s="7" t="inlineStr">
        <is>
          <t>jw.legal</t>
        </is>
      </c>
      <c r="Q1353" s="7" t="inlineStr">
        <is>
          <t>court_ruling</t>
        </is>
      </c>
      <c r="R1353" s="7" t="inlineStr">
        <is>
          <t>Marie Barnette; Gathie Barnette</t>
        </is>
      </c>
      <c r="S1353" s="7" t="n"/>
      <c r="T1353" s="7" t="n"/>
      <c r="U1353" s="7" t="n"/>
      <c r="V1353" s="7" t="n">
        <v>3</v>
      </c>
      <c r="W1353" s="7" t="inlineStr">
        <is>
          <t>‘Defending and Legally Establishing the Good News’</t>
        </is>
      </c>
      <c r="X1353" s="9" t="inlineStr">
        <is>
          <t>open</t>
        </is>
      </c>
      <c r="Y1353" s="7" t="n"/>
      <c r="Z1353" s="7" t="inlineStr">
        <is>
          <t>https://wol.jw.org/en/wol/d/r1/lp-e/1101993041
https://www.jw.org/en/news/region/united-states/historic-milestones-united-states/
https://wol.jw.org/en/wol/d/r1/lp-e/1102014253</t>
        </is>
      </c>
      <c r="AA1353" s="7" t="n">
        <v>0</v>
      </c>
      <c r="AB1353" s="7" t="n"/>
      <c r="AC1353" s="7" t="n">
        <v>0</v>
      </c>
      <c r="AD1353" s="7" t="n"/>
      <c r="AE1353" s="7" t="n"/>
      <c r="AF1353" s="7" t="n"/>
      <c r="AG1353" s="7" t="n"/>
      <c r="AH1353" s="7" t="n"/>
      <c r="AI1353" s="7" t="n"/>
      <c r="AJ1353" s="7" t="n"/>
      <c r="AK1353" s="7" t="n"/>
      <c r="AL1353" s="7" t="n"/>
      <c r="AM1353" s="7" t="n">
        <v>1943.4492</v>
      </c>
      <c r="AN1353" s="10" t="n"/>
      <c r="AO1353" s="10" t="n"/>
      <c r="AP1353" s="10" t="n"/>
      <c r="AQ1353" s="10" t="n"/>
    </row>
    <row r="1354">
      <c r="A1354" s="7" t="inlineStr">
        <is>
          <t>b8-0250</t>
        </is>
      </c>
      <c r="B1354" s="7" t="inlineStr">
        <is>
          <t>Point</t>
        </is>
      </c>
      <c r="C1354" s="7" t="n"/>
      <c r="D1354" s="7" t="inlineStr">
        <is>
          <t>June 14, 1943</t>
        </is>
      </c>
      <c r="E1354" s="7" t="inlineStr">
        <is>
          <t>ஜூன் 14, 1943</t>
        </is>
      </c>
      <c r="F1354" s="7" t="inlineStr">
        <is>
          <t>1943 CE</t>
        </is>
      </c>
      <c r="G1354" s="7" t="inlineStr">
        <is>
          <t>Exact</t>
        </is>
      </c>
      <c r="H1354" s="7" t="n"/>
      <c r="I1354" s="7" t="n"/>
      <c r="J1354" s="7" t="n"/>
      <c r="K1354" s="2" t="inlineStr">
        <is>
          <t>High Court of Australia lifts ban on Witnesses</t>
        </is>
      </c>
      <c r="L1354" s="2" t="n"/>
      <c r="M1354" s="7" t="inlineStr">
        <is>
          <t>The High Court of Australia rules that the wartime ban on Jehovah’s Witnesses is not consistent with Australian law and reverses it.</t>
        </is>
      </c>
      <c r="N1354" s="7" t="inlineStr">
        <is>
          <t>அங்கே நம் வேலைகள் பல வருஷங்களுக்கு ரகசியமாகச் செய்யப்பட்டு வந்தாலும், ஜூன் 14, 1943-ல் உயர் நீதிமன்றம் அந்தத் தடையை நீக்கியபோது யெகோவாவின் சாட்சிகளுக்கு விடிவு காலம் பிறந்தது.</t>
        </is>
      </c>
      <c r="O1354" s="13" t="inlineStr">
        <is>
          <t>Jehovah's Witnesses</t>
        </is>
      </c>
      <c r="P1354" s="7" t="inlineStr">
        <is>
          <t>jw.legal</t>
        </is>
      </c>
      <c r="Q1354" s="7" t="inlineStr">
        <is>
          <t>court_ruling</t>
        </is>
      </c>
      <c r="R1354" s="7" t="n"/>
      <c r="S1354" s="7" t="inlineStr">
        <is>
          <t>Australia</t>
        </is>
      </c>
      <c r="T1354" s="7" t="n"/>
      <c r="U1354" s="7" t="n"/>
      <c r="V1354" s="7" t="n">
        <v>3</v>
      </c>
      <c r="W1354" s="7" t="inlineStr">
        <is>
          <t>Noteworthy Events in the Modern-day History of Jehovah’s Witnesses</t>
        </is>
      </c>
      <c r="X1354" s="9" t="inlineStr">
        <is>
          <t>open</t>
        </is>
      </c>
      <c r="Y1354" s="7" t="n"/>
      <c r="Z1354" s="7" t="inlineStr">
        <is>
          <t>https://wol.jw.org/en/wol/d/r1/lp-e/1101993046
https://wol.jw.org/en/wol/d/r1/lp-e/1102014254
https://wol.jw.org/en/wol/d/r1/lp-e/1101993040</t>
        </is>
      </c>
      <c r="AA1354" s="7" t="n">
        <v>0</v>
      </c>
      <c r="AB1354" s="7" t="n"/>
      <c r="AC1354" s="7" t="n">
        <v>0</v>
      </c>
      <c r="AD1354" s="7" t="n"/>
      <c r="AE1354" s="7" t="n"/>
      <c r="AF1354" s="7" t="n"/>
      <c r="AG1354" s="7" t="n"/>
      <c r="AH1354" s="7" t="n"/>
      <c r="AI1354" s="7" t="inlineStr">
        <is>
          <t>Span endpoint – keep</t>
        </is>
      </c>
      <c r="AJ1354" s="7" t="inlineStr">
        <is>
          <t>end of Ban on the Watch Tower Society in Australia (b12-0086)</t>
        </is>
      </c>
      <c r="AK1354" s="7" t="n"/>
      <c r="AL1354" s="7" t="n"/>
      <c r="AM1354" s="7" t="n">
        <v>1943.4492</v>
      </c>
      <c r="AN1354" s="10" t="n"/>
      <c r="AO1354" s="10" t="n"/>
      <c r="AP1354" s="10" t="n"/>
      <c r="AQ1354" s="10" t="n"/>
    </row>
    <row r="1355">
      <c r="A1355" s="7" t="inlineStr">
        <is>
          <t>b8-0251</t>
        </is>
      </c>
      <c r="B1355" s="7" t="inlineStr">
        <is>
          <t>Point</t>
        </is>
      </c>
      <c r="C1355" s="7" t="n"/>
      <c r="D1355" s="7" t="inlineStr">
        <is>
          <t>1944</t>
        </is>
      </c>
      <c r="E1355" s="7" t="n"/>
      <c r="F1355" s="7" t="inlineStr">
        <is>
          <t>1944 CE</t>
        </is>
      </c>
      <c r="G1355" s="7" t="inlineStr">
        <is>
          <t>Exact</t>
        </is>
      </c>
      <c r="H1355" s="7" t="n"/>
      <c r="I1355" s="7" t="n"/>
      <c r="J1355" s="7" t="n"/>
      <c r="K1355" s="2" t="inlineStr">
        <is>
          <t>Society obtains rights to print the American Standard Version</t>
        </is>
      </c>
      <c r="L1355" s="2" t="n"/>
      <c r="M1355" s="7" t="inlineStr">
        <is>
          <t>After months of negotiation, the Watch Tower Society purchases the right to make plates of the American Standard Version (1901), which uses Jehovah over 6,870 times, and prints a Watchtower edition.</t>
        </is>
      </c>
      <c r="N1355" s="7" t="n"/>
      <c r="O1355" s="13" t="inlineStr">
        <is>
          <t>Jehovah's Witnesses</t>
        </is>
      </c>
      <c r="P1355" s="7" t="inlineStr">
        <is>
          <t>jw.publication</t>
        </is>
      </c>
      <c r="Q1355" s="7" t="inlineStr">
        <is>
          <t>bible_release</t>
        </is>
      </c>
      <c r="R1355" s="7" t="n"/>
      <c r="S1355" s="7" t="n"/>
      <c r="T1355" s="7" t="n"/>
      <c r="U1355" s="7" t="n"/>
      <c r="V1355" s="7" t="n">
        <v>1</v>
      </c>
      <c r="W1355" s="7" t="inlineStr">
        <is>
          <t>Printing and Distributing God’s Own Sacred Word</t>
        </is>
      </c>
      <c r="X1355" s="9" t="inlineStr">
        <is>
          <t>open</t>
        </is>
      </c>
      <c r="Y1355" s="7" t="n"/>
      <c r="Z1355" s="7" t="inlineStr">
        <is>
          <t>https://wol.jw.org/en/wol/d/r1/lp-e/1101993037</t>
        </is>
      </c>
      <c r="AA1355" s="7" t="n">
        <v>0</v>
      </c>
      <c r="AB1355" s="7" t="n"/>
      <c r="AC1355" s="7" t="n">
        <v>0</v>
      </c>
      <c r="AD1355" s="7" t="n"/>
      <c r="AE1355" s="7" t="n"/>
      <c r="AF1355" s="7" t="n"/>
      <c r="AG1355" s="7" t="n"/>
      <c r="AH1355" s="7" t="n"/>
      <c r="AI1355" s="7" t="n"/>
      <c r="AJ1355" s="7" t="n"/>
      <c r="AK1355" s="7" t="n"/>
      <c r="AL1355" s="7" t="n"/>
      <c r="AM1355" s="7" t="n">
        <v>1944</v>
      </c>
      <c r="AN1355" s="10" t="n"/>
      <c r="AO1355" s="10" t="n"/>
      <c r="AP1355" s="10" t="n"/>
      <c r="AQ1355" s="10" t="n"/>
    </row>
    <row r="1356">
      <c r="A1356" s="7" t="inlineStr">
        <is>
          <t>b8-0252</t>
        </is>
      </c>
      <c r="B1356" s="7" t="inlineStr">
        <is>
          <t>Point</t>
        </is>
      </c>
      <c r="C1356" s="7" t="n"/>
      <c r="D1356" s="7" t="inlineStr">
        <is>
          <t>1944</t>
        </is>
      </c>
      <c r="E1356" s="7" t="n"/>
      <c r="F1356" s="7" t="inlineStr">
        <is>
          <t>1944 CE</t>
        </is>
      </c>
      <c r="G1356" s="7" t="inlineStr">
        <is>
          <t>Exact</t>
        </is>
      </c>
      <c r="H1356" s="7" t="n"/>
      <c r="I1356" s="7" t="n"/>
      <c r="J1356" s="7" t="n"/>
      <c r="K1356" s="2" t="inlineStr">
        <is>
          <t>Kingdom Service Song Book released; congregation singing revived</t>
        </is>
      </c>
      <c r="L1356" s="2" t="n"/>
      <c r="M1356" s="7" t="inlineStr">
        <is>
          <t>The Kingdom Service Song Book is published and singing is revived as a feature of congregation meetings and conventions.</t>
        </is>
      </c>
      <c r="N1356" s="7" t="n"/>
      <c r="O1356" s="13" t="inlineStr">
        <is>
          <t>Jehovah's Witnesses</t>
        </is>
      </c>
      <c r="P1356" s="7" t="inlineStr">
        <is>
          <t>jw.publication</t>
        </is>
      </c>
      <c r="Q1356" s="7" t="inlineStr">
        <is>
          <t>release</t>
        </is>
      </c>
      <c r="R1356" s="7" t="n"/>
      <c r="S1356" s="7" t="n"/>
      <c r="T1356" s="7" t="n"/>
      <c r="U1356" s="7" t="n"/>
      <c r="V1356" s="7" t="n">
        <v>2</v>
      </c>
      <c r="W1356" s="7" t="inlineStr">
        <is>
          <t>Meeting Together for Worship</t>
        </is>
      </c>
      <c r="X1356" s="9" t="inlineStr">
        <is>
          <t>open</t>
        </is>
      </c>
      <c r="Y1356" s="9" t="inlineStr">
        <is>
          <t>open</t>
        </is>
      </c>
      <c r="Z1356" s="7" t="inlineStr">
        <is>
          <t>https://wol.jw.org/en/wol/d/r1/lp-e/1102014255
https://wol.jw.org/en/wol/d/r1/lp-e/1101993019</t>
        </is>
      </c>
      <c r="AA1356" s="7" t="n">
        <v>1</v>
      </c>
      <c r="AB1356" s="9" t="inlineStr">
        <is>
          <t>open</t>
        </is>
      </c>
      <c r="AC1356" s="7" t="n">
        <v>0</v>
      </c>
      <c r="AD1356" s="7" t="n"/>
      <c r="AE1356" s="7" t="n"/>
      <c r="AF1356" s="7" t="n"/>
      <c r="AG1356" s="7" t="n"/>
      <c r="AH1356" s="7" t="n"/>
      <c r="AI1356" s="7" t="n"/>
      <c r="AJ1356" s="7" t="n"/>
      <c r="AK1356" s="7" t="n"/>
      <c r="AL1356" s="7" t="n"/>
      <c r="AM1356" s="7" t="n">
        <v>1944</v>
      </c>
      <c r="AN1356" s="10" t="n"/>
      <c r="AO1356" s="10" t="n"/>
      <c r="AP1356" s="10" t="n"/>
      <c r="AQ1356" s="10" t="n"/>
    </row>
    <row r="1357">
      <c r="A1357" s="7" t="inlineStr">
        <is>
          <t>b8-0253</t>
        </is>
      </c>
      <c r="B1357" s="7" t="inlineStr">
        <is>
          <t>Point</t>
        </is>
      </c>
      <c r="C1357" s="7" t="n"/>
      <c r="D1357" s="7" t="inlineStr">
        <is>
          <t>1944</t>
        </is>
      </c>
      <c r="E1357" s="7" t="inlineStr">
        <is>
          <t>1944</t>
        </is>
      </c>
      <c r="F1357" s="7" t="inlineStr">
        <is>
          <t>1944 CE</t>
        </is>
      </c>
      <c r="G1357" s="7" t="inlineStr">
        <is>
          <t>Exact</t>
        </is>
      </c>
      <c r="H1357" s="7" t="n"/>
      <c r="I1357" s="7" t="n"/>
      <c r="J1357" s="7" t="n"/>
      <c r="K1357" s="2" t="inlineStr">
        <is>
          <t>Watchtower indicates transfusion is a way of eating blood</t>
        </is>
      </c>
      <c r="L1357" s="2" t="n"/>
      <c r="M1357" s="7" t="inlineStr">
        <is>
          <t>Early in 1944 The Watchtower indicates that receiving a blood transfusion is really another way of eating blood.</t>
        </is>
      </c>
      <c r="N1357" s="7" t="inlineStr">
        <is>
          <t>1944-ன் ஆரம்பத்தில், இரத்தம் ஏற்றிக்கொள்வது இரத்தத்தைச் சாப்பிடுவதற்குச் சமம் என்று காவற்கோபுரம் சொன்னது.</t>
        </is>
      </c>
      <c r="O1357" s="13" t="inlineStr">
        <is>
          <t>Jehovah's Witnesses</t>
        </is>
      </c>
      <c r="P1357" s="7" t="inlineStr">
        <is>
          <t>jw.doctrine</t>
        </is>
      </c>
      <c r="Q1357" s="7" t="inlineStr">
        <is>
          <t>teaching</t>
        </is>
      </c>
      <c r="R1357" s="7" t="n"/>
      <c r="S1357" s="7" t="n"/>
      <c r="T1357" s="7" t="inlineStr">
        <is>
          <t>Acts 15:28, 29</t>
        </is>
      </c>
      <c r="U1357" s="7" t="n"/>
      <c r="V1357" s="7" t="n">
        <v>1</v>
      </c>
      <c r="W1357" s="7" t="inlineStr">
        <is>
          <t>Moral Refinements—Reflecting God’s Holiness</t>
        </is>
      </c>
      <c r="X1357" s="9" t="inlineStr">
        <is>
          <t>open</t>
        </is>
      </c>
      <c r="Y1357" s="9" t="inlineStr">
        <is>
          <t>open</t>
        </is>
      </c>
      <c r="Z1357" s="7" t="inlineStr">
        <is>
          <t>https://wol.jw.org/en/wol/d/r1/lp-e/1102014250</t>
        </is>
      </c>
      <c r="AA1357" s="7" t="n">
        <v>0</v>
      </c>
      <c r="AB1357" s="7" t="n"/>
      <c r="AC1357" s="7" t="n">
        <v>0</v>
      </c>
      <c r="AD1357" s="7" t="n"/>
      <c r="AE1357" s="7" t="n"/>
      <c r="AF1357" s="7" t="n"/>
      <c r="AG1357" s="7" t="n"/>
      <c r="AH1357" s="7" t="n"/>
      <c r="AI1357" s="7" t="n"/>
      <c r="AJ1357" s="7" t="n"/>
      <c r="AK1357" s="7" t="n"/>
      <c r="AL1357" s="7" t="n"/>
      <c r="AM1357" s="7" t="n">
        <v>1944</v>
      </c>
      <c r="AN1357" s="10" t="n"/>
      <c r="AO1357" s="10" t="n"/>
      <c r="AP1357" s="10" t="n"/>
      <c r="AQ1357" s="10" t="n"/>
    </row>
    <row r="1358">
      <c r="A1358" s="7" t="inlineStr">
        <is>
          <t>b8-0254</t>
        </is>
      </c>
      <c r="B1358" s="7" t="inlineStr">
        <is>
          <t>Point</t>
        </is>
      </c>
      <c r="C1358" s="7" t="n"/>
      <c r="D1358" s="7" t="inlineStr">
        <is>
          <t>1944</t>
        </is>
      </c>
      <c r="E1358" s="7" t="n"/>
      <c r="F1358" s="7" t="inlineStr">
        <is>
          <t>1944 CE</t>
        </is>
      </c>
      <c r="G1358" s="7" t="inlineStr">
        <is>
          <t>Exact</t>
        </is>
      </c>
      <c r="H1358" s="7" t="n"/>
      <c r="I1358" s="7" t="n"/>
      <c r="J1358" s="7" t="n"/>
      <c r="K1358" s="2" t="inlineStr">
        <is>
          <t>Judicial matters to be handled by responsible brothers</t>
        </is>
      </c>
      <c r="L1358" s="2" t="n"/>
      <c r="M1358" s="7" t="inlineStr">
        <is>
          <t>The Watchtower shows that only responsible brothers should handle matters of serious wrongdoing in the congregation.</t>
        </is>
      </c>
      <c r="N1358" s="7" t="n"/>
      <c r="O1358" s="13" t="inlineStr">
        <is>
          <t>Jehovah's Witnesses</t>
        </is>
      </c>
      <c r="P1358" s="7" t="inlineStr">
        <is>
          <t>jw.organization</t>
        </is>
      </c>
      <c r="Q1358" s="7" t="inlineStr">
        <is>
          <t>arrangement</t>
        </is>
      </c>
      <c r="R1358" s="7" t="n"/>
      <c r="S1358" s="7" t="n"/>
      <c r="T1358" s="7" t="n"/>
      <c r="U1358" s="7" t="n"/>
      <c r="V1358" s="7" t="n">
        <v>1</v>
      </c>
      <c r="W1358" s="7" t="inlineStr">
        <is>
          <t>Moral Refinements—Reflecting God’s Holiness</t>
        </is>
      </c>
      <c r="X1358" s="9" t="inlineStr">
        <is>
          <t>open</t>
        </is>
      </c>
      <c r="Y1358" s="9" t="inlineStr">
        <is>
          <t>open</t>
        </is>
      </c>
      <c r="Z1358" s="7" t="inlineStr">
        <is>
          <t>https://wol.jw.org/en/wol/d/r1/lp-e/1102014250</t>
        </is>
      </c>
      <c r="AA1358" s="7" t="n">
        <v>0</v>
      </c>
      <c r="AB1358" s="7" t="n"/>
      <c r="AC1358" s="7" t="n">
        <v>0</v>
      </c>
      <c r="AD1358" s="7" t="n"/>
      <c r="AE1358" s="7" t="n"/>
      <c r="AF1358" s="7" t="n"/>
      <c r="AG1358" s="7" t="n"/>
      <c r="AH1358" s="7" t="n"/>
      <c r="AI1358" s="7" t="n"/>
      <c r="AJ1358" s="7" t="n"/>
      <c r="AK1358" s="7" t="n"/>
      <c r="AL1358" s="7" t="n"/>
      <c r="AM1358" s="7" t="n">
        <v>1944</v>
      </c>
      <c r="AN1358" s="10" t="n"/>
      <c r="AO1358" s="10" t="n"/>
      <c r="AP1358" s="10" t="n"/>
      <c r="AQ1358" s="10" t="n"/>
    </row>
    <row r="1359">
      <c r="A1359" s="7" t="inlineStr">
        <is>
          <t>b8-0255</t>
        </is>
      </c>
      <c r="B1359" s="7" t="inlineStr">
        <is>
          <t>Point</t>
        </is>
      </c>
      <c r="C1359" s="7" t="n"/>
      <c r="D1359" s="7" t="inlineStr">
        <is>
          <t>1944</t>
        </is>
      </c>
      <c r="E1359" s="7" t="n"/>
      <c r="F1359" s="7" t="inlineStr">
        <is>
          <t>1944 CE</t>
        </is>
      </c>
      <c r="G1359" s="7" t="inlineStr">
        <is>
          <t>Exact</t>
        </is>
      </c>
      <c r="H1359" s="7" t="n"/>
      <c r="I1359" s="7" t="n"/>
      <c r="J1359" s="7" t="n"/>
      <c r="K1359" s="2" t="inlineStr">
        <is>
          <t>Persecution of Witnesses in the U.S. abates</t>
        </is>
      </c>
      <c r="L1359" s="2" t="n"/>
      <c r="M1359" s="7" t="inlineStr">
        <is>
          <t>Mob persecution of Jehovah’s Witnesses in the United States abates.</t>
        </is>
      </c>
      <c r="N1359" s="7" t="n"/>
      <c r="O1359" s="13" t="inlineStr">
        <is>
          <t>Jehovah's Witnesses</t>
        </is>
      </c>
      <c r="P1359" s="7" t="inlineStr">
        <is>
          <t>jw.persecution</t>
        </is>
      </c>
      <c r="Q1359" s="7" t="inlineStr">
        <is>
          <t>trend</t>
        </is>
      </c>
      <c r="R1359" s="7" t="n"/>
      <c r="S1359" s="7" t="n"/>
      <c r="T1359" s="7" t="n"/>
      <c r="U1359" s="7" t="n"/>
      <c r="V1359" s="7" t="n">
        <v>2</v>
      </c>
      <c r="W1359" s="7" t="inlineStr">
        <is>
          <t>Historic Milestones in the United States</t>
        </is>
      </c>
      <c r="X1359" s="9" t="inlineStr">
        <is>
          <t>open</t>
        </is>
      </c>
      <c r="Y1359" s="7" t="n"/>
      <c r="Z1359" s="7" t="inlineStr">
        <is>
          <t>https://www.jw.org/en/news/region/united-states/historic-milestones-united-states/
https://wol.jw.org/en/wol/d/r1/lp-e/1102014253</t>
        </is>
      </c>
      <c r="AA1359" s="7" t="n">
        <v>0</v>
      </c>
      <c r="AB1359" s="7" t="n"/>
      <c r="AC1359" s="7" t="n">
        <v>0</v>
      </c>
      <c r="AD1359" s="7" t="n"/>
      <c r="AE1359" s="7" t="n"/>
      <c r="AF1359" s="7" t="n"/>
      <c r="AG1359" s="7" t="n"/>
      <c r="AH1359" s="7" t="n"/>
      <c r="AI1359" s="7" t="n"/>
      <c r="AJ1359" s="7" t="n"/>
      <c r="AK1359" s="7" t="n"/>
      <c r="AL1359" s="7" t="n"/>
      <c r="AM1359" s="7" t="n">
        <v>1944</v>
      </c>
      <c r="AN1359" s="10" t="n"/>
      <c r="AO1359" s="10" t="n"/>
      <c r="AP1359" s="10" t="n"/>
      <c r="AQ1359" s="10" t="n"/>
    </row>
    <row r="1360">
      <c r="A1360" s="7" t="inlineStr">
        <is>
          <t>b8-0256</t>
        </is>
      </c>
      <c r="B1360" s="7" t="inlineStr">
        <is>
          <t>Point</t>
        </is>
      </c>
      <c r="C1360" s="7" t="n"/>
      <c r="D1360" s="7" t="inlineStr">
        <is>
          <t>October 2, 1944</t>
        </is>
      </c>
      <c r="E1360" s="7" t="n"/>
      <c r="F1360" s="7" t="inlineStr">
        <is>
          <t>1944 CE</t>
        </is>
      </c>
      <c r="G1360" s="7" t="inlineStr">
        <is>
          <t>Exact</t>
        </is>
      </c>
      <c r="H1360" s="7" t="n"/>
      <c r="I1360" s="7" t="n"/>
      <c r="J1360" s="7" t="n"/>
      <c r="K1360" s="2" t="inlineStr">
        <is>
          <t>Shareholders vote to revise the Society’s charter</t>
        </is>
      </c>
      <c r="L1360" s="2" t="n"/>
      <c r="M1360" s="7" t="inlineStr">
        <is>
          <t>At the annual business meeting in Pittsburgh, the Society’s shareholder-voters unanimously vote to revise the charter into closer harmony with theocratic principles.</t>
        </is>
      </c>
      <c r="N1360" s="7" t="n"/>
      <c r="O1360" s="13" t="inlineStr">
        <is>
          <t>Jehovah's Witnesses</t>
        </is>
      </c>
      <c r="P1360" s="7" t="inlineStr">
        <is>
          <t>jw.legal</t>
        </is>
      </c>
      <c r="Q1360" s="7" t="inlineStr">
        <is>
          <t>resolution</t>
        </is>
      </c>
      <c r="R1360" s="7" t="n"/>
      <c r="S1360" s="7" t="inlineStr">
        <is>
          <t>Pittsburgh</t>
        </is>
      </c>
      <c r="T1360" s="7" t="n"/>
      <c r="U1360" s="7" t="n"/>
      <c r="V1360" s="7" t="n">
        <v>2</v>
      </c>
      <c r="W1360" s="7" t="inlineStr">
        <is>
          <t>Development of the Organization Structure</t>
        </is>
      </c>
      <c r="X1360" s="9" t="inlineStr">
        <is>
          <t>open</t>
        </is>
      </c>
      <c r="Y1360" s="7" t="n"/>
      <c r="Z1360" s="7" t="inlineStr">
        <is>
          <t>https://wol.jw.org/en/wol/d/r1/lp-e/1101993018
https://wol.jw.org/en/wol/d/r1/lp-e/301975006</t>
        </is>
      </c>
      <c r="AA1360" s="7" t="n">
        <v>0</v>
      </c>
      <c r="AB1360" s="7" t="n"/>
      <c r="AC1360" s="7" t="n">
        <v>0</v>
      </c>
      <c r="AD1360" s="7" t="n"/>
      <c r="AE1360" s="7" t="n"/>
      <c r="AF1360" s="7" t="n"/>
      <c r="AG1360" s="7" t="n"/>
      <c r="AH1360" s="7" t="n"/>
      <c r="AI1360" s="7" t="n"/>
      <c r="AJ1360" s="7" t="n"/>
      <c r="AK1360" s="7" t="inlineStr">
        <is>
          <t>daniel-time-prophecies #29 (end)</t>
        </is>
      </c>
      <c r="AL1360" s="7" t="n"/>
      <c r="AM1360" s="7" t="n">
        <v>1944.7525</v>
      </c>
      <c r="AN1360" s="10" t="n"/>
      <c r="AO1360" s="10" t="n"/>
      <c r="AP1360" s="10" t="n"/>
      <c r="AQ1360" s="10" t="n"/>
    </row>
    <row r="1361">
      <c r="A1361" s="7" t="inlineStr">
        <is>
          <t>b8-0257</t>
        </is>
      </c>
      <c r="B1361" s="7" t="inlineStr">
        <is>
          <t>Point</t>
        </is>
      </c>
      <c r="C1361" s="7" t="n"/>
      <c r="D1361" s="7" t="inlineStr">
        <is>
          <t>1945</t>
        </is>
      </c>
      <c r="E1361" s="7" t="inlineStr">
        <is>
          <t>1945</t>
        </is>
      </c>
      <c r="F1361" s="7" t="inlineStr">
        <is>
          <t>1945 CE</t>
        </is>
      </c>
      <c r="G1361" s="7" t="inlineStr">
        <is>
          <t>Exact</t>
        </is>
      </c>
      <c r="H1361" s="7" t="n"/>
      <c r="I1361" s="7" t="n"/>
      <c r="J1361" s="7" t="n"/>
      <c r="K1361" s="2" t="inlineStr">
        <is>
          <t>Global Public Meeting campaign announced</t>
        </is>
      </c>
      <c r="L1361" s="2" t="n"/>
      <c r="M1361" s="7" t="inlineStr">
        <is>
          <t>The Watchtower announces a global Public Meeting campaign of eight Bible lectures on “urgent problems of the times,” given by speakers trained in the Theocratic Ministry School.</t>
        </is>
      </c>
      <c r="N1361" s="7" t="inlineStr">
        <is>
          <t>உலகம் முழுவதும் பொதுப் பேச்சு கொடுப்பதற்கான ஏற்பாடு பற்றி 1945-ல் வெளிவந்த காவற்கோபுரம் சொன்னது.</t>
        </is>
      </c>
      <c r="O1361" s="13" t="inlineStr">
        <is>
          <t>Jehovah's Witnesses</t>
        </is>
      </c>
      <c r="P1361" s="7" t="inlineStr">
        <is>
          <t>jw.preaching</t>
        </is>
      </c>
      <c r="Q1361" s="7" t="inlineStr">
        <is>
          <t>campaign</t>
        </is>
      </c>
      <c r="R1361" s="7" t="n"/>
      <c r="S1361" s="7" t="n"/>
      <c r="T1361" s="7" t="n"/>
      <c r="U1361" s="7" t="n"/>
      <c r="V1361" s="7" t="n">
        <v>2</v>
      </c>
      <c r="W1361" s="7" t="inlineStr">
        <is>
          <t>Meeting Together for Worship</t>
        </is>
      </c>
      <c r="X1361" s="9" t="inlineStr">
        <is>
          <t>open</t>
        </is>
      </c>
      <c r="Y1361" s="9" t="inlineStr">
        <is>
          <t>open</t>
        </is>
      </c>
      <c r="Z1361" s="7" t="inlineStr">
        <is>
          <t>https://wol.jw.org/en/wol/d/r1/lp-e/1102014255
https://wol.jw.org/en/wol/d/r1/lp-e/1101993019</t>
        </is>
      </c>
      <c r="AA1361" s="7" t="n">
        <v>0</v>
      </c>
      <c r="AB1361" s="7" t="n"/>
      <c r="AC1361" s="7" t="n">
        <v>0</v>
      </c>
      <c r="AD1361" s="7" t="n"/>
      <c r="AE1361" s="7" t="n"/>
      <c r="AF1361" s="7" t="n"/>
      <c r="AG1361" s="7" t="n"/>
      <c r="AH1361" s="7" t="n"/>
      <c r="AI1361" s="7" t="n"/>
      <c r="AJ1361" s="7" t="n"/>
      <c r="AK1361" s="7" t="n"/>
      <c r="AL1361" s="7" t="n"/>
      <c r="AM1361" s="7" t="n">
        <v>1945</v>
      </c>
      <c r="AN1361" s="10" t="n"/>
      <c r="AO1361" s="10" t="n"/>
      <c r="AP1361" s="10" t="n"/>
      <c r="AQ1361" s="10" t="n"/>
    </row>
    <row r="1362">
      <c r="A1362" s="7" t="inlineStr">
        <is>
          <t>b8-0258</t>
        </is>
      </c>
      <c r="B1362" s="7" t="inlineStr">
        <is>
          <t>Point</t>
        </is>
      </c>
      <c r="C1362" s="7" t="n"/>
      <c r="D1362" s="7" t="inlineStr">
        <is>
          <t>1945</t>
        </is>
      </c>
      <c r="E1362" s="7" t="n"/>
      <c r="F1362" s="7" t="inlineStr">
        <is>
          <t>1945 CE</t>
        </is>
      </c>
      <c r="G1362" s="7" t="inlineStr">
        <is>
          <t>Exact</t>
        </is>
      </c>
      <c r="H1362" s="7" t="n"/>
      <c r="I1362" s="7" t="n"/>
      <c r="J1362" s="7" t="n"/>
      <c r="K1362" s="2" t="inlineStr">
        <is>
          <t>Theocratic Aid to Kingdom Publishers released</t>
        </is>
      </c>
      <c r="L1362" s="2" t="n"/>
      <c r="M1362" s="7" t="inlineStr">
        <is>
          <t>The training textbook Theocratic Aid to Kingdom Publishers is released.</t>
        </is>
      </c>
      <c r="N1362" s="7" t="n"/>
      <c r="O1362" s="13" t="inlineStr">
        <is>
          <t>Jehovah's Witnesses</t>
        </is>
      </c>
      <c r="P1362" s="7" t="inlineStr">
        <is>
          <t>jw.publication</t>
        </is>
      </c>
      <c r="Q1362" s="7" t="inlineStr">
        <is>
          <t>release</t>
        </is>
      </c>
      <c r="R1362" s="7" t="n"/>
      <c r="S1362" s="7" t="n"/>
      <c r="T1362" s="7" t="n"/>
      <c r="U1362" s="7" t="n"/>
      <c r="V1362" s="7" t="n">
        <v>1</v>
      </c>
      <c r="W1362" s="7" t="inlineStr">
        <is>
          <t>Tools for Preaching—Producing Literature for the Worldwide Field</t>
        </is>
      </c>
      <c r="X1362" s="9" t="inlineStr">
        <is>
          <t>open</t>
        </is>
      </c>
      <c r="Y1362" s="9" t="inlineStr">
        <is>
          <t>open</t>
        </is>
      </c>
      <c r="Z1362" s="7" t="inlineStr">
        <is>
          <t>https://wol.jw.org/en/wol/d/r1/lp-e/1102014247</t>
        </is>
      </c>
      <c r="AA1362" s="7" t="n">
        <v>0</v>
      </c>
      <c r="AB1362" s="7" t="n"/>
      <c r="AC1362" s="7" t="n">
        <v>0</v>
      </c>
      <c r="AD1362" s="7" t="n"/>
      <c r="AE1362" s="7" t="n"/>
      <c r="AF1362" s="7" t="n"/>
      <c r="AG1362" s="7" t="n"/>
      <c r="AH1362" s="7" t="n"/>
      <c r="AI1362" s="7" t="n"/>
      <c r="AJ1362" s="7" t="n"/>
      <c r="AK1362" s="7" t="n"/>
      <c r="AL1362" s="7" t="n"/>
      <c r="AM1362" s="7" t="n">
        <v>1945</v>
      </c>
      <c r="AN1362" s="10" t="n"/>
      <c r="AO1362" s="10" t="n"/>
      <c r="AP1362" s="10" t="n"/>
      <c r="AQ1362" s="10" t="n"/>
    </row>
    <row r="1363">
      <c r="A1363" s="7" t="inlineStr">
        <is>
          <t>b8-0259</t>
        </is>
      </c>
      <c r="B1363" s="7" t="inlineStr">
        <is>
          <t>Point</t>
        </is>
      </c>
      <c r="C1363" s="7" t="n"/>
      <c r="D1363" s="7" t="inlineStr">
        <is>
          <t>1945</t>
        </is>
      </c>
      <c r="E1363" s="7" t="n"/>
      <c r="F1363" s="7" t="inlineStr">
        <is>
          <t>1945 CE</t>
        </is>
      </c>
      <c r="G1363" s="7" t="inlineStr">
        <is>
          <t>Exact</t>
        </is>
      </c>
      <c r="H1363" s="7" t="n"/>
      <c r="I1363" s="7" t="n"/>
      <c r="J1363" s="7" t="n"/>
      <c r="K1363" s="2" t="inlineStr">
        <is>
          <t>Home Bible studies average 104,814 a month</t>
        </is>
      </c>
      <c r="L1363" s="2" t="n"/>
      <c r="M1363" s="7" t="inlineStr">
        <is>
          <t>The average number of free home Bible studies conducted each month reaches 104,814.</t>
        </is>
      </c>
      <c r="N1363" s="7" t="n"/>
      <c r="O1363" s="13" t="inlineStr">
        <is>
          <t>Jehovah's Witnesses</t>
        </is>
      </c>
      <c r="P1363" s="7" t="inlineStr">
        <is>
          <t>jw.preaching</t>
        </is>
      </c>
      <c r="Q1363" s="7" t="inlineStr">
        <is>
          <t>statistic</t>
        </is>
      </c>
      <c r="R1363" s="7" t="n"/>
      <c r="S1363" s="7" t="n"/>
      <c r="T1363" s="7" t="n"/>
      <c r="U1363" s="7" t="n"/>
      <c r="V1363" s="7" t="n">
        <v>1</v>
      </c>
      <c r="W1363" s="7" t="inlineStr">
        <is>
          <t>Noteworthy Events in the Modern-day History of Jehovah’s Witnesses</t>
        </is>
      </c>
      <c r="X1363" s="9" t="inlineStr">
        <is>
          <t>open</t>
        </is>
      </c>
      <c r="Y1363" s="7" t="n"/>
      <c r="Z1363" s="7" t="inlineStr">
        <is>
          <t>https://wol.jw.org/en/wol/d/r1/lp-e/1101993046</t>
        </is>
      </c>
      <c r="AA1363" s="7" t="n">
        <v>0</v>
      </c>
      <c r="AB1363" s="7" t="n"/>
      <c r="AC1363" s="7" t="n">
        <v>0</v>
      </c>
      <c r="AD1363" s="7" t="n"/>
      <c r="AE1363" s="7" t="n"/>
      <c r="AF1363" s="7" t="n"/>
      <c r="AG1363" s="7" t="n"/>
      <c r="AH1363" s="7" t="n"/>
      <c r="AI1363" s="7" t="n"/>
      <c r="AJ1363" s="7" t="n"/>
      <c r="AK1363" s="7" t="n"/>
      <c r="AL1363" s="7" t="n"/>
      <c r="AM1363" s="7" t="n">
        <v>1945</v>
      </c>
      <c r="AN1363" s="10" t="n"/>
      <c r="AO1363" s="10" t="n"/>
      <c r="AP1363" s="10" t="n"/>
      <c r="AQ1363" s="10" t="n"/>
    </row>
    <row r="1364">
      <c r="A1364" s="7" t="inlineStr">
        <is>
          <t>b8-0260</t>
        </is>
      </c>
      <c r="B1364" s="7" t="inlineStr">
        <is>
          <t>Point</t>
        </is>
      </c>
      <c r="C1364" s="7" t="n"/>
      <c r="D1364" s="7" t="inlineStr">
        <is>
          <t>April-May 1945</t>
        </is>
      </c>
      <c r="E1364" s="7" t="n"/>
      <c r="F1364" s="7" t="inlineStr">
        <is>
          <t>1945 CE</t>
        </is>
      </c>
      <c r="G1364" s="7" t="inlineStr">
        <is>
          <t>Exact</t>
        </is>
      </c>
      <c r="H1364" s="7" t="n"/>
      <c r="I1364" s="7" t="n"/>
      <c r="J1364" s="7" t="n"/>
      <c r="K1364" s="2" t="inlineStr">
        <is>
          <t>Concentration camps liberated; Witnesses survive death marches</t>
        </is>
      </c>
      <c r="L1364" s="2" t="n"/>
      <c r="M1364" s="7" t="inlineStr">
        <is>
          <t>Camps holding Witnesses are liberated (Buchenwald, Bergen-Belsen, Sachsenhausen, Dachau, Ravensbrück); all 230 Witnesses survive the death march to Schwerin, and German postwar history begins with 7,000 members.</t>
        </is>
      </c>
      <c r="N1364" s="7" t="n"/>
      <c r="O1364" s="13" t="inlineStr">
        <is>
          <t>Jehovah's Witnesses</t>
        </is>
      </c>
      <c r="P1364" s="7" t="inlineStr">
        <is>
          <t>jw.persecution</t>
        </is>
      </c>
      <c r="Q1364" s="7" t="inlineStr">
        <is>
          <t>liberation</t>
        </is>
      </c>
      <c r="R1364" s="7" t="n"/>
      <c r="S1364" s="7" t="inlineStr">
        <is>
          <t>Germany</t>
        </is>
      </c>
      <c r="T1364" s="7" t="n"/>
      <c r="U1364" s="7" t="n"/>
      <c r="V1364" s="7" t="n">
        <v>1</v>
      </c>
      <c r="W1364" s="7" t="inlineStr">
        <is>
          <t>Chronicle</t>
        </is>
      </c>
      <c r="X1364" s="9" t="inlineStr">
        <is>
          <t>open</t>
        </is>
      </c>
      <c r="Y1364" s="7" t="n"/>
      <c r="Z1364" s="7" t="inlineStr">
        <is>
          <t>https://wol.jw.org/en/wol/d/r1/lp-e/1101999301</t>
        </is>
      </c>
      <c r="AA1364" s="7" t="n">
        <v>0</v>
      </c>
      <c r="AB1364" s="7" t="n"/>
      <c r="AC1364" s="7" t="n">
        <v>0</v>
      </c>
      <c r="AD1364" s="7" t="n"/>
      <c r="AE1364" s="7" t="n"/>
      <c r="AF1364" s="7" t="n"/>
      <c r="AG1364" s="7" t="n"/>
      <c r="AH1364" s="7" t="n"/>
      <c r="AI1364" s="7" t="inlineStr">
        <is>
          <t>Span endpoint – keep</t>
        </is>
      </c>
      <c r="AJ1364" s="7" t="inlineStr">
        <is>
          <t>end of Ban and persecution of Jehovah’s Witnesses in Nazi Germany (b12-0080)</t>
        </is>
      </c>
      <c r="AK1364" s="7" t="n"/>
      <c r="AL1364" s="7" t="n"/>
      <c r="AM1364" s="7" t="n">
        <v>1945.25</v>
      </c>
      <c r="AN1364" s="10" t="n"/>
      <c r="AO1364" s="10" t="n"/>
      <c r="AP1364" s="10" t="n"/>
      <c r="AQ1364" s="10" t="n"/>
    </row>
    <row r="1365">
      <c r="A1365" s="7" t="inlineStr">
        <is>
          <t>b14-0009</t>
        </is>
      </c>
      <c r="B1365" s="7" t="inlineStr">
        <is>
          <t>Point</t>
        </is>
      </c>
      <c r="C1365" s="7" t="n"/>
      <c r="D1365" s="7" t="inlineStr">
        <is>
          <t>June 26, 1945</t>
        </is>
      </c>
      <c r="E1365" s="7" t="inlineStr">
        <is>
          <t>ஜூன் 26, 1945</t>
        </is>
      </c>
      <c r="F1365" s="7" t="inlineStr">
        <is>
          <t>1945 CE</t>
        </is>
      </c>
      <c r="G1365" s="7" t="inlineStr">
        <is>
          <t>Exact</t>
        </is>
      </c>
      <c r="H1365" s="7" t="n"/>
      <c r="I1365" s="7" t="n"/>
      <c r="J1365" s="7" t="n"/>
      <c r="K1365" s="2" t="inlineStr">
        <is>
          <t>United Nations Charter accepted: the scarlet-colored wild beast ascends out of the abyss</t>
        </is>
      </c>
      <c r="L1365" s="2" t="inlineStr">
        <is>
          <t>சிவப்புநிற மூர்க்க மிருகம் உண்மையில் அபிஸ்ஸிலிருந்து ஏறிவந்தது.</t>
        </is>
      </c>
      <c r="M1365" s="7" t="inlineStr">
        <is>
          <t>On June 26, 1945, in San Francisco, 50 nations voted to accept the Charter of the United Nations organization. Jehovah’s Witnesses see in the UN the revival of the League of Nations, the image of the wild beast and “the disgusting thing that causes desolation.”</t>
        </is>
      </c>
      <c r="N1365" s="7" t="inlineStr">
        <is>
          <t>ஜூன் 26, 1945-ல் அ.ஐ.மா., சான் ஃபிரான்ஸிஸ்கோவில், எக்காள முழக்க பேரொலியோடு ஐக்கிய நாட்டுச் சங்கத்தின் சாசனத்தை ஏற்றுக்கொள்ள 50 தேசங்கள் வாக்களித்தன.</t>
        </is>
      </c>
      <c r="O1365" s="8" t="inlineStr">
        <is>
          <t>Bible</t>
        </is>
      </c>
      <c r="P1365" s="7" t="inlineStr">
        <is>
          <t>bible.prophecy_fulfilled</t>
        </is>
      </c>
      <c r="Q1365" s="7" t="inlineStr">
        <is>
          <t>founding</t>
        </is>
      </c>
      <c r="R1365" s="7" t="n"/>
      <c r="S1365" s="7" t="inlineStr">
        <is>
          <t>San Francisco</t>
        </is>
      </c>
      <c r="T1365" s="7" t="inlineStr">
        <is>
          <t>Rev. 17:8; Dan. 11:31</t>
        </is>
      </c>
      <c r="U1365" s="7" t="inlineStr">
        <is>
          <t>வெளி. 17:8; தானி. 11:31</t>
        </is>
      </c>
      <c r="V1365" s="7" t="n">
        <v>2</v>
      </c>
      <c r="W1365" s="7" t="inlineStr">
        <is>
          <t>An Awesome Mystery Solved</t>
        </is>
      </c>
      <c r="X1365" s="9" t="inlineStr">
        <is>
          <t>open</t>
        </is>
      </c>
      <c r="Y1365" s="9" t="inlineStr">
        <is>
          <t>open</t>
        </is>
      </c>
      <c r="Z1365" s="7" t="inlineStr">
        <is>
          <t>https://wol.jw.org/en/wol/d/r1/lp-e/1101988034
https://wol.jw.org/en/wol/d/r1/lp-e/2020408</t>
        </is>
      </c>
      <c r="AA1365" s="7" t="n">
        <v>0</v>
      </c>
      <c r="AB1365" s="7" t="n"/>
      <c r="AC1365" s="7" t="n">
        <v>0</v>
      </c>
      <c r="AD1365" s="7" t="n"/>
      <c r="AE1365" s="7" t="n"/>
      <c r="AF1365" s="7" t="n"/>
      <c r="AG1365" s="7" t="n"/>
      <c r="AH1365" s="7" t="n"/>
      <c r="AI1365" s="7" t="inlineStr">
        <is>
          <t>Span endpoint – keep</t>
        </is>
      </c>
      <c r="AJ1365" s="7" t="inlineStr">
        <is>
          <t>start of The United Nations (the image of the wild beast, “an eighth king”) (b14-0010)</t>
        </is>
      </c>
      <c r="AK1365" s="7" t="inlineStr">
        <is>
          <t>kings-north-and-south #36 (fulfillment); seven-heads-of-the-beast #24 (rise)</t>
        </is>
      </c>
      <c r="AL1365" s="7" t="n"/>
      <c r="AM1365" s="7" t="n">
        <v>1945.482</v>
      </c>
      <c r="AN1365" s="10" t="n"/>
      <c r="AO1365" s="10" t="n"/>
      <c r="AP1365" s="10" t="n"/>
      <c r="AQ1365" s="10" t="n"/>
    </row>
    <row r="1366">
      <c r="A1366" s="7" t="inlineStr">
        <is>
          <t>b14-0010</t>
        </is>
      </c>
      <c r="B1366" s="11" t="inlineStr">
        <is>
          <t>Span</t>
        </is>
      </c>
      <c r="C1366" s="7" t="inlineStr">
        <is>
          <t>period</t>
        </is>
      </c>
      <c r="D1366" s="7" t="inlineStr">
        <is>
          <t>June 26, 1945–</t>
        </is>
      </c>
      <c r="E1366" s="7" t="n"/>
      <c r="F1366" s="7" t="inlineStr">
        <is>
          <t>1945 CE</t>
        </is>
      </c>
      <c r="G1366" s="7" t="inlineStr">
        <is>
          <t>Exact</t>
        </is>
      </c>
      <c r="H1366" s="7" t="n"/>
      <c r="I1366" s="7" t="inlineStr">
        <is>
          <t>Ongoing</t>
        </is>
      </c>
      <c r="J1366" s="7" t="n"/>
      <c r="K1366" s="2" t="inlineStr">
        <is>
          <t>The United Nations (the image of the wild beast, “an eighth king”)</t>
        </is>
      </c>
      <c r="L1366" s="2" t="inlineStr">
        <is>
          <t>ஐக்கிய நாட்டுச் சங்கம்</t>
        </is>
      </c>
      <c r="M1366" s="7" t="inlineStr">
        <is>
          <t>The United Nations, which replaced the League of Nations in 1945, is identified as “the image of the wild beast,” the scarlet-colored wild beast that is “an eighth king,” and “the disgusting thing that causes desolation.” It will be used to attack false religion.</t>
        </is>
      </c>
      <c r="N1366" s="7" t="inlineStr">
        <is>
          <t>1945-ல் சர்வதேச சங்கத்துக்குப் பதிலாக ஐ. நா. சபை ஏற்படுத்தப்பட்டது.</t>
        </is>
      </c>
      <c r="O1366" s="8" t="inlineStr">
        <is>
          <t>Bible</t>
        </is>
      </c>
      <c r="P1366" s="7" t="inlineStr">
        <is>
          <t>bible.prophecy_fulfilled</t>
        </is>
      </c>
      <c r="Q1366" s="7" t="n"/>
      <c r="R1366" s="7" t="n"/>
      <c r="S1366" s="7" t="n"/>
      <c r="T1366" s="7" t="inlineStr">
        <is>
          <t>Rev. 13:14, 15; Rev. 17:3, 8, 11; Dan. 11:31</t>
        </is>
      </c>
      <c r="U1366" s="7" t="inlineStr">
        <is>
          <t>வெளி. 13:14, 15; வெளி. 17:3, 8, 11; தானி. 11:31</t>
        </is>
      </c>
      <c r="V1366" s="7" t="n">
        <v>3</v>
      </c>
      <c r="W1366" s="7" t="inlineStr">
        <is>
          <t>An Awesome Mystery Solved</t>
        </is>
      </c>
      <c r="X1366" s="9" t="inlineStr">
        <is>
          <t>open</t>
        </is>
      </c>
      <c r="Y1366" s="9" t="inlineStr">
        <is>
          <t>open</t>
        </is>
      </c>
      <c r="Z1366" s="7" t="inlineStr">
        <is>
          <t>https://wol.jw.org/en/wol/d/r1/lp-e/1101988034
https://wol.jw.org/en/wol/d/r1/lp-e/2022401
https://wol.jw.org/en/wol/d/r1/lp-e/2020400</t>
        </is>
      </c>
      <c r="AA1366" s="7" t="n">
        <v>0</v>
      </c>
      <c r="AB1366" s="7" t="n"/>
      <c r="AC1366" s="7" t="n">
        <v>0</v>
      </c>
      <c r="AD1366" s="7" t="n"/>
      <c r="AE1366" s="7" t="n"/>
      <c r="AF1366" s="7" t="inlineStr">
        <is>
          <t>b14-0009</t>
        </is>
      </c>
      <c r="AG1366" s="7" t="n"/>
      <c r="AH1366" s="7" t="n"/>
      <c r="AI1366" s="7" t="n"/>
      <c r="AJ1366" s="7" t="n"/>
      <c r="AK1366" s="7" t="inlineStr">
        <is>
          <t>kings-north-and-south #37 (item); seven-heads-of-the-beast #25 (item)</t>
        </is>
      </c>
      <c r="AL1366" s="7" t="n"/>
      <c r="AM1366" s="7" t="n">
        <v>1945.482</v>
      </c>
      <c r="AN1366" s="10" t="n"/>
      <c r="AO1366" s="10" t="n"/>
      <c r="AP1366" s="10" t="n"/>
      <c r="AQ1366" s="10" t="n"/>
    </row>
    <row r="1367">
      <c r="A1367" s="7" t="inlineStr">
        <is>
          <t>b8-0261</t>
        </is>
      </c>
      <c r="B1367" s="7" t="inlineStr">
        <is>
          <t>Point</t>
        </is>
      </c>
      <c r="C1367" s="7" t="n"/>
      <c r="D1367" s="7" t="inlineStr">
        <is>
          <t>August 5, 1945</t>
        </is>
      </c>
      <c r="E1367" s="7" t="n"/>
      <c r="F1367" s="7" t="inlineStr">
        <is>
          <t>1945 CE</t>
        </is>
      </c>
      <c r="G1367" s="7" t="inlineStr">
        <is>
          <t>Exact</t>
        </is>
      </c>
      <c r="H1367" s="7" t="n"/>
      <c r="I1367" s="7" t="n"/>
      <c r="J1367" s="7" t="n"/>
      <c r="K1367" s="2" t="inlineStr">
        <is>
          <t>Convention in Amsterdam after release from camps</t>
        </is>
      </c>
      <c r="L1367" s="2" t="n"/>
      <c r="M1367" s="7" t="inlineStr">
        <is>
          <t>A convention is held in Amsterdam, the Netherlands, less than four months after Witnesses were released from German concentration camps.</t>
        </is>
      </c>
      <c r="N1367" s="7" t="n"/>
      <c r="O1367" s="13" t="inlineStr">
        <is>
          <t>Jehovah's Witnesses</t>
        </is>
      </c>
      <c r="P1367" s="7" t="inlineStr">
        <is>
          <t>jw.convention</t>
        </is>
      </c>
      <c r="Q1367" s="7" t="inlineStr">
        <is>
          <t>convention</t>
        </is>
      </c>
      <c r="R1367" s="7" t="n"/>
      <c r="S1367" s="7" t="inlineStr">
        <is>
          <t>Amsterdam</t>
        </is>
      </c>
      <c r="T1367" s="7" t="n"/>
      <c r="U1367" s="7" t="n"/>
      <c r="V1367" s="7" t="n">
        <v>1</v>
      </c>
      <c r="W1367" s="7" t="inlineStr">
        <is>
          <t>Conventions Proof of Our Brotherhood</t>
        </is>
      </c>
      <c r="X1367" s="9" t="inlineStr">
        <is>
          <t>open</t>
        </is>
      </c>
      <c r="Y1367" s="7" t="n"/>
      <c r="Z1367" s="7" t="inlineStr">
        <is>
          <t>https://wol.jw.org/en/wol/d/r1/lp-e/1101993020</t>
        </is>
      </c>
      <c r="AA1367" s="7" t="n">
        <v>0</v>
      </c>
      <c r="AB1367" s="7" t="n"/>
      <c r="AC1367" s="7" t="n">
        <v>0</v>
      </c>
      <c r="AD1367" s="7" t="n"/>
      <c r="AE1367" s="7" t="n"/>
      <c r="AF1367" s="7" t="n"/>
      <c r="AG1367" s="7" t="n"/>
      <c r="AH1367" s="7" t="n"/>
      <c r="AI1367" s="7" t="n"/>
      <c r="AJ1367" s="7" t="n"/>
      <c r="AK1367" s="7" t="n"/>
      <c r="AL1367" s="7" t="n"/>
      <c r="AM1367" s="7" t="n">
        <v>1945.5933</v>
      </c>
      <c r="AN1367" s="10" t="n"/>
      <c r="AO1367" s="10" t="n"/>
      <c r="AP1367" s="10" t="n"/>
      <c r="AQ1367" s="10" t="n"/>
    </row>
    <row r="1368">
      <c r="A1368" s="7" t="inlineStr">
        <is>
          <t>b8-0262</t>
        </is>
      </c>
      <c r="B1368" s="7" t="inlineStr">
        <is>
          <t>Point</t>
        </is>
      </c>
      <c r="C1368" s="7" t="n"/>
      <c r="D1368" s="7" t="inlineStr">
        <is>
          <t>September 1945</t>
        </is>
      </c>
      <c r="E1368" s="7" t="inlineStr">
        <is>
          <t>செப்டம்பர் 1945</t>
        </is>
      </c>
      <c r="F1368" s="7" t="inlineStr">
        <is>
          <t>1945 CE</t>
        </is>
      </c>
      <c r="G1368" s="7" t="inlineStr">
        <is>
          <t>Exact</t>
        </is>
      </c>
      <c r="H1368" s="7" t="n"/>
      <c r="I1368" s="7" t="n"/>
      <c r="J1368" s="7" t="n"/>
      <c r="K1368" s="2" t="inlineStr">
        <is>
          <t>Knorr announces relief campaign for brothers in Europe</t>
        </is>
      </c>
      <c r="L1368" s="2" t="n"/>
      <c r="M1368" s="7" t="inlineStr">
        <is>
          <t>Months after the war in Europe ends, Brother Knorr announces a large-scale campaign to send material aid to needy brothers in central Europe; shipments begin January 1946.</t>
        </is>
      </c>
      <c r="N1368" s="7" t="inlineStr">
        <is>
          <t>ஐரோப்பாவில் இரண்டாம் உலகப் போர் முடிந்து சில மாதங்களுக்குப் பிறகு, செப்டம்பர் 1945-ல், சகோதரர் நார் “மத்திய ஐரோப்பாவில் பாதிக்கப்பட்ட சகோதரர்களுக்குத் தேவையான பொருள்களை”</t>
        </is>
      </c>
      <c r="O1368" s="13" t="inlineStr">
        <is>
          <t>Jehovah's Witnesses</t>
        </is>
      </c>
      <c r="P1368" s="7" t="inlineStr">
        <is>
          <t>jw.relief</t>
        </is>
      </c>
      <c r="Q1368" s="7" t="inlineStr">
        <is>
          <t>relief</t>
        </is>
      </c>
      <c r="R1368" s="7" t="inlineStr">
        <is>
          <t>Nathan H. Knorr</t>
        </is>
      </c>
      <c r="S1368" s="7" t="inlineStr">
        <is>
          <t>Europe</t>
        </is>
      </c>
      <c r="T1368" s="7" t="n"/>
      <c r="U1368" s="7" t="n"/>
      <c r="V1368" s="7" t="n">
        <v>1</v>
      </c>
      <c r="W1368" s="7" t="inlineStr">
        <is>
          <t>The Ministry of Relief</t>
        </is>
      </c>
      <c r="X1368" s="9" t="inlineStr">
        <is>
          <t>open</t>
        </is>
      </c>
      <c r="Y1368" s="9" t="inlineStr">
        <is>
          <t>open</t>
        </is>
      </c>
      <c r="Z1368" s="7" t="inlineStr">
        <is>
          <t>https://wol.jw.org/en/wol/d/r1/lp-e/1102014262</t>
        </is>
      </c>
      <c r="AA1368" s="7" t="n">
        <v>0</v>
      </c>
      <c r="AB1368" s="7" t="n"/>
      <c r="AC1368" s="7" t="n">
        <v>0</v>
      </c>
      <c r="AD1368" s="7" t="n"/>
      <c r="AE1368" s="7" t="n"/>
      <c r="AF1368" s="7" t="n"/>
      <c r="AG1368" s="7" t="n"/>
      <c r="AH1368" s="7" t="n"/>
      <c r="AI1368" s="7" t="n"/>
      <c r="AJ1368" s="7" t="n"/>
      <c r="AK1368" s="7" t="n"/>
      <c r="AL1368" s="7" t="n"/>
      <c r="AM1368" s="7" t="n">
        <v>1945.6667</v>
      </c>
      <c r="AN1368" s="10" t="n"/>
      <c r="AO1368" s="10" t="n"/>
      <c r="AP1368" s="10" t="n"/>
      <c r="AQ1368" s="10" t="n"/>
    </row>
    <row r="1369">
      <c r="A1369" s="7" t="inlineStr">
        <is>
          <t>b14-0011</t>
        </is>
      </c>
      <c r="B1369" s="7" t="inlineStr">
        <is>
          <t>Point</t>
        </is>
      </c>
      <c r="C1369" s="7" t="n"/>
      <c r="D1369" s="7" t="inlineStr">
        <is>
          <t>1945</t>
        </is>
      </c>
      <c r="E1369" s="7" t="inlineStr">
        <is>
          <t>1945</t>
        </is>
      </c>
      <c r="F1369" s="7" t="inlineStr">
        <is>
          <t>1945 CE</t>
        </is>
      </c>
      <c r="G1369" s="7" t="inlineStr">
        <is>
          <t>Exact</t>
        </is>
      </c>
      <c r="H1369" s="7" t="n"/>
      <c r="I1369" s="7" t="n"/>
      <c r="J1369" s="7" t="n"/>
      <c r="K1369" s="2" t="inlineStr">
        <is>
          <t>The Soviet Union and its allies become “the king of the north”</t>
        </is>
      </c>
      <c r="L1369" s="2" t="inlineStr">
        <is>
          <t>1945-ல் சோவியத் யூனியனும் அதன் கூட்டணிகளும் வடதிசை ராஜாவாக உருவெடுத்தன.</t>
        </is>
      </c>
      <c r="M1369" s="7" t="inlineStr">
        <is>
          <t>After World War II the Communist government of the Soviet Union took control of the vast territories it had captured from Germany and became the king of the north of Daniel 11.</t>
        </is>
      </c>
      <c r="N1369" s="7" t="inlineStr">
        <is>
          <t>1945-ல் சோவியத் யூனியனும் அதன் கூட்டணிகளும் வடதிசை ராஜாவாக உருவெடுத்தன.</t>
        </is>
      </c>
      <c r="O1369" s="8" t="inlineStr">
        <is>
          <t>Bible</t>
        </is>
      </c>
      <c r="P1369" s="7" t="inlineStr">
        <is>
          <t>bible.prophecy_fulfilled</t>
        </is>
      </c>
      <c r="Q1369" s="7" t="n"/>
      <c r="R1369" s="7" t="n"/>
      <c r="S1369" s="7" t="inlineStr">
        <is>
          <t>Soviet Union</t>
        </is>
      </c>
      <c r="T1369" s="7" t="inlineStr">
        <is>
          <t>Dan. 11:25-45</t>
        </is>
      </c>
      <c r="U1369" s="7" t="inlineStr">
        <is>
          <t>தானி. 11:25-45</t>
        </is>
      </c>
      <c r="V1369" s="7" t="n">
        <v>2</v>
      </c>
      <c r="W1369" s="7" t="inlineStr">
        <is>
          <t>Rival Kings in the Time of the End</t>
        </is>
      </c>
      <c r="X1369" s="9" t="inlineStr">
        <is>
          <t>open</t>
        </is>
      </c>
      <c r="Y1369" s="9" t="inlineStr">
        <is>
          <t>open</t>
        </is>
      </c>
      <c r="Z1369" s="7" t="inlineStr">
        <is>
          <t>https://wol.jw.org/en/wol/d/r1/lp-e/2020408
https://wol.jw.org/en/wol/d/r1/lp-e/2020400</t>
        </is>
      </c>
      <c r="AA1369" s="7" t="n">
        <v>0</v>
      </c>
      <c r="AB1369" s="7" t="n"/>
      <c r="AC1369" s="7" t="n">
        <v>0</v>
      </c>
      <c r="AD1369" s="7" t="n"/>
      <c r="AE1369" s="7" t="n"/>
      <c r="AF1369" s="7" t="n"/>
      <c r="AG1369" s="7" t="n"/>
      <c r="AH1369" s="7" t="n"/>
      <c r="AI1369" s="7" t="inlineStr">
        <is>
          <t>Span endpoint – keep</t>
        </is>
      </c>
      <c r="AJ1369" s="7" t="inlineStr">
        <is>
          <t>end of Germany as “the king of the north” (b14-0004); start of The Soviet Union and its allies as “the king of the north” (b14-0012)</t>
        </is>
      </c>
      <c r="AK1369" s="7" t="inlineStr">
        <is>
          <t>kings-north-and-south #38 (rise)</t>
        </is>
      </c>
      <c r="AL1369" s="7" t="n"/>
      <c r="AM1369" s="7" t="n">
        <v>1945.7</v>
      </c>
      <c r="AN1369" s="10" t="n"/>
      <c r="AO1369" s="10" t="n"/>
      <c r="AP1369" s="10" t="n"/>
      <c r="AQ1369" s="10" t="n"/>
    </row>
    <row r="1370">
      <c r="A1370" s="7" t="inlineStr">
        <is>
          <t>b14-0012</t>
        </is>
      </c>
      <c r="B1370" s="11" t="inlineStr">
        <is>
          <t>Span</t>
        </is>
      </c>
      <c r="C1370" s="7" t="inlineStr">
        <is>
          <t>period</t>
        </is>
      </c>
      <c r="D1370" s="7" t="inlineStr">
        <is>
          <t>1945–1991</t>
        </is>
      </c>
      <c r="E1370" s="7" t="n"/>
      <c r="F1370" s="7" t="inlineStr">
        <is>
          <t>1945 CE</t>
        </is>
      </c>
      <c r="G1370" s="7" t="inlineStr">
        <is>
          <t>Exact</t>
        </is>
      </c>
      <c r="H1370" s="7" t="inlineStr">
        <is>
          <t>1991 CE</t>
        </is>
      </c>
      <c r="I1370" s="7" t="inlineStr">
        <is>
          <t>Exact</t>
        </is>
      </c>
      <c r="J1370" s="7" t="inlineStr">
        <is>
          <t>46 years</t>
        </is>
      </c>
      <c r="K1370" s="2" t="inlineStr">
        <is>
          <t>The Soviet Union and its allies as “the king of the north”</t>
        </is>
      </c>
      <c r="L1370" s="2" t="inlineStr">
        <is>
          <t>சோவியத் யூனியனும் அதன் கூட்டணி நாடுகளும் 1991 வரை வடதிசை ராஜாவாக இருந்தது.</t>
        </is>
      </c>
      <c r="M1370" s="7" t="inlineStr">
        <is>
          <t>From 1945 until its collapse in 1991 the Soviet Union and its allies filled the role of the king of the north: it banned the preaching work, exiled thousands of Witnesses, sought to eliminate religion and gave glory to “the god of fortresses” (Dan. 11:37-39).</t>
        </is>
      </c>
      <c r="N1370" s="7" t="inlineStr">
        <is>
          <t>சோவியத் யூனியனும் அதன் கூட்டணி நாடுகளும் 1991 வரை வடதிசை ராஜாவாக இருந்தது.</t>
        </is>
      </c>
      <c r="O1370" s="8" t="inlineStr">
        <is>
          <t>Bible</t>
        </is>
      </c>
      <c r="P1370" s="7" t="inlineStr">
        <is>
          <t>bible.prophecy_fulfilled</t>
        </is>
      </c>
      <c r="Q1370" s="7" t="n"/>
      <c r="R1370" s="7" t="n"/>
      <c r="S1370" s="7" t="inlineStr">
        <is>
          <t>Soviet Union</t>
        </is>
      </c>
      <c r="T1370" s="7" t="inlineStr">
        <is>
          <t>Dan. 11:34; Dan. 11:37-39</t>
        </is>
      </c>
      <c r="U1370" s="7" t="inlineStr">
        <is>
          <t>தானி. 11:34; தானி. 11:37-39</t>
        </is>
      </c>
      <c r="V1370" s="7" t="n">
        <v>3</v>
      </c>
      <c r="W1370" s="7" t="inlineStr">
        <is>
          <t>Rival Kings in the Time of the End</t>
        </is>
      </c>
      <c r="X1370" s="9" t="inlineStr">
        <is>
          <t>open</t>
        </is>
      </c>
      <c r="Y1370" s="9" t="inlineStr">
        <is>
          <t>open</t>
        </is>
      </c>
      <c r="Z1370" s="7" t="inlineStr">
        <is>
          <t>https://wol.jw.org/en/wol/d/r1/lp-e/2020408
https://wol.jw.org/en/wol/d/r1/lp-e/2020408
https://wol.jw.org/en/wol/d/r1/lp-e/2020400</t>
        </is>
      </c>
      <c r="AA1370" s="7" t="n">
        <v>0</v>
      </c>
      <c r="AB1370" s="7" t="n"/>
      <c r="AC1370" s="7" t="n">
        <v>0</v>
      </c>
      <c r="AD1370" s="7" t="n"/>
      <c r="AE1370" s="7" t="n"/>
      <c r="AF1370" s="7" t="inlineStr">
        <is>
          <t>b14-0011</t>
        </is>
      </c>
      <c r="AG1370" s="7" t="inlineStr">
        <is>
          <t>b14-0013</t>
        </is>
      </c>
      <c r="AH1370" s="7" t="n"/>
      <c r="AI1370" s="7" t="n"/>
      <c r="AJ1370" s="7" t="n"/>
      <c r="AK1370" s="7" t="inlineStr">
        <is>
          <t>kings-north-and-south #39 (item)</t>
        </is>
      </c>
      <c r="AL1370" s="7" t="inlineStr">
        <is>
          <t>Pay Attention to Daniel’s Prophecy! (1999) ch. 16 chart: “Communist bloc (Cold War)” for Dan. 11:32-43.</t>
        </is>
      </c>
      <c r="AM1370" s="7" t="n">
        <v>1945.7</v>
      </c>
      <c r="AN1370" s="10" t="n"/>
      <c r="AO1370" s="10" t="n"/>
      <c r="AP1370" s="10" t="n"/>
      <c r="AQ1370" s="10" t="n"/>
    </row>
    <row r="1371">
      <c r="A1371" s="7" t="inlineStr">
        <is>
          <t>b8-0263</t>
        </is>
      </c>
      <c r="B1371" s="7" t="inlineStr">
        <is>
          <t>Point</t>
        </is>
      </c>
      <c r="C1371" s="7" t="n"/>
      <c r="D1371" s="7" t="inlineStr">
        <is>
          <t>October 1, 1945</t>
        </is>
      </c>
      <c r="E1371" s="7" t="n"/>
      <c r="F1371" s="7" t="inlineStr">
        <is>
          <t>1945 CE</t>
        </is>
      </c>
      <c r="G1371" s="7" t="inlineStr">
        <is>
          <t>Exact</t>
        </is>
      </c>
      <c r="H1371" s="7" t="n"/>
      <c r="I1371" s="7" t="n"/>
      <c r="J1371" s="7" t="n"/>
      <c r="K1371" s="2" t="inlineStr">
        <is>
          <t>Board of directors no longer chosen by donor-voters</t>
        </is>
      </c>
      <c r="L1371" s="2" t="n"/>
      <c r="M1371" s="7" t="inlineStr">
        <is>
          <t>As of October 1, 1945, the Society’s board of directors is no longer selected by voters who qualify because of monetary donations, under the revised charter.</t>
        </is>
      </c>
      <c r="N1371" s="7" t="n"/>
      <c r="O1371" s="13" t="inlineStr">
        <is>
          <t>Jehovah's Witnesses</t>
        </is>
      </c>
      <c r="P1371" s="7" t="inlineStr">
        <is>
          <t>jw.organization</t>
        </is>
      </c>
      <c r="Q1371" s="7" t="inlineStr">
        <is>
          <t>charter</t>
        </is>
      </c>
      <c r="R1371" s="7" t="n"/>
      <c r="S1371" s="7" t="n"/>
      <c r="T1371" s="7" t="n"/>
      <c r="U1371" s="7" t="n"/>
      <c r="V1371" s="7" t="n">
        <v>2</v>
      </c>
      <c r="W1371" s="7" t="inlineStr">
        <is>
          <t>Noteworthy Events in the Modern-day History of Jehovah’s Witnesses</t>
        </is>
      </c>
      <c r="X1371" s="9" t="inlineStr">
        <is>
          <t>open</t>
        </is>
      </c>
      <c r="Y1371" s="7" t="n"/>
      <c r="Z1371" s="7" t="inlineStr">
        <is>
          <t>https://wol.jw.org/en/wol/d/r1/lp-e/1101993046
https://wol.jw.org/en/wol/d/r1/lp-e/1101993018</t>
        </is>
      </c>
      <c r="AA1371" s="7" t="n">
        <v>0</v>
      </c>
      <c r="AB1371" s="7" t="n"/>
      <c r="AC1371" s="7" t="n">
        <v>0</v>
      </c>
      <c r="AD1371" s="7" t="n"/>
      <c r="AE1371" s="7" t="n"/>
      <c r="AF1371" s="7" t="n"/>
      <c r="AG1371" s="7" t="n"/>
      <c r="AH1371" s="7" t="n"/>
      <c r="AI1371" s="7" t="n"/>
      <c r="AJ1371" s="7" t="n"/>
      <c r="AK1371" s="7" t="n"/>
      <c r="AL1371" s="7" t="n"/>
      <c r="AM1371" s="7" t="n">
        <v>1945.75</v>
      </c>
      <c r="AN1371" s="10" t="n"/>
      <c r="AO1371" s="10" t="n"/>
      <c r="AP1371" s="10" t="n"/>
      <c r="AQ1371" s="10" t="n"/>
    </row>
    <row r="1372">
      <c r="A1372" s="7" t="inlineStr">
        <is>
          <t>b8-0264</t>
        </is>
      </c>
      <c r="B1372" s="7" t="inlineStr">
        <is>
          <t>Point</t>
        </is>
      </c>
      <c r="C1372" s="7" t="n"/>
      <c r="D1372" s="7" t="inlineStr">
        <is>
          <t>October 5, 1945</t>
        </is>
      </c>
      <c r="E1372" s="7" t="n"/>
      <c r="F1372" s="7" t="inlineStr">
        <is>
          <t>1945 CE</t>
        </is>
      </c>
      <c r="G1372" s="7" t="inlineStr">
        <is>
          <t>Exact</t>
        </is>
      </c>
      <c r="H1372" s="7" t="n"/>
      <c r="I1372" s="7" t="n"/>
      <c r="J1372" s="7" t="n"/>
      <c r="K1372" s="2" t="inlineStr">
        <is>
          <t>F. W. Franz selected vice president</t>
        </is>
      </c>
      <c r="L1372" s="2" t="n"/>
      <c r="M1372" s="7" t="inlineStr">
        <is>
          <t>After Hayden Covington declines to continue as vice president, Lyman A. Swingle is elected to the board (October 1) and Frederick W. Franz is selected vice president (October 5).</t>
        </is>
      </c>
      <c r="N1372" s="7" t="n"/>
      <c r="O1372" s="13" t="inlineStr">
        <is>
          <t>Jehovah's Witnesses</t>
        </is>
      </c>
      <c r="P1372" s="7" t="inlineStr">
        <is>
          <t>jw.leadership</t>
        </is>
      </c>
      <c r="Q1372" s="7" t="inlineStr">
        <is>
          <t>appointment</t>
        </is>
      </c>
      <c r="R1372" s="7" t="inlineStr">
        <is>
          <t>Frederick W. Franz; Hayden Covington; Lyman A. Swingle</t>
        </is>
      </c>
      <c r="S1372" s="7" t="n"/>
      <c r="T1372" s="7" t="n"/>
      <c r="U1372" s="7" t="n"/>
      <c r="V1372" s="7" t="n">
        <v>1</v>
      </c>
      <c r="W1372" s="7" t="inlineStr">
        <is>
          <t>Declaring the Good News Without Letup (1942-1975)</t>
        </is>
      </c>
      <c r="X1372" s="9" t="inlineStr">
        <is>
          <t>open</t>
        </is>
      </c>
      <c r="Y1372" s="7" t="n"/>
      <c r="Z1372" s="7" t="inlineStr">
        <is>
          <t>https://wol.jw.org/en/wol/d/r1/lp-e/1101993009</t>
        </is>
      </c>
      <c r="AA1372" s="7" t="n">
        <v>0</v>
      </c>
      <c r="AB1372" s="7" t="n"/>
      <c r="AC1372" s="7" t="n">
        <v>0</v>
      </c>
      <c r="AD1372" s="7" t="n"/>
      <c r="AE1372" s="7" t="n"/>
      <c r="AF1372" s="7" t="n"/>
      <c r="AG1372" s="7" t="n"/>
      <c r="AH1372" s="7" t="n"/>
      <c r="AI1372" s="7" t="n"/>
      <c r="AJ1372" s="7" t="n"/>
      <c r="AK1372" s="7" t="n"/>
      <c r="AL1372" s="7" t="n"/>
      <c r="AM1372" s="7" t="n">
        <v>1945.76</v>
      </c>
      <c r="AN1372" s="10" t="n"/>
      <c r="AO1372" s="10" t="n"/>
      <c r="AP1372" s="10" t="n"/>
      <c r="AQ1372" s="10" t="n"/>
    </row>
    <row r="1373">
      <c r="A1373" s="7" t="inlineStr">
        <is>
          <t>b8-0265</t>
        </is>
      </c>
      <c r="B1373" s="7" t="inlineStr">
        <is>
          <t>Point</t>
        </is>
      </c>
      <c r="C1373" s="7" t="n"/>
      <c r="D1373" s="7" t="inlineStr">
        <is>
          <t>November 1945</t>
        </is>
      </c>
      <c r="E1373" s="7" t="n"/>
      <c r="F1373" s="7" t="inlineStr">
        <is>
          <t>1945 CE</t>
        </is>
      </c>
      <c r="G1373" s="7" t="inlineStr">
        <is>
          <t>Exact</t>
        </is>
      </c>
      <c r="H1373" s="7" t="n"/>
      <c r="I1373" s="7" t="n"/>
      <c r="J1373" s="7" t="n"/>
      <c r="K1373" s="2" t="inlineStr">
        <is>
          <t>Knorr and Henschel begin tour of postwar Europe</t>
        </is>
      </c>
      <c r="L1373" s="2" t="n"/>
      <c r="M1373" s="7" t="inlineStr">
        <is>
          <t>N. H. Knorr and M. G. Henschel set out on a tour of Britain, France, Switzerland, Belgium, the Netherlands, and Scandinavia to encourage brothers and inspect branches.</t>
        </is>
      </c>
      <c r="N1373" s="7" t="n"/>
      <c r="O1373" s="13" t="inlineStr">
        <is>
          <t>Jehovah's Witnesses</t>
        </is>
      </c>
      <c r="P1373" s="7" t="inlineStr">
        <is>
          <t>jw.organization</t>
        </is>
      </c>
      <c r="Q1373" s="7" t="inlineStr">
        <is>
          <t>journey</t>
        </is>
      </c>
      <c r="R1373" s="7" t="inlineStr">
        <is>
          <t>Nathan H. Knorr; Milton G. Henschel</t>
        </is>
      </c>
      <c r="S1373" s="7" t="inlineStr">
        <is>
          <t>Europe</t>
        </is>
      </c>
      <c r="T1373" s="7" t="n"/>
      <c r="U1373" s="7" t="n"/>
      <c r="V1373" s="7" t="n">
        <v>1</v>
      </c>
      <c r="W1373" s="7" t="inlineStr">
        <is>
          <t>Declaring the Good News Without Letup (1942-1975)</t>
        </is>
      </c>
      <c r="X1373" s="9" t="inlineStr">
        <is>
          <t>open</t>
        </is>
      </c>
      <c r="Y1373" s="7" t="n"/>
      <c r="Z1373" s="7" t="inlineStr">
        <is>
          <t>https://wol.jw.org/en/wol/d/r1/lp-e/1101993009</t>
        </is>
      </c>
      <c r="AA1373" s="7" t="n">
        <v>0</v>
      </c>
      <c r="AB1373" s="7" t="n"/>
      <c r="AC1373" s="7" t="n">
        <v>0</v>
      </c>
      <c r="AD1373" s="7" t="n"/>
      <c r="AE1373" s="7" t="n"/>
      <c r="AF1373" s="7" t="n"/>
      <c r="AG1373" s="7" t="n"/>
      <c r="AH1373" s="7" t="n"/>
      <c r="AI1373" s="7" t="n"/>
      <c r="AJ1373" s="7" t="n"/>
      <c r="AK1373" s="7" t="n"/>
      <c r="AL1373" s="7" t="n"/>
      <c r="AM1373" s="7" t="n">
        <v>1945.8333</v>
      </c>
      <c r="AN1373" s="10" t="n"/>
      <c r="AO1373" s="10" t="n"/>
      <c r="AP1373" s="10" t="n"/>
      <c r="AQ1373" s="10" t="n"/>
    </row>
    <row r="1374">
      <c r="A1374" s="7" t="inlineStr">
        <is>
          <t>b9-0001</t>
        </is>
      </c>
      <c r="B1374" s="7" t="inlineStr">
        <is>
          <t>Point</t>
        </is>
      </c>
      <c r="C1374" s="7" t="n"/>
      <c r="D1374" s="7" t="inlineStr">
        <is>
          <t>1946</t>
        </is>
      </c>
      <c r="E1374" s="7" t="inlineStr">
        <is>
          <t>1946</t>
        </is>
      </c>
      <c r="F1374" s="7" t="inlineStr">
        <is>
          <t>1946 CE</t>
        </is>
      </c>
      <c r="G1374" s="7" t="inlineStr">
        <is>
          <t>Exact</t>
        </is>
      </c>
      <c r="H1374" s="7" t="n"/>
      <c r="I1374" s="7" t="n"/>
      <c r="J1374" s="7" t="n"/>
      <c r="K1374" s="2" t="inlineStr">
        <is>
          <t>Awake! magazine begins publication</t>
        </is>
      </c>
      <c r="L1374" s="2" t="inlineStr">
        <is>
          <t>1946-லிருந்து இது விழித்தெழு!</t>
        </is>
      </c>
      <c r="M1374" s="7" t="inlineStr">
        <is>
          <t>Awake!, successor to The Golden Age and Consolation, began publication in 1946, with a total printing of 13,934,429 copies that year.</t>
        </is>
      </c>
      <c r="N1374" s="7" t="inlineStr">
        <is>
          <t>1946-லிருந்து இது விழித்தெழு!</t>
        </is>
      </c>
      <c r="O1374" s="13" t="inlineStr">
        <is>
          <t>Jehovah's Witnesses</t>
        </is>
      </c>
      <c r="P1374" s="7" t="inlineStr">
        <is>
          <t>jw.publication</t>
        </is>
      </c>
      <c r="Q1374" s="7" t="inlineStr">
        <is>
          <t>release</t>
        </is>
      </c>
      <c r="R1374" s="7" t="n"/>
      <c r="S1374" s="7" t="n"/>
      <c r="T1374" s="7" t="n"/>
      <c r="U1374" s="7" t="n"/>
      <c r="V1374" s="7" t="n">
        <v>2</v>
      </c>
      <c r="W1374" s="7" t="inlineStr">
        <is>
          <t>Noteworthy Events in the Modern-day History of Jehovah’s Witnesses</t>
        </is>
      </c>
      <c r="X1374" s="9" t="inlineStr">
        <is>
          <t>open</t>
        </is>
      </c>
      <c r="Y1374" s="7" t="n"/>
      <c r="Z1374" s="7" t="inlineStr">
        <is>
          <t>https://wol.jw.org/en/wol/d/r1/lp-e/1101993046
https://wol.jw.org/en/wol/d/r1/lp-e/1102014247</t>
        </is>
      </c>
      <c r="AA1374" s="7" t="n">
        <v>0</v>
      </c>
      <c r="AB1374" s="7" t="n"/>
      <c r="AC1374" s="7" t="n">
        <v>0</v>
      </c>
      <c r="AD1374" s="7" t="n"/>
      <c r="AE1374" s="7" t="n"/>
      <c r="AF1374" s="7" t="n"/>
      <c r="AG1374" s="7" t="n"/>
      <c r="AH1374" s="7" t="n"/>
      <c r="AI1374" s="7" t="inlineStr">
        <is>
          <t>Span endpoint – keep</t>
        </is>
      </c>
      <c r="AJ1374" s="7" t="inlineStr">
        <is>
          <t>end of Consolation magazine (b12-0081); start of Awake! magazine in publication (b12-0090)</t>
        </is>
      </c>
      <c r="AK1374" s="7" t="n"/>
      <c r="AL1374" s="7" t="n"/>
      <c r="AM1374" s="7" t="n">
        <v>1946</v>
      </c>
      <c r="AN1374" s="10" t="n"/>
      <c r="AO1374" s="10" t="n"/>
      <c r="AP1374" s="10" t="n"/>
      <c r="AQ1374" s="10" t="n"/>
    </row>
    <row r="1375">
      <c r="A1375" s="7" t="inlineStr">
        <is>
          <t>b9-0002</t>
        </is>
      </c>
      <c r="B1375" s="7" t="inlineStr">
        <is>
          <t>Point</t>
        </is>
      </c>
      <c r="C1375" s="7" t="n"/>
      <c r="D1375" s="7" t="inlineStr">
        <is>
          <t>1946</t>
        </is>
      </c>
      <c r="E1375" s="7" t="n"/>
      <c r="F1375" s="7" t="inlineStr">
        <is>
          <t>1946 CE</t>
        </is>
      </c>
      <c r="G1375" s="7" t="inlineStr">
        <is>
          <t>Exact</t>
        </is>
      </c>
      <c r="H1375" s="7" t="n"/>
      <c r="I1375" s="7" t="n"/>
      <c r="J1375" s="7" t="n"/>
      <c r="K1375" s="2" t="inlineStr">
        <is>
          <t>Understanding clarified: New Year’s Day</t>
        </is>
      </c>
      <c r="L1375" s="2" t="n"/>
      <c r="M1375" s="7" t="inlineStr">
        <is>
          <t>The Watch Tower Publications Index (“Beliefs Clarified,” list by year) records a clarified understanding in 1946 concerning New Year’s Day. Index references: kr 105.</t>
        </is>
      </c>
      <c r="N1375" s="7" t="n"/>
      <c r="O1375" s="13" t="inlineStr">
        <is>
          <t>Jehovah's Witnesses</t>
        </is>
      </c>
      <c r="P1375" s="7" t="inlineStr">
        <is>
          <t>jw.doctrine</t>
        </is>
      </c>
      <c r="Q1375" s="7" t="inlineStr">
        <is>
          <t>beliefs_clarified</t>
        </is>
      </c>
      <c r="R1375" s="7" t="n"/>
      <c r="S1375" s="7" t="n"/>
      <c r="T1375" s="7" t="n"/>
      <c r="U1375" s="7" t="n"/>
      <c r="V1375" s="7" t="n">
        <v>1</v>
      </c>
      <c r="W1375" s="7" t="inlineStr">
        <is>
          <t>Beliefs Clarified</t>
        </is>
      </c>
      <c r="X1375" s="9" t="inlineStr">
        <is>
          <t>open</t>
        </is>
      </c>
      <c r="Y1375" s="7" t="n"/>
      <c r="Z1375" s="7" t="inlineStr">
        <is>
          <t>https://wol.jw.org/en/wol/d/r1/lp-e/1200277174</t>
        </is>
      </c>
      <c r="AA1375" s="7" t="n">
        <v>0</v>
      </c>
      <c r="AB1375" s="7" t="n"/>
      <c r="AC1375" s="7" t="n">
        <v>0</v>
      </c>
      <c r="AD1375" s="7" t="n"/>
      <c r="AE1375" s="7" t="n"/>
      <c r="AF1375" s="7" t="n"/>
      <c r="AG1375" s="7" t="n"/>
      <c r="AH1375" s="7" t="n"/>
      <c r="AI1375" s="7" t="inlineStr">
        <is>
          <t>Index list entry – app detail</t>
        </is>
      </c>
      <c r="AJ1375" s="7" t="n"/>
      <c r="AK1375" s="7" t="n"/>
      <c r="AL1375" s="7" t="n"/>
      <c r="AM1375" s="7" t="n">
        <v>1946</v>
      </c>
      <c r="AN1375" s="10" t="n"/>
      <c r="AO1375" s="10" t="n"/>
      <c r="AP1375" s="10" t="n"/>
      <c r="AQ1375" s="10" t="n"/>
    </row>
    <row r="1376">
      <c r="A1376" s="7" t="inlineStr">
        <is>
          <t>b9-0003</t>
        </is>
      </c>
      <c r="B1376" s="7" t="inlineStr">
        <is>
          <t>Point</t>
        </is>
      </c>
      <c r="C1376" s="7" t="n"/>
      <c r="D1376" s="7" t="inlineStr">
        <is>
          <t>1946</t>
        </is>
      </c>
      <c r="E1376" s="7" t="n"/>
      <c r="F1376" s="7" t="inlineStr">
        <is>
          <t>1946 CE</t>
        </is>
      </c>
      <c r="G1376" s="7" t="inlineStr">
        <is>
          <t>Exact</t>
        </is>
      </c>
      <c r="H1376" s="7" t="n"/>
      <c r="I1376" s="7" t="n"/>
      <c r="J1376" s="7" t="n"/>
      <c r="K1376" s="2" t="inlineStr">
        <is>
          <t>1946: Glad Nations Theocratic Assemblies</t>
        </is>
      </c>
      <c r="L1376" s="2" t="n"/>
      <c r="M1376" s="7" t="inlineStr">
        <is>
          <t>The Watch Tower Publications Index lists the 1946 conventions of Jehovah’s Witnesses as Glad Nations Theocratic Assemblies.</t>
        </is>
      </c>
      <c r="N1376" s="7" t="n"/>
      <c r="O1376" s="13" t="inlineStr">
        <is>
          <t>Jehovah's Witnesses</t>
        </is>
      </c>
      <c r="P1376" s="7" t="inlineStr">
        <is>
          <t>jw.convention</t>
        </is>
      </c>
      <c r="Q1376" s="7" t="inlineStr">
        <is>
          <t>convention</t>
        </is>
      </c>
      <c r="R1376" s="7" t="n"/>
      <c r="S1376" s="7" t="n"/>
      <c r="T1376" s="7" t="n"/>
      <c r="U1376" s="7" t="n"/>
      <c r="V1376" s="7" t="n">
        <v>1</v>
      </c>
      <c r="W1376" s="7" t="inlineStr">
        <is>
          <t>Conventions</t>
        </is>
      </c>
      <c r="X1376" s="9" t="inlineStr">
        <is>
          <t>open</t>
        </is>
      </c>
      <c r="Y1376" s="7" t="n"/>
      <c r="Z1376" s="7" t="inlineStr">
        <is>
          <t>https://wol.jw.org/en/wol/d/r1/lp-e/1200271388</t>
        </is>
      </c>
      <c r="AA1376" s="7" t="n">
        <v>0</v>
      </c>
      <c r="AB1376" s="7" t="n"/>
      <c r="AC1376" s="7" t="n">
        <v>0</v>
      </c>
      <c r="AD1376" s="7" t="n"/>
      <c r="AE1376" s="7" t="n"/>
      <c r="AF1376" s="7" t="n"/>
      <c r="AG1376" s="7" t="n"/>
      <c r="AH1376" s="7" t="n"/>
      <c r="AI1376" s="7" t="inlineStr">
        <is>
          <t>Index list entry – app detail</t>
        </is>
      </c>
      <c r="AJ1376" s="7" t="n"/>
      <c r="AK1376" s="7" t="n"/>
      <c r="AL1376" s="7" t="n"/>
      <c r="AM1376" s="7" t="n">
        <v>1946</v>
      </c>
      <c r="AN1376" s="10" t="n"/>
      <c r="AO1376" s="10" t="n"/>
      <c r="AP1376" s="10" t="n"/>
      <c r="AQ1376" s="10" t="n"/>
    </row>
    <row r="1377">
      <c r="A1377" s="7" t="inlineStr">
        <is>
          <t>b9-0004</t>
        </is>
      </c>
      <c r="B1377" s="7" t="inlineStr">
        <is>
          <t>Point</t>
        </is>
      </c>
      <c r="C1377" s="7" t="n"/>
      <c r="D1377" s="7" t="inlineStr">
        <is>
          <t>1946</t>
        </is>
      </c>
      <c r="E1377" s="7" t="inlineStr">
        <is>
          <t>1946</t>
        </is>
      </c>
      <c r="F1377" s="7" t="inlineStr">
        <is>
          <t>1946 CE</t>
        </is>
      </c>
      <c r="G1377" s="7" t="inlineStr">
        <is>
          <t>Exact</t>
        </is>
      </c>
      <c r="H1377" s="7" t="n"/>
      <c r="I1377" s="7" t="n"/>
      <c r="J1377" s="7" t="n"/>
      <c r="K1377" s="2" t="inlineStr">
        <is>
          <t>“Equipped for Every Good Work” published</t>
        </is>
      </c>
      <c r="L1377" s="2" t="inlineStr">
        <is>
          <t>பிறகு 1946-ல், ‘எந்தவொரு நல்ல வேலையையும் செய்யத் தகுதிபெறுதல்’ (ஆங்கிலம்) என்ற புத்தகம் வெளிவந்தது.</t>
        </is>
      </c>
      <c r="M1377" s="7" t="inlineStr">
        <is>
          <t>The textbook “Equipped for Every Good Work” was published in 1946 to train ministers in the Theocratic Ministry School.</t>
        </is>
      </c>
      <c r="N1377" s="7" t="inlineStr">
        <is>
          <t>பிறகு 1946-ல், ‘எந்தவொரு நல்ல வேலையையும் செய்யத் தகுதிபெறுதல்’ (ஆங்கிலம்) என்ற புத்தகம் வெளிவந்தது.</t>
        </is>
      </c>
      <c r="O1377" s="13" t="inlineStr">
        <is>
          <t>Jehovah's Witnesses</t>
        </is>
      </c>
      <c r="P1377" s="7" t="inlineStr">
        <is>
          <t>jw.publication</t>
        </is>
      </c>
      <c r="Q1377" s="7" t="inlineStr">
        <is>
          <t>release</t>
        </is>
      </c>
      <c r="R1377" s="7" t="n"/>
      <c r="S1377" s="7" t="n"/>
      <c r="T1377" s="7" t="n"/>
      <c r="U1377" s="7" t="n"/>
      <c r="V1377" s="7" t="n">
        <v>1</v>
      </c>
      <c r="W1377" s="7" t="inlineStr">
        <is>
          <t>Tools for Preaching</t>
        </is>
      </c>
      <c r="X1377" s="9" t="inlineStr">
        <is>
          <t>open</t>
        </is>
      </c>
      <c r="Y1377" s="9" t="inlineStr">
        <is>
          <t>open</t>
        </is>
      </c>
      <c r="Z1377" s="7" t="inlineStr">
        <is>
          <t>https://wol.jw.org/en/wol/d/r1/lp-e/1102014247</t>
        </is>
      </c>
      <c r="AA1377" s="7" t="n">
        <v>0</v>
      </c>
      <c r="AB1377" s="7" t="n"/>
      <c r="AC1377" s="7" t="n">
        <v>0</v>
      </c>
      <c r="AD1377" s="7" t="n"/>
      <c r="AE1377" s="7" t="n"/>
      <c r="AF1377" s="7" t="n"/>
      <c r="AG1377" s="7" t="n"/>
      <c r="AH1377" s="7" t="n"/>
      <c r="AI1377" s="7" t="n"/>
      <c r="AJ1377" s="7" t="n"/>
      <c r="AK1377" s="7" t="n"/>
      <c r="AL1377" s="7" t="n"/>
      <c r="AM1377" s="7" t="n">
        <v>1946</v>
      </c>
      <c r="AN1377" s="10" t="n"/>
      <c r="AO1377" s="10" t="n"/>
      <c r="AP1377" s="10" t="n"/>
      <c r="AQ1377" s="10" t="n"/>
    </row>
    <row r="1378">
      <c r="A1378" s="7" t="inlineStr">
        <is>
          <t>b9-0005</t>
        </is>
      </c>
      <c r="B1378" s="7" t="inlineStr">
        <is>
          <t>Point</t>
        </is>
      </c>
      <c r="C1378" s="7" t="n"/>
      <c r="D1378" s="7" t="inlineStr">
        <is>
          <t>1946</t>
        </is>
      </c>
      <c r="E1378" s="7" t="n"/>
      <c r="F1378" s="7" t="inlineStr">
        <is>
          <t>1946 CE</t>
        </is>
      </c>
      <c r="G1378" s="7" t="inlineStr">
        <is>
          <t>Exact</t>
        </is>
      </c>
      <c r="H1378" s="7" t="n"/>
      <c r="I1378" s="7" t="n"/>
      <c r="J1378" s="7" t="n"/>
      <c r="K1378" s="2" t="inlineStr">
        <is>
          <t>Over 470 Witnesses taken before courts in Greece</t>
        </is>
      </c>
      <c r="L1378" s="2" t="n"/>
      <c r="M1378" s="7" t="inlineStr">
        <is>
          <t>More than 470 Witnesses in Greece were taken before the courts in 1946 for sharing Bible teachings with others.</t>
        </is>
      </c>
      <c r="N1378" s="7" t="n"/>
      <c r="O1378" s="13" t="inlineStr">
        <is>
          <t>Jehovah's Witnesses</t>
        </is>
      </c>
      <c r="P1378" s="7" t="inlineStr">
        <is>
          <t>jw.persecution</t>
        </is>
      </c>
      <c r="Q1378" s="7" t="n"/>
      <c r="R1378" s="7" t="n"/>
      <c r="S1378" s="7" t="inlineStr">
        <is>
          <t>Greece</t>
        </is>
      </c>
      <c r="T1378" s="7" t="n"/>
      <c r="U1378" s="7" t="n"/>
      <c r="V1378" s="7" t="n">
        <v>1</v>
      </c>
      <c r="W1378" s="7" t="inlineStr">
        <is>
          <t>Noteworthy Events in the Modern-day History of Jehovah’s Witnesses</t>
        </is>
      </c>
      <c r="X1378" s="9" t="inlineStr">
        <is>
          <t>open</t>
        </is>
      </c>
      <c r="Y1378" s="7" t="n"/>
      <c r="Z1378" s="7" t="inlineStr">
        <is>
          <t>https://wol.jw.org/en/wol/d/r1/lp-e/1101993046</t>
        </is>
      </c>
      <c r="AA1378" s="7" t="n">
        <v>0</v>
      </c>
      <c r="AB1378" s="7" t="n"/>
      <c r="AC1378" s="7" t="n">
        <v>0</v>
      </c>
      <c r="AD1378" s="7" t="n"/>
      <c r="AE1378" s="7" t="n"/>
      <c r="AF1378" s="7" t="n"/>
      <c r="AG1378" s="7" t="n"/>
      <c r="AH1378" s="7" t="n"/>
      <c r="AI1378" s="7" t="n"/>
      <c r="AJ1378" s="7" t="n"/>
      <c r="AK1378" s="7" t="n"/>
      <c r="AL1378" s="7" t="n"/>
      <c r="AM1378" s="7" t="n">
        <v>1946</v>
      </c>
      <c r="AN1378" s="10" t="n"/>
      <c r="AO1378" s="10" t="n"/>
      <c r="AP1378" s="10" t="n"/>
      <c r="AQ1378" s="10" t="n"/>
    </row>
    <row r="1379">
      <c r="A1379" s="7" t="inlineStr">
        <is>
          <t>b9-0006</t>
        </is>
      </c>
      <c r="B1379" s="7" t="inlineStr">
        <is>
          <t>Point</t>
        </is>
      </c>
      <c r="C1379" s="7" t="n"/>
      <c r="D1379" s="7" t="inlineStr">
        <is>
          <t>1946</t>
        </is>
      </c>
      <c r="E1379" s="7" t="inlineStr">
        <is>
          <t>1946</t>
        </is>
      </c>
      <c r="F1379" s="7" t="inlineStr">
        <is>
          <t>1946 CE</t>
        </is>
      </c>
      <c r="G1379" s="7" t="inlineStr">
        <is>
          <t>Exact</t>
        </is>
      </c>
      <c r="H1379" s="7" t="n"/>
      <c r="I1379" s="7" t="n"/>
      <c r="J1379" s="7" t="n"/>
      <c r="K1379" s="2" t="inlineStr">
        <is>
          <t>“Let God Be True” published</t>
        </is>
      </c>
      <c r="L1379" s="2" t="inlineStr">
        <is>
          <t>பைபிள் படிப்பு நடத்துவதற்காக கடவுளுடைய ஊழியர்களுக்கு உதவிய இன்னும் சில புத்தகங்கள்: கடவுளுடைய சுரமண்டலம் (1921, ஆங்கிலம்), தேவனே…</t>
        </is>
      </c>
      <c r="M1379" s="7" t="inlineStr">
        <is>
          <t>The Bible study aid “Let God Be True” was published in 1946.</t>
        </is>
      </c>
      <c r="N1379" s="7" t="inlineStr">
        <is>
          <t>பைபிள் படிப்பு நடத்துவதற்காக கடவுளுடைய ஊழியர்களுக்கு உதவிய இன்னும் சில புத்தகங்கள்: கடவுளுடைய சுரமண்டலம் (1921, ஆங்கிலம்), தேவனே சத்தியபரர் (1946, ஆங்கிலம்), நீங்கள் பூமியில் பரதீஸில் என்றும் வாழலாம் (1989), நித்திய ஜீவனுக்கு வழிநடத்துகிற அறிவு (1995).</t>
        </is>
      </c>
      <c r="O1379" s="13" t="inlineStr">
        <is>
          <t>Jehovah's Witnesses</t>
        </is>
      </c>
      <c r="P1379" s="7" t="inlineStr">
        <is>
          <t>jw.publication</t>
        </is>
      </c>
      <c r="Q1379" s="7" t="inlineStr">
        <is>
          <t>release</t>
        </is>
      </c>
      <c r="R1379" s="7" t="n"/>
      <c r="S1379" s="7" t="n"/>
      <c r="T1379" s="7" t="n"/>
      <c r="U1379" s="7" t="n"/>
      <c r="V1379" s="7" t="n">
        <v>1</v>
      </c>
      <c r="W1379" s="7" t="inlineStr">
        <is>
          <t>Tools for Preaching</t>
        </is>
      </c>
      <c r="X1379" s="9" t="inlineStr">
        <is>
          <t>open</t>
        </is>
      </c>
      <c r="Y1379" s="9" t="inlineStr">
        <is>
          <t>open</t>
        </is>
      </c>
      <c r="Z1379" s="7" t="inlineStr">
        <is>
          <t>https://wol.jw.org/en/wol/d/r1/lp-e/1102014247</t>
        </is>
      </c>
      <c r="AA1379" s="7" t="n">
        <v>0</v>
      </c>
      <c r="AB1379" s="7" t="n"/>
      <c r="AC1379" s="7" t="n">
        <v>0</v>
      </c>
      <c r="AD1379" s="7" t="n"/>
      <c r="AE1379" s="7" t="n"/>
      <c r="AF1379" s="7" t="n"/>
      <c r="AG1379" s="7" t="n"/>
      <c r="AH1379" s="7" t="n"/>
      <c r="AI1379" s="7" t="n"/>
      <c r="AJ1379" s="7" t="n"/>
      <c r="AK1379" s="7" t="n"/>
      <c r="AL1379" s="7" t="n"/>
      <c r="AM1379" s="7" t="n">
        <v>1946</v>
      </c>
      <c r="AN1379" s="10" t="n"/>
      <c r="AO1379" s="10" t="n"/>
      <c r="AP1379" s="10" t="n"/>
      <c r="AQ1379" s="10" t="n"/>
    </row>
    <row r="1380">
      <c r="A1380" s="7" t="inlineStr">
        <is>
          <t>b9-0007</t>
        </is>
      </c>
      <c r="B1380" s="7" t="inlineStr">
        <is>
          <t>Point</t>
        </is>
      </c>
      <c r="C1380" s="7" t="n"/>
      <c r="D1380" s="7" t="inlineStr">
        <is>
          <t>1946</t>
        </is>
      </c>
      <c r="E1380" s="7" t="n"/>
      <c r="F1380" s="7" t="inlineStr">
        <is>
          <t>1946 CE</t>
        </is>
      </c>
      <c r="G1380" s="7" t="inlineStr">
        <is>
          <t>Exact</t>
        </is>
      </c>
      <c r="H1380" s="7" t="n"/>
      <c r="I1380" s="7" t="n"/>
      <c r="J1380" s="7" t="n"/>
      <c r="K1380" s="2" t="inlineStr">
        <is>
          <t>Over 4,000 Witnesses in the U.S. and 1,593 in Britain imprisoned for neutrality (1939-1946)</t>
        </is>
      </c>
      <c r="L1380" s="2" t="n"/>
      <c r="M1380" s="7" t="inlineStr">
        <is>
          <t>Proclaimers notes that during the seven years before 1946, more than 4,000 of Jehovah’s Witnesses in the United States and 1,593 in Britain had been arrested and sentenced to prison terms of one month to five years because of their Christian neutrality.</t>
        </is>
      </c>
      <c r="N1380" s="7" t="n"/>
      <c r="O1380" s="13" t="inlineStr">
        <is>
          <t>Jehovah's Witnesses</t>
        </is>
      </c>
      <c r="P1380" s="7" t="inlineStr">
        <is>
          <t>jw.persecution</t>
        </is>
      </c>
      <c r="Q1380" s="7" t="inlineStr">
        <is>
          <t>statistic</t>
        </is>
      </c>
      <c r="R1380" s="7" t="n"/>
      <c r="S1380" s="7" t="inlineStr">
        <is>
          <t>United States; Britain</t>
        </is>
      </c>
      <c r="T1380" s="7" t="n"/>
      <c r="U1380" s="7" t="n"/>
      <c r="V1380" s="7" t="n">
        <v>1</v>
      </c>
      <c r="W1380" s="7" t="inlineStr">
        <is>
          <t>Noteworthy Events in the Modern-day History of Jehovah’s Witnesses</t>
        </is>
      </c>
      <c r="X1380" s="9" t="inlineStr">
        <is>
          <t>open</t>
        </is>
      </c>
      <c r="Y1380" s="7" t="n"/>
      <c r="Z1380" s="7" t="inlineStr">
        <is>
          <t>https://wol.jw.org/en/wol/d/r1/lp-e/1101993046</t>
        </is>
      </c>
      <c r="AA1380" s="7" t="n">
        <v>0</v>
      </c>
      <c r="AB1380" s="7" t="n"/>
      <c r="AC1380" s="7" t="n">
        <v>0</v>
      </c>
      <c r="AD1380" s="7" t="n"/>
      <c r="AE1380" s="7" t="n"/>
      <c r="AF1380" s="7" t="n"/>
      <c r="AG1380" s="7" t="n"/>
      <c r="AH1380" s="7" t="n"/>
      <c r="AI1380" s="7" t="n"/>
      <c r="AJ1380" s="7" t="n"/>
      <c r="AK1380" s="7" t="n"/>
      <c r="AL1380" s="7" t="n"/>
      <c r="AM1380" s="7" t="n">
        <v>1946</v>
      </c>
      <c r="AN1380" s="10" t="n"/>
      <c r="AO1380" s="10" t="n"/>
      <c r="AP1380" s="10" t="n"/>
      <c r="AQ1380" s="10" t="n"/>
    </row>
    <row r="1381">
      <c r="A1381" s="7" t="inlineStr">
        <is>
          <t>b9-0008</t>
        </is>
      </c>
      <c r="B1381" s="7" t="inlineStr">
        <is>
          <t>Point</t>
        </is>
      </c>
      <c r="C1381" s="7" t="n"/>
      <c r="D1381" s="7" t="inlineStr">
        <is>
          <t>1946</t>
        </is>
      </c>
      <c r="E1381" s="7" t="n"/>
      <c r="F1381" s="7" t="inlineStr">
        <is>
          <t>1946 CE</t>
        </is>
      </c>
      <c r="G1381" s="7" t="inlineStr">
        <is>
          <t>Exact</t>
        </is>
      </c>
      <c r="H1381" s="7" t="n"/>
      <c r="I1381" s="7" t="n"/>
      <c r="J1381" s="7" t="n"/>
      <c r="K1381" s="2" t="inlineStr">
        <is>
          <t>6,504 pioneers in first year after World War II</t>
        </is>
      </c>
      <c r="L1381" s="2" t="n"/>
      <c r="M1381" s="7" t="inlineStr">
        <is>
          <t>In 1946, the first year after World War II, 6,504 Witnesses were sharing in full-time service as pioneers.</t>
        </is>
      </c>
      <c r="N1381" s="7" t="n"/>
      <c r="O1381" s="13" t="inlineStr">
        <is>
          <t>Jehovah's Witnesses</t>
        </is>
      </c>
      <c r="P1381" s="7" t="inlineStr">
        <is>
          <t>jw.preaching</t>
        </is>
      </c>
      <c r="Q1381" s="7" t="inlineStr">
        <is>
          <t>statistic</t>
        </is>
      </c>
      <c r="R1381" s="7" t="n"/>
      <c r="S1381" s="7" t="n"/>
      <c r="T1381" s="7" t="n"/>
      <c r="U1381" s="7" t="n"/>
      <c r="V1381" s="7" t="n">
        <v>1</v>
      </c>
      <c r="W1381" s="7" t="inlineStr">
        <is>
          <t>Noteworthy Events in the Modern-day History of Jehovah’s Witnesses</t>
        </is>
      </c>
      <c r="X1381" s="9" t="inlineStr">
        <is>
          <t>open</t>
        </is>
      </c>
      <c r="Y1381" s="7" t="n"/>
      <c r="Z1381" s="7" t="inlineStr">
        <is>
          <t>https://wol.jw.org/en/wol/d/r1/lp-e/1101993046</t>
        </is>
      </c>
      <c r="AA1381" s="7" t="n">
        <v>0</v>
      </c>
      <c r="AB1381" s="7" t="n"/>
      <c r="AC1381" s="7" t="n">
        <v>0</v>
      </c>
      <c r="AD1381" s="7" t="n"/>
      <c r="AE1381" s="7" t="n"/>
      <c r="AF1381" s="7" t="n"/>
      <c r="AG1381" s="7" t="n"/>
      <c r="AH1381" s="7" t="n"/>
      <c r="AI1381" s="7" t="n"/>
      <c r="AJ1381" s="7" t="n"/>
      <c r="AK1381" s="7" t="n"/>
      <c r="AL1381" s="7" t="n"/>
      <c r="AM1381" s="7" t="n">
        <v>1946</v>
      </c>
      <c r="AN1381" s="10" t="n"/>
      <c r="AO1381" s="10" t="n"/>
      <c r="AP1381" s="10" t="n"/>
      <c r="AQ1381" s="10" t="n"/>
    </row>
    <row r="1382">
      <c r="A1382" s="7" t="inlineStr">
        <is>
          <t>b9-0009</t>
        </is>
      </c>
      <c r="B1382" s="7" t="inlineStr">
        <is>
          <t>Point</t>
        </is>
      </c>
      <c r="C1382" s="7" t="n"/>
      <c r="D1382" s="7" t="inlineStr">
        <is>
          <t>1946, January</t>
        </is>
      </c>
      <c r="E1382" s="7" t="inlineStr">
        <is>
          <t>ஜனவரி 1946</t>
        </is>
      </c>
      <c r="F1382" s="7" t="inlineStr">
        <is>
          <t>1946 CE</t>
        </is>
      </c>
      <c r="G1382" s="7" t="inlineStr">
        <is>
          <t>Exact</t>
        </is>
      </c>
      <c r="H1382" s="7" t="n"/>
      <c r="I1382" s="7" t="n"/>
      <c r="J1382" s="7" t="n"/>
      <c r="K1382" s="2" t="inlineStr">
        <is>
          <t>Postwar relief shipments to Witnesses in Europe and Asia</t>
        </is>
      </c>
      <c r="L1382" s="2" t="inlineStr">
        <is>
          <t>ஜனவரி 1946 முதற்கொண்டு ஆஸ்திரியா, இங்கிலாந்து, இத்தாலி, கிரீஸ், சீனா, செக்கோஸ்லோவாகியா, டென்மார்க், நார்வே, நெதர்லாந்து, பல்கேரியா,…</t>
        </is>
      </c>
      <c r="M1382" s="7" t="inlineStr">
        <is>
          <t>From January 1946, relief goods were sent to fellow believers in 18 lands, including Austria, Germany, Greece, the Philippines, and Poland.</t>
        </is>
      </c>
      <c r="N1382" s="7" t="inlineStr">
        <is>
          <t>ஜனவரி 1946 முதற்கொண்டு ஆஸ்திரியா, இங்கிலாந்து, இத்தாலி, கிரீஸ், சீனா, செக்கோஸ்லோவாகியா, டென்மார்க், நார்வே, நெதர்லாந்து, பல்கேரியா, பிரான்சு, பிலிப்பைன்ஸ், பின்லாந்து, பெல்ஜியம், போலந்து, ரொமேனியா, ஜெர்மனி, ஹங்கேரி ஆகிய நாடுகளிலுள்ள சகோதர சகோதரிகளுக்கு அவை அனுப்பப்பட்டன.</t>
        </is>
      </c>
      <c r="O1382" s="13" t="inlineStr">
        <is>
          <t>Jehovah's Witnesses</t>
        </is>
      </c>
      <c r="P1382" s="7" t="inlineStr">
        <is>
          <t>jw.relief</t>
        </is>
      </c>
      <c r="Q1382" s="7" t="n"/>
      <c r="R1382" s="7" t="n"/>
      <c r="S1382" s="7" t="n"/>
      <c r="T1382" s="7" t="n"/>
      <c r="U1382" s="7" t="n"/>
      <c r="V1382" s="7" t="n">
        <v>1</v>
      </c>
      <c r="W1382" s="7" t="inlineStr">
        <is>
          <t>The Ministry of Relief</t>
        </is>
      </c>
      <c r="X1382" s="9" t="inlineStr">
        <is>
          <t>open</t>
        </is>
      </c>
      <c r="Y1382" s="9" t="inlineStr">
        <is>
          <t>open</t>
        </is>
      </c>
      <c r="Z1382" s="7" t="inlineStr">
        <is>
          <t>https://wol.jw.org/en/wol/d/r1/lp-e/1102014262</t>
        </is>
      </c>
      <c r="AA1382" s="7" t="n">
        <v>1</v>
      </c>
      <c r="AB1382" s="9" t="inlineStr">
        <is>
          <t>open</t>
        </is>
      </c>
      <c r="AC1382" s="7" t="n">
        <v>0</v>
      </c>
      <c r="AD1382" s="7" t="n"/>
      <c r="AE1382" s="7" t="n"/>
      <c r="AF1382" s="7" t="n"/>
      <c r="AG1382" s="7" t="n"/>
      <c r="AH1382" s="7" t="n"/>
      <c r="AI1382" s="7" t="n"/>
      <c r="AJ1382" s="7" t="n"/>
      <c r="AK1382" s="7" t="n"/>
      <c r="AL1382" s="7" t="n"/>
      <c r="AM1382" s="7" t="n">
        <v>1946</v>
      </c>
      <c r="AN1382" s="10" t="n"/>
      <c r="AO1382" s="10" t="n"/>
      <c r="AP1382" s="10" t="n"/>
      <c r="AQ1382" s="10" t="n"/>
    </row>
    <row r="1383">
      <c r="A1383" s="7" t="inlineStr">
        <is>
          <t>b9-0010</t>
        </is>
      </c>
      <c r="B1383" s="7" t="inlineStr">
        <is>
          <t>Point</t>
        </is>
      </c>
      <c r="C1383" s="7" t="n"/>
      <c r="D1383" s="7" t="inlineStr">
        <is>
          <t>1946</t>
        </is>
      </c>
      <c r="E1383" s="7" t="inlineStr">
        <is>
          <t>1946</t>
        </is>
      </c>
      <c r="F1383" s="7" t="inlineStr">
        <is>
          <t>1946 CE</t>
        </is>
      </c>
      <c r="G1383" s="7" t="inlineStr">
        <is>
          <t>Exact</t>
        </is>
      </c>
      <c r="H1383" s="7" t="n"/>
      <c r="I1383" s="7" t="n"/>
      <c r="J1383" s="7" t="n"/>
      <c r="K1383" s="2" t="inlineStr">
        <is>
          <t>Quebec’s Burning Hate tract campaign</t>
        </is>
      </c>
      <c r="L1383" s="2" t="inlineStr">
        <is>
          <t>அதனால் 1946-ல், மதச் சுதந்திரத்துக்கான உரிமையை அரசாங்கம் பறித்துவிட்டதைப் பற்றி எல்லாருக்கும் தெரியப்படுத்துவதற்கு சகோதரர்கள் ஒரு விசேஷ…</t>
        </is>
      </c>
      <c r="M1383" s="7" t="inlineStr">
        <is>
          <t>In 1946 Witnesses in Quebec held a 16-day campaign distributing the tract Quebec’s Burning Hate for God and Christ and Freedom Is the Shame of All Canada. In the four years that followed, Witnesses in Quebec grew from 300 to 1,000.</t>
        </is>
      </c>
      <c r="N1383" s="7" t="inlineStr">
        <is>
          <t>அதனால் 1946-ல், மதச் சுதந்திரத்துக்கான உரிமையை அரசாங்கம் பறித்துவிட்டதைப் பற்றி எல்லாருக்கும் தெரியப்படுத்துவதற்கு சகோதரர்கள் ஒரு விசேஷ முயற்சி எடுத்தார்கள்.</t>
        </is>
      </c>
      <c r="O1383" s="13" t="inlineStr">
        <is>
          <t>Jehovah's Witnesses</t>
        </is>
      </c>
      <c r="P1383" s="7" t="inlineStr">
        <is>
          <t>jw.legal</t>
        </is>
      </c>
      <c r="Q1383" s="7" t="n"/>
      <c r="R1383" s="7" t="n"/>
      <c r="S1383" s="7" t="inlineStr">
        <is>
          <t>Quebec; Canada</t>
        </is>
      </c>
      <c r="T1383" s="7" t="n"/>
      <c r="U1383" s="7" t="n"/>
      <c r="V1383" s="7" t="n">
        <v>1</v>
      </c>
      <c r="W1383" s="7" t="inlineStr">
        <is>
          <t>Kingdom Preachers Take Their Case to Court</t>
        </is>
      </c>
      <c r="X1383" s="9" t="inlineStr">
        <is>
          <t>open</t>
        </is>
      </c>
      <c r="Y1383" s="9" t="inlineStr">
        <is>
          <t>open</t>
        </is>
      </c>
      <c r="Z1383" s="7" t="inlineStr">
        <is>
          <t>https://wol.jw.org/en/wol/d/r1/lp-e/1102014252</t>
        </is>
      </c>
      <c r="AA1383" s="7" t="n">
        <v>0</v>
      </c>
      <c r="AB1383" s="7" t="n"/>
      <c r="AC1383" s="7" t="n">
        <v>0</v>
      </c>
      <c r="AD1383" s="7" t="n"/>
      <c r="AE1383" s="7" t="n"/>
      <c r="AF1383" s="7" t="n"/>
      <c r="AG1383" s="7" t="n"/>
      <c r="AH1383" s="7" t="n"/>
      <c r="AI1383" s="7" t="n"/>
      <c r="AJ1383" s="7" t="n"/>
      <c r="AK1383" s="7" t="n"/>
      <c r="AL1383" s="7" t="n"/>
      <c r="AM1383" s="7" t="n">
        <v>1946</v>
      </c>
      <c r="AN1383" s="10" t="n"/>
      <c r="AO1383" s="10" t="n"/>
      <c r="AP1383" s="10" t="n"/>
      <c r="AQ1383" s="10" t="n"/>
    </row>
    <row r="1384">
      <c r="A1384" s="7" t="inlineStr">
        <is>
          <t>b12-0090</t>
        </is>
      </c>
      <c r="B1384" s="11" t="inlineStr">
        <is>
          <t>Span</t>
        </is>
      </c>
      <c r="C1384" s="7" t="inlineStr">
        <is>
          <t>publication</t>
        </is>
      </c>
      <c r="D1384" s="7" t="inlineStr">
        <is>
          <t>1946–</t>
        </is>
      </c>
      <c r="E1384" s="7" t="n"/>
      <c r="F1384" s="7" t="inlineStr">
        <is>
          <t>1946 CE</t>
        </is>
      </c>
      <c r="G1384" s="7" t="inlineStr">
        <is>
          <t>Exact</t>
        </is>
      </c>
      <c r="H1384" s="7" t="n"/>
      <c r="I1384" s="7" t="inlineStr">
        <is>
          <t>Ongoing</t>
        </is>
      </c>
      <c r="J1384" s="7" t="n"/>
      <c r="K1384" s="2" t="inlineStr">
        <is>
          <t>Awake! magazine in publication</t>
        </is>
      </c>
      <c r="L1384" s="2" t="n"/>
      <c r="M1384" s="7" t="inlineStr">
        <is>
          <t>Awake!, successor to The Golden Age and Consolation, began publication in 1946 and is still published.</t>
        </is>
      </c>
      <c r="N1384" s="7" t="inlineStr">
        <is>
          <t>1946-லிருந்து இது விழித்தெழு! என்று அழைக்கப்படுகிறது.</t>
        </is>
      </c>
      <c r="O1384" s="13" t="inlineStr">
        <is>
          <t>Jehovah's Witnesses</t>
        </is>
      </c>
      <c r="P1384" s="7" t="inlineStr">
        <is>
          <t>jw.publication</t>
        </is>
      </c>
      <c r="Q1384" s="7" t="n"/>
      <c r="R1384" s="7" t="n"/>
      <c r="S1384" s="7" t="n"/>
      <c r="T1384" s="7" t="n"/>
      <c r="U1384" s="7" t="n"/>
      <c r="V1384" s="7" t="n">
        <v>3</v>
      </c>
      <c r="W1384" s="7" t="inlineStr">
        <is>
          <t>Tools for Preaching—Producing Literature for the Worldwide Field</t>
        </is>
      </c>
      <c r="X1384" s="9" t="inlineStr">
        <is>
          <t>open</t>
        </is>
      </c>
      <c r="Y1384" s="9" t="inlineStr">
        <is>
          <t>open</t>
        </is>
      </c>
      <c r="Z1384" s="7" t="inlineStr">
        <is>
          <t>https://wol.jw.org/en/wol/d/r1/lp-e/1102014247
https://wol.jw.org/en/wol/d/r1/lp-e/102006001
https://wol.jw.org/en/wol/d/r1/lp-e/1101993046</t>
        </is>
      </c>
      <c r="AA1384" s="7" t="n">
        <v>0</v>
      </c>
      <c r="AB1384" s="7" t="n"/>
      <c r="AC1384" s="7" t="n">
        <v>0</v>
      </c>
      <c r="AD1384" s="7" t="n"/>
      <c r="AE1384" s="7" t="n"/>
      <c r="AF1384" s="7" t="inlineStr">
        <is>
          <t>b9-0001</t>
        </is>
      </c>
      <c r="AG1384" s="7" t="n"/>
      <c r="AH1384" s="7" t="n"/>
      <c r="AI1384" s="7" t="n"/>
      <c r="AJ1384" s="7" t="n"/>
      <c r="AK1384" s="7" t="n"/>
      <c r="AL1384" s="7" t="n"/>
      <c r="AM1384" s="7" t="n">
        <v>1946</v>
      </c>
      <c r="AN1384" s="10" t="n"/>
      <c r="AO1384" s="10" t="n"/>
      <c r="AP1384" s="10" t="n"/>
      <c r="AQ1384" s="10" t="n"/>
    </row>
    <row r="1385">
      <c r="A1385" s="7" t="inlineStr">
        <is>
          <t>b17-0010</t>
        </is>
      </c>
      <c r="B1385" s="7" t="inlineStr">
        <is>
          <t>Point</t>
        </is>
      </c>
      <c r="C1385" s="7" t="n"/>
      <c r="D1385" s="7" t="inlineStr">
        <is>
          <t>1947</t>
        </is>
      </c>
      <c r="E1385" s="7" t="inlineStr">
        <is>
          <t>1947</t>
        </is>
      </c>
      <c r="F1385" s="7" t="inlineStr">
        <is>
          <t>1947 CE</t>
        </is>
      </c>
      <c r="G1385" s="7" t="inlineStr">
        <is>
          <t>Exact</t>
        </is>
      </c>
      <c r="H1385" s="7" t="n"/>
      <c r="I1385" s="7" t="n"/>
      <c r="J1385" s="7" t="n"/>
      <c r="K1385" s="2" t="inlineStr">
        <is>
          <t>Dead Sea Scrolls discovered</t>
        </is>
      </c>
      <c r="L1385" s="2" t="inlineStr">
        <is>
          <t>சவக்கடல் சுருள்கள்</t>
        </is>
      </c>
      <c r="M1385" s="7" t="inlineStr">
        <is>
          <t>In 1947 a scroll of Isaiah, together with other Biblical and non-Biblical scrolls, was discovered in a cave at Wadi Qumran near the Dead Sea; other caves later yielded parts of all Hebrew Scripture books except Esther. Comparing these manuscripts, about a thousand years older than the Leningrad Codex, with the Masoretic text confirmed that the message had not changed.</t>
        </is>
      </c>
      <c r="N1385" s="7" t="inlineStr">
        <is>
          <t>சவக்கடல் சுருள்கள். 1947-⁠ல் எபிரெயக் கையெழுத்துப் பிரதியின் சரித்திரத்தில் சுவாரஸ்யமான ஒரு புதிய அத்தியாயம் தொடங்கியது. சவக்கடல் பகுதியில், வாடி கும்ரன் (நஹல் குமெரன்) என்ற இடத்திலுள்ள ஒரு குகையில் முதல் ஏசாயா சுருள் கண்டுபிடிக்கப்பட்டது; இதோடு, பைபிள் சம்பந்தப்பட்ட மற்றும் பைபிள் சம்பந்தப்படாத பல சுருள்களும் கண்டுபிடிக்கப்பட்டன.</t>
        </is>
      </c>
      <c r="O1385" s="12" t="inlineStr">
        <is>
          <t>Bible &amp; church history</t>
        </is>
      </c>
      <c r="P1385" s="7" t="inlineStr">
        <is>
          <t>history.bible_preservation</t>
        </is>
      </c>
      <c r="Q1385" s="7" t="inlineStr">
        <is>
          <t>discovery</t>
        </is>
      </c>
      <c r="R1385" s="7" t="n"/>
      <c r="S1385" s="7" t="inlineStr">
        <is>
          <t>Qumran; Dead Sea</t>
        </is>
      </c>
      <c r="T1385" s="7" t="n"/>
      <c r="U1385" s="7" t="n"/>
      <c r="V1385" s="7" t="n">
        <v>4</v>
      </c>
      <c r="W1385" s="7" t="inlineStr">
        <is>
          <t>Study Number 5—The Hebrew Text of the Holy Scriptures</t>
        </is>
      </c>
      <c r="X1385" s="9" t="inlineStr">
        <is>
          <t>open</t>
        </is>
      </c>
      <c r="Y1385" s="9" t="inlineStr">
        <is>
          <t>open</t>
        </is>
      </c>
      <c r="Z1385" s="7" t="inlineStr">
        <is>
          <t>https://wol.jw.org/en/wol/d/r1/lp-e/1101990132
https://wol.jw.org/en/wol/d/r1/lp-e/2016247
https://wol.jw.org/en/wol/d/r1/lp-e/2020167
https://wol.jw.org/en/wol/d/r1/lp-e/1001070203</t>
        </is>
      </c>
      <c r="AA1385" s="7" t="n">
        <v>0</v>
      </c>
      <c r="AB1385" s="7" t="n"/>
      <c r="AC1385" s="7" t="n">
        <v>1</v>
      </c>
      <c r="AD1385" s="7" t="inlineStr">
        <is>
          <t>w97 8/15 dates the writing of the Dead Sea Scrolls 'between 250 B.C.E. and 50 C.E.' in the text and 'Most Dead Sea Scrolls c. 100 B.C.E. to 68 C.E.' in its chart. Only the discovery (1947) is recorded here.</t>
        </is>
      </c>
      <c r="AE1385" s="7" t="n"/>
      <c r="AF1385" s="7" t="n"/>
      <c r="AG1385" s="7" t="n"/>
      <c r="AH1385" s="7" t="n"/>
      <c r="AI1385" s="7" t="n"/>
      <c r="AJ1385" s="7" t="n"/>
      <c r="AK1385" s="7" t="inlineStr">
        <is>
          <t>how-the-bible-came-to-us #53 (step)</t>
        </is>
      </c>
      <c r="AL1385" s="7" t="inlineStr">
        <is>
          <t>A3 says only 'in the middle of the 20th century' and counts some 220 Biblical manuscripts or fragments; si Study 5, wp16 No. 4 and wp20 No. 3 give 1947.</t>
        </is>
      </c>
      <c r="AM1385" s="7" t="n">
        <v>1947</v>
      </c>
      <c r="AN1385" s="10" t="n"/>
      <c r="AO1385" s="10" t="n"/>
      <c r="AP1385" s="10" t="n"/>
      <c r="AQ1385" s="10" t="n"/>
    </row>
    <row r="1386">
      <c r="A1386" s="7" t="inlineStr">
        <is>
          <t>b9-0011</t>
        </is>
      </c>
      <c r="B1386" s="7" t="inlineStr">
        <is>
          <t>Point</t>
        </is>
      </c>
      <c r="C1386" s="7" t="n"/>
      <c r="D1386" s="7" t="inlineStr">
        <is>
          <t>1947</t>
        </is>
      </c>
      <c r="E1386" s="7" t="inlineStr">
        <is>
          <t>1947</t>
        </is>
      </c>
      <c r="F1386" s="7" t="inlineStr">
        <is>
          <t>1947 CE</t>
        </is>
      </c>
      <c r="G1386" s="7" t="inlineStr">
        <is>
          <t>Exact</t>
        </is>
      </c>
      <c r="H1386" s="7" t="n"/>
      <c r="I1386" s="7" t="n"/>
      <c r="J1386" s="7" t="n"/>
      <c r="K1386" s="2" t="inlineStr">
        <is>
          <t>Aimé Boucher and daughters tried for sedition</t>
        </is>
      </c>
      <c r="L1386" s="2" t="inlineStr">
        <is>
          <t>1947-ல், முதன்முதலாக தேசத் துரோகக் குற்றச்சாட்டின் பேரில் நீதிமன்றத்தில் விசாரணை செய்யப்பட்டவர்கள், சகோதரர் எமே புஷேயும் அவருடைய மகள்களான…</t>
        </is>
      </c>
      <c r="M1386" s="7" t="inlineStr">
        <is>
          <t>In 1947 Aimé Boucher and his daughters Gisèle and Lucille were the first to be tried in court on charges of sedition in Quebec.</t>
        </is>
      </c>
      <c r="N1386" s="7" t="inlineStr">
        <is>
          <t>1947-ல், முதன்முதலாக தேசத் துரோகக் குற்றச்சாட்டின் பேரில் நீதிமன்றத்தில் விசாரணை செய்யப்பட்டவர்கள், சகோதரர் எமே புஷேயும் அவருடைய மகள்களான ஜிஷேல் (18 வயது) மற்றும் லுசீலும்தான் (11 வயது).</t>
        </is>
      </c>
      <c r="O1386" s="13" t="inlineStr">
        <is>
          <t>Jehovah's Witnesses</t>
        </is>
      </c>
      <c r="P1386" s="7" t="inlineStr">
        <is>
          <t>jw.legal</t>
        </is>
      </c>
      <c r="Q1386" s="7" t="n"/>
      <c r="R1386" s="7" t="inlineStr">
        <is>
          <t>Aimé Boucher</t>
        </is>
      </c>
      <c r="S1386" s="7" t="inlineStr">
        <is>
          <t>Quebec</t>
        </is>
      </c>
      <c r="T1386" s="7" t="n"/>
      <c r="U1386" s="7" t="n"/>
      <c r="V1386" s="7" t="n">
        <v>1</v>
      </c>
      <c r="W1386" s="7" t="inlineStr">
        <is>
          <t>Kingdom Preachers Take Their Case to Court</t>
        </is>
      </c>
      <c r="X1386" s="9" t="inlineStr">
        <is>
          <t>open</t>
        </is>
      </c>
      <c r="Y1386" s="9" t="inlineStr">
        <is>
          <t>open</t>
        </is>
      </c>
      <c r="Z1386" s="7" t="inlineStr">
        <is>
          <t>https://wol.jw.org/en/wol/d/r1/lp-e/1102014252</t>
        </is>
      </c>
      <c r="AA1386" s="7" t="n">
        <v>0</v>
      </c>
      <c r="AB1386" s="7" t="n"/>
      <c r="AC1386" s="7" t="n">
        <v>0</v>
      </c>
      <c r="AD1386" s="7" t="n"/>
      <c r="AE1386" s="7" t="n"/>
      <c r="AF1386" s="7" t="n"/>
      <c r="AG1386" s="7" t="n"/>
      <c r="AH1386" s="7" t="n"/>
      <c r="AI1386" s="7" t="n"/>
      <c r="AJ1386" s="7" t="n"/>
      <c r="AK1386" s="7" t="n"/>
      <c r="AL1386" s="7" t="n"/>
      <c r="AM1386" s="7" t="n">
        <v>1947</v>
      </c>
      <c r="AN1386" s="10" t="n"/>
      <c r="AO1386" s="10" t="n"/>
      <c r="AP1386" s="10" t="n"/>
      <c r="AQ1386" s="10" t="n"/>
    </row>
    <row r="1387">
      <c r="A1387" s="7" t="inlineStr">
        <is>
          <t>b9-0012</t>
        </is>
      </c>
      <c r="B1387" s="7" t="inlineStr">
        <is>
          <t>Point</t>
        </is>
      </c>
      <c r="C1387" s="7" t="n"/>
      <c r="D1387" s="7" t="inlineStr">
        <is>
          <t>1947</t>
        </is>
      </c>
      <c r="E1387" s="7" t="n"/>
      <c r="F1387" s="7" t="inlineStr">
        <is>
          <t>1947 CE</t>
        </is>
      </c>
      <c r="G1387" s="7" t="inlineStr">
        <is>
          <t>Exact</t>
        </is>
      </c>
      <c r="H1387" s="7" t="n"/>
      <c r="I1387" s="7" t="n"/>
      <c r="J1387" s="7" t="n"/>
      <c r="K1387" s="2" t="inlineStr">
        <is>
          <t>Understanding clarified: polygamy</t>
        </is>
      </c>
      <c r="L1387" s="2" t="n"/>
      <c r="M1387" s="7" t="inlineStr">
        <is>
          <t>The Watch Tower Publications Index (“Beliefs Clarified,” list by year) records a clarified understanding in 1947 concerning polygamy. Index references: w95 2/1 16; jv 176.</t>
        </is>
      </c>
      <c r="N1387" s="7" t="n"/>
      <c r="O1387" s="13" t="inlineStr">
        <is>
          <t>Jehovah's Witnesses</t>
        </is>
      </c>
      <c r="P1387" s="7" t="inlineStr">
        <is>
          <t>jw.doctrine</t>
        </is>
      </c>
      <c r="Q1387" s="7" t="inlineStr">
        <is>
          <t>beliefs_clarified</t>
        </is>
      </c>
      <c r="R1387" s="7" t="n"/>
      <c r="S1387" s="7" t="n"/>
      <c r="T1387" s="7" t="n"/>
      <c r="U1387" s="7" t="n"/>
      <c r="V1387" s="7" t="n">
        <v>1</v>
      </c>
      <c r="W1387" s="7" t="inlineStr">
        <is>
          <t>Beliefs Clarified</t>
        </is>
      </c>
      <c r="X1387" s="9" t="inlineStr">
        <is>
          <t>open</t>
        </is>
      </c>
      <c r="Y1387" s="7" t="n"/>
      <c r="Z1387" s="7" t="inlineStr">
        <is>
          <t>https://wol.jw.org/en/wol/d/r1/lp-e/1200277174</t>
        </is>
      </c>
      <c r="AA1387" s="7" t="n">
        <v>0</v>
      </c>
      <c r="AB1387" s="7" t="n"/>
      <c r="AC1387" s="7" t="n">
        <v>0</v>
      </c>
      <c r="AD1387" s="7" t="n"/>
      <c r="AE1387" s="7" t="n"/>
      <c r="AF1387" s="7" t="n"/>
      <c r="AG1387" s="7" t="n"/>
      <c r="AH1387" s="7" t="n"/>
      <c r="AI1387" s="7" t="inlineStr">
        <is>
          <t>Index list entry – app detail</t>
        </is>
      </c>
      <c r="AJ1387" s="7" t="n"/>
      <c r="AK1387" s="7" t="n"/>
      <c r="AL1387" s="7" t="n"/>
      <c r="AM1387" s="7" t="n">
        <v>1947</v>
      </c>
      <c r="AN1387" s="10" t="n"/>
      <c r="AO1387" s="10" t="n"/>
      <c r="AP1387" s="10" t="n"/>
      <c r="AQ1387" s="10" t="n"/>
    </row>
    <row r="1388">
      <c r="A1388" s="7" t="inlineStr">
        <is>
          <t>b9-0013</t>
        </is>
      </c>
      <c r="B1388" s="7" t="inlineStr">
        <is>
          <t>Point</t>
        </is>
      </c>
      <c r="C1388" s="7" t="n"/>
      <c r="D1388" s="7" t="inlineStr">
        <is>
          <t>1947</t>
        </is>
      </c>
      <c r="E1388" s="7" t="n"/>
      <c r="F1388" s="7" t="inlineStr">
        <is>
          <t>1947 CE</t>
        </is>
      </c>
      <c r="G1388" s="7" t="inlineStr">
        <is>
          <t>Exact</t>
        </is>
      </c>
      <c r="H1388" s="7" t="n"/>
      <c r="I1388" s="7" t="n"/>
      <c r="J1388" s="7" t="n"/>
      <c r="K1388" s="2" t="inlineStr">
        <is>
          <t>Congregations worldwide exceed 10,000</t>
        </is>
      </c>
      <c r="L1388" s="2" t="n"/>
      <c r="M1388" s="7" t="inlineStr">
        <is>
          <t>The number of congregations of Jehovah’s Witnesses passed 10,000 in 1947, reaching 10,782 worldwide.</t>
        </is>
      </c>
      <c r="N1388" s="7" t="n"/>
      <c r="O1388" s="13" t="inlineStr">
        <is>
          <t>Jehovah's Witnesses</t>
        </is>
      </c>
      <c r="P1388" s="7" t="inlineStr">
        <is>
          <t>jw.organization</t>
        </is>
      </c>
      <c r="Q1388" s="7" t="inlineStr">
        <is>
          <t>statistic</t>
        </is>
      </c>
      <c r="R1388" s="7" t="n"/>
      <c r="S1388" s="7" t="n"/>
      <c r="T1388" s="7" t="n"/>
      <c r="U1388" s="7" t="n"/>
      <c r="V1388" s="7" t="n">
        <v>1</v>
      </c>
      <c r="W1388" s="7" t="inlineStr">
        <is>
          <t>Noteworthy Events in the Modern-day History of Jehovah’s Witnesses</t>
        </is>
      </c>
      <c r="X1388" s="9" t="inlineStr">
        <is>
          <t>open</t>
        </is>
      </c>
      <c r="Y1388" s="7" t="n"/>
      <c r="Z1388" s="7" t="inlineStr">
        <is>
          <t>https://wol.jw.org/en/wol/d/r1/lp-e/1101993046</t>
        </is>
      </c>
      <c r="AA1388" s="7" t="n">
        <v>0</v>
      </c>
      <c r="AB1388" s="7" t="n"/>
      <c r="AC1388" s="7" t="n">
        <v>0</v>
      </c>
      <c r="AD1388" s="7" t="n"/>
      <c r="AE1388" s="7" t="n"/>
      <c r="AF1388" s="7" t="n"/>
      <c r="AG1388" s="7" t="n"/>
      <c r="AH1388" s="7" t="n"/>
      <c r="AI1388" s="7" t="n"/>
      <c r="AJ1388" s="7" t="n"/>
      <c r="AK1388" s="7" t="n"/>
      <c r="AL1388" s="7" t="n"/>
      <c r="AM1388" s="7" t="n">
        <v>1947</v>
      </c>
      <c r="AN1388" s="10" t="n"/>
      <c r="AO1388" s="10" t="n"/>
      <c r="AP1388" s="10" t="n"/>
      <c r="AQ1388" s="10" t="n"/>
    </row>
    <row r="1389">
      <c r="A1389" s="7" t="inlineStr">
        <is>
          <t>b9-0014</t>
        </is>
      </c>
      <c r="B1389" s="7" t="inlineStr">
        <is>
          <t>Point</t>
        </is>
      </c>
      <c r="C1389" s="7" t="n"/>
      <c r="D1389" s="7" t="inlineStr">
        <is>
          <t>1947</t>
        </is>
      </c>
      <c r="E1389" s="7" t="n"/>
      <c r="F1389" s="7" t="inlineStr">
        <is>
          <t>1947 CE</t>
        </is>
      </c>
      <c r="G1389" s="7" t="inlineStr">
        <is>
          <t>Exact</t>
        </is>
      </c>
      <c r="H1389" s="7" t="n"/>
      <c r="I1389" s="7" t="n"/>
      <c r="J1389" s="7" t="n"/>
      <c r="K1389" s="2" t="inlineStr">
        <is>
          <t>1947: “All Nations Expansion” Assemblies</t>
        </is>
      </c>
      <c r="L1389" s="2" t="n"/>
      <c r="M1389" s="7" t="inlineStr">
        <is>
          <t>The Watch Tower Publications Index lists the 1947 conventions of Jehovah’s Witnesses as “All Nations Expansion” Assemblies. Locations indexed include “Praise-Giving Nations” Theocratic Assembly.</t>
        </is>
      </c>
      <c r="N1389" s="7" t="n"/>
      <c r="O1389" s="13" t="inlineStr">
        <is>
          <t>Jehovah's Witnesses</t>
        </is>
      </c>
      <c r="P1389" s="7" t="inlineStr">
        <is>
          <t>jw.convention</t>
        </is>
      </c>
      <c r="Q1389" s="7" t="inlineStr">
        <is>
          <t>convention</t>
        </is>
      </c>
      <c r="R1389" s="7" t="n"/>
      <c r="S1389" s="7" t="n"/>
      <c r="T1389" s="7" t="n"/>
      <c r="U1389" s="7" t="n"/>
      <c r="V1389" s="7" t="n">
        <v>1</v>
      </c>
      <c r="W1389" s="7" t="inlineStr">
        <is>
          <t>Conventions</t>
        </is>
      </c>
      <c r="X1389" s="9" t="inlineStr">
        <is>
          <t>open</t>
        </is>
      </c>
      <c r="Y1389" s="7" t="n"/>
      <c r="Z1389" s="7" t="inlineStr">
        <is>
          <t>https://wol.jw.org/en/wol/d/r1/lp-e/1200271388</t>
        </is>
      </c>
      <c r="AA1389" s="7" t="n">
        <v>0</v>
      </c>
      <c r="AB1389" s="7" t="n"/>
      <c r="AC1389" s="7" t="n">
        <v>0</v>
      </c>
      <c r="AD1389" s="7" t="n"/>
      <c r="AE1389" s="7" t="n"/>
      <c r="AF1389" s="7" t="n"/>
      <c r="AG1389" s="7" t="n"/>
      <c r="AH1389" s="7" t="n"/>
      <c r="AI1389" s="7" t="inlineStr">
        <is>
          <t>Index list entry – app detail</t>
        </is>
      </c>
      <c r="AJ1389" s="7" t="n"/>
      <c r="AK1389" s="7" t="n"/>
      <c r="AL1389" s="7" t="n"/>
      <c r="AM1389" s="7" t="n">
        <v>1947</v>
      </c>
      <c r="AN1389" s="10" t="n"/>
      <c r="AO1389" s="10" t="n"/>
      <c r="AP1389" s="10" t="n"/>
      <c r="AQ1389" s="10" t="n"/>
    </row>
    <row r="1390">
      <c r="A1390" s="7" t="inlineStr">
        <is>
          <t>b9-0015</t>
        </is>
      </c>
      <c r="B1390" s="7" t="inlineStr">
        <is>
          <t>Point</t>
        </is>
      </c>
      <c r="C1390" s="7" t="n"/>
      <c r="D1390" s="7" t="inlineStr">
        <is>
          <t>1947</t>
        </is>
      </c>
      <c r="E1390" s="7" t="n"/>
      <c r="F1390" s="7" t="inlineStr">
        <is>
          <t>1947 CE</t>
        </is>
      </c>
      <c r="G1390" s="7" t="inlineStr">
        <is>
          <t>Exact</t>
        </is>
      </c>
      <c r="H1390" s="7" t="n"/>
      <c r="I1390" s="7" t="n"/>
      <c r="J1390" s="7" t="n"/>
      <c r="K1390" s="2" t="inlineStr">
        <is>
          <t>1,700 court cases pending in Quebec</t>
        </is>
      </c>
      <c r="L1390" s="2" t="n"/>
      <c r="M1390" s="7" t="inlineStr">
        <is>
          <t>In 1947, some 1,700 cases involving the evangelizing work of Jehovah’s Witnesses were pending in the courts of Quebec, Canada.</t>
        </is>
      </c>
      <c r="N1390" s="7" t="n"/>
      <c r="O1390" s="13" t="inlineStr">
        <is>
          <t>Jehovah's Witnesses</t>
        </is>
      </c>
      <c r="P1390" s="7" t="inlineStr">
        <is>
          <t>jw.legal</t>
        </is>
      </c>
      <c r="Q1390" s="7" t="n"/>
      <c r="R1390" s="7" t="n"/>
      <c r="S1390" s="7" t="inlineStr">
        <is>
          <t>Quebec; Canada</t>
        </is>
      </c>
      <c r="T1390" s="7" t="n"/>
      <c r="U1390" s="7" t="n"/>
      <c r="V1390" s="7" t="n">
        <v>1</v>
      </c>
      <c r="W1390" s="7" t="inlineStr">
        <is>
          <t>Noteworthy Events in the Modern-day History of Jehovah’s Witnesses</t>
        </is>
      </c>
      <c r="X1390" s="9" t="inlineStr">
        <is>
          <t>open</t>
        </is>
      </c>
      <c r="Y1390" s="7" t="n"/>
      <c r="Z1390" s="7" t="inlineStr">
        <is>
          <t>https://wol.jw.org/en/wol/d/r1/lp-e/1101993046</t>
        </is>
      </c>
      <c r="AA1390" s="7" t="n">
        <v>0</v>
      </c>
      <c r="AB1390" s="7" t="n"/>
      <c r="AC1390" s="7" t="n">
        <v>0</v>
      </c>
      <c r="AD1390" s="7" t="n"/>
      <c r="AE1390" s="7" t="n"/>
      <c r="AF1390" s="7" t="n"/>
      <c r="AG1390" s="7" t="n"/>
      <c r="AH1390" s="7" t="n"/>
      <c r="AI1390" s="7" t="n"/>
      <c r="AJ1390" s="7" t="n"/>
      <c r="AK1390" s="7" t="n"/>
      <c r="AL1390" s="7" t="n"/>
      <c r="AM1390" s="7" t="n">
        <v>1947</v>
      </c>
      <c r="AN1390" s="10" t="n"/>
      <c r="AO1390" s="10" t="n"/>
      <c r="AP1390" s="10" t="n"/>
      <c r="AQ1390" s="10" t="n"/>
    </row>
    <row r="1391">
      <c r="A1391" s="7" t="inlineStr">
        <is>
          <t>b9-0016</t>
        </is>
      </c>
      <c r="B1391" s="7" t="inlineStr">
        <is>
          <t>Point</t>
        </is>
      </c>
      <c r="C1391" s="7" t="n"/>
      <c r="D1391" s="7" t="inlineStr">
        <is>
          <t>1947, December 2</t>
        </is>
      </c>
      <c r="E1391" s="7" t="inlineStr">
        <is>
          <t>டிசம்பர் 2, 1947</t>
        </is>
      </c>
      <c r="F1391" s="7" t="inlineStr">
        <is>
          <t>1947 CE</t>
        </is>
      </c>
      <c r="G1391" s="7" t="inlineStr">
        <is>
          <t>Exact</t>
        </is>
      </c>
      <c r="H1391" s="7" t="n"/>
      <c r="I1391" s="7" t="n"/>
      <c r="J1391" s="7" t="n"/>
      <c r="K1391" s="2" t="inlineStr">
        <is>
          <t>New World Bible Translation Committee begins work</t>
        </is>
      </c>
      <c r="L1391" s="2" t="inlineStr">
        <is>
          <t>டிசம்பர் 2, 1947, செவ்வாய்க்கிழமை அன்று, நியு யார்க்கிலுள்ள புருக்லின் பெத்தேலைச் சேர்ந்த பரலோக நம்பிக்கையுள்ள சகோதரர்கள் சிலர், ஒரு…</t>
        </is>
      </c>
      <c r="M1391" s="7" t="inlineStr">
        <is>
          <t>On Tuesday, December 2, 1947, a small group of anointed brothers at Brooklyn Bethel began the work of translating the New World Translation.</t>
        </is>
      </c>
      <c r="N1391" s="7" t="inlineStr">
        <is>
          <t>டிசம்பர் 2, 1947, செவ்வாய்க்கிழமை அன்று, நியு யார்க்கிலுள்ள புருக்லின் பெத்தேலைச் சேர்ந்த பரலோக நம்பிக்கையுள்ள சகோதரர்கள் சிலர், ஒரு மாபெரும் வேலையை ஆரம்பித்தார்கள்.</t>
        </is>
      </c>
      <c r="O1391" s="12" t="inlineStr">
        <is>
          <t>Bible &amp; church history</t>
        </is>
      </c>
      <c r="P1391" s="7" t="inlineStr">
        <is>
          <t>history.bible_translation</t>
        </is>
      </c>
      <c r="Q1391" s="7" t="n"/>
      <c r="R1391" s="7" t="n"/>
      <c r="S1391" s="7" t="n"/>
      <c r="T1391" s="7" t="n"/>
      <c r="U1391" s="7" t="n"/>
      <c r="V1391" s="7" t="n">
        <v>1</v>
      </c>
      <c r="W1391" s="7" t="inlineStr">
        <is>
          <t>Jehovah Exalts His Name</t>
        </is>
      </c>
      <c r="X1391" s="9" t="inlineStr">
        <is>
          <t>open</t>
        </is>
      </c>
      <c r="Y1391" s="9" t="inlineStr">
        <is>
          <t>open</t>
        </is>
      </c>
      <c r="Z1391" s="7" t="inlineStr">
        <is>
          <t>https://wol.jw.org/en/wol/d/r1/lp-e/1102014243</t>
        </is>
      </c>
      <c r="AA1391" s="7" t="n">
        <v>0</v>
      </c>
      <c r="AB1391" s="7" t="n"/>
      <c r="AC1391" s="7" t="n">
        <v>0</v>
      </c>
      <c r="AD1391" s="7" t="n"/>
      <c r="AE1391" s="7" t="n"/>
      <c r="AF1391" s="7" t="n"/>
      <c r="AG1391" s="7" t="n"/>
      <c r="AH1391" s="7" t="n"/>
      <c r="AI1391" s="7" t="inlineStr">
        <is>
          <t>Span endpoint – keep</t>
        </is>
      </c>
      <c r="AJ1391" s="7" t="inlineStr">
        <is>
          <t>start of Translation of the New World Translation by the committee (b12-0091)</t>
        </is>
      </c>
      <c r="AK1391" s="7" t="inlineStr">
        <is>
          <t>how-the-bible-came-to-us #52 (step)</t>
        </is>
      </c>
      <c r="AL1391" s="7" t="n"/>
      <c r="AM1391" s="7" t="n">
        <v>1947.9194</v>
      </c>
      <c r="AN1391" s="10" t="n"/>
      <c r="AO1391" s="10" t="n"/>
      <c r="AP1391" s="10" t="n"/>
      <c r="AQ1391" s="10" t="n"/>
    </row>
    <row r="1392">
      <c r="A1392" s="7" t="inlineStr">
        <is>
          <t>b12-0091</t>
        </is>
      </c>
      <c r="B1392" s="11" t="inlineStr">
        <is>
          <t>Span</t>
        </is>
      </c>
      <c r="C1392" s="7" t="inlineStr">
        <is>
          <t>translation</t>
        </is>
      </c>
      <c r="D1392" s="7" t="inlineStr">
        <is>
          <t>December 2, 1947–March 13, 1960</t>
        </is>
      </c>
      <c r="E1392" s="7" t="n"/>
      <c r="F1392" s="7" t="inlineStr">
        <is>
          <t>1947 CE</t>
        </is>
      </c>
      <c r="G1392" s="7" t="inlineStr">
        <is>
          <t>Exact</t>
        </is>
      </c>
      <c r="H1392" s="7" t="inlineStr">
        <is>
          <t>1960 CE</t>
        </is>
      </c>
      <c r="I1392" s="7" t="inlineStr">
        <is>
          <t>Exact</t>
        </is>
      </c>
      <c r="J1392" s="7" t="n"/>
      <c r="K1392" s="2" t="inlineStr">
        <is>
          <t>Translation of the New World Translation by the committee</t>
        </is>
      </c>
      <c r="L1392" s="2" t="n"/>
      <c r="M1392" s="7" t="inlineStr">
        <is>
          <t>The New World Bible Translation Committee began its work in December 1947 and completed the final text of the whole Bible in March 1960; the volumes were released between 1950 and 1960.</t>
        </is>
      </c>
      <c r="N1392" s="7" t="inlineStr">
        <is>
          <t>கடைசியில், மார்ச் 13, 1960, ஞாயிற்றுக்கிழமை அன்று அந்த வேலை முடிந்தது.</t>
        </is>
      </c>
      <c r="O1392" s="13" t="inlineStr">
        <is>
          <t>Jehovah's Witnesses</t>
        </is>
      </c>
      <c r="P1392" s="7" t="inlineStr">
        <is>
          <t>jw.publication</t>
        </is>
      </c>
      <c r="Q1392" s="7" t="n"/>
      <c r="R1392" s="7" t="n"/>
      <c r="S1392" s="7" t="n"/>
      <c r="T1392" s="7" t="n"/>
      <c r="U1392" s="7" t="n"/>
      <c r="V1392" s="7" t="n">
        <v>3</v>
      </c>
      <c r="W1392" s="7" t="inlineStr">
        <is>
          <t>Jehovah Exalts His Name</t>
        </is>
      </c>
      <c r="X1392" s="9" t="inlineStr">
        <is>
          <t>open</t>
        </is>
      </c>
      <c r="Y1392" s="9" t="inlineStr">
        <is>
          <t>open</t>
        </is>
      </c>
      <c r="Z1392" s="7" t="inlineStr">
        <is>
          <t>https://wol.jw.org/en/wol/d/r1/lp-e/1102014243
https://wol.jw.org/en/wol/d/r1/lp-e/1102014243
https://wol.jw.org/en/wol/d/r1/lp-e/1200271562</t>
        </is>
      </c>
      <c r="AA1392" s="7" t="n">
        <v>0</v>
      </c>
      <c r="AB1392" s="7" t="n"/>
      <c r="AC1392" s="7" t="n">
        <v>0</v>
      </c>
      <c r="AD1392" s="7" t="n"/>
      <c r="AE1392" s="7" t="n"/>
      <c r="AF1392" s="7" t="inlineStr">
        <is>
          <t>b9-0016</t>
        </is>
      </c>
      <c r="AG1392" s="7" t="inlineStr">
        <is>
          <t>b9-0057</t>
        </is>
      </c>
      <c r="AH1392" s="7" t="n"/>
      <c r="AI1392" s="7" t="n"/>
      <c r="AJ1392" s="7" t="n"/>
      <c r="AK1392" s="7" t="n"/>
      <c r="AL1392" s="7" t="n"/>
      <c r="AM1392" s="7" t="n">
        <v>1947.9194</v>
      </c>
      <c r="AN1392" s="10" t="n"/>
      <c r="AO1392" s="10" t="n"/>
      <c r="AP1392" s="10" t="n"/>
      <c r="AQ1392" s="10" t="n"/>
    </row>
    <row r="1393">
      <c r="A1393" s="7" t="inlineStr">
        <is>
          <t>b9-0017</t>
        </is>
      </c>
      <c r="B1393" s="7" t="inlineStr">
        <is>
          <t>Point</t>
        </is>
      </c>
      <c r="C1393" s="7" t="n"/>
      <c r="D1393" s="7" t="inlineStr">
        <is>
          <t>1948</t>
        </is>
      </c>
      <c r="E1393" s="7" t="n"/>
      <c r="F1393" s="7" t="inlineStr">
        <is>
          <t>1948 CE</t>
        </is>
      </c>
      <c r="G1393" s="7" t="inlineStr">
        <is>
          <t>Exact</t>
        </is>
      </c>
      <c r="H1393" s="7" t="n"/>
      <c r="I1393" s="7" t="n"/>
      <c r="J1393" s="7" t="n"/>
      <c r="K1393" s="2" t="inlineStr">
        <is>
          <t>1948: District Assemblies</t>
        </is>
      </c>
      <c r="L1393" s="2" t="n"/>
      <c r="M1393" s="7" t="inlineStr">
        <is>
          <t>The Watch Tower Publications Index lists the 1948 conventions of Jehovah’s Witnesses as District Assemblies. Locations indexed include Port of Spain, Trinidad and Tobago, South Africa.</t>
        </is>
      </c>
      <c r="N1393" s="7" t="n"/>
      <c r="O1393" s="13" t="inlineStr">
        <is>
          <t>Jehovah's Witnesses</t>
        </is>
      </c>
      <c r="P1393" s="7" t="inlineStr">
        <is>
          <t>jw.convention</t>
        </is>
      </c>
      <c r="Q1393" s="7" t="inlineStr">
        <is>
          <t>convention</t>
        </is>
      </c>
      <c r="R1393" s="7" t="n"/>
      <c r="S1393" s="7" t="n"/>
      <c r="T1393" s="7" t="n"/>
      <c r="U1393" s="7" t="n"/>
      <c r="V1393" s="7" t="n">
        <v>1</v>
      </c>
      <c r="W1393" s="7" t="inlineStr">
        <is>
          <t>Conventions</t>
        </is>
      </c>
      <c r="X1393" s="9" t="inlineStr">
        <is>
          <t>open</t>
        </is>
      </c>
      <c r="Y1393" s="7" t="n"/>
      <c r="Z1393" s="7" t="inlineStr">
        <is>
          <t>https://wol.jw.org/en/wol/d/r1/lp-e/1200271388</t>
        </is>
      </c>
      <c r="AA1393" s="7" t="n">
        <v>0</v>
      </c>
      <c r="AB1393" s="7" t="n"/>
      <c r="AC1393" s="7" t="n">
        <v>0</v>
      </c>
      <c r="AD1393" s="7" t="n"/>
      <c r="AE1393" s="7" t="n"/>
      <c r="AF1393" s="7" t="n"/>
      <c r="AG1393" s="7" t="n"/>
      <c r="AH1393" s="7" t="n"/>
      <c r="AI1393" s="7" t="inlineStr">
        <is>
          <t>Index list entry – app detail</t>
        </is>
      </c>
      <c r="AJ1393" s="7" t="n"/>
      <c r="AK1393" s="7" t="n"/>
      <c r="AL1393" s="7" t="n"/>
      <c r="AM1393" s="7" t="n">
        <v>1948</v>
      </c>
      <c r="AN1393" s="10" t="n"/>
      <c r="AO1393" s="10" t="n"/>
      <c r="AP1393" s="10" t="n"/>
      <c r="AQ1393" s="10" t="n"/>
    </row>
    <row r="1394">
      <c r="A1394" s="7" t="inlineStr">
        <is>
          <t>b9-0018</t>
        </is>
      </c>
      <c r="B1394" s="7" t="inlineStr">
        <is>
          <t>Point</t>
        </is>
      </c>
      <c r="C1394" s="7" t="n"/>
      <c r="D1394" s="7" t="inlineStr">
        <is>
          <t>1948, August</t>
        </is>
      </c>
      <c r="E1394" s="7" t="inlineStr">
        <is>
          <t>ஆகஸ்ட் 1948</t>
        </is>
      </c>
      <c r="F1394" s="7" t="inlineStr">
        <is>
          <t>1948 CE</t>
        </is>
      </c>
      <c r="G1394" s="7" t="inlineStr">
        <is>
          <t>Exact</t>
        </is>
      </c>
      <c r="H1394" s="7" t="n"/>
      <c r="I1394" s="7" t="n"/>
      <c r="J1394" s="7" t="n"/>
      <c r="K1394" s="2" t="inlineStr">
        <is>
          <t>Postwar relief effort concluded</t>
        </is>
      </c>
      <c r="L1394" s="2" t="inlineStr">
        <is>
          <t>ஆகஸ்ட் 1948-ல், இந்த நிவாரண உதவி முடிவுக்கு வந்தது.</t>
        </is>
      </c>
      <c r="M1394" s="7" t="inlineStr">
        <is>
          <t>By August 1948 the huge postwar relief effort had been concluded.</t>
        </is>
      </c>
      <c r="N1394" s="7" t="inlineStr">
        <is>
          <t>ஆகஸ்ட் 1948-ல், இந்த நிவாரண உதவி முடிவுக்கு வந்தது.</t>
        </is>
      </c>
      <c r="O1394" s="13" t="inlineStr">
        <is>
          <t>Jehovah's Witnesses</t>
        </is>
      </c>
      <c r="P1394" s="7" t="inlineStr">
        <is>
          <t>jw.relief</t>
        </is>
      </c>
      <c r="Q1394" s="7" t="n"/>
      <c r="R1394" s="7" t="n"/>
      <c r="S1394" s="7" t="n"/>
      <c r="T1394" s="7" t="n"/>
      <c r="U1394" s="7" t="n"/>
      <c r="V1394" s="7" t="n">
        <v>1</v>
      </c>
      <c r="W1394" s="7" t="inlineStr">
        <is>
          <t>The Ministry of Relief</t>
        </is>
      </c>
      <c r="X1394" s="9" t="inlineStr">
        <is>
          <t>open</t>
        </is>
      </c>
      <c r="Y1394" s="9" t="inlineStr">
        <is>
          <t>open</t>
        </is>
      </c>
      <c r="Z1394" s="7" t="inlineStr">
        <is>
          <t>https://wol.jw.org/en/wol/d/r1/lp-e/1102014262</t>
        </is>
      </c>
      <c r="AA1394" s="7" t="n">
        <v>0</v>
      </c>
      <c r="AB1394" s="7" t="n"/>
      <c r="AC1394" s="7" t="n">
        <v>0</v>
      </c>
      <c r="AD1394" s="7" t="n"/>
      <c r="AE1394" s="7" t="n"/>
      <c r="AF1394" s="7" t="n"/>
      <c r="AG1394" s="7" t="n"/>
      <c r="AH1394" s="7" t="n"/>
      <c r="AI1394" s="7" t="n"/>
      <c r="AJ1394" s="7" t="n"/>
      <c r="AK1394" s="7" t="n"/>
      <c r="AL1394" s="7" t="n"/>
      <c r="AM1394" s="7" t="n">
        <v>1948.5833</v>
      </c>
      <c r="AN1394" s="10" t="n"/>
      <c r="AO1394" s="10" t="n"/>
      <c r="AP1394" s="10" t="n"/>
      <c r="AQ1394" s="10" t="n"/>
    </row>
    <row r="1395">
      <c r="A1395" s="7" t="inlineStr">
        <is>
          <t>b9-0019</t>
        </is>
      </c>
      <c r="B1395" s="7" t="inlineStr">
        <is>
          <t>Point</t>
        </is>
      </c>
      <c r="C1395" s="7" t="n"/>
      <c r="D1395" s="7" t="inlineStr">
        <is>
          <t>1949</t>
        </is>
      </c>
      <c r="E1395" s="7" t="n"/>
      <c r="F1395" s="7" t="inlineStr">
        <is>
          <t>1949 CE</t>
        </is>
      </c>
      <c r="G1395" s="7" t="inlineStr">
        <is>
          <t>Exact</t>
        </is>
      </c>
      <c r="H1395" s="7" t="n"/>
      <c r="I1395" s="7" t="n"/>
      <c r="J1395" s="7" t="n"/>
      <c r="K1395" s="2" t="inlineStr">
        <is>
          <t>1949: District Assemblies</t>
        </is>
      </c>
      <c r="L1395" s="2" t="n"/>
      <c r="M1395" s="7" t="inlineStr">
        <is>
          <t>The Watch Tower Publications Index lists the 1949 conventions of Jehovah’s Witnesses as District Assemblies.</t>
        </is>
      </c>
      <c r="N1395" s="7" t="n"/>
      <c r="O1395" s="13" t="inlineStr">
        <is>
          <t>Jehovah's Witnesses</t>
        </is>
      </c>
      <c r="P1395" s="7" t="inlineStr">
        <is>
          <t>jw.convention</t>
        </is>
      </c>
      <c r="Q1395" s="7" t="inlineStr">
        <is>
          <t>convention</t>
        </is>
      </c>
      <c r="R1395" s="7" t="n"/>
      <c r="S1395" s="7" t="n"/>
      <c r="T1395" s="7" t="n"/>
      <c r="U1395" s="7" t="n"/>
      <c r="V1395" s="7" t="n">
        <v>1</v>
      </c>
      <c r="W1395" s="7" t="inlineStr">
        <is>
          <t>Conventions</t>
        </is>
      </c>
      <c r="X1395" s="9" t="inlineStr">
        <is>
          <t>open</t>
        </is>
      </c>
      <c r="Y1395" s="7" t="n"/>
      <c r="Z1395" s="7" t="inlineStr">
        <is>
          <t>https://wol.jw.org/en/wol/d/r1/lp-e/1200271388</t>
        </is>
      </c>
      <c r="AA1395" s="7" t="n">
        <v>0</v>
      </c>
      <c r="AB1395" s="7" t="n"/>
      <c r="AC1395" s="7" t="n">
        <v>0</v>
      </c>
      <c r="AD1395" s="7" t="n"/>
      <c r="AE1395" s="7" t="n"/>
      <c r="AF1395" s="7" t="n"/>
      <c r="AG1395" s="7" t="n"/>
      <c r="AH1395" s="7" t="n"/>
      <c r="AI1395" s="7" t="inlineStr">
        <is>
          <t>Index list entry – app detail</t>
        </is>
      </c>
      <c r="AJ1395" s="7" t="n"/>
      <c r="AK1395" s="7" t="n"/>
      <c r="AL1395" s="7" t="n"/>
      <c r="AM1395" s="7" t="n">
        <v>1949</v>
      </c>
      <c r="AN1395" s="10" t="n"/>
      <c r="AO1395" s="10" t="n"/>
      <c r="AP1395" s="10" t="n"/>
      <c r="AQ1395" s="10" t="n"/>
    </row>
    <row r="1396">
      <c r="A1396" s="7" t="inlineStr">
        <is>
          <t>b9-0020</t>
        </is>
      </c>
      <c r="B1396" s="7" t="inlineStr">
        <is>
          <t>Point</t>
        </is>
      </c>
      <c r="C1396" s="7" t="n"/>
      <c r="D1396" s="7" t="inlineStr">
        <is>
          <t>1949</t>
        </is>
      </c>
      <c r="E1396" s="7" t="inlineStr">
        <is>
          <t>1949</t>
        </is>
      </c>
      <c r="F1396" s="7" t="inlineStr">
        <is>
          <t>1949 CE</t>
        </is>
      </c>
      <c r="G1396" s="7" t="inlineStr">
        <is>
          <t>Exact</t>
        </is>
      </c>
      <c r="H1396" s="7" t="n"/>
      <c r="I1396" s="7" t="n"/>
      <c r="J1396" s="7" t="n"/>
      <c r="K1396" s="2" t="inlineStr">
        <is>
          <t>Gilead missionaries arrive in Japan</t>
        </is>
      </c>
      <c r="L1396" s="2" t="inlineStr">
        <is>
          <t>ஆகஸ்ட் 1949-ல் 10-க்கும் குறைவான பிரஸ்தாபிகள்தான் அங்கே இருந்தார்கள்.</t>
        </is>
      </c>
      <c r="M1396" s="7" t="inlineStr">
        <is>
          <t>By August 1949 there were fewer than ten local publishers in Japan; by the end of that year 13 Gilead-trained missionaries were preaching there.</t>
        </is>
      </c>
      <c r="N1396" s="7" t="inlineStr">
        <is>
          <t>ஆகஸ்ட் 1949-ல் 10-க்கும் குறைவான பிரஸ்தாபிகள்தான் அங்கே இருந்தார்கள்.</t>
        </is>
      </c>
      <c r="O1396" s="13" t="inlineStr">
        <is>
          <t>Jehovah's Witnesses</t>
        </is>
      </c>
      <c r="P1396" s="7" t="inlineStr">
        <is>
          <t>jw.preaching</t>
        </is>
      </c>
      <c r="Q1396" s="7" t="n"/>
      <c r="R1396" s="7" t="n"/>
      <c r="S1396" s="7" t="inlineStr">
        <is>
          <t>Japan</t>
        </is>
      </c>
      <c r="T1396" s="7" t="n"/>
      <c r="U1396" s="7" t="n"/>
      <c r="V1396" s="7" t="n">
        <v>1</v>
      </c>
      <c r="W1396" s="7" t="inlineStr">
        <is>
          <t>Training Ministers of the Kingdom</t>
        </is>
      </c>
      <c r="X1396" s="9" t="inlineStr">
        <is>
          <t>open</t>
        </is>
      </c>
      <c r="Y1396" s="9" t="inlineStr">
        <is>
          <t>open</t>
        </is>
      </c>
      <c r="Z1396" s="7" t="inlineStr">
        <is>
          <t>https://wol.jw.org/en/wol/d/r1/lp-e/1102014256</t>
        </is>
      </c>
      <c r="AA1396" s="7" t="n">
        <v>0</v>
      </c>
      <c r="AB1396" s="7" t="n"/>
      <c r="AC1396" s="7" t="n">
        <v>0</v>
      </c>
      <c r="AD1396" s="7" t="n"/>
      <c r="AE1396" s="7" t="n"/>
      <c r="AF1396" s="7" t="n"/>
      <c r="AG1396" s="7" t="n"/>
      <c r="AH1396" s="7" t="n"/>
      <c r="AI1396" s="7" t="n"/>
      <c r="AJ1396" s="7" t="n"/>
      <c r="AK1396" s="7" t="n"/>
      <c r="AL1396" s="7" t="n"/>
      <c r="AM1396" s="7" t="n">
        <v>1949</v>
      </c>
      <c r="AN1396" s="10" t="n"/>
      <c r="AO1396" s="10" t="n"/>
      <c r="AP1396" s="10" t="n"/>
      <c r="AQ1396" s="10" t="n"/>
    </row>
    <row r="1397">
      <c r="A1397" s="7" t="inlineStr">
        <is>
          <t>b9-0021</t>
        </is>
      </c>
      <c r="B1397" s="7" t="inlineStr">
        <is>
          <t>Point</t>
        </is>
      </c>
      <c r="C1397" s="7" t="n"/>
      <c r="D1397" s="7" t="inlineStr">
        <is>
          <t>1950</t>
        </is>
      </c>
      <c r="E1397" s="7" t="n"/>
      <c r="F1397" s="7" t="inlineStr">
        <is>
          <t>1950 CE</t>
        </is>
      </c>
      <c r="G1397" s="7" t="inlineStr">
        <is>
          <t>Exact</t>
        </is>
      </c>
      <c r="H1397" s="7" t="n"/>
      <c r="I1397" s="7" t="n"/>
      <c r="J1397" s="7" t="n"/>
      <c r="K1397" s="2" t="inlineStr">
        <is>
          <t>Understanding clarified: princes (Ps. 45:16)</t>
        </is>
      </c>
      <c r="L1397" s="2" t="n"/>
      <c r="M1397" s="7" t="inlineStr">
        <is>
          <t>The Watch Tower Publications Index (“Beliefs Clarified,” list by year) records a clarified understanding in 1950 concerning princes (Ps. 45:16). Index references: w95 7/1 15; jv 76, 263.</t>
        </is>
      </c>
      <c r="N1397" s="7" t="n"/>
      <c r="O1397" s="13" t="inlineStr">
        <is>
          <t>Jehovah's Witnesses</t>
        </is>
      </c>
      <c r="P1397" s="7" t="inlineStr">
        <is>
          <t>jw.doctrine</t>
        </is>
      </c>
      <c r="Q1397" s="7" t="inlineStr">
        <is>
          <t>beliefs_clarified</t>
        </is>
      </c>
      <c r="R1397" s="7" t="n"/>
      <c r="S1397" s="7" t="n"/>
      <c r="T1397" s="7" t="inlineStr">
        <is>
          <t>Ps. 45:16</t>
        </is>
      </c>
      <c r="U1397" s="7" t="n"/>
      <c r="V1397" s="7" t="n">
        <v>1</v>
      </c>
      <c r="W1397" s="7" t="inlineStr">
        <is>
          <t>Beliefs Clarified</t>
        </is>
      </c>
      <c r="X1397" s="9" t="inlineStr">
        <is>
          <t>open</t>
        </is>
      </c>
      <c r="Y1397" s="7" t="n"/>
      <c r="Z1397" s="7" t="inlineStr">
        <is>
          <t>https://wol.jw.org/en/wol/d/r1/lp-e/1200277174</t>
        </is>
      </c>
      <c r="AA1397" s="7" t="n">
        <v>0</v>
      </c>
      <c r="AB1397" s="7" t="n"/>
      <c r="AC1397" s="7" t="n">
        <v>0</v>
      </c>
      <c r="AD1397" s="7" t="n"/>
      <c r="AE1397" s="7" t="n"/>
      <c r="AF1397" s="7" t="n"/>
      <c r="AG1397" s="7" t="n"/>
      <c r="AH1397" s="7" t="n"/>
      <c r="AI1397" s="7" t="inlineStr">
        <is>
          <t>Index list entry – app detail</t>
        </is>
      </c>
      <c r="AJ1397" s="7" t="n"/>
      <c r="AK1397" s="7" t="n"/>
      <c r="AL1397" s="7" t="n"/>
      <c r="AM1397" s="7" t="n">
        <v>1950</v>
      </c>
      <c r="AN1397" s="10" t="n"/>
      <c r="AO1397" s="10" t="n"/>
      <c r="AP1397" s="10" t="n"/>
      <c r="AQ1397" s="10" t="n"/>
    </row>
    <row r="1398">
      <c r="A1398" s="7" t="inlineStr">
        <is>
          <t>b9-0022</t>
        </is>
      </c>
      <c r="B1398" s="7" t="inlineStr">
        <is>
          <t>Point</t>
        </is>
      </c>
      <c r="C1398" s="7" t="n"/>
      <c r="D1398" s="7" t="inlineStr">
        <is>
          <t>1950</t>
        </is>
      </c>
      <c r="E1398" s="7" t="n"/>
      <c r="F1398" s="7" t="inlineStr">
        <is>
          <t>1950 CE</t>
        </is>
      </c>
      <c r="G1398" s="7" t="inlineStr">
        <is>
          <t>Exact</t>
        </is>
      </c>
      <c r="H1398" s="7" t="n"/>
      <c r="I1398" s="7" t="n"/>
      <c r="J1398" s="7" t="n"/>
      <c r="K1398" s="2" t="inlineStr">
        <is>
          <t>Understanding clarified: term “religion”</t>
        </is>
      </c>
      <c r="L1398" s="2" t="n"/>
      <c r="M1398" s="7" t="inlineStr">
        <is>
          <t>The Watch Tower Publications Index (“Beliefs Clarified,” list by year) records a clarified understanding in 1950 concerning term “religion”. Index references: jv 567.</t>
        </is>
      </c>
      <c r="N1398" s="7" t="n"/>
      <c r="O1398" s="13" t="inlineStr">
        <is>
          <t>Jehovah's Witnesses</t>
        </is>
      </c>
      <c r="P1398" s="7" t="inlineStr">
        <is>
          <t>jw.doctrine</t>
        </is>
      </c>
      <c r="Q1398" s="7" t="inlineStr">
        <is>
          <t>beliefs_clarified</t>
        </is>
      </c>
      <c r="R1398" s="7" t="n"/>
      <c r="S1398" s="7" t="n"/>
      <c r="T1398" s="7" t="n"/>
      <c r="U1398" s="7" t="n"/>
      <c r="V1398" s="7" t="n">
        <v>1</v>
      </c>
      <c r="W1398" s="7" t="inlineStr">
        <is>
          <t>Beliefs Clarified</t>
        </is>
      </c>
      <c r="X1398" s="9" t="inlineStr">
        <is>
          <t>open</t>
        </is>
      </c>
      <c r="Y1398" s="7" t="n"/>
      <c r="Z1398" s="7" t="inlineStr">
        <is>
          <t>https://wol.jw.org/en/wol/d/r1/lp-e/1200277174</t>
        </is>
      </c>
      <c r="AA1398" s="7" t="n">
        <v>0</v>
      </c>
      <c r="AB1398" s="7" t="n"/>
      <c r="AC1398" s="7" t="n">
        <v>0</v>
      </c>
      <c r="AD1398" s="7" t="n"/>
      <c r="AE1398" s="7" t="n"/>
      <c r="AF1398" s="7" t="n"/>
      <c r="AG1398" s="7" t="n"/>
      <c r="AH1398" s="7" t="n"/>
      <c r="AI1398" s="7" t="inlineStr">
        <is>
          <t>Index list entry – app detail</t>
        </is>
      </c>
      <c r="AJ1398" s="7" t="n"/>
      <c r="AK1398" s="7" t="n"/>
      <c r="AL1398" s="7" t="n"/>
      <c r="AM1398" s="7" t="n">
        <v>1950</v>
      </c>
      <c r="AN1398" s="10" t="n"/>
      <c r="AO1398" s="10" t="n"/>
      <c r="AP1398" s="10" t="n"/>
      <c r="AQ1398" s="10" t="n"/>
    </row>
    <row r="1399">
      <c r="A1399" s="7" t="inlineStr">
        <is>
          <t>b9-0023</t>
        </is>
      </c>
      <c r="B1399" s="7" t="inlineStr">
        <is>
          <t>Point</t>
        </is>
      </c>
      <c r="C1399" s="7" t="n"/>
      <c r="D1399" s="7" t="inlineStr">
        <is>
          <t>1950</t>
        </is>
      </c>
      <c r="E1399" s="7" t="inlineStr">
        <is>
          <t>1950</t>
        </is>
      </c>
      <c r="F1399" s="7" t="inlineStr">
        <is>
          <t>1950 CE</t>
        </is>
      </c>
      <c r="G1399" s="7" t="inlineStr">
        <is>
          <t>Exact</t>
        </is>
      </c>
      <c r="H1399" s="7" t="n"/>
      <c r="I1399" s="7" t="n"/>
      <c r="J1399" s="7" t="n"/>
      <c r="K1399" s="2" t="inlineStr">
        <is>
          <t>Anthony Sicurella applies for conscientious objector status</t>
        </is>
      </c>
      <c r="L1399" s="2" t="inlineStr">
        <is>
          <t>இரண்டு வருஷங்களுக்குப் பிறகு, 1950-ல், மனசாட்சியின் அடிப்படையில் ராணுவச் சேவையை மறுப்பவராக தன்னைப் பதிவு செய்யும்படி கேட்டுக்கொண்டார்.</t>
        </is>
      </c>
      <c r="M1399" s="7" t="inlineStr">
        <is>
          <t>In 1950 Anthony Sicurella applied for reclassification as a conscientious objector; after his claim was denied, the U.S. Supreme Court later ruled in his favor.</t>
        </is>
      </c>
      <c r="N1399" s="7" t="inlineStr">
        <is>
          <t>இரண்டு வருஷங்களுக்குப் பிறகு, 1950-ல், மனசாட்சியின் அடிப்படையில் ராணுவச் சேவையை மறுப்பவராக தன்னைப் பதிவு செய்யும்படி கேட்டுக்கொண்டார்.</t>
        </is>
      </c>
      <c r="O1399" s="13" t="inlineStr">
        <is>
          <t>Jehovah's Witnesses</t>
        </is>
      </c>
      <c r="P1399" s="7" t="inlineStr">
        <is>
          <t>jw.legal</t>
        </is>
      </c>
      <c r="Q1399" s="7" t="n"/>
      <c r="R1399" s="7" t="inlineStr">
        <is>
          <t>Anthony Sicurella</t>
        </is>
      </c>
      <c r="S1399" s="7" t="inlineStr">
        <is>
          <t>United States</t>
        </is>
      </c>
      <c r="T1399" s="7" t="n"/>
      <c r="U1399" s="7" t="n"/>
      <c r="V1399" s="7" t="n">
        <v>1</v>
      </c>
      <c r="W1399" s="7" t="inlineStr">
        <is>
          <t>Loyally Supporting God’s Government and No Other</t>
        </is>
      </c>
      <c r="X1399" s="9" t="inlineStr">
        <is>
          <t>open</t>
        </is>
      </c>
      <c r="Y1399" s="9" t="inlineStr">
        <is>
          <t>open</t>
        </is>
      </c>
      <c r="Z1399" s="7" t="inlineStr">
        <is>
          <t>https://wol.jw.org/en/wol/d/r1/lp-e/1102014253</t>
        </is>
      </c>
      <c r="AA1399" s="7" t="n">
        <v>0</v>
      </c>
      <c r="AB1399" s="7" t="n"/>
      <c r="AC1399" s="7" t="n">
        <v>0</v>
      </c>
      <c r="AD1399" s="7" t="n"/>
      <c r="AE1399" s="7" t="n"/>
      <c r="AF1399" s="7" t="n"/>
      <c r="AG1399" s="7" t="n"/>
      <c r="AH1399" s="7" t="n"/>
      <c r="AI1399" s="7" t="n"/>
      <c r="AJ1399" s="7" t="n"/>
      <c r="AK1399" s="7" t="n"/>
      <c r="AL1399" s="7" t="n"/>
      <c r="AM1399" s="7" t="n">
        <v>1950</v>
      </c>
      <c r="AN1399" s="10" t="n"/>
      <c r="AO1399" s="10" t="n"/>
      <c r="AP1399" s="10" t="n"/>
      <c r="AQ1399" s="10" t="n"/>
    </row>
    <row r="1400">
      <c r="A1400" s="7" t="inlineStr">
        <is>
          <t>b9-0024</t>
        </is>
      </c>
      <c r="B1400" s="7" t="inlineStr">
        <is>
          <t>Point</t>
        </is>
      </c>
      <c r="C1400" s="7" t="n"/>
      <c r="D1400" s="7" t="inlineStr">
        <is>
          <t>1950</t>
        </is>
      </c>
      <c r="E1400" s="7" t="n"/>
      <c r="F1400" s="7" t="inlineStr">
        <is>
          <t>1950 CE</t>
        </is>
      </c>
      <c r="G1400" s="7" t="inlineStr">
        <is>
          <t>Exact</t>
        </is>
      </c>
      <c r="H1400" s="7" t="n"/>
      <c r="I1400" s="7" t="n"/>
      <c r="J1400" s="7" t="n"/>
      <c r="K1400" s="2" t="inlineStr">
        <is>
          <t>Songbook Songs to Jehovah’s Praise released</t>
        </is>
      </c>
      <c r="L1400" s="2" t="n"/>
      <c r="M1400" s="7" t="inlineStr">
        <is>
          <t>God’s Kingdom Rules! shows the songbook Songs to Jehovah’s Praise (1950) among the song collections used by Jehovah’s people.</t>
        </is>
      </c>
      <c r="N1400" s="7" t="n"/>
      <c r="O1400" s="13" t="inlineStr">
        <is>
          <t>Jehovah's Witnesses</t>
        </is>
      </c>
      <c r="P1400" s="7" t="inlineStr">
        <is>
          <t>jw.publication</t>
        </is>
      </c>
      <c r="Q1400" s="7" t="inlineStr">
        <is>
          <t>release</t>
        </is>
      </c>
      <c r="R1400" s="7" t="n"/>
      <c r="S1400" s="7" t="n"/>
      <c r="T1400" s="7" t="n"/>
      <c r="U1400" s="7" t="n"/>
      <c r="V1400" s="7" t="n">
        <v>1</v>
      </c>
      <c r="W1400" s="7" t="inlineStr">
        <is>
          <t>Meeting Together for Worship</t>
        </is>
      </c>
      <c r="X1400" s="9" t="inlineStr">
        <is>
          <t>open</t>
        </is>
      </c>
      <c r="Y1400" s="9" t="inlineStr">
        <is>
          <t>open</t>
        </is>
      </c>
      <c r="Z1400" s="7" t="inlineStr">
        <is>
          <t>https://wol.jw.org/en/wol/d/r1/lp-e/1102014255</t>
        </is>
      </c>
      <c r="AA1400" s="7" t="n">
        <v>1</v>
      </c>
      <c r="AB1400" s="9" t="inlineStr">
        <is>
          <t>open</t>
        </is>
      </c>
      <c r="AC1400" s="7" t="n">
        <v>0</v>
      </c>
      <c r="AD1400" s="7" t="n"/>
      <c r="AE1400" s="7" t="n"/>
      <c r="AF1400" s="7" t="n"/>
      <c r="AG1400" s="7" t="n"/>
      <c r="AH1400" s="7" t="n"/>
      <c r="AI1400" s="7" t="n"/>
      <c r="AJ1400" s="7" t="n"/>
      <c r="AK1400" s="7" t="n"/>
      <c r="AL1400" s="7" t="n"/>
      <c r="AM1400" s="7" t="n">
        <v>1950</v>
      </c>
      <c r="AN1400" s="10" t="n"/>
      <c r="AO1400" s="10" t="n"/>
      <c r="AP1400" s="10" t="n"/>
      <c r="AQ1400" s="10" t="n"/>
    </row>
    <row r="1401">
      <c r="A1401" s="7" t="inlineStr">
        <is>
          <t>b9-0025</t>
        </is>
      </c>
      <c r="B1401" s="7" t="inlineStr">
        <is>
          <t>Point</t>
        </is>
      </c>
      <c r="C1401" s="7" t="n"/>
      <c r="D1401" s="7" t="inlineStr">
        <is>
          <t>1950</t>
        </is>
      </c>
      <c r="E1401" s="7" t="n"/>
      <c r="F1401" s="7" t="inlineStr">
        <is>
          <t>1950 CE</t>
        </is>
      </c>
      <c r="G1401" s="7" t="inlineStr">
        <is>
          <t>Exact</t>
        </is>
      </c>
      <c r="H1401" s="7" t="n"/>
      <c r="I1401" s="7" t="n"/>
      <c r="J1401" s="7" t="n"/>
      <c r="K1401" s="2" t="inlineStr">
        <is>
          <t>Theocracy’s Increase Assembly</t>
        </is>
      </c>
      <c r="L1401" s="2" t="n"/>
      <c r="M1401" s="7" t="inlineStr">
        <is>
          <t>The 1950 Theocracy’s Increase Assembly, at which the New World Translation of the Christian Greek Scriptures was released.</t>
        </is>
      </c>
      <c r="N1401" s="7" t="n"/>
      <c r="O1401" s="13" t="inlineStr">
        <is>
          <t>Jehovah's Witnesses</t>
        </is>
      </c>
      <c r="P1401" s="7" t="inlineStr">
        <is>
          <t>jw.convention</t>
        </is>
      </c>
      <c r="Q1401" s="7" t="inlineStr">
        <is>
          <t>convention</t>
        </is>
      </c>
      <c r="R1401" s="7" t="n"/>
      <c r="S1401" s="7" t="n"/>
      <c r="T1401" s="7" t="n"/>
      <c r="U1401" s="7" t="n"/>
      <c r="V1401" s="7" t="n">
        <v>2</v>
      </c>
      <c r="W1401" s="7" t="inlineStr">
        <is>
          <t>Meeting Together for Worship</t>
        </is>
      </c>
      <c r="X1401" s="9" t="inlineStr">
        <is>
          <t>open</t>
        </is>
      </c>
      <c r="Y1401" s="9" t="inlineStr">
        <is>
          <t>open</t>
        </is>
      </c>
      <c r="Z1401" s="7" t="inlineStr">
        <is>
          <t>https://wol.jw.org/en/wol/d/r1/lp-e/1102014255
https://wol.jw.org/en/wol/d/r1/lp-e/1200271388</t>
        </is>
      </c>
      <c r="AA1401" s="7" t="n">
        <v>0</v>
      </c>
      <c r="AB1401" s="7" t="n"/>
      <c r="AC1401" s="7" t="n">
        <v>0</v>
      </c>
      <c r="AD1401" s="7" t="n"/>
      <c r="AE1401" s="7" t="n"/>
      <c r="AF1401" s="7" t="n"/>
      <c r="AG1401" s="7" t="n"/>
      <c r="AH1401" s="7" t="n"/>
      <c r="AI1401" s="7" t="n"/>
      <c r="AJ1401" s="7" t="n"/>
      <c r="AK1401" s="7" t="n"/>
      <c r="AL1401" s="7" t="n"/>
      <c r="AM1401" s="7" t="n">
        <v>1950</v>
      </c>
      <c r="AN1401" s="10" t="n"/>
      <c r="AO1401" s="10" t="n"/>
      <c r="AP1401" s="10" t="n"/>
      <c r="AQ1401" s="10" t="n"/>
    </row>
    <row r="1402">
      <c r="A1402" s="7" t="inlineStr">
        <is>
          <t>b9-0026</t>
        </is>
      </c>
      <c r="B1402" s="7" t="inlineStr">
        <is>
          <t>Point</t>
        </is>
      </c>
      <c r="C1402" s="7" t="n"/>
      <c r="D1402" s="7" t="inlineStr">
        <is>
          <t>1950, June</t>
        </is>
      </c>
      <c r="E1402" s="7" t="inlineStr">
        <is>
          <t>ஜூன் 1950</t>
        </is>
      </c>
      <c r="F1402" s="7" t="inlineStr">
        <is>
          <t>1950 CE</t>
        </is>
      </c>
      <c r="G1402" s="7" t="inlineStr">
        <is>
          <t>Exact</t>
        </is>
      </c>
      <c r="H1402" s="7" t="n"/>
      <c r="I1402" s="7" t="n"/>
      <c r="J1402" s="7" t="n"/>
      <c r="K1402" s="2" t="inlineStr">
        <is>
          <t>Supreme Court of Canada hears Boucher case</t>
        </is>
      </c>
      <c r="L1402" s="2" t="inlineStr">
        <is>
          <t>ஜூன் 1950-ல், ஒன்பது நீதிபதிகளைக் கொண்ட கனடா உச்ச நீதிமன்றம் எமே புஷேயின் வழக்கை விசாரித்தது.</t>
        </is>
      </c>
      <c r="M1402" s="7" t="inlineStr">
        <is>
          <t>In June 1950 the full Supreme Court of Canada, nine justices, heard the case of Aimé Boucher.</t>
        </is>
      </c>
      <c r="N1402" s="7" t="inlineStr">
        <is>
          <t>ஜூன் 1950-ல், ஒன்பது நீதிபதிகளைக் கொண்ட கனடா உச்ச நீதிமன்றம் எமே புஷேயின் வழக்கை விசாரித்தது.</t>
        </is>
      </c>
      <c r="O1402" s="13" t="inlineStr">
        <is>
          <t>Jehovah's Witnesses</t>
        </is>
      </c>
      <c r="P1402" s="7" t="inlineStr">
        <is>
          <t>jw.legal</t>
        </is>
      </c>
      <c r="Q1402" s="7" t="n"/>
      <c r="R1402" s="7" t="n"/>
      <c r="S1402" s="7" t="inlineStr">
        <is>
          <t>Canada</t>
        </is>
      </c>
      <c r="T1402" s="7" t="n"/>
      <c r="U1402" s="7" t="n"/>
      <c r="V1402" s="7" t="n">
        <v>1</v>
      </c>
      <c r="W1402" s="7" t="inlineStr">
        <is>
          <t>Kingdom Preachers Take Their Case to Court</t>
        </is>
      </c>
      <c r="X1402" s="9" t="inlineStr">
        <is>
          <t>open</t>
        </is>
      </c>
      <c r="Y1402" s="9" t="inlineStr">
        <is>
          <t>open</t>
        </is>
      </c>
      <c r="Z1402" s="7" t="inlineStr">
        <is>
          <t>https://wol.jw.org/en/wol/d/r1/lp-e/1102014252</t>
        </is>
      </c>
      <c r="AA1402" s="7" t="n">
        <v>0</v>
      </c>
      <c r="AB1402" s="7" t="n"/>
      <c r="AC1402" s="7" t="n">
        <v>0</v>
      </c>
      <c r="AD1402" s="7" t="n"/>
      <c r="AE1402" s="7" t="n"/>
      <c r="AF1402" s="7" t="n"/>
      <c r="AG1402" s="7" t="n"/>
      <c r="AH1402" s="7" t="n"/>
      <c r="AI1402" s="7" t="n"/>
      <c r="AJ1402" s="7" t="n"/>
      <c r="AK1402" s="7" t="n"/>
      <c r="AL1402" s="7" t="n"/>
      <c r="AM1402" s="7" t="n">
        <v>1950.4167</v>
      </c>
      <c r="AN1402" s="10" t="n"/>
      <c r="AO1402" s="10" t="n"/>
      <c r="AP1402" s="10" t="n"/>
      <c r="AQ1402" s="10" t="n"/>
    </row>
    <row r="1403">
      <c r="A1403" s="7" t="inlineStr">
        <is>
          <t>b9-0027</t>
        </is>
      </c>
      <c r="B1403" s="7" t="inlineStr">
        <is>
          <t>Point</t>
        </is>
      </c>
      <c r="C1403" s="7" t="n"/>
      <c r="D1403" s="7" t="inlineStr">
        <is>
          <t>1950, August 2</t>
        </is>
      </c>
      <c r="E1403" s="7" t="n"/>
      <c r="F1403" s="7" t="inlineStr">
        <is>
          <t>1950 CE</t>
        </is>
      </c>
      <c r="G1403" s="7" t="inlineStr">
        <is>
          <t>Exact</t>
        </is>
      </c>
      <c r="H1403" s="7" t="n"/>
      <c r="I1403" s="7" t="n"/>
      <c r="J1403" s="7" t="n"/>
      <c r="K1403" s="2" t="inlineStr">
        <is>
          <t>New World Translation of the Christian Greek Scriptures released</t>
        </is>
      </c>
      <c r="L1403" s="2" t="inlineStr">
        <is>
          <t>1950-ல் கிறிஸ்தவ கிரேக்க வேதாகமத்தின் புதிய உலக மொழிபெயர்ப்பு ஆங்கிலத்தில் வெளியிடப்பட்டது (2009-ல் தமிழில் வெளியிடப்பட்டது).</t>
        </is>
      </c>
      <c r="M1403" s="7" t="inlineStr">
        <is>
          <t>The New World Translation of the Christian Greek Scriptures was released in English on August 2, 1950, at the Theocracy’s Increase Assembly in New York. Nathan H. Knorr released it to an audience of 82,075 at Yankee Stadium.</t>
        </is>
      </c>
      <c r="N1403" s="7" t="inlineStr">
        <is>
          <t>1950-ல் கிறிஸ்தவ கிரேக்க வேதாகமத்தின் புதிய உலக மொழிபெயர்ப்பு ஆங்கிலத்தில் வெளியிடப்பட்டது (2009-ல் தமிழில் வெளியிடப்பட்டது).</t>
        </is>
      </c>
      <c r="O1403" s="12" t="inlineStr">
        <is>
          <t>Bible &amp; church history</t>
        </is>
      </c>
      <c r="P1403" s="7" t="inlineStr">
        <is>
          <t>history.bible_translation</t>
        </is>
      </c>
      <c r="Q1403" s="7" t="inlineStr">
        <is>
          <t>release</t>
        </is>
      </c>
      <c r="R1403" s="7" t="inlineStr">
        <is>
          <t>Nathan H. Knorr</t>
        </is>
      </c>
      <c r="S1403" s="7" t="inlineStr">
        <is>
          <t>Yankee Stadium, New York</t>
        </is>
      </c>
      <c r="T1403" s="7" t="n"/>
      <c r="U1403" s="7" t="n"/>
      <c r="V1403" s="7" t="n">
        <v>3</v>
      </c>
      <c r="W1403" s="7" t="inlineStr">
        <is>
          <t>Noteworthy Events in the Modern-day History of Jehovah’s Witnesses</t>
        </is>
      </c>
      <c r="X1403" s="9" t="inlineStr">
        <is>
          <t>open</t>
        </is>
      </c>
      <c r="Y1403" s="7" t="n"/>
      <c r="Z1403" s="7" t="inlineStr">
        <is>
          <t>https://wol.jw.org/en/wol/d/r1/lp-e/1101993046
https://wol.jw.org/en/wol/d/r1/lp-e/1102014247
https://www.jw.org/en/news/region/global/New-World-Translation-of-the-Christian-Greek-Scriptures-First-Released-75-Years-Ago/</t>
        </is>
      </c>
      <c r="AA1403" s="7" t="n">
        <v>1</v>
      </c>
      <c r="AB1403" s="9" t="inlineStr">
        <is>
          <t>open</t>
        </is>
      </c>
      <c r="AC1403" s="7" t="n">
        <v>0</v>
      </c>
      <c r="AD1403" s="7" t="n"/>
      <c r="AE1403" s="7" t="n"/>
      <c r="AF1403" s="7" t="n"/>
      <c r="AG1403" s="7" t="n"/>
      <c r="AH1403" s="7" t="n"/>
      <c r="AI1403" s="7" t="inlineStr">
        <is>
          <t>Span endpoint – keep</t>
        </is>
      </c>
      <c r="AJ1403" s="7" t="inlineStr">
        <is>
          <t>start of Release of the New World Translation in volumes (b12-0092)</t>
        </is>
      </c>
      <c r="AK1403" s="7" t="inlineStr">
        <is>
          <t>how-the-bible-came-to-us #54 (step)</t>
        </is>
      </c>
      <c r="AL1403" s="7" t="n"/>
      <c r="AM1403" s="7" t="n">
        <v>1950.586</v>
      </c>
      <c r="AN1403" s="10" t="n"/>
      <c r="AO1403" s="10" t="n"/>
      <c r="AP1403" s="10" t="n"/>
      <c r="AQ1403" s="10" t="n"/>
    </row>
    <row r="1404">
      <c r="A1404" s="7" t="inlineStr">
        <is>
          <t>b12-0092</t>
        </is>
      </c>
      <c r="B1404" s="11" t="inlineStr">
        <is>
          <t>Span</t>
        </is>
      </c>
      <c r="C1404" s="7" t="inlineStr">
        <is>
          <t>publication</t>
        </is>
      </c>
      <c r="D1404" s="7" t="inlineStr">
        <is>
          <t>August 2, 1950–June 18, 1960</t>
        </is>
      </c>
      <c r="E1404" s="7" t="n"/>
      <c r="F1404" s="7" t="inlineStr">
        <is>
          <t>1950 CE</t>
        </is>
      </c>
      <c r="G1404" s="7" t="inlineStr">
        <is>
          <t>Exact</t>
        </is>
      </c>
      <c r="H1404" s="7" t="inlineStr">
        <is>
          <t>1960 CE</t>
        </is>
      </c>
      <c r="I1404" s="7" t="inlineStr">
        <is>
          <t>Exact</t>
        </is>
      </c>
      <c r="J1404" s="7" t="n"/>
      <c r="K1404" s="2" t="inlineStr">
        <is>
          <t>Release of the New World Translation in volumes</t>
        </is>
      </c>
      <c r="L1404" s="2" t="n"/>
      <c r="M1404" s="7" t="inlineStr">
        <is>
          <t>The Christian Greek Scriptures were released at a New York convention in 1950; the final volume of the Hebrew Scriptures was released at Manchester, England, in 1960.</t>
        </is>
      </c>
      <c r="N1404" s="7" t="inlineStr">
        <is>
          <t>மூன்று மாதங்களுக்குப் பிறகு, ஜூன் 18, 1960-ல் இங்கிலாந்திலுள்ள மான்செஸ்டரில் நடந்த ஒரு மாநாட்டில், சகோதரர் நேதன் நார், பரிசுத்த வேதாகமத்தின் புதிய உலக மொழிபெயர்ப்பு பைபிளை ஆங்கிலத்தில் வெளியிட்டார்.</t>
        </is>
      </c>
      <c r="O1404" s="13" t="inlineStr">
        <is>
          <t>Jehovah's Witnesses</t>
        </is>
      </c>
      <c r="P1404" s="7" t="inlineStr">
        <is>
          <t>jw.publication</t>
        </is>
      </c>
      <c r="Q1404" s="7" t="n"/>
      <c r="R1404" s="7" t="n"/>
      <c r="S1404" s="7" t="n"/>
      <c r="T1404" s="7" t="n"/>
      <c r="U1404" s="7" t="n"/>
      <c r="V1404" s="7" t="n">
        <v>2</v>
      </c>
      <c r="W1404" s="7" t="inlineStr">
        <is>
          <t>Noteworthy Events in the Modern-day History of Jehovah’s Witnesses</t>
        </is>
      </c>
      <c r="X1404" s="9" t="inlineStr">
        <is>
          <t>open</t>
        </is>
      </c>
      <c r="Y1404" s="7" t="n"/>
      <c r="Z1404" s="7" t="inlineStr">
        <is>
          <t>https://wol.jw.org/en/wol/d/r1/lp-e/1101993046
https://wol.jw.org/en/wol/d/r1/lp-e/1102014243</t>
        </is>
      </c>
      <c r="AA1404" s="7" t="n">
        <v>0</v>
      </c>
      <c r="AB1404" s="7" t="n"/>
      <c r="AC1404" s="7" t="n">
        <v>0</v>
      </c>
      <c r="AD1404" s="7" t="n"/>
      <c r="AE1404" s="7" t="n"/>
      <c r="AF1404" s="7" t="inlineStr">
        <is>
          <t>b9-0027</t>
        </is>
      </c>
      <c r="AG1404" s="7" t="inlineStr">
        <is>
          <t>b9-0058</t>
        </is>
      </c>
      <c r="AH1404" s="7" t="n"/>
      <c r="AI1404" s="7" t="n"/>
      <c r="AJ1404" s="7" t="n"/>
      <c r="AK1404" s="7" t="inlineStr">
        <is>
          <t>how-the-bible-came-to-us #55 (step)</t>
        </is>
      </c>
      <c r="AL1404" s="7" t="n"/>
      <c r="AM1404" s="7" t="n">
        <v>1950.586</v>
      </c>
      <c r="AN1404" s="10" t="n"/>
      <c r="AO1404" s="10" t="n"/>
      <c r="AP1404" s="10" t="n"/>
      <c r="AQ1404" s="10" t="n"/>
    </row>
    <row r="1405">
      <c r="A1405" s="7" t="inlineStr">
        <is>
          <t>b9-0028</t>
        </is>
      </c>
      <c r="B1405" s="7" t="inlineStr">
        <is>
          <t>Point</t>
        </is>
      </c>
      <c r="C1405" s="7" t="n"/>
      <c r="D1405" s="7" t="inlineStr">
        <is>
          <t>1950, December 18</t>
        </is>
      </c>
      <c r="E1405" s="7" t="inlineStr">
        <is>
          <t>டிசம்பர் 18, 1950</t>
        </is>
      </c>
      <c r="F1405" s="7" t="inlineStr">
        <is>
          <t>1950 CE</t>
        </is>
      </c>
      <c r="G1405" s="7" t="inlineStr">
        <is>
          <t>Exact</t>
        </is>
      </c>
      <c r="H1405" s="7" t="n"/>
      <c r="I1405" s="7" t="n"/>
      <c r="J1405" s="7" t="n"/>
      <c r="K1405" s="2" t="inlineStr">
        <is>
          <t>Supreme Court of Canada rules for Boucher</t>
        </is>
      </c>
      <c r="L1405" s="2" t="inlineStr">
        <is>
          <t>ஆறு மாதங்களுக்குப் பிறகு, டிசம்பர் 18, 1950-ல் நீதிமன்றம் நமக்குச் சாதகமாகத் தீர்ப்பளித்தது.</t>
        </is>
      </c>
      <c r="M1405" s="7" t="inlineStr">
        <is>
          <t>On December 18, 1950, the Supreme Court of Canada ruled in favor of the Witnesses in the Boucher sedition case.</t>
        </is>
      </c>
      <c r="N1405" s="7" t="inlineStr">
        <is>
          <t>ஆறு மாதங்களுக்குப் பிறகு, டிசம்பர் 18, 1950-ல் நீதிமன்றம் நமக்குச் சாதகமாகத் தீர்ப்பளித்தது.</t>
        </is>
      </c>
      <c r="O1405" s="13" t="inlineStr">
        <is>
          <t>Jehovah's Witnesses</t>
        </is>
      </c>
      <c r="P1405" s="7" t="inlineStr">
        <is>
          <t>jw.legal</t>
        </is>
      </c>
      <c r="Q1405" s="7" t="inlineStr">
        <is>
          <t>court_ruling</t>
        </is>
      </c>
      <c r="R1405" s="7" t="n"/>
      <c r="S1405" s="7" t="inlineStr">
        <is>
          <t>Canada</t>
        </is>
      </c>
      <c r="T1405" s="7" t="n"/>
      <c r="U1405" s="7" t="n"/>
      <c r="V1405" s="7" t="n">
        <v>1</v>
      </c>
      <c r="W1405" s="7" t="inlineStr">
        <is>
          <t>Kingdom Preachers Take Their Case to Court</t>
        </is>
      </c>
      <c r="X1405" s="9" t="inlineStr">
        <is>
          <t>open</t>
        </is>
      </c>
      <c r="Y1405" s="9" t="inlineStr">
        <is>
          <t>open</t>
        </is>
      </c>
      <c r="Z1405" s="7" t="inlineStr">
        <is>
          <t>https://wol.jw.org/en/wol/d/r1/lp-e/1102014252</t>
        </is>
      </c>
      <c r="AA1405" s="7" t="n">
        <v>0</v>
      </c>
      <c r="AB1405" s="7" t="n"/>
      <c r="AC1405" s="7" t="n">
        <v>0</v>
      </c>
      <c r="AD1405" s="7" t="n"/>
      <c r="AE1405" s="7" t="n"/>
      <c r="AF1405" s="7" t="n"/>
      <c r="AG1405" s="7" t="n"/>
      <c r="AH1405" s="7" t="n"/>
      <c r="AI1405" s="7" t="n"/>
      <c r="AJ1405" s="7" t="n"/>
      <c r="AK1405" s="7" t="n"/>
      <c r="AL1405" s="7" t="n"/>
      <c r="AM1405" s="7" t="n">
        <v>1950.9624</v>
      </c>
      <c r="AN1405" s="10" t="n"/>
      <c r="AO1405" s="10" t="n"/>
      <c r="AP1405" s="10" t="n"/>
      <c r="AQ1405" s="10" t="n"/>
    </row>
    <row r="1406">
      <c r="A1406" s="7" t="inlineStr">
        <is>
          <t>b9-0029</t>
        </is>
      </c>
      <c r="B1406" s="7" t="inlineStr">
        <is>
          <t>Point</t>
        </is>
      </c>
      <c r="C1406" s="7" t="n"/>
      <c r="D1406" s="7" t="inlineStr">
        <is>
          <t>1951</t>
        </is>
      </c>
      <c r="E1406" s="7" t="inlineStr">
        <is>
          <t>1951</t>
        </is>
      </c>
      <c r="F1406" s="7" t="inlineStr">
        <is>
          <t>1951 CE</t>
        </is>
      </c>
      <c r="G1406" s="7" t="inlineStr">
        <is>
          <t>Before (b.)</t>
        </is>
      </c>
      <c r="H1406" s="7" t="n"/>
      <c r="I1406" s="7" t="n"/>
      <c r="J1406" s="7" t="n"/>
      <c r="K1406" s="2" t="inlineStr">
        <is>
          <t>Questions and answers on blood published</t>
        </is>
      </c>
      <c r="L1406" s="2" t="inlineStr">
        <is>
          <t>1951-க்குள் இரத்தம் சம்பந்தமான சில கேள்விகளும் பதில்களும் அடங்கிய ஒரு பட்டியல் பிரசுரிக்கப்பட்டது.</t>
        </is>
      </c>
      <c r="M1406" s="7" t="inlineStr">
        <is>
          <t>By 1951 a list of questions and answers had been published to help God’s people deal with medical professionals regarding blood.</t>
        </is>
      </c>
      <c r="N1406" s="7" t="inlineStr">
        <is>
          <t>1951-க்குள் இரத்தம் சம்பந்தமான சில கேள்விகளும் பதில்களும் அடங்கிய ஒரு பட்டியல் பிரசுரிக்கப்பட்டது.</t>
        </is>
      </c>
      <c r="O1406" s="13" t="inlineStr">
        <is>
          <t>Jehovah's Witnesses</t>
        </is>
      </c>
      <c r="P1406" s="7" t="inlineStr">
        <is>
          <t>jw.doctrine</t>
        </is>
      </c>
      <c r="Q1406" s="7" t="n"/>
      <c r="R1406" s="7" t="n"/>
      <c r="S1406" s="7" t="n"/>
      <c r="T1406" s="7" t="n"/>
      <c r="U1406" s="7" t="n"/>
      <c r="V1406" s="7" t="n">
        <v>1</v>
      </c>
      <c r="W1406" s="7" t="inlineStr">
        <is>
          <t>Moral Refinements</t>
        </is>
      </c>
      <c r="X1406" s="9" t="inlineStr">
        <is>
          <t>open</t>
        </is>
      </c>
      <c r="Y1406" s="9" t="inlineStr">
        <is>
          <t>open</t>
        </is>
      </c>
      <c r="Z1406" s="7" t="inlineStr">
        <is>
          <t>https://wol.jw.org/en/wol/d/r1/lp-e/1102014250</t>
        </is>
      </c>
      <c r="AA1406" s="7" t="n">
        <v>0</v>
      </c>
      <c r="AB1406" s="7" t="n"/>
      <c r="AC1406" s="7" t="n">
        <v>0</v>
      </c>
      <c r="AD1406" s="7" t="n"/>
      <c r="AE1406" s="7" t="n"/>
      <c r="AF1406" s="7" t="n"/>
      <c r="AG1406" s="7" t="n"/>
      <c r="AH1406" s="7" t="n"/>
      <c r="AI1406" s="7" t="n"/>
      <c r="AJ1406" s="7" t="n"/>
      <c r="AK1406" s="7" t="n"/>
      <c r="AL1406" s="7" t="n"/>
      <c r="AM1406" s="7" t="n">
        <v>1950.99</v>
      </c>
      <c r="AN1406" s="10" t="n"/>
      <c r="AO1406" s="10" t="n"/>
      <c r="AP1406" s="10" t="n"/>
      <c r="AQ1406" s="10" t="n"/>
    </row>
    <row r="1407">
      <c r="A1407" s="7" t="inlineStr">
        <is>
          <t>b9-0030</t>
        </is>
      </c>
      <c r="B1407" s="7" t="inlineStr">
        <is>
          <t>Point</t>
        </is>
      </c>
      <c r="C1407" s="7" t="n"/>
      <c r="D1407" s="7" t="inlineStr">
        <is>
          <t>1951</t>
        </is>
      </c>
      <c r="E1407" s="7" t="n"/>
      <c r="F1407" s="7" t="inlineStr">
        <is>
          <t>1951 CE</t>
        </is>
      </c>
      <c r="G1407" s="7" t="inlineStr">
        <is>
          <t>Exact</t>
        </is>
      </c>
      <c r="H1407" s="7" t="n"/>
      <c r="I1407" s="7" t="n"/>
      <c r="J1407" s="7" t="n"/>
      <c r="K1407" s="2" t="inlineStr">
        <is>
          <t>1951: “Clean Worship” Assemblies</t>
        </is>
      </c>
      <c r="L1407" s="2" t="n"/>
      <c r="M1407" s="7" t="inlineStr">
        <is>
          <t>The Watch Tower Publications Index lists the 1951 conventions of Jehovah’s Witnesses as “Clean Worship” Assemblies.</t>
        </is>
      </c>
      <c r="N1407" s="7" t="n"/>
      <c r="O1407" s="13" t="inlineStr">
        <is>
          <t>Jehovah's Witnesses</t>
        </is>
      </c>
      <c r="P1407" s="7" t="inlineStr">
        <is>
          <t>jw.convention</t>
        </is>
      </c>
      <c r="Q1407" s="7" t="inlineStr">
        <is>
          <t>convention</t>
        </is>
      </c>
      <c r="R1407" s="7" t="n"/>
      <c r="S1407" s="7" t="n"/>
      <c r="T1407" s="7" t="n"/>
      <c r="U1407" s="7" t="n"/>
      <c r="V1407" s="7" t="n">
        <v>1</v>
      </c>
      <c r="W1407" s="7" t="inlineStr">
        <is>
          <t>Conventions</t>
        </is>
      </c>
      <c r="X1407" s="9" t="inlineStr">
        <is>
          <t>open</t>
        </is>
      </c>
      <c r="Y1407" s="7" t="n"/>
      <c r="Z1407" s="7" t="inlineStr">
        <is>
          <t>https://wol.jw.org/en/wol/d/r1/lp-e/1200271388</t>
        </is>
      </c>
      <c r="AA1407" s="7" t="n">
        <v>0</v>
      </c>
      <c r="AB1407" s="7" t="n"/>
      <c r="AC1407" s="7" t="n">
        <v>0</v>
      </c>
      <c r="AD1407" s="7" t="n"/>
      <c r="AE1407" s="7" t="n"/>
      <c r="AF1407" s="7" t="n"/>
      <c r="AG1407" s="7" t="n"/>
      <c r="AH1407" s="7" t="n"/>
      <c r="AI1407" s="7" t="inlineStr">
        <is>
          <t>Index list entry – app detail</t>
        </is>
      </c>
      <c r="AJ1407" s="7" t="n"/>
      <c r="AK1407" s="7" t="n"/>
      <c r="AL1407" s="7" t="n"/>
      <c r="AM1407" s="7" t="n">
        <v>1951</v>
      </c>
      <c r="AN1407" s="10" t="n"/>
      <c r="AO1407" s="10" t="n"/>
      <c r="AP1407" s="10" t="n"/>
      <c r="AQ1407" s="10" t="n"/>
    </row>
    <row r="1408">
      <c r="A1408" s="7" t="inlineStr">
        <is>
          <t>b9-0031</t>
        </is>
      </c>
      <c r="B1408" s="11" t="inlineStr">
        <is>
          <t>Span</t>
        </is>
      </c>
      <c r="C1408" s="7" t="inlineStr">
        <is>
          <t>broadcast</t>
        </is>
      </c>
      <c r="D1408" s="7" t="inlineStr">
        <is>
          <t>1951-1991</t>
        </is>
      </c>
      <c r="E1408" s="7" t="n"/>
      <c r="F1408" s="7" t="inlineStr">
        <is>
          <t>1951 CE</t>
        </is>
      </c>
      <c r="G1408" s="7" t="inlineStr">
        <is>
          <t>Exact</t>
        </is>
      </c>
      <c r="H1408" s="7" t="inlineStr">
        <is>
          <t>1991 CE</t>
        </is>
      </c>
      <c r="I1408" s="7" t="inlineStr">
        <is>
          <t>Exact</t>
        </is>
      </c>
      <c r="J1408" s="7" t="inlineStr">
        <is>
          <t>40 years</t>
        </is>
      </c>
      <c r="K1408" s="2" t="inlineStr">
        <is>
          <t>West Berlin radio broadcasts Bible discourses</t>
        </is>
      </c>
      <c r="L1408" s="2" t="inlineStr">
        <is>
          <t>உதாரணத்துக்கு, 1951 முதல் 1991 வரை ஜெர்மனியிலுள்ள மேற்கு பெர்லினில் பைபிள் பேச்சுகள் தவறாமல் ஒலிபரப்பப்பட்டன.</t>
        </is>
      </c>
      <c r="M1408" s="7" t="inlineStr">
        <is>
          <t>From 1951 to 1991, a station in West Berlin regularly broadcast Bible discourses so that people in parts of East Germany could hear the Kingdom message.</t>
        </is>
      </c>
      <c r="N1408" s="7" t="inlineStr">
        <is>
          <t>உதாரணத்துக்கு, 1951 முதல் 1991 வரை ஜெர்மனியிலுள்ள மேற்கு பெர்லினில் பைபிள் பேச்சுகள் தவறாமல் ஒலிபரப்பப்பட்டன.</t>
        </is>
      </c>
      <c r="O1408" s="13" t="inlineStr">
        <is>
          <t>Jehovah's Witnesses</t>
        </is>
      </c>
      <c r="P1408" s="7" t="inlineStr">
        <is>
          <t>jw.preaching</t>
        </is>
      </c>
      <c r="Q1408" s="7" t="n"/>
      <c r="R1408" s="7" t="n"/>
      <c r="S1408" s="7" t="inlineStr">
        <is>
          <t>West Berlin</t>
        </is>
      </c>
      <c r="T1408" s="7" t="n"/>
      <c r="U1408" s="7" t="n"/>
      <c r="V1408" s="7" t="n">
        <v>1</v>
      </c>
      <c r="W1408" s="7" t="inlineStr">
        <is>
          <t>Methods of Preaching</t>
        </is>
      </c>
      <c r="X1408" s="9" t="inlineStr">
        <is>
          <t>open</t>
        </is>
      </c>
      <c r="Y1408" s="9" t="inlineStr">
        <is>
          <t>open</t>
        </is>
      </c>
      <c r="Z1408" s="7" t="inlineStr">
        <is>
          <t>https://wol.jw.org/en/wol/d/r1/lp-e/1102014246</t>
        </is>
      </c>
      <c r="AA1408" s="7" t="n">
        <v>0</v>
      </c>
      <c r="AB1408" s="7" t="n"/>
      <c r="AC1408" s="7" t="n">
        <v>0</v>
      </c>
      <c r="AD1408" s="7" t="n"/>
      <c r="AE1408" s="7" t="n"/>
      <c r="AF1408" s="7" t="n"/>
      <c r="AG1408" s="7" t="n"/>
      <c r="AH1408" s="7" t="n"/>
      <c r="AI1408" s="7" t="n"/>
      <c r="AJ1408" s="7" t="n"/>
      <c r="AK1408" s="7" t="n"/>
      <c r="AL1408" s="7" t="n"/>
      <c r="AM1408" s="7" t="n">
        <v>1951</v>
      </c>
      <c r="AN1408" s="10" t="n"/>
      <c r="AO1408" s="10" t="n"/>
      <c r="AP1408" s="10" t="n"/>
      <c r="AQ1408" s="10" t="n"/>
    </row>
    <row r="1409">
      <c r="A1409" s="7" t="inlineStr">
        <is>
          <t>b9-0032</t>
        </is>
      </c>
      <c r="B1409" s="7" t="inlineStr">
        <is>
          <t>Point</t>
        </is>
      </c>
      <c r="C1409" s="7" t="n"/>
      <c r="D1409" s="7" t="inlineStr">
        <is>
          <t>1952</t>
        </is>
      </c>
      <c r="E1409" s="7" t="n"/>
      <c r="F1409" s="7" t="inlineStr">
        <is>
          <t>1952 CE</t>
        </is>
      </c>
      <c r="G1409" s="7" t="inlineStr">
        <is>
          <t>Exact</t>
        </is>
      </c>
      <c r="H1409" s="7" t="n"/>
      <c r="I1409" s="7" t="n"/>
      <c r="J1409" s="7" t="n"/>
      <c r="K1409" s="2" t="inlineStr">
        <is>
          <t>1952: “Press On to Maturity” District Assemblies</t>
        </is>
      </c>
      <c r="L1409" s="2" t="n"/>
      <c r="M1409" s="7" t="inlineStr">
        <is>
          <t>The Watch Tower Publications Index lists the 1952 conventions of Jehovah’s Witnesses as “Press On to Maturity” District Assemblies.</t>
        </is>
      </c>
      <c r="N1409" s="7" t="n"/>
      <c r="O1409" s="13" t="inlineStr">
        <is>
          <t>Jehovah's Witnesses</t>
        </is>
      </c>
      <c r="P1409" s="7" t="inlineStr">
        <is>
          <t>jw.convention</t>
        </is>
      </c>
      <c r="Q1409" s="7" t="inlineStr">
        <is>
          <t>convention</t>
        </is>
      </c>
      <c r="R1409" s="7" t="n"/>
      <c r="S1409" s="7" t="n"/>
      <c r="T1409" s="7" t="n"/>
      <c r="U1409" s="7" t="n"/>
      <c r="V1409" s="7" t="n">
        <v>1</v>
      </c>
      <c r="W1409" s="7" t="inlineStr">
        <is>
          <t>Conventions</t>
        </is>
      </c>
      <c r="X1409" s="9" t="inlineStr">
        <is>
          <t>open</t>
        </is>
      </c>
      <c r="Y1409" s="7" t="n"/>
      <c r="Z1409" s="7" t="inlineStr">
        <is>
          <t>https://wol.jw.org/en/wol/d/r1/lp-e/1200271388</t>
        </is>
      </c>
      <c r="AA1409" s="7" t="n">
        <v>0</v>
      </c>
      <c r="AB1409" s="7" t="n"/>
      <c r="AC1409" s="7" t="n">
        <v>0</v>
      </c>
      <c r="AD1409" s="7" t="n"/>
      <c r="AE1409" s="7" t="n"/>
      <c r="AF1409" s="7" t="n"/>
      <c r="AG1409" s="7" t="n"/>
      <c r="AH1409" s="7" t="n"/>
      <c r="AI1409" s="7" t="inlineStr">
        <is>
          <t>Index list entry – app detail</t>
        </is>
      </c>
      <c r="AJ1409" s="7" t="n"/>
      <c r="AK1409" s="7" t="n"/>
      <c r="AL1409" s="7" t="n"/>
      <c r="AM1409" s="7" t="n">
        <v>1952</v>
      </c>
      <c r="AN1409" s="10" t="n"/>
      <c r="AO1409" s="10" t="n"/>
      <c r="AP1409" s="10" t="n"/>
      <c r="AQ1409" s="10" t="n"/>
    </row>
    <row r="1410">
      <c r="A1410" s="7" t="inlineStr">
        <is>
          <t>b9-0033</t>
        </is>
      </c>
      <c r="B1410" s="7" t="inlineStr">
        <is>
          <t>Point</t>
        </is>
      </c>
      <c r="C1410" s="7" t="n"/>
      <c r="D1410" s="7" t="inlineStr">
        <is>
          <t>1952</t>
        </is>
      </c>
      <c r="E1410" s="7" t="inlineStr">
        <is>
          <t>1952</t>
        </is>
      </c>
      <c r="F1410" s="7" t="inlineStr">
        <is>
          <t>1952 CE</t>
        </is>
      </c>
      <c r="G1410" s="7" t="inlineStr">
        <is>
          <t>Exact</t>
        </is>
      </c>
      <c r="H1410" s="7" t="n"/>
      <c r="I1410" s="7" t="n"/>
      <c r="J1410" s="7" t="n"/>
      <c r="K1410" s="2" t="inlineStr">
        <is>
          <t>Bible-based procedure for judicial matters published</t>
        </is>
      </c>
      <c r="L1410" s="2" t="inlineStr">
        <is>
          <t>1952-ல், பைபிள் அடிப்படையில் எப்படி நீதி விசாரணை செய்வது என்று காவற்கோபுரத்தில் சொல்லப்பட்டது.</t>
        </is>
      </c>
      <c r="M1410" s="7" t="inlineStr">
        <is>
          <t>In 1952 The Watchtower published a Bible-based procedure for handling judicial matters, highlighting disfellowshipping of unrepentant ones to keep the congregation clean.</t>
        </is>
      </c>
      <c r="N1410" s="7" t="inlineStr">
        <is>
          <t>1952-ல், பைபிள் அடிப்படையில் எப்படி நீதி விசாரணை செய்வது என்று காவற்கோபுரத்தில் சொல்லப்பட்டது.</t>
        </is>
      </c>
      <c r="O1410" s="13" t="inlineStr">
        <is>
          <t>Jehovah's Witnesses</t>
        </is>
      </c>
      <c r="P1410" s="7" t="inlineStr">
        <is>
          <t>jw.doctrine</t>
        </is>
      </c>
      <c r="Q1410" s="7" t="n"/>
      <c r="R1410" s="7" t="n"/>
      <c r="S1410" s="7" t="n"/>
      <c r="T1410" s="7" t="n"/>
      <c r="U1410" s="7" t="n"/>
      <c r="V1410" s="7" t="n">
        <v>2</v>
      </c>
      <c r="W1410" s="7" t="inlineStr">
        <is>
          <t>Moral Refinements</t>
        </is>
      </c>
      <c r="X1410" s="9" t="inlineStr">
        <is>
          <t>open</t>
        </is>
      </c>
      <c r="Y1410" s="9" t="inlineStr">
        <is>
          <t>open</t>
        </is>
      </c>
      <c r="Z1410" s="7" t="inlineStr">
        <is>
          <t>https://wol.jw.org/en/wol/d/r1/lp-e/1102014250
https://wol.jw.org/en/wol/d/r1/lp-e/1200277174</t>
        </is>
      </c>
      <c r="AA1410" s="7" t="n">
        <v>0</v>
      </c>
      <c r="AB1410" s="7" t="n"/>
      <c r="AC1410" s="7" t="n">
        <v>0</v>
      </c>
      <c r="AD1410" s="7" t="n"/>
      <c r="AE1410" s="7" t="n"/>
      <c r="AF1410" s="7" t="n"/>
      <c r="AG1410" s="7" t="n"/>
      <c r="AH1410" s="7" t="n"/>
      <c r="AI1410" s="7" t="n"/>
      <c r="AJ1410" s="7" t="n"/>
      <c r="AK1410" s="7" t="n"/>
      <c r="AL1410" s="7" t="n"/>
      <c r="AM1410" s="7" t="n">
        <v>1952</v>
      </c>
      <c r="AN1410" s="10" t="n"/>
      <c r="AO1410" s="10" t="n"/>
      <c r="AP1410" s="10" t="n"/>
      <c r="AQ1410" s="10" t="n"/>
    </row>
    <row r="1411">
      <c r="A1411" s="7" t="inlineStr">
        <is>
          <t>b9-0034</t>
        </is>
      </c>
      <c r="B1411" s="7" t="inlineStr">
        <is>
          <t>Point</t>
        </is>
      </c>
      <c r="C1411" s="7" t="n"/>
      <c r="D1411" s="7" t="inlineStr">
        <is>
          <t>1952, November 19</t>
        </is>
      </c>
      <c r="E1411" s="7" t="inlineStr">
        <is>
          <t>நவம்பர் 19, 1952</t>
        </is>
      </c>
      <c r="F1411" s="7" t="inlineStr">
        <is>
          <t>1952 CE</t>
        </is>
      </c>
      <c r="G1411" s="7" t="inlineStr">
        <is>
          <t>Exact</t>
        </is>
      </c>
      <c r="H1411" s="7" t="n"/>
      <c r="I1411" s="7" t="n"/>
      <c r="J1411" s="7" t="n"/>
      <c r="K1411" s="2" t="inlineStr">
        <is>
          <t>Branch servant summoned in Nicaragua; ban follows</t>
        </is>
      </c>
      <c r="L1411" s="2" t="inlineStr">
        <is>
          <t>நவம்பர் 19, 1952-ல் மிஷனரியாகவும் கிளை அலுவலக ஊழியராகவும் சேவை செய்த டானவன் மன்ச்டர்மன், நிகாராகுவாவின் தலைநகரமான மனாகுவாவில் இருக்கும்…</t>
        </is>
      </c>
      <c r="M1411" s="7" t="inlineStr">
        <is>
          <t>On November 19, 1952, missionary and branch servant Donovan Munsterman went to the Office of Immigration in Managua, Nicaragua, beginning the events that led to a legal battle over the work.</t>
        </is>
      </c>
      <c r="N1411" s="7" t="inlineStr">
        <is>
          <t>நவம்பர் 19, 1952-ல் மிஷனரியாகவும் கிளை அலுவலக ஊழியராகவும் சேவை செய்த டானவன் மன்ச்டர்மன், நிகாராகுவாவின் தலைநகரமான மனாகுவாவில் இருக்கும் குடியேற்ற அலுவலகத்துக்கு (Immigration Office) போனார்.</t>
        </is>
      </c>
      <c r="O1411" s="13" t="inlineStr">
        <is>
          <t>Jehovah's Witnesses</t>
        </is>
      </c>
      <c r="P1411" s="7" t="inlineStr">
        <is>
          <t>jw.legal</t>
        </is>
      </c>
      <c r="Q1411" s="7" t="n"/>
      <c r="R1411" s="7" t="inlineStr">
        <is>
          <t>Donovan Munsterman</t>
        </is>
      </c>
      <c r="S1411" s="7" t="inlineStr">
        <is>
          <t>Managua, Nicaragua</t>
        </is>
      </c>
      <c r="T1411" s="7" t="n"/>
      <c r="U1411" s="7" t="n"/>
      <c r="V1411" s="7" t="n">
        <v>1</v>
      </c>
      <c r="W1411" s="7" t="inlineStr">
        <is>
          <t>Kingdom Preachers Take Their Case to Court</t>
        </is>
      </c>
      <c r="X1411" s="9" t="inlineStr">
        <is>
          <t>open</t>
        </is>
      </c>
      <c r="Y1411" s="9" t="inlineStr">
        <is>
          <t>open</t>
        </is>
      </c>
      <c r="Z1411" s="7" t="inlineStr">
        <is>
          <t>https://wol.jw.org/en/wol/d/r1/lp-e/1102014252</t>
        </is>
      </c>
      <c r="AA1411" s="7" t="n">
        <v>0</v>
      </c>
      <c r="AB1411" s="7" t="n"/>
      <c r="AC1411" s="7" t="n">
        <v>0</v>
      </c>
      <c r="AD1411" s="7" t="n"/>
      <c r="AE1411" s="7" t="n"/>
      <c r="AF1411" s="7" t="n"/>
      <c r="AG1411" s="7" t="n"/>
      <c r="AH1411" s="7" t="n"/>
      <c r="AI1411" s="7" t="n"/>
      <c r="AJ1411" s="7" t="n"/>
      <c r="AK1411" s="7" t="n"/>
      <c r="AL1411" s="7" t="n"/>
      <c r="AM1411" s="7" t="n">
        <v>1952.8817</v>
      </c>
      <c r="AN1411" s="10" t="n"/>
      <c r="AO1411" s="10" t="n"/>
      <c r="AP1411" s="10" t="n"/>
      <c r="AQ1411" s="10" t="n"/>
    </row>
    <row r="1412">
      <c r="A1412" s="7" t="inlineStr">
        <is>
          <t>b9-0035</t>
        </is>
      </c>
      <c r="B1412" s="7" t="inlineStr">
        <is>
          <t>Point</t>
        </is>
      </c>
      <c r="C1412" s="7" t="n"/>
      <c r="D1412" s="7" t="inlineStr">
        <is>
          <t>1953</t>
        </is>
      </c>
      <c r="E1412" s="7" t="n"/>
      <c r="F1412" s="7" t="inlineStr">
        <is>
          <t>1953 CE</t>
        </is>
      </c>
      <c r="G1412" s="7" t="inlineStr">
        <is>
          <t>Exact</t>
        </is>
      </c>
      <c r="H1412" s="7" t="n"/>
      <c r="I1412" s="7" t="n"/>
      <c r="J1412" s="7" t="n"/>
      <c r="K1412" s="2" t="inlineStr">
        <is>
          <t>Understanding clarified: desirable things of the nations (Hag. 2:7)</t>
        </is>
      </c>
      <c r="L1412" s="2" t="n"/>
      <c r="M1412" s="7" t="inlineStr">
        <is>
          <t>The Watch Tower Publications Index (“Beliefs Clarified,” list by year) records a clarified understanding in 1953 concerning desirable things of the nations (Hag. 2:7). Index references: jv 263.</t>
        </is>
      </c>
      <c r="N1412" s="7" t="n"/>
      <c r="O1412" s="13" t="inlineStr">
        <is>
          <t>Jehovah's Witnesses</t>
        </is>
      </c>
      <c r="P1412" s="7" t="inlineStr">
        <is>
          <t>jw.doctrine</t>
        </is>
      </c>
      <c r="Q1412" s="7" t="inlineStr">
        <is>
          <t>beliefs_clarified</t>
        </is>
      </c>
      <c r="R1412" s="7" t="n"/>
      <c r="S1412" s="7" t="n"/>
      <c r="T1412" s="7" t="inlineStr">
        <is>
          <t>Hag. 2:7</t>
        </is>
      </c>
      <c r="U1412" s="7" t="n"/>
      <c r="V1412" s="7" t="n">
        <v>1</v>
      </c>
      <c r="W1412" s="7" t="inlineStr">
        <is>
          <t>Beliefs Clarified</t>
        </is>
      </c>
      <c r="X1412" s="9" t="inlineStr">
        <is>
          <t>open</t>
        </is>
      </c>
      <c r="Y1412" s="7" t="n"/>
      <c r="Z1412" s="7" t="inlineStr">
        <is>
          <t>https://wol.jw.org/en/wol/d/r1/lp-e/1200277174</t>
        </is>
      </c>
      <c r="AA1412" s="7" t="n">
        <v>0</v>
      </c>
      <c r="AB1412" s="7" t="n"/>
      <c r="AC1412" s="7" t="n">
        <v>0</v>
      </c>
      <c r="AD1412" s="7" t="n"/>
      <c r="AE1412" s="7" t="n"/>
      <c r="AF1412" s="7" t="n"/>
      <c r="AG1412" s="7" t="n"/>
      <c r="AH1412" s="7" t="n"/>
      <c r="AI1412" s="7" t="inlineStr">
        <is>
          <t>Index list entry – app detail</t>
        </is>
      </c>
      <c r="AJ1412" s="7" t="n"/>
      <c r="AK1412" s="7" t="n"/>
      <c r="AL1412" s="7" t="n"/>
      <c r="AM1412" s="7" t="n">
        <v>1953</v>
      </c>
      <c r="AN1412" s="10" t="n"/>
      <c r="AO1412" s="10" t="n"/>
      <c r="AP1412" s="10" t="n"/>
      <c r="AQ1412" s="10" t="n"/>
    </row>
    <row r="1413">
      <c r="A1413" s="7" t="inlineStr">
        <is>
          <t>b9-0036</t>
        </is>
      </c>
      <c r="B1413" s="7" t="inlineStr">
        <is>
          <t>Point</t>
        </is>
      </c>
      <c r="C1413" s="7" t="n"/>
      <c r="D1413" s="7" t="inlineStr">
        <is>
          <t>1953</t>
        </is>
      </c>
      <c r="E1413" s="7" t="n"/>
      <c r="F1413" s="7" t="inlineStr">
        <is>
          <t>1953 CE</t>
        </is>
      </c>
      <c r="G1413" s="7" t="inlineStr">
        <is>
          <t>Exact</t>
        </is>
      </c>
      <c r="H1413" s="7" t="n"/>
      <c r="I1413" s="7" t="n"/>
      <c r="J1413" s="7" t="n"/>
      <c r="K1413" s="2" t="inlineStr">
        <is>
          <t>Understanding clarified: Gog of Magog (Ezek. 38, 39)</t>
        </is>
      </c>
      <c r="L1413" s="2" t="n"/>
      <c r="M1413" s="7" t="inlineStr">
        <is>
          <t>The Watch Tower Publications Index (“Beliefs Clarified,” list by year) records a clarified understanding in 1953 concerning Gog of Magog (Ezek. 38, 39). Index references: jv 263.</t>
        </is>
      </c>
      <c r="N1413" s="7" t="n"/>
      <c r="O1413" s="13" t="inlineStr">
        <is>
          <t>Jehovah's Witnesses</t>
        </is>
      </c>
      <c r="P1413" s="7" t="inlineStr">
        <is>
          <t>jw.doctrine</t>
        </is>
      </c>
      <c r="Q1413" s="7" t="inlineStr">
        <is>
          <t>beliefs_clarified</t>
        </is>
      </c>
      <c r="R1413" s="7" t="n"/>
      <c r="S1413" s="7" t="n"/>
      <c r="T1413" s="7" t="inlineStr">
        <is>
          <t>Ezek. 38, 39</t>
        </is>
      </c>
      <c r="U1413" s="7" t="n"/>
      <c r="V1413" s="7" t="n">
        <v>1</v>
      </c>
      <c r="W1413" s="7" t="inlineStr">
        <is>
          <t>Beliefs Clarified</t>
        </is>
      </c>
      <c r="X1413" s="9" t="inlineStr">
        <is>
          <t>open</t>
        </is>
      </c>
      <c r="Y1413" s="7" t="n"/>
      <c r="Z1413" s="7" t="inlineStr">
        <is>
          <t>https://wol.jw.org/en/wol/d/r1/lp-e/1200277174</t>
        </is>
      </c>
      <c r="AA1413" s="7" t="n">
        <v>0</v>
      </c>
      <c r="AB1413" s="7" t="n"/>
      <c r="AC1413" s="7" t="n">
        <v>0</v>
      </c>
      <c r="AD1413" s="7" t="n"/>
      <c r="AE1413" s="7" t="n"/>
      <c r="AF1413" s="7" t="n"/>
      <c r="AG1413" s="7" t="n"/>
      <c r="AH1413" s="7" t="n"/>
      <c r="AI1413" s="7" t="inlineStr">
        <is>
          <t>Index list entry – app detail</t>
        </is>
      </c>
      <c r="AJ1413" s="7" t="n"/>
      <c r="AK1413" s="7" t="n"/>
      <c r="AL1413" s="7" t="n"/>
      <c r="AM1413" s="7" t="n">
        <v>1953</v>
      </c>
      <c r="AN1413" s="10" t="n"/>
      <c r="AO1413" s="10" t="n"/>
      <c r="AP1413" s="10" t="n"/>
      <c r="AQ1413" s="10" t="n"/>
    </row>
    <row r="1414">
      <c r="A1414" s="7" t="inlineStr">
        <is>
          <t>b9-0037</t>
        </is>
      </c>
      <c r="B1414" s="7" t="inlineStr">
        <is>
          <t>Point</t>
        </is>
      </c>
      <c r="C1414" s="7" t="n"/>
      <c r="D1414" s="7" t="inlineStr">
        <is>
          <t>1953</t>
        </is>
      </c>
      <c r="E1414" s="7" t="n"/>
      <c r="F1414" s="7" t="inlineStr">
        <is>
          <t>1953 CE</t>
        </is>
      </c>
      <c r="G1414" s="7" t="inlineStr">
        <is>
          <t>Exact</t>
        </is>
      </c>
      <c r="H1414" s="7" t="n"/>
      <c r="I1414" s="7" t="n"/>
      <c r="J1414" s="7" t="n"/>
      <c r="K1414" s="2" t="inlineStr">
        <is>
          <t>Understanding clarified: nucleus of new earth</t>
        </is>
      </c>
      <c r="L1414" s="2" t="n"/>
      <c r="M1414" s="7" t="inlineStr">
        <is>
          <t>The Watch Tower Publications Index (“Beliefs Clarified,” list by year) records a clarified understanding in 1953 concerning nucleus of new earth. Index references: w95 7/1 15.</t>
        </is>
      </c>
      <c r="N1414" s="7" t="n"/>
      <c r="O1414" s="13" t="inlineStr">
        <is>
          <t>Jehovah's Witnesses</t>
        </is>
      </c>
      <c r="P1414" s="7" t="inlineStr">
        <is>
          <t>jw.doctrine</t>
        </is>
      </c>
      <c r="Q1414" s="7" t="inlineStr">
        <is>
          <t>beliefs_clarified</t>
        </is>
      </c>
      <c r="R1414" s="7" t="n"/>
      <c r="S1414" s="7" t="n"/>
      <c r="T1414" s="7" t="n"/>
      <c r="U1414" s="7" t="n"/>
      <c r="V1414" s="7" t="n">
        <v>1</v>
      </c>
      <c r="W1414" s="7" t="inlineStr">
        <is>
          <t>Beliefs Clarified</t>
        </is>
      </c>
      <c r="X1414" s="9" t="inlineStr">
        <is>
          <t>open</t>
        </is>
      </c>
      <c r="Y1414" s="7" t="n"/>
      <c r="Z1414" s="7" t="inlineStr">
        <is>
          <t>https://wol.jw.org/en/wol/d/r1/lp-e/1200277174</t>
        </is>
      </c>
      <c r="AA1414" s="7" t="n">
        <v>0</v>
      </c>
      <c r="AB1414" s="7" t="n"/>
      <c r="AC1414" s="7" t="n">
        <v>0</v>
      </c>
      <c r="AD1414" s="7" t="n"/>
      <c r="AE1414" s="7" t="n"/>
      <c r="AF1414" s="7" t="n"/>
      <c r="AG1414" s="7" t="n"/>
      <c r="AH1414" s="7" t="n"/>
      <c r="AI1414" s="7" t="inlineStr">
        <is>
          <t>Index list entry – app detail</t>
        </is>
      </c>
      <c r="AJ1414" s="7" t="n"/>
      <c r="AK1414" s="7" t="n"/>
      <c r="AL1414" s="7" t="n"/>
      <c r="AM1414" s="7" t="n">
        <v>1953</v>
      </c>
      <c r="AN1414" s="10" t="n"/>
      <c r="AO1414" s="10" t="n"/>
      <c r="AP1414" s="10" t="n"/>
      <c r="AQ1414" s="10" t="n"/>
    </row>
    <row r="1415">
      <c r="A1415" s="7" t="inlineStr">
        <is>
          <t>b9-0038</t>
        </is>
      </c>
      <c r="B1415" s="7" t="inlineStr">
        <is>
          <t>Point</t>
        </is>
      </c>
      <c r="C1415" s="7" t="n"/>
      <c r="D1415" s="7" t="inlineStr">
        <is>
          <t>1953</t>
        </is>
      </c>
      <c r="E1415" s="7" t="n"/>
      <c r="F1415" s="7" t="inlineStr">
        <is>
          <t>1953 CE</t>
        </is>
      </c>
      <c r="G1415" s="7" t="inlineStr">
        <is>
          <t>Exact</t>
        </is>
      </c>
      <c r="H1415" s="7" t="n"/>
      <c r="I1415" s="7" t="n"/>
      <c r="J1415" s="7" t="n"/>
      <c r="K1415" s="2" t="inlineStr">
        <is>
          <t>1953: New World Society Assemblies</t>
        </is>
      </c>
      <c r="L1415" s="2" t="n"/>
      <c r="M1415" s="7" t="inlineStr">
        <is>
          <t>The Watch Tower Publications Index lists the 1953 conventions of Jehovah’s Witnesses as New World Society Assemblies.</t>
        </is>
      </c>
      <c r="N1415" s="7" t="n"/>
      <c r="O1415" s="13" t="inlineStr">
        <is>
          <t>Jehovah's Witnesses</t>
        </is>
      </c>
      <c r="P1415" s="7" t="inlineStr">
        <is>
          <t>jw.convention</t>
        </is>
      </c>
      <c r="Q1415" s="7" t="inlineStr">
        <is>
          <t>convention</t>
        </is>
      </c>
      <c r="R1415" s="7" t="n"/>
      <c r="S1415" s="7" t="n"/>
      <c r="T1415" s="7" t="n"/>
      <c r="U1415" s="7" t="n"/>
      <c r="V1415" s="7" t="n">
        <v>1</v>
      </c>
      <c r="W1415" s="7" t="inlineStr">
        <is>
          <t>Conventions</t>
        </is>
      </c>
      <c r="X1415" s="9" t="inlineStr">
        <is>
          <t>open</t>
        </is>
      </c>
      <c r="Y1415" s="7" t="n"/>
      <c r="Z1415" s="7" t="inlineStr">
        <is>
          <t>https://wol.jw.org/en/wol/d/r1/lp-e/1200271388</t>
        </is>
      </c>
      <c r="AA1415" s="7" t="n">
        <v>0</v>
      </c>
      <c r="AB1415" s="7" t="n"/>
      <c r="AC1415" s="7" t="n">
        <v>0</v>
      </c>
      <c r="AD1415" s="7" t="n"/>
      <c r="AE1415" s="7" t="n"/>
      <c r="AF1415" s="7" t="n"/>
      <c r="AG1415" s="7" t="n"/>
      <c r="AH1415" s="7" t="n"/>
      <c r="AI1415" s="7" t="inlineStr">
        <is>
          <t>Index list entry – app detail</t>
        </is>
      </c>
      <c r="AJ1415" s="7" t="n"/>
      <c r="AK1415" s="7" t="n"/>
      <c r="AL1415" s="7" t="n"/>
      <c r="AM1415" s="7" t="n">
        <v>1953</v>
      </c>
      <c r="AN1415" s="10" t="n"/>
      <c r="AO1415" s="10" t="n"/>
      <c r="AP1415" s="10" t="n"/>
      <c r="AQ1415" s="10" t="n"/>
    </row>
    <row r="1416">
      <c r="A1416" s="7" t="inlineStr">
        <is>
          <t>b9-0039</t>
        </is>
      </c>
      <c r="B1416" s="7" t="inlineStr">
        <is>
          <t>Point</t>
        </is>
      </c>
      <c r="C1416" s="7" t="n"/>
      <c r="D1416" s="7" t="inlineStr">
        <is>
          <t>1953, March 17</t>
        </is>
      </c>
      <c r="E1416" s="7" t="inlineStr">
        <is>
          <t>மார்ச் 17, 1953</t>
        </is>
      </c>
      <c r="F1416" s="7" t="inlineStr">
        <is>
          <t>1953 CE</t>
        </is>
      </c>
      <c r="G1416" s="7" t="inlineStr">
        <is>
          <t>Exact</t>
        </is>
      </c>
      <c r="H1416" s="7" t="n"/>
      <c r="I1416" s="7" t="n"/>
      <c r="J1416" s="7" t="n"/>
      <c r="K1416" s="2" t="inlineStr">
        <is>
          <t>Netherlands Supreme Court: Havenaar case</t>
        </is>
      </c>
      <c r="L1416" s="2" t="inlineStr">
        <is>
          <t>தீர்ப்பின் தேதி மார்ச் 17, 1953</t>
        </is>
      </c>
      <c r="M1416" s="7" t="inlineStr">
        <is>
          <t>On March 17, 1953, the Supreme Court of the Netherlands found an ordinance limiting literature distribution to set hours too far-reaching, in the case of Pieter Havenaar.</t>
        </is>
      </c>
      <c r="N1416" s="7" t="inlineStr">
        <is>
          <t>தீர்ப்பின் தேதி மார்ச் 17, 1953</t>
        </is>
      </c>
      <c r="O1416" s="13" t="inlineStr">
        <is>
          <t>Jehovah's Witnesses</t>
        </is>
      </c>
      <c r="P1416" s="7" t="inlineStr">
        <is>
          <t>jw.legal</t>
        </is>
      </c>
      <c r="Q1416" s="7" t="inlineStr">
        <is>
          <t>court_ruling</t>
        </is>
      </c>
      <c r="R1416" s="7" t="inlineStr">
        <is>
          <t>Pieter Havenaar</t>
        </is>
      </c>
      <c r="S1416" s="7" t="inlineStr">
        <is>
          <t>Netherlands</t>
        </is>
      </c>
      <c r="T1416" s="7" t="n"/>
      <c r="U1416" s="7" t="n"/>
      <c r="V1416" s="7" t="n">
        <v>1</v>
      </c>
      <c r="W1416" s="7" t="inlineStr">
        <is>
          <t>Kingdom Preachers Take Their Case to Court</t>
        </is>
      </c>
      <c r="X1416" s="9" t="inlineStr">
        <is>
          <t>open</t>
        </is>
      </c>
      <c r="Y1416" s="9" t="inlineStr">
        <is>
          <t>open</t>
        </is>
      </c>
      <c r="Z1416" s="7" t="inlineStr">
        <is>
          <t>https://wol.jw.org/en/wol/d/r1/lp-e/1102014252</t>
        </is>
      </c>
      <c r="AA1416" s="7" t="n">
        <v>0</v>
      </c>
      <c r="AB1416" s="7" t="n"/>
      <c r="AC1416" s="7" t="n">
        <v>0</v>
      </c>
      <c r="AD1416" s="7" t="n"/>
      <c r="AE1416" s="7" t="n"/>
      <c r="AF1416" s="7" t="n"/>
      <c r="AG1416" s="7" t="n"/>
      <c r="AH1416" s="7" t="n"/>
      <c r="AI1416" s="7" t="n"/>
      <c r="AJ1416" s="7" t="n"/>
      <c r="AK1416" s="7" t="n"/>
      <c r="AL1416" s="7" t="n"/>
      <c r="AM1416" s="7" t="n">
        <v>1953.2097</v>
      </c>
      <c r="AN1416" s="10" t="n"/>
      <c r="AO1416" s="10" t="n"/>
      <c r="AP1416" s="10" t="n"/>
      <c r="AQ1416" s="10" t="n"/>
    </row>
    <row r="1417">
      <c r="A1417" s="7" t="inlineStr">
        <is>
          <t>b9-0040</t>
        </is>
      </c>
      <c r="B1417" s="7" t="inlineStr">
        <is>
          <t>Point</t>
        </is>
      </c>
      <c r="C1417" s="7" t="n"/>
      <c r="D1417" s="7" t="inlineStr">
        <is>
          <t>1953, June 19</t>
        </is>
      </c>
      <c r="E1417" s="7" t="inlineStr">
        <is>
          <t>ஜூன் 19, 1953</t>
        </is>
      </c>
      <c r="F1417" s="7" t="inlineStr">
        <is>
          <t>1953 CE</t>
        </is>
      </c>
      <c r="G1417" s="7" t="inlineStr">
        <is>
          <t>Exact</t>
        </is>
      </c>
      <c r="H1417" s="7" t="n"/>
      <c r="I1417" s="7" t="n"/>
      <c r="J1417" s="7" t="n"/>
      <c r="K1417" s="2" t="inlineStr">
        <is>
          <t>Nicaragua Supreme Court rules for the Witnesses</t>
        </is>
      </c>
      <c r="L1417" s="2" t="inlineStr">
        <is>
          <t>ஜூன் 19, 1953-ல் உச்ச நீதிமன்றம் யெகோவாவின் சாட்சிகளுக்குச் சாதகமான தீர்ப்பை ஒருமனதாக வழங்கியது.</t>
        </is>
      </c>
      <c r="M1417" s="7" t="inlineStr">
        <is>
          <t>On June 19, 1953, the Supreme Court of Nicaragua published its unanimous decision in favor of the Witnesses.</t>
        </is>
      </c>
      <c r="N1417" s="7" t="inlineStr">
        <is>
          <t>ஜூன் 19, 1953-ல் உச்ச நீதிமன்றம் யெகோவாவின் சாட்சிகளுக்குச் சாதகமான தீர்ப்பை ஒருமனதாக வழங்கியது.</t>
        </is>
      </c>
      <c r="O1417" s="13" t="inlineStr">
        <is>
          <t>Jehovah's Witnesses</t>
        </is>
      </c>
      <c r="P1417" s="7" t="inlineStr">
        <is>
          <t>jw.legal</t>
        </is>
      </c>
      <c r="Q1417" s="7" t="inlineStr">
        <is>
          <t>court_ruling</t>
        </is>
      </c>
      <c r="R1417" s="7" t="n"/>
      <c r="S1417" s="7" t="inlineStr">
        <is>
          <t>Nicaragua</t>
        </is>
      </c>
      <c r="T1417" s="7" t="n"/>
      <c r="U1417" s="7" t="n"/>
      <c r="V1417" s="7" t="n">
        <v>1</v>
      </c>
      <c r="W1417" s="7" t="inlineStr">
        <is>
          <t>Kingdom Preachers Take Their Case to Court</t>
        </is>
      </c>
      <c r="X1417" s="9" t="inlineStr">
        <is>
          <t>open</t>
        </is>
      </c>
      <c r="Y1417" s="9" t="inlineStr">
        <is>
          <t>open</t>
        </is>
      </c>
      <c r="Z1417" s="7" t="inlineStr">
        <is>
          <t>https://wol.jw.org/en/wol/d/r1/lp-e/1102014252</t>
        </is>
      </c>
      <c r="AA1417" s="7" t="n">
        <v>0</v>
      </c>
      <c r="AB1417" s="7" t="n"/>
      <c r="AC1417" s="7" t="n">
        <v>0</v>
      </c>
      <c r="AD1417" s="7" t="n"/>
      <c r="AE1417" s="7" t="n"/>
      <c r="AF1417" s="7" t="n"/>
      <c r="AG1417" s="7" t="n"/>
      <c r="AH1417" s="7" t="n"/>
      <c r="AI1417" s="7" t="n"/>
      <c r="AJ1417" s="7" t="n"/>
      <c r="AK1417" s="7" t="n"/>
      <c r="AL1417" s="7" t="n"/>
      <c r="AM1417" s="7" t="n">
        <v>1953.4651</v>
      </c>
      <c r="AN1417" s="10" t="n"/>
      <c r="AO1417" s="10" t="n"/>
      <c r="AP1417" s="10" t="n"/>
      <c r="AQ1417" s="10" t="n"/>
    </row>
    <row r="1418">
      <c r="A1418" s="7" t="inlineStr">
        <is>
          <t>b9-0041</t>
        </is>
      </c>
      <c r="B1418" s="7" t="inlineStr">
        <is>
          <t>Point</t>
        </is>
      </c>
      <c r="C1418" s="7" t="n"/>
      <c r="D1418" s="7" t="inlineStr">
        <is>
          <t>1953, September 1</t>
        </is>
      </c>
      <c r="E1418" s="7" t="n"/>
      <c r="F1418" s="7" t="inlineStr">
        <is>
          <t>1953 CE</t>
        </is>
      </c>
      <c r="G1418" s="7" t="inlineStr">
        <is>
          <t>Exact</t>
        </is>
      </c>
      <c r="H1418" s="7" t="n"/>
      <c r="I1418" s="7" t="n"/>
      <c r="J1418" s="7" t="n"/>
      <c r="K1418" s="2" t="inlineStr">
        <is>
          <t>Program of training in house-to-house preaching begins</t>
        </is>
      </c>
      <c r="L1418" s="2" t="n"/>
      <c r="M1418" s="7" t="inlineStr">
        <is>
          <t>An extensive program to train Jehovah’s Witnesses in house-to-house preaching got under way on September 1, 1953.</t>
        </is>
      </c>
      <c r="N1418" s="7" t="n"/>
      <c r="O1418" s="13" t="inlineStr">
        <is>
          <t>Jehovah's Witnesses</t>
        </is>
      </c>
      <c r="P1418" s="7" t="inlineStr">
        <is>
          <t>jw.education</t>
        </is>
      </c>
      <c r="Q1418" s="7" t="n"/>
      <c r="R1418" s="7" t="n"/>
      <c r="S1418" s="7" t="n"/>
      <c r="T1418" s="7" t="n"/>
      <c r="U1418" s="7" t="n"/>
      <c r="V1418" s="7" t="n">
        <v>1</v>
      </c>
      <c r="W1418" s="7" t="inlineStr">
        <is>
          <t>Noteworthy Events in the Modern-day History of Jehovah’s Witnesses</t>
        </is>
      </c>
      <c r="X1418" s="9" t="inlineStr">
        <is>
          <t>open</t>
        </is>
      </c>
      <c r="Y1418" s="7" t="n"/>
      <c r="Z1418" s="7" t="inlineStr">
        <is>
          <t>https://wol.jw.org/en/wol/d/r1/lp-e/1101993046</t>
        </is>
      </c>
      <c r="AA1418" s="7" t="n">
        <v>0</v>
      </c>
      <c r="AB1418" s="7" t="n"/>
      <c r="AC1418" s="7" t="n">
        <v>0</v>
      </c>
      <c r="AD1418" s="7" t="n"/>
      <c r="AE1418" s="7" t="n"/>
      <c r="AF1418" s="7" t="n"/>
      <c r="AG1418" s="7" t="n"/>
      <c r="AH1418" s="7" t="n"/>
      <c r="AI1418" s="7" t="n"/>
      <c r="AJ1418" s="7" t="n"/>
      <c r="AK1418" s="7" t="n"/>
      <c r="AL1418" s="7" t="n"/>
      <c r="AM1418" s="7" t="n">
        <v>1953.6667</v>
      </c>
      <c r="AN1418" s="10" t="n"/>
      <c r="AO1418" s="10" t="n"/>
      <c r="AP1418" s="10" t="n"/>
      <c r="AQ1418" s="10" t="n"/>
    </row>
    <row r="1419">
      <c r="A1419" s="7" t="inlineStr">
        <is>
          <t>b9-0042</t>
        </is>
      </c>
      <c r="B1419" s="7" t="inlineStr">
        <is>
          <t>Point</t>
        </is>
      </c>
      <c r="C1419" s="7" t="n"/>
      <c r="D1419" s="7" t="inlineStr">
        <is>
          <t>1953, October 6</t>
        </is>
      </c>
      <c r="E1419" s="7" t="inlineStr">
        <is>
          <t>அக்டோபர் 6, 1953</t>
        </is>
      </c>
      <c r="F1419" s="7" t="inlineStr">
        <is>
          <t>1953 CE</t>
        </is>
      </c>
      <c r="G1419" s="7" t="inlineStr">
        <is>
          <t>Exact</t>
        </is>
      </c>
      <c r="H1419" s="7" t="n"/>
      <c r="I1419" s="7" t="n"/>
      <c r="J1419" s="7" t="n"/>
      <c r="K1419" s="2" t="inlineStr">
        <is>
          <t>Supreme Court of Canada: Saumur case</t>
        </is>
      </c>
      <c r="L1419" s="2" t="inlineStr">
        <is>
          <t>தீர்ப்பின் தேதி அக்டோபர் 6, 1953</t>
        </is>
      </c>
      <c r="M1419" s="7" t="inlineStr">
        <is>
          <t>On October 6, 1953, the Supreme Court of Canada found a Quebec City bylaw illegal as applied to the Witnesses, dismissing over 1,600 bylaw charges in Quebec.</t>
        </is>
      </c>
      <c r="N1419" s="7" t="inlineStr">
        <is>
          <t>தீர்ப்பின் தேதி அக்டோபர் 6, 1953</t>
        </is>
      </c>
      <c r="O1419" s="13" t="inlineStr">
        <is>
          <t>Jehovah's Witnesses</t>
        </is>
      </c>
      <c r="P1419" s="7" t="inlineStr">
        <is>
          <t>jw.legal</t>
        </is>
      </c>
      <c r="Q1419" s="7" t="inlineStr">
        <is>
          <t>court_ruling</t>
        </is>
      </c>
      <c r="R1419" s="7" t="inlineStr">
        <is>
          <t>Laurier Saumur</t>
        </is>
      </c>
      <c r="S1419" s="7" t="inlineStr">
        <is>
          <t>Quebec City; Canada</t>
        </is>
      </c>
      <c r="T1419" s="7" t="n"/>
      <c r="U1419" s="7" t="n"/>
      <c r="V1419" s="7" t="n">
        <v>1</v>
      </c>
      <c r="W1419" s="7" t="inlineStr">
        <is>
          <t>Kingdom Preachers Take Their Case to Court</t>
        </is>
      </c>
      <c r="X1419" s="9" t="inlineStr">
        <is>
          <t>open</t>
        </is>
      </c>
      <c r="Y1419" s="9" t="inlineStr">
        <is>
          <t>open</t>
        </is>
      </c>
      <c r="Z1419" s="7" t="inlineStr">
        <is>
          <t>https://wol.jw.org/en/wol/d/r1/lp-e/1102014252</t>
        </is>
      </c>
      <c r="AA1419" s="7" t="n">
        <v>0</v>
      </c>
      <c r="AB1419" s="7" t="n"/>
      <c r="AC1419" s="7" t="n">
        <v>0</v>
      </c>
      <c r="AD1419" s="7" t="n"/>
      <c r="AE1419" s="7" t="n"/>
      <c r="AF1419" s="7" t="n"/>
      <c r="AG1419" s="7" t="n"/>
      <c r="AH1419" s="7" t="n"/>
      <c r="AI1419" s="7" t="n"/>
      <c r="AJ1419" s="7" t="n"/>
      <c r="AK1419" s="7" t="n"/>
      <c r="AL1419" s="7" t="n"/>
      <c r="AM1419" s="7" t="n">
        <v>1953.7634</v>
      </c>
      <c r="AN1419" s="10" t="n"/>
      <c r="AO1419" s="10" t="n"/>
      <c r="AP1419" s="10" t="n"/>
      <c r="AQ1419" s="10" t="n"/>
    </row>
    <row r="1420">
      <c r="A1420" s="7" t="inlineStr">
        <is>
          <t>b9-0043</t>
        </is>
      </c>
      <c r="B1420" s="7" t="inlineStr">
        <is>
          <t>Point</t>
        </is>
      </c>
      <c r="C1420" s="7" t="n"/>
      <c r="D1420" s="7" t="inlineStr">
        <is>
          <t>1954</t>
        </is>
      </c>
      <c r="E1420" s="7" t="n"/>
      <c r="F1420" s="7" t="inlineStr">
        <is>
          <t>1954 CE</t>
        </is>
      </c>
      <c r="G1420" s="7" t="inlineStr">
        <is>
          <t>Exact</t>
        </is>
      </c>
      <c r="H1420" s="7" t="n"/>
      <c r="I1420" s="7" t="n"/>
      <c r="J1420" s="7" t="n"/>
      <c r="K1420" s="2" t="inlineStr">
        <is>
          <t>1954: District Assemblies</t>
        </is>
      </c>
      <c r="L1420" s="2" t="n"/>
      <c r="M1420" s="7" t="inlineStr">
        <is>
          <t>The Watch Tower Publications Index lists the 1954 conventions of Jehovah’s Witnesses as District Assemblies. Locations indexed include Seoul, Korea.</t>
        </is>
      </c>
      <c r="N1420" s="7" t="n"/>
      <c r="O1420" s="13" t="inlineStr">
        <is>
          <t>Jehovah's Witnesses</t>
        </is>
      </c>
      <c r="P1420" s="7" t="inlineStr">
        <is>
          <t>jw.convention</t>
        </is>
      </c>
      <c r="Q1420" s="7" t="inlineStr">
        <is>
          <t>convention</t>
        </is>
      </c>
      <c r="R1420" s="7" t="n"/>
      <c r="S1420" s="7" t="n"/>
      <c r="T1420" s="7" t="n"/>
      <c r="U1420" s="7" t="n"/>
      <c r="V1420" s="7" t="n">
        <v>1</v>
      </c>
      <c r="W1420" s="7" t="inlineStr">
        <is>
          <t>Conventions</t>
        </is>
      </c>
      <c r="X1420" s="9" t="inlineStr">
        <is>
          <t>open</t>
        </is>
      </c>
      <c r="Y1420" s="7" t="n"/>
      <c r="Z1420" s="7" t="inlineStr">
        <is>
          <t>https://wol.jw.org/en/wol/d/r1/lp-e/1200271388</t>
        </is>
      </c>
      <c r="AA1420" s="7" t="n">
        <v>0</v>
      </c>
      <c r="AB1420" s="7" t="n"/>
      <c r="AC1420" s="7" t="n">
        <v>0</v>
      </c>
      <c r="AD1420" s="7" t="n"/>
      <c r="AE1420" s="7" t="n"/>
      <c r="AF1420" s="7" t="n"/>
      <c r="AG1420" s="7" t="n"/>
      <c r="AH1420" s="7" t="n"/>
      <c r="AI1420" s="7" t="inlineStr">
        <is>
          <t>Index list entry – app detail</t>
        </is>
      </c>
      <c r="AJ1420" s="7" t="n"/>
      <c r="AK1420" s="7" t="n"/>
      <c r="AL1420" s="7" t="n"/>
      <c r="AM1420" s="7" t="n">
        <v>1954</v>
      </c>
      <c r="AN1420" s="10" t="n"/>
      <c r="AO1420" s="10" t="n"/>
      <c r="AP1420" s="10" t="n"/>
      <c r="AQ1420" s="10" t="n"/>
    </row>
    <row r="1421">
      <c r="A1421" s="7" t="inlineStr">
        <is>
          <t>b9-0044</t>
        </is>
      </c>
      <c r="B1421" s="7" t="inlineStr">
        <is>
          <t>Point</t>
        </is>
      </c>
      <c r="C1421" s="7" t="n"/>
      <c r="D1421" s="7" t="inlineStr">
        <is>
          <t>1954</t>
        </is>
      </c>
      <c r="E1421" s="7" t="n"/>
      <c r="F1421" s="7" t="inlineStr">
        <is>
          <t>1954 CE</t>
        </is>
      </c>
      <c r="G1421" s="7" t="inlineStr">
        <is>
          <t>Exact</t>
        </is>
      </c>
      <c r="H1421" s="7" t="n"/>
      <c r="I1421" s="7" t="n"/>
      <c r="J1421" s="7" t="n"/>
      <c r="K1421" s="2" t="inlineStr">
        <is>
          <t>Motion pictures begin to be used in preaching</t>
        </is>
      </c>
      <c r="L1421" s="2" t="n"/>
      <c r="M1421" s="7" t="inlineStr">
        <is>
          <t>A timeline in God’s Kingdom Rules! lists 1954 as the year motion pictures began to be used as a method of preaching.</t>
        </is>
      </c>
      <c r="N1421" s="7" t="n"/>
      <c r="O1421" s="13" t="inlineStr">
        <is>
          <t>Jehovah's Witnesses</t>
        </is>
      </c>
      <c r="P1421" s="7" t="inlineStr">
        <is>
          <t>jw.preaching</t>
        </is>
      </c>
      <c r="Q1421" s="7" t="n"/>
      <c r="R1421" s="7" t="n"/>
      <c r="S1421" s="7" t="n"/>
      <c r="T1421" s="7" t="n"/>
      <c r="U1421" s="7" t="n"/>
      <c r="V1421" s="7" t="n">
        <v>1</v>
      </c>
      <c r="W1421" s="7" t="inlineStr">
        <is>
          <t>Methods of Preaching</t>
        </is>
      </c>
      <c r="X1421" s="9" t="inlineStr">
        <is>
          <t>open</t>
        </is>
      </c>
      <c r="Y1421" s="9" t="inlineStr">
        <is>
          <t>open</t>
        </is>
      </c>
      <c r="Z1421" s="7" t="inlineStr">
        <is>
          <t>https://wol.jw.org/en/wol/d/r1/lp-e/1102014246</t>
        </is>
      </c>
      <c r="AA1421" s="7" t="n">
        <v>0</v>
      </c>
      <c r="AB1421" s="7" t="n"/>
      <c r="AC1421" s="7" t="n">
        <v>0</v>
      </c>
      <c r="AD1421" s="7" t="n"/>
      <c r="AE1421" s="7" t="n"/>
      <c r="AF1421" s="7" t="n"/>
      <c r="AG1421" s="7" t="n"/>
      <c r="AH1421" s="7" t="n"/>
      <c r="AI1421" s="7" t="n"/>
      <c r="AJ1421" s="7" t="n"/>
      <c r="AK1421" s="7" t="n"/>
      <c r="AL1421" s="7" t="n"/>
      <c r="AM1421" s="7" t="n">
        <v>1954</v>
      </c>
      <c r="AN1421" s="10" t="n"/>
      <c r="AO1421" s="10" t="n"/>
      <c r="AP1421" s="10" t="n"/>
      <c r="AQ1421" s="10" t="n"/>
    </row>
    <row r="1422">
      <c r="A1422" s="7" t="inlineStr">
        <is>
          <t>b9-0045</t>
        </is>
      </c>
      <c r="B1422" s="7" t="inlineStr">
        <is>
          <t>Point</t>
        </is>
      </c>
      <c r="C1422" s="7" t="n"/>
      <c r="D1422" s="7" t="inlineStr">
        <is>
          <t>1955</t>
        </is>
      </c>
      <c r="E1422" s="7" t="n"/>
      <c r="F1422" s="7" t="inlineStr">
        <is>
          <t>1955 CE</t>
        </is>
      </c>
      <c r="G1422" s="7" t="inlineStr">
        <is>
          <t>Exact</t>
        </is>
      </c>
      <c r="H1422" s="7" t="n"/>
      <c r="I1422" s="7" t="n"/>
      <c r="J1422" s="7" t="n"/>
      <c r="K1422" s="2" t="inlineStr">
        <is>
          <t>1955: “Triumphant Kingdom” Assemblies</t>
        </is>
      </c>
      <c r="L1422" s="2" t="n"/>
      <c r="M1422" s="7" t="inlineStr">
        <is>
          <t>The Watch Tower Publications Index lists the 1955 conventions of Jehovah’s Witnesses as “Triumphant Kingdom” Assemblies.</t>
        </is>
      </c>
      <c r="N1422" s="7" t="n"/>
      <c r="O1422" s="13" t="inlineStr">
        <is>
          <t>Jehovah's Witnesses</t>
        </is>
      </c>
      <c r="P1422" s="7" t="inlineStr">
        <is>
          <t>jw.convention</t>
        </is>
      </c>
      <c r="Q1422" s="7" t="inlineStr">
        <is>
          <t>convention</t>
        </is>
      </c>
      <c r="R1422" s="7" t="n"/>
      <c r="S1422" s="7" t="n"/>
      <c r="T1422" s="7" t="n"/>
      <c r="U1422" s="7" t="n"/>
      <c r="V1422" s="7" t="n">
        <v>1</v>
      </c>
      <c r="W1422" s="7" t="inlineStr">
        <is>
          <t>Conventions</t>
        </is>
      </c>
      <c r="X1422" s="9" t="inlineStr">
        <is>
          <t>open</t>
        </is>
      </c>
      <c r="Y1422" s="7" t="n"/>
      <c r="Z1422" s="7" t="inlineStr">
        <is>
          <t>https://wol.jw.org/en/wol/d/r1/lp-e/1200271388</t>
        </is>
      </c>
      <c r="AA1422" s="7" t="n">
        <v>0</v>
      </c>
      <c r="AB1422" s="7" t="n"/>
      <c r="AC1422" s="7" t="n">
        <v>0</v>
      </c>
      <c r="AD1422" s="7" t="n"/>
      <c r="AE1422" s="7" t="n"/>
      <c r="AF1422" s="7" t="n"/>
      <c r="AG1422" s="7" t="n"/>
      <c r="AH1422" s="7" t="n"/>
      <c r="AI1422" s="7" t="inlineStr">
        <is>
          <t>Index list entry – app detail</t>
        </is>
      </c>
      <c r="AJ1422" s="7" t="n"/>
      <c r="AK1422" s="7" t="n"/>
      <c r="AL1422" s="7" t="n"/>
      <c r="AM1422" s="7" t="n">
        <v>1955</v>
      </c>
      <c r="AN1422" s="10" t="n"/>
      <c r="AO1422" s="10" t="n"/>
      <c r="AP1422" s="10" t="n"/>
      <c r="AQ1422" s="10" t="n"/>
    </row>
    <row r="1423">
      <c r="A1423" s="7" t="inlineStr">
        <is>
          <t>b9-0046</t>
        </is>
      </c>
      <c r="B1423" s="7" t="inlineStr">
        <is>
          <t>Point</t>
        </is>
      </c>
      <c r="C1423" s="7" t="n"/>
      <c r="D1423" s="7" t="inlineStr">
        <is>
          <t>1956</t>
        </is>
      </c>
      <c r="E1423" s="7" t="n"/>
      <c r="F1423" s="7" t="inlineStr">
        <is>
          <t>1956 CE</t>
        </is>
      </c>
      <c r="G1423" s="7" t="inlineStr">
        <is>
          <t>Exact</t>
        </is>
      </c>
      <c r="H1423" s="7" t="n"/>
      <c r="I1423" s="7" t="n"/>
      <c r="J1423" s="7" t="n"/>
      <c r="K1423" s="2" t="inlineStr">
        <is>
          <t>Understanding clarified: sanctity of marriage</t>
        </is>
      </c>
      <c r="L1423" s="2" t="n"/>
      <c r="M1423" s="7" t="inlineStr">
        <is>
          <t>The Watch Tower Publications Index (“Beliefs Clarified,” list by year) records a clarified understanding in 1956 concerning sanctity of marriage. Index references: w23.05 18.</t>
        </is>
      </c>
      <c r="N1423" s="7" t="n"/>
      <c r="O1423" s="13" t="inlineStr">
        <is>
          <t>Jehovah's Witnesses</t>
        </is>
      </c>
      <c r="P1423" s="7" t="inlineStr">
        <is>
          <t>jw.doctrine</t>
        </is>
      </c>
      <c r="Q1423" s="7" t="inlineStr">
        <is>
          <t>beliefs_clarified</t>
        </is>
      </c>
      <c r="R1423" s="7" t="n"/>
      <c r="S1423" s="7" t="n"/>
      <c r="T1423" s="7" t="n"/>
      <c r="U1423" s="7" t="n"/>
      <c r="V1423" s="7" t="n">
        <v>1</v>
      </c>
      <c r="W1423" s="7" t="inlineStr">
        <is>
          <t>Beliefs Clarified</t>
        </is>
      </c>
      <c r="X1423" s="9" t="inlineStr">
        <is>
          <t>open</t>
        </is>
      </c>
      <c r="Y1423" s="7" t="n"/>
      <c r="Z1423" s="7" t="inlineStr">
        <is>
          <t>https://wol.jw.org/en/wol/d/r1/lp-e/1200277174</t>
        </is>
      </c>
      <c r="AA1423" s="7" t="n">
        <v>0</v>
      </c>
      <c r="AB1423" s="7" t="n"/>
      <c r="AC1423" s="7" t="n">
        <v>0</v>
      </c>
      <c r="AD1423" s="7" t="n"/>
      <c r="AE1423" s="7" t="n"/>
      <c r="AF1423" s="7" t="n"/>
      <c r="AG1423" s="7" t="n"/>
      <c r="AH1423" s="7" t="n"/>
      <c r="AI1423" s="7" t="inlineStr">
        <is>
          <t>Index list entry – app detail</t>
        </is>
      </c>
      <c r="AJ1423" s="7" t="n"/>
      <c r="AK1423" s="7" t="n"/>
      <c r="AL1423" s="7" t="n"/>
      <c r="AM1423" s="7" t="n">
        <v>1956</v>
      </c>
      <c r="AN1423" s="10" t="n"/>
      <c r="AO1423" s="10" t="n"/>
      <c r="AP1423" s="10" t="n"/>
      <c r="AQ1423" s="10" t="n"/>
    </row>
    <row r="1424">
      <c r="A1424" s="7" t="inlineStr">
        <is>
          <t>b9-0047</t>
        </is>
      </c>
      <c r="B1424" s="7" t="inlineStr">
        <is>
          <t>Point</t>
        </is>
      </c>
      <c r="C1424" s="7" t="n"/>
      <c r="D1424" s="7" t="inlineStr">
        <is>
          <t>1956</t>
        </is>
      </c>
      <c r="E1424" s="7" t="n"/>
      <c r="F1424" s="7" t="inlineStr">
        <is>
          <t>1956 CE</t>
        </is>
      </c>
      <c r="G1424" s="7" t="inlineStr">
        <is>
          <t>Exact</t>
        </is>
      </c>
      <c r="H1424" s="7" t="n"/>
      <c r="I1424" s="7" t="n"/>
      <c r="J1424" s="7" t="n"/>
      <c r="K1424" s="2" t="inlineStr">
        <is>
          <t>1956: District Assemblies</t>
        </is>
      </c>
      <c r="L1424" s="2" t="n"/>
      <c r="M1424" s="7" t="inlineStr">
        <is>
          <t>The Watch Tower Publications Index lists the 1956 conventions of Jehovah’s Witnesses as District Assemblies. Locations indexed include Seoul, Korea.</t>
        </is>
      </c>
      <c r="N1424" s="7" t="n"/>
      <c r="O1424" s="13" t="inlineStr">
        <is>
          <t>Jehovah's Witnesses</t>
        </is>
      </c>
      <c r="P1424" s="7" t="inlineStr">
        <is>
          <t>jw.convention</t>
        </is>
      </c>
      <c r="Q1424" s="7" t="inlineStr">
        <is>
          <t>convention</t>
        </is>
      </c>
      <c r="R1424" s="7" t="n"/>
      <c r="S1424" s="7" t="n"/>
      <c r="T1424" s="7" t="n"/>
      <c r="U1424" s="7" t="n"/>
      <c r="V1424" s="7" t="n">
        <v>1</v>
      </c>
      <c r="W1424" s="7" t="inlineStr">
        <is>
          <t>Conventions</t>
        </is>
      </c>
      <c r="X1424" s="9" t="inlineStr">
        <is>
          <t>open</t>
        </is>
      </c>
      <c r="Y1424" s="7" t="n"/>
      <c r="Z1424" s="7" t="inlineStr">
        <is>
          <t>https://wol.jw.org/en/wol/d/r1/lp-e/1200271388</t>
        </is>
      </c>
      <c r="AA1424" s="7" t="n">
        <v>0</v>
      </c>
      <c r="AB1424" s="7" t="n"/>
      <c r="AC1424" s="7" t="n">
        <v>0</v>
      </c>
      <c r="AD1424" s="7" t="n"/>
      <c r="AE1424" s="7" t="n"/>
      <c r="AF1424" s="7" t="n"/>
      <c r="AG1424" s="7" t="n"/>
      <c r="AH1424" s="7" t="n"/>
      <c r="AI1424" s="7" t="inlineStr">
        <is>
          <t>Index list entry – app detail</t>
        </is>
      </c>
      <c r="AJ1424" s="7" t="n"/>
      <c r="AK1424" s="7" t="n"/>
      <c r="AL1424" s="7" t="n"/>
      <c r="AM1424" s="7" t="n">
        <v>1956</v>
      </c>
      <c r="AN1424" s="10" t="n"/>
      <c r="AO1424" s="10" t="n"/>
      <c r="AP1424" s="10" t="n"/>
      <c r="AQ1424" s="10" t="n"/>
    </row>
    <row r="1425">
      <c r="A1425" s="7" t="inlineStr">
        <is>
          <t>b9-0048</t>
        </is>
      </c>
      <c r="B1425" s="7" t="inlineStr">
        <is>
          <t>Point</t>
        </is>
      </c>
      <c r="C1425" s="7" t="n"/>
      <c r="D1425" s="7" t="inlineStr">
        <is>
          <t>1956, May 15</t>
        </is>
      </c>
      <c r="E1425" s="7" t="inlineStr">
        <is>
          <t>மே 15, 1956</t>
        </is>
      </c>
      <c r="F1425" s="7" t="inlineStr">
        <is>
          <t>1956 CE</t>
        </is>
      </c>
      <c r="G1425" s="7" t="inlineStr">
        <is>
          <t>Exact</t>
        </is>
      </c>
      <c r="H1425" s="7" t="n"/>
      <c r="I1425" s="7" t="n"/>
      <c r="J1425" s="7" t="n"/>
      <c r="K1425" s="2" t="inlineStr">
        <is>
          <t>Watchtower urges regular family Bible study</t>
        </is>
      </c>
      <c r="L1425" s="2" t="inlineStr">
        <is>
          <t>மே 15, 1956, காவற்கோபுரம், “முழு குடும்பமும் பயனடைவதற்காக வீட்டிலேயே தவறாமல் பைபிளைப் படிக்கும் பழக்கம்”</t>
        </is>
      </c>
      <c r="M1425" s="7" t="inlineStr">
        <is>
          <t>The May 15, 1956, Watchtower urged all Christian families to have a regular Bible study in the home.</t>
        </is>
      </c>
      <c r="N1425" s="7" t="inlineStr">
        <is>
          <t>மே 15, 1956, காவற்கோபுரம், “முழு குடும்பமும் பயனடைவதற்காக வீட்டிலேயே தவறாமல் பைபிளைப் படிக்கும் பழக்கம்”</t>
        </is>
      </c>
      <c r="O1425" s="13" t="inlineStr">
        <is>
          <t>Jehovah's Witnesses</t>
        </is>
      </c>
      <c r="P1425" s="7" t="inlineStr">
        <is>
          <t>jw.organization</t>
        </is>
      </c>
      <c r="Q1425" s="7" t="n"/>
      <c r="R1425" s="7" t="n"/>
      <c r="S1425" s="7" t="n"/>
      <c r="T1425" s="7" t="n"/>
      <c r="U1425" s="7" t="n"/>
      <c r="V1425" s="7" t="n">
        <v>1</v>
      </c>
      <c r="W1425" s="7" t="inlineStr">
        <is>
          <t>Meeting Together for Worship</t>
        </is>
      </c>
      <c r="X1425" s="9" t="inlineStr">
        <is>
          <t>open</t>
        </is>
      </c>
      <c r="Y1425" s="9" t="inlineStr">
        <is>
          <t>open</t>
        </is>
      </c>
      <c r="Z1425" s="7" t="inlineStr">
        <is>
          <t>https://wol.jw.org/en/wol/d/r1/lp-e/1102014255</t>
        </is>
      </c>
      <c r="AA1425" s="7" t="n">
        <v>0</v>
      </c>
      <c r="AB1425" s="7" t="n"/>
      <c r="AC1425" s="7" t="n">
        <v>0</v>
      </c>
      <c r="AD1425" s="7" t="n"/>
      <c r="AE1425" s="7" t="n"/>
      <c r="AF1425" s="7" t="n"/>
      <c r="AG1425" s="7" t="n"/>
      <c r="AH1425" s="7" t="n"/>
      <c r="AI1425" s="7" t="n"/>
      <c r="AJ1425" s="7" t="n"/>
      <c r="AK1425" s="7" t="n"/>
      <c r="AL1425" s="7" t="n"/>
      <c r="AM1425" s="7" t="n">
        <v>1956.371</v>
      </c>
      <c r="AN1425" s="10" t="n"/>
      <c r="AO1425" s="10" t="n"/>
      <c r="AP1425" s="10" t="n"/>
      <c r="AQ1425" s="10" t="n"/>
    </row>
    <row r="1426">
      <c r="A1426" s="7" t="inlineStr">
        <is>
          <t>b9-0049</t>
        </is>
      </c>
      <c r="B1426" s="7" t="inlineStr">
        <is>
          <t>Point</t>
        </is>
      </c>
      <c r="C1426" s="7" t="n"/>
      <c r="D1426" s="7" t="inlineStr">
        <is>
          <t>1957</t>
        </is>
      </c>
      <c r="E1426" s="7" t="n"/>
      <c r="F1426" s="7" t="inlineStr">
        <is>
          <t>1957 CE</t>
        </is>
      </c>
      <c r="G1426" s="7" t="inlineStr">
        <is>
          <t>Exact</t>
        </is>
      </c>
      <c r="H1426" s="7" t="n"/>
      <c r="I1426" s="7" t="n"/>
      <c r="J1426" s="7" t="n"/>
      <c r="K1426" s="2" t="inlineStr">
        <is>
          <t>Over 100 million hours spent preaching in 169 lands</t>
        </is>
      </c>
      <c r="L1426" s="2" t="n"/>
      <c r="M1426" s="7" t="inlineStr">
        <is>
          <t>In 1957, Jehovah’s Witnesses in 169 lands devoted 100,135,016 hours to proclaiming God’s Kingdom and conducting Bible studies.</t>
        </is>
      </c>
      <c r="N1426" s="7" t="n"/>
      <c r="O1426" s="13" t="inlineStr">
        <is>
          <t>Jehovah's Witnesses</t>
        </is>
      </c>
      <c r="P1426" s="7" t="inlineStr">
        <is>
          <t>jw.preaching</t>
        </is>
      </c>
      <c r="Q1426" s="7" t="inlineStr">
        <is>
          <t>statistic</t>
        </is>
      </c>
      <c r="R1426" s="7" t="n"/>
      <c r="S1426" s="7" t="n"/>
      <c r="T1426" s="7" t="n"/>
      <c r="U1426" s="7" t="n"/>
      <c r="V1426" s="7" t="n">
        <v>1</v>
      </c>
      <c r="W1426" s="7" t="inlineStr">
        <is>
          <t>Noteworthy Events in the Modern-day History of Jehovah’s Witnesses</t>
        </is>
      </c>
      <c r="X1426" s="9" t="inlineStr">
        <is>
          <t>open</t>
        </is>
      </c>
      <c r="Y1426" s="7" t="n"/>
      <c r="Z1426" s="7" t="inlineStr">
        <is>
          <t>https://wol.jw.org/en/wol/d/r1/lp-e/1101993046</t>
        </is>
      </c>
      <c r="AA1426" s="7" t="n">
        <v>0</v>
      </c>
      <c r="AB1426" s="7" t="n"/>
      <c r="AC1426" s="7" t="n">
        <v>0</v>
      </c>
      <c r="AD1426" s="7" t="n"/>
      <c r="AE1426" s="7" t="n"/>
      <c r="AF1426" s="7" t="n"/>
      <c r="AG1426" s="7" t="n"/>
      <c r="AH1426" s="7" t="n"/>
      <c r="AI1426" s="7" t="n"/>
      <c r="AJ1426" s="7" t="n"/>
      <c r="AK1426" s="7" t="n"/>
      <c r="AL1426" s="7" t="n"/>
      <c r="AM1426" s="7" t="n">
        <v>1957</v>
      </c>
      <c r="AN1426" s="10" t="n"/>
      <c r="AO1426" s="10" t="n"/>
      <c r="AP1426" s="10" t="n"/>
      <c r="AQ1426" s="10" t="n"/>
    </row>
    <row r="1427">
      <c r="A1427" s="7" t="inlineStr">
        <is>
          <t>b9-0050</t>
        </is>
      </c>
      <c r="B1427" s="7" t="inlineStr">
        <is>
          <t>Point</t>
        </is>
      </c>
      <c r="C1427" s="7" t="n"/>
      <c r="D1427" s="7" t="inlineStr">
        <is>
          <t>1957</t>
        </is>
      </c>
      <c r="E1427" s="7" t="n"/>
      <c r="F1427" s="7" t="inlineStr">
        <is>
          <t>1957 CE</t>
        </is>
      </c>
      <c r="G1427" s="7" t="inlineStr">
        <is>
          <t>Exact</t>
        </is>
      </c>
      <c r="H1427" s="7" t="n"/>
      <c r="I1427" s="7" t="n"/>
      <c r="J1427" s="7" t="n"/>
      <c r="K1427" s="2" t="inlineStr">
        <is>
          <t>1957: “Life-Giving Wisdom” District Assemblies</t>
        </is>
      </c>
      <c r="L1427" s="2" t="n"/>
      <c r="M1427" s="7" t="inlineStr">
        <is>
          <t>The Watch Tower Publications Index lists the 1957 conventions of Jehovah’s Witnesses as “Life-Giving Wisdom” District Assemblies.</t>
        </is>
      </c>
      <c r="N1427" s="7" t="n"/>
      <c r="O1427" s="13" t="inlineStr">
        <is>
          <t>Jehovah's Witnesses</t>
        </is>
      </c>
      <c r="P1427" s="7" t="inlineStr">
        <is>
          <t>jw.convention</t>
        </is>
      </c>
      <c r="Q1427" s="7" t="inlineStr">
        <is>
          <t>convention</t>
        </is>
      </c>
      <c r="R1427" s="7" t="n"/>
      <c r="S1427" s="7" t="n"/>
      <c r="T1427" s="7" t="n"/>
      <c r="U1427" s="7" t="n"/>
      <c r="V1427" s="7" t="n">
        <v>1</v>
      </c>
      <c r="W1427" s="7" t="inlineStr">
        <is>
          <t>Conventions</t>
        </is>
      </c>
      <c r="X1427" s="9" t="inlineStr">
        <is>
          <t>open</t>
        </is>
      </c>
      <c r="Y1427" s="7" t="n"/>
      <c r="Z1427" s="7" t="inlineStr">
        <is>
          <t>https://wol.jw.org/en/wol/d/r1/lp-e/1200271388</t>
        </is>
      </c>
      <c r="AA1427" s="7" t="n">
        <v>0</v>
      </c>
      <c r="AB1427" s="7" t="n"/>
      <c r="AC1427" s="7" t="n">
        <v>0</v>
      </c>
      <c r="AD1427" s="7" t="n"/>
      <c r="AE1427" s="7" t="n"/>
      <c r="AF1427" s="7" t="n"/>
      <c r="AG1427" s="7" t="n"/>
      <c r="AH1427" s="7" t="n"/>
      <c r="AI1427" s="7" t="inlineStr">
        <is>
          <t>Index list entry – app detail</t>
        </is>
      </c>
      <c r="AJ1427" s="7" t="n"/>
      <c r="AK1427" s="7" t="n"/>
      <c r="AL1427" s="7" t="n"/>
      <c r="AM1427" s="7" t="n">
        <v>1957</v>
      </c>
      <c r="AN1427" s="10" t="n"/>
      <c r="AO1427" s="10" t="n"/>
      <c r="AP1427" s="10" t="n"/>
      <c r="AQ1427" s="10" t="n"/>
    </row>
    <row r="1428">
      <c r="A1428" s="7" t="inlineStr">
        <is>
          <t>b9-0051</t>
        </is>
      </c>
      <c r="B1428" s="7" t="inlineStr">
        <is>
          <t>Point</t>
        </is>
      </c>
      <c r="C1428" s="7" t="n"/>
      <c r="D1428" s="7" t="inlineStr">
        <is>
          <t>1957</t>
        </is>
      </c>
      <c r="E1428" s="7" t="inlineStr">
        <is>
          <t>1957</t>
        </is>
      </c>
      <c r="F1428" s="7" t="inlineStr">
        <is>
          <t>1957 CE</t>
        </is>
      </c>
      <c r="G1428" s="7" t="inlineStr">
        <is>
          <t>Exact</t>
        </is>
      </c>
      <c r="H1428" s="7" t="n"/>
      <c r="I1428" s="7" t="n"/>
      <c r="J1428" s="7" t="n"/>
      <c r="K1428" s="2" t="inlineStr">
        <is>
          <t>WBBR, last Witness radio station, shut down</t>
        </is>
      </c>
      <c r="L1428" s="2" t="inlineStr">
        <is>
          <t>நியு யார்க்கில் கடைசியாக இருந்த WBBR வானொலி நிலையத்தையும் 1957-ல் மூடிவிட, முன்நின்று வழிநடத்திய சகோதரர்கள் தீர்மானித்தார்கள்.</t>
        </is>
      </c>
      <c r="M1428" s="7" t="inlineStr">
        <is>
          <t>In 1957, those taking the lead decided to shut down WBBR in New York, the last of the organization’s radio stations.</t>
        </is>
      </c>
      <c r="N1428" s="7" t="inlineStr">
        <is>
          <t>நியு யார்க்கில் கடைசியாக இருந்த WBBR வானொலி நிலையத்தையும் 1957-ல் மூடிவிட, முன்நின்று வழிநடத்திய சகோதரர்கள் தீர்மானித்தார்கள்.</t>
        </is>
      </c>
      <c r="O1428" s="13" t="inlineStr">
        <is>
          <t>Jehovah's Witnesses</t>
        </is>
      </c>
      <c r="P1428" s="7" t="inlineStr">
        <is>
          <t>jw.preaching</t>
        </is>
      </c>
      <c r="Q1428" s="7" t="n"/>
      <c r="R1428" s="7" t="n"/>
      <c r="S1428" s="7" t="inlineStr">
        <is>
          <t>New York</t>
        </is>
      </c>
      <c r="T1428" s="7" t="n"/>
      <c r="U1428" s="7" t="n"/>
      <c r="V1428" s="7" t="n">
        <v>1</v>
      </c>
      <c r="W1428" s="7" t="inlineStr">
        <is>
          <t>Methods of Preaching</t>
        </is>
      </c>
      <c r="X1428" s="9" t="inlineStr">
        <is>
          <t>open</t>
        </is>
      </c>
      <c r="Y1428" s="9" t="inlineStr">
        <is>
          <t>open</t>
        </is>
      </c>
      <c r="Z1428" s="7" t="inlineStr">
        <is>
          <t>https://wol.jw.org/en/wol/d/r1/lp-e/1102014246</t>
        </is>
      </c>
      <c r="AA1428" s="7" t="n">
        <v>0</v>
      </c>
      <c r="AB1428" s="7" t="n"/>
      <c r="AC1428" s="7" t="n">
        <v>0</v>
      </c>
      <c r="AD1428" s="7" t="n"/>
      <c r="AE1428" s="7" t="n"/>
      <c r="AF1428" s="7" t="n"/>
      <c r="AG1428" s="7" t="n"/>
      <c r="AH1428" s="7" t="n"/>
      <c r="AI1428" s="7" t="inlineStr">
        <is>
          <t>Span endpoint – keep</t>
        </is>
      </c>
      <c r="AJ1428" s="7" t="inlineStr">
        <is>
          <t>end of Radio station WBBR operated by the Watch Tower Society (b12-0079)</t>
        </is>
      </c>
      <c r="AK1428" s="7" t="n"/>
      <c r="AL1428" s="7" t="n"/>
      <c r="AM1428" s="7" t="n">
        <v>1957</v>
      </c>
      <c r="AN1428" s="10" t="n"/>
      <c r="AO1428" s="10" t="n"/>
      <c r="AP1428" s="10" t="n"/>
      <c r="AQ1428" s="10" t="n"/>
    </row>
    <row r="1429">
      <c r="A1429" s="7" t="inlineStr">
        <is>
          <t>b9-0052</t>
        </is>
      </c>
      <c r="B1429" s="7" t="inlineStr">
        <is>
          <t>Point</t>
        </is>
      </c>
      <c r="C1429" s="7" t="n"/>
      <c r="D1429" s="7" t="inlineStr">
        <is>
          <t>1958</t>
        </is>
      </c>
      <c r="E1429" s="7" t="n"/>
      <c r="F1429" s="7" t="inlineStr">
        <is>
          <t>1958 CE</t>
        </is>
      </c>
      <c r="G1429" s="7" t="inlineStr">
        <is>
          <t>Exact</t>
        </is>
      </c>
      <c r="H1429" s="7" t="n"/>
      <c r="I1429" s="7" t="n"/>
      <c r="J1429" s="7" t="n"/>
      <c r="K1429" s="2" t="inlineStr">
        <is>
          <t>Divine Will International Assembly in New York</t>
        </is>
      </c>
      <c r="L1429" s="2" t="n"/>
      <c r="M1429" s="7" t="inlineStr">
        <is>
          <t>The Divine Will International Assembly in New York drew 253,922 from 123 lands, and 7,136 were baptized. God’s Kingdom Rules! calls it the largest international convention held in one city.</t>
        </is>
      </c>
      <c r="N1429" s="7" t="n"/>
      <c r="O1429" s="13" t="inlineStr">
        <is>
          <t>Jehovah's Witnesses</t>
        </is>
      </c>
      <c r="P1429" s="7" t="inlineStr">
        <is>
          <t>jw.convention</t>
        </is>
      </c>
      <c r="Q1429" s="7" t="inlineStr">
        <is>
          <t>convention</t>
        </is>
      </c>
      <c r="R1429" s="7" t="n"/>
      <c r="S1429" s="7" t="inlineStr">
        <is>
          <t>New York</t>
        </is>
      </c>
      <c r="T1429" s="7" t="n"/>
      <c r="U1429" s="7" t="n"/>
      <c r="V1429" s="7" t="n">
        <v>3</v>
      </c>
      <c r="W1429" s="7" t="inlineStr">
        <is>
          <t>Noteworthy Events in the Modern-day History of Jehovah’s Witnesses</t>
        </is>
      </c>
      <c r="X1429" s="9" t="inlineStr">
        <is>
          <t>open</t>
        </is>
      </c>
      <c r="Y1429" s="7" t="n"/>
      <c r="Z1429" s="7" t="inlineStr">
        <is>
          <t>https://wol.jw.org/en/wol/d/r1/lp-e/1101993046
https://wol.jw.org/en/wol/d/r1/lp-e/1102014255
https://wol.jw.org/en/wol/d/r1/lp-e/1200271388</t>
        </is>
      </c>
      <c r="AA1429" s="7" t="n">
        <v>0</v>
      </c>
      <c r="AB1429" s="7" t="n"/>
      <c r="AC1429" s="7" t="n">
        <v>0</v>
      </c>
      <c r="AD1429" s="7" t="n"/>
      <c r="AE1429" s="7" t="n"/>
      <c r="AF1429" s="7" t="n"/>
      <c r="AG1429" s="7" t="n"/>
      <c r="AH1429" s="7" t="n"/>
      <c r="AI1429" s="7" t="n"/>
      <c r="AJ1429" s="7" t="n"/>
      <c r="AK1429" s="7" t="n"/>
      <c r="AL1429" s="7" t="n"/>
      <c r="AM1429" s="7" t="n">
        <v>1958</v>
      </c>
      <c r="AN1429" s="10" t="n"/>
      <c r="AO1429" s="10" t="n"/>
      <c r="AP1429" s="10" t="n"/>
      <c r="AQ1429" s="10" t="n"/>
    </row>
    <row r="1430">
      <c r="A1430" s="7" t="inlineStr">
        <is>
          <t>b9-0053</t>
        </is>
      </c>
      <c r="B1430" s="7" t="inlineStr">
        <is>
          <t>Point</t>
        </is>
      </c>
      <c r="C1430" s="7" t="n"/>
      <c r="D1430" s="7" t="inlineStr">
        <is>
          <t>1959</t>
        </is>
      </c>
      <c r="E1430" s="7" t="n"/>
      <c r="F1430" s="7" t="inlineStr">
        <is>
          <t>1959 CE</t>
        </is>
      </c>
      <c r="G1430" s="7" t="inlineStr">
        <is>
          <t>Exact</t>
        </is>
      </c>
      <c r="H1430" s="7" t="n"/>
      <c r="I1430" s="7" t="n"/>
      <c r="J1430" s="7" t="n"/>
      <c r="K1430" s="2" t="inlineStr">
        <is>
          <t>1959: “Awake Ministers” District Assemblies</t>
        </is>
      </c>
      <c r="L1430" s="2" t="n"/>
      <c r="M1430" s="7" t="inlineStr">
        <is>
          <t>The Watch Tower Publications Index lists the 1959 conventions of Jehovah’s Witnesses as “Awake Ministers” District Assemblies.</t>
        </is>
      </c>
      <c r="N1430" s="7" t="n"/>
      <c r="O1430" s="13" t="inlineStr">
        <is>
          <t>Jehovah's Witnesses</t>
        </is>
      </c>
      <c r="P1430" s="7" t="inlineStr">
        <is>
          <t>jw.convention</t>
        </is>
      </c>
      <c r="Q1430" s="7" t="inlineStr">
        <is>
          <t>convention</t>
        </is>
      </c>
      <c r="R1430" s="7" t="n"/>
      <c r="S1430" s="7" t="n"/>
      <c r="T1430" s="7" t="n"/>
      <c r="U1430" s="7" t="n"/>
      <c r="V1430" s="7" t="n">
        <v>1</v>
      </c>
      <c r="W1430" s="7" t="inlineStr">
        <is>
          <t>Conventions</t>
        </is>
      </c>
      <c r="X1430" s="9" t="inlineStr">
        <is>
          <t>open</t>
        </is>
      </c>
      <c r="Y1430" s="7" t="n"/>
      <c r="Z1430" s="7" t="inlineStr">
        <is>
          <t>https://wol.jw.org/en/wol/d/r1/lp-e/1200271388</t>
        </is>
      </c>
      <c r="AA1430" s="7" t="n">
        <v>0</v>
      </c>
      <c r="AB1430" s="7" t="n"/>
      <c r="AC1430" s="7" t="n">
        <v>0</v>
      </c>
      <c r="AD1430" s="7" t="n"/>
      <c r="AE1430" s="7" t="n"/>
      <c r="AF1430" s="7" t="n"/>
      <c r="AG1430" s="7" t="n"/>
      <c r="AH1430" s="7" t="n"/>
      <c r="AI1430" s="7" t="inlineStr">
        <is>
          <t>Index list entry – app detail</t>
        </is>
      </c>
      <c r="AJ1430" s="7" t="n"/>
      <c r="AK1430" s="7" t="n"/>
      <c r="AL1430" s="7" t="n"/>
      <c r="AM1430" s="7" t="n">
        <v>1959</v>
      </c>
      <c r="AN1430" s="10" t="n"/>
      <c r="AO1430" s="10" t="n"/>
      <c r="AP1430" s="10" t="n"/>
      <c r="AQ1430" s="10" t="n"/>
    </row>
    <row r="1431">
      <c r="A1431" s="7" t="inlineStr">
        <is>
          <t>b9-0054</t>
        </is>
      </c>
      <c r="B1431" s="7" t="inlineStr">
        <is>
          <t>Point</t>
        </is>
      </c>
      <c r="C1431" s="7" t="n"/>
      <c r="D1431" s="7" t="inlineStr">
        <is>
          <t>1959</t>
        </is>
      </c>
      <c r="E1431" s="7" t="inlineStr">
        <is>
          <t>1959</t>
        </is>
      </c>
      <c r="F1431" s="7" t="inlineStr">
        <is>
          <t>1959 CE</t>
        </is>
      </c>
      <c r="G1431" s="7" t="inlineStr">
        <is>
          <t>Exact</t>
        </is>
      </c>
      <c r="H1431" s="7" t="n"/>
      <c r="I1431" s="7" t="n"/>
      <c r="J1431" s="7" t="n"/>
      <c r="K1431" s="2" t="inlineStr">
        <is>
          <t>Sisters invited to enroll in Theocratic Ministry School</t>
        </is>
      </c>
      <c r="L1431" s="2" t="inlineStr">
        <is>
          <t>1959-ல் சகோதரிகளும் தேவராஜ்ய ஊழியப் பள்ளியில் சேரும்படி அழைக்கப்பட்டார்கள்.</t>
        </is>
      </c>
      <c r="M1431" s="7" t="inlineStr">
        <is>
          <t>In 1959 sisters were invited to enroll in the Theocratic Ministry School.</t>
        </is>
      </c>
      <c r="N1431" s="7" t="inlineStr">
        <is>
          <t>1959-ல் சகோதரிகளும் தேவராஜ்ய ஊழியப் பள்ளியில் சேரும்படி அழைக்கப்பட்டார்கள்.</t>
        </is>
      </c>
      <c r="O1431" s="13" t="inlineStr">
        <is>
          <t>Jehovah's Witnesses</t>
        </is>
      </c>
      <c r="P1431" s="7" t="inlineStr">
        <is>
          <t>jw.education</t>
        </is>
      </c>
      <c r="Q1431" s="7" t="n"/>
      <c r="R1431" s="7" t="n"/>
      <c r="S1431" s="7" t="n"/>
      <c r="T1431" s="7" t="n"/>
      <c r="U1431" s="7" t="n"/>
      <c r="V1431" s="7" t="n">
        <v>1</v>
      </c>
      <c r="W1431" s="7" t="inlineStr">
        <is>
          <t>Meeting Together for Worship</t>
        </is>
      </c>
      <c r="X1431" s="9" t="inlineStr">
        <is>
          <t>open</t>
        </is>
      </c>
      <c r="Y1431" s="9" t="inlineStr">
        <is>
          <t>open</t>
        </is>
      </c>
      <c r="Z1431" s="7" t="inlineStr">
        <is>
          <t>https://wol.jw.org/en/wol/d/r1/lp-e/1102014255</t>
        </is>
      </c>
      <c r="AA1431" s="7" t="n">
        <v>0</v>
      </c>
      <c r="AB1431" s="7" t="n"/>
      <c r="AC1431" s="7" t="n">
        <v>0</v>
      </c>
      <c r="AD1431" s="7" t="n"/>
      <c r="AE1431" s="7" t="n"/>
      <c r="AF1431" s="7" t="n"/>
      <c r="AG1431" s="7" t="n"/>
      <c r="AH1431" s="7" t="n"/>
      <c r="AI1431" s="7" t="n"/>
      <c r="AJ1431" s="7" t="n"/>
      <c r="AK1431" s="7" t="n"/>
      <c r="AL1431" s="7" t="n"/>
      <c r="AM1431" s="7" t="n">
        <v>1959</v>
      </c>
      <c r="AN1431" s="10" t="n"/>
      <c r="AO1431" s="10" t="n"/>
      <c r="AP1431" s="10" t="n"/>
      <c r="AQ1431" s="10" t="n"/>
    </row>
    <row r="1432">
      <c r="A1432" s="7" t="inlineStr">
        <is>
          <t>b9-0055</t>
        </is>
      </c>
      <c r="B1432" s="7" t="inlineStr">
        <is>
          <t>Point</t>
        </is>
      </c>
      <c r="C1432" s="7" t="n"/>
      <c r="D1432" s="7" t="inlineStr">
        <is>
          <t>1959, March 9</t>
        </is>
      </c>
      <c r="E1432" s="7" t="inlineStr">
        <is>
          <t>மார்ச் 9, 1959</t>
        </is>
      </c>
      <c r="F1432" s="7" t="inlineStr">
        <is>
          <t>1959 CE</t>
        </is>
      </c>
      <c r="G1432" s="7" t="inlineStr">
        <is>
          <t>Exact</t>
        </is>
      </c>
      <c r="H1432" s="7" t="n"/>
      <c r="I1432" s="7" t="n"/>
      <c r="J1432" s="7" t="n"/>
      <c r="K1432" s="2" t="inlineStr">
        <is>
          <t>First Kingdom Ministry School class begins at South Lansing</t>
        </is>
      </c>
      <c r="L1432" s="2" t="inlineStr">
        <is>
          <t>இந்தப் பள்ளியின் முதல் வகுப்பு, நியு யார்க்கிலுள்ள சவுத் லான்சிங்கில் மார்ச் 9, 1959-ல் ஆரம்பமானது.</t>
        </is>
      </c>
      <c r="M1432" s="7" t="inlineStr">
        <is>
          <t>The first sessions of the Kingdom Ministry School, designed for congregation and traveling overseers, began on March 9, 1959, at South Lansing, New York.</t>
        </is>
      </c>
      <c r="N1432" s="7" t="inlineStr">
        <is>
          <t>இந்தப் பள்ளியின் முதல் வகுப்பு, நியு யார்க்கிலுள்ள சவுத் லான்சிங்கில் மார்ச் 9, 1959-ல் ஆரம்பமானது.</t>
        </is>
      </c>
      <c r="O1432" s="13" t="inlineStr">
        <is>
          <t>Jehovah's Witnesses</t>
        </is>
      </c>
      <c r="P1432" s="7" t="inlineStr">
        <is>
          <t>jw.education</t>
        </is>
      </c>
      <c r="Q1432" s="7" t="n"/>
      <c r="R1432" s="7" t="n"/>
      <c r="S1432" s="7" t="inlineStr">
        <is>
          <t>South Lansing, New York</t>
        </is>
      </c>
      <c r="T1432" s="7" t="n"/>
      <c r="U1432" s="7" t="n"/>
      <c r="V1432" s="7" t="n">
        <v>3</v>
      </c>
      <c r="W1432" s="7" t="inlineStr">
        <is>
          <t>Noteworthy Events in the Modern-day History of Jehovah’s Witnesses</t>
        </is>
      </c>
      <c r="X1432" s="9" t="inlineStr">
        <is>
          <t>open</t>
        </is>
      </c>
      <c r="Y1432" s="7" t="n"/>
      <c r="Z1432" s="7" t="inlineStr">
        <is>
          <t>https://wol.jw.org/en/wol/d/r1/lp-e/1101993046
https://wol.jw.org/en/wol/d/r1/lp-e/1102014256
https://wol.jw.org/en/wol/d/r1/lp-e/1102014251</t>
        </is>
      </c>
      <c r="AA1432" s="7" t="n">
        <v>0</v>
      </c>
      <c r="AB1432" s="7" t="n"/>
      <c r="AC1432" s="7" t="n">
        <v>0</v>
      </c>
      <c r="AD1432" s="7" t="n"/>
      <c r="AE1432" s="7" t="n"/>
      <c r="AF1432" s="7" t="n"/>
      <c r="AG1432" s="7" t="n"/>
      <c r="AH1432" s="7" t="n"/>
      <c r="AI1432" s="7" t="inlineStr">
        <is>
          <t>Span endpoint – keep</t>
        </is>
      </c>
      <c r="AJ1432" s="7" t="inlineStr">
        <is>
          <t>start of Kingdom Ministry School (b12-0093)</t>
        </is>
      </c>
      <c r="AK1432" s="7" t="n"/>
      <c r="AL1432" s="7" t="n"/>
      <c r="AM1432" s="7" t="n">
        <v>1959.1882</v>
      </c>
      <c r="AN1432" s="10" t="n"/>
      <c r="AO1432" s="10" t="n"/>
      <c r="AP1432" s="10" t="n"/>
      <c r="AQ1432" s="10" t="n"/>
    </row>
    <row r="1433">
      <c r="A1433" s="7" t="inlineStr">
        <is>
          <t>b12-0093</t>
        </is>
      </c>
      <c r="B1433" s="11" t="inlineStr">
        <is>
          <t>Span</t>
        </is>
      </c>
      <c r="C1433" s="7" t="inlineStr">
        <is>
          <t>school</t>
        </is>
      </c>
      <c r="D1433" s="7" t="inlineStr">
        <is>
          <t>March 9, 1959–</t>
        </is>
      </c>
      <c r="E1433" s="7" t="n"/>
      <c r="F1433" s="7" t="inlineStr">
        <is>
          <t>1959 CE</t>
        </is>
      </c>
      <c r="G1433" s="7" t="inlineStr">
        <is>
          <t>Exact</t>
        </is>
      </c>
      <c r="H1433" s="7" t="n"/>
      <c r="I1433" s="7" t="inlineStr">
        <is>
          <t>Ongoing</t>
        </is>
      </c>
      <c r="J1433" s="7" t="n"/>
      <c r="K1433" s="2" t="inlineStr">
        <is>
          <t>Kingdom Ministry School</t>
        </is>
      </c>
      <c r="L1433" s="2" t="n"/>
      <c r="M1433" s="7" t="inlineStr">
        <is>
          <t>The Kingdom Ministry School opened at South Lansing, New York, for traveling overseers and congregation servants; elders and, since 1984, ministerial servants still attend its sessions periodically.</t>
        </is>
      </c>
      <c r="N1433" s="7" t="inlineStr">
        <is>
          <t>இந்தப் பள்ளியின் முதல் வகுப்பு, நியு யார்க்கிலுள்ள சவுத் லான்சிங்கில் மார்ச் 9, 1959-ல் ஆரம்பமானது.</t>
        </is>
      </c>
      <c r="O1433" s="13" t="inlineStr">
        <is>
          <t>Jehovah's Witnesses</t>
        </is>
      </c>
      <c r="P1433" s="7" t="inlineStr">
        <is>
          <t>jw.education</t>
        </is>
      </c>
      <c r="Q1433" s="7" t="n"/>
      <c r="R1433" s="7" t="n"/>
      <c r="S1433" s="7" t="inlineStr">
        <is>
          <t>South Lansing, New York</t>
        </is>
      </c>
      <c r="T1433" s="7" t="n"/>
      <c r="U1433" s="7" t="n"/>
      <c r="V1433" s="7" t="n">
        <v>2</v>
      </c>
      <c r="W1433" s="7" t="inlineStr">
        <is>
          <t>Training Ministers of the Kingdom</t>
        </is>
      </c>
      <c r="X1433" s="9" t="inlineStr">
        <is>
          <t>open</t>
        </is>
      </c>
      <c r="Y1433" s="9" t="inlineStr">
        <is>
          <t>open</t>
        </is>
      </c>
      <c r="Z1433" s="7" t="inlineStr">
        <is>
          <t>https://wol.jw.org/en/wol/d/r1/lp-e/1102014256
https://wol.jw.org/en/wol/d/r1/lp-e/1102014256</t>
        </is>
      </c>
      <c r="AA1433" s="7" t="n">
        <v>0</v>
      </c>
      <c r="AB1433" s="7" t="n"/>
      <c r="AC1433" s="7" t="n">
        <v>0</v>
      </c>
      <c r="AD1433" s="7" t="n"/>
      <c r="AE1433" s="7" t="n"/>
      <c r="AF1433" s="7" t="inlineStr">
        <is>
          <t>b9-0055</t>
        </is>
      </c>
      <c r="AG1433" s="7" t="n"/>
      <c r="AH1433" s="7" t="n"/>
      <c r="AI1433" s="7" t="n"/>
      <c r="AJ1433" s="7" t="n"/>
      <c r="AK1433" s="7" t="n"/>
      <c r="AL1433" s="7" t="n"/>
      <c r="AM1433" s="7" t="n">
        <v>1959.1882</v>
      </c>
      <c r="AN1433" s="10" t="n"/>
      <c r="AO1433" s="10" t="n"/>
      <c r="AP1433" s="10" t="n"/>
      <c r="AQ1433" s="10" t="n"/>
    </row>
    <row r="1434">
      <c r="A1434" s="7" t="inlineStr">
        <is>
          <t>b9-0056</t>
        </is>
      </c>
      <c r="B1434" s="7" t="inlineStr">
        <is>
          <t>Point</t>
        </is>
      </c>
      <c r="C1434" s="7" t="n"/>
      <c r="D1434" s="7" t="inlineStr">
        <is>
          <t>1960</t>
        </is>
      </c>
      <c r="E1434" s="7" t="n"/>
      <c r="F1434" s="7" t="inlineStr">
        <is>
          <t>1960 CE</t>
        </is>
      </c>
      <c r="G1434" s="7" t="inlineStr">
        <is>
          <t>Exact</t>
        </is>
      </c>
      <c r="H1434" s="7" t="n"/>
      <c r="I1434" s="7" t="n"/>
      <c r="J1434" s="7" t="n"/>
      <c r="K1434" s="2" t="inlineStr">
        <is>
          <t>1960: Peace-Pursuing District Assemblies</t>
        </is>
      </c>
      <c r="L1434" s="2" t="n"/>
      <c r="M1434" s="7" t="inlineStr">
        <is>
          <t>The Watch Tower Publications Index lists the 1960 conventions of Jehovah’s Witnesses as Peace-Pursuing District Assemblies.</t>
        </is>
      </c>
      <c r="N1434" s="7" t="n"/>
      <c r="O1434" s="13" t="inlineStr">
        <is>
          <t>Jehovah's Witnesses</t>
        </is>
      </c>
      <c r="P1434" s="7" t="inlineStr">
        <is>
          <t>jw.convention</t>
        </is>
      </c>
      <c r="Q1434" s="7" t="inlineStr">
        <is>
          <t>convention</t>
        </is>
      </c>
      <c r="R1434" s="7" t="n"/>
      <c r="S1434" s="7" t="n"/>
      <c r="T1434" s="7" t="n"/>
      <c r="U1434" s="7" t="n"/>
      <c r="V1434" s="7" t="n">
        <v>1</v>
      </c>
      <c r="W1434" s="7" t="inlineStr">
        <is>
          <t>Conventions</t>
        </is>
      </c>
      <c r="X1434" s="9" t="inlineStr">
        <is>
          <t>open</t>
        </is>
      </c>
      <c r="Y1434" s="7" t="n"/>
      <c r="Z1434" s="7" t="inlineStr">
        <is>
          <t>https://wol.jw.org/en/wol/d/r1/lp-e/1200271388</t>
        </is>
      </c>
      <c r="AA1434" s="7" t="n">
        <v>0</v>
      </c>
      <c r="AB1434" s="7" t="n"/>
      <c r="AC1434" s="7" t="n">
        <v>0</v>
      </c>
      <c r="AD1434" s="7" t="n"/>
      <c r="AE1434" s="7" t="n"/>
      <c r="AF1434" s="7" t="n"/>
      <c r="AG1434" s="7" t="n"/>
      <c r="AH1434" s="7" t="n"/>
      <c r="AI1434" s="7" t="inlineStr">
        <is>
          <t>Index list entry – app detail</t>
        </is>
      </c>
      <c r="AJ1434" s="7" t="n"/>
      <c r="AK1434" s="7" t="n"/>
      <c r="AL1434" s="7" t="n"/>
      <c r="AM1434" s="7" t="n">
        <v>1960</v>
      </c>
      <c r="AN1434" s="10" t="n"/>
      <c r="AO1434" s="10" t="n"/>
      <c r="AP1434" s="10" t="n"/>
      <c r="AQ1434" s="10" t="n"/>
    </row>
    <row r="1435">
      <c r="A1435" s="7" t="inlineStr">
        <is>
          <t>b9-0057</t>
        </is>
      </c>
      <c r="B1435" s="7" t="inlineStr">
        <is>
          <t>Point</t>
        </is>
      </c>
      <c r="C1435" s="7" t="n"/>
      <c r="D1435" s="7" t="inlineStr">
        <is>
          <t>1960, March 13</t>
        </is>
      </c>
      <c r="E1435" s="7" t="inlineStr">
        <is>
          <t>மார்ச் 13, 1960</t>
        </is>
      </c>
      <c r="F1435" s="7" t="inlineStr">
        <is>
          <t>1960 CE</t>
        </is>
      </c>
      <c r="G1435" s="7" t="inlineStr">
        <is>
          <t>Exact</t>
        </is>
      </c>
      <c r="H1435" s="7" t="n"/>
      <c r="I1435" s="7" t="n"/>
      <c r="J1435" s="7" t="n"/>
      <c r="K1435" s="2" t="inlineStr">
        <is>
          <t>Final text of New World Translation completed</t>
        </is>
      </c>
      <c r="L1435" s="2" t="inlineStr">
        <is>
          <t>கடைசியில், மார்ச் 13, 1960, ஞாயிற்றுக்கிழமை அன்று அந்த வேலை முடிந்தது.</t>
        </is>
      </c>
      <c r="M1435" s="7" t="inlineStr">
        <is>
          <t>On Sunday, March 13, 1960, the translators completed the final text of the New World Translation.</t>
        </is>
      </c>
      <c r="N1435" s="7" t="inlineStr">
        <is>
          <t>கடைசியில், மார்ச் 13, 1960, ஞாயிற்றுக்கிழமை அன்று அந்த வேலை முடிந்தது.</t>
        </is>
      </c>
      <c r="O1435" s="12" t="inlineStr">
        <is>
          <t>Bible &amp; church history</t>
        </is>
      </c>
      <c r="P1435" s="7" t="inlineStr">
        <is>
          <t>history.bible_translation</t>
        </is>
      </c>
      <c r="Q1435" s="7" t="n"/>
      <c r="R1435" s="7" t="n"/>
      <c r="S1435" s="7" t="n"/>
      <c r="T1435" s="7" t="n"/>
      <c r="U1435" s="7" t="n"/>
      <c r="V1435" s="7" t="n">
        <v>1</v>
      </c>
      <c r="W1435" s="7" t="inlineStr">
        <is>
          <t>Jehovah Exalts His Name</t>
        </is>
      </c>
      <c r="X1435" s="9" t="inlineStr">
        <is>
          <t>open</t>
        </is>
      </c>
      <c r="Y1435" s="9" t="inlineStr">
        <is>
          <t>open</t>
        </is>
      </c>
      <c r="Z1435" s="7" t="inlineStr">
        <is>
          <t>https://wol.jw.org/en/wol/d/r1/lp-e/1102014243</t>
        </is>
      </c>
      <c r="AA1435" s="7" t="n">
        <v>0</v>
      </c>
      <c r="AB1435" s="7" t="n"/>
      <c r="AC1435" s="7" t="n">
        <v>0</v>
      </c>
      <c r="AD1435" s="7" t="n"/>
      <c r="AE1435" s="7" t="n"/>
      <c r="AF1435" s="7" t="n"/>
      <c r="AG1435" s="7" t="n"/>
      <c r="AH1435" s="7" t="n"/>
      <c r="AI1435" s="7" t="inlineStr">
        <is>
          <t>Span endpoint – keep</t>
        </is>
      </c>
      <c r="AJ1435" s="7" t="inlineStr">
        <is>
          <t>end of Translation of the New World Translation by the committee (b12-0091)</t>
        </is>
      </c>
      <c r="AK1435" s="7" t="n"/>
      <c r="AL1435" s="7" t="n"/>
      <c r="AM1435" s="7" t="n">
        <v>1960.1989</v>
      </c>
      <c r="AN1435" s="10" t="n"/>
      <c r="AO1435" s="10" t="n"/>
      <c r="AP1435" s="10" t="n"/>
      <c r="AQ1435" s="10" t="n"/>
    </row>
    <row r="1436">
      <c r="A1436" s="7" t="inlineStr">
        <is>
          <t>b9-0058</t>
        </is>
      </c>
      <c r="B1436" s="7" t="inlineStr">
        <is>
          <t>Point</t>
        </is>
      </c>
      <c r="C1436" s="7" t="n"/>
      <c r="D1436" s="7" t="inlineStr">
        <is>
          <t>1960, June 18</t>
        </is>
      </c>
      <c r="E1436" s="7" t="inlineStr">
        <is>
          <t>ஜூன் 18, 1960</t>
        </is>
      </c>
      <c r="F1436" s="7" t="inlineStr">
        <is>
          <t>1960 CE</t>
        </is>
      </c>
      <c r="G1436" s="7" t="inlineStr">
        <is>
          <t>Exact</t>
        </is>
      </c>
      <c r="H1436" s="7" t="n"/>
      <c r="I1436" s="7" t="n"/>
      <c r="J1436" s="7" t="n"/>
      <c r="K1436" s="2" t="inlineStr">
        <is>
          <t>Final volume of NWT released at Manchester, England</t>
        </is>
      </c>
      <c r="L1436" s="2" t="inlineStr">
        <is>
          <t>மூன்று மாதங்களுக்குப் பிறகு, ஜூன் 18, 1960-ல் இங்கிலாந்திலுள்ள மான்செஸ்டரில் நடந்த ஒரு மாநாட்டில், சகோதரர் நேதன் நார், பரிசுத்த…</t>
        </is>
      </c>
      <c r="M1436" s="7" t="inlineStr">
        <is>
          <t>On June 18, 1960, Nathan Knorr released the final volume of the New World Translation of the Holy Scriptures at a convention in Manchester, England.</t>
        </is>
      </c>
      <c r="N1436" s="7" t="inlineStr">
        <is>
          <t>மூன்று மாதங்களுக்குப் பிறகு, ஜூன் 18, 1960-ல் இங்கிலாந்திலுள்ள மான்செஸ்டரில் நடந்த ஒரு மாநாட்டில், சகோதரர் நேதன் நார், பரிசுத்த வேதாகமத்தின் புதிய உலக மொழிபெயர்ப்பு பைபிளை ஆங்கிலத்தில் வெளியிட்டார்.</t>
        </is>
      </c>
      <c r="O1436" s="12" t="inlineStr">
        <is>
          <t>Bible &amp; church history</t>
        </is>
      </c>
      <c r="P1436" s="7" t="inlineStr">
        <is>
          <t>history.bible_translation</t>
        </is>
      </c>
      <c r="Q1436" s="7" t="inlineStr">
        <is>
          <t>release</t>
        </is>
      </c>
      <c r="R1436" s="7" t="inlineStr">
        <is>
          <t>Nathan H. Knorr</t>
        </is>
      </c>
      <c r="S1436" s="7" t="inlineStr">
        <is>
          <t>Manchester, England</t>
        </is>
      </c>
      <c r="T1436" s="7" t="n"/>
      <c r="U1436" s="7" t="n"/>
      <c r="V1436" s="7" t="n">
        <v>1</v>
      </c>
      <c r="W1436" s="7" t="inlineStr">
        <is>
          <t>Jehovah Exalts His Name</t>
        </is>
      </c>
      <c r="X1436" s="9" t="inlineStr">
        <is>
          <t>open</t>
        </is>
      </c>
      <c r="Y1436" s="9" t="inlineStr">
        <is>
          <t>open</t>
        </is>
      </c>
      <c r="Z1436" s="7" t="inlineStr">
        <is>
          <t>https://wol.jw.org/en/wol/d/r1/lp-e/1102014243</t>
        </is>
      </c>
      <c r="AA1436" s="7" t="n">
        <v>0</v>
      </c>
      <c r="AB1436" s="7" t="n"/>
      <c r="AC1436" s="7" t="n">
        <v>0</v>
      </c>
      <c r="AD1436" s="7" t="n"/>
      <c r="AE1436" s="7" t="n"/>
      <c r="AF1436" s="7" t="n"/>
      <c r="AG1436" s="7" t="n"/>
      <c r="AH1436" s="7" t="n"/>
      <c r="AI1436" s="7" t="inlineStr">
        <is>
          <t>Span endpoint – keep</t>
        </is>
      </c>
      <c r="AJ1436" s="7" t="inlineStr">
        <is>
          <t>end of Release of the New World Translation in volumes (b12-0092)</t>
        </is>
      </c>
      <c r="AK1436" s="7" t="n"/>
      <c r="AL1436" s="7" t="n"/>
      <c r="AM1436" s="7" t="n">
        <v>1960.4624</v>
      </c>
      <c r="AN1436" s="10" t="n"/>
      <c r="AO1436" s="10" t="n"/>
      <c r="AP1436" s="10" t="n"/>
      <c r="AQ1436" s="10" t="n"/>
    </row>
    <row r="1437">
      <c r="A1437" s="7" t="inlineStr">
        <is>
          <t>b9-0059</t>
        </is>
      </c>
      <c r="B1437" s="7" t="inlineStr">
        <is>
          <t>Point</t>
        </is>
      </c>
      <c r="C1437" s="7" t="n"/>
      <c r="D1437" s="7" t="inlineStr">
        <is>
          <t>1961</t>
        </is>
      </c>
      <c r="E1437" s="7" t="n"/>
      <c r="F1437" s="7" t="inlineStr">
        <is>
          <t>1961 CE</t>
        </is>
      </c>
      <c r="G1437" s="7" t="inlineStr">
        <is>
          <t>Exact</t>
        </is>
      </c>
      <c r="H1437" s="7" t="n"/>
      <c r="I1437" s="7" t="n"/>
      <c r="J1437" s="7" t="n"/>
      <c r="K1437" s="2" t="inlineStr">
        <is>
          <t>Branch overseers attend ten-month training course in Brooklyn</t>
        </is>
      </c>
      <c r="L1437" s="2" t="n"/>
      <c r="M1437" s="7" t="inlineStr">
        <is>
          <t>In 1961 the first group of branch overseers attended a special ten-month course in Brooklyn, New York, to further unify the worldwide work.</t>
        </is>
      </c>
      <c r="N1437" s="7" t="n"/>
      <c r="O1437" s="13" t="inlineStr">
        <is>
          <t>Jehovah's Witnesses</t>
        </is>
      </c>
      <c r="P1437" s="7" t="inlineStr">
        <is>
          <t>jw.education</t>
        </is>
      </c>
      <c r="Q1437" s="7" t="n"/>
      <c r="R1437" s="7" t="n"/>
      <c r="S1437" s="7" t="inlineStr">
        <is>
          <t>Brooklyn, New York</t>
        </is>
      </c>
      <c r="T1437" s="7" t="n"/>
      <c r="U1437" s="7" t="n"/>
      <c r="V1437" s="7" t="n">
        <v>1</v>
      </c>
      <c r="W1437" s="7" t="inlineStr">
        <is>
          <t>Noteworthy Events in the Modern-day History of Jehovah’s Witnesses</t>
        </is>
      </c>
      <c r="X1437" s="9" t="inlineStr">
        <is>
          <t>open</t>
        </is>
      </c>
      <c r="Y1437" s="7" t="n"/>
      <c r="Z1437" s="7" t="inlineStr">
        <is>
          <t>https://wol.jw.org/en/wol/d/r1/lp-e/1101993046</t>
        </is>
      </c>
      <c r="AA1437" s="7" t="n">
        <v>0</v>
      </c>
      <c r="AB1437" s="7" t="n"/>
      <c r="AC1437" s="7" t="n">
        <v>0</v>
      </c>
      <c r="AD1437" s="7" t="n"/>
      <c r="AE1437" s="7" t="n"/>
      <c r="AF1437" s="7" t="n"/>
      <c r="AG1437" s="7" t="n"/>
      <c r="AH1437" s="7" t="n"/>
      <c r="AI1437" s="7" t="n"/>
      <c r="AJ1437" s="7" t="n"/>
      <c r="AK1437" s="7" t="n"/>
      <c r="AL1437" s="7" t="n"/>
      <c r="AM1437" s="7" t="n">
        <v>1961</v>
      </c>
      <c r="AN1437" s="10" t="n"/>
      <c r="AO1437" s="10" t="n"/>
      <c r="AP1437" s="10" t="n"/>
      <c r="AQ1437" s="10" t="n"/>
    </row>
    <row r="1438">
      <c r="A1438" s="7" t="inlineStr">
        <is>
          <t>b9-0060</t>
        </is>
      </c>
      <c r="B1438" s="7" t="inlineStr">
        <is>
          <t>Point</t>
        </is>
      </c>
      <c r="C1438" s="7" t="n"/>
      <c r="D1438" s="7" t="inlineStr">
        <is>
          <t>1961</t>
        </is>
      </c>
      <c r="E1438" s="7" t="n"/>
      <c r="F1438" s="7" t="inlineStr">
        <is>
          <t>1961 CE</t>
        </is>
      </c>
      <c r="G1438" s="7" t="inlineStr">
        <is>
          <t>Exact</t>
        </is>
      </c>
      <c r="H1438" s="7" t="n"/>
      <c r="I1438" s="7" t="n"/>
      <c r="J1438" s="7" t="n"/>
      <c r="K1438" s="2" t="inlineStr">
        <is>
          <t>Understanding clarified: sanctity of blood</t>
        </is>
      </c>
      <c r="L1438" s="2" t="n"/>
      <c r="M1438" s="7" t="inlineStr">
        <is>
          <t>The Watch Tower Publications Index (“Beliefs Clarified,” list by year) records a clarified understanding in 1961 concerning sanctity of blood. Index references: jv 183-184.</t>
        </is>
      </c>
      <c r="N1438" s="7" t="n"/>
      <c r="O1438" s="13" t="inlineStr">
        <is>
          <t>Jehovah's Witnesses</t>
        </is>
      </c>
      <c r="P1438" s="7" t="inlineStr">
        <is>
          <t>jw.doctrine</t>
        </is>
      </c>
      <c r="Q1438" s="7" t="inlineStr">
        <is>
          <t>beliefs_clarified</t>
        </is>
      </c>
      <c r="R1438" s="7" t="n"/>
      <c r="S1438" s="7" t="n"/>
      <c r="T1438" s="7" t="n"/>
      <c r="U1438" s="7" t="n"/>
      <c r="V1438" s="7" t="n">
        <v>1</v>
      </c>
      <c r="W1438" s="7" t="inlineStr">
        <is>
          <t>Beliefs Clarified</t>
        </is>
      </c>
      <c r="X1438" s="9" t="inlineStr">
        <is>
          <t>open</t>
        </is>
      </c>
      <c r="Y1438" s="7" t="n"/>
      <c r="Z1438" s="7" t="inlineStr">
        <is>
          <t>https://wol.jw.org/en/wol/d/r1/lp-e/1200277174</t>
        </is>
      </c>
      <c r="AA1438" s="7" t="n">
        <v>0</v>
      </c>
      <c r="AB1438" s="7" t="n"/>
      <c r="AC1438" s="7" t="n">
        <v>0</v>
      </c>
      <c r="AD1438" s="7" t="n"/>
      <c r="AE1438" s="7" t="n"/>
      <c r="AF1438" s="7" t="n"/>
      <c r="AG1438" s="7" t="n"/>
      <c r="AH1438" s="7" t="n"/>
      <c r="AI1438" s="7" t="inlineStr">
        <is>
          <t>Index list entry – app detail</t>
        </is>
      </c>
      <c r="AJ1438" s="7" t="n"/>
      <c r="AK1438" s="7" t="n"/>
      <c r="AL1438" s="7" t="n"/>
      <c r="AM1438" s="7" t="n">
        <v>1961</v>
      </c>
      <c r="AN1438" s="10" t="n"/>
      <c r="AO1438" s="10" t="n"/>
      <c r="AP1438" s="10" t="n"/>
      <c r="AQ1438" s="10" t="n"/>
    </row>
    <row r="1439">
      <c r="A1439" s="7" t="inlineStr">
        <is>
          <t>b9-0061</t>
        </is>
      </c>
      <c r="B1439" s="7" t="inlineStr">
        <is>
          <t>Point</t>
        </is>
      </c>
      <c r="C1439" s="7" t="n"/>
      <c r="D1439" s="7" t="inlineStr">
        <is>
          <t>1961</t>
        </is>
      </c>
      <c r="E1439" s="7" t="inlineStr">
        <is>
          <t>1961</t>
        </is>
      </c>
      <c r="F1439" s="7" t="inlineStr">
        <is>
          <t>1961 CE</t>
        </is>
      </c>
      <c r="G1439" s="7" t="inlineStr">
        <is>
          <t>Exact</t>
        </is>
      </c>
      <c r="H1439" s="7" t="n"/>
      <c r="I1439" s="7" t="n"/>
      <c r="J1439" s="7" t="n"/>
      <c r="K1439" s="2" t="inlineStr">
        <is>
          <t>Complete New World Translation released in one volume</t>
        </is>
      </c>
      <c r="L1439" s="2" t="inlineStr">
        <is>
          <t>1961-ல் பரிசுத்த வேதாகமத்தின் புதிய உலக மொழிபெயர்ப்பு பைபிள் ஒரே தொகுப்பாக ஆங்கிலத்தில் வெளியிடப்பட்டது (2016-ல் தமிழில் வெளியிடப்பட்டது).</t>
        </is>
      </c>
      <c r="M1439" s="7" t="inlineStr">
        <is>
          <t>The complete New World Translation of the Holy Scriptures was released in English in one volume in 1961, at the United Worshipers Assembly.</t>
        </is>
      </c>
      <c r="N1439" s="7" t="inlineStr">
        <is>
          <t>1961-ல் பரிசுத்த வேதாகமத்தின் புதிய உலக மொழிபெயர்ப்பு பைபிள் ஒரே தொகுப்பாக ஆங்கிலத்தில் வெளியிடப்பட்டது (2016-ல் தமிழில் வெளியிடப்பட்டது).</t>
        </is>
      </c>
      <c r="O1439" s="12" t="inlineStr">
        <is>
          <t>Bible &amp; church history</t>
        </is>
      </c>
      <c r="P1439" s="7" t="inlineStr">
        <is>
          <t>history.bible_translation</t>
        </is>
      </c>
      <c r="Q1439" s="7" t="inlineStr">
        <is>
          <t>release</t>
        </is>
      </c>
      <c r="R1439" s="7" t="n"/>
      <c r="S1439" s="7" t="n"/>
      <c r="T1439" s="7" t="n"/>
      <c r="U1439" s="7" t="n"/>
      <c r="V1439" s="7" t="n">
        <v>4</v>
      </c>
      <c r="W1439" s="7" t="inlineStr">
        <is>
          <t>Noteworthy Events in the Modern-day History of Jehovah’s Witnesses</t>
        </is>
      </c>
      <c r="X1439" s="9" t="inlineStr">
        <is>
          <t>open</t>
        </is>
      </c>
      <c r="Y1439" s="7" t="n"/>
      <c r="Z1439" s="7" t="inlineStr">
        <is>
          <t>https://wol.jw.org/en/wol/d/r1/lp-e/1101993046
https://wol.jw.org/en/wol/d/r1/lp-e/1102014247
https://wol.jw.org/en/wol/d/r1/lp-e/1102014255
https://wol.jw.org/en/wol/d/r1/lp-e/1200271388</t>
        </is>
      </c>
      <c r="AA1439" s="7" t="n">
        <v>0</v>
      </c>
      <c r="AB1439" s="7" t="n"/>
      <c r="AC1439" s="7" t="n">
        <v>0</v>
      </c>
      <c r="AD1439" s="7" t="n"/>
      <c r="AE1439" s="7" t="n"/>
      <c r="AF1439" s="7" t="n"/>
      <c r="AG1439" s="7" t="n"/>
      <c r="AH1439" s="7" t="n"/>
      <c r="AI1439" s="7" t="n"/>
      <c r="AJ1439" s="7" t="n"/>
      <c r="AK1439" s="7" t="inlineStr">
        <is>
          <t>how-the-bible-came-to-us #56 (step)</t>
        </is>
      </c>
      <c r="AL1439" s="7" t="n"/>
      <c r="AM1439" s="7" t="n">
        <v>1961</v>
      </c>
      <c r="AN1439" s="10" t="n"/>
      <c r="AO1439" s="10" t="n"/>
      <c r="AP1439" s="10" t="n"/>
      <c r="AQ1439" s="10" t="n"/>
    </row>
    <row r="1440">
      <c r="A1440" s="7" t="inlineStr">
        <is>
          <t>b9-0062</t>
        </is>
      </c>
      <c r="B1440" s="7" t="inlineStr">
        <is>
          <t>Point</t>
        </is>
      </c>
      <c r="C1440" s="7" t="n"/>
      <c r="D1440" s="7" t="inlineStr">
        <is>
          <t>1961</t>
        </is>
      </c>
      <c r="E1440" s="7" t="inlineStr">
        <is>
          <t>1961</t>
        </is>
      </c>
      <c r="F1440" s="7" t="inlineStr">
        <is>
          <t>1961 CE</t>
        </is>
      </c>
      <c r="G1440" s="7" t="inlineStr">
        <is>
          <t>Exact</t>
        </is>
      </c>
      <c r="H1440" s="7" t="n"/>
      <c r="I1440" s="7" t="n"/>
      <c r="J1440" s="7" t="n"/>
      <c r="K1440" s="2" t="inlineStr">
        <is>
          <t>Weekly radio program begins in Suriname</t>
        </is>
      </c>
      <c r="L1440" s="2" t="inlineStr">
        <is>
          <t>1961 முதற்கொண்டு 30 வருஷங்களுக்கும் மேலாக, தென் அமெரிக்காவைச் சேர்ந்த சூரினாம் என்ற இடத்திலுள்ள தேசிய வானொலி நிலையத்திலிருந்து ஒவ்வொரு…</t>
        </is>
      </c>
      <c r="M1440" s="7" t="inlineStr">
        <is>
          <t>Starting in 1961 and for more than three decades, a national radio station in Suriname broadcast a weekly 15-minute program of Bible truths.</t>
        </is>
      </c>
      <c r="N1440" s="7" t="inlineStr">
        <is>
          <t>1961 முதற்கொண்டு 30 வருஷங்களுக்கும் மேலாக, தென் அமெரிக்காவைச் சேர்ந்த சூரினாம் என்ற இடத்திலுள்ள தேசிய வானொலி நிலையத்திலிருந்து ஒவ்வொரு வாரமும் 15 நிமிஷங்களுக்கு பைபிள் சத்தியங்கள் ஒலிபரப்பப்பட்டன.</t>
        </is>
      </c>
      <c r="O1440" s="13" t="inlineStr">
        <is>
          <t>Jehovah's Witnesses</t>
        </is>
      </c>
      <c r="P1440" s="7" t="inlineStr">
        <is>
          <t>jw.preaching</t>
        </is>
      </c>
      <c r="Q1440" s="7" t="n"/>
      <c r="R1440" s="7" t="n"/>
      <c r="S1440" s="7" t="inlineStr">
        <is>
          <t>Suriname</t>
        </is>
      </c>
      <c r="T1440" s="7" t="n"/>
      <c r="U1440" s="7" t="n"/>
      <c r="V1440" s="7" t="n">
        <v>1</v>
      </c>
      <c r="W1440" s="7" t="inlineStr">
        <is>
          <t>Methods of Preaching</t>
        </is>
      </c>
      <c r="X1440" s="9" t="inlineStr">
        <is>
          <t>open</t>
        </is>
      </c>
      <c r="Y1440" s="9" t="inlineStr">
        <is>
          <t>open</t>
        </is>
      </c>
      <c r="Z1440" s="7" t="inlineStr">
        <is>
          <t>https://wol.jw.org/en/wol/d/r1/lp-e/1102014246</t>
        </is>
      </c>
      <c r="AA1440" s="7" t="n">
        <v>0</v>
      </c>
      <c r="AB1440" s="7" t="n"/>
      <c r="AC1440" s="7" t="n">
        <v>0</v>
      </c>
      <c r="AD1440" s="7" t="n"/>
      <c r="AE1440" s="7" t="n"/>
      <c r="AF1440" s="7" t="n"/>
      <c r="AG1440" s="7" t="n"/>
      <c r="AH1440" s="7" t="n"/>
      <c r="AI1440" s="7" t="n"/>
      <c r="AJ1440" s="7" t="n"/>
      <c r="AK1440" s="7" t="n"/>
      <c r="AL1440" s="7" t="n"/>
      <c r="AM1440" s="7" t="n">
        <v>1961</v>
      </c>
      <c r="AN1440" s="10" t="n"/>
      <c r="AO1440" s="10" t="n"/>
      <c r="AP1440" s="10" t="n"/>
      <c r="AQ1440" s="10" t="n"/>
    </row>
    <row r="1441">
      <c r="A1441" s="7" t="inlineStr">
        <is>
          <t>b9-0063</t>
        </is>
      </c>
      <c r="B1441" s="7" t="inlineStr">
        <is>
          <t>Point</t>
        </is>
      </c>
      <c r="C1441" s="7" t="n"/>
      <c r="D1441" s="7" t="inlineStr">
        <is>
          <t>1962</t>
        </is>
      </c>
      <c r="E1441" s="7" t="n"/>
      <c r="F1441" s="7" t="inlineStr">
        <is>
          <t>1962 CE</t>
        </is>
      </c>
      <c r="G1441" s="7" t="inlineStr">
        <is>
          <t>Exact</t>
        </is>
      </c>
      <c r="H1441" s="7" t="n"/>
      <c r="I1441" s="7" t="n"/>
      <c r="J1441" s="7" t="n"/>
      <c r="K1441" s="2" t="inlineStr">
        <is>
          <t>1962: Courageous Ministers District Assemblies</t>
        </is>
      </c>
      <c r="L1441" s="2" t="n"/>
      <c r="M1441" s="7" t="inlineStr">
        <is>
          <t>The Watch Tower Publications Index lists the 1962 conventions of Jehovah’s Witnesses as Courageous Ministers District Assemblies.</t>
        </is>
      </c>
      <c r="N1441" s="7" t="n"/>
      <c r="O1441" s="13" t="inlineStr">
        <is>
          <t>Jehovah's Witnesses</t>
        </is>
      </c>
      <c r="P1441" s="7" t="inlineStr">
        <is>
          <t>jw.convention</t>
        </is>
      </c>
      <c r="Q1441" s="7" t="inlineStr">
        <is>
          <t>convention</t>
        </is>
      </c>
      <c r="R1441" s="7" t="n"/>
      <c r="S1441" s="7" t="n"/>
      <c r="T1441" s="7" t="n"/>
      <c r="U1441" s="7" t="n"/>
      <c r="V1441" s="7" t="n">
        <v>1</v>
      </c>
      <c r="W1441" s="7" t="inlineStr">
        <is>
          <t>Conventions</t>
        </is>
      </c>
      <c r="X1441" s="9" t="inlineStr">
        <is>
          <t>open</t>
        </is>
      </c>
      <c r="Y1441" s="7" t="n"/>
      <c r="Z1441" s="7" t="inlineStr">
        <is>
          <t>https://wol.jw.org/en/wol/d/r1/lp-e/1200271388</t>
        </is>
      </c>
      <c r="AA1441" s="7" t="n">
        <v>0</v>
      </c>
      <c r="AB1441" s="7" t="n"/>
      <c r="AC1441" s="7" t="n">
        <v>0</v>
      </c>
      <c r="AD1441" s="7" t="n"/>
      <c r="AE1441" s="7" t="n"/>
      <c r="AF1441" s="7" t="n"/>
      <c r="AG1441" s="7" t="n"/>
      <c r="AH1441" s="7" t="n"/>
      <c r="AI1441" s="7" t="inlineStr">
        <is>
          <t>Index list entry – app detail</t>
        </is>
      </c>
      <c r="AJ1441" s="7" t="n"/>
      <c r="AK1441" s="7" t="n"/>
      <c r="AL1441" s="7" t="n"/>
      <c r="AM1441" s="7" t="n">
        <v>1962</v>
      </c>
      <c r="AN1441" s="10" t="n"/>
      <c r="AO1441" s="10" t="n"/>
      <c r="AP1441" s="10" t="n"/>
      <c r="AQ1441" s="10" t="n"/>
    </row>
    <row r="1442">
      <c r="A1442" s="7" t="inlineStr">
        <is>
          <t>b9-0064</t>
        </is>
      </c>
      <c r="B1442" s="7" t="inlineStr">
        <is>
          <t>Point</t>
        </is>
      </c>
      <c r="C1442" s="7" t="n"/>
      <c r="D1442" s="7" t="inlineStr">
        <is>
          <t>1962</t>
        </is>
      </c>
      <c r="E1442" s="7" t="inlineStr">
        <is>
          <t>1962</t>
        </is>
      </c>
      <c r="F1442" s="7" t="inlineStr">
        <is>
          <t>1962 CE</t>
        </is>
      </c>
      <c r="G1442" s="7" t="inlineStr">
        <is>
          <t>Exact</t>
        </is>
      </c>
      <c r="H1442" s="7" t="n"/>
      <c r="I1442" s="7" t="n"/>
      <c r="J1442" s="7" t="n"/>
      <c r="K1442" s="2" t="inlineStr">
        <is>
          <t>Watchtower clarifies “superior authorities” of Romans 13</t>
        </is>
      </c>
      <c r="L1442" s="2" t="inlineStr">
        <is>
          <t>1962-ல் ரோமர் 13:1-7-ஐச் சரியாகப் புரிந்துகொள்ள கடவுளுடைய சக்தி கிறிஸ்துவைப் பின்பற்றுகிறவர்களுக்கு உதவியது.</t>
        </is>
      </c>
      <c r="M1442" s="7" t="inlineStr">
        <is>
          <t>In 1962, landmark articles on Romans 13:1-7 in the November 15 and December 1 issues of The Watchtower explained the principle of relative subjection to governments.</t>
        </is>
      </c>
      <c r="N1442" s="7" t="inlineStr">
        <is>
          <t>1962-ல் ரோமர் 13:1-7-ஐச் சரியாகப் புரிந்துகொள்ள கடவுளுடைய சக்தி கிறிஸ்துவைப் பின்பற்றுகிறவர்களுக்கு உதவியது.</t>
        </is>
      </c>
      <c r="O1442" s="13" t="inlineStr">
        <is>
          <t>Jehovah's Witnesses</t>
        </is>
      </c>
      <c r="P1442" s="7" t="inlineStr">
        <is>
          <t>jw.doctrine</t>
        </is>
      </c>
      <c r="Q1442" s="7" t="n"/>
      <c r="R1442" s="7" t="n"/>
      <c r="S1442" s="7" t="n"/>
      <c r="T1442" s="7" t="n"/>
      <c r="U1442" s="7" t="n"/>
      <c r="V1442" s="7" t="n">
        <v>2</v>
      </c>
      <c r="W1442" s="7" t="inlineStr">
        <is>
          <t>The King Shines Light on the Kingdom</t>
        </is>
      </c>
      <c r="X1442" s="9" t="inlineStr">
        <is>
          <t>open</t>
        </is>
      </c>
      <c r="Y1442" s="9" t="inlineStr">
        <is>
          <t>open</t>
        </is>
      </c>
      <c r="Z1442" s="7" t="inlineStr">
        <is>
          <t>https://wol.jw.org/en/wol/d/r1/lp-e/1102014244
https://wol.jw.org/en/wol/d/r1/lp-e/1200277174</t>
        </is>
      </c>
      <c r="AA1442" s="7" t="n">
        <v>0</v>
      </c>
      <c r="AB1442" s="7" t="n"/>
      <c r="AC1442" s="7" t="n">
        <v>0</v>
      </c>
      <c r="AD1442" s="7" t="n"/>
      <c r="AE1442" s="7" t="n"/>
      <c r="AF1442" s="7" t="n"/>
      <c r="AG1442" s="7" t="n"/>
      <c r="AH1442" s="7" t="n"/>
      <c r="AI1442" s="7" t="n"/>
      <c r="AJ1442" s="7" t="n"/>
      <c r="AK1442" s="7" t="n"/>
      <c r="AL1442" s="7" t="n"/>
      <c r="AM1442" s="7" t="n">
        <v>1962</v>
      </c>
      <c r="AN1442" s="10" t="n"/>
      <c r="AO1442" s="10" t="n"/>
      <c r="AP1442" s="10" t="n"/>
      <c r="AQ1442" s="10" t="n"/>
    </row>
    <row r="1443">
      <c r="A1443" s="7" t="inlineStr">
        <is>
          <t>b9-0065</t>
        </is>
      </c>
      <c r="B1443" s="7" t="inlineStr">
        <is>
          <t>Point</t>
        </is>
      </c>
      <c r="C1443" s="7" t="n"/>
      <c r="D1443" s="7" t="inlineStr">
        <is>
          <t>1963</t>
        </is>
      </c>
      <c r="E1443" s="7" t="inlineStr">
        <is>
          <t>1963</t>
        </is>
      </c>
      <c r="F1443" s="7" t="inlineStr">
        <is>
          <t>1963 CE</t>
        </is>
      </c>
      <c r="G1443" s="7" t="inlineStr">
        <is>
          <t>Exact</t>
        </is>
      </c>
      <c r="H1443" s="7" t="n"/>
      <c r="I1443" s="7" t="n"/>
      <c r="J1443" s="7" t="n"/>
      <c r="K1443" s="2" t="inlineStr">
        <is>
          <t>Babylon the Great identified as world empire of false religion</t>
        </is>
      </c>
      <c r="L1443" s="2" t="inlineStr">
        <is>
          <t>என்பது கிறிஸ்தவமண்டலம் உட்பட முழு பொய் மத உலகப் பேரரசைக் குறிக்கிறதென 1963-ல் வெளிவந்த காவற்கோபுரம் தெளிவாகக் காட்டியது.</t>
        </is>
      </c>
      <c r="M1443" s="7" t="inlineStr">
        <is>
          <t>In 1963, The Watchtower showed that “Babylon the Great” represents not only Christendom but the whole world empire of false religion.</t>
        </is>
      </c>
      <c r="N1443" s="7" t="inlineStr">
        <is>
          <t>என்பது கிறிஸ்தவமண்டலம் உட்பட முழு பொய் மத உலகப் பேரரசைக் குறிக்கிறதென 1963-ல் வெளிவந்த காவற்கோபுரம் தெளிவாகக் காட்டியது.</t>
        </is>
      </c>
      <c r="O1443" s="13" t="inlineStr">
        <is>
          <t>Jehovah's Witnesses</t>
        </is>
      </c>
      <c r="P1443" s="7" t="inlineStr">
        <is>
          <t>jw.doctrine</t>
        </is>
      </c>
      <c r="Q1443" s="7" t="n"/>
      <c r="R1443" s="7" t="n"/>
      <c r="S1443" s="7" t="n"/>
      <c r="T1443" s="7" t="n"/>
      <c r="U1443" s="7" t="n"/>
      <c r="V1443" s="7" t="n">
        <v>2</v>
      </c>
      <c r="W1443" s="7" t="inlineStr">
        <is>
          <t>The King Shines Light on the Kingdom</t>
        </is>
      </c>
      <c r="X1443" s="9" t="inlineStr">
        <is>
          <t>open</t>
        </is>
      </c>
      <c r="Y1443" s="9" t="inlineStr">
        <is>
          <t>open</t>
        </is>
      </c>
      <c r="Z1443" s="7" t="inlineStr">
        <is>
          <t>https://wol.jw.org/en/wol/d/r1/lp-e/1102014244
https://wol.jw.org/en/wol/d/r1/lp-e/1200277174</t>
        </is>
      </c>
      <c r="AA1443" s="7" t="n">
        <v>0</v>
      </c>
      <c r="AB1443" s="7" t="n"/>
      <c r="AC1443" s="7" t="n">
        <v>0</v>
      </c>
      <c r="AD1443" s="7" t="n"/>
      <c r="AE1443" s="7" t="n"/>
      <c r="AF1443" s="7" t="n"/>
      <c r="AG1443" s="7" t="n"/>
      <c r="AH1443" s="7" t="n"/>
      <c r="AI1443" s="7" t="n"/>
      <c r="AJ1443" s="7" t="n"/>
      <c r="AK1443" s="7" t="n"/>
      <c r="AL1443" s="7" t="n"/>
      <c r="AM1443" s="7" t="n">
        <v>1963</v>
      </c>
      <c r="AN1443" s="10" t="n"/>
      <c r="AO1443" s="10" t="n"/>
      <c r="AP1443" s="10" t="n"/>
      <c r="AQ1443" s="10" t="n"/>
    </row>
    <row r="1444">
      <c r="A1444" s="7" t="inlineStr">
        <is>
          <t>b9-0066</t>
        </is>
      </c>
      <c r="B1444" s="7" t="inlineStr">
        <is>
          <t>Point</t>
        </is>
      </c>
      <c r="C1444" s="7" t="n"/>
      <c r="D1444" s="7" t="inlineStr">
        <is>
          <t>1963</t>
        </is>
      </c>
      <c r="E1444" s="7" t="n"/>
      <c r="F1444" s="7" t="inlineStr">
        <is>
          <t>1963 CE</t>
        </is>
      </c>
      <c r="G1444" s="7" t="inlineStr">
        <is>
          <t>Exact</t>
        </is>
      </c>
      <c r="H1444" s="7" t="n"/>
      <c r="I1444" s="7" t="n"/>
      <c r="J1444" s="7" t="n"/>
      <c r="K1444" s="2" t="inlineStr">
        <is>
          <t>Understanding clarified: Revelation</t>
        </is>
      </c>
      <c r="L1444" s="2" t="n"/>
      <c r="M1444" s="7" t="inlineStr">
        <is>
          <t>The Watch Tower Publications Index (“Beliefs Clarified,” list by year) records a clarified understanding in 1963 concerning Revelation. Index references: w95 5/15 21; jv 148.</t>
        </is>
      </c>
      <c r="N1444" s="7" t="n"/>
      <c r="O1444" s="13" t="inlineStr">
        <is>
          <t>Jehovah's Witnesses</t>
        </is>
      </c>
      <c r="P1444" s="7" t="inlineStr">
        <is>
          <t>jw.doctrine</t>
        </is>
      </c>
      <c r="Q1444" s="7" t="inlineStr">
        <is>
          <t>beliefs_clarified</t>
        </is>
      </c>
      <c r="R1444" s="7" t="n"/>
      <c r="S1444" s="7" t="n"/>
      <c r="T1444" s="7" t="n"/>
      <c r="U1444" s="7" t="n"/>
      <c r="V1444" s="7" t="n">
        <v>1</v>
      </c>
      <c r="W1444" s="7" t="inlineStr">
        <is>
          <t>Beliefs Clarified</t>
        </is>
      </c>
      <c r="X1444" s="9" t="inlineStr">
        <is>
          <t>open</t>
        </is>
      </c>
      <c r="Y1444" s="7" t="n"/>
      <c r="Z1444" s="7" t="inlineStr">
        <is>
          <t>https://wol.jw.org/en/wol/d/r1/lp-e/1200277174</t>
        </is>
      </c>
      <c r="AA1444" s="7" t="n">
        <v>0</v>
      </c>
      <c r="AB1444" s="7" t="n"/>
      <c r="AC1444" s="7" t="n">
        <v>0</v>
      </c>
      <c r="AD1444" s="7" t="n"/>
      <c r="AE1444" s="7" t="n"/>
      <c r="AF1444" s="7" t="n"/>
      <c r="AG1444" s="7" t="n"/>
      <c r="AH1444" s="7" t="n"/>
      <c r="AI1444" s="7" t="inlineStr">
        <is>
          <t>Index list entry – app detail</t>
        </is>
      </c>
      <c r="AJ1444" s="7" t="n"/>
      <c r="AK1444" s="7" t="n"/>
      <c r="AL1444" s="7" t="n"/>
      <c r="AM1444" s="7" t="n">
        <v>1963</v>
      </c>
      <c r="AN1444" s="10" t="n"/>
      <c r="AO1444" s="10" t="n"/>
      <c r="AP1444" s="10" t="n"/>
      <c r="AQ1444" s="10" t="n"/>
    </row>
    <row r="1445">
      <c r="A1445" s="7" t="inlineStr">
        <is>
          <t>b9-0067</t>
        </is>
      </c>
      <c r="B1445" s="7" t="inlineStr">
        <is>
          <t>Point</t>
        </is>
      </c>
      <c r="C1445" s="7" t="n"/>
      <c r="D1445" s="7" t="inlineStr">
        <is>
          <t>1963</t>
        </is>
      </c>
      <c r="E1445" s="7" t="n"/>
      <c r="F1445" s="7" t="inlineStr">
        <is>
          <t>1963 CE</t>
        </is>
      </c>
      <c r="G1445" s="7" t="inlineStr">
        <is>
          <t>Exact</t>
        </is>
      </c>
      <c r="H1445" s="7" t="n"/>
      <c r="I1445" s="7" t="n"/>
      <c r="J1445" s="7" t="n"/>
      <c r="K1445" s="2" t="inlineStr">
        <is>
          <t>1963: “Everlasting Good News” Assemblies</t>
        </is>
      </c>
      <c r="L1445" s="2" t="n"/>
      <c r="M1445" s="7" t="inlineStr">
        <is>
          <t>The Watch Tower Publications Index lists the 1963 conventions of Jehovah’s Witnesses as “Everlasting Good News” Assemblies.</t>
        </is>
      </c>
      <c r="N1445" s="7" t="n"/>
      <c r="O1445" s="13" t="inlineStr">
        <is>
          <t>Jehovah's Witnesses</t>
        </is>
      </c>
      <c r="P1445" s="7" t="inlineStr">
        <is>
          <t>jw.convention</t>
        </is>
      </c>
      <c r="Q1445" s="7" t="inlineStr">
        <is>
          <t>convention</t>
        </is>
      </c>
      <c r="R1445" s="7" t="n"/>
      <c r="S1445" s="7" t="n"/>
      <c r="T1445" s="7" t="n"/>
      <c r="U1445" s="7" t="n"/>
      <c r="V1445" s="7" t="n">
        <v>1</v>
      </c>
      <c r="W1445" s="7" t="inlineStr">
        <is>
          <t>Conventions</t>
        </is>
      </c>
      <c r="X1445" s="9" t="inlineStr">
        <is>
          <t>open</t>
        </is>
      </c>
      <c r="Y1445" s="7" t="n"/>
      <c r="Z1445" s="7" t="inlineStr">
        <is>
          <t>https://wol.jw.org/en/wol/d/r1/lp-e/1200271388</t>
        </is>
      </c>
      <c r="AA1445" s="7" t="n">
        <v>0</v>
      </c>
      <c r="AB1445" s="7" t="n"/>
      <c r="AC1445" s="7" t="n">
        <v>0</v>
      </c>
      <c r="AD1445" s="7" t="n"/>
      <c r="AE1445" s="7" t="n"/>
      <c r="AF1445" s="7" t="n"/>
      <c r="AG1445" s="7" t="n"/>
      <c r="AH1445" s="7" t="n"/>
      <c r="AI1445" s="7" t="inlineStr">
        <is>
          <t>Index list entry – app detail</t>
        </is>
      </c>
      <c r="AJ1445" s="7" t="n"/>
      <c r="AK1445" s="7" t="n"/>
      <c r="AL1445" s="7" t="n"/>
      <c r="AM1445" s="7" t="n">
        <v>1963</v>
      </c>
      <c r="AN1445" s="10" t="n"/>
      <c r="AO1445" s="10" t="n"/>
      <c r="AP1445" s="10" t="n"/>
      <c r="AQ1445" s="10" t="n"/>
    </row>
    <row r="1446">
      <c r="A1446" s="7" t="inlineStr">
        <is>
          <t>b9-0068</t>
        </is>
      </c>
      <c r="B1446" s="7" t="inlineStr">
        <is>
          <t>Point</t>
        </is>
      </c>
      <c r="C1446" s="7" t="n"/>
      <c r="D1446" s="7" t="inlineStr">
        <is>
          <t>1963</t>
        </is>
      </c>
      <c r="E1446" s="7" t="n"/>
      <c r="F1446" s="7" t="inlineStr">
        <is>
          <t>1963 CE</t>
        </is>
      </c>
      <c r="G1446" s="7" t="inlineStr">
        <is>
          <t>Exact</t>
        </is>
      </c>
      <c r="H1446" s="7" t="n"/>
      <c r="I1446" s="7" t="n"/>
      <c r="J1446" s="7" t="n"/>
      <c r="K1446" s="2" t="inlineStr">
        <is>
          <t>NWT Christian Greek Scriptures released in six more languages</t>
        </is>
      </c>
      <c r="L1446" s="2" t="n"/>
      <c r="M1446" s="7" t="inlineStr">
        <is>
          <t>In 1963 the New World Translation of the Christian Greek Scriptures was released in Dutch, French, German, Italian, Portuguese, and Spanish.</t>
        </is>
      </c>
      <c r="N1446" s="7" t="n"/>
      <c r="O1446" s="12" t="inlineStr">
        <is>
          <t>Bible &amp; church history</t>
        </is>
      </c>
      <c r="P1446" s="7" t="inlineStr">
        <is>
          <t>history.bible_translation</t>
        </is>
      </c>
      <c r="Q1446" s="7" t="inlineStr">
        <is>
          <t>release</t>
        </is>
      </c>
      <c r="R1446" s="7" t="n"/>
      <c r="S1446" s="7" t="n"/>
      <c r="T1446" s="7" t="n"/>
      <c r="U1446" s="7" t="n"/>
      <c r="V1446" s="7" t="n">
        <v>1</v>
      </c>
      <c r="W1446" s="7" t="inlineStr">
        <is>
          <t>Noteworthy Events in the Modern-day History of Jehovah’s Witnesses</t>
        </is>
      </c>
      <c r="X1446" s="9" t="inlineStr">
        <is>
          <t>open</t>
        </is>
      </c>
      <c r="Y1446" s="7" t="n"/>
      <c r="Z1446" s="7" t="inlineStr">
        <is>
          <t>https://wol.jw.org/en/wol/d/r1/lp-e/1101993046</t>
        </is>
      </c>
      <c r="AA1446" s="7" t="n">
        <v>0</v>
      </c>
      <c r="AB1446" s="7" t="n"/>
      <c r="AC1446" s="7" t="n">
        <v>0</v>
      </c>
      <c r="AD1446" s="7" t="n"/>
      <c r="AE1446" s="7" t="n"/>
      <c r="AF1446" s="7" t="n"/>
      <c r="AG1446" s="7" t="n"/>
      <c r="AH1446" s="7" t="n"/>
      <c r="AI1446" s="7" t="n"/>
      <c r="AJ1446" s="7" t="n"/>
      <c r="AK1446" s="7" t="n"/>
      <c r="AL1446" s="7" t="n"/>
      <c r="AM1446" s="7" t="n">
        <v>1963</v>
      </c>
      <c r="AN1446" s="10" t="n"/>
      <c r="AO1446" s="10" t="n"/>
      <c r="AP1446" s="10" t="n"/>
      <c r="AQ1446" s="10" t="n"/>
    </row>
    <row r="1447">
      <c r="A1447" s="7" t="inlineStr">
        <is>
          <t>b9-0069</t>
        </is>
      </c>
      <c r="B1447" s="7" t="inlineStr">
        <is>
          <t>Point</t>
        </is>
      </c>
      <c r="C1447" s="7" t="n"/>
      <c r="D1447" s="7" t="inlineStr">
        <is>
          <t>1963</t>
        </is>
      </c>
      <c r="E1447" s="7" t="n"/>
      <c r="F1447" s="7" t="inlineStr">
        <is>
          <t>1963 CE</t>
        </is>
      </c>
      <c r="G1447" s="7" t="inlineStr">
        <is>
          <t>Exact</t>
        </is>
      </c>
      <c r="H1447" s="7" t="n"/>
      <c r="I1447" s="7" t="n"/>
      <c r="J1447" s="7" t="n"/>
      <c r="K1447" s="2" t="inlineStr">
        <is>
          <t>Witnesses exceed one million in 198 lands</t>
        </is>
      </c>
      <c r="L1447" s="2" t="n"/>
      <c r="M1447" s="7" t="inlineStr">
        <is>
          <t>Over a million of Jehovah’s Witnesses were active in 198 lands in 1963, with a peak of 1,040,836 publishers; 62,798 were baptized.</t>
        </is>
      </c>
      <c r="N1447" s="7" t="n"/>
      <c r="O1447" s="13" t="inlineStr">
        <is>
          <t>Jehovah's Witnesses</t>
        </is>
      </c>
      <c r="P1447" s="7" t="inlineStr">
        <is>
          <t>jw.preaching</t>
        </is>
      </c>
      <c r="Q1447" s="7" t="inlineStr">
        <is>
          <t>statistic</t>
        </is>
      </c>
      <c r="R1447" s="7" t="n"/>
      <c r="S1447" s="7" t="n"/>
      <c r="T1447" s="7" t="n"/>
      <c r="U1447" s="7" t="n"/>
      <c r="V1447" s="7" t="n">
        <v>1</v>
      </c>
      <c r="W1447" s="7" t="inlineStr">
        <is>
          <t>Noteworthy Events in the Modern-day History of Jehovah’s Witnesses</t>
        </is>
      </c>
      <c r="X1447" s="9" t="inlineStr">
        <is>
          <t>open</t>
        </is>
      </c>
      <c r="Y1447" s="7" t="n"/>
      <c r="Z1447" s="7" t="inlineStr">
        <is>
          <t>https://wol.jw.org/en/wol/d/r1/lp-e/1101993046</t>
        </is>
      </c>
      <c r="AA1447" s="7" t="n">
        <v>0</v>
      </c>
      <c r="AB1447" s="7" t="n"/>
      <c r="AC1447" s="7" t="n">
        <v>0</v>
      </c>
      <c r="AD1447" s="7" t="n"/>
      <c r="AE1447" s="7" t="n"/>
      <c r="AF1447" s="7" t="n"/>
      <c r="AG1447" s="7" t="n"/>
      <c r="AH1447" s="7" t="n"/>
      <c r="AI1447" s="7" t="n"/>
      <c r="AJ1447" s="7" t="n"/>
      <c r="AK1447" s="7" t="n"/>
      <c r="AL1447" s="7" t="n"/>
      <c r="AM1447" s="7" t="n">
        <v>1963</v>
      </c>
      <c r="AN1447" s="10" t="n"/>
      <c r="AO1447" s="10" t="n"/>
      <c r="AP1447" s="10" t="n"/>
      <c r="AQ1447" s="10" t="n"/>
    </row>
    <row r="1448">
      <c r="A1448" s="7" t="inlineStr">
        <is>
          <t>b9-0071</t>
        </is>
      </c>
      <c r="B1448" s="7" t="inlineStr">
        <is>
          <t>Point</t>
        </is>
      </c>
      <c r="C1448" s="7" t="n"/>
      <c r="D1448" s="7" t="inlineStr">
        <is>
          <t>1964</t>
        </is>
      </c>
      <c r="E1448" s="7" t="n"/>
      <c r="F1448" s="7" t="inlineStr">
        <is>
          <t>1964 CE</t>
        </is>
      </c>
      <c r="G1448" s="7" t="inlineStr">
        <is>
          <t>Exact</t>
        </is>
      </c>
      <c r="H1448" s="7" t="n"/>
      <c r="I1448" s="7" t="n"/>
      <c r="J1448" s="7" t="n"/>
      <c r="K1448" s="2" t="inlineStr">
        <is>
          <t>1964: “Fruitage of the Spirit” Assemblies</t>
        </is>
      </c>
      <c r="L1448" s="2" t="n"/>
      <c r="M1448" s="7" t="inlineStr">
        <is>
          <t>The Watch Tower Publications Index lists the 1964 conventions of Jehovah’s Witnesses as “Fruitage of the Spirit” Assemblies.</t>
        </is>
      </c>
      <c r="N1448" s="7" t="n"/>
      <c r="O1448" s="13" t="inlineStr">
        <is>
          <t>Jehovah's Witnesses</t>
        </is>
      </c>
      <c r="P1448" s="7" t="inlineStr">
        <is>
          <t>jw.convention</t>
        </is>
      </c>
      <c r="Q1448" s="7" t="inlineStr">
        <is>
          <t>convention</t>
        </is>
      </c>
      <c r="R1448" s="7" t="n"/>
      <c r="S1448" s="7" t="n"/>
      <c r="T1448" s="7" t="n"/>
      <c r="U1448" s="7" t="n"/>
      <c r="V1448" s="7" t="n">
        <v>1</v>
      </c>
      <c r="W1448" s="7" t="inlineStr">
        <is>
          <t>Conventions</t>
        </is>
      </c>
      <c r="X1448" s="9" t="inlineStr">
        <is>
          <t>open</t>
        </is>
      </c>
      <c r="Y1448" s="7" t="n"/>
      <c r="Z1448" s="7" t="inlineStr">
        <is>
          <t>https://wol.jw.org/en/wol/d/r1/lp-e/1200271388</t>
        </is>
      </c>
      <c r="AA1448" s="7" t="n">
        <v>0</v>
      </c>
      <c r="AB1448" s="7" t="n"/>
      <c r="AC1448" s="7" t="n">
        <v>0</v>
      </c>
      <c r="AD1448" s="7" t="n"/>
      <c r="AE1448" s="7" t="n"/>
      <c r="AF1448" s="7" t="n"/>
      <c r="AG1448" s="7" t="n"/>
      <c r="AH1448" s="7" t="n"/>
      <c r="AI1448" s="7" t="inlineStr">
        <is>
          <t>Index list entry – app detail</t>
        </is>
      </c>
      <c r="AJ1448" s="7" t="n"/>
      <c r="AK1448" s="7" t="n"/>
      <c r="AL1448" s="7" t="n"/>
      <c r="AM1448" s="7" t="n">
        <v>1964</v>
      </c>
      <c r="AN1448" s="10" t="n"/>
      <c r="AO1448" s="10" t="n"/>
      <c r="AP1448" s="10" t="n"/>
      <c r="AQ1448" s="10" t="n"/>
    </row>
    <row r="1449">
      <c r="A1449" s="7" t="inlineStr">
        <is>
          <t>b9-0070</t>
        </is>
      </c>
      <c r="B1449" s="11" t="inlineStr">
        <is>
          <t>Span</t>
        </is>
      </c>
      <c r="C1449" s="7" t="inlineStr">
        <is>
          <t>period</t>
        </is>
      </c>
      <c r="D1449" s="7" t="inlineStr">
        <is>
          <t>1964-1971</t>
        </is>
      </c>
      <c r="E1449" s="7" t="n"/>
      <c r="F1449" s="7" t="inlineStr">
        <is>
          <t>1964 CE</t>
        </is>
      </c>
      <c r="G1449" s="7" t="inlineStr">
        <is>
          <t>Exact</t>
        </is>
      </c>
      <c r="H1449" s="7" t="inlineStr">
        <is>
          <t>1971 CE</t>
        </is>
      </c>
      <c r="I1449" s="7" t="inlineStr">
        <is>
          <t>Exact</t>
        </is>
      </c>
      <c r="J1449" s="7" t="inlineStr">
        <is>
          <t>7 years</t>
        </is>
      </c>
      <c r="K1449" s="2" t="inlineStr">
        <is>
          <t>Governing body supervises study of first-century congregation</t>
        </is>
      </c>
      <c r="L1449" s="2" t="inlineStr">
        <is>
          <t>1964-லிருந்து 1971 வரை விரிவான ஒரு பைபிள் படிப்பு திட்டத்தை ஆளும் குழு மேற்பார்வை செய்தது.</t>
        </is>
      </c>
      <c r="M1449" s="7" t="inlineStr">
        <is>
          <t>From 1964 to 1971 the governing body supervised an extensive Bible study project that examined, among other things, how the first-century congregation functioned, showing oversight by a body of elders.</t>
        </is>
      </c>
      <c r="N1449" s="7" t="inlineStr">
        <is>
          <t>1964-லிருந்து 1971 வரை விரிவான ஒரு பைபிள் படிப்பு திட்டத்தை ஆளும் குழு மேற்பார்வை செய்தது.</t>
        </is>
      </c>
      <c r="O1449" s="13" t="inlineStr">
        <is>
          <t>Jehovah's Witnesses</t>
        </is>
      </c>
      <c r="P1449" s="7" t="inlineStr">
        <is>
          <t>jw.organization</t>
        </is>
      </c>
      <c r="Q1449" s="7" t="n"/>
      <c r="R1449" s="7" t="n"/>
      <c r="S1449" s="7" t="n"/>
      <c r="T1449" s="7" t="n"/>
      <c r="U1449" s="7" t="n"/>
      <c r="V1449" s="7" t="n">
        <v>1</v>
      </c>
      <c r="W1449" s="7" t="inlineStr">
        <is>
          <t>Organized to Serve “the God of Peace”</t>
        </is>
      </c>
      <c r="X1449" s="9" t="inlineStr">
        <is>
          <t>open</t>
        </is>
      </c>
      <c r="Y1449" s="9" t="inlineStr">
        <is>
          <t>open</t>
        </is>
      </c>
      <c r="Z1449" s="7" t="inlineStr">
        <is>
          <t>https://wol.jw.org/en/wol/d/r1/lp-e/1102014251</t>
        </is>
      </c>
      <c r="AA1449" s="7" t="n">
        <v>0</v>
      </c>
      <c r="AB1449" s="7" t="n"/>
      <c r="AC1449" s="7" t="n">
        <v>0</v>
      </c>
      <c r="AD1449" s="7" t="n"/>
      <c r="AE1449" s="7" t="n"/>
      <c r="AF1449" s="7" t="n"/>
      <c r="AG1449" s="7" t="n"/>
      <c r="AH1449" s="7" t="n"/>
      <c r="AI1449" s="7" t="n"/>
      <c r="AJ1449" s="7" t="n"/>
      <c r="AK1449" s="7" t="n"/>
      <c r="AL1449" s="7" t="n"/>
      <c r="AM1449" s="7" t="n">
        <v>1964</v>
      </c>
      <c r="AN1449" s="10" t="n"/>
      <c r="AO1449" s="10" t="n"/>
      <c r="AP1449" s="10" t="n"/>
      <c r="AQ1449" s="10" t="n"/>
    </row>
    <row r="1450">
      <c r="A1450" s="7" t="inlineStr">
        <is>
          <t>b9-0072</t>
        </is>
      </c>
      <c r="B1450" s="7" t="inlineStr">
        <is>
          <t>Point</t>
        </is>
      </c>
      <c r="C1450" s="7" t="n"/>
      <c r="D1450" s="7" t="inlineStr">
        <is>
          <t>1965</t>
        </is>
      </c>
      <c r="E1450" s="7" t="n"/>
      <c r="F1450" s="7" t="inlineStr">
        <is>
          <t>1965 CE</t>
        </is>
      </c>
      <c r="G1450" s="7" t="inlineStr">
        <is>
          <t>Exact</t>
        </is>
      </c>
      <c r="H1450" s="7" t="n"/>
      <c r="I1450" s="7" t="n"/>
      <c r="J1450" s="7" t="n"/>
      <c r="K1450" s="2" t="inlineStr">
        <is>
          <t>Understanding clarified: earthly resurrection</t>
        </is>
      </c>
      <c r="L1450" s="2" t="n"/>
      <c r="M1450" s="7" t="inlineStr">
        <is>
          <t>The Watch Tower Publications Index (“Beliefs Clarified,” list by year) records a clarified understanding in 1965 concerning earthly resurrection. Index references: w86 5/15 14.</t>
        </is>
      </c>
      <c r="N1450" s="7" t="n"/>
      <c r="O1450" s="13" t="inlineStr">
        <is>
          <t>Jehovah's Witnesses</t>
        </is>
      </c>
      <c r="P1450" s="7" t="inlineStr">
        <is>
          <t>jw.doctrine</t>
        </is>
      </c>
      <c r="Q1450" s="7" t="inlineStr">
        <is>
          <t>beliefs_clarified</t>
        </is>
      </c>
      <c r="R1450" s="7" t="n"/>
      <c r="S1450" s="7" t="n"/>
      <c r="T1450" s="7" t="n"/>
      <c r="U1450" s="7" t="n"/>
      <c r="V1450" s="7" t="n">
        <v>1</v>
      </c>
      <c r="W1450" s="7" t="inlineStr">
        <is>
          <t>Beliefs Clarified</t>
        </is>
      </c>
      <c r="X1450" s="9" t="inlineStr">
        <is>
          <t>open</t>
        </is>
      </c>
      <c r="Y1450" s="7" t="n"/>
      <c r="Z1450" s="7" t="inlineStr">
        <is>
          <t>https://wol.jw.org/en/wol/d/r1/lp-e/1200277174</t>
        </is>
      </c>
      <c r="AA1450" s="7" t="n">
        <v>0</v>
      </c>
      <c r="AB1450" s="7" t="n"/>
      <c r="AC1450" s="7" t="n">
        <v>0</v>
      </c>
      <c r="AD1450" s="7" t="n"/>
      <c r="AE1450" s="7" t="n"/>
      <c r="AF1450" s="7" t="n"/>
      <c r="AG1450" s="7" t="n"/>
      <c r="AH1450" s="7" t="n"/>
      <c r="AI1450" s="7" t="inlineStr">
        <is>
          <t>Index list entry – app detail</t>
        </is>
      </c>
      <c r="AJ1450" s="7" t="n"/>
      <c r="AK1450" s="7" t="n"/>
      <c r="AL1450" s="7" t="n"/>
      <c r="AM1450" s="7" t="n">
        <v>1965</v>
      </c>
      <c r="AN1450" s="10" t="n"/>
      <c r="AO1450" s="10" t="n"/>
      <c r="AP1450" s="10" t="n"/>
      <c r="AQ1450" s="10" t="n"/>
    </row>
    <row r="1451">
      <c r="A1451" s="7" t="inlineStr">
        <is>
          <t>b9-0073</t>
        </is>
      </c>
      <c r="B1451" s="7" t="inlineStr">
        <is>
          <t>Point</t>
        </is>
      </c>
      <c r="C1451" s="7" t="n"/>
      <c r="D1451" s="7" t="inlineStr">
        <is>
          <t>1965</t>
        </is>
      </c>
      <c r="E1451" s="7" t="n"/>
      <c r="F1451" s="7" t="inlineStr">
        <is>
          <t>1965 CE</t>
        </is>
      </c>
      <c r="G1451" s="7" t="inlineStr">
        <is>
          <t>Exact</t>
        </is>
      </c>
      <c r="H1451" s="7" t="n"/>
      <c r="I1451" s="7" t="n"/>
      <c r="J1451" s="7" t="n"/>
      <c r="K1451" s="2" t="inlineStr">
        <is>
          <t>1965: “Word of Truth” Assemblies</t>
        </is>
      </c>
      <c r="L1451" s="2" t="n"/>
      <c r="M1451" s="7" t="inlineStr">
        <is>
          <t>The Watch Tower Publications Index lists the 1965 conventions of Jehovah’s Witnesses as “Word of Truth” Assemblies.</t>
        </is>
      </c>
      <c r="N1451" s="7" t="n"/>
      <c r="O1451" s="13" t="inlineStr">
        <is>
          <t>Jehovah's Witnesses</t>
        </is>
      </c>
      <c r="P1451" s="7" t="inlineStr">
        <is>
          <t>jw.convention</t>
        </is>
      </c>
      <c r="Q1451" s="7" t="inlineStr">
        <is>
          <t>convention</t>
        </is>
      </c>
      <c r="R1451" s="7" t="n"/>
      <c r="S1451" s="7" t="n"/>
      <c r="T1451" s="7" t="n"/>
      <c r="U1451" s="7" t="n"/>
      <c r="V1451" s="7" t="n">
        <v>1</v>
      </c>
      <c r="W1451" s="7" t="inlineStr">
        <is>
          <t>Conventions</t>
        </is>
      </c>
      <c r="X1451" s="9" t="inlineStr">
        <is>
          <t>open</t>
        </is>
      </c>
      <c r="Y1451" s="7" t="n"/>
      <c r="Z1451" s="7" t="inlineStr">
        <is>
          <t>https://wol.jw.org/en/wol/d/r1/lp-e/1200271388</t>
        </is>
      </c>
      <c r="AA1451" s="7" t="n">
        <v>0</v>
      </c>
      <c r="AB1451" s="7" t="n"/>
      <c r="AC1451" s="7" t="n">
        <v>0</v>
      </c>
      <c r="AD1451" s="7" t="n"/>
      <c r="AE1451" s="7" t="n"/>
      <c r="AF1451" s="7" t="n"/>
      <c r="AG1451" s="7" t="n"/>
      <c r="AH1451" s="7" t="n"/>
      <c r="AI1451" s="7" t="inlineStr">
        <is>
          <t>Index list entry – app detail</t>
        </is>
      </c>
      <c r="AJ1451" s="7" t="n"/>
      <c r="AK1451" s="7" t="n"/>
      <c r="AL1451" s="7" t="n"/>
      <c r="AM1451" s="7" t="n">
        <v>1965</v>
      </c>
      <c r="AN1451" s="10" t="n"/>
      <c r="AO1451" s="10" t="n"/>
      <c r="AP1451" s="10" t="n"/>
      <c r="AQ1451" s="10" t="n"/>
    </row>
    <row r="1452">
      <c r="A1452" s="7" t="inlineStr">
        <is>
          <t>b9-0074</t>
        </is>
      </c>
      <c r="B1452" s="7" t="inlineStr">
        <is>
          <t>Point</t>
        </is>
      </c>
      <c r="C1452" s="7" t="n"/>
      <c r="D1452" s="7" t="inlineStr">
        <is>
          <t>1965</t>
        </is>
      </c>
      <c r="E1452" s="7" t="n"/>
      <c r="F1452" s="7" t="inlineStr">
        <is>
          <t>1965 CE</t>
        </is>
      </c>
      <c r="G1452" s="7" t="inlineStr">
        <is>
          <t>Exact</t>
        </is>
      </c>
      <c r="H1452" s="7" t="n"/>
      <c r="I1452" s="7" t="n"/>
      <c r="J1452" s="7" t="n"/>
      <c r="K1452" s="2" t="inlineStr">
        <is>
          <t>First Assembly Hall put to use in New York</t>
        </is>
      </c>
      <c r="L1452" s="2" t="n"/>
      <c r="M1452" s="7" t="inlineStr">
        <is>
          <t>The first Assembly Hall, a renovated theater in New York, was put into use by Jehovah’s Witnesses in 1965.</t>
        </is>
      </c>
      <c r="N1452" s="7" t="n"/>
      <c r="O1452" s="13" t="inlineStr">
        <is>
          <t>Jehovah's Witnesses</t>
        </is>
      </c>
      <c r="P1452" s="7" t="inlineStr">
        <is>
          <t>jw.construction</t>
        </is>
      </c>
      <c r="Q1452" s="7" t="n"/>
      <c r="R1452" s="7" t="n"/>
      <c r="S1452" s="7" t="inlineStr">
        <is>
          <t>New York</t>
        </is>
      </c>
      <c r="T1452" s="7" t="n"/>
      <c r="U1452" s="7" t="n"/>
      <c r="V1452" s="7" t="n">
        <v>1</v>
      </c>
      <c r="W1452" s="7" t="inlineStr">
        <is>
          <t>Noteworthy Events in the Modern-day History of Jehovah’s Witnesses</t>
        </is>
      </c>
      <c r="X1452" s="9" t="inlineStr">
        <is>
          <t>open</t>
        </is>
      </c>
      <c r="Y1452" s="7" t="n"/>
      <c r="Z1452" s="7" t="inlineStr">
        <is>
          <t>https://wol.jw.org/en/wol/d/r1/lp-e/1101993046</t>
        </is>
      </c>
      <c r="AA1452" s="7" t="n">
        <v>0</v>
      </c>
      <c r="AB1452" s="7" t="n"/>
      <c r="AC1452" s="7" t="n">
        <v>0</v>
      </c>
      <c r="AD1452" s="7" t="n"/>
      <c r="AE1452" s="7" t="n"/>
      <c r="AF1452" s="7" t="n"/>
      <c r="AG1452" s="7" t="n"/>
      <c r="AH1452" s="7" t="n"/>
      <c r="AI1452" s="7" t="n"/>
      <c r="AJ1452" s="7" t="n"/>
      <c r="AK1452" s="7" t="n"/>
      <c r="AL1452" s="7" t="n"/>
      <c r="AM1452" s="7" t="n">
        <v>1965</v>
      </c>
      <c r="AN1452" s="10" t="n"/>
      <c r="AO1452" s="10" t="n"/>
      <c r="AP1452" s="10" t="n"/>
      <c r="AQ1452" s="10" t="n"/>
    </row>
    <row r="1453">
      <c r="A1453" s="7" t="inlineStr">
        <is>
          <t>b9-0075</t>
        </is>
      </c>
      <c r="B1453" s="7" t="inlineStr">
        <is>
          <t>Point</t>
        </is>
      </c>
      <c r="C1453" s="7" t="n"/>
      <c r="D1453" s="7" t="inlineStr">
        <is>
          <t>1966</t>
        </is>
      </c>
      <c r="E1453" s="7" t="n"/>
      <c r="F1453" s="7" t="inlineStr">
        <is>
          <t>1966 CE</t>
        </is>
      </c>
      <c r="G1453" s="7" t="inlineStr">
        <is>
          <t>Exact</t>
        </is>
      </c>
      <c r="H1453" s="7" t="n"/>
      <c r="I1453" s="7" t="n"/>
      <c r="J1453" s="7" t="n"/>
      <c r="K1453" s="2" t="inlineStr">
        <is>
          <t>Understanding clarified: denarius paid to vineyard workers (Matt. 20)</t>
        </is>
      </c>
      <c r="L1453" s="2" t="n"/>
      <c r="M1453" s="7" t="inlineStr">
        <is>
          <t>The Watch Tower Publications Index (“Beliefs Clarified,” list by year) records a clarified understanding in 1966 concerning denarius paid to vineyard workers (Matt. 20). Index references: w07 5/1 30.</t>
        </is>
      </c>
      <c r="N1453" s="7" t="n"/>
      <c r="O1453" s="13" t="inlineStr">
        <is>
          <t>Jehovah's Witnesses</t>
        </is>
      </c>
      <c r="P1453" s="7" t="inlineStr">
        <is>
          <t>jw.doctrine</t>
        </is>
      </c>
      <c r="Q1453" s="7" t="inlineStr">
        <is>
          <t>beliefs_clarified</t>
        </is>
      </c>
      <c r="R1453" s="7" t="n"/>
      <c r="S1453" s="7" t="n"/>
      <c r="T1453" s="7" t="inlineStr">
        <is>
          <t>Matt. 20</t>
        </is>
      </c>
      <c r="U1453" s="7" t="n"/>
      <c r="V1453" s="7" t="n">
        <v>1</v>
      </c>
      <c r="W1453" s="7" t="inlineStr">
        <is>
          <t>Beliefs Clarified</t>
        </is>
      </c>
      <c r="X1453" s="9" t="inlineStr">
        <is>
          <t>open</t>
        </is>
      </c>
      <c r="Y1453" s="7" t="n"/>
      <c r="Z1453" s="7" t="inlineStr">
        <is>
          <t>https://wol.jw.org/en/wol/d/r1/lp-e/1200277174</t>
        </is>
      </c>
      <c r="AA1453" s="7" t="n">
        <v>0</v>
      </c>
      <c r="AB1453" s="7" t="n"/>
      <c r="AC1453" s="7" t="n">
        <v>0</v>
      </c>
      <c r="AD1453" s="7" t="n"/>
      <c r="AE1453" s="7" t="n"/>
      <c r="AF1453" s="7" t="n"/>
      <c r="AG1453" s="7" t="n"/>
      <c r="AH1453" s="7" t="n"/>
      <c r="AI1453" s="7" t="inlineStr">
        <is>
          <t>Index list entry – app detail</t>
        </is>
      </c>
      <c r="AJ1453" s="7" t="n"/>
      <c r="AK1453" s="7" t="n"/>
      <c r="AL1453" s="7" t="n"/>
      <c r="AM1453" s="7" t="n">
        <v>1966</v>
      </c>
      <c r="AN1453" s="10" t="n"/>
      <c r="AO1453" s="10" t="n"/>
      <c r="AP1453" s="10" t="n"/>
      <c r="AQ1453" s="10" t="n"/>
    </row>
    <row r="1454">
      <c r="A1454" s="7" t="inlineStr">
        <is>
          <t>b9-0076</t>
        </is>
      </c>
      <c r="B1454" s="7" t="inlineStr">
        <is>
          <t>Point</t>
        </is>
      </c>
      <c r="C1454" s="7" t="n"/>
      <c r="D1454" s="7" t="inlineStr">
        <is>
          <t>1966</t>
        </is>
      </c>
      <c r="E1454" s="7" t="n"/>
      <c r="F1454" s="7" t="inlineStr">
        <is>
          <t>1966 CE</t>
        </is>
      </c>
      <c r="G1454" s="7" t="inlineStr">
        <is>
          <t>Exact</t>
        </is>
      </c>
      <c r="H1454" s="7" t="n"/>
      <c r="I1454" s="7" t="n"/>
      <c r="J1454" s="7" t="n"/>
      <c r="K1454" s="2" t="inlineStr">
        <is>
          <t>1966: “God’s Sons of Liberty” District Assemblies</t>
        </is>
      </c>
      <c r="L1454" s="2" t="n"/>
      <c r="M1454" s="7" t="inlineStr">
        <is>
          <t>The Watch Tower Publications Index lists the 1966 conventions of Jehovah’s Witnesses as “God’s Sons of Liberty” District Assemblies.</t>
        </is>
      </c>
      <c r="N1454" s="7" t="n"/>
      <c r="O1454" s="13" t="inlineStr">
        <is>
          <t>Jehovah's Witnesses</t>
        </is>
      </c>
      <c r="P1454" s="7" t="inlineStr">
        <is>
          <t>jw.convention</t>
        </is>
      </c>
      <c r="Q1454" s="7" t="inlineStr">
        <is>
          <t>convention</t>
        </is>
      </c>
      <c r="R1454" s="7" t="n"/>
      <c r="S1454" s="7" t="n"/>
      <c r="T1454" s="7" t="n"/>
      <c r="U1454" s="7" t="n"/>
      <c r="V1454" s="7" t="n">
        <v>1</v>
      </c>
      <c r="W1454" s="7" t="inlineStr">
        <is>
          <t>Conventions</t>
        </is>
      </c>
      <c r="X1454" s="9" t="inlineStr">
        <is>
          <t>open</t>
        </is>
      </c>
      <c r="Y1454" s="7" t="n"/>
      <c r="Z1454" s="7" t="inlineStr">
        <is>
          <t>https://wol.jw.org/en/wol/d/r1/lp-e/1200271388</t>
        </is>
      </c>
      <c r="AA1454" s="7" t="n">
        <v>0</v>
      </c>
      <c r="AB1454" s="7" t="n"/>
      <c r="AC1454" s="7" t="n">
        <v>0</v>
      </c>
      <c r="AD1454" s="7" t="n"/>
      <c r="AE1454" s="7" t="n"/>
      <c r="AF1454" s="7" t="n"/>
      <c r="AG1454" s="7" t="n"/>
      <c r="AH1454" s="7" t="n"/>
      <c r="AI1454" s="7" t="inlineStr">
        <is>
          <t>Index list entry – app detail</t>
        </is>
      </c>
      <c r="AJ1454" s="7" t="n"/>
      <c r="AK1454" s="7" t="n"/>
      <c r="AL1454" s="7" t="n"/>
      <c r="AM1454" s="7" t="n">
        <v>1966</v>
      </c>
      <c r="AN1454" s="10" t="n"/>
      <c r="AO1454" s="10" t="n"/>
      <c r="AP1454" s="10" t="n"/>
      <c r="AQ1454" s="10" t="n"/>
    </row>
    <row r="1455">
      <c r="A1455" s="7" t="inlineStr">
        <is>
          <t>b9-0077</t>
        </is>
      </c>
      <c r="B1455" s="7" t="inlineStr">
        <is>
          <t>Point</t>
        </is>
      </c>
      <c r="C1455" s="7" t="n"/>
      <c r="D1455" s="7" t="inlineStr">
        <is>
          <t>1966</t>
        </is>
      </c>
      <c r="E1455" s="7" t="inlineStr">
        <is>
          <t>1966</t>
        </is>
      </c>
      <c r="F1455" s="7" t="inlineStr">
        <is>
          <t>1966 CE</t>
        </is>
      </c>
      <c r="G1455" s="7" t="inlineStr">
        <is>
          <t>Exact</t>
        </is>
      </c>
      <c r="H1455" s="7" t="n"/>
      <c r="I1455" s="7" t="n"/>
      <c r="J1455" s="7" t="n"/>
      <c r="K1455" s="2" t="inlineStr">
        <is>
          <t>Updated Kingdom Ministry School begins</t>
        </is>
      </c>
      <c r="L1455" s="2" t="inlineStr">
        <is>
          <t>1966-ல் மற்றொரு ராஜ்ய ஊழியப் பள்ளி நடத்தப்பட்டது.</t>
        </is>
      </c>
      <c r="M1455" s="7" t="inlineStr">
        <is>
          <t>In 1966 an updated Kingdom Ministry School began.</t>
        </is>
      </c>
      <c r="N1455" s="7" t="inlineStr">
        <is>
          <t>1966-ல் மற்றொரு ராஜ்ய ஊழியப் பள்ளி நடத்தப்பட்டது.</t>
        </is>
      </c>
      <c r="O1455" s="13" t="inlineStr">
        <is>
          <t>Jehovah's Witnesses</t>
        </is>
      </c>
      <c r="P1455" s="7" t="inlineStr">
        <is>
          <t>jw.education</t>
        </is>
      </c>
      <c r="Q1455" s="7" t="n"/>
      <c r="R1455" s="7" t="n"/>
      <c r="S1455" s="7" t="n"/>
      <c r="T1455" s="7" t="n"/>
      <c r="U1455" s="7" t="n"/>
      <c r="V1455" s="7" t="n">
        <v>1</v>
      </c>
      <c r="W1455" s="7" t="inlineStr">
        <is>
          <t>Organized to Serve “the God of Peace”</t>
        </is>
      </c>
      <c r="X1455" s="9" t="inlineStr">
        <is>
          <t>open</t>
        </is>
      </c>
      <c r="Y1455" s="9" t="inlineStr">
        <is>
          <t>open</t>
        </is>
      </c>
      <c r="Z1455" s="7" t="inlineStr">
        <is>
          <t>https://wol.jw.org/en/wol/d/r1/lp-e/1102014251</t>
        </is>
      </c>
      <c r="AA1455" s="7" t="n">
        <v>1</v>
      </c>
      <c r="AB1455" s="9" t="inlineStr">
        <is>
          <t>open</t>
        </is>
      </c>
      <c r="AC1455" s="7" t="n">
        <v>0</v>
      </c>
      <c r="AD1455" s="7" t="n"/>
      <c r="AE1455" s="7" t="n"/>
      <c r="AF1455" s="7" t="n"/>
      <c r="AG1455" s="7" t="n"/>
      <c r="AH1455" s="7" t="n"/>
      <c r="AI1455" s="7" t="n"/>
      <c r="AJ1455" s="7" t="n"/>
      <c r="AK1455" s="7" t="n"/>
      <c r="AL1455" s="7" t="n"/>
      <c r="AM1455" s="7" t="n">
        <v>1966</v>
      </c>
      <c r="AN1455" s="10" t="n"/>
      <c r="AO1455" s="10" t="n"/>
      <c r="AP1455" s="10" t="n"/>
      <c r="AQ1455" s="10" t="n"/>
    </row>
    <row r="1456">
      <c r="A1456" s="7" t="inlineStr">
        <is>
          <t>b9-0078</t>
        </is>
      </c>
      <c r="B1456" s="7" t="inlineStr">
        <is>
          <t>Point</t>
        </is>
      </c>
      <c r="C1456" s="7" t="n"/>
      <c r="D1456" s="7" t="inlineStr">
        <is>
          <t>1966</t>
        </is>
      </c>
      <c r="E1456" s="7" t="n"/>
      <c r="F1456" s="7" t="inlineStr">
        <is>
          <t>1966 CE</t>
        </is>
      </c>
      <c r="G1456" s="7" t="inlineStr">
        <is>
          <t>Exact</t>
        </is>
      </c>
      <c r="H1456" s="7" t="n"/>
      <c r="I1456" s="7" t="n"/>
      <c r="J1456" s="7" t="n"/>
      <c r="K1456" s="2" t="inlineStr">
        <is>
          <t>Songbook “Singing and Accompanying Yourselves With Music” released</t>
        </is>
      </c>
      <c r="L1456" s="2" t="n"/>
      <c r="M1456" s="7" t="inlineStr">
        <is>
          <t>God’s Kingdom Rules! shows the 1966 songbook “Singing and Accompanying Yourselves With Music In Your Hearts.”</t>
        </is>
      </c>
      <c r="N1456" s="7" t="n"/>
      <c r="O1456" s="13" t="inlineStr">
        <is>
          <t>Jehovah's Witnesses</t>
        </is>
      </c>
      <c r="P1456" s="7" t="inlineStr">
        <is>
          <t>jw.publication</t>
        </is>
      </c>
      <c r="Q1456" s="7" t="inlineStr">
        <is>
          <t>release</t>
        </is>
      </c>
      <c r="R1456" s="7" t="n"/>
      <c r="S1456" s="7" t="n"/>
      <c r="T1456" s="7" t="n"/>
      <c r="U1456" s="7" t="n"/>
      <c r="V1456" s="7" t="n">
        <v>1</v>
      </c>
      <c r="W1456" s="7" t="inlineStr">
        <is>
          <t>Meeting Together for Worship</t>
        </is>
      </c>
      <c r="X1456" s="9" t="inlineStr">
        <is>
          <t>open</t>
        </is>
      </c>
      <c r="Y1456" s="9" t="inlineStr">
        <is>
          <t>open</t>
        </is>
      </c>
      <c r="Z1456" s="7" t="inlineStr">
        <is>
          <t>https://wol.jw.org/en/wol/d/r1/lp-e/1102014255</t>
        </is>
      </c>
      <c r="AA1456" s="7" t="n">
        <v>1</v>
      </c>
      <c r="AB1456" s="9" t="inlineStr">
        <is>
          <t>open</t>
        </is>
      </c>
      <c r="AC1456" s="7" t="n">
        <v>0</v>
      </c>
      <c r="AD1456" s="7" t="n"/>
      <c r="AE1456" s="7" t="n"/>
      <c r="AF1456" s="7" t="n"/>
      <c r="AG1456" s="7" t="n"/>
      <c r="AH1456" s="7" t="n"/>
      <c r="AI1456" s="7" t="n"/>
      <c r="AJ1456" s="7" t="n"/>
      <c r="AK1456" s="7" t="n"/>
      <c r="AL1456" s="7" t="n"/>
      <c r="AM1456" s="7" t="n">
        <v>1966</v>
      </c>
      <c r="AN1456" s="10" t="n"/>
      <c r="AO1456" s="10" t="n"/>
      <c r="AP1456" s="10" t="n"/>
      <c r="AQ1456" s="10" t="n"/>
    </row>
    <row r="1457">
      <c r="A1457" s="7" t="inlineStr">
        <is>
          <t>b9-0079</t>
        </is>
      </c>
      <c r="B1457" s="7" t="inlineStr">
        <is>
          <t>Point</t>
        </is>
      </c>
      <c r="C1457" s="7" t="n"/>
      <c r="D1457" s="7" t="inlineStr">
        <is>
          <t>1966</t>
        </is>
      </c>
      <c r="E1457" s="7" t="n"/>
      <c r="F1457" s="7" t="inlineStr">
        <is>
          <t>1966 CE</t>
        </is>
      </c>
      <c r="G1457" s="7" t="inlineStr">
        <is>
          <t>Exact</t>
        </is>
      </c>
      <c r="H1457" s="7" t="n"/>
      <c r="I1457" s="7" t="n"/>
      <c r="J1457" s="7" t="n"/>
      <c r="K1457" s="2" t="inlineStr">
        <is>
          <t>Swedish Parliament ruling relieves Witness objectors</t>
        </is>
      </c>
      <c r="L1457" s="2" t="n"/>
      <c r="M1457" s="7" t="inlineStr">
        <is>
          <t>In 1966 a ruling by the Swedish Parliament brought relief to hundreds of young Witnesses who conscientiously refused military service; jw.org marked its 60th anniversary in 2026.</t>
        </is>
      </c>
      <c r="N1457" s="7" t="n"/>
      <c r="O1457" s="13" t="inlineStr">
        <is>
          <t>Jehovah's Witnesses</t>
        </is>
      </c>
      <c r="P1457" s="7" t="inlineStr">
        <is>
          <t>jw.legal</t>
        </is>
      </c>
      <c r="Q1457" s="7" t="n"/>
      <c r="R1457" s="7" t="n"/>
      <c r="S1457" s="7" t="inlineStr">
        <is>
          <t>Sweden</t>
        </is>
      </c>
      <c r="T1457" s="7" t="n"/>
      <c r="U1457" s="7" t="n"/>
      <c r="V1457" s="7" t="n">
        <v>1</v>
      </c>
      <c r="W1457" s="7" t="inlineStr">
        <is>
          <t>Sixty Years Later, Witnesses in Sweden Reflect on Historic Decision About Conscientious Objection</t>
        </is>
      </c>
      <c r="X1457" s="9" t="inlineStr">
        <is>
          <t>open</t>
        </is>
      </c>
      <c r="Y1457" s="7" t="n"/>
      <c r="Z1457" s="7" t="inlineStr">
        <is>
          <t>https://www.jw.org/en/news/region/sweden/Sixty-Years-Later-Witnesses-in-Sweden-Reflect-on-Historic-Decision-About-Conscientious-Objection/</t>
        </is>
      </c>
      <c r="AA1457" s="7" t="n">
        <v>1</v>
      </c>
      <c r="AB1457" s="9" t="inlineStr">
        <is>
          <t>open</t>
        </is>
      </c>
      <c r="AC1457" s="7" t="n">
        <v>0</v>
      </c>
      <c r="AD1457" s="7" t="n"/>
      <c r="AE1457" s="7" t="n"/>
      <c r="AF1457" s="7" t="n"/>
      <c r="AG1457" s="7" t="n"/>
      <c r="AH1457" s="7" t="n"/>
      <c r="AI1457" s="7" t="n"/>
      <c r="AJ1457" s="7" t="n"/>
      <c r="AK1457" s="7" t="n"/>
      <c r="AL1457" s="7" t="n"/>
      <c r="AM1457" s="7" t="n">
        <v>1966</v>
      </c>
      <c r="AN1457" s="10" t="n"/>
      <c r="AO1457" s="10" t="n"/>
      <c r="AP1457" s="10" t="n"/>
      <c r="AQ1457" s="10" t="n"/>
    </row>
    <row r="1458">
      <c r="A1458" s="7" t="inlineStr">
        <is>
          <t>b9-0080</t>
        </is>
      </c>
      <c r="B1458" s="7" t="inlineStr">
        <is>
          <t>Point</t>
        </is>
      </c>
      <c r="C1458" s="7" t="n"/>
      <c r="D1458" s="7" t="inlineStr">
        <is>
          <t>1967</t>
        </is>
      </c>
      <c r="E1458" s="7" t="n"/>
      <c r="F1458" s="7" t="inlineStr">
        <is>
          <t>1967 CE</t>
        </is>
      </c>
      <c r="G1458" s="7" t="inlineStr">
        <is>
          <t>Exact</t>
        </is>
      </c>
      <c r="H1458" s="7" t="n"/>
      <c r="I1458" s="7" t="n"/>
      <c r="J1458" s="7" t="n"/>
      <c r="K1458" s="2" t="inlineStr">
        <is>
          <t>1967: “Disciple-Making” District Assemblies</t>
        </is>
      </c>
      <c r="L1458" s="2" t="n"/>
      <c r="M1458" s="7" t="inlineStr">
        <is>
          <t>The Watch Tower Publications Index lists the 1967 conventions of Jehovah’s Witnesses as “Disciple-Making” District Assemblies.</t>
        </is>
      </c>
      <c r="N1458" s="7" t="n"/>
      <c r="O1458" s="13" t="inlineStr">
        <is>
          <t>Jehovah's Witnesses</t>
        </is>
      </c>
      <c r="P1458" s="7" t="inlineStr">
        <is>
          <t>jw.convention</t>
        </is>
      </c>
      <c r="Q1458" s="7" t="inlineStr">
        <is>
          <t>convention</t>
        </is>
      </c>
      <c r="R1458" s="7" t="n"/>
      <c r="S1458" s="7" t="n"/>
      <c r="T1458" s="7" t="n"/>
      <c r="U1458" s="7" t="n"/>
      <c r="V1458" s="7" t="n">
        <v>1</v>
      </c>
      <c r="W1458" s="7" t="inlineStr">
        <is>
          <t>Conventions</t>
        </is>
      </c>
      <c r="X1458" s="9" t="inlineStr">
        <is>
          <t>open</t>
        </is>
      </c>
      <c r="Y1458" s="7" t="n"/>
      <c r="Z1458" s="7" t="inlineStr">
        <is>
          <t>https://wol.jw.org/en/wol/d/r1/lp-e/1200271388</t>
        </is>
      </c>
      <c r="AA1458" s="7" t="n">
        <v>0</v>
      </c>
      <c r="AB1458" s="7" t="n"/>
      <c r="AC1458" s="7" t="n">
        <v>0</v>
      </c>
      <c r="AD1458" s="7" t="n"/>
      <c r="AE1458" s="7" t="n"/>
      <c r="AF1458" s="7" t="n"/>
      <c r="AG1458" s="7" t="n"/>
      <c r="AH1458" s="7" t="n"/>
      <c r="AI1458" s="7" t="inlineStr">
        <is>
          <t>Index list entry – app detail</t>
        </is>
      </c>
      <c r="AJ1458" s="7" t="n"/>
      <c r="AK1458" s="7" t="n"/>
      <c r="AL1458" s="7" t="n"/>
      <c r="AM1458" s="7" t="n">
        <v>1967</v>
      </c>
      <c r="AN1458" s="10" t="n"/>
      <c r="AO1458" s="10" t="n"/>
      <c r="AP1458" s="10" t="n"/>
      <c r="AQ1458" s="10" t="n"/>
    </row>
    <row r="1459">
      <c r="A1459" s="7" t="inlineStr">
        <is>
          <t>b9-0081</t>
        </is>
      </c>
      <c r="B1459" s="7" t="inlineStr">
        <is>
          <t>Point</t>
        </is>
      </c>
      <c r="C1459" s="7" t="n"/>
      <c r="D1459" s="7" t="inlineStr">
        <is>
          <t>1967</t>
        </is>
      </c>
      <c r="E1459" s="7" t="n"/>
      <c r="F1459" s="7" t="inlineStr">
        <is>
          <t>1967 CE</t>
        </is>
      </c>
      <c r="G1459" s="7" t="inlineStr">
        <is>
          <t>Exact</t>
        </is>
      </c>
      <c r="H1459" s="7" t="n"/>
      <c r="I1459" s="7" t="n"/>
      <c r="J1459" s="7" t="n"/>
      <c r="K1459" s="2" t="inlineStr">
        <is>
          <t>Waves of persecution begin in Malawi</t>
        </is>
      </c>
      <c r="L1459" s="2" t="n"/>
      <c r="M1459" s="7" t="inlineStr">
        <is>
          <t>Waves of prolonged and savage persecution swept across Malawi in 1967 and continued for years.</t>
        </is>
      </c>
      <c r="N1459" s="7" t="n"/>
      <c r="O1459" s="13" t="inlineStr">
        <is>
          <t>Jehovah's Witnesses</t>
        </is>
      </c>
      <c r="P1459" s="7" t="inlineStr">
        <is>
          <t>jw.persecution</t>
        </is>
      </c>
      <c r="Q1459" s="7" t="n"/>
      <c r="R1459" s="7" t="n"/>
      <c r="S1459" s="7" t="inlineStr">
        <is>
          <t>Malawi</t>
        </is>
      </c>
      <c r="T1459" s="7" t="n"/>
      <c r="U1459" s="7" t="n"/>
      <c r="V1459" s="7" t="n">
        <v>1</v>
      </c>
      <c r="W1459" s="7" t="inlineStr">
        <is>
          <t>Noteworthy Events in the Modern-day History of Jehovah’s Witnesses</t>
        </is>
      </c>
      <c r="X1459" s="9" t="inlineStr">
        <is>
          <t>open</t>
        </is>
      </c>
      <c r="Y1459" s="7" t="n"/>
      <c r="Z1459" s="7" t="inlineStr">
        <is>
          <t>https://wol.jw.org/en/wol/d/r1/lp-e/1101993046</t>
        </is>
      </c>
      <c r="AA1459" s="7" t="n">
        <v>0</v>
      </c>
      <c r="AB1459" s="7" t="n"/>
      <c r="AC1459" s="7" t="n">
        <v>0</v>
      </c>
      <c r="AD1459" s="7" t="n"/>
      <c r="AE1459" s="7" t="n"/>
      <c r="AF1459" s="7" t="n"/>
      <c r="AG1459" s="7" t="n"/>
      <c r="AH1459" s="7" t="n"/>
      <c r="AI1459" s="7" t="n"/>
      <c r="AJ1459" s="7" t="n"/>
      <c r="AK1459" s="7" t="n"/>
      <c r="AL1459" s="7" t="n"/>
      <c r="AM1459" s="7" t="n">
        <v>1967</v>
      </c>
      <c r="AN1459" s="10" t="n"/>
      <c r="AO1459" s="10" t="n"/>
      <c r="AP1459" s="10" t="n"/>
      <c r="AQ1459" s="10" t="n"/>
    </row>
    <row r="1460">
      <c r="A1460" s="7" t="inlineStr">
        <is>
          <t>b12-0094</t>
        </is>
      </c>
      <c r="B1460" s="11" t="inlineStr">
        <is>
          <t>Span</t>
        </is>
      </c>
      <c r="C1460" s="7" t="inlineStr">
        <is>
          <t>ban</t>
        </is>
      </c>
      <c r="D1460" s="7" t="inlineStr">
        <is>
          <t>October 20, 1967–August 12, 1993</t>
        </is>
      </c>
      <c r="E1460" s="7" t="n"/>
      <c r="F1460" s="7" t="inlineStr">
        <is>
          <t>1967 CE</t>
        </is>
      </c>
      <c r="G1460" s="7" t="inlineStr">
        <is>
          <t>Exact</t>
        </is>
      </c>
      <c r="H1460" s="7" t="inlineStr">
        <is>
          <t>1993 CE</t>
        </is>
      </c>
      <c r="I1460" s="7" t="inlineStr">
        <is>
          <t>Exact</t>
        </is>
      </c>
      <c r="J1460" s="7" t="inlineStr">
        <is>
          <t>26 years</t>
        </is>
      </c>
      <c r="K1460" s="2" t="inlineStr">
        <is>
          <t>Ban on Jehovah’s Witnesses in Malawi</t>
        </is>
      </c>
      <c r="L1460" s="2" t="n"/>
      <c r="M1460" s="7" t="inlineStr">
        <is>
          <t>An executive order banning the Witnesses took effect in October 1967, followed by years of savage persecution; the 26-year ban was lifted in August 1993.</t>
        </is>
      </c>
      <c r="N1460" s="7" t="n"/>
      <c r="O1460" s="13" t="inlineStr">
        <is>
          <t>Jehovah's Witnesses</t>
        </is>
      </c>
      <c r="P1460" s="7" t="inlineStr">
        <is>
          <t>jw.persecution</t>
        </is>
      </c>
      <c r="Q1460" s="7" t="n"/>
      <c r="R1460" s="7" t="n"/>
      <c r="S1460" s="7" t="inlineStr">
        <is>
          <t>Malawi</t>
        </is>
      </c>
      <c r="T1460" s="7" t="n"/>
      <c r="U1460" s="7" t="n"/>
      <c r="V1460" s="7" t="n">
        <v>3</v>
      </c>
      <c r="W1460" s="7" t="inlineStr">
        <is>
          <t>Malawi</t>
        </is>
      </c>
      <c r="X1460" s="9" t="inlineStr">
        <is>
          <t>open</t>
        </is>
      </c>
      <c r="Y1460" s="7" t="n"/>
      <c r="Z1460" s="7" t="inlineStr">
        <is>
          <t>https://wol.jw.org/en/wol/d/r1/lp-e/301999001
https://wol.jw.org/en/wol/d/r1/lp-e/301995004
https://wol.jw.org/en/wol/d/r1/lp-e/1101993046</t>
        </is>
      </c>
      <c r="AA1460" s="7" t="n">
        <v>0</v>
      </c>
      <c r="AB1460" s="7" t="n"/>
      <c r="AC1460" s="7" t="n">
        <v>0</v>
      </c>
      <c r="AD1460" s="7" t="n"/>
      <c r="AE1460" s="7" t="n"/>
      <c r="AF1460" s="7" t="n"/>
      <c r="AG1460" s="7" t="n"/>
      <c r="AH1460" s="7" t="n"/>
      <c r="AI1460" s="7" t="n"/>
      <c r="AJ1460" s="7" t="n"/>
      <c r="AK1460" s="7" t="n"/>
      <c r="AL1460" s="7" t="n"/>
      <c r="AM1460" s="7" t="n">
        <v>1967.8021</v>
      </c>
      <c r="AN1460" s="10" t="n"/>
      <c r="AO1460" s="10" t="n"/>
      <c r="AP1460" s="10" t="n"/>
      <c r="AQ1460" s="10" t="n"/>
    </row>
    <row r="1461">
      <c r="A1461" s="7" t="inlineStr">
        <is>
          <t>b9-0082</t>
        </is>
      </c>
      <c r="B1461" s="7" t="inlineStr">
        <is>
          <t>Point</t>
        </is>
      </c>
      <c r="C1461" s="7" t="n"/>
      <c r="D1461" s="7" t="inlineStr">
        <is>
          <t>1968</t>
        </is>
      </c>
      <c r="E1461" s="7" t="n"/>
      <c r="F1461" s="7" t="inlineStr">
        <is>
          <t>1968 CE</t>
        </is>
      </c>
      <c r="G1461" s="7" t="inlineStr">
        <is>
          <t>Exact</t>
        </is>
      </c>
      <c r="H1461" s="7" t="n"/>
      <c r="I1461" s="7" t="n"/>
      <c r="J1461" s="7" t="n"/>
      <c r="K1461" s="2" t="inlineStr">
        <is>
          <t>1968: “Good News for All Nations” District Assemblies</t>
        </is>
      </c>
      <c r="L1461" s="2" t="n"/>
      <c r="M1461" s="7" t="inlineStr">
        <is>
          <t>The Watch Tower Publications Index lists the 1968 conventions of Jehovah’s Witnesses as “Good News for All Nations” District Assemblies.</t>
        </is>
      </c>
      <c r="N1461" s="7" t="n"/>
      <c r="O1461" s="13" t="inlineStr">
        <is>
          <t>Jehovah's Witnesses</t>
        </is>
      </c>
      <c r="P1461" s="7" t="inlineStr">
        <is>
          <t>jw.convention</t>
        </is>
      </c>
      <c r="Q1461" s="7" t="inlineStr">
        <is>
          <t>convention</t>
        </is>
      </c>
      <c r="R1461" s="7" t="n"/>
      <c r="S1461" s="7" t="n"/>
      <c r="T1461" s="7" t="n"/>
      <c r="U1461" s="7" t="n"/>
      <c r="V1461" s="7" t="n">
        <v>1</v>
      </c>
      <c r="W1461" s="7" t="inlineStr">
        <is>
          <t>Conventions</t>
        </is>
      </c>
      <c r="X1461" s="9" t="inlineStr">
        <is>
          <t>open</t>
        </is>
      </c>
      <c r="Y1461" s="7" t="n"/>
      <c r="Z1461" s="7" t="inlineStr">
        <is>
          <t>https://wol.jw.org/en/wol/d/r1/lp-e/1200271388</t>
        </is>
      </c>
      <c r="AA1461" s="7" t="n">
        <v>0</v>
      </c>
      <c r="AB1461" s="7" t="n"/>
      <c r="AC1461" s="7" t="n">
        <v>0</v>
      </c>
      <c r="AD1461" s="7" t="n"/>
      <c r="AE1461" s="7" t="n"/>
      <c r="AF1461" s="7" t="n"/>
      <c r="AG1461" s="7" t="n"/>
      <c r="AH1461" s="7" t="n"/>
      <c r="AI1461" s="7" t="inlineStr">
        <is>
          <t>Index list entry – app detail</t>
        </is>
      </c>
      <c r="AJ1461" s="7" t="n"/>
      <c r="AK1461" s="7" t="n"/>
      <c r="AL1461" s="7" t="n"/>
      <c r="AM1461" s="7" t="n">
        <v>1968</v>
      </c>
      <c r="AN1461" s="10" t="n"/>
      <c r="AO1461" s="10" t="n"/>
      <c r="AP1461" s="10" t="n"/>
      <c r="AQ1461" s="10" t="n"/>
    </row>
    <row r="1462">
      <c r="A1462" s="7" t="inlineStr">
        <is>
          <t>b9-0083</t>
        </is>
      </c>
      <c r="B1462" s="7" t="inlineStr">
        <is>
          <t>Point</t>
        </is>
      </c>
      <c r="C1462" s="7" t="n"/>
      <c r="D1462" s="7" t="inlineStr">
        <is>
          <t>1968</t>
        </is>
      </c>
      <c r="E1462" s="7" t="inlineStr">
        <is>
          <t>1968</t>
        </is>
      </c>
      <c r="F1462" s="7" t="inlineStr">
        <is>
          <t>1968 CE</t>
        </is>
      </c>
      <c r="G1462" s="7" t="inlineStr">
        <is>
          <t>Exact</t>
        </is>
      </c>
      <c r="H1462" s="7" t="n"/>
      <c r="I1462" s="7" t="n"/>
      <c r="J1462" s="7" t="n"/>
      <c r="K1462" s="2" t="inlineStr">
        <is>
          <t>The Truth That Leads to Eternal Life published</t>
        </is>
      </c>
      <c r="L1462" s="2" t="inlineStr">
        <is>
          <t>குறிப்பாக, 1968-ல் வெளிவந்த நித்திய ஜீவனுக்கு வழிநடத்துகிற சத்தியம் என்ற புத்தகம் ரொம்பவே பிரயோஜனமாக இருந்தது.</t>
        </is>
      </c>
      <c r="M1462" s="7" t="inlineStr">
        <is>
          <t>The book The Truth That Leads to Eternal Life was first published in 1968; demand was so great that the Brooklyn factory added a night shift. From 1968 to 1982 it helped add over a million publishers.</t>
        </is>
      </c>
      <c r="N1462" s="7" t="inlineStr">
        <is>
          <t>குறிப்பாக, 1968-ல் வெளிவந்த நித்திய ஜீவனுக்கு வழிநடத்துகிற சத்தியம் என்ற புத்தகம் ரொம்பவே பிரயோஜனமாக இருந்தது.</t>
        </is>
      </c>
      <c r="O1462" s="13" t="inlineStr">
        <is>
          <t>Jehovah's Witnesses</t>
        </is>
      </c>
      <c r="P1462" s="7" t="inlineStr">
        <is>
          <t>jw.publication</t>
        </is>
      </c>
      <c r="Q1462" s="7" t="inlineStr">
        <is>
          <t>release</t>
        </is>
      </c>
      <c r="R1462" s="7" t="n"/>
      <c r="S1462" s="7" t="n"/>
      <c r="T1462" s="7" t="n"/>
      <c r="U1462" s="7" t="n"/>
      <c r="V1462" s="7" t="n">
        <v>1</v>
      </c>
      <c r="W1462" s="7" t="inlineStr">
        <is>
          <t>Tools for Preaching</t>
        </is>
      </c>
      <c r="X1462" s="9" t="inlineStr">
        <is>
          <t>open</t>
        </is>
      </c>
      <c r="Y1462" s="9" t="inlineStr">
        <is>
          <t>open</t>
        </is>
      </c>
      <c r="Z1462" s="7" t="inlineStr">
        <is>
          <t>https://wol.jw.org/en/wol/d/r1/lp-e/1102014247</t>
        </is>
      </c>
      <c r="AA1462" s="7" t="n">
        <v>0</v>
      </c>
      <c r="AB1462" s="7" t="n"/>
      <c r="AC1462" s="7" t="n">
        <v>0</v>
      </c>
      <c r="AD1462" s="7" t="n"/>
      <c r="AE1462" s="7" t="n"/>
      <c r="AF1462" s="7" t="n"/>
      <c r="AG1462" s="7" t="n"/>
      <c r="AH1462" s="7" t="n"/>
      <c r="AI1462" s="7" t="n"/>
      <c r="AJ1462" s="7" t="n"/>
      <c r="AK1462" s="7" t="n"/>
      <c r="AL1462" s="7" t="n"/>
      <c r="AM1462" s="7" t="n">
        <v>1968</v>
      </c>
      <c r="AN1462" s="10" t="n"/>
      <c r="AO1462" s="10" t="n"/>
      <c r="AP1462" s="10" t="n"/>
      <c r="AQ1462" s="10" t="n"/>
    </row>
    <row r="1463">
      <c r="A1463" s="7" t="inlineStr">
        <is>
          <t>b9-0085</t>
        </is>
      </c>
      <c r="B1463" s="7" t="inlineStr">
        <is>
          <t>Point</t>
        </is>
      </c>
      <c r="C1463" s="7" t="n"/>
      <c r="D1463" s="7" t="inlineStr">
        <is>
          <t>1969</t>
        </is>
      </c>
      <c r="E1463" s="7" t="n"/>
      <c r="F1463" s="7" t="inlineStr">
        <is>
          <t>1969 CE</t>
        </is>
      </c>
      <c r="G1463" s="7" t="inlineStr">
        <is>
          <t>Exact</t>
        </is>
      </c>
      <c r="H1463" s="7" t="n"/>
      <c r="I1463" s="7" t="n"/>
      <c r="J1463" s="7" t="n"/>
      <c r="K1463" s="2" t="inlineStr">
        <is>
          <t>Home Bible studies exceed one million</t>
        </is>
      </c>
      <c r="L1463" s="2" t="n"/>
      <c r="M1463" s="7" t="inlineStr">
        <is>
          <t>In 1969 home Bible studies conducted by Jehovah’s Witnesses averaged 1,097,237.</t>
        </is>
      </c>
      <c r="N1463" s="7" t="n"/>
      <c r="O1463" s="13" t="inlineStr">
        <is>
          <t>Jehovah's Witnesses</t>
        </is>
      </c>
      <c r="P1463" s="7" t="inlineStr">
        <is>
          <t>jw.preaching</t>
        </is>
      </c>
      <c r="Q1463" s="7" t="inlineStr">
        <is>
          <t>statistic</t>
        </is>
      </c>
      <c r="R1463" s="7" t="n"/>
      <c r="S1463" s="7" t="n"/>
      <c r="T1463" s="7" t="n"/>
      <c r="U1463" s="7" t="n"/>
      <c r="V1463" s="7" t="n">
        <v>1</v>
      </c>
      <c r="W1463" s="7" t="inlineStr">
        <is>
          <t>Noteworthy Events in the Modern-day History of Jehovah’s Witnesses</t>
        </is>
      </c>
      <c r="X1463" s="9" t="inlineStr">
        <is>
          <t>open</t>
        </is>
      </c>
      <c r="Y1463" s="7" t="n"/>
      <c r="Z1463" s="7" t="inlineStr">
        <is>
          <t>https://wol.jw.org/en/wol/d/r1/lp-e/1101993046</t>
        </is>
      </c>
      <c r="AA1463" s="7" t="n">
        <v>0</v>
      </c>
      <c r="AB1463" s="7" t="n"/>
      <c r="AC1463" s="7" t="n">
        <v>0</v>
      </c>
      <c r="AD1463" s="7" t="n"/>
      <c r="AE1463" s="7" t="n"/>
      <c r="AF1463" s="7" t="n"/>
      <c r="AG1463" s="7" t="n"/>
      <c r="AH1463" s="7" t="n"/>
      <c r="AI1463" s="7" t="n"/>
      <c r="AJ1463" s="7" t="n"/>
      <c r="AK1463" s="7" t="n"/>
      <c r="AL1463" s="7" t="n"/>
      <c r="AM1463" s="7" t="n">
        <v>1969</v>
      </c>
      <c r="AN1463" s="10" t="n"/>
      <c r="AO1463" s="10" t="n"/>
      <c r="AP1463" s="10" t="n"/>
      <c r="AQ1463" s="10" t="n"/>
    </row>
    <row r="1464">
      <c r="A1464" s="7" t="inlineStr">
        <is>
          <t>b9-0086</t>
        </is>
      </c>
      <c r="B1464" s="7" t="inlineStr">
        <is>
          <t>Point</t>
        </is>
      </c>
      <c r="C1464" s="7" t="n"/>
      <c r="D1464" s="7" t="inlineStr">
        <is>
          <t>1969</t>
        </is>
      </c>
      <c r="E1464" s="7" t="n"/>
      <c r="F1464" s="7" t="inlineStr">
        <is>
          <t>1969 CE</t>
        </is>
      </c>
      <c r="G1464" s="7" t="inlineStr">
        <is>
          <t>Exact</t>
        </is>
      </c>
      <c r="H1464" s="7" t="n"/>
      <c r="I1464" s="7" t="n"/>
      <c r="J1464" s="7" t="n"/>
      <c r="K1464" s="2" t="inlineStr">
        <is>
          <t>Understanding clarified: great tribulation</t>
        </is>
      </c>
      <c r="L1464" s="2" t="n"/>
      <c r="M1464" s="7" t="inlineStr">
        <is>
          <t>The Watch Tower Publications Index (“Beliefs Clarified,” list by year) records a clarified understanding in 1969 concerning great tribulation. Index references: w99 5/1 16; w94 2/15 17-18.</t>
        </is>
      </c>
      <c r="N1464" s="7" t="n"/>
      <c r="O1464" s="13" t="inlineStr">
        <is>
          <t>Jehovah's Witnesses</t>
        </is>
      </c>
      <c r="P1464" s="7" t="inlineStr">
        <is>
          <t>jw.doctrine</t>
        </is>
      </c>
      <c r="Q1464" s="7" t="inlineStr">
        <is>
          <t>beliefs_clarified</t>
        </is>
      </c>
      <c r="R1464" s="7" t="n"/>
      <c r="S1464" s="7" t="n"/>
      <c r="T1464" s="7" t="n"/>
      <c r="U1464" s="7" t="n"/>
      <c r="V1464" s="7" t="n">
        <v>1</v>
      </c>
      <c r="W1464" s="7" t="inlineStr">
        <is>
          <t>Beliefs Clarified</t>
        </is>
      </c>
      <c r="X1464" s="9" t="inlineStr">
        <is>
          <t>open</t>
        </is>
      </c>
      <c r="Y1464" s="7" t="n"/>
      <c r="Z1464" s="7" t="inlineStr">
        <is>
          <t>https://wol.jw.org/en/wol/d/r1/lp-e/1200277174</t>
        </is>
      </c>
      <c r="AA1464" s="7" t="n">
        <v>0</v>
      </c>
      <c r="AB1464" s="7" t="n"/>
      <c r="AC1464" s="7" t="n">
        <v>0</v>
      </c>
      <c r="AD1464" s="7" t="n"/>
      <c r="AE1464" s="7" t="n"/>
      <c r="AF1464" s="7" t="n"/>
      <c r="AG1464" s="7" t="n"/>
      <c r="AH1464" s="7" t="n"/>
      <c r="AI1464" s="7" t="inlineStr">
        <is>
          <t>Index list entry – app detail</t>
        </is>
      </c>
      <c r="AJ1464" s="7" t="n"/>
      <c r="AK1464" s="7" t="n"/>
      <c r="AL1464" s="7" t="n"/>
      <c r="AM1464" s="7" t="n">
        <v>1969</v>
      </c>
      <c r="AN1464" s="10" t="n"/>
      <c r="AO1464" s="10" t="n"/>
      <c r="AP1464" s="10" t="n"/>
      <c r="AQ1464" s="10" t="n"/>
    </row>
    <row r="1465">
      <c r="A1465" s="7" t="inlineStr">
        <is>
          <t>b9-0087</t>
        </is>
      </c>
      <c r="B1465" s="7" t="inlineStr">
        <is>
          <t>Point</t>
        </is>
      </c>
      <c r="C1465" s="7" t="n"/>
      <c r="D1465" s="7" t="inlineStr">
        <is>
          <t>1969</t>
        </is>
      </c>
      <c r="E1465" s="7" t="n"/>
      <c r="F1465" s="7" t="inlineStr">
        <is>
          <t>1969 CE</t>
        </is>
      </c>
      <c r="G1465" s="7" t="inlineStr">
        <is>
          <t>Exact</t>
        </is>
      </c>
      <c r="H1465" s="7" t="n"/>
      <c r="I1465" s="7" t="n"/>
      <c r="J1465" s="7" t="n"/>
      <c r="K1465" s="2" t="inlineStr">
        <is>
          <t>Understanding clarified: Revelation</t>
        </is>
      </c>
      <c r="L1465" s="2" t="n"/>
      <c r="M1465" s="7" t="inlineStr">
        <is>
          <t>The Watch Tower Publications Index (“Beliefs Clarified,” list by year) records a clarified understanding in 1969 concerning Revelation. Index references: w95 5/15 21; jv 148.</t>
        </is>
      </c>
      <c r="N1465" s="7" t="n"/>
      <c r="O1465" s="13" t="inlineStr">
        <is>
          <t>Jehovah's Witnesses</t>
        </is>
      </c>
      <c r="P1465" s="7" t="inlineStr">
        <is>
          <t>jw.doctrine</t>
        </is>
      </c>
      <c r="Q1465" s="7" t="inlineStr">
        <is>
          <t>beliefs_clarified</t>
        </is>
      </c>
      <c r="R1465" s="7" t="n"/>
      <c r="S1465" s="7" t="n"/>
      <c r="T1465" s="7" t="n"/>
      <c r="U1465" s="7" t="n"/>
      <c r="V1465" s="7" t="n">
        <v>1</v>
      </c>
      <c r="W1465" s="7" t="inlineStr">
        <is>
          <t>Beliefs Clarified</t>
        </is>
      </c>
      <c r="X1465" s="9" t="inlineStr">
        <is>
          <t>open</t>
        </is>
      </c>
      <c r="Y1465" s="7" t="n"/>
      <c r="Z1465" s="7" t="inlineStr">
        <is>
          <t>https://wol.jw.org/en/wol/d/r1/lp-e/1200277174</t>
        </is>
      </c>
      <c r="AA1465" s="7" t="n">
        <v>0</v>
      </c>
      <c r="AB1465" s="7" t="n"/>
      <c r="AC1465" s="7" t="n">
        <v>0</v>
      </c>
      <c r="AD1465" s="7" t="n"/>
      <c r="AE1465" s="7" t="n"/>
      <c r="AF1465" s="7" t="n"/>
      <c r="AG1465" s="7" t="n"/>
      <c r="AH1465" s="7" t="n"/>
      <c r="AI1465" s="7" t="inlineStr">
        <is>
          <t>Index list entry – app detail</t>
        </is>
      </c>
      <c r="AJ1465" s="7" t="n"/>
      <c r="AK1465" s="7" t="n"/>
      <c r="AL1465" s="7" t="n"/>
      <c r="AM1465" s="7" t="n">
        <v>1969</v>
      </c>
      <c r="AN1465" s="10" t="n"/>
      <c r="AO1465" s="10" t="n"/>
      <c r="AP1465" s="10" t="n"/>
      <c r="AQ1465" s="10" t="n"/>
    </row>
    <row r="1466">
      <c r="A1466" s="7" t="inlineStr">
        <is>
          <t>b9-0088</t>
        </is>
      </c>
      <c r="B1466" s="7" t="inlineStr">
        <is>
          <t>Point</t>
        </is>
      </c>
      <c r="C1466" s="7" t="n"/>
      <c r="D1466" s="7" t="inlineStr">
        <is>
          <t>1969</t>
        </is>
      </c>
      <c r="E1466" s="7" t="n"/>
      <c r="F1466" s="7" t="inlineStr">
        <is>
          <t>1969 CE</t>
        </is>
      </c>
      <c r="G1466" s="7" t="inlineStr">
        <is>
          <t>Exact</t>
        </is>
      </c>
      <c r="H1466" s="7" t="n"/>
      <c r="I1466" s="7" t="n"/>
      <c r="J1466" s="7" t="n"/>
      <c r="K1466" s="2" t="inlineStr">
        <is>
          <t>1969: “Peace on Earth” International Assemblies</t>
        </is>
      </c>
      <c r="L1466" s="2" t="n"/>
      <c r="M1466" s="7" t="inlineStr">
        <is>
          <t>The Watch Tower Publications Index lists the 1969 conventions of Jehovah’s Witnesses as “Peace on Earth” International Assemblies.</t>
        </is>
      </c>
      <c r="N1466" s="7" t="n"/>
      <c r="O1466" s="13" t="inlineStr">
        <is>
          <t>Jehovah's Witnesses</t>
        </is>
      </c>
      <c r="P1466" s="7" t="inlineStr">
        <is>
          <t>jw.convention</t>
        </is>
      </c>
      <c r="Q1466" s="7" t="inlineStr">
        <is>
          <t>convention</t>
        </is>
      </c>
      <c r="R1466" s="7" t="n"/>
      <c r="S1466" s="7" t="n"/>
      <c r="T1466" s="7" t="n"/>
      <c r="U1466" s="7" t="n"/>
      <c r="V1466" s="7" t="n">
        <v>1</v>
      </c>
      <c r="W1466" s="7" t="inlineStr">
        <is>
          <t>Conventions</t>
        </is>
      </c>
      <c r="X1466" s="9" t="inlineStr">
        <is>
          <t>open</t>
        </is>
      </c>
      <c r="Y1466" s="7" t="n"/>
      <c r="Z1466" s="7" t="inlineStr">
        <is>
          <t>https://wol.jw.org/en/wol/d/r1/lp-e/1200271388</t>
        </is>
      </c>
      <c r="AA1466" s="7" t="n">
        <v>0</v>
      </c>
      <c r="AB1466" s="7" t="n"/>
      <c r="AC1466" s="7" t="n">
        <v>0</v>
      </c>
      <c r="AD1466" s="7" t="n"/>
      <c r="AE1466" s="7" t="n"/>
      <c r="AF1466" s="7" t="n"/>
      <c r="AG1466" s="7" t="n"/>
      <c r="AH1466" s="7" t="n"/>
      <c r="AI1466" s="7" t="inlineStr">
        <is>
          <t>Index list entry – app detail</t>
        </is>
      </c>
      <c r="AJ1466" s="7" t="n"/>
      <c r="AK1466" s="7" t="n"/>
      <c r="AL1466" s="7" t="n"/>
      <c r="AM1466" s="7" t="n">
        <v>1969</v>
      </c>
      <c r="AN1466" s="10" t="n"/>
      <c r="AO1466" s="10" t="n"/>
      <c r="AP1466" s="10" t="n"/>
      <c r="AQ1466" s="10" t="n"/>
    </row>
    <row r="1467">
      <c r="A1467" s="7" t="inlineStr">
        <is>
          <t>b9-0084</t>
        </is>
      </c>
      <c r="B1467" s="11" t="inlineStr">
        <is>
          <t>Span</t>
        </is>
      </c>
      <c r="C1467" s="7" t="inlineStr">
        <is>
          <t>broadcast</t>
        </is>
      </c>
      <c r="D1467" s="7" t="inlineStr">
        <is>
          <t>1969-1977</t>
        </is>
      </c>
      <c r="E1467" s="7" t="n"/>
      <c r="F1467" s="7" t="inlineStr">
        <is>
          <t>1969 CE</t>
        </is>
      </c>
      <c r="G1467" s="7" t="inlineStr">
        <is>
          <t>Exact</t>
        </is>
      </c>
      <c r="H1467" s="7" t="inlineStr">
        <is>
          <t>1977 CE</t>
        </is>
      </c>
      <c r="I1467" s="7" t="inlineStr">
        <is>
          <t>Exact</t>
        </is>
      </c>
      <c r="J1467" s="7" t="inlineStr">
        <is>
          <t>8 years</t>
        </is>
      </c>
      <c r="K1467" s="2" t="inlineStr">
        <is>
          <t>Radio series “All Scripture Is Beneficial” produced</t>
        </is>
      </c>
      <c r="L1467" s="2" t="inlineStr">
        <is>
          <t>ரேடியோவில் ஒலிபரப்புவதற்காக 1969-லிருந்து 1977 வரையில் “வேதவசனங்கள் எல்லாம் பிரயோஜனமுள்ளவை”</t>
        </is>
      </c>
      <c r="M1467" s="7" t="inlineStr">
        <is>
          <t>From 1969 to 1977 the organization produced more than 350 recorded radio programs in the series “All Scripture Is Beneficial.”</t>
        </is>
      </c>
      <c r="N1467" s="7" t="inlineStr">
        <is>
          <t>ரேடியோவில் ஒலிபரப்புவதற்காக 1969-லிருந்து 1977 வரையில் “வேதவசனங்கள் எல்லாம் பிரயோஜனமுள்ளவை”</t>
        </is>
      </c>
      <c r="O1467" s="13" t="inlineStr">
        <is>
          <t>Jehovah's Witnesses</t>
        </is>
      </c>
      <c r="P1467" s="7" t="inlineStr">
        <is>
          <t>jw.preaching</t>
        </is>
      </c>
      <c r="Q1467" s="7" t="n"/>
      <c r="R1467" s="7" t="n"/>
      <c r="S1467" s="7" t="n"/>
      <c r="T1467" s="7" t="n"/>
      <c r="U1467" s="7" t="n"/>
      <c r="V1467" s="7" t="n">
        <v>1</v>
      </c>
      <c r="W1467" s="7" t="inlineStr">
        <is>
          <t>Methods of Preaching</t>
        </is>
      </c>
      <c r="X1467" s="9" t="inlineStr">
        <is>
          <t>open</t>
        </is>
      </c>
      <c r="Y1467" s="9" t="inlineStr">
        <is>
          <t>open</t>
        </is>
      </c>
      <c r="Z1467" s="7" t="inlineStr">
        <is>
          <t>https://wol.jw.org/en/wol/d/r1/lp-e/1102014246</t>
        </is>
      </c>
      <c r="AA1467" s="7" t="n">
        <v>0</v>
      </c>
      <c r="AB1467" s="7" t="n"/>
      <c r="AC1467" s="7" t="n">
        <v>0</v>
      </c>
      <c r="AD1467" s="7" t="n"/>
      <c r="AE1467" s="7" t="n"/>
      <c r="AF1467" s="7" t="n"/>
      <c r="AG1467" s="7" t="n"/>
      <c r="AH1467" s="7" t="n"/>
      <c r="AI1467" s="7" t="n"/>
      <c r="AJ1467" s="7" t="n"/>
      <c r="AK1467" s="7" t="n"/>
      <c r="AL1467" s="7" t="n"/>
      <c r="AM1467" s="7" t="n">
        <v>1969</v>
      </c>
      <c r="AN1467" s="10" t="n"/>
      <c r="AO1467" s="10" t="n"/>
      <c r="AP1467" s="10" t="n"/>
      <c r="AQ1467" s="10" t="n"/>
    </row>
    <row r="1468">
      <c r="A1468" s="7" t="inlineStr">
        <is>
          <t>b9-0089</t>
        </is>
      </c>
      <c r="B1468" s="7" t="inlineStr">
        <is>
          <t>Point</t>
        </is>
      </c>
      <c r="C1468" s="7" t="n"/>
      <c r="D1468" s="7" t="inlineStr">
        <is>
          <t>1970</t>
        </is>
      </c>
      <c r="E1468" s="7" t="n"/>
      <c r="F1468" s="7" t="inlineStr">
        <is>
          <t>1970 CE</t>
        </is>
      </c>
      <c r="G1468" s="7" t="inlineStr">
        <is>
          <t>Exact</t>
        </is>
      </c>
      <c r="H1468" s="7" t="n"/>
      <c r="I1468" s="7" t="n"/>
      <c r="J1468" s="7" t="n"/>
      <c r="K1468" s="2" t="inlineStr">
        <is>
          <t>1970: “Men of Goodwill” District Assemblies</t>
        </is>
      </c>
      <c r="L1468" s="2" t="n"/>
      <c r="M1468" s="7" t="inlineStr">
        <is>
          <t>The Watch Tower Publications Index lists the 1970 conventions of Jehovah’s Witnesses as “Men of Goodwill” District Assemblies.</t>
        </is>
      </c>
      <c r="N1468" s="7" t="n"/>
      <c r="O1468" s="13" t="inlineStr">
        <is>
          <t>Jehovah's Witnesses</t>
        </is>
      </c>
      <c r="P1468" s="7" t="inlineStr">
        <is>
          <t>jw.convention</t>
        </is>
      </c>
      <c r="Q1468" s="7" t="inlineStr">
        <is>
          <t>convention</t>
        </is>
      </c>
      <c r="R1468" s="7" t="n"/>
      <c r="S1468" s="7" t="n"/>
      <c r="T1468" s="7" t="n"/>
      <c r="U1468" s="7" t="n"/>
      <c r="V1468" s="7" t="n">
        <v>1</v>
      </c>
      <c r="W1468" s="7" t="inlineStr">
        <is>
          <t>Conventions</t>
        </is>
      </c>
      <c r="X1468" s="9" t="inlineStr">
        <is>
          <t>open</t>
        </is>
      </c>
      <c r="Y1468" s="7" t="n"/>
      <c r="Z1468" s="7" t="inlineStr">
        <is>
          <t>https://wol.jw.org/en/wol/d/r1/lp-e/1200271388</t>
        </is>
      </c>
      <c r="AA1468" s="7" t="n">
        <v>0</v>
      </c>
      <c r="AB1468" s="7" t="n"/>
      <c r="AC1468" s="7" t="n">
        <v>0</v>
      </c>
      <c r="AD1468" s="7" t="n"/>
      <c r="AE1468" s="7" t="n"/>
      <c r="AF1468" s="7" t="n"/>
      <c r="AG1468" s="7" t="n"/>
      <c r="AH1468" s="7" t="n"/>
      <c r="AI1468" s="7" t="inlineStr">
        <is>
          <t>Index list entry – app detail</t>
        </is>
      </c>
      <c r="AJ1468" s="7" t="n"/>
      <c r="AK1468" s="7" t="n"/>
      <c r="AL1468" s="7" t="n"/>
      <c r="AM1468" s="7" t="n">
        <v>1970</v>
      </c>
      <c r="AN1468" s="10" t="n"/>
      <c r="AO1468" s="10" t="n"/>
      <c r="AP1468" s="10" t="n"/>
      <c r="AQ1468" s="10" t="n"/>
    </row>
    <row r="1469">
      <c r="A1469" s="7" t="inlineStr">
        <is>
          <t>b9-0090</t>
        </is>
      </c>
      <c r="B1469" s="7" t="inlineStr">
        <is>
          <t>Point</t>
        </is>
      </c>
      <c r="C1469" s="7" t="n"/>
      <c r="D1469" s="7" t="inlineStr">
        <is>
          <t>1971</t>
        </is>
      </c>
      <c r="E1469" s="7" t="n"/>
      <c r="F1469" s="7" t="inlineStr">
        <is>
          <t>1971 CE</t>
        </is>
      </c>
      <c r="G1469" s="7" t="inlineStr">
        <is>
          <t>Exact</t>
        </is>
      </c>
      <c r="H1469" s="7" t="n"/>
      <c r="I1469" s="7" t="n"/>
      <c r="J1469" s="7" t="n"/>
      <c r="K1469" s="2" t="inlineStr">
        <is>
          <t>Understanding clarified: elder arrangement</t>
        </is>
      </c>
      <c r="L1469" s="2" t="n"/>
      <c r="M1469" s="7" t="inlineStr">
        <is>
          <t>The Watch Tower Publications Index (“Beliefs Clarified,” list by year) records a clarified understanding in 1971 concerning elder arrangement. Index references: w95 5/15 22; jv 106, 233.</t>
        </is>
      </c>
      <c r="N1469" s="7" t="n"/>
      <c r="O1469" s="13" t="inlineStr">
        <is>
          <t>Jehovah's Witnesses</t>
        </is>
      </c>
      <c r="P1469" s="7" t="inlineStr">
        <is>
          <t>jw.doctrine</t>
        </is>
      </c>
      <c r="Q1469" s="7" t="inlineStr">
        <is>
          <t>beliefs_clarified</t>
        </is>
      </c>
      <c r="R1469" s="7" t="n"/>
      <c r="S1469" s="7" t="n"/>
      <c r="T1469" s="7" t="n"/>
      <c r="U1469" s="7" t="n"/>
      <c r="V1469" s="7" t="n">
        <v>1</v>
      </c>
      <c r="W1469" s="7" t="inlineStr">
        <is>
          <t>Beliefs Clarified</t>
        </is>
      </c>
      <c r="X1469" s="9" t="inlineStr">
        <is>
          <t>open</t>
        </is>
      </c>
      <c r="Y1469" s="7" t="n"/>
      <c r="Z1469" s="7" t="inlineStr">
        <is>
          <t>https://wol.jw.org/en/wol/d/r1/lp-e/1200277174</t>
        </is>
      </c>
      <c r="AA1469" s="7" t="n">
        <v>0</v>
      </c>
      <c r="AB1469" s="7" t="n"/>
      <c r="AC1469" s="7" t="n">
        <v>0</v>
      </c>
      <c r="AD1469" s="7" t="n"/>
      <c r="AE1469" s="7" t="n"/>
      <c r="AF1469" s="7" t="n"/>
      <c r="AG1469" s="7" t="n"/>
      <c r="AH1469" s="7" t="n"/>
      <c r="AI1469" s="7" t="inlineStr">
        <is>
          <t>Index list entry – app detail</t>
        </is>
      </c>
      <c r="AJ1469" s="7" t="n"/>
      <c r="AK1469" s="7" t="n"/>
      <c r="AL1469" s="7" t="n"/>
      <c r="AM1469" s="7" t="n">
        <v>1971</v>
      </c>
      <c r="AN1469" s="10" t="n"/>
      <c r="AO1469" s="10" t="n"/>
      <c r="AP1469" s="10" t="n"/>
      <c r="AQ1469" s="10" t="n"/>
    </row>
    <row r="1470">
      <c r="A1470" s="7" t="inlineStr">
        <is>
          <t>b9-0091</t>
        </is>
      </c>
      <c r="B1470" s="7" t="inlineStr">
        <is>
          <t>Point</t>
        </is>
      </c>
      <c r="C1470" s="7" t="n"/>
      <c r="D1470" s="7" t="inlineStr">
        <is>
          <t>1971</t>
        </is>
      </c>
      <c r="E1470" s="7" t="n"/>
      <c r="F1470" s="7" t="inlineStr">
        <is>
          <t>1971 CE</t>
        </is>
      </c>
      <c r="G1470" s="7" t="inlineStr">
        <is>
          <t>Exact</t>
        </is>
      </c>
      <c r="H1470" s="7" t="n"/>
      <c r="I1470" s="7" t="n"/>
      <c r="J1470" s="7" t="n"/>
      <c r="K1470" s="2" t="inlineStr">
        <is>
          <t>1971: “Divine Name” District Assemblies</t>
        </is>
      </c>
      <c r="L1470" s="2" t="n"/>
      <c r="M1470" s="7" t="inlineStr">
        <is>
          <t>The Watch Tower Publications Index lists the 1971 conventions of Jehovah’s Witnesses as “Divine Name” District Assemblies.</t>
        </is>
      </c>
      <c r="N1470" s="7" t="n"/>
      <c r="O1470" s="13" t="inlineStr">
        <is>
          <t>Jehovah's Witnesses</t>
        </is>
      </c>
      <c r="P1470" s="7" t="inlineStr">
        <is>
          <t>jw.convention</t>
        </is>
      </c>
      <c r="Q1470" s="7" t="inlineStr">
        <is>
          <t>convention</t>
        </is>
      </c>
      <c r="R1470" s="7" t="n"/>
      <c r="S1470" s="7" t="n"/>
      <c r="T1470" s="7" t="n"/>
      <c r="U1470" s="7" t="n"/>
      <c r="V1470" s="7" t="n">
        <v>1</v>
      </c>
      <c r="W1470" s="7" t="inlineStr">
        <is>
          <t>Conventions</t>
        </is>
      </c>
      <c r="X1470" s="9" t="inlineStr">
        <is>
          <t>open</t>
        </is>
      </c>
      <c r="Y1470" s="7" t="n"/>
      <c r="Z1470" s="7" t="inlineStr">
        <is>
          <t>https://wol.jw.org/en/wol/d/r1/lp-e/1200271388</t>
        </is>
      </c>
      <c r="AA1470" s="7" t="n">
        <v>0</v>
      </c>
      <c r="AB1470" s="7" t="n"/>
      <c r="AC1470" s="7" t="n">
        <v>0</v>
      </c>
      <c r="AD1470" s="7" t="n"/>
      <c r="AE1470" s="7" t="n"/>
      <c r="AF1470" s="7" t="n"/>
      <c r="AG1470" s="7" t="n"/>
      <c r="AH1470" s="7" t="n"/>
      <c r="AI1470" s="7" t="inlineStr">
        <is>
          <t>Index list entry – app detail</t>
        </is>
      </c>
      <c r="AJ1470" s="7" t="n"/>
      <c r="AK1470" s="7" t="n"/>
      <c r="AL1470" s="7" t="n"/>
      <c r="AM1470" s="7" t="n">
        <v>1971</v>
      </c>
      <c r="AN1470" s="10" t="n"/>
      <c r="AO1470" s="10" t="n"/>
      <c r="AP1470" s="10" t="n"/>
      <c r="AQ1470" s="10" t="n"/>
    </row>
    <row r="1471">
      <c r="A1471" s="7" t="inlineStr">
        <is>
          <t>b9-0092</t>
        </is>
      </c>
      <c r="B1471" s="7" t="inlineStr">
        <is>
          <t>Point</t>
        </is>
      </c>
      <c r="C1471" s="7" t="n"/>
      <c r="D1471" s="7" t="inlineStr">
        <is>
          <t>1971</t>
        </is>
      </c>
      <c r="E1471" s="7" t="inlineStr">
        <is>
          <t>1971</t>
        </is>
      </c>
      <c r="F1471" s="7" t="inlineStr">
        <is>
          <t>1971 CE</t>
        </is>
      </c>
      <c r="G1471" s="7" t="inlineStr">
        <is>
          <t>Exact</t>
        </is>
      </c>
      <c r="H1471" s="7" t="n"/>
      <c r="I1471" s="7" t="n"/>
      <c r="J1471" s="7" t="n"/>
      <c r="K1471" s="2" t="inlineStr">
        <is>
          <t>Governing Body enlarged and separated from board of directors</t>
        </is>
      </c>
      <c r="L1471" s="2" t="inlineStr">
        <is>
          <t>ஆனால், 1971-ல் ஆளும் குழு அங்கத்தினர்களின் எண்ணிக்கை 7-லிருந்து 11-ஆக உயர்த்தப்பட்ட பிறகு, இயக்குநர் குழுவும் ஆளும் குழுவும் தனித்தனியாகச்…</t>
        </is>
      </c>
      <c r="M1471" s="7" t="inlineStr">
        <is>
          <t>In 1971 the Governing Body was enlarged from 7 to 11 members and was no longer identified with the board of directors of the Watch Tower Society.</t>
        </is>
      </c>
      <c r="N1471" s="7" t="inlineStr">
        <is>
          <t>ஆனால், 1971-ல் ஆளும் குழு அங்கத்தினர்களின் எண்ணிக்கை 7-லிருந்து 11-ஆக உயர்த்தப்பட்ட பிறகு, இயக்குநர் குழுவும் ஆளும் குழுவும் தனித்தனியாகச் செயல்பட்டது.</t>
        </is>
      </c>
      <c r="O1471" s="13" t="inlineStr">
        <is>
          <t>Jehovah's Witnesses</t>
        </is>
      </c>
      <c r="P1471" s="7" t="inlineStr">
        <is>
          <t>jw.leadership</t>
        </is>
      </c>
      <c r="Q1471" s="7" t="n"/>
      <c r="R1471" s="7" t="n"/>
      <c r="S1471" s="7" t="n"/>
      <c r="T1471" s="7" t="n"/>
      <c r="U1471" s="7" t="n"/>
      <c r="V1471" s="7" t="n">
        <v>3</v>
      </c>
      <c r="W1471" s="7" t="inlineStr">
        <is>
          <t>Noteworthy Events in the Modern-day History of Jehovah’s Witnesses</t>
        </is>
      </c>
      <c r="X1471" s="9" t="inlineStr">
        <is>
          <t>open</t>
        </is>
      </c>
      <c r="Y1471" s="7" t="n"/>
      <c r="Z1471" s="7" t="inlineStr">
        <is>
          <t>https://wol.jw.org/en/wol/d/r1/lp-e/1101993046
https://wol.jw.org/en/wol/d/r1/lp-e/1102014251
https://wol.jw.org/en/wol/d/r1/lp-e/1200277174</t>
        </is>
      </c>
      <c r="AA1471" s="7" t="n">
        <v>0</v>
      </c>
      <c r="AB1471" s="7" t="n"/>
      <c r="AC1471" s="7" t="n">
        <v>0</v>
      </c>
      <c r="AD1471" s="7" t="n"/>
      <c r="AE1471" s="7" t="n"/>
      <c r="AF1471" s="7" t="n"/>
      <c r="AG1471" s="7" t="n"/>
      <c r="AH1471" s="7" t="n"/>
      <c r="AI1471" s="7" t="n"/>
      <c r="AJ1471" s="7" t="n"/>
      <c r="AK1471" s="7" t="n"/>
      <c r="AL1471" s="7" t="n"/>
      <c r="AM1471" s="7" t="n">
        <v>1971</v>
      </c>
      <c r="AN1471" s="10" t="n"/>
      <c r="AO1471" s="10" t="n"/>
      <c r="AP1471" s="10" t="n"/>
      <c r="AQ1471" s="10" t="n"/>
    </row>
    <row r="1472">
      <c r="A1472" s="7" t="inlineStr">
        <is>
          <t>b9-0093</t>
        </is>
      </c>
      <c r="B1472" s="7" t="inlineStr">
        <is>
          <t>Point</t>
        </is>
      </c>
      <c r="C1472" s="7" t="n"/>
      <c r="D1472" s="7" t="inlineStr">
        <is>
          <t>1971, October 1</t>
        </is>
      </c>
      <c r="E1472" s="7" t="n"/>
      <c r="F1472" s="7" t="inlineStr">
        <is>
          <t>1971 CE</t>
        </is>
      </c>
      <c r="G1472" s="7" t="inlineStr">
        <is>
          <t>Exact</t>
        </is>
      </c>
      <c r="H1472" s="7" t="n"/>
      <c r="I1472" s="7" t="n"/>
      <c r="J1472" s="7" t="n"/>
      <c r="K1472" s="2" t="inlineStr">
        <is>
          <t>Governing Body chairmanship begins to rotate annually</t>
        </is>
      </c>
      <c r="L1472" s="2" t="n"/>
      <c r="M1472" s="7" t="inlineStr">
        <is>
          <t>On October 1, 1971, the chairmanship of the Governing Body began rotating among its members on an annual basis.</t>
        </is>
      </c>
      <c r="N1472" s="7" t="n"/>
      <c r="O1472" s="13" t="inlineStr">
        <is>
          <t>Jehovah's Witnesses</t>
        </is>
      </c>
      <c r="P1472" s="7" t="inlineStr">
        <is>
          <t>jw.leadership</t>
        </is>
      </c>
      <c r="Q1472" s="7" t="n"/>
      <c r="R1472" s="7" t="n"/>
      <c r="S1472" s="7" t="n"/>
      <c r="T1472" s="7" t="n"/>
      <c r="U1472" s="7" t="n"/>
      <c r="V1472" s="7" t="n">
        <v>1</v>
      </c>
      <c r="W1472" s="7" t="inlineStr">
        <is>
          <t>Noteworthy Events in the Modern-day History of Jehovah’s Witnesses</t>
        </is>
      </c>
      <c r="X1472" s="9" t="inlineStr">
        <is>
          <t>open</t>
        </is>
      </c>
      <c r="Y1472" s="7" t="n"/>
      <c r="Z1472" s="7" t="inlineStr">
        <is>
          <t>https://wol.jw.org/en/wol/d/r1/lp-e/1101993046</t>
        </is>
      </c>
      <c r="AA1472" s="7" t="n">
        <v>0</v>
      </c>
      <c r="AB1472" s="7" t="n"/>
      <c r="AC1472" s="7" t="n">
        <v>0</v>
      </c>
      <c r="AD1472" s="7" t="n"/>
      <c r="AE1472" s="7" t="n"/>
      <c r="AF1472" s="7" t="n"/>
      <c r="AG1472" s="7" t="n"/>
      <c r="AH1472" s="7" t="n"/>
      <c r="AI1472" s="7" t="n"/>
      <c r="AJ1472" s="7" t="n"/>
      <c r="AK1472" s="7" t="n"/>
      <c r="AL1472" s="7" t="n"/>
      <c r="AM1472" s="7" t="n">
        <v>1971.75</v>
      </c>
      <c r="AN1472" s="10" t="n"/>
      <c r="AO1472" s="10" t="n"/>
      <c r="AP1472" s="10" t="n"/>
      <c r="AQ1472" s="10" t="n"/>
    </row>
    <row r="1473">
      <c r="A1473" s="7" t="inlineStr">
        <is>
          <t>b9-0094</t>
        </is>
      </c>
      <c r="B1473" s="7" t="inlineStr">
        <is>
          <t>Point</t>
        </is>
      </c>
      <c r="C1473" s="7" t="n"/>
      <c r="D1473" s="7" t="inlineStr">
        <is>
          <t>1972</t>
        </is>
      </c>
      <c r="E1473" s="7" t="n"/>
      <c r="F1473" s="7" t="inlineStr">
        <is>
          <t>1972 CE</t>
        </is>
      </c>
      <c r="G1473" s="7" t="inlineStr">
        <is>
          <t>Exact</t>
        </is>
      </c>
      <c r="H1473" s="7" t="n"/>
      <c r="I1473" s="7" t="n"/>
      <c r="J1473" s="7" t="n"/>
      <c r="K1473" s="2" t="inlineStr">
        <is>
          <t>Understanding clarified: appointment of elders and ministerial servants</t>
        </is>
      </c>
      <c r="L1473" s="2" t="n"/>
      <c r="M1473" s="7" t="inlineStr">
        <is>
          <t>The Watch Tower Publications Index (“Beliefs Clarified,” list by year) records a clarified understanding in 1972 concerning appointment of elders and ministerial servants. Index references: w23.05 18; w06 5/15 24.</t>
        </is>
      </c>
      <c r="N1473" s="7" t="n"/>
      <c r="O1473" s="13" t="inlineStr">
        <is>
          <t>Jehovah's Witnesses</t>
        </is>
      </c>
      <c r="P1473" s="7" t="inlineStr">
        <is>
          <t>jw.doctrine</t>
        </is>
      </c>
      <c r="Q1473" s="7" t="inlineStr">
        <is>
          <t>beliefs_clarified</t>
        </is>
      </c>
      <c r="R1473" s="7" t="n"/>
      <c r="S1473" s="7" t="n"/>
      <c r="T1473" s="7" t="n"/>
      <c r="U1473" s="7" t="n"/>
      <c r="V1473" s="7" t="n">
        <v>1</v>
      </c>
      <c r="W1473" s="7" t="inlineStr">
        <is>
          <t>Beliefs Clarified</t>
        </is>
      </c>
      <c r="X1473" s="9" t="inlineStr">
        <is>
          <t>open</t>
        </is>
      </c>
      <c r="Y1473" s="7" t="n"/>
      <c r="Z1473" s="7" t="inlineStr">
        <is>
          <t>https://wol.jw.org/en/wol/d/r1/lp-e/1200277174</t>
        </is>
      </c>
      <c r="AA1473" s="7" t="n">
        <v>0</v>
      </c>
      <c r="AB1473" s="7" t="n"/>
      <c r="AC1473" s="7" t="n">
        <v>0</v>
      </c>
      <c r="AD1473" s="7" t="n"/>
      <c r="AE1473" s="7" t="n"/>
      <c r="AF1473" s="7" t="n"/>
      <c r="AG1473" s="7" t="n"/>
      <c r="AH1473" s="7" t="n"/>
      <c r="AI1473" s="7" t="inlineStr">
        <is>
          <t>Index list entry – app detail</t>
        </is>
      </c>
      <c r="AJ1473" s="7" t="n"/>
      <c r="AK1473" s="7" t="n"/>
      <c r="AL1473" s="7" t="n"/>
      <c r="AM1473" s="7" t="n">
        <v>1972</v>
      </c>
      <c r="AN1473" s="10" t="n"/>
      <c r="AO1473" s="10" t="n"/>
      <c r="AP1473" s="10" t="n"/>
      <c r="AQ1473" s="10" t="n"/>
    </row>
    <row r="1474">
      <c r="A1474" s="7" t="inlineStr">
        <is>
          <t>b9-0095</t>
        </is>
      </c>
      <c r="B1474" s="7" t="inlineStr">
        <is>
          <t>Point</t>
        </is>
      </c>
      <c r="C1474" s="7" t="n"/>
      <c r="D1474" s="7" t="inlineStr">
        <is>
          <t>1972</t>
        </is>
      </c>
      <c r="E1474" s="7" t="n"/>
      <c r="F1474" s="7" t="inlineStr">
        <is>
          <t>1972 CE</t>
        </is>
      </c>
      <c r="G1474" s="7" t="inlineStr">
        <is>
          <t>Exact</t>
        </is>
      </c>
      <c r="H1474" s="7" t="n"/>
      <c r="I1474" s="7" t="n"/>
      <c r="J1474" s="7" t="n"/>
      <c r="K1474" s="2" t="inlineStr">
        <is>
          <t>Understanding clarified: Jehovah’s great spiritual temple</t>
        </is>
      </c>
      <c r="L1474" s="2" t="n"/>
      <c r="M1474" s="7" t="inlineStr">
        <is>
          <t>The Watch Tower Publications Index (“Beliefs Clarified,” list by year) records a clarified understanding in 1972 concerning Jehovah’s great spiritual temple. Index references: w10 7/15 22; w00 3/15 13-14.</t>
        </is>
      </c>
      <c r="N1474" s="7" t="n"/>
      <c r="O1474" s="13" t="inlineStr">
        <is>
          <t>Jehovah's Witnesses</t>
        </is>
      </c>
      <c r="P1474" s="7" t="inlineStr">
        <is>
          <t>jw.doctrine</t>
        </is>
      </c>
      <c r="Q1474" s="7" t="inlineStr">
        <is>
          <t>beliefs_clarified</t>
        </is>
      </c>
      <c r="R1474" s="7" t="n"/>
      <c r="S1474" s="7" t="n"/>
      <c r="T1474" s="7" t="n"/>
      <c r="U1474" s="7" t="n"/>
      <c r="V1474" s="7" t="n">
        <v>1</v>
      </c>
      <c r="W1474" s="7" t="inlineStr">
        <is>
          <t>Beliefs Clarified</t>
        </is>
      </c>
      <c r="X1474" s="9" t="inlineStr">
        <is>
          <t>open</t>
        </is>
      </c>
      <c r="Y1474" s="7" t="n"/>
      <c r="Z1474" s="7" t="inlineStr">
        <is>
          <t>https://wol.jw.org/en/wol/d/r1/lp-e/1200277174</t>
        </is>
      </c>
      <c r="AA1474" s="7" t="n">
        <v>0</v>
      </c>
      <c r="AB1474" s="7" t="n"/>
      <c r="AC1474" s="7" t="n">
        <v>0</v>
      </c>
      <c r="AD1474" s="7" t="n"/>
      <c r="AE1474" s="7" t="n"/>
      <c r="AF1474" s="7" t="n"/>
      <c r="AG1474" s="7" t="n"/>
      <c r="AH1474" s="7" t="n"/>
      <c r="AI1474" s="7" t="inlineStr">
        <is>
          <t>Index list entry – app detail</t>
        </is>
      </c>
      <c r="AJ1474" s="7" t="n"/>
      <c r="AK1474" s="7" t="n"/>
      <c r="AL1474" s="7" t="n"/>
      <c r="AM1474" s="7" t="n">
        <v>1972</v>
      </c>
      <c r="AN1474" s="10" t="n"/>
      <c r="AO1474" s="10" t="n"/>
      <c r="AP1474" s="10" t="n"/>
      <c r="AQ1474" s="10" t="n"/>
    </row>
    <row r="1475">
      <c r="A1475" s="7" t="inlineStr">
        <is>
          <t>b9-0096</t>
        </is>
      </c>
      <c r="B1475" s="7" t="inlineStr">
        <is>
          <t>Point</t>
        </is>
      </c>
      <c r="C1475" s="7" t="n"/>
      <c r="D1475" s="7" t="inlineStr">
        <is>
          <t>1972</t>
        </is>
      </c>
      <c r="E1475" s="7" t="n"/>
      <c r="F1475" s="7" t="inlineStr">
        <is>
          <t>1972 CE</t>
        </is>
      </c>
      <c r="G1475" s="7" t="inlineStr">
        <is>
          <t>Exact</t>
        </is>
      </c>
      <c r="H1475" s="7" t="n"/>
      <c r="I1475" s="7" t="n"/>
      <c r="J1475" s="7" t="n"/>
      <c r="K1475" s="2" t="inlineStr">
        <is>
          <t>1972: “Divine Rulership” District Assemblies</t>
        </is>
      </c>
      <c r="L1475" s="2" t="n"/>
      <c r="M1475" s="7" t="inlineStr">
        <is>
          <t>The Watch Tower Publications Index lists the 1972 conventions of Jehovah’s Witnesses as “Divine Rulership” District Assemblies.</t>
        </is>
      </c>
      <c r="N1475" s="7" t="n"/>
      <c r="O1475" s="13" t="inlineStr">
        <is>
          <t>Jehovah's Witnesses</t>
        </is>
      </c>
      <c r="P1475" s="7" t="inlineStr">
        <is>
          <t>jw.convention</t>
        </is>
      </c>
      <c r="Q1475" s="7" t="inlineStr">
        <is>
          <t>convention</t>
        </is>
      </c>
      <c r="R1475" s="7" t="n"/>
      <c r="S1475" s="7" t="n"/>
      <c r="T1475" s="7" t="n"/>
      <c r="U1475" s="7" t="n"/>
      <c r="V1475" s="7" t="n">
        <v>1</v>
      </c>
      <c r="W1475" s="7" t="inlineStr">
        <is>
          <t>Conventions</t>
        </is>
      </c>
      <c r="X1475" s="9" t="inlineStr">
        <is>
          <t>open</t>
        </is>
      </c>
      <c r="Y1475" s="7" t="n"/>
      <c r="Z1475" s="7" t="inlineStr">
        <is>
          <t>https://wol.jw.org/en/wol/d/r1/lp-e/1200271388</t>
        </is>
      </c>
      <c r="AA1475" s="7" t="n">
        <v>0</v>
      </c>
      <c r="AB1475" s="7" t="n"/>
      <c r="AC1475" s="7" t="n">
        <v>0</v>
      </c>
      <c r="AD1475" s="7" t="n"/>
      <c r="AE1475" s="7" t="n"/>
      <c r="AF1475" s="7" t="n"/>
      <c r="AG1475" s="7" t="n"/>
      <c r="AH1475" s="7" t="n"/>
      <c r="AI1475" s="7" t="inlineStr">
        <is>
          <t>Index list entry – app detail</t>
        </is>
      </c>
      <c r="AJ1475" s="7" t="n"/>
      <c r="AK1475" s="7" t="n"/>
      <c r="AL1475" s="7" t="n"/>
      <c r="AM1475" s="7" t="n">
        <v>1972</v>
      </c>
      <c r="AN1475" s="10" t="n"/>
      <c r="AO1475" s="10" t="n"/>
      <c r="AP1475" s="10" t="n"/>
      <c r="AQ1475" s="10" t="n"/>
    </row>
    <row r="1476">
      <c r="A1476" s="7" t="inlineStr">
        <is>
          <t>b9-0097</t>
        </is>
      </c>
      <c r="B1476" s="7" t="inlineStr">
        <is>
          <t>Point</t>
        </is>
      </c>
      <c r="C1476" s="7" t="n"/>
      <c r="D1476" s="7" t="inlineStr">
        <is>
          <t>1972, October 1</t>
        </is>
      </c>
      <c r="E1476" s="7" t="inlineStr">
        <is>
          <t>அக்டோபர் 1, 1972</t>
        </is>
      </c>
      <c r="F1476" s="7" t="inlineStr">
        <is>
          <t>1972 CE</t>
        </is>
      </c>
      <c r="G1476" s="7" t="inlineStr">
        <is>
          <t>Exact</t>
        </is>
      </c>
      <c r="H1476" s="7" t="n"/>
      <c r="I1476" s="7" t="n"/>
      <c r="J1476" s="7" t="n"/>
      <c r="K1476" s="2" t="inlineStr">
        <is>
          <t>Congregations come under oversight of bodies of elders</t>
        </is>
      </c>
      <c r="L1476" s="2" t="inlineStr">
        <is>
          <t>இந்தப் புது ஏற்பாடு அக்டோபர் 1, 1972-ல் அமலுக்கு வந்தது.</t>
        </is>
      </c>
      <c r="M1476" s="7" t="inlineStr">
        <is>
          <t>As of October 1, 1972, congregations were supervised locally by a body of elders instead of one person. From 1932 to 1972 oversight had been carried out mainly by one brother.</t>
        </is>
      </c>
      <c r="N1476" s="7" t="inlineStr">
        <is>
          <t>இந்தப் புது ஏற்பாடு அக்டோபர் 1, 1972-ல் அமலுக்கு வந்தது.</t>
        </is>
      </c>
      <c r="O1476" s="13" t="inlineStr">
        <is>
          <t>Jehovah's Witnesses</t>
        </is>
      </c>
      <c r="P1476" s="7" t="inlineStr">
        <is>
          <t>jw.organization</t>
        </is>
      </c>
      <c r="Q1476" s="7" t="n"/>
      <c r="R1476" s="7" t="n"/>
      <c r="S1476" s="7" t="n"/>
      <c r="T1476" s="7" t="n"/>
      <c r="U1476" s="7" t="n"/>
      <c r="V1476" s="7" t="n">
        <v>2</v>
      </c>
      <c r="W1476" s="7" t="inlineStr">
        <is>
          <t>Noteworthy Events in the Modern-day History of Jehovah’s Witnesses</t>
        </is>
      </c>
      <c r="X1476" s="9" t="inlineStr">
        <is>
          <t>open</t>
        </is>
      </c>
      <c r="Y1476" s="7" t="n"/>
      <c r="Z1476" s="7" t="inlineStr">
        <is>
          <t>https://wol.jw.org/en/wol/d/r1/lp-e/1101993046
https://wol.jw.org/en/wol/d/r1/lp-e/1102014251</t>
        </is>
      </c>
      <c r="AA1476" s="7" t="n">
        <v>0</v>
      </c>
      <c r="AB1476" s="7" t="n"/>
      <c r="AC1476" s="7" t="n">
        <v>0</v>
      </c>
      <c r="AD1476" s="7" t="n"/>
      <c r="AE1476" s="7" t="n"/>
      <c r="AF1476" s="7" t="n"/>
      <c r="AG1476" s="7" t="n"/>
      <c r="AH1476" s="7" t="n"/>
      <c r="AI1476" s="7" t="n"/>
      <c r="AJ1476" s="7" t="n"/>
      <c r="AK1476" s="7" t="n"/>
      <c r="AL1476" s="7" t="n"/>
      <c r="AM1476" s="7" t="n">
        <v>1972.75</v>
      </c>
      <c r="AN1476" s="10" t="n"/>
      <c r="AO1476" s="10" t="n"/>
      <c r="AP1476" s="10" t="n"/>
      <c r="AQ1476" s="10" t="n"/>
    </row>
    <row r="1477">
      <c r="A1477" s="7" t="inlineStr">
        <is>
          <t>b9-0098</t>
        </is>
      </c>
      <c r="B1477" s="7" t="inlineStr">
        <is>
          <t>Point</t>
        </is>
      </c>
      <c r="C1477" s="7" t="n"/>
      <c r="D1477" s="7" t="inlineStr">
        <is>
          <t>1973</t>
        </is>
      </c>
      <c r="E1477" s="7" t="n"/>
      <c r="F1477" s="7" t="inlineStr">
        <is>
          <t>1973 CE</t>
        </is>
      </c>
      <c r="G1477" s="7" t="inlineStr">
        <is>
          <t>Exact</t>
        </is>
      </c>
      <c r="H1477" s="7" t="n"/>
      <c r="I1477" s="7" t="n"/>
      <c r="J1477" s="7" t="n"/>
      <c r="K1477" s="2" t="inlineStr">
        <is>
          <t>1973: “Divine Victory” International Assemblies</t>
        </is>
      </c>
      <c r="L1477" s="2" t="n"/>
      <c r="M1477" s="7" t="inlineStr">
        <is>
          <t>The Watch Tower Publications Index lists the 1973 conventions of Jehovah’s Witnesses as “Divine Victory” International Assemblies.</t>
        </is>
      </c>
      <c r="N1477" s="7" t="n"/>
      <c r="O1477" s="13" t="inlineStr">
        <is>
          <t>Jehovah's Witnesses</t>
        </is>
      </c>
      <c r="P1477" s="7" t="inlineStr">
        <is>
          <t>jw.convention</t>
        </is>
      </c>
      <c r="Q1477" s="7" t="inlineStr">
        <is>
          <t>convention</t>
        </is>
      </c>
      <c r="R1477" s="7" t="n"/>
      <c r="S1477" s="7" t="n"/>
      <c r="T1477" s="7" t="n"/>
      <c r="U1477" s="7" t="n"/>
      <c r="V1477" s="7" t="n">
        <v>1</v>
      </c>
      <c r="W1477" s="7" t="inlineStr">
        <is>
          <t>Conventions</t>
        </is>
      </c>
      <c r="X1477" s="9" t="inlineStr">
        <is>
          <t>open</t>
        </is>
      </c>
      <c r="Y1477" s="7" t="n"/>
      <c r="Z1477" s="7" t="inlineStr">
        <is>
          <t>https://wol.jw.org/en/wol/d/r1/lp-e/1200271388</t>
        </is>
      </c>
      <c r="AA1477" s="7" t="n">
        <v>0</v>
      </c>
      <c r="AB1477" s="7" t="n"/>
      <c r="AC1477" s="7" t="n">
        <v>0</v>
      </c>
      <c r="AD1477" s="7" t="n"/>
      <c r="AE1477" s="7" t="n"/>
      <c r="AF1477" s="7" t="n"/>
      <c r="AG1477" s="7" t="n"/>
      <c r="AH1477" s="7" t="n"/>
      <c r="AI1477" s="7" t="inlineStr">
        <is>
          <t>Index list entry – app detail</t>
        </is>
      </c>
      <c r="AJ1477" s="7" t="n"/>
      <c r="AK1477" s="7" t="n"/>
      <c r="AL1477" s="7" t="n"/>
      <c r="AM1477" s="7" t="n">
        <v>1973</v>
      </c>
      <c r="AN1477" s="10" t="n"/>
      <c r="AO1477" s="10" t="n"/>
      <c r="AP1477" s="10" t="n"/>
      <c r="AQ1477" s="10" t="n"/>
    </row>
    <row r="1478">
      <c r="A1478" s="7" t="inlineStr">
        <is>
          <t>b9-0099</t>
        </is>
      </c>
      <c r="B1478" s="7" t="inlineStr">
        <is>
          <t>Point</t>
        </is>
      </c>
      <c r="C1478" s="7" t="n"/>
      <c r="D1478" s="7" t="inlineStr">
        <is>
          <t>1973</t>
        </is>
      </c>
      <c r="E1478" s="7" t="inlineStr">
        <is>
          <t>1973</t>
        </is>
      </c>
      <c r="F1478" s="7" t="inlineStr">
        <is>
          <t>1973 CE</t>
        </is>
      </c>
      <c r="G1478" s="7" t="inlineStr">
        <is>
          <t>Exact</t>
        </is>
      </c>
      <c r="H1478" s="7" t="n"/>
      <c r="I1478" s="7" t="n"/>
      <c r="J1478" s="7" t="n"/>
      <c r="K1478" s="2" t="inlineStr">
        <is>
          <t>Use of tobacco made a disfellowshipping offense</t>
        </is>
      </c>
      <c r="L1478" s="2" t="inlineStr">
        <is>
          <t>1973-ல் இன்னும் கூடுதலான விளக்கம் கொடுக்கப்பட்டது.</t>
        </is>
      </c>
      <c r="M1478" s="7" t="inlineStr">
        <is>
          <t>In 1973 a further moral refinement came: The Watchtower of June 1 explained that no Witness could remain in good standing while using tobacco, and those refusing to give it up were to be disfellowshipped.</t>
        </is>
      </c>
      <c r="N1478" s="7" t="inlineStr">
        <is>
          <t>1973-ல் இன்னும் கூடுதலான விளக்கம் கொடுக்கப்பட்டது.</t>
        </is>
      </c>
      <c r="O1478" s="13" t="inlineStr">
        <is>
          <t>Jehovah's Witnesses</t>
        </is>
      </c>
      <c r="P1478" s="7" t="inlineStr">
        <is>
          <t>jw.doctrine</t>
        </is>
      </c>
      <c r="Q1478" s="7" t="n"/>
      <c r="R1478" s="7" t="n"/>
      <c r="S1478" s="7" t="n"/>
      <c r="T1478" s="7" t="n"/>
      <c r="U1478" s="7" t="n"/>
      <c r="V1478" s="7" t="n">
        <v>2</v>
      </c>
      <c r="W1478" s="7" t="inlineStr">
        <is>
          <t>Moral Refinements</t>
        </is>
      </c>
      <c r="X1478" s="9" t="inlineStr">
        <is>
          <t>open</t>
        </is>
      </c>
      <c r="Y1478" s="9" t="inlineStr">
        <is>
          <t>open</t>
        </is>
      </c>
      <c r="Z1478" s="7" t="inlineStr">
        <is>
          <t>https://wol.jw.org/en/wol/d/r1/lp-e/1102014250
https://wol.jw.org/en/wol/d/r1/lp-e/1200277174</t>
        </is>
      </c>
      <c r="AA1478" s="7" t="n">
        <v>0</v>
      </c>
      <c r="AB1478" s="7" t="n"/>
      <c r="AC1478" s="7" t="n">
        <v>0</v>
      </c>
      <c r="AD1478" s="7" t="n"/>
      <c r="AE1478" s="7" t="n"/>
      <c r="AF1478" s="7" t="n"/>
      <c r="AG1478" s="7" t="n"/>
      <c r="AH1478" s="7" t="n"/>
      <c r="AI1478" s="7" t="n"/>
      <c r="AJ1478" s="7" t="n"/>
      <c r="AK1478" s="7" t="n"/>
      <c r="AL1478" s="7" t="n"/>
      <c r="AM1478" s="7" t="n">
        <v>1973</v>
      </c>
      <c r="AN1478" s="10" t="n"/>
      <c r="AO1478" s="10" t="n"/>
      <c r="AP1478" s="10" t="n"/>
      <c r="AQ1478" s="10" t="n"/>
    </row>
    <row r="1479">
      <c r="A1479" s="7" t="inlineStr">
        <is>
          <t>b9-0100</t>
        </is>
      </c>
      <c r="B1479" s="7" t="inlineStr">
        <is>
          <t>Point</t>
        </is>
      </c>
      <c r="C1479" s="7" t="n"/>
      <c r="D1479" s="7" t="inlineStr">
        <is>
          <t>1974</t>
        </is>
      </c>
      <c r="E1479" s="7" t="n"/>
      <c r="F1479" s="7" t="inlineStr">
        <is>
          <t>1974 CE</t>
        </is>
      </c>
      <c r="G1479" s="7" t="inlineStr">
        <is>
          <t>Exact</t>
        </is>
      </c>
      <c r="H1479" s="7" t="n"/>
      <c r="I1479" s="7" t="n"/>
      <c r="J1479" s="7" t="n"/>
      <c r="K1479" s="2" t="inlineStr">
        <is>
          <t>1974: “Divine Purpose” District Assemblies</t>
        </is>
      </c>
      <c r="L1479" s="2" t="n"/>
      <c r="M1479" s="7" t="inlineStr">
        <is>
          <t>The Watch Tower Publications Index lists the 1974 conventions of Jehovah’s Witnesses as “Divine Purpose” District Assemblies.</t>
        </is>
      </c>
      <c r="N1479" s="7" t="n"/>
      <c r="O1479" s="13" t="inlineStr">
        <is>
          <t>Jehovah's Witnesses</t>
        </is>
      </c>
      <c r="P1479" s="7" t="inlineStr">
        <is>
          <t>jw.convention</t>
        </is>
      </c>
      <c r="Q1479" s="7" t="inlineStr">
        <is>
          <t>convention</t>
        </is>
      </c>
      <c r="R1479" s="7" t="n"/>
      <c r="S1479" s="7" t="n"/>
      <c r="T1479" s="7" t="n"/>
      <c r="U1479" s="7" t="n"/>
      <c r="V1479" s="7" t="n">
        <v>1</v>
      </c>
      <c r="W1479" s="7" t="inlineStr">
        <is>
          <t>Conventions</t>
        </is>
      </c>
      <c r="X1479" s="9" t="inlineStr">
        <is>
          <t>open</t>
        </is>
      </c>
      <c r="Y1479" s="7" t="n"/>
      <c r="Z1479" s="7" t="inlineStr">
        <is>
          <t>https://wol.jw.org/en/wol/d/r1/lp-e/1200271388</t>
        </is>
      </c>
      <c r="AA1479" s="7" t="n">
        <v>0</v>
      </c>
      <c r="AB1479" s="7" t="n"/>
      <c r="AC1479" s="7" t="n">
        <v>0</v>
      </c>
      <c r="AD1479" s="7" t="n"/>
      <c r="AE1479" s="7" t="n"/>
      <c r="AF1479" s="7" t="n"/>
      <c r="AG1479" s="7" t="n"/>
      <c r="AH1479" s="7" t="n"/>
      <c r="AI1479" s="7" t="inlineStr">
        <is>
          <t>Index list entry – app detail</t>
        </is>
      </c>
      <c r="AJ1479" s="7" t="n"/>
      <c r="AK1479" s="7" t="n"/>
      <c r="AL1479" s="7" t="n"/>
      <c r="AM1479" s="7" t="n">
        <v>1974</v>
      </c>
      <c r="AN1479" s="10" t="n"/>
      <c r="AO1479" s="10" t="n"/>
      <c r="AP1479" s="10" t="n"/>
      <c r="AQ1479" s="10" t="n"/>
    </row>
    <row r="1480">
      <c r="A1480" s="7" t="inlineStr">
        <is>
          <t>b9-0101</t>
        </is>
      </c>
      <c r="B1480" s="7" t="inlineStr">
        <is>
          <t>Point</t>
        </is>
      </c>
      <c r="C1480" s="7" t="n"/>
      <c r="D1480" s="7" t="inlineStr">
        <is>
          <t>1974</t>
        </is>
      </c>
      <c r="E1480" s="7" t="n"/>
      <c r="F1480" s="7" t="inlineStr">
        <is>
          <t>1974 CE</t>
        </is>
      </c>
      <c r="G1480" s="7" t="inlineStr">
        <is>
          <t>Exact</t>
        </is>
      </c>
      <c r="H1480" s="7" t="n"/>
      <c r="I1480" s="7" t="n"/>
      <c r="J1480" s="7" t="n"/>
      <c r="K1480" s="2" t="inlineStr">
        <is>
          <t>Peak publishers exceed two million</t>
        </is>
      </c>
      <c r="L1480" s="2" t="n"/>
      <c r="M1480" s="7" t="inlineStr">
        <is>
          <t>Peak publishers worldwide reached 2,021,432 in 1974, and pioneers increased from 94,604 in 1973 to 127,135.</t>
        </is>
      </c>
      <c r="N1480" s="7" t="n"/>
      <c r="O1480" s="13" t="inlineStr">
        <is>
          <t>Jehovah's Witnesses</t>
        </is>
      </c>
      <c r="P1480" s="7" t="inlineStr">
        <is>
          <t>jw.preaching</t>
        </is>
      </c>
      <c r="Q1480" s="7" t="inlineStr">
        <is>
          <t>statistic</t>
        </is>
      </c>
      <c r="R1480" s="7" t="n"/>
      <c r="S1480" s="7" t="n"/>
      <c r="T1480" s="7" t="n"/>
      <c r="U1480" s="7" t="n"/>
      <c r="V1480" s="7" t="n">
        <v>1</v>
      </c>
      <c r="W1480" s="7" t="inlineStr">
        <is>
          <t>Noteworthy Events in the Modern-day History of Jehovah’s Witnesses</t>
        </is>
      </c>
      <c r="X1480" s="9" t="inlineStr">
        <is>
          <t>open</t>
        </is>
      </c>
      <c r="Y1480" s="7" t="n"/>
      <c r="Z1480" s="7" t="inlineStr">
        <is>
          <t>https://wol.jw.org/en/wol/d/r1/lp-e/1101993046</t>
        </is>
      </c>
      <c r="AA1480" s="7" t="n">
        <v>0</v>
      </c>
      <c r="AB1480" s="7" t="n"/>
      <c r="AC1480" s="7" t="n">
        <v>0</v>
      </c>
      <c r="AD1480" s="7" t="n"/>
      <c r="AE1480" s="7" t="n"/>
      <c r="AF1480" s="7" t="n"/>
      <c r="AG1480" s="7" t="n"/>
      <c r="AH1480" s="7" t="n"/>
      <c r="AI1480" s="7" t="n"/>
      <c r="AJ1480" s="7" t="n"/>
      <c r="AK1480" s="7" t="n"/>
      <c r="AL1480" s="7" t="n"/>
      <c r="AM1480" s="7" t="n">
        <v>1974</v>
      </c>
      <c r="AN1480" s="10" t="n"/>
      <c r="AO1480" s="10" t="n"/>
      <c r="AP1480" s="10" t="n"/>
      <c r="AQ1480" s="10" t="n"/>
    </row>
    <row r="1481">
      <c r="A1481" s="7" t="inlineStr">
        <is>
          <t>b12-0095</t>
        </is>
      </c>
      <c r="B1481" s="11" t="inlineStr">
        <is>
          <t>Span</t>
        </is>
      </c>
      <c r="C1481" s="7" t="inlineStr">
        <is>
          <t>office</t>
        </is>
      </c>
      <c r="D1481" s="7" t="inlineStr">
        <is>
          <t>late 1974–June 9, 2010</t>
        </is>
      </c>
      <c r="E1481" s="7" t="n"/>
      <c r="F1481" s="7" t="inlineStr">
        <is>
          <t>1974 CE</t>
        </is>
      </c>
      <c r="G1481" s="7" t="inlineStr">
        <is>
          <t>Exact</t>
        </is>
      </c>
      <c r="H1481" s="7" t="inlineStr">
        <is>
          <t>2010 CE</t>
        </is>
      </c>
      <c r="I1481" s="7" t="inlineStr">
        <is>
          <t>Exact</t>
        </is>
      </c>
      <c r="J1481" s="7" t="n"/>
      <c r="K1481" s="2" t="inlineStr">
        <is>
          <t>Theodore Jaracz serves on the Governing Body</t>
        </is>
      </c>
      <c r="L1481" s="2" t="n"/>
      <c r="M1481" s="7" t="inlineStr">
        <is>
          <t>Theodore Jaracz, a former traveling overseer, was invited to join the Governing Body in late 1974 and served until his death in 2010.</t>
        </is>
      </c>
      <c r="N1481" s="7" t="inlineStr">
        <is>
          <t>1974-ஆம் ஆண்டின் கடைசியில், யெகோவாவின் சாட்சிகளுடைய ஆளும் குழுவின் அங்கத்தினராகச் சேவை செய்வதற்கு சகோதரர் ஜாரஸ் அழைக்கப்பட்டார்.</t>
        </is>
      </c>
      <c r="O1481" s="13" t="inlineStr">
        <is>
          <t>Jehovah's Witnesses</t>
        </is>
      </c>
      <c r="P1481" s="7" t="inlineStr">
        <is>
          <t>jw.leadership</t>
        </is>
      </c>
      <c r="Q1481" s="7" t="n"/>
      <c r="R1481" s="7" t="inlineStr">
        <is>
          <t>Theodore Jaracz</t>
        </is>
      </c>
      <c r="S1481" s="7" t="n"/>
      <c r="T1481" s="7" t="n"/>
      <c r="U1481" s="7" t="n"/>
      <c r="V1481" s="7" t="n">
        <v>2</v>
      </c>
      <c r="W1481" s="7" t="inlineStr">
        <is>
          <t>‘The Things He Did Have Gone Right With Him’</t>
        </is>
      </c>
      <c r="X1481" s="9" t="inlineStr">
        <is>
          <t>open</t>
        </is>
      </c>
      <c r="Y1481" s="9" t="inlineStr">
        <is>
          <t>open</t>
        </is>
      </c>
      <c r="Z1481" s="7" t="inlineStr">
        <is>
          <t>https://wol.jw.org/en/wol/d/r1/lp-e/2010849
https://wol.jw.org/en/wol/d/r1/lp-e/2010849</t>
        </is>
      </c>
      <c r="AA1481" s="7" t="n">
        <v>0</v>
      </c>
      <c r="AB1481" s="7" t="n"/>
      <c r="AC1481" s="7" t="n">
        <v>0</v>
      </c>
      <c r="AD1481" s="7" t="n"/>
      <c r="AE1481" s="7" t="n"/>
      <c r="AF1481" s="7" t="n"/>
      <c r="AG1481" s="7" t="inlineStr">
        <is>
          <t>b9-0276</t>
        </is>
      </c>
      <c r="AH1481" s="7" t="n"/>
      <c r="AI1481" s="7" t="n"/>
      <c r="AJ1481" s="7" t="n"/>
      <c r="AK1481" s="7" t="inlineStr">
        <is>
          <t>governing-body #1 (ruler)</t>
        </is>
      </c>
      <c r="AL1481" s="7" t="n"/>
      <c r="AM1481" s="7" t="n">
        <v>1974</v>
      </c>
      <c r="AN1481" s="10" t="n"/>
      <c r="AO1481" s="10" t="n"/>
      <c r="AP1481" s="10" t="n"/>
      <c r="AQ1481" s="10" t="n"/>
    </row>
    <row r="1482">
      <c r="A1482" s="7" t="inlineStr">
        <is>
          <t>b12-0096</t>
        </is>
      </c>
      <c r="B1482" s="11" t="inlineStr">
        <is>
          <t>Span</t>
        </is>
      </c>
      <c r="C1482" s="7" t="inlineStr">
        <is>
          <t>office</t>
        </is>
      </c>
      <c r="D1482" s="7" t="inlineStr">
        <is>
          <t>November 1974–April 18, 2006</t>
        </is>
      </c>
      <c r="E1482" s="7" t="n"/>
      <c r="F1482" s="7" t="inlineStr">
        <is>
          <t>1974 CE</t>
        </is>
      </c>
      <c r="G1482" s="7" t="inlineStr">
        <is>
          <t>Exact</t>
        </is>
      </c>
      <c r="H1482" s="7" t="inlineStr">
        <is>
          <t>2006 CE</t>
        </is>
      </c>
      <c r="I1482" s="7" t="inlineStr">
        <is>
          <t>Exact</t>
        </is>
      </c>
      <c r="J1482" s="7" t="n"/>
      <c r="K1482" s="2" t="inlineStr">
        <is>
          <t>Daniel Sydlik serves on the Governing Body</t>
        </is>
      </c>
      <c r="L1482" s="2" t="n"/>
      <c r="M1482" s="7" t="inlineStr">
        <is>
          <t>Daniel Sydlik was appointed to the Governing Body in November 1974 and served until his death in 2006, working with the Personnel and Writing committees.</t>
        </is>
      </c>
      <c r="N1482" s="7" t="inlineStr">
        <is>
          <t>பின்னர், நவம்பர் 1974-ல் ஆளும் குழு அங்கத்தினராக நியமிக்கப்பட்டார்; அப்போது பெர்சனல் மற்றும் ரைட்டிங் கமிட்டிகளோடும் சேர்ந்து வேலை செய்தார்.</t>
        </is>
      </c>
      <c r="O1482" s="13" t="inlineStr">
        <is>
          <t>Jehovah's Witnesses</t>
        </is>
      </c>
      <c r="P1482" s="7" t="inlineStr">
        <is>
          <t>jw.leadership</t>
        </is>
      </c>
      <c r="Q1482" s="7" t="n"/>
      <c r="R1482" s="7" t="inlineStr">
        <is>
          <t>Daniel Sydlik</t>
        </is>
      </c>
      <c r="S1482" s="7" t="n"/>
      <c r="T1482" s="7" t="n"/>
      <c r="U1482" s="7" t="n"/>
      <c r="V1482" s="7" t="n">
        <v>2</v>
      </c>
      <c r="W1482" s="7" t="inlineStr">
        <is>
          <t>A Man Who Loved Life and People</t>
        </is>
      </c>
      <c r="X1482" s="9" t="inlineStr">
        <is>
          <t>open</t>
        </is>
      </c>
      <c r="Y1482" s="9" t="inlineStr">
        <is>
          <t>open</t>
        </is>
      </c>
      <c r="Z1482" s="7" t="inlineStr">
        <is>
          <t>https://wol.jw.org/en/wol/d/r1/lp-e/2007002
https://wol.jw.org/en/wol/d/r1/lp-e/2007002</t>
        </is>
      </c>
      <c r="AA1482" s="7" t="n">
        <v>0</v>
      </c>
      <c r="AB1482" s="7" t="n"/>
      <c r="AC1482" s="7" t="n">
        <v>0</v>
      </c>
      <c r="AD1482" s="7" t="n"/>
      <c r="AE1482" s="7" t="n"/>
      <c r="AF1482" s="7" t="n"/>
      <c r="AG1482" s="7" t="inlineStr">
        <is>
          <t>b9-0251</t>
        </is>
      </c>
      <c r="AH1482" s="7" t="n"/>
      <c r="AI1482" s="7" t="n"/>
      <c r="AJ1482" s="7" t="n"/>
      <c r="AK1482" s="7" t="inlineStr">
        <is>
          <t>governing-body #2 (ruler)</t>
        </is>
      </c>
      <c r="AL1482" s="7" t="n"/>
      <c r="AM1482" s="7" t="n">
        <v>1974.8333</v>
      </c>
      <c r="AN1482" s="10" t="n"/>
      <c r="AO1482" s="10" t="n"/>
      <c r="AP1482" s="10" t="n"/>
      <c r="AQ1482" s="10" t="n"/>
    </row>
    <row r="1483">
      <c r="A1483" s="7" t="inlineStr">
        <is>
          <t>b9-0102</t>
        </is>
      </c>
      <c r="B1483" s="7" t="inlineStr">
        <is>
          <t>Point</t>
        </is>
      </c>
      <c r="C1483" s="7" t="n"/>
      <c r="D1483" s="7" t="inlineStr">
        <is>
          <t>November 28 [1974]</t>
        </is>
      </c>
      <c r="E1483" s="7" t="n"/>
      <c r="F1483" s="7" t="inlineStr">
        <is>
          <t>1974 CE</t>
        </is>
      </c>
      <c r="G1483" s="7" t="inlineStr">
        <is>
          <t>Exact</t>
        </is>
      </c>
      <c r="H1483" s="7" t="n"/>
      <c r="I1483" s="7" t="n"/>
      <c r="J1483" s="7" t="n"/>
      <c r="K1483" s="2" t="inlineStr">
        <is>
          <t>Governing Body enlarged to 18 members</t>
        </is>
      </c>
      <c r="L1483" s="2" t="n"/>
      <c r="M1483" s="7" t="inlineStr">
        <is>
          <t>The Brooklyn Bethel family learned on November 28 that new members had been added to the Governing Body, including W. Lloyd Barry, John C. Booth, Ewart C. Chitty, and Charles J. Fekel, making 18 members in all.</t>
        </is>
      </c>
      <c r="N1483" s="7" t="n"/>
      <c r="O1483" s="13" t="inlineStr">
        <is>
          <t>Jehovah's Witnesses</t>
        </is>
      </c>
      <c r="P1483" s="7" t="inlineStr">
        <is>
          <t>jw.leadership</t>
        </is>
      </c>
      <c r="Q1483" s="7" t="inlineStr">
        <is>
          <t>appointment</t>
        </is>
      </c>
      <c r="R1483" s="7" t="n"/>
      <c r="S1483" s="7" t="n"/>
      <c r="T1483" s="7" t="n"/>
      <c r="U1483" s="7" t="n"/>
      <c r="V1483" s="7" t="n">
        <v>1</v>
      </c>
      <c r="W1483" s="7" t="inlineStr">
        <is>
          <t>Governing Body of Jehovah’s Witnesses Enlarged</t>
        </is>
      </c>
      <c r="X1483" s="9" t="inlineStr">
        <is>
          <t>open</t>
        </is>
      </c>
      <c r="Y1483" s="7" t="n"/>
      <c r="Z1483" s="7" t="inlineStr">
        <is>
          <t>https://wol.jw.org/en/wol/d/r1/lp-e/1975047</t>
        </is>
      </c>
      <c r="AA1483" s="7" t="n">
        <v>0</v>
      </c>
      <c r="AB1483" s="7" t="n"/>
      <c r="AC1483" s="7" t="n">
        <v>0</v>
      </c>
      <c r="AD1483" s="7" t="n"/>
      <c r="AE1483" s="7" t="n"/>
      <c r="AF1483" s="7" t="n"/>
      <c r="AG1483" s="7" t="n"/>
      <c r="AH1483" s="7" t="n"/>
      <c r="AI1483" s="7" t="n"/>
      <c r="AJ1483" s="7" t="n"/>
      <c r="AK1483" s="7" t="n"/>
      <c r="AL1483" s="7" t="inlineStr">
        <is>
          <t>The article (w75 1/15 p. 60) gives only “November 28”; the year 1974 is inferred from the issue date.</t>
        </is>
      </c>
      <c r="AM1483" s="7" t="n">
        <v>1974.9059</v>
      </c>
      <c r="AN1483" s="10" t="n"/>
      <c r="AO1483" s="10" t="n"/>
      <c r="AP1483" s="10" t="n"/>
      <c r="AQ1483" s="10" t="n"/>
    </row>
    <row r="1484">
      <c r="A1484" s="7" t="inlineStr">
        <is>
          <t>b9-0103</t>
        </is>
      </c>
      <c r="B1484" s="7" t="inlineStr">
        <is>
          <t>Point</t>
        </is>
      </c>
      <c r="C1484" s="7" t="n"/>
      <c r="D1484" s="7" t="inlineStr">
        <is>
          <t>1975</t>
        </is>
      </c>
      <c r="E1484" s="7" t="n"/>
      <c r="F1484" s="7" t="inlineStr">
        <is>
          <t>1975 CE</t>
        </is>
      </c>
      <c r="G1484" s="7" t="inlineStr">
        <is>
          <t>Exact</t>
        </is>
      </c>
      <c r="H1484" s="7" t="n"/>
      <c r="I1484" s="7" t="n"/>
      <c r="J1484" s="7" t="n"/>
      <c r="K1484" s="2" t="inlineStr">
        <is>
          <t>1975: “Divine Sovereignty” District Assemblies</t>
        </is>
      </c>
      <c r="L1484" s="2" t="n"/>
      <c r="M1484" s="7" t="inlineStr">
        <is>
          <t>The Watch Tower Publications Index lists the 1975 conventions of Jehovah’s Witnesses as “Divine Sovereignty” District Assemblies.</t>
        </is>
      </c>
      <c r="N1484" s="7" t="n"/>
      <c r="O1484" s="13" t="inlineStr">
        <is>
          <t>Jehovah's Witnesses</t>
        </is>
      </c>
      <c r="P1484" s="7" t="inlineStr">
        <is>
          <t>jw.convention</t>
        </is>
      </c>
      <c r="Q1484" s="7" t="inlineStr">
        <is>
          <t>convention</t>
        </is>
      </c>
      <c r="R1484" s="7" t="n"/>
      <c r="S1484" s="7" t="n"/>
      <c r="T1484" s="7" t="n"/>
      <c r="U1484" s="7" t="n"/>
      <c r="V1484" s="7" t="n">
        <v>1</v>
      </c>
      <c r="W1484" s="7" t="inlineStr">
        <is>
          <t>Conventions</t>
        </is>
      </c>
      <c r="X1484" s="9" t="inlineStr">
        <is>
          <t>open</t>
        </is>
      </c>
      <c r="Y1484" s="7" t="n"/>
      <c r="Z1484" s="7" t="inlineStr">
        <is>
          <t>https://wol.jw.org/en/wol/d/r1/lp-e/1200271388</t>
        </is>
      </c>
      <c r="AA1484" s="7" t="n">
        <v>0</v>
      </c>
      <c r="AB1484" s="7" t="n"/>
      <c r="AC1484" s="7" t="n">
        <v>0</v>
      </c>
      <c r="AD1484" s="7" t="n"/>
      <c r="AE1484" s="7" t="n"/>
      <c r="AF1484" s="7" t="n"/>
      <c r="AG1484" s="7" t="n"/>
      <c r="AH1484" s="7" t="n"/>
      <c r="AI1484" s="7" t="inlineStr">
        <is>
          <t>Index list entry – app detail</t>
        </is>
      </c>
      <c r="AJ1484" s="7" t="n"/>
      <c r="AK1484" s="7" t="n"/>
      <c r="AL1484" s="7" t="n"/>
      <c r="AM1484" s="7" t="n">
        <v>1975</v>
      </c>
      <c r="AN1484" s="10" t="n"/>
      <c r="AO1484" s="10" t="n"/>
      <c r="AP1484" s="10" t="n"/>
      <c r="AQ1484" s="10" t="n"/>
    </row>
    <row r="1485">
      <c r="A1485" s="7" t="inlineStr">
        <is>
          <t>b9-0104</t>
        </is>
      </c>
      <c r="B1485" s="7" t="inlineStr">
        <is>
          <t>Point</t>
        </is>
      </c>
      <c r="C1485" s="7" t="n"/>
      <c r="D1485" s="7" t="inlineStr">
        <is>
          <t>1975, December 4</t>
        </is>
      </c>
      <c r="E1485" s="7" t="n"/>
      <c r="F1485" s="7" t="inlineStr">
        <is>
          <t>1975 CE</t>
        </is>
      </c>
      <c r="G1485" s="7" t="inlineStr">
        <is>
          <t>Exact</t>
        </is>
      </c>
      <c r="H1485" s="7" t="n"/>
      <c r="I1485" s="7" t="n"/>
      <c r="J1485" s="7" t="n"/>
      <c r="K1485" s="2" t="inlineStr">
        <is>
          <t>Governing Body reorganized into six committees</t>
        </is>
      </c>
      <c r="L1485" s="2" t="n"/>
      <c r="M1485" s="7" t="inlineStr">
        <is>
          <t>On December 4, 1975, the Governing Body was reorganized and responsibility for much of the work was assigned to six committees.</t>
        </is>
      </c>
      <c r="N1485" s="7" t="n"/>
      <c r="O1485" s="13" t="inlineStr">
        <is>
          <t>Jehovah's Witnesses</t>
        </is>
      </c>
      <c r="P1485" s="7" t="inlineStr">
        <is>
          <t>jw.leadership</t>
        </is>
      </c>
      <c r="Q1485" s="7" t="n"/>
      <c r="R1485" s="7" t="n"/>
      <c r="S1485" s="7" t="n"/>
      <c r="T1485" s="7" t="n"/>
      <c r="U1485" s="7" t="n"/>
      <c r="V1485" s="7" t="n">
        <v>1</v>
      </c>
      <c r="W1485" s="7" t="inlineStr">
        <is>
          <t>Noteworthy Events in the Modern-day History of Jehovah’s Witnesses</t>
        </is>
      </c>
      <c r="X1485" s="9" t="inlineStr">
        <is>
          <t>open</t>
        </is>
      </c>
      <c r="Y1485" s="7" t="n"/>
      <c r="Z1485" s="7" t="inlineStr">
        <is>
          <t>https://wol.jw.org/en/wol/d/r1/lp-e/1101993046</t>
        </is>
      </c>
      <c r="AA1485" s="7" t="n">
        <v>0</v>
      </c>
      <c r="AB1485" s="7" t="n"/>
      <c r="AC1485" s="7" t="n">
        <v>0</v>
      </c>
      <c r="AD1485" s="7" t="n"/>
      <c r="AE1485" s="7" t="n"/>
      <c r="AF1485" s="7" t="n"/>
      <c r="AG1485" s="7" t="n"/>
      <c r="AH1485" s="7" t="n"/>
      <c r="AI1485" s="7" t="n"/>
      <c r="AJ1485" s="7" t="n"/>
      <c r="AK1485" s="7" t="n"/>
      <c r="AL1485" s="7" t="n"/>
      <c r="AM1485" s="7" t="n">
        <v>1975.9247</v>
      </c>
      <c r="AN1485" s="10" t="n"/>
      <c r="AO1485" s="10" t="n"/>
      <c r="AP1485" s="10" t="n"/>
      <c r="AQ1485" s="10" t="n"/>
    </row>
    <row r="1486">
      <c r="A1486" s="7" t="inlineStr">
        <is>
          <t>b9-0105</t>
        </is>
      </c>
      <c r="B1486" s="7" t="inlineStr">
        <is>
          <t>Point</t>
        </is>
      </c>
      <c r="C1486" s="7" t="n"/>
      <c r="D1486" s="7" t="inlineStr">
        <is>
          <t>1976</t>
        </is>
      </c>
      <c r="E1486" s="7" t="inlineStr">
        <is>
          <t>1976</t>
        </is>
      </c>
      <c r="F1486" s="7" t="inlineStr">
        <is>
          <t>1976 CE</t>
        </is>
      </c>
      <c r="G1486" s="7" t="inlineStr">
        <is>
          <t>Exact</t>
        </is>
      </c>
      <c r="H1486" s="7" t="n"/>
      <c r="I1486" s="7" t="n"/>
      <c r="J1486" s="7" t="n"/>
      <c r="K1486" s="2" t="inlineStr">
        <is>
          <t>Barros brothers expelled from school in Argentina</t>
        </is>
      </c>
      <c r="L1486" s="2" t="inlineStr">
        <is>
          <t>1976-ல், பாப்லோ பாரோஸ் (8 வயது) மற்றும் ஊகோ பாரோஸ் (7 வயது) கொடியேற்றும் நிகழ்ச்சியில் கலந்துகொள்ளாததால் பள்ளியிலிருந்து…</t>
        </is>
      </c>
      <c r="M1486" s="7" t="inlineStr">
        <is>
          <t>In 1976 Pablo and Hugo Barros, aged eight and seven, were expelled from school in Argentina for not participating in a flag-raising ceremony.</t>
        </is>
      </c>
      <c r="N1486" s="7" t="inlineStr">
        <is>
          <t>1976-ல், பாப்லோ பாரோஸ் (8 வயது) மற்றும் ஊகோ பாரோஸ் (7 வயது) கொடியேற்றும் நிகழ்ச்சியில் கலந்துகொள்ளாததால் பள்ளியிலிருந்து வெளியேற்றப்பட்டார்கள்.</t>
        </is>
      </c>
      <c r="O1486" s="13" t="inlineStr">
        <is>
          <t>Jehovah's Witnesses</t>
        </is>
      </c>
      <c r="P1486" s="7" t="inlineStr">
        <is>
          <t>jw.persecution</t>
        </is>
      </c>
      <c r="Q1486" s="7" t="n"/>
      <c r="R1486" s="7" t="inlineStr">
        <is>
          <t>Pablo Barros; Hugo Barros</t>
        </is>
      </c>
      <c r="S1486" s="7" t="inlineStr">
        <is>
          <t>Argentina</t>
        </is>
      </c>
      <c r="T1486" s="7" t="n"/>
      <c r="U1486" s="7" t="n"/>
      <c r="V1486" s="7" t="n">
        <v>1</v>
      </c>
      <c r="W1486" s="7" t="inlineStr">
        <is>
          <t>Loyally Supporting God’s Government and No Other</t>
        </is>
      </c>
      <c r="X1486" s="9" t="inlineStr">
        <is>
          <t>open</t>
        </is>
      </c>
      <c r="Y1486" s="9" t="inlineStr">
        <is>
          <t>open</t>
        </is>
      </c>
      <c r="Z1486" s="7" t="inlineStr">
        <is>
          <t>https://wol.jw.org/en/wol/d/r1/lp-e/1102014253</t>
        </is>
      </c>
      <c r="AA1486" s="7" t="n">
        <v>0</v>
      </c>
      <c r="AB1486" s="7" t="n"/>
      <c r="AC1486" s="7" t="n">
        <v>0</v>
      </c>
      <c r="AD1486" s="7" t="n"/>
      <c r="AE1486" s="7" t="n"/>
      <c r="AF1486" s="7" t="n"/>
      <c r="AG1486" s="7" t="n"/>
      <c r="AH1486" s="7" t="n"/>
      <c r="AI1486" s="7" t="n"/>
      <c r="AJ1486" s="7" t="n"/>
      <c r="AK1486" s="7" t="n"/>
      <c r="AL1486" s="7" t="n"/>
      <c r="AM1486" s="7" t="n">
        <v>1976</v>
      </c>
      <c r="AN1486" s="10" t="n"/>
      <c r="AO1486" s="10" t="n"/>
      <c r="AP1486" s="10" t="n"/>
      <c r="AQ1486" s="10" t="n"/>
    </row>
    <row r="1487">
      <c r="A1487" s="7" t="inlineStr">
        <is>
          <t>b9-0106</t>
        </is>
      </c>
      <c r="B1487" s="7" t="inlineStr">
        <is>
          <t>Point</t>
        </is>
      </c>
      <c r="C1487" s="7" t="n"/>
      <c r="D1487" s="7" t="inlineStr">
        <is>
          <t>1976</t>
        </is>
      </c>
      <c r="E1487" s="7" t="n"/>
      <c r="F1487" s="7" t="inlineStr">
        <is>
          <t>1976 CE</t>
        </is>
      </c>
      <c r="G1487" s="7" t="inlineStr">
        <is>
          <t>Exact</t>
        </is>
      </c>
      <c r="H1487" s="7" t="n"/>
      <c r="I1487" s="7" t="n"/>
      <c r="J1487" s="7" t="n"/>
      <c r="K1487" s="2" t="inlineStr">
        <is>
          <t>Understanding clarified: employment involving gambling</t>
        </is>
      </c>
      <c r="L1487" s="2" t="n"/>
      <c r="M1487" s="7" t="inlineStr">
        <is>
          <t>The Watch Tower Publications Index (“Beliefs Clarified,” list by year) records a clarified understanding in 1976 concerning employment involving gambling. Index references: w23.05 18; w95 5/15 23; jv 180.</t>
        </is>
      </c>
      <c r="N1487" s="7" t="n"/>
      <c r="O1487" s="13" t="inlineStr">
        <is>
          <t>Jehovah's Witnesses</t>
        </is>
      </c>
      <c r="P1487" s="7" t="inlineStr">
        <is>
          <t>jw.doctrine</t>
        </is>
      </c>
      <c r="Q1487" s="7" t="inlineStr">
        <is>
          <t>beliefs_clarified</t>
        </is>
      </c>
      <c r="R1487" s="7" t="n"/>
      <c r="S1487" s="7" t="n"/>
      <c r="T1487" s="7" t="n"/>
      <c r="U1487" s="7" t="n"/>
      <c r="V1487" s="7" t="n">
        <v>1</v>
      </c>
      <c r="W1487" s="7" t="inlineStr">
        <is>
          <t>Beliefs Clarified</t>
        </is>
      </c>
      <c r="X1487" s="9" t="inlineStr">
        <is>
          <t>open</t>
        </is>
      </c>
      <c r="Y1487" s="7" t="n"/>
      <c r="Z1487" s="7" t="inlineStr">
        <is>
          <t>https://wol.jw.org/en/wol/d/r1/lp-e/1200277174</t>
        </is>
      </c>
      <c r="AA1487" s="7" t="n">
        <v>0</v>
      </c>
      <c r="AB1487" s="7" t="n"/>
      <c r="AC1487" s="7" t="n">
        <v>0</v>
      </c>
      <c r="AD1487" s="7" t="n"/>
      <c r="AE1487" s="7" t="n"/>
      <c r="AF1487" s="7" t="n"/>
      <c r="AG1487" s="7" t="n"/>
      <c r="AH1487" s="7" t="n"/>
      <c r="AI1487" s="7" t="inlineStr">
        <is>
          <t>Index list entry – app detail</t>
        </is>
      </c>
      <c r="AJ1487" s="7" t="n"/>
      <c r="AK1487" s="7" t="n"/>
      <c r="AL1487" s="7" t="n"/>
      <c r="AM1487" s="7" t="n">
        <v>1976</v>
      </c>
      <c r="AN1487" s="10" t="n"/>
      <c r="AO1487" s="10" t="n"/>
      <c r="AP1487" s="10" t="n"/>
      <c r="AQ1487" s="10" t="n"/>
    </row>
    <row r="1488">
      <c r="A1488" s="7" t="inlineStr">
        <is>
          <t>b9-0107</t>
        </is>
      </c>
      <c r="B1488" s="7" t="inlineStr">
        <is>
          <t>Point</t>
        </is>
      </c>
      <c r="C1488" s="7" t="n"/>
      <c r="D1488" s="7" t="inlineStr">
        <is>
          <t>1976</t>
        </is>
      </c>
      <c r="E1488" s="7" t="n"/>
      <c r="F1488" s="7" t="inlineStr">
        <is>
          <t>1976 CE</t>
        </is>
      </c>
      <c r="G1488" s="7" t="inlineStr">
        <is>
          <t>Exact</t>
        </is>
      </c>
      <c r="H1488" s="7" t="n"/>
      <c r="I1488" s="7" t="n"/>
      <c r="J1488" s="7" t="n"/>
      <c r="K1488" s="2" t="inlineStr">
        <is>
          <t>1976: “Sacred Service” District Assemblies</t>
        </is>
      </c>
      <c r="L1488" s="2" t="n"/>
      <c r="M1488" s="7" t="inlineStr">
        <is>
          <t>The Watch Tower Publications Index lists the 1976 conventions of Jehovah’s Witnesses as “Sacred Service” District Assemblies.</t>
        </is>
      </c>
      <c r="N1488" s="7" t="n"/>
      <c r="O1488" s="13" t="inlineStr">
        <is>
          <t>Jehovah's Witnesses</t>
        </is>
      </c>
      <c r="P1488" s="7" t="inlineStr">
        <is>
          <t>jw.convention</t>
        </is>
      </c>
      <c r="Q1488" s="7" t="inlineStr">
        <is>
          <t>convention</t>
        </is>
      </c>
      <c r="R1488" s="7" t="n"/>
      <c r="S1488" s="7" t="n"/>
      <c r="T1488" s="7" t="n"/>
      <c r="U1488" s="7" t="n"/>
      <c r="V1488" s="7" t="n">
        <v>1</v>
      </c>
      <c r="W1488" s="7" t="inlineStr">
        <is>
          <t>Conventions</t>
        </is>
      </c>
      <c r="X1488" s="9" t="inlineStr">
        <is>
          <t>open</t>
        </is>
      </c>
      <c r="Y1488" s="7" t="n"/>
      <c r="Z1488" s="7" t="inlineStr">
        <is>
          <t>https://wol.jw.org/en/wol/d/r1/lp-e/1200271388</t>
        </is>
      </c>
      <c r="AA1488" s="7" t="n">
        <v>0</v>
      </c>
      <c r="AB1488" s="7" t="n"/>
      <c r="AC1488" s="7" t="n">
        <v>0</v>
      </c>
      <c r="AD1488" s="7" t="n"/>
      <c r="AE1488" s="7" t="n"/>
      <c r="AF1488" s="7" t="n"/>
      <c r="AG1488" s="7" t="n"/>
      <c r="AH1488" s="7" t="n"/>
      <c r="AI1488" s="7" t="inlineStr">
        <is>
          <t>Index list entry – app detail</t>
        </is>
      </c>
      <c r="AJ1488" s="7" t="n"/>
      <c r="AK1488" s="7" t="n"/>
      <c r="AL1488" s="7" t="n"/>
      <c r="AM1488" s="7" t="n">
        <v>1976</v>
      </c>
      <c r="AN1488" s="10" t="n"/>
      <c r="AO1488" s="10" t="n"/>
      <c r="AP1488" s="10" t="n"/>
      <c r="AQ1488" s="10" t="n"/>
    </row>
    <row r="1489">
      <c r="A1489" s="7" t="inlineStr">
        <is>
          <t>b9-0108</t>
        </is>
      </c>
      <c r="B1489" s="7" t="inlineStr">
        <is>
          <t>Point</t>
        </is>
      </c>
      <c r="C1489" s="7" t="n"/>
      <c r="D1489" s="7" t="inlineStr">
        <is>
          <t>1976, January 1</t>
        </is>
      </c>
      <c r="E1489" s="7" t="n"/>
      <c r="F1489" s="7" t="inlineStr">
        <is>
          <t>1976 CE</t>
        </is>
      </c>
      <c r="G1489" s="7" t="inlineStr">
        <is>
          <t>Exact</t>
        </is>
      </c>
      <c r="H1489" s="7" t="n"/>
      <c r="I1489" s="7" t="n"/>
      <c r="J1489" s="7" t="n"/>
      <c r="K1489" s="2" t="inlineStr">
        <is>
          <t>Governing Body committees begin to function</t>
        </is>
      </c>
      <c r="L1489" s="2" t="n"/>
      <c r="M1489" s="7" t="inlineStr">
        <is>
          <t>The six committees of the Governing Body began to function on January 1, 1976.</t>
        </is>
      </c>
      <c r="N1489" s="7" t="n"/>
      <c r="O1489" s="13" t="inlineStr">
        <is>
          <t>Jehovah's Witnesses</t>
        </is>
      </c>
      <c r="P1489" s="7" t="inlineStr">
        <is>
          <t>jw.leadership</t>
        </is>
      </c>
      <c r="Q1489" s="7" t="n"/>
      <c r="R1489" s="7" t="n"/>
      <c r="S1489" s="7" t="n"/>
      <c r="T1489" s="7" t="n"/>
      <c r="U1489" s="7" t="n"/>
      <c r="V1489" s="7" t="n">
        <v>1</v>
      </c>
      <c r="W1489" s="7" t="inlineStr">
        <is>
          <t>Noteworthy Events in the Modern-day History of Jehovah’s Witnesses</t>
        </is>
      </c>
      <c r="X1489" s="9" t="inlineStr">
        <is>
          <t>open</t>
        </is>
      </c>
      <c r="Y1489" s="7" t="n"/>
      <c r="Z1489" s="7" t="inlineStr">
        <is>
          <t>https://wol.jw.org/en/wol/d/r1/lp-e/1101993046</t>
        </is>
      </c>
      <c r="AA1489" s="7" t="n">
        <v>0</v>
      </c>
      <c r="AB1489" s="7" t="n"/>
      <c r="AC1489" s="7" t="n">
        <v>0</v>
      </c>
      <c r="AD1489" s="7" t="n"/>
      <c r="AE1489" s="7" t="n"/>
      <c r="AF1489" s="7" t="n"/>
      <c r="AG1489" s="7" t="n"/>
      <c r="AH1489" s="7" t="n"/>
      <c r="AI1489" s="7" t="n"/>
      <c r="AJ1489" s="7" t="n"/>
      <c r="AK1489" s="7" t="n"/>
      <c r="AL1489" s="7" t="n"/>
      <c r="AM1489" s="7" t="n">
        <v>1976</v>
      </c>
      <c r="AN1489" s="10" t="n"/>
      <c r="AO1489" s="10" t="n"/>
      <c r="AP1489" s="10" t="n"/>
      <c r="AQ1489" s="10" t="n"/>
    </row>
    <row r="1490">
      <c r="A1490" s="7" t="inlineStr">
        <is>
          <t>b9-0109</t>
        </is>
      </c>
      <c r="B1490" s="7" t="inlineStr">
        <is>
          <t>Point</t>
        </is>
      </c>
      <c r="C1490" s="7" t="n"/>
      <c r="D1490" s="7" t="inlineStr">
        <is>
          <t>1976, February 1</t>
        </is>
      </c>
      <c r="E1490" s="7" t="n"/>
      <c r="F1490" s="7" t="inlineStr">
        <is>
          <t>1976 CE</t>
        </is>
      </c>
      <c r="G1490" s="7" t="inlineStr">
        <is>
          <t>Exact</t>
        </is>
      </c>
      <c r="H1490" s="7" t="n"/>
      <c r="I1490" s="7" t="n"/>
      <c r="J1490" s="7" t="n"/>
      <c r="K1490" s="2" t="inlineStr">
        <is>
          <t>Branch Committees replace single branch overseers</t>
        </is>
      </c>
      <c r="L1490" s="2" t="n"/>
      <c r="M1490" s="7" t="inlineStr">
        <is>
          <t>As of February 1, 1976, each branch office came under the supervision of a committee of three or more spiritually mature men instead of one overseer.</t>
        </is>
      </c>
      <c r="N1490" s="7" t="n"/>
      <c r="O1490" s="13" t="inlineStr">
        <is>
          <t>Jehovah's Witnesses</t>
        </is>
      </c>
      <c r="P1490" s="7" t="inlineStr">
        <is>
          <t>jw.organization</t>
        </is>
      </c>
      <c r="Q1490" s="7" t="n"/>
      <c r="R1490" s="7" t="n"/>
      <c r="S1490" s="7" t="n"/>
      <c r="T1490" s="7" t="n"/>
      <c r="U1490" s="7" t="n"/>
      <c r="V1490" s="7" t="n">
        <v>1</v>
      </c>
      <c r="W1490" s="7" t="inlineStr">
        <is>
          <t>Noteworthy Events in the Modern-day History of Jehovah’s Witnesses</t>
        </is>
      </c>
      <c r="X1490" s="9" t="inlineStr">
        <is>
          <t>open</t>
        </is>
      </c>
      <c r="Y1490" s="7" t="n"/>
      <c r="Z1490" s="7" t="inlineStr">
        <is>
          <t>https://wol.jw.org/en/wol/d/r1/lp-e/1101993046</t>
        </is>
      </c>
      <c r="AA1490" s="7" t="n">
        <v>0</v>
      </c>
      <c r="AB1490" s="7" t="n"/>
      <c r="AC1490" s="7" t="n">
        <v>0</v>
      </c>
      <c r="AD1490" s="7" t="n"/>
      <c r="AE1490" s="7" t="n"/>
      <c r="AF1490" s="7" t="n"/>
      <c r="AG1490" s="7" t="n"/>
      <c r="AH1490" s="7" t="n"/>
      <c r="AI1490" s="7" t="n"/>
      <c r="AJ1490" s="7" t="n"/>
      <c r="AK1490" s="7" t="n"/>
      <c r="AL1490" s="7" t="n"/>
      <c r="AM1490" s="7" t="n">
        <v>1976.0833</v>
      </c>
      <c r="AN1490" s="10" t="n"/>
      <c r="AO1490" s="10" t="n"/>
      <c r="AP1490" s="10" t="n"/>
      <c r="AQ1490" s="10" t="n"/>
    </row>
    <row r="1491">
      <c r="A1491" s="7" t="inlineStr">
        <is>
          <t>b9-0110</t>
        </is>
      </c>
      <c r="B1491" s="7" t="inlineStr">
        <is>
          <t>Point</t>
        </is>
      </c>
      <c r="C1491" s="7" t="n"/>
      <c r="D1491" s="7" t="inlineStr">
        <is>
          <t>1977</t>
        </is>
      </c>
      <c r="E1491" s="7" t="n"/>
      <c r="F1491" s="7" t="inlineStr">
        <is>
          <t>1977 CE</t>
        </is>
      </c>
      <c r="G1491" s="7" t="inlineStr">
        <is>
          <t>Exact</t>
        </is>
      </c>
      <c r="H1491" s="7" t="n"/>
      <c r="I1491" s="7" t="n"/>
      <c r="J1491" s="7" t="n"/>
      <c r="K1491" s="2" t="inlineStr">
        <is>
          <t>1977: “Joyful Workers” District Assemblies</t>
        </is>
      </c>
      <c r="L1491" s="2" t="n"/>
      <c r="M1491" s="7" t="inlineStr">
        <is>
          <t>The Watch Tower Publications Index lists the 1977 conventions of Jehovah’s Witnesses as “Joyful Workers” District Assemblies.</t>
        </is>
      </c>
      <c r="N1491" s="7" t="n"/>
      <c r="O1491" s="13" t="inlineStr">
        <is>
          <t>Jehovah's Witnesses</t>
        </is>
      </c>
      <c r="P1491" s="7" t="inlineStr">
        <is>
          <t>jw.convention</t>
        </is>
      </c>
      <c r="Q1491" s="7" t="inlineStr">
        <is>
          <t>convention</t>
        </is>
      </c>
      <c r="R1491" s="7" t="n"/>
      <c r="S1491" s="7" t="n"/>
      <c r="T1491" s="7" t="n"/>
      <c r="U1491" s="7" t="n"/>
      <c r="V1491" s="7" t="n">
        <v>1</v>
      </c>
      <c r="W1491" s="7" t="inlineStr">
        <is>
          <t>Conventions</t>
        </is>
      </c>
      <c r="X1491" s="9" t="inlineStr">
        <is>
          <t>open</t>
        </is>
      </c>
      <c r="Y1491" s="7" t="n"/>
      <c r="Z1491" s="7" t="inlineStr">
        <is>
          <t>https://wol.jw.org/en/wol/d/r1/lp-e/1200271388</t>
        </is>
      </c>
      <c r="AA1491" s="7" t="n">
        <v>0</v>
      </c>
      <c r="AB1491" s="7" t="n"/>
      <c r="AC1491" s="7" t="n">
        <v>0</v>
      </c>
      <c r="AD1491" s="7" t="n"/>
      <c r="AE1491" s="7" t="n"/>
      <c r="AF1491" s="7" t="n"/>
      <c r="AG1491" s="7" t="n"/>
      <c r="AH1491" s="7" t="n"/>
      <c r="AI1491" s="7" t="inlineStr">
        <is>
          <t>Index list entry – app detail</t>
        </is>
      </c>
      <c r="AJ1491" s="7" t="n"/>
      <c r="AK1491" s="7" t="n"/>
      <c r="AL1491" s="7" t="n"/>
      <c r="AM1491" s="7" t="n">
        <v>1977</v>
      </c>
      <c r="AN1491" s="10" t="n"/>
      <c r="AO1491" s="10" t="n"/>
      <c r="AP1491" s="10" t="n"/>
      <c r="AQ1491" s="10" t="n"/>
    </row>
    <row r="1492">
      <c r="A1492" s="7" t="inlineStr">
        <is>
          <t>b9-0111</t>
        </is>
      </c>
      <c r="B1492" s="7" t="inlineStr">
        <is>
          <t>Point</t>
        </is>
      </c>
      <c r="C1492" s="7" t="n"/>
      <c r="D1492" s="7" t="inlineStr">
        <is>
          <t>1977</t>
        </is>
      </c>
      <c r="E1492" s="7" t="n"/>
      <c r="F1492" s="7" t="inlineStr">
        <is>
          <t>1977 CE</t>
        </is>
      </c>
      <c r="G1492" s="7" t="inlineStr">
        <is>
          <t>Exact</t>
        </is>
      </c>
      <c r="H1492" s="7" t="n"/>
      <c r="I1492" s="7" t="n"/>
      <c r="J1492" s="7" t="n"/>
      <c r="K1492" s="2" t="inlineStr">
        <is>
          <t>Pioneer Service School begins</t>
        </is>
      </c>
      <c r="L1492" s="2" t="n"/>
      <c r="M1492" s="7" t="inlineStr">
        <is>
          <t>The Pioneer Service School began in 1977, providing specialized training for tens of thousands of pioneers worldwide.</t>
        </is>
      </c>
      <c r="N1492" s="7" t="n"/>
      <c r="O1492" s="13" t="inlineStr">
        <is>
          <t>Jehovah's Witnesses</t>
        </is>
      </c>
      <c r="P1492" s="7" t="inlineStr">
        <is>
          <t>jw.education</t>
        </is>
      </c>
      <c r="Q1492" s="7" t="n"/>
      <c r="R1492" s="7" t="n"/>
      <c r="S1492" s="7" t="n"/>
      <c r="T1492" s="7" t="n"/>
      <c r="U1492" s="7" t="n"/>
      <c r="V1492" s="7" t="n">
        <v>1</v>
      </c>
      <c r="W1492" s="7" t="inlineStr">
        <is>
          <t>Noteworthy Events in the Modern-day History of Jehovah’s Witnesses</t>
        </is>
      </c>
      <c r="X1492" s="9" t="inlineStr">
        <is>
          <t>open</t>
        </is>
      </c>
      <c r="Y1492" s="7" t="n"/>
      <c r="Z1492" s="7" t="inlineStr">
        <is>
          <t>https://wol.jw.org/en/wol/d/r1/lp-e/1101993046</t>
        </is>
      </c>
      <c r="AA1492" s="7" t="n">
        <v>0</v>
      </c>
      <c r="AB1492" s="7" t="n"/>
      <c r="AC1492" s="7" t="n">
        <v>0</v>
      </c>
      <c r="AD1492" s="7" t="n"/>
      <c r="AE1492" s="7" t="n"/>
      <c r="AF1492" s="7" t="n"/>
      <c r="AG1492" s="7" t="n"/>
      <c r="AH1492" s="7" t="n"/>
      <c r="AI1492" s="7" t="n"/>
      <c r="AJ1492" s="7" t="n"/>
      <c r="AK1492" s="7" t="n"/>
      <c r="AL1492" s="7" t="n"/>
      <c r="AM1492" s="7" t="n">
        <v>1977</v>
      </c>
      <c r="AN1492" s="10" t="n"/>
      <c r="AO1492" s="10" t="n"/>
      <c r="AP1492" s="10" t="n"/>
      <c r="AQ1492" s="10" t="n"/>
    </row>
    <row r="1493">
      <c r="A1493" s="7" t="inlineStr">
        <is>
          <t>b9-0112</t>
        </is>
      </c>
      <c r="B1493" s="7" t="inlineStr">
        <is>
          <t>Point</t>
        </is>
      </c>
      <c r="C1493" s="7" t="n"/>
      <c r="D1493" s="7" t="inlineStr">
        <is>
          <t>1977, June 8</t>
        </is>
      </c>
      <c r="E1493" s="7" t="n"/>
      <c r="F1493" s="7" t="inlineStr">
        <is>
          <t>1977 CE</t>
        </is>
      </c>
      <c r="G1493" s="7" t="inlineStr">
        <is>
          <t>Exact</t>
        </is>
      </c>
      <c r="H1493" s="7" t="n"/>
      <c r="I1493" s="7" t="n"/>
      <c r="J1493" s="7" t="n"/>
      <c r="K1493" s="2" t="inlineStr">
        <is>
          <t>Death of Nathan H. Knorr</t>
        </is>
      </c>
      <c r="L1493" s="2" t="n"/>
      <c r="M1493" s="7" t="inlineStr">
        <is>
          <t>Nathan H. Knorr, president of the Watch Tower Society for more than 35 years, died on the late evening of June 8, 1977, after many months of illness.</t>
        </is>
      </c>
      <c r="N1493" s="7" t="n"/>
      <c r="O1493" s="13" t="inlineStr">
        <is>
          <t>Jehovah's Witnesses</t>
        </is>
      </c>
      <c r="P1493" s="7" t="inlineStr">
        <is>
          <t>jw.leadership</t>
        </is>
      </c>
      <c r="Q1493" s="7" t="inlineStr">
        <is>
          <t>death</t>
        </is>
      </c>
      <c r="R1493" s="7" t="inlineStr">
        <is>
          <t>Nathan H. Knorr</t>
        </is>
      </c>
      <c r="S1493" s="7" t="n"/>
      <c r="T1493" s="7" t="n"/>
      <c r="U1493" s="7" t="n"/>
      <c r="V1493" s="7" t="n">
        <v>2</v>
      </c>
      <c r="W1493" s="7" t="inlineStr">
        <is>
          <t>“Firm to the End”</t>
        </is>
      </c>
      <c r="X1493" s="9" t="inlineStr">
        <is>
          <t>open</t>
        </is>
      </c>
      <c r="Y1493" s="7" t="n"/>
      <c r="Z1493" s="7" t="inlineStr">
        <is>
          <t>https://wol.jw.org/en/wol/d/r1/lp-e/1977526
https://wol.jw.org/en/wol/d/r1/lp-e/1977564</t>
        </is>
      </c>
      <c r="AA1493" s="7" t="n">
        <v>0</v>
      </c>
      <c r="AB1493" s="7" t="n"/>
      <c r="AC1493" s="7" t="n">
        <v>0</v>
      </c>
      <c r="AD1493" s="7" t="n"/>
      <c r="AE1493" s="7" t="n"/>
      <c r="AF1493" s="7" t="n"/>
      <c r="AG1493" s="7" t="n"/>
      <c r="AH1493" s="7" t="n"/>
      <c r="AI1493" s="7" t="inlineStr">
        <is>
          <t>Covered by span – hide on chart</t>
        </is>
      </c>
      <c r="AJ1493" s="7" t="inlineStr">
        <is>
          <t>end of Life of Nathan H. Knorr (d1-0031); end of N. H. Knorr, third president of the Watch Tower Society (b12-0087)</t>
        </is>
      </c>
      <c r="AK1493" s="7" t="n"/>
      <c r="AL1493" s="7" t="n"/>
      <c r="AM1493" s="7" t="n">
        <v>1977.4355</v>
      </c>
      <c r="AN1493" s="10" t="n"/>
      <c r="AO1493" s="10" t="n"/>
      <c r="AP1493" s="10" t="n"/>
      <c r="AQ1493" s="10" t="n"/>
    </row>
    <row r="1494">
      <c r="A1494" s="7" t="inlineStr">
        <is>
          <t>b9-0113</t>
        </is>
      </c>
      <c r="B1494" s="7" t="inlineStr">
        <is>
          <t>Point</t>
        </is>
      </c>
      <c r="C1494" s="7" t="n"/>
      <c r="D1494" s="7" t="inlineStr">
        <is>
          <t>1977, June 22</t>
        </is>
      </c>
      <c r="E1494" s="7" t="n"/>
      <c r="F1494" s="7" t="inlineStr">
        <is>
          <t>1977 CE</t>
        </is>
      </c>
      <c r="G1494" s="7" t="inlineStr">
        <is>
          <t>Exact</t>
        </is>
      </c>
      <c r="H1494" s="7" t="n"/>
      <c r="I1494" s="7" t="n"/>
      <c r="J1494" s="7" t="n"/>
      <c r="K1494" s="2" t="inlineStr">
        <is>
          <t>Frederick W. Franz elected president</t>
        </is>
      </c>
      <c r="L1494" s="2" t="n"/>
      <c r="M1494" s="7" t="inlineStr">
        <is>
          <t>On June 22, 1977, on the united recommendation of the Governing Body, the directors of the two corporations elected Frederick W. Franz president.</t>
        </is>
      </c>
      <c r="N1494" s="7" t="n"/>
      <c r="O1494" s="13" t="inlineStr">
        <is>
          <t>Jehovah's Witnesses</t>
        </is>
      </c>
      <c r="P1494" s="7" t="inlineStr">
        <is>
          <t>jw.leadership</t>
        </is>
      </c>
      <c r="Q1494" s="7" t="inlineStr">
        <is>
          <t>appointment</t>
        </is>
      </c>
      <c r="R1494" s="7" t="inlineStr">
        <is>
          <t>Frederick W. Franz</t>
        </is>
      </c>
      <c r="S1494" s="7" t="n"/>
      <c r="T1494" s="7" t="n"/>
      <c r="U1494" s="7" t="n"/>
      <c r="V1494" s="7" t="n">
        <v>1</v>
      </c>
      <c r="W1494" s="7" t="inlineStr">
        <is>
          <t>New Watch Tower President Elected</t>
        </is>
      </c>
      <c r="X1494" s="9" t="inlineStr">
        <is>
          <t>open</t>
        </is>
      </c>
      <c r="Y1494" s="7" t="n"/>
      <c r="Z1494" s="7" t="inlineStr">
        <is>
          <t>https://wol.jw.org/en/wol/d/r1/lp-e/1977564</t>
        </is>
      </c>
      <c r="AA1494" s="7" t="n">
        <v>0</v>
      </c>
      <c r="AB1494" s="7" t="n"/>
      <c r="AC1494" s="7" t="n">
        <v>0</v>
      </c>
      <c r="AD1494" s="7" t="n"/>
      <c r="AE1494" s="7" t="n"/>
      <c r="AF1494" s="7" t="n"/>
      <c r="AG1494" s="7" t="n"/>
      <c r="AH1494" s="7" t="n"/>
      <c r="AI1494" s="7" t="inlineStr">
        <is>
          <t>Covered by span – hide on chart</t>
        </is>
      </c>
      <c r="AJ1494" s="7" t="inlineStr">
        <is>
          <t>start of F. W. Franz, fourth president of the Watch Tower Society (b12-0097)</t>
        </is>
      </c>
      <c r="AK1494" s="7" t="n"/>
      <c r="AL1494" s="7" t="n"/>
      <c r="AM1494" s="7" t="n">
        <v>1977.4731</v>
      </c>
      <c r="AN1494" s="10" t="n"/>
      <c r="AO1494" s="10" t="n"/>
      <c r="AP1494" s="10" t="n"/>
      <c r="AQ1494" s="10" t="n"/>
    </row>
    <row r="1495">
      <c r="A1495" s="7" t="inlineStr">
        <is>
          <t>b12-0097</t>
        </is>
      </c>
      <c r="B1495" s="11" t="inlineStr">
        <is>
          <t>Span</t>
        </is>
      </c>
      <c r="C1495" s="7" t="inlineStr">
        <is>
          <t>office</t>
        </is>
      </c>
      <c r="D1495" s="7" t="inlineStr">
        <is>
          <t>June 22, 1977–December 22, 1992</t>
        </is>
      </c>
      <c r="E1495" s="7" t="n"/>
      <c r="F1495" s="7" t="inlineStr">
        <is>
          <t>1977 CE</t>
        </is>
      </c>
      <c r="G1495" s="7" t="inlineStr">
        <is>
          <t>Exact</t>
        </is>
      </c>
      <c r="H1495" s="7" t="inlineStr">
        <is>
          <t>1992 CE</t>
        </is>
      </c>
      <c r="I1495" s="7" t="inlineStr">
        <is>
          <t>Exact</t>
        </is>
      </c>
      <c r="J1495" s="7" t="n"/>
      <c r="K1495" s="2" t="inlineStr">
        <is>
          <t>F. W. Franz, fourth president of the Watch Tower Society</t>
        </is>
      </c>
      <c r="L1495" s="2" t="n"/>
      <c r="M1495" s="7" t="inlineStr">
        <is>
          <t>Frederick W. Franz, vice president since 1945, became president after Knorr’s death and served until he died at the end of 1992.</t>
        </is>
      </c>
      <c r="N1495" s="7" t="n"/>
      <c r="O1495" s="13" t="inlineStr">
        <is>
          <t>Jehovah's Witnesses</t>
        </is>
      </c>
      <c r="P1495" s="7" t="inlineStr">
        <is>
          <t>jw.leadership</t>
        </is>
      </c>
      <c r="Q1495" s="7" t="n"/>
      <c r="R1495" s="7" t="inlineStr">
        <is>
          <t>Frederick W. Franz</t>
        </is>
      </c>
      <c r="S1495" s="7" t="n"/>
      <c r="T1495" s="7" t="n"/>
      <c r="U1495" s="7" t="n"/>
      <c r="V1495" s="7" t="n">
        <v>3</v>
      </c>
      <c r="W1495" s="7" t="inlineStr">
        <is>
          <t>Dates (Calendar)</t>
        </is>
      </c>
      <c r="X1495" s="9" t="inlineStr">
        <is>
          <t>open</t>
        </is>
      </c>
      <c r="Y1495" s="7" t="n"/>
      <c r="Z1495" s="7" t="inlineStr">
        <is>
          <t>https://wol.jw.org/en/wol/d/r1/lp-e/1200271562
https://wol.jw.org/en/wol/d/r1/lp-e/1993207
https://wol.jw.org/en/wol/d/r1/lp-e/1993207</t>
        </is>
      </c>
      <c r="AA1495" s="7" t="n">
        <v>0</v>
      </c>
      <c r="AB1495" s="7" t="n"/>
      <c r="AC1495" s="7" t="n">
        <v>0</v>
      </c>
      <c r="AD1495" s="7" t="n"/>
      <c r="AE1495" s="7" t="n"/>
      <c r="AF1495" s="7" t="inlineStr">
        <is>
          <t>b9-0113</t>
        </is>
      </c>
      <c r="AG1495" s="7" t="inlineStr">
        <is>
          <t>b9-0185</t>
        </is>
      </c>
      <c r="AH1495" s="7" t="n"/>
      <c r="AI1495" s="7" t="n"/>
      <c r="AJ1495" s="7" t="n"/>
      <c r="AK1495" s="7" t="inlineStr">
        <is>
          <t>watch-tower-presidents #4 (ruler)</t>
        </is>
      </c>
      <c r="AL1495" s="7" t="n"/>
      <c r="AM1495" s="7" t="n">
        <v>1977.4731</v>
      </c>
      <c r="AN1495" s="10" t="n"/>
      <c r="AO1495" s="10" t="n"/>
      <c r="AP1495" s="10" t="n"/>
      <c r="AQ1495" s="10" t="n"/>
    </row>
    <row r="1496">
      <c r="A1496" s="7" t="inlineStr">
        <is>
          <t>b12-0098</t>
        </is>
      </c>
      <c r="B1496" s="11" t="inlineStr">
        <is>
          <t>Span</t>
        </is>
      </c>
      <c r="C1496" s="7" t="inlineStr">
        <is>
          <t>office</t>
        </is>
      </c>
      <c r="D1496" s="7" t="inlineStr">
        <is>
          <t>September 1977–June 16, 1988</t>
        </is>
      </c>
      <c r="E1496" s="7" t="n"/>
      <c r="F1496" s="7" t="inlineStr">
        <is>
          <t>1977 CE</t>
        </is>
      </c>
      <c r="G1496" s="7" t="inlineStr">
        <is>
          <t>Exact</t>
        </is>
      </c>
      <c r="H1496" s="7" t="inlineStr">
        <is>
          <t>1988 CE</t>
        </is>
      </c>
      <c r="I1496" s="7" t="inlineStr">
        <is>
          <t>Exact</t>
        </is>
      </c>
      <c r="J1496" s="7" t="n"/>
      <c r="K1496" s="2" t="inlineStr">
        <is>
          <t>Martin Poetzinger serves on the Governing Body</t>
        </is>
      </c>
      <c r="L1496" s="2" t="n"/>
      <c r="M1496" s="7" t="inlineStr">
        <is>
          <t>Martin Poetzinger, a survivor of Nazi concentration camps, was appointed to the Governing Body in September 1977 and served until his death in 1988.</t>
        </is>
      </c>
      <c r="N1496" s="7" t="n"/>
      <c r="O1496" s="13" t="inlineStr">
        <is>
          <t>Jehovah's Witnesses</t>
        </is>
      </c>
      <c r="P1496" s="7" t="inlineStr">
        <is>
          <t>jw.leadership</t>
        </is>
      </c>
      <c r="Q1496" s="7" t="n"/>
      <c r="R1496" s="7" t="inlineStr">
        <is>
          <t>Martin Poetzinger</t>
        </is>
      </c>
      <c r="S1496" s="7" t="n"/>
      <c r="T1496" s="7" t="n"/>
      <c r="U1496" s="7" t="n"/>
      <c r="V1496" s="7" t="n">
        <v>2</v>
      </c>
      <c r="W1496" s="7" t="inlineStr">
        <is>
          <t>A Staunch Fighter for the Truth</t>
        </is>
      </c>
      <c r="X1496" s="9" t="inlineStr">
        <is>
          <t>open</t>
        </is>
      </c>
      <c r="Y1496" s="7" t="n"/>
      <c r="Z1496" s="7" t="inlineStr">
        <is>
          <t>https://wol.jw.org/en/wol/d/r1/lp-e/1988687
https://wol.jw.org/en/wol/d/r1/lp-e/1988687</t>
        </is>
      </c>
      <c r="AA1496" s="7" t="n">
        <v>0</v>
      </c>
      <c r="AB1496" s="7" t="n"/>
      <c r="AC1496" s="7" t="n">
        <v>0</v>
      </c>
      <c r="AD1496" s="7" t="n"/>
      <c r="AE1496" s="7" t="n"/>
      <c r="AF1496" s="7" t="n"/>
      <c r="AG1496" s="7" t="inlineStr">
        <is>
          <t>b9-0163</t>
        </is>
      </c>
      <c r="AH1496" s="7" t="n"/>
      <c r="AI1496" s="7" t="n"/>
      <c r="AJ1496" s="7" t="n"/>
      <c r="AK1496" s="7" t="inlineStr">
        <is>
          <t>governing-body #3 (ruler)</t>
        </is>
      </c>
      <c r="AL1496" s="7" t="n"/>
      <c r="AM1496" s="7" t="n">
        <v>1977.6667</v>
      </c>
      <c r="AN1496" s="10" t="n"/>
      <c r="AO1496" s="10" t="n"/>
      <c r="AP1496" s="10" t="n"/>
      <c r="AQ1496" s="10" t="n"/>
    </row>
    <row r="1497">
      <c r="A1497" s="7" t="inlineStr">
        <is>
          <t>b9-0114</t>
        </is>
      </c>
      <c r="B1497" s="7" t="inlineStr">
        <is>
          <t>Point</t>
        </is>
      </c>
      <c r="C1497" s="7" t="n"/>
      <c r="D1497" s="7" t="inlineStr">
        <is>
          <t>1978</t>
        </is>
      </c>
      <c r="E1497" s="7" t="n"/>
      <c r="F1497" s="7" t="inlineStr">
        <is>
          <t>1978 CE</t>
        </is>
      </c>
      <c r="G1497" s="7" t="inlineStr">
        <is>
          <t>Exact</t>
        </is>
      </c>
      <c r="H1497" s="7" t="n"/>
      <c r="I1497" s="7" t="n"/>
      <c r="J1497" s="7" t="n"/>
      <c r="K1497" s="2" t="inlineStr">
        <is>
          <t>1978: “Victorious Faith” International Conventions</t>
        </is>
      </c>
      <c r="L1497" s="2" t="n"/>
      <c r="M1497" s="7" t="inlineStr">
        <is>
          <t>The Watch Tower Publications Index lists the 1978 conventions of Jehovah’s Witnesses as “Victorious Faith” International Conventions.</t>
        </is>
      </c>
      <c r="N1497" s="7" t="n"/>
      <c r="O1497" s="13" t="inlineStr">
        <is>
          <t>Jehovah's Witnesses</t>
        </is>
      </c>
      <c r="P1497" s="7" t="inlineStr">
        <is>
          <t>jw.convention</t>
        </is>
      </c>
      <c r="Q1497" s="7" t="inlineStr">
        <is>
          <t>convention</t>
        </is>
      </c>
      <c r="R1497" s="7" t="n"/>
      <c r="S1497" s="7" t="n"/>
      <c r="T1497" s="7" t="n"/>
      <c r="U1497" s="7" t="n"/>
      <c r="V1497" s="7" t="n">
        <v>1</v>
      </c>
      <c r="W1497" s="7" t="inlineStr">
        <is>
          <t>Conventions</t>
        </is>
      </c>
      <c r="X1497" s="9" t="inlineStr">
        <is>
          <t>open</t>
        </is>
      </c>
      <c r="Y1497" s="7" t="n"/>
      <c r="Z1497" s="7" t="inlineStr">
        <is>
          <t>https://wol.jw.org/en/wol/d/r1/lp-e/1200271388</t>
        </is>
      </c>
      <c r="AA1497" s="7" t="n">
        <v>0</v>
      </c>
      <c r="AB1497" s="7" t="n"/>
      <c r="AC1497" s="7" t="n">
        <v>0</v>
      </c>
      <c r="AD1497" s="7" t="n"/>
      <c r="AE1497" s="7" t="n"/>
      <c r="AF1497" s="7" t="n"/>
      <c r="AG1497" s="7" t="n"/>
      <c r="AH1497" s="7" t="n"/>
      <c r="AI1497" s="7" t="inlineStr">
        <is>
          <t>Index list entry – app detail</t>
        </is>
      </c>
      <c r="AJ1497" s="7" t="n"/>
      <c r="AK1497" s="7" t="n"/>
      <c r="AL1497" s="7" t="n"/>
      <c r="AM1497" s="7" t="n">
        <v>1978</v>
      </c>
      <c r="AN1497" s="10" t="n"/>
      <c r="AO1497" s="10" t="n"/>
      <c r="AP1497" s="10" t="n"/>
      <c r="AQ1497" s="10" t="n"/>
    </row>
    <row r="1498">
      <c r="A1498" s="7" t="inlineStr">
        <is>
          <t>b9-0115</t>
        </is>
      </c>
      <c r="B1498" s="7" t="inlineStr">
        <is>
          <t>Point</t>
        </is>
      </c>
      <c r="C1498" s="7" t="n"/>
      <c r="D1498" s="7" t="inlineStr">
        <is>
          <t>1978</t>
        </is>
      </c>
      <c r="E1498" s="7" t="inlineStr">
        <is>
          <t>1978</t>
        </is>
      </c>
      <c r="F1498" s="7" t="inlineStr">
        <is>
          <t>1978 CE</t>
        </is>
      </c>
      <c r="G1498" s="7" t="inlineStr">
        <is>
          <t>Exact</t>
        </is>
      </c>
      <c r="H1498" s="7" t="n"/>
      <c r="I1498" s="7" t="n"/>
      <c r="J1498" s="7" t="n"/>
      <c r="K1498" s="2" t="inlineStr">
        <is>
          <t>Making Your Family Life Happy published</t>
        </is>
      </c>
      <c r="L1498" s="2" t="inlineStr">
        <is>
          <t>3:14, 15) உங்கள் குடும்ப வாழ்க்கையை மகிழ்ச்சியுள்ளதாக்குதல் என்ற புத்தகம் 1978-ல் வெளியிடப்பட்டது.</t>
        </is>
      </c>
      <c r="M1498" s="7" t="inlineStr">
        <is>
          <t>The book Making Your Family Life Happy appeared in 1978.</t>
        </is>
      </c>
      <c r="N1498" s="7" t="inlineStr">
        <is>
          <t>3:14, 15) உங்கள் குடும்ப வாழ்க்கையை மகிழ்ச்சியுள்ளதாக்குதல் என்ற புத்தகம் 1978-ல் வெளியிடப்பட்டது.</t>
        </is>
      </c>
      <c r="O1498" s="13" t="inlineStr">
        <is>
          <t>Jehovah's Witnesses</t>
        </is>
      </c>
      <c r="P1498" s="7" t="inlineStr">
        <is>
          <t>jw.publication</t>
        </is>
      </c>
      <c r="Q1498" s="7" t="inlineStr">
        <is>
          <t>release</t>
        </is>
      </c>
      <c r="R1498" s="7" t="n"/>
      <c r="S1498" s="7" t="n"/>
      <c r="T1498" s="7" t="n"/>
      <c r="U1498" s="7" t="n"/>
      <c r="V1498" s="7" t="n">
        <v>1</v>
      </c>
      <c r="W1498" s="7" t="inlineStr">
        <is>
          <t>Moral Refinements</t>
        </is>
      </c>
      <c r="X1498" s="9" t="inlineStr">
        <is>
          <t>open</t>
        </is>
      </c>
      <c r="Y1498" s="9" t="inlineStr">
        <is>
          <t>open</t>
        </is>
      </c>
      <c r="Z1498" s="7" t="inlineStr">
        <is>
          <t>https://wol.jw.org/en/wol/d/r1/lp-e/1102014250</t>
        </is>
      </c>
      <c r="AA1498" s="7" t="n">
        <v>0</v>
      </c>
      <c r="AB1498" s="7" t="n"/>
      <c r="AC1498" s="7" t="n">
        <v>0</v>
      </c>
      <c r="AD1498" s="7" t="n"/>
      <c r="AE1498" s="7" t="n"/>
      <c r="AF1498" s="7" t="n"/>
      <c r="AG1498" s="7" t="n"/>
      <c r="AH1498" s="7" t="n"/>
      <c r="AI1498" s="7" t="n"/>
      <c r="AJ1498" s="7" t="n"/>
      <c r="AK1498" s="7" t="n"/>
      <c r="AL1498" s="7" t="n"/>
      <c r="AM1498" s="7" t="n">
        <v>1978</v>
      </c>
      <c r="AN1498" s="10" t="n"/>
      <c r="AO1498" s="10" t="n"/>
      <c r="AP1498" s="10" t="n"/>
      <c r="AQ1498" s="10" t="n"/>
    </row>
    <row r="1499">
      <c r="A1499" s="7" t="inlineStr">
        <is>
          <t>b9-0116</t>
        </is>
      </c>
      <c r="B1499" s="7" t="inlineStr">
        <is>
          <t>Point</t>
        </is>
      </c>
      <c r="C1499" s="7" t="n"/>
      <c r="D1499" s="7" t="inlineStr">
        <is>
          <t>1979</t>
        </is>
      </c>
      <c r="E1499" s="7" t="inlineStr">
        <is>
          <t>1979</t>
        </is>
      </c>
      <c r="F1499" s="7" t="inlineStr">
        <is>
          <t>1979 CE</t>
        </is>
      </c>
      <c r="G1499" s="7" t="inlineStr">
        <is>
          <t>Exact</t>
        </is>
      </c>
      <c r="H1499" s="7" t="n"/>
      <c r="I1499" s="7" t="n"/>
      <c r="J1499" s="7" t="n"/>
      <c r="K1499" s="2" t="inlineStr">
        <is>
          <t>Argentine court reverses expulsion of Witness children</t>
        </is>
      </c>
      <c r="L1499" s="2" t="inlineStr">
        <is>
          <t>1979-ல் உச்ச நீதிமன்றம், கீழ் நீதிமன்றத்தின் தீர்ப்பை மாற்றி இப்படிச் சொன்னது: “இந்தத் தண்டனை [வெளியேற்றப்பட்டது] படிப்பு உரிமைக்கு…</t>
        </is>
      </c>
      <c r="M1499" s="7" t="inlineStr">
        <is>
          <t>In 1979 the court in Argentina reversed the lower court’s decision on the Barros expulsion, citing the constitutional right to learn.</t>
        </is>
      </c>
      <c r="N1499" s="7" t="inlineStr">
        <is>
          <t>1979-ல் உச்ச நீதிமன்றம், கீழ் நீதிமன்றத்தின் தீர்ப்பை மாற்றி இப்படிச் சொன்னது: “இந்தத் தண்டனை [வெளியேற்றப்பட்டது] படிப்பு உரிமைக்கு (சட்டப்பிரிவு 14) எதிரானது.</t>
        </is>
      </c>
      <c r="O1499" s="13" t="inlineStr">
        <is>
          <t>Jehovah's Witnesses</t>
        </is>
      </c>
      <c r="P1499" s="7" t="inlineStr">
        <is>
          <t>jw.legal</t>
        </is>
      </c>
      <c r="Q1499" s="7" t="inlineStr">
        <is>
          <t>court_ruling</t>
        </is>
      </c>
      <c r="R1499" s="7" t="n"/>
      <c r="S1499" s="7" t="inlineStr">
        <is>
          <t>Argentina</t>
        </is>
      </c>
      <c r="T1499" s="7" t="n"/>
      <c r="U1499" s="7" t="n"/>
      <c r="V1499" s="7" t="n">
        <v>1</v>
      </c>
      <c r="W1499" s="7" t="inlineStr">
        <is>
          <t>Loyally Supporting God’s Government and No Other</t>
        </is>
      </c>
      <c r="X1499" s="9" t="inlineStr">
        <is>
          <t>open</t>
        </is>
      </c>
      <c r="Y1499" s="9" t="inlineStr">
        <is>
          <t>open</t>
        </is>
      </c>
      <c r="Z1499" s="7" t="inlineStr">
        <is>
          <t>https://wol.jw.org/en/wol/d/r1/lp-e/1102014253</t>
        </is>
      </c>
      <c r="AA1499" s="7" t="n">
        <v>0</v>
      </c>
      <c r="AB1499" s="7" t="n"/>
      <c r="AC1499" s="7" t="n">
        <v>0</v>
      </c>
      <c r="AD1499" s="7" t="n"/>
      <c r="AE1499" s="7" t="n"/>
      <c r="AF1499" s="7" t="n"/>
      <c r="AG1499" s="7" t="n"/>
      <c r="AH1499" s="7" t="n"/>
      <c r="AI1499" s="7" t="n"/>
      <c r="AJ1499" s="7" t="n"/>
      <c r="AK1499" s="7" t="n"/>
      <c r="AL1499" s="7" t="n"/>
      <c r="AM1499" s="7" t="n">
        <v>1979</v>
      </c>
      <c r="AN1499" s="10" t="n"/>
      <c r="AO1499" s="10" t="n"/>
      <c r="AP1499" s="10" t="n"/>
      <c r="AQ1499" s="10" t="n"/>
    </row>
    <row r="1500">
      <c r="A1500" s="7" t="inlineStr">
        <is>
          <t>b9-0117</t>
        </is>
      </c>
      <c r="B1500" s="7" t="inlineStr">
        <is>
          <t>Point</t>
        </is>
      </c>
      <c r="C1500" s="7" t="n"/>
      <c r="D1500" s="7" t="inlineStr">
        <is>
          <t>1979</t>
        </is>
      </c>
      <c r="E1500" s="7" t="n"/>
      <c r="F1500" s="7" t="inlineStr">
        <is>
          <t>1979 CE</t>
        </is>
      </c>
      <c r="G1500" s="7" t="inlineStr">
        <is>
          <t>Exact</t>
        </is>
      </c>
      <c r="H1500" s="7" t="n"/>
      <c r="I1500" s="7" t="n"/>
      <c r="J1500" s="7" t="n"/>
      <c r="K1500" s="2" t="inlineStr">
        <is>
          <t>Understanding clarified: “keys of the kingdom” (Matt. 16:19)</t>
        </is>
      </c>
      <c r="L1500" s="2" t="n"/>
      <c r="M1500" s="7" t="inlineStr">
        <is>
          <t>The Watch Tower Publications Index (“Beliefs Clarified,” list by year) records a clarified understanding in 1979 concerning “keys of the kingdom” (Matt. 16:19). Index references: w95 5/15 24.</t>
        </is>
      </c>
      <c r="N1500" s="7" t="n"/>
      <c r="O1500" s="13" t="inlineStr">
        <is>
          <t>Jehovah's Witnesses</t>
        </is>
      </c>
      <c r="P1500" s="7" t="inlineStr">
        <is>
          <t>jw.doctrine</t>
        </is>
      </c>
      <c r="Q1500" s="7" t="inlineStr">
        <is>
          <t>beliefs_clarified</t>
        </is>
      </c>
      <c r="R1500" s="7" t="n"/>
      <c r="S1500" s="7" t="n"/>
      <c r="T1500" s="7" t="inlineStr">
        <is>
          <t>Matt. 16:19</t>
        </is>
      </c>
      <c r="U1500" s="7" t="n"/>
      <c r="V1500" s="7" t="n">
        <v>1</v>
      </c>
      <c r="W1500" s="7" t="inlineStr">
        <is>
          <t>Beliefs Clarified</t>
        </is>
      </c>
      <c r="X1500" s="9" t="inlineStr">
        <is>
          <t>open</t>
        </is>
      </c>
      <c r="Y1500" s="7" t="n"/>
      <c r="Z1500" s="7" t="inlineStr">
        <is>
          <t>https://wol.jw.org/en/wol/d/r1/lp-e/1200277174</t>
        </is>
      </c>
      <c r="AA1500" s="7" t="n">
        <v>0</v>
      </c>
      <c r="AB1500" s="7" t="n"/>
      <c r="AC1500" s="7" t="n">
        <v>0</v>
      </c>
      <c r="AD1500" s="7" t="n"/>
      <c r="AE1500" s="7" t="n"/>
      <c r="AF1500" s="7" t="n"/>
      <c r="AG1500" s="7" t="n"/>
      <c r="AH1500" s="7" t="n"/>
      <c r="AI1500" s="7" t="inlineStr">
        <is>
          <t>Index list entry – app detail</t>
        </is>
      </c>
      <c r="AJ1500" s="7" t="n"/>
      <c r="AK1500" s="7" t="n"/>
      <c r="AL1500" s="7" t="n"/>
      <c r="AM1500" s="7" t="n">
        <v>1979</v>
      </c>
      <c r="AN1500" s="10" t="n"/>
      <c r="AO1500" s="10" t="n"/>
      <c r="AP1500" s="10" t="n"/>
      <c r="AQ1500" s="10" t="n"/>
    </row>
    <row r="1501">
      <c r="A1501" s="7" t="inlineStr">
        <is>
          <t>b9-0118</t>
        </is>
      </c>
      <c r="B1501" s="7" t="inlineStr">
        <is>
          <t>Point</t>
        </is>
      </c>
      <c r="C1501" s="7" t="n"/>
      <c r="D1501" s="7" t="inlineStr">
        <is>
          <t>1979</t>
        </is>
      </c>
      <c r="E1501" s="7" t="n"/>
      <c r="F1501" s="7" t="inlineStr">
        <is>
          <t>1979 CE</t>
        </is>
      </c>
      <c r="G1501" s="7" t="inlineStr">
        <is>
          <t>Exact</t>
        </is>
      </c>
      <c r="H1501" s="7" t="n"/>
      <c r="I1501" s="7" t="n"/>
      <c r="J1501" s="7" t="n"/>
      <c r="K1501" s="2" t="inlineStr">
        <is>
          <t>1979: “Living Hope” District Conventions</t>
        </is>
      </c>
      <c r="L1501" s="2" t="n"/>
      <c r="M1501" s="7" t="inlineStr">
        <is>
          <t>The Watch Tower Publications Index lists the 1979 conventions of Jehovah’s Witnesses as “Living Hope” District Conventions.</t>
        </is>
      </c>
      <c r="N1501" s="7" t="n"/>
      <c r="O1501" s="13" t="inlineStr">
        <is>
          <t>Jehovah's Witnesses</t>
        </is>
      </c>
      <c r="P1501" s="7" t="inlineStr">
        <is>
          <t>jw.convention</t>
        </is>
      </c>
      <c r="Q1501" s="7" t="inlineStr">
        <is>
          <t>convention</t>
        </is>
      </c>
      <c r="R1501" s="7" t="n"/>
      <c r="S1501" s="7" t="n"/>
      <c r="T1501" s="7" t="n"/>
      <c r="U1501" s="7" t="n"/>
      <c r="V1501" s="7" t="n">
        <v>1</v>
      </c>
      <c r="W1501" s="7" t="inlineStr">
        <is>
          <t>Conventions</t>
        </is>
      </c>
      <c r="X1501" s="9" t="inlineStr">
        <is>
          <t>open</t>
        </is>
      </c>
      <c r="Y1501" s="7" t="n"/>
      <c r="Z1501" s="7" t="inlineStr">
        <is>
          <t>https://wol.jw.org/en/wol/d/r1/lp-e/1200271388</t>
        </is>
      </c>
      <c r="AA1501" s="7" t="n">
        <v>0</v>
      </c>
      <c r="AB1501" s="7" t="n"/>
      <c r="AC1501" s="7" t="n">
        <v>0</v>
      </c>
      <c r="AD1501" s="7" t="n"/>
      <c r="AE1501" s="7" t="n"/>
      <c r="AF1501" s="7" t="n"/>
      <c r="AG1501" s="7" t="n"/>
      <c r="AH1501" s="7" t="n"/>
      <c r="AI1501" s="7" t="inlineStr">
        <is>
          <t>Index list entry – app detail</t>
        </is>
      </c>
      <c r="AJ1501" s="7" t="n"/>
      <c r="AK1501" s="7" t="n"/>
      <c r="AL1501" s="7" t="n"/>
      <c r="AM1501" s="7" t="n">
        <v>1979</v>
      </c>
      <c r="AN1501" s="10" t="n"/>
      <c r="AO1501" s="10" t="n"/>
      <c r="AP1501" s="10" t="n"/>
      <c r="AQ1501" s="10" t="n"/>
    </row>
    <row r="1502">
      <c r="A1502" s="7" t="inlineStr">
        <is>
          <t>b9-0119</t>
        </is>
      </c>
      <c r="B1502" s="7" t="inlineStr">
        <is>
          <t>Point</t>
        </is>
      </c>
      <c r="C1502" s="7" t="n"/>
      <c r="D1502" s="7" t="inlineStr">
        <is>
          <t>1979</t>
        </is>
      </c>
      <c r="E1502" s="7" t="inlineStr">
        <is>
          <t>1979</t>
        </is>
      </c>
      <c r="F1502" s="7" t="inlineStr">
        <is>
          <t>1979 CE</t>
        </is>
      </c>
      <c r="G1502" s="7" t="inlineStr">
        <is>
          <t>Exact</t>
        </is>
      </c>
      <c r="H1502" s="7" t="n"/>
      <c r="I1502" s="7" t="n"/>
      <c r="J1502" s="7" t="n"/>
      <c r="K1502" s="2" t="inlineStr">
        <is>
          <t>Elders begin visiting hospitals about blood</t>
        </is>
      </c>
      <c r="L1502" s="2" t="inlineStr">
        <is>
          <t>1979-ல் மூப்பர்கள் சிலர் மருத்துவமனைகளுக்குப் போய் மருத்துவர்களைச் சந்திக்க ஆரம்பித்தார்கள்.</t>
        </is>
      </c>
      <c r="M1502" s="7" t="inlineStr">
        <is>
          <t>In 1979 some elders began visiting hospitals to help doctors understand the Witnesses’ position on blood and the alternatives available; in 1980 elders in 39 U.S. cities received specialized training.</t>
        </is>
      </c>
      <c r="N1502" s="7" t="inlineStr">
        <is>
          <t>1979-ல் மூப்பர்கள் சிலர் மருத்துவமனைகளுக்குப் போய் மருத்துவர்களைச் சந்திக்க ஆரம்பித்தார்கள்.</t>
        </is>
      </c>
      <c r="O1502" s="13" t="inlineStr">
        <is>
          <t>Jehovah's Witnesses</t>
        </is>
      </c>
      <c r="P1502" s="7" t="inlineStr">
        <is>
          <t>jw.organization</t>
        </is>
      </c>
      <c r="Q1502" s="7" t="n"/>
      <c r="R1502" s="7" t="n"/>
      <c r="S1502" s="7" t="n"/>
      <c r="T1502" s="7" t="n"/>
      <c r="U1502" s="7" t="n"/>
      <c r="V1502" s="7" t="n">
        <v>1</v>
      </c>
      <c r="W1502" s="7" t="inlineStr">
        <is>
          <t>Moral Refinements</t>
        </is>
      </c>
      <c r="X1502" s="9" t="inlineStr">
        <is>
          <t>open</t>
        </is>
      </c>
      <c r="Y1502" s="9" t="inlineStr">
        <is>
          <t>open</t>
        </is>
      </c>
      <c r="Z1502" s="7" t="inlineStr">
        <is>
          <t>https://wol.jw.org/en/wol/d/r1/lp-e/1102014250</t>
        </is>
      </c>
      <c r="AA1502" s="7" t="n">
        <v>0</v>
      </c>
      <c r="AB1502" s="7" t="n"/>
      <c r="AC1502" s="7" t="n">
        <v>0</v>
      </c>
      <c r="AD1502" s="7" t="n"/>
      <c r="AE1502" s="7" t="n"/>
      <c r="AF1502" s="7" t="n"/>
      <c r="AG1502" s="7" t="n"/>
      <c r="AH1502" s="7" t="n"/>
      <c r="AI1502" s="7" t="n"/>
      <c r="AJ1502" s="7" t="n"/>
      <c r="AK1502" s="7" t="n"/>
      <c r="AL1502" s="7" t="n"/>
      <c r="AM1502" s="7" t="n">
        <v>1979</v>
      </c>
      <c r="AN1502" s="10" t="n"/>
      <c r="AO1502" s="10" t="n"/>
      <c r="AP1502" s="10" t="n"/>
      <c r="AQ1502" s="10" t="n"/>
    </row>
    <row r="1503">
      <c r="A1503" s="7" t="inlineStr">
        <is>
          <t>b9-0120</t>
        </is>
      </c>
      <c r="B1503" s="7" t="inlineStr">
        <is>
          <t>Point</t>
        </is>
      </c>
      <c r="C1503" s="7" t="n"/>
      <c r="D1503" s="7" t="inlineStr">
        <is>
          <t>1980</t>
        </is>
      </c>
      <c r="E1503" s="7" t="n"/>
      <c r="F1503" s="7" t="inlineStr">
        <is>
          <t>1980 CE</t>
        </is>
      </c>
      <c r="G1503" s="7" t="inlineStr">
        <is>
          <t>Exact</t>
        </is>
      </c>
      <c r="H1503" s="7" t="n"/>
      <c r="I1503" s="7" t="n"/>
      <c r="J1503" s="7" t="n"/>
      <c r="K1503" s="2" t="inlineStr">
        <is>
          <t>1980: “Divine Love” District Conventions</t>
        </is>
      </c>
      <c r="L1503" s="2" t="n"/>
      <c r="M1503" s="7" t="inlineStr">
        <is>
          <t>The Watch Tower Publications Index lists the 1980 conventions of Jehovah’s Witnesses as “Divine Love” District Conventions.</t>
        </is>
      </c>
      <c r="N1503" s="7" t="n"/>
      <c r="O1503" s="13" t="inlineStr">
        <is>
          <t>Jehovah's Witnesses</t>
        </is>
      </c>
      <c r="P1503" s="7" t="inlineStr">
        <is>
          <t>jw.convention</t>
        </is>
      </c>
      <c r="Q1503" s="7" t="inlineStr">
        <is>
          <t>convention</t>
        </is>
      </c>
      <c r="R1503" s="7" t="n"/>
      <c r="S1503" s="7" t="n"/>
      <c r="T1503" s="7" t="n"/>
      <c r="U1503" s="7" t="n"/>
      <c r="V1503" s="7" t="n">
        <v>1</v>
      </c>
      <c r="W1503" s="7" t="inlineStr">
        <is>
          <t>Conventions</t>
        </is>
      </c>
      <c r="X1503" s="9" t="inlineStr">
        <is>
          <t>open</t>
        </is>
      </c>
      <c r="Y1503" s="7" t="n"/>
      <c r="Z1503" s="7" t="inlineStr">
        <is>
          <t>https://wol.jw.org/en/wol/d/r1/lp-e/1200271388</t>
        </is>
      </c>
      <c r="AA1503" s="7" t="n">
        <v>0</v>
      </c>
      <c r="AB1503" s="7" t="n"/>
      <c r="AC1503" s="7" t="n">
        <v>0</v>
      </c>
      <c r="AD1503" s="7" t="n"/>
      <c r="AE1503" s="7" t="n"/>
      <c r="AF1503" s="7" t="n"/>
      <c r="AG1503" s="7" t="n"/>
      <c r="AH1503" s="7" t="n"/>
      <c r="AI1503" s="7" t="inlineStr">
        <is>
          <t>Index list entry – app detail</t>
        </is>
      </c>
      <c r="AJ1503" s="7" t="n"/>
      <c r="AK1503" s="7" t="n"/>
      <c r="AL1503" s="7" t="n"/>
      <c r="AM1503" s="7" t="n">
        <v>1980</v>
      </c>
      <c r="AN1503" s="10" t="n"/>
      <c r="AO1503" s="10" t="n"/>
      <c r="AP1503" s="10" t="n"/>
      <c r="AQ1503" s="10" t="n"/>
    </row>
    <row r="1504">
      <c r="A1504" s="7" t="inlineStr">
        <is>
          <t>b9-0121</t>
        </is>
      </c>
      <c r="B1504" s="7" t="inlineStr">
        <is>
          <t>Point</t>
        </is>
      </c>
      <c r="C1504" s="7" t="n"/>
      <c r="D1504" s="7" t="inlineStr">
        <is>
          <t>1981</t>
        </is>
      </c>
      <c r="E1504" s="7" t="n"/>
      <c r="F1504" s="7" t="inlineStr">
        <is>
          <t>1981 CE</t>
        </is>
      </c>
      <c r="G1504" s="7" t="inlineStr">
        <is>
          <t>Exact</t>
        </is>
      </c>
      <c r="H1504" s="7" t="n"/>
      <c r="I1504" s="7" t="n"/>
      <c r="J1504" s="7" t="n"/>
      <c r="K1504" s="2" t="inlineStr">
        <is>
          <t>1981: “Kingdom Loyalty” District Conventions</t>
        </is>
      </c>
      <c r="L1504" s="2" t="n"/>
      <c r="M1504" s="7" t="inlineStr">
        <is>
          <t>The Watch Tower Publications Index lists the 1981 conventions of Jehovah’s Witnesses as “Kingdom Loyalty” District Conventions.</t>
        </is>
      </c>
      <c r="N1504" s="7" t="n"/>
      <c r="O1504" s="13" t="inlineStr">
        <is>
          <t>Jehovah's Witnesses</t>
        </is>
      </c>
      <c r="P1504" s="7" t="inlineStr">
        <is>
          <t>jw.convention</t>
        </is>
      </c>
      <c r="Q1504" s="7" t="inlineStr">
        <is>
          <t>convention</t>
        </is>
      </c>
      <c r="R1504" s="7" t="n"/>
      <c r="S1504" s="7" t="n"/>
      <c r="T1504" s="7" t="n"/>
      <c r="U1504" s="7" t="n"/>
      <c r="V1504" s="7" t="n">
        <v>1</v>
      </c>
      <c r="W1504" s="7" t="inlineStr">
        <is>
          <t>Conventions</t>
        </is>
      </c>
      <c r="X1504" s="9" t="inlineStr">
        <is>
          <t>open</t>
        </is>
      </c>
      <c r="Y1504" s="7" t="n"/>
      <c r="Z1504" s="7" t="inlineStr">
        <is>
          <t>https://wol.jw.org/en/wol/d/r1/lp-e/1200271388</t>
        </is>
      </c>
      <c r="AA1504" s="7" t="n">
        <v>0</v>
      </c>
      <c r="AB1504" s="7" t="n"/>
      <c r="AC1504" s="7" t="n">
        <v>0</v>
      </c>
      <c r="AD1504" s="7" t="n"/>
      <c r="AE1504" s="7" t="n"/>
      <c r="AF1504" s="7" t="n"/>
      <c r="AG1504" s="7" t="n"/>
      <c r="AH1504" s="7" t="n"/>
      <c r="AI1504" s="7" t="inlineStr">
        <is>
          <t>Index list entry – app detail</t>
        </is>
      </c>
      <c r="AJ1504" s="7" t="n"/>
      <c r="AK1504" s="7" t="n"/>
      <c r="AL1504" s="7" t="n"/>
      <c r="AM1504" s="7" t="n">
        <v>1981</v>
      </c>
      <c r="AN1504" s="10" t="n"/>
      <c r="AO1504" s="10" t="n"/>
      <c r="AP1504" s="10" t="n"/>
      <c r="AQ1504" s="10" t="n"/>
    </row>
    <row r="1505">
      <c r="A1505" s="7" t="inlineStr">
        <is>
          <t>b9-0122</t>
        </is>
      </c>
      <c r="B1505" s="7" t="inlineStr">
        <is>
          <t>Point</t>
        </is>
      </c>
      <c r="C1505" s="7" t="n"/>
      <c r="D1505" s="7" t="inlineStr">
        <is>
          <t>1981</t>
        </is>
      </c>
      <c r="E1505" s="7" t="inlineStr">
        <is>
          <t>1981</t>
        </is>
      </c>
      <c r="F1505" s="7" t="inlineStr">
        <is>
          <t>1981 CE</t>
        </is>
      </c>
      <c r="G1505" s="7" t="inlineStr">
        <is>
          <t>Exact</t>
        </is>
      </c>
      <c r="H1505" s="7" t="n"/>
      <c r="I1505" s="7" t="n"/>
      <c r="J1505" s="7" t="n"/>
      <c r="K1505" s="2" t="inlineStr">
        <is>
          <t>All public talks to be based on outlines</t>
        </is>
      </c>
      <c r="L1505" s="2" t="inlineStr">
        <is>
          <t>ஆனால், சபைகளுக்குக் கொடுக்கப்பட்ட குறிப்புத்தாளின் அடிப்படையில்தான் பேச்சுகளைக் கொடுக்க வேண்டும் என்று 1981-ல், எல்லா பேச்சாளர்களுக்கும்…</t>
        </is>
      </c>
      <c r="M1505" s="7" t="inlineStr">
        <is>
          <t>In 1981 all speakers were directed to base their public talks on the outlines supplied to congregations.</t>
        </is>
      </c>
      <c r="N1505" s="7" t="inlineStr">
        <is>
          <t>ஆனால், சபைகளுக்குக் கொடுக்கப்பட்ட குறிப்புத்தாளின் அடிப்படையில்தான் பேச்சுகளைக் கொடுக்க வேண்டும் என்று 1981-ல், எல்லா பேச்சாளர்களுக்கும் சொல்லப்பட்டது.b 1990 வரை பொதுப் பேச்சுக்கான சில குறிப்புத்தாள்களில், பேச்சுக்கு இடையே சபையாரிடம் கலந்தாலோசிக்கும்படி அல்லது நடிப்புகளுக்கு ஏற்பாடு செய்யும்படி சொல்லப்பட்டிருந்தது.</t>
        </is>
      </c>
      <c r="O1505" s="13" t="inlineStr">
        <is>
          <t>Jehovah's Witnesses</t>
        </is>
      </c>
      <c r="P1505" s="7" t="inlineStr">
        <is>
          <t>jw.organization</t>
        </is>
      </c>
      <c r="Q1505" s="7" t="n"/>
      <c r="R1505" s="7" t="n"/>
      <c r="S1505" s="7" t="n"/>
      <c r="T1505" s="7" t="n"/>
      <c r="U1505" s="7" t="n"/>
      <c r="V1505" s="7" t="n">
        <v>1</v>
      </c>
      <c r="W1505" s="7" t="inlineStr">
        <is>
          <t>Meeting Together for Worship</t>
        </is>
      </c>
      <c r="X1505" s="9" t="inlineStr">
        <is>
          <t>open</t>
        </is>
      </c>
      <c r="Y1505" s="9" t="inlineStr">
        <is>
          <t>open</t>
        </is>
      </c>
      <c r="Z1505" s="7" t="inlineStr">
        <is>
          <t>https://wol.jw.org/en/wol/d/r1/lp-e/1102014255</t>
        </is>
      </c>
      <c r="AA1505" s="7" t="n">
        <v>0</v>
      </c>
      <c r="AB1505" s="7" t="n"/>
      <c r="AC1505" s="7" t="n">
        <v>0</v>
      </c>
      <c r="AD1505" s="7" t="n"/>
      <c r="AE1505" s="7" t="n"/>
      <c r="AF1505" s="7" t="n"/>
      <c r="AG1505" s="7" t="n"/>
      <c r="AH1505" s="7" t="n"/>
      <c r="AI1505" s="7" t="n"/>
      <c r="AJ1505" s="7" t="n"/>
      <c r="AK1505" s="7" t="n"/>
      <c r="AL1505" s="7" t="n"/>
      <c r="AM1505" s="7" t="n">
        <v>1981</v>
      </c>
      <c r="AN1505" s="10" t="n"/>
      <c r="AO1505" s="10" t="n"/>
      <c r="AP1505" s="10" t="n"/>
      <c r="AQ1505" s="10" t="n"/>
    </row>
    <row r="1506">
      <c r="A1506" s="7" t="inlineStr">
        <is>
          <t>b9-0123</t>
        </is>
      </c>
      <c r="B1506" s="7" t="inlineStr">
        <is>
          <t>Point</t>
        </is>
      </c>
      <c r="C1506" s="7" t="n"/>
      <c r="D1506" s="7" t="inlineStr">
        <is>
          <t>1982</t>
        </is>
      </c>
      <c r="E1506" s="7" t="inlineStr">
        <is>
          <t>1982</t>
        </is>
      </c>
      <c r="F1506" s="7" t="inlineStr">
        <is>
          <t>1982 CE</t>
        </is>
      </c>
      <c r="G1506" s="7" t="inlineStr">
        <is>
          <t>Before (b.)</t>
        </is>
      </c>
      <c r="H1506" s="7" t="n"/>
      <c r="I1506" s="7" t="n"/>
      <c r="J1506" s="7" t="n"/>
      <c r="K1506" s="2" t="inlineStr">
        <is>
          <t>Truth book exceeds 100 million copies</t>
        </is>
      </c>
      <c r="L1506" s="2" t="inlineStr">
        <is>
          <t>1982-க்குள் 10 கோடிக்கும் அதிகமான பிரதிகள் 116 மொழிகளில் பிரசுரிக்கப்பட்டன.</t>
        </is>
      </c>
      <c r="M1506" s="7" t="inlineStr">
        <is>
          <t>By 1982 more than 100 million copies of the Truth book had been published in 116 languages.</t>
        </is>
      </c>
      <c r="N1506" s="7" t="inlineStr">
        <is>
          <t>1982-க்குள் 10 கோடிக்கும் அதிகமான பிரதிகள் 116 மொழிகளில் பிரசுரிக்கப்பட்டன.</t>
        </is>
      </c>
      <c r="O1506" s="13" t="inlineStr">
        <is>
          <t>Jehovah's Witnesses</t>
        </is>
      </c>
      <c r="P1506" s="7" t="inlineStr">
        <is>
          <t>jw.publication</t>
        </is>
      </c>
      <c r="Q1506" s="7" t="inlineStr">
        <is>
          <t>statistic</t>
        </is>
      </c>
      <c r="R1506" s="7" t="n"/>
      <c r="S1506" s="7" t="n"/>
      <c r="T1506" s="7" t="n"/>
      <c r="U1506" s="7" t="n"/>
      <c r="V1506" s="7" t="n">
        <v>1</v>
      </c>
      <c r="W1506" s="7" t="inlineStr">
        <is>
          <t>Tools for Preaching</t>
        </is>
      </c>
      <c r="X1506" s="9" t="inlineStr">
        <is>
          <t>open</t>
        </is>
      </c>
      <c r="Y1506" s="9" t="inlineStr">
        <is>
          <t>open</t>
        </is>
      </c>
      <c r="Z1506" s="7" t="inlineStr">
        <is>
          <t>https://wol.jw.org/en/wol/d/r1/lp-e/1102014247</t>
        </is>
      </c>
      <c r="AA1506" s="7" t="n">
        <v>0</v>
      </c>
      <c r="AB1506" s="7" t="n"/>
      <c r="AC1506" s="7" t="n">
        <v>0</v>
      </c>
      <c r="AD1506" s="7" t="n"/>
      <c r="AE1506" s="7" t="n"/>
      <c r="AF1506" s="7" t="n"/>
      <c r="AG1506" s="7" t="n"/>
      <c r="AH1506" s="7" t="n"/>
      <c r="AI1506" s="7" t="n"/>
      <c r="AJ1506" s="7" t="n"/>
      <c r="AK1506" s="7" t="n"/>
      <c r="AL1506" s="7" t="n"/>
      <c r="AM1506" s="7" t="n">
        <v>1981.99</v>
      </c>
      <c r="AN1506" s="10" t="n"/>
      <c r="AO1506" s="10" t="n"/>
      <c r="AP1506" s="10" t="n"/>
      <c r="AQ1506" s="10" t="n"/>
    </row>
    <row r="1507">
      <c r="A1507" s="7" t="inlineStr">
        <is>
          <t>b9-0124</t>
        </is>
      </c>
      <c r="B1507" s="7" t="inlineStr">
        <is>
          <t>Point</t>
        </is>
      </c>
      <c r="C1507" s="7" t="n"/>
      <c r="D1507" s="7" t="inlineStr">
        <is>
          <t>1982</t>
        </is>
      </c>
      <c r="E1507" s="7" t="n"/>
      <c r="F1507" s="7" t="inlineStr">
        <is>
          <t>1982 CE</t>
        </is>
      </c>
      <c r="G1507" s="7" t="inlineStr">
        <is>
          <t>Exact</t>
        </is>
      </c>
      <c r="H1507" s="7" t="n"/>
      <c r="I1507" s="7" t="n"/>
      <c r="J1507" s="7" t="n"/>
      <c r="K1507" s="2" t="inlineStr">
        <is>
          <t>1982: “Kingdom Truth” District Conventions</t>
        </is>
      </c>
      <c r="L1507" s="2" t="n"/>
      <c r="M1507" s="7" t="inlineStr">
        <is>
          <t>The Watch Tower Publications Index lists the 1982 conventions of Jehovah’s Witnesses as “Kingdom Truth” District Conventions.</t>
        </is>
      </c>
      <c r="N1507" s="7" t="n"/>
      <c r="O1507" s="13" t="inlineStr">
        <is>
          <t>Jehovah's Witnesses</t>
        </is>
      </c>
      <c r="P1507" s="7" t="inlineStr">
        <is>
          <t>jw.convention</t>
        </is>
      </c>
      <c r="Q1507" s="7" t="inlineStr">
        <is>
          <t>convention</t>
        </is>
      </c>
      <c r="R1507" s="7" t="n"/>
      <c r="S1507" s="7" t="n"/>
      <c r="T1507" s="7" t="n"/>
      <c r="U1507" s="7" t="n"/>
      <c r="V1507" s="7" t="n">
        <v>1</v>
      </c>
      <c r="W1507" s="7" t="inlineStr">
        <is>
          <t>Conventions</t>
        </is>
      </c>
      <c r="X1507" s="9" t="inlineStr">
        <is>
          <t>open</t>
        </is>
      </c>
      <c r="Y1507" s="7" t="n"/>
      <c r="Z1507" s="7" t="inlineStr">
        <is>
          <t>https://wol.jw.org/en/wol/d/r1/lp-e/1200271388</t>
        </is>
      </c>
      <c r="AA1507" s="7" t="n">
        <v>0</v>
      </c>
      <c r="AB1507" s="7" t="n"/>
      <c r="AC1507" s="7" t="n">
        <v>0</v>
      </c>
      <c r="AD1507" s="7" t="n"/>
      <c r="AE1507" s="7" t="n"/>
      <c r="AF1507" s="7" t="n"/>
      <c r="AG1507" s="7" t="n"/>
      <c r="AH1507" s="7" t="n"/>
      <c r="AI1507" s="7" t="inlineStr">
        <is>
          <t>Index list entry – app detail</t>
        </is>
      </c>
      <c r="AJ1507" s="7" t="n"/>
      <c r="AK1507" s="7" t="n"/>
      <c r="AL1507" s="7" t="n"/>
      <c r="AM1507" s="7" t="n">
        <v>1982</v>
      </c>
      <c r="AN1507" s="10" t="n"/>
      <c r="AO1507" s="10" t="n"/>
      <c r="AP1507" s="10" t="n"/>
      <c r="AQ1507" s="10" t="n"/>
    </row>
    <row r="1508">
      <c r="A1508" s="7" t="inlineStr">
        <is>
          <t>b9-0125</t>
        </is>
      </c>
      <c r="B1508" s="7" t="inlineStr">
        <is>
          <t>Point</t>
        </is>
      </c>
      <c r="C1508" s="7" t="n"/>
      <c r="D1508" s="7" t="inlineStr">
        <is>
          <t>1982</t>
        </is>
      </c>
      <c r="E1508" s="7" t="n"/>
      <c r="F1508" s="7" t="inlineStr">
        <is>
          <t>1982 CE</t>
        </is>
      </c>
      <c r="G1508" s="7" t="inlineStr">
        <is>
          <t>Exact</t>
        </is>
      </c>
      <c r="H1508" s="7" t="n"/>
      <c r="I1508" s="7" t="n"/>
      <c r="J1508" s="7" t="n"/>
      <c r="K1508" s="2" t="inlineStr">
        <is>
          <t>You Can Live Forever in Paradise on Earth published</t>
        </is>
      </c>
      <c r="L1508" s="2" t="n"/>
      <c r="M1508" s="7" t="inlineStr">
        <is>
          <t>The Bible study aid You Can Live Forever in Paradise on Earth was published in 1982.</t>
        </is>
      </c>
      <c r="N1508" s="7" t="n"/>
      <c r="O1508" s="13" t="inlineStr">
        <is>
          <t>Jehovah's Witnesses</t>
        </is>
      </c>
      <c r="P1508" s="7" t="inlineStr">
        <is>
          <t>jw.publication</t>
        </is>
      </c>
      <c r="Q1508" s="7" t="inlineStr">
        <is>
          <t>release</t>
        </is>
      </c>
      <c r="R1508" s="7" t="n"/>
      <c r="S1508" s="7" t="n"/>
      <c r="T1508" s="7" t="n"/>
      <c r="U1508" s="7" t="n"/>
      <c r="V1508" s="7" t="n">
        <v>1</v>
      </c>
      <c r="W1508" s="7" t="inlineStr">
        <is>
          <t>Tools for Preaching</t>
        </is>
      </c>
      <c r="X1508" s="9" t="inlineStr">
        <is>
          <t>open</t>
        </is>
      </c>
      <c r="Y1508" s="9" t="inlineStr">
        <is>
          <t>open</t>
        </is>
      </c>
      <c r="Z1508" s="7" t="inlineStr">
        <is>
          <t>https://wol.jw.org/en/wol/d/r1/lp-e/1102014247</t>
        </is>
      </c>
      <c r="AA1508" s="7" t="n">
        <v>0</v>
      </c>
      <c r="AB1508" s="7" t="n"/>
      <c r="AC1508" s="7" t="n">
        <v>0</v>
      </c>
      <c r="AD1508" s="7" t="n"/>
      <c r="AE1508" s="7" t="n"/>
      <c r="AF1508" s="7" t="n"/>
      <c r="AG1508" s="7" t="n"/>
      <c r="AH1508" s="7" t="n"/>
      <c r="AI1508" s="7" t="n"/>
      <c r="AJ1508" s="7" t="n"/>
      <c r="AK1508" s="7" t="n"/>
      <c r="AL1508" s="7" t="n"/>
      <c r="AM1508" s="7" t="n">
        <v>1982</v>
      </c>
      <c r="AN1508" s="10" t="n"/>
      <c r="AO1508" s="10" t="n"/>
      <c r="AP1508" s="10" t="n"/>
      <c r="AQ1508" s="10" t="n"/>
    </row>
    <row r="1509">
      <c r="A1509" s="7" t="inlineStr">
        <is>
          <t>b9-0126</t>
        </is>
      </c>
      <c r="B1509" s="7" t="inlineStr">
        <is>
          <t>Point</t>
        </is>
      </c>
      <c r="C1509" s="7" t="n"/>
      <c r="D1509" s="7" t="inlineStr">
        <is>
          <t>1982</t>
        </is>
      </c>
      <c r="E1509" s="7" t="inlineStr">
        <is>
          <t>1982</t>
        </is>
      </c>
      <c r="F1509" s="7" t="inlineStr">
        <is>
          <t>1982 CE</t>
        </is>
      </c>
      <c r="G1509" s="7" t="inlineStr">
        <is>
          <t>Exact</t>
        </is>
      </c>
      <c r="H1509" s="7" t="n"/>
      <c r="I1509" s="7" t="n"/>
      <c r="J1509" s="7" t="n"/>
      <c r="K1509" s="2" t="inlineStr">
        <is>
          <t>Awake! series “Young People Ask” begins</t>
        </is>
      </c>
      <c r="L1509" s="2" t="inlineStr">
        <is>
          <t>1982-ல் விழித்தெழு!</t>
        </is>
      </c>
      <c r="M1509" s="7" t="inlineStr">
        <is>
          <t>In 1982 the Awake! series “Young People Ask” began, leading to the book Questions Young People Ask—Answers That Work, published in 1989.</t>
        </is>
      </c>
      <c r="N1509" s="7" t="inlineStr">
        <is>
          <t>1982-ல் விழித்தெழு!</t>
        </is>
      </c>
      <c r="O1509" s="13" t="inlineStr">
        <is>
          <t>Jehovah's Witnesses</t>
        </is>
      </c>
      <c r="P1509" s="7" t="inlineStr">
        <is>
          <t>jw.publication</t>
        </is>
      </c>
      <c r="Q1509" s="7" t="n"/>
      <c r="R1509" s="7" t="n"/>
      <c r="S1509" s="7" t="n"/>
      <c r="T1509" s="7" t="n"/>
      <c r="U1509" s="7" t="n"/>
      <c r="V1509" s="7" t="n">
        <v>1</v>
      </c>
      <c r="W1509" s="7" t="inlineStr">
        <is>
          <t>Moral Refinements</t>
        </is>
      </c>
      <c r="X1509" s="9" t="inlineStr">
        <is>
          <t>open</t>
        </is>
      </c>
      <c r="Y1509" s="9" t="inlineStr">
        <is>
          <t>open</t>
        </is>
      </c>
      <c r="Z1509" s="7" t="inlineStr">
        <is>
          <t>https://wol.jw.org/en/wol/d/r1/lp-e/1102014250</t>
        </is>
      </c>
      <c r="AA1509" s="7" t="n">
        <v>0</v>
      </c>
      <c r="AB1509" s="7" t="n"/>
      <c r="AC1509" s="7" t="n">
        <v>0</v>
      </c>
      <c r="AD1509" s="7" t="n"/>
      <c r="AE1509" s="7" t="n"/>
      <c r="AF1509" s="7" t="n"/>
      <c r="AG1509" s="7" t="n"/>
      <c r="AH1509" s="7" t="n"/>
      <c r="AI1509" s="7" t="n"/>
      <c r="AJ1509" s="7" t="n"/>
      <c r="AK1509" s="7" t="n"/>
      <c r="AL1509" s="7" t="n"/>
      <c r="AM1509" s="7" t="n">
        <v>1982</v>
      </c>
      <c r="AN1509" s="10" t="n"/>
      <c r="AO1509" s="10" t="n"/>
      <c r="AP1509" s="10" t="n"/>
      <c r="AQ1509" s="10" t="n"/>
    </row>
    <row r="1510">
      <c r="A1510" s="7" t="inlineStr">
        <is>
          <t>b9-0127</t>
        </is>
      </c>
      <c r="B1510" s="7" t="inlineStr">
        <is>
          <t>Point</t>
        </is>
      </c>
      <c r="C1510" s="7" t="n"/>
      <c r="D1510" s="7" t="inlineStr">
        <is>
          <t>1983</t>
        </is>
      </c>
      <c r="E1510" s="7" t="inlineStr">
        <is>
          <t>1983</t>
        </is>
      </c>
      <c r="F1510" s="7" t="inlineStr">
        <is>
          <t>1983 CE</t>
        </is>
      </c>
      <c r="G1510" s="7" t="inlineStr">
        <is>
          <t>Before (b.)</t>
        </is>
      </c>
      <c r="H1510" s="7" t="n"/>
      <c r="I1510" s="7" t="n"/>
      <c r="J1510" s="7" t="n"/>
      <c r="K1510" s="2" t="inlineStr">
        <is>
          <t>About 200 quick-built Kingdom Halls in U.S. and Canada</t>
        </is>
      </c>
      <c r="L1510" s="2" t="inlineStr">
        <is>
          <t>இந்த முறையைப் பயன்படுத்தி, 1983-க்குள் கிட்டத்தட்ட 200 ராஜ்ய மன்றங்கள் அமெரிக்காவிலும் கனடாவிலும் கட்டப்பட்டன.</t>
        </is>
      </c>
      <c r="M1510" s="7" t="inlineStr">
        <is>
          <t>By 1983 some 200 quickly built Kingdom Halls had been erected in the United States and Canada.</t>
        </is>
      </c>
      <c r="N1510" s="7" t="inlineStr">
        <is>
          <t>இந்த முறையைப் பயன்படுத்தி, 1983-க்குள் கிட்டத்தட்ட 200 ராஜ்ய மன்றங்கள் அமெரிக்காவிலும் கனடாவிலும் கட்டப்பட்டன.</t>
        </is>
      </c>
      <c r="O1510" s="13" t="inlineStr">
        <is>
          <t>Jehovah's Witnesses</t>
        </is>
      </c>
      <c r="P1510" s="7" t="inlineStr">
        <is>
          <t>jw.construction</t>
        </is>
      </c>
      <c r="Q1510" s="7" t="inlineStr">
        <is>
          <t>statistic</t>
        </is>
      </c>
      <c r="R1510" s="7" t="n"/>
      <c r="S1510" s="7" t="n"/>
      <c r="T1510" s="7" t="n"/>
      <c r="U1510" s="7" t="n"/>
      <c r="V1510" s="7" t="n">
        <v>1</v>
      </c>
      <c r="W1510" s="7" t="inlineStr">
        <is>
          <t>Building Work That Honors Jehovah</t>
        </is>
      </c>
      <c r="X1510" s="9" t="inlineStr">
        <is>
          <t>open</t>
        </is>
      </c>
      <c r="Y1510" s="9" t="inlineStr">
        <is>
          <t>open</t>
        </is>
      </c>
      <c r="Z1510" s="7" t="inlineStr">
        <is>
          <t>https://wol.jw.org/en/wol/d/r1/lp-e/1102014258</t>
        </is>
      </c>
      <c r="AA1510" s="7" t="n">
        <v>0</v>
      </c>
      <c r="AB1510" s="7" t="n"/>
      <c r="AC1510" s="7" t="n">
        <v>0</v>
      </c>
      <c r="AD1510" s="7" t="n"/>
      <c r="AE1510" s="7" t="n"/>
      <c r="AF1510" s="7" t="n"/>
      <c r="AG1510" s="7" t="n"/>
      <c r="AH1510" s="7" t="n"/>
      <c r="AI1510" s="7" t="n"/>
      <c r="AJ1510" s="7" t="n"/>
      <c r="AK1510" s="7" t="n"/>
      <c r="AL1510" s="7" t="n"/>
      <c r="AM1510" s="7" t="n">
        <v>1982.99</v>
      </c>
      <c r="AN1510" s="10" t="n"/>
      <c r="AO1510" s="10" t="n"/>
      <c r="AP1510" s="10" t="n"/>
      <c r="AQ1510" s="10" t="n"/>
    </row>
    <row r="1511">
      <c r="A1511" s="7" t="inlineStr">
        <is>
          <t>b9-0128</t>
        </is>
      </c>
      <c r="B1511" s="7" t="inlineStr">
        <is>
          <t>Point</t>
        </is>
      </c>
      <c r="C1511" s="7" t="n"/>
      <c r="D1511" s="7" t="inlineStr">
        <is>
          <t>1983</t>
        </is>
      </c>
      <c r="E1511" s="7" t="n"/>
      <c r="F1511" s="7" t="inlineStr">
        <is>
          <t>1983 CE</t>
        </is>
      </c>
      <c r="G1511" s="7" t="inlineStr">
        <is>
          <t>Exact</t>
        </is>
      </c>
      <c r="H1511" s="7" t="n"/>
      <c r="I1511" s="7" t="n"/>
      <c r="J1511" s="7" t="n"/>
      <c r="K1511" s="2" t="inlineStr">
        <is>
          <t>Understanding clarified: use of firearms</t>
        </is>
      </c>
      <c r="L1511" s="2" t="n"/>
      <c r="M1511" s="7" t="inlineStr">
        <is>
          <t>The Watch Tower Publications Index (“Beliefs Clarified,” list by year) records a clarified understanding in 1983 concerning use of firearms. Index references: w06 2/15 30.</t>
        </is>
      </c>
      <c r="N1511" s="7" t="n"/>
      <c r="O1511" s="13" t="inlineStr">
        <is>
          <t>Jehovah's Witnesses</t>
        </is>
      </c>
      <c r="P1511" s="7" t="inlineStr">
        <is>
          <t>jw.doctrine</t>
        </is>
      </c>
      <c r="Q1511" s="7" t="inlineStr">
        <is>
          <t>beliefs_clarified</t>
        </is>
      </c>
      <c r="R1511" s="7" t="n"/>
      <c r="S1511" s="7" t="n"/>
      <c r="T1511" s="7" t="n"/>
      <c r="U1511" s="7" t="n"/>
      <c r="V1511" s="7" t="n">
        <v>1</v>
      </c>
      <c r="W1511" s="7" t="inlineStr">
        <is>
          <t>Beliefs Clarified</t>
        </is>
      </c>
      <c r="X1511" s="9" t="inlineStr">
        <is>
          <t>open</t>
        </is>
      </c>
      <c r="Y1511" s="7" t="n"/>
      <c r="Z1511" s="7" t="inlineStr">
        <is>
          <t>https://wol.jw.org/en/wol/d/r1/lp-e/1200277174</t>
        </is>
      </c>
      <c r="AA1511" s="7" t="n">
        <v>0</v>
      </c>
      <c r="AB1511" s="7" t="n"/>
      <c r="AC1511" s="7" t="n">
        <v>0</v>
      </c>
      <c r="AD1511" s="7" t="n"/>
      <c r="AE1511" s="7" t="n"/>
      <c r="AF1511" s="7" t="n"/>
      <c r="AG1511" s="7" t="n"/>
      <c r="AH1511" s="7" t="n"/>
      <c r="AI1511" s="7" t="inlineStr">
        <is>
          <t>Index list entry – app detail</t>
        </is>
      </c>
      <c r="AJ1511" s="7" t="n"/>
      <c r="AK1511" s="7" t="n"/>
      <c r="AL1511" s="7" t="n"/>
      <c r="AM1511" s="7" t="n">
        <v>1983</v>
      </c>
      <c r="AN1511" s="10" t="n"/>
      <c r="AO1511" s="10" t="n"/>
      <c r="AP1511" s="10" t="n"/>
      <c r="AQ1511" s="10" t="n"/>
    </row>
    <row r="1512">
      <c r="A1512" s="7" t="inlineStr">
        <is>
          <t>b9-0129</t>
        </is>
      </c>
      <c r="B1512" s="7" t="inlineStr">
        <is>
          <t>Point</t>
        </is>
      </c>
      <c r="C1512" s="7" t="n"/>
      <c r="D1512" s="7" t="inlineStr">
        <is>
          <t>1983</t>
        </is>
      </c>
      <c r="E1512" s="7" t="n"/>
      <c r="F1512" s="7" t="inlineStr">
        <is>
          <t>1983 CE</t>
        </is>
      </c>
      <c r="G1512" s="7" t="inlineStr">
        <is>
          <t>Exact</t>
        </is>
      </c>
      <c r="H1512" s="7" t="n"/>
      <c r="I1512" s="7" t="n"/>
      <c r="J1512" s="7" t="n"/>
      <c r="K1512" s="2" t="inlineStr">
        <is>
          <t>1983: “Kingdom Unity” District Conventions</t>
        </is>
      </c>
      <c r="L1512" s="2" t="n"/>
      <c r="M1512" s="7" t="inlineStr">
        <is>
          <t>The Watch Tower Publications Index lists the 1983 conventions of Jehovah’s Witnesses as “Kingdom Unity” District Conventions.</t>
        </is>
      </c>
      <c r="N1512" s="7" t="n"/>
      <c r="O1512" s="13" t="inlineStr">
        <is>
          <t>Jehovah's Witnesses</t>
        </is>
      </c>
      <c r="P1512" s="7" t="inlineStr">
        <is>
          <t>jw.convention</t>
        </is>
      </c>
      <c r="Q1512" s="7" t="inlineStr">
        <is>
          <t>convention</t>
        </is>
      </c>
      <c r="R1512" s="7" t="n"/>
      <c r="S1512" s="7" t="n"/>
      <c r="T1512" s="7" t="n"/>
      <c r="U1512" s="7" t="n"/>
      <c r="V1512" s="7" t="n">
        <v>1</v>
      </c>
      <c r="W1512" s="7" t="inlineStr">
        <is>
          <t>Conventions</t>
        </is>
      </c>
      <c r="X1512" s="9" t="inlineStr">
        <is>
          <t>open</t>
        </is>
      </c>
      <c r="Y1512" s="7" t="n"/>
      <c r="Z1512" s="7" t="inlineStr">
        <is>
          <t>https://wol.jw.org/en/wol/d/r1/lp-e/1200271388</t>
        </is>
      </c>
      <c r="AA1512" s="7" t="n">
        <v>0</v>
      </c>
      <c r="AB1512" s="7" t="n"/>
      <c r="AC1512" s="7" t="n">
        <v>0</v>
      </c>
      <c r="AD1512" s="7" t="n"/>
      <c r="AE1512" s="7" t="n"/>
      <c r="AF1512" s="7" t="n"/>
      <c r="AG1512" s="7" t="n"/>
      <c r="AH1512" s="7" t="n"/>
      <c r="AI1512" s="7" t="inlineStr">
        <is>
          <t>Index list entry – app detail</t>
        </is>
      </c>
      <c r="AJ1512" s="7" t="n"/>
      <c r="AK1512" s="7" t="n"/>
      <c r="AL1512" s="7" t="n"/>
      <c r="AM1512" s="7" t="n">
        <v>1983</v>
      </c>
      <c r="AN1512" s="10" t="n"/>
      <c r="AO1512" s="10" t="n"/>
      <c r="AP1512" s="10" t="n"/>
      <c r="AQ1512" s="10" t="n"/>
    </row>
    <row r="1513">
      <c r="A1513" s="7" t="inlineStr">
        <is>
          <t>b9-0130</t>
        </is>
      </c>
      <c r="B1513" s="7" t="inlineStr">
        <is>
          <t>Point</t>
        </is>
      </c>
      <c r="C1513" s="7" t="n"/>
      <c r="D1513" s="7" t="inlineStr">
        <is>
          <t>1983</t>
        </is>
      </c>
      <c r="E1513" s="7" t="inlineStr">
        <is>
          <t>1983</t>
        </is>
      </c>
      <c r="F1513" s="7" t="inlineStr">
        <is>
          <t>1983 CE</t>
        </is>
      </c>
      <c r="G1513" s="7" t="inlineStr">
        <is>
          <t>Exact</t>
        </is>
      </c>
      <c r="H1513" s="7" t="n"/>
      <c r="I1513" s="7" t="n"/>
      <c r="J1513" s="7" t="n"/>
      <c r="K1513" s="2" t="inlineStr">
        <is>
          <t>Titos Manoussakis rents meeting room in Crete</t>
        </is>
      </c>
      <c r="L1513" s="2" t="inlineStr">
        <is>
          <t>1983-ல் கிரீட் தீவிலுள்ள ஹெராக்லியான் என்ற இடத்தில் யெகோவாவின் சாட்சிகள் வணக்கத்துக்காகக் கூடிவருவதற்கு சகோதரர் டீடாஸ் மானுஸாக்கிஸ் ஒரு…</t>
        </is>
      </c>
      <c r="M1513" s="7" t="inlineStr">
        <is>
          <t>In 1983 Titos Manoussakis rented a room in Heraklion, Crete, for a small group of Witnesses to meet for worship, leading to prosecution.</t>
        </is>
      </c>
      <c r="N1513" s="7" t="inlineStr">
        <is>
          <t>1983-ல் கிரீட் தீவிலுள்ள ஹெராக்லியான் என்ற இடத்தில் யெகோவாவின் சாட்சிகள் வணக்கத்துக்காகக் கூடிவருவதற்கு சகோதரர் டீடாஸ் மானுஸாக்கிஸ் ஒரு அறையை வாடகைக்கு எடுத்தார்.</t>
        </is>
      </c>
      <c r="O1513" s="13" t="inlineStr">
        <is>
          <t>Jehovah's Witnesses</t>
        </is>
      </c>
      <c r="P1513" s="7" t="inlineStr">
        <is>
          <t>jw.legal</t>
        </is>
      </c>
      <c r="Q1513" s="7" t="n"/>
      <c r="R1513" s="7" t="inlineStr">
        <is>
          <t>Titos Manoussakis</t>
        </is>
      </c>
      <c r="S1513" s="7" t="inlineStr">
        <is>
          <t>Heraklion, Crete</t>
        </is>
      </c>
      <c r="T1513" s="7" t="n"/>
      <c r="U1513" s="7" t="n"/>
      <c r="V1513" s="7" t="n">
        <v>1</v>
      </c>
      <c r="W1513" s="7" t="inlineStr">
        <is>
          <t>Fighting for Freedom to Worship</t>
        </is>
      </c>
      <c r="X1513" s="9" t="inlineStr">
        <is>
          <t>open</t>
        </is>
      </c>
      <c r="Y1513" s="9" t="inlineStr">
        <is>
          <t>open</t>
        </is>
      </c>
      <c r="Z1513" s="7" t="inlineStr">
        <is>
          <t>https://wol.jw.org/en/wol/d/r1/lp-e/1102014254</t>
        </is>
      </c>
      <c r="AA1513" s="7" t="n">
        <v>0</v>
      </c>
      <c r="AB1513" s="7" t="n"/>
      <c r="AC1513" s="7" t="n">
        <v>0</v>
      </c>
      <c r="AD1513" s="7" t="n"/>
      <c r="AE1513" s="7" t="n"/>
      <c r="AF1513" s="7" t="n"/>
      <c r="AG1513" s="7" t="n"/>
      <c r="AH1513" s="7" t="n"/>
      <c r="AI1513" s="7" t="n"/>
      <c r="AJ1513" s="7" t="n"/>
      <c r="AK1513" s="7" t="n"/>
      <c r="AL1513" s="7" t="n"/>
      <c r="AM1513" s="7" t="n">
        <v>1983</v>
      </c>
      <c r="AN1513" s="10" t="n"/>
      <c r="AO1513" s="10" t="n"/>
      <c r="AP1513" s="10" t="n"/>
      <c r="AQ1513" s="10" t="n"/>
    </row>
    <row r="1514">
      <c r="A1514" s="7" t="inlineStr">
        <is>
          <t>b9-0131</t>
        </is>
      </c>
      <c r="B1514" s="7" t="inlineStr">
        <is>
          <t>Point</t>
        </is>
      </c>
      <c r="C1514" s="7" t="n"/>
      <c r="D1514" s="7" t="inlineStr">
        <is>
          <t>1983</t>
        </is>
      </c>
      <c r="E1514" s="7" t="inlineStr">
        <is>
          <t>1983</t>
        </is>
      </c>
      <c r="F1514" s="7" t="inlineStr">
        <is>
          <t>1983 CE</t>
        </is>
      </c>
      <c r="G1514" s="7" t="inlineStr">
        <is>
          <t>Exact</t>
        </is>
      </c>
      <c r="H1514" s="7" t="n"/>
      <c r="I1514" s="7" t="n"/>
      <c r="J1514" s="7" t="n"/>
      <c r="K1514" s="2" t="inlineStr">
        <is>
          <t>Iakovos Thlimmenos convicted in Greece</t>
        </is>
      </c>
      <c r="L1514" s="2" t="inlineStr">
        <is>
          <t>1983-ல், யாக்கோவோஸ் த்லிமெனோஸ் என்பவர் ராணுவ உடையைப் போடும்படி கொடுக்கப்பட்ட கட்டளைக்குக் கீழ்ப்படியாததால் சிறையில் போடப்பட்டார்.</t>
        </is>
      </c>
      <c r="M1514" s="7" t="inlineStr">
        <is>
          <t>In 1983 Iakovos Thlimmenos was convicted of insubordination in Greece for refusing to wear a military uniform and was imprisoned.</t>
        </is>
      </c>
      <c r="N1514" s="7" t="inlineStr">
        <is>
          <t>1983-ல், யாக்கோவோஸ் த்லிமெனோஸ் என்பவர் ராணுவ உடையைப் போடும்படி கொடுக்கப்பட்ட கட்டளைக்குக் கீழ்ப்படியாததால் சிறையில் போடப்பட்டார்.</t>
        </is>
      </c>
      <c r="O1514" s="13" t="inlineStr">
        <is>
          <t>Jehovah's Witnesses</t>
        </is>
      </c>
      <c r="P1514" s="7" t="inlineStr">
        <is>
          <t>jw.persecution</t>
        </is>
      </c>
      <c r="Q1514" s="7" t="n"/>
      <c r="R1514" s="7" t="inlineStr">
        <is>
          <t>Iakovos Thlimmenos</t>
        </is>
      </c>
      <c r="S1514" s="7" t="inlineStr">
        <is>
          <t>Greece</t>
        </is>
      </c>
      <c r="T1514" s="7" t="n"/>
      <c r="U1514" s="7" t="n"/>
      <c r="V1514" s="7" t="n">
        <v>1</v>
      </c>
      <c r="W1514" s="7" t="inlineStr">
        <is>
          <t>Loyally Supporting God’s Government and No Other</t>
        </is>
      </c>
      <c r="X1514" s="9" t="inlineStr">
        <is>
          <t>open</t>
        </is>
      </c>
      <c r="Y1514" s="9" t="inlineStr">
        <is>
          <t>open</t>
        </is>
      </c>
      <c r="Z1514" s="7" t="inlineStr">
        <is>
          <t>https://wol.jw.org/en/wol/d/r1/lp-e/1102014253</t>
        </is>
      </c>
      <c r="AA1514" s="7" t="n">
        <v>0</v>
      </c>
      <c r="AB1514" s="7" t="n"/>
      <c r="AC1514" s="7" t="n">
        <v>0</v>
      </c>
      <c r="AD1514" s="7" t="n"/>
      <c r="AE1514" s="7" t="n"/>
      <c r="AF1514" s="7" t="n"/>
      <c r="AG1514" s="7" t="n"/>
      <c r="AH1514" s="7" t="n"/>
      <c r="AI1514" s="7" t="n"/>
      <c r="AJ1514" s="7" t="n"/>
      <c r="AK1514" s="7" t="n"/>
      <c r="AL1514" s="7" t="n"/>
      <c r="AM1514" s="7" t="n">
        <v>1983</v>
      </c>
      <c r="AN1514" s="10" t="n"/>
      <c r="AO1514" s="10" t="n"/>
      <c r="AP1514" s="10" t="n"/>
      <c r="AQ1514" s="10" t="n"/>
    </row>
    <row r="1515">
      <c r="A1515" s="7" t="inlineStr">
        <is>
          <t>b9-0132</t>
        </is>
      </c>
      <c r="B1515" s="7" t="inlineStr">
        <is>
          <t>Point</t>
        </is>
      </c>
      <c r="C1515" s="7" t="n"/>
      <c r="D1515" s="7" t="inlineStr">
        <is>
          <t>1983, July 13</t>
        </is>
      </c>
      <c r="E1515" s="7" t="inlineStr">
        <is>
          <t>ஜூலை 13, 1983</t>
        </is>
      </c>
      <c r="F1515" s="7" t="inlineStr">
        <is>
          <t>1983 CE</t>
        </is>
      </c>
      <c r="G1515" s="7" t="inlineStr">
        <is>
          <t>Exact</t>
        </is>
      </c>
      <c r="H1515" s="7" t="n"/>
      <c r="I1515" s="7" t="n"/>
      <c r="J1515" s="7" t="n"/>
      <c r="K1515" s="2" t="inlineStr">
        <is>
          <t>Supreme Court in Serbia upholds literature distribution</t>
        </is>
      </c>
      <c r="L1515" s="2" t="inlineStr">
        <is>
          <t>தீர்ப்பின் தேதி ஜூலை 13, 1983</t>
        </is>
      </c>
      <c r="M1515" s="7" t="inlineStr">
        <is>
          <t>On July 13, 1983, the Supreme Court found no basis to charge two sisters arrested for distributing Bible literature in Serbia; arrests and confiscations then decreased.</t>
        </is>
      </c>
      <c r="N1515" s="7" t="inlineStr">
        <is>
          <t>தீர்ப்பின் தேதி ஜூலை 13, 1983</t>
        </is>
      </c>
      <c r="O1515" s="13" t="inlineStr">
        <is>
          <t>Jehovah's Witnesses</t>
        </is>
      </c>
      <c r="P1515" s="7" t="inlineStr">
        <is>
          <t>jw.legal</t>
        </is>
      </c>
      <c r="Q1515" s="7" t="inlineStr">
        <is>
          <t>court_ruling</t>
        </is>
      </c>
      <c r="R1515" s="7" t="n"/>
      <c r="S1515" s="7" t="inlineStr">
        <is>
          <t>Serbia</t>
        </is>
      </c>
      <c r="T1515" s="7" t="n"/>
      <c r="U1515" s="7" t="n"/>
      <c r="V1515" s="7" t="n">
        <v>1</v>
      </c>
      <c r="W1515" s="7" t="inlineStr">
        <is>
          <t>Kingdom Preachers Take Their Case to Court</t>
        </is>
      </c>
      <c r="X1515" s="9" t="inlineStr">
        <is>
          <t>open</t>
        </is>
      </c>
      <c r="Y1515" s="9" t="inlineStr">
        <is>
          <t>open</t>
        </is>
      </c>
      <c r="Z1515" s="7" t="inlineStr">
        <is>
          <t>https://wol.jw.org/en/wol/d/r1/lp-e/1102014252</t>
        </is>
      </c>
      <c r="AA1515" s="7" t="n">
        <v>0</v>
      </c>
      <c r="AB1515" s="7" t="n"/>
      <c r="AC1515" s="7" t="n">
        <v>0</v>
      </c>
      <c r="AD1515" s="7" t="n"/>
      <c r="AE1515" s="7" t="n"/>
      <c r="AF1515" s="7" t="n"/>
      <c r="AG1515" s="7" t="n"/>
      <c r="AH1515" s="7" t="n"/>
      <c r="AI1515" s="7" t="n"/>
      <c r="AJ1515" s="7" t="n"/>
      <c r="AK1515" s="7" t="n"/>
      <c r="AL1515" s="7" t="n"/>
      <c r="AM1515" s="7" t="n">
        <v>1983.5323</v>
      </c>
      <c r="AN1515" s="10" t="n"/>
      <c r="AO1515" s="10" t="n"/>
      <c r="AP1515" s="10" t="n"/>
      <c r="AQ1515" s="10" t="n"/>
    </row>
    <row r="1516">
      <c r="A1516" s="7" t="inlineStr">
        <is>
          <t>b9-0133</t>
        </is>
      </c>
      <c r="B1516" s="7" t="inlineStr">
        <is>
          <t>Point</t>
        </is>
      </c>
      <c r="C1516" s="7" t="n"/>
      <c r="D1516" s="7" t="inlineStr">
        <is>
          <t>1984</t>
        </is>
      </c>
      <c r="E1516" s="7" t="n"/>
      <c r="F1516" s="7" t="inlineStr">
        <is>
          <t>1984 CE</t>
        </is>
      </c>
      <c r="G1516" s="7" t="inlineStr">
        <is>
          <t>Exact</t>
        </is>
      </c>
      <c r="H1516" s="7" t="n"/>
      <c r="I1516" s="7" t="n"/>
      <c r="J1516" s="7" t="n"/>
      <c r="K1516" s="2" t="inlineStr">
        <is>
          <t>Home Bible studies average over two million</t>
        </is>
      </c>
      <c r="L1516" s="2" t="n"/>
      <c r="M1516" s="7" t="inlineStr">
        <is>
          <t>Home Bible studies conducted by Jehovah’s Witnesses averaged 2,047,113 in 1984.</t>
        </is>
      </c>
      <c r="N1516" s="7" t="n"/>
      <c r="O1516" s="13" t="inlineStr">
        <is>
          <t>Jehovah's Witnesses</t>
        </is>
      </c>
      <c r="P1516" s="7" t="inlineStr">
        <is>
          <t>jw.preaching</t>
        </is>
      </c>
      <c r="Q1516" s="7" t="inlineStr">
        <is>
          <t>statistic</t>
        </is>
      </c>
      <c r="R1516" s="7" t="n"/>
      <c r="S1516" s="7" t="n"/>
      <c r="T1516" s="7" t="n"/>
      <c r="U1516" s="7" t="n"/>
      <c r="V1516" s="7" t="n">
        <v>1</v>
      </c>
      <c r="W1516" s="7" t="inlineStr">
        <is>
          <t>Noteworthy Events in the Modern-day History of Jehovah’s Witnesses</t>
        </is>
      </c>
      <c r="X1516" s="9" t="inlineStr">
        <is>
          <t>open</t>
        </is>
      </c>
      <c r="Y1516" s="7" t="n"/>
      <c r="Z1516" s="7" t="inlineStr">
        <is>
          <t>https://wol.jw.org/en/wol/d/r1/lp-e/1101993046</t>
        </is>
      </c>
      <c r="AA1516" s="7" t="n">
        <v>0</v>
      </c>
      <c r="AB1516" s="7" t="n"/>
      <c r="AC1516" s="7" t="n">
        <v>0</v>
      </c>
      <c r="AD1516" s="7" t="n"/>
      <c r="AE1516" s="7" t="n"/>
      <c r="AF1516" s="7" t="n"/>
      <c r="AG1516" s="7" t="n"/>
      <c r="AH1516" s="7" t="n"/>
      <c r="AI1516" s="7" t="n"/>
      <c r="AJ1516" s="7" t="n"/>
      <c r="AK1516" s="7" t="n"/>
      <c r="AL1516" s="7" t="n"/>
      <c r="AM1516" s="7" t="n">
        <v>1984</v>
      </c>
      <c r="AN1516" s="10" t="n"/>
      <c r="AO1516" s="10" t="n"/>
      <c r="AP1516" s="10" t="n"/>
      <c r="AQ1516" s="10" t="n"/>
    </row>
    <row r="1517">
      <c r="A1517" s="7" t="inlineStr">
        <is>
          <t>b9-0134</t>
        </is>
      </c>
      <c r="B1517" s="7" t="inlineStr">
        <is>
          <t>Point</t>
        </is>
      </c>
      <c r="C1517" s="7" t="n"/>
      <c r="D1517" s="7" t="inlineStr">
        <is>
          <t>1984</t>
        </is>
      </c>
      <c r="E1517" s="7" t="n"/>
      <c r="F1517" s="7" t="inlineStr">
        <is>
          <t>1984 CE</t>
        </is>
      </c>
      <c r="G1517" s="7" t="inlineStr">
        <is>
          <t>Exact</t>
        </is>
      </c>
      <c r="H1517" s="7" t="n"/>
      <c r="I1517" s="7" t="n"/>
      <c r="J1517" s="7" t="n"/>
      <c r="K1517" s="2" t="inlineStr">
        <is>
          <t>Understanding clarified: sheepfolds of “fine shepherd” (John 10)</t>
        </is>
      </c>
      <c r="L1517" s="2" t="n"/>
      <c r="M1517" s="7" t="inlineStr">
        <is>
          <t>The Watch Tower Publications Index (“Beliefs Clarified,” list by year) records a clarified understanding in 1984 concerning sheepfolds of “fine shepherd” (John 10). Index references: w95 5/15 24.</t>
        </is>
      </c>
      <c r="N1517" s="7" t="n"/>
      <c r="O1517" s="13" t="inlineStr">
        <is>
          <t>Jehovah's Witnesses</t>
        </is>
      </c>
      <c r="P1517" s="7" t="inlineStr">
        <is>
          <t>jw.doctrine</t>
        </is>
      </c>
      <c r="Q1517" s="7" t="inlineStr">
        <is>
          <t>beliefs_clarified</t>
        </is>
      </c>
      <c r="R1517" s="7" t="n"/>
      <c r="S1517" s="7" t="n"/>
      <c r="T1517" s="7" t="inlineStr">
        <is>
          <t>John 10</t>
        </is>
      </c>
      <c r="U1517" s="7" t="n"/>
      <c r="V1517" s="7" t="n">
        <v>1</v>
      </c>
      <c r="W1517" s="7" t="inlineStr">
        <is>
          <t>Beliefs Clarified</t>
        </is>
      </c>
      <c r="X1517" s="9" t="inlineStr">
        <is>
          <t>open</t>
        </is>
      </c>
      <c r="Y1517" s="7" t="n"/>
      <c r="Z1517" s="7" t="inlineStr">
        <is>
          <t>https://wol.jw.org/en/wol/d/r1/lp-e/1200277174</t>
        </is>
      </c>
      <c r="AA1517" s="7" t="n">
        <v>0</v>
      </c>
      <c r="AB1517" s="7" t="n"/>
      <c r="AC1517" s="7" t="n">
        <v>0</v>
      </c>
      <c r="AD1517" s="7" t="n"/>
      <c r="AE1517" s="7" t="n"/>
      <c r="AF1517" s="7" t="n"/>
      <c r="AG1517" s="7" t="n"/>
      <c r="AH1517" s="7" t="n"/>
      <c r="AI1517" s="7" t="inlineStr">
        <is>
          <t>Index list entry – app detail</t>
        </is>
      </c>
      <c r="AJ1517" s="7" t="n"/>
      <c r="AK1517" s="7" t="n"/>
      <c r="AL1517" s="7" t="n"/>
      <c r="AM1517" s="7" t="n">
        <v>1984</v>
      </c>
      <c r="AN1517" s="10" t="n"/>
      <c r="AO1517" s="10" t="n"/>
      <c r="AP1517" s="10" t="n"/>
      <c r="AQ1517" s="10" t="n"/>
    </row>
    <row r="1518">
      <c r="A1518" s="7" t="inlineStr">
        <is>
          <t>b9-0135</t>
        </is>
      </c>
      <c r="B1518" s="7" t="inlineStr">
        <is>
          <t>Point</t>
        </is>
      </c>
      <c r="C1518" s="7" t="n"/>
      <c r="D1518" s="7" t="inlineStr">
        <is>
          <t>1984</t>
        </is>
      </c>
      <c r="E1518" s="7" t="n"/>
      <c r="F1518" s="7" t="inlineStr">
        <is>
          <t>1984 CE</t>
        </is>
      </c>
      <c r="G1518" s="7" t="inlineStr">
        <is>
          <t>Exact</t>
        </is>
      </c>
      <c r="H1518" s="7" t="n"/>
      <c r="I1518" s="7" t="n"/>
      <c r="J1518" s="7" t="n"/>
      <c r="K1518" s="2" t="inlineStr">
        <is>
          <t>1984: “Kingdom Increase” District Conventions</t>
        </is>
      </c>
      <c r="L1518" s="2" t="n"/>
      <c r="M1518" s="7" t="inlineStr">
        <is>
          <t>The Watch Tower Publications Index lists the 1984 conventions of Jehovah’s Witnesses as “Kingdom Increase” District Conventions.</t>
        </is>
      </c>
      <c r="N1518" s="7" t="n"/>
      <c r="O1518" s="13" t="inlineStr">
        <is>
          <t>Jehovah's Witnesses</t>
        </is>
      </c>
      <c r="P1518" s="7" t="inlineStr">
        <is>
          <t>jw.convention</t>
        </is>
      </c>
      <c r="Q1518" s="7" t="inlineStr">
        <is>
          <t>convention</t>
        </is>
      </c>
      <c r="R1518" s="7" t="n"/>
      <c r="S1518" s="7" t="n"/>
      <c r="T1518" s="7" t="n"/>
      <c r="U1518" s="7" t="n"/>
      <c r="V1518" s="7" t="n">
        <v>1</v>
      </c>
      <c r="W1518" s="7" t="inlineStr">
        <is>
          <t>Conventions</t>
        </is>
      </c>
      <c r="X1518" s="9" t="inlineStr">
        <is>
          <t>open</t>
        </is>
      </c>
      <c r="Y1518" s="7" t="n"/>
      <c r="Z1518" s="7" t="inlineStr">
        <is>
          <t>https://wol.jw.org/en/wol/d/r1/lp-e/1200271388</t>
        </is>
      </c>
      <c r="AA1518" s="7" t="n">
        <v>0</v>
      </c>
      <c r="AB1518" s="7" t="n"/>
      <c r="AC1518" s="7" t="n">
        <v>0</v>
      </c>
      <c r="AD1518" s="7" t="n"/>
      <c r="AE1518" s="7" t="n"/>
      <c r="AF1518" s="7" t="n"/>
      <c r="AG1518" s="7" t="n"/>
      <c r="AH1518" s="7" t="n"/>
      <c r="AI1518" s="7" t="inlineStr">
        <is>
          <t>Index list entry – app detail</t>
        </is>
      </c>
      <c r="AJ1518" s="7" t="n"/>
      <c r="AK1518" s="7" t="n"/>
      <c r="AL1518" s="7" t="n"/>
      <c r="AM1518" s="7" t="n">
        <v>1984</v>
      </c>
      <c r="AN1518" s="10" t="n"/>
      <c r="AO1518" s="10" t="n"/>
      <c r="AP1518" s="10" t="n"/>
      <c r="AQ1518" s="10" t="n"/>
    </row>
    <row r="1519">
      <c r="A1519" s="7" t="inlineStr">
        <is>
          <t>b9-0136</t>
        </is>
      </c>
      <c r="B1519" s="7" t="inlineStr">
        <is>
          <t>Point</t>
        </is>
      </c>
      <c r="C1519" s="7" t="n"/>
      <c r="D1519" s="7" t="inlineStr">
        <is>
          <t>1984</t>
        </is>
      </c>
      <c r="E1519" s="7" t="inlineStr">
        <is>
          <t>1984</t>
        </is>
      </c>
      <c r="F1519" s="7" t="inlineStr">
        <is>
          <t>1984 CE</t>
        </is>
      </c>
      <c r="G1519" s="7" t="inlineStr">
        <is>
          <t>Exact</t>
        </is>
      </c>
      <c r="H1519" s="7" t="n"/>
      <c r="I1519" s="7" t="n"/>
      <c r="J1519" s="7" t="n"/>
      <c r="K1519" s="2" t="inlineStr">
        <is>
          <t>Ministerial servants begin attending Kingdom Ministry School</t>
        </is>
      </c>
      <c r="L1519" s="2" t="inlineStr">
        <is>
          <t>1984 முதல், உதவி ஊழியர்களும் இந்தப் பள்ளியிலிருந்து பயிற்சி பெற்றிருக்கிறார்கள்.</t>
        </is>
      </c>
      <c r="M1519" s="7" t="inlineStr">
        <is>
          <t>Since 1984, ministerial servants have also received training at the Kingdom Ministry School.</t>
        </is>
      </c>
      <c r="N1519" s="7" t="inlineStr">
        <is>
          <t>1984 முதல், உதவி ஊழியர்களும் இந்தப் பள்ளியிலிருந்து பயிற்சி பெற்றிருக்கிறார்கள்.</t>
        </is>
      </c>
      <c r="O1519" s="13" t="inlineStr">
        <is>
          <t>Jehovah's Witnesses</t>
        </is>
      </c>
      <c r="P1519" s="7" t="inlineStr">
        <is>
          <t>jw.education</t>
        </is>
      </c>
      <c r="Q1519" s="7" t="n"/>
      <c r="R1519" s="7" t="n"/>
      <c r="S1519" s="7" t="n"/>
      <c r="T1519" s="7" t="n"/>
      <c r="U1519" s="7" t="n"/>
      <c r="V1519" s="7" t="n">
        <v>1</v>
      </c>
      <c r="W1519" s="7" t="inlineStr">
        <is>
          <t>Training Ministers of the Kingdom</t>
        </is>
      </c>
      <c r="X1519" s="9" t="inlineStr">
        <is>
          <t>open</t>
        </is>
      </c>
      <c r="Y1519" s="9" t="inlineStr">
        <is>
          <t>open</t>
        </is>
      </c>
      <c r="Z1519" s="7" t="inlineStr">
        <is>
          <t>https://wol.jw.org/en/wol/d/r1/lp-e/1102014256</t>
        </is>
      </c>
      <c r="AA1519" s="7" t="n">
        <v>0</v>
      </c>
      <c r="AB1519" s="7" t="n"/>
      <c r="AC1519" s="7" t="n">
        <v>0</v>
      </c>
      <c r="AD1519" s="7" t="n"/>
      <c r="AE1519" s="7" t="n"/>
      <c r="AF1519" s="7" t="n"/>
      <c r="AG1519" s="7" t="n"/>
      <c r="AH1519" s="7" t="n"/>
      <c r="AI1519" s="7" t="n"/>
      <c r="AJ1519" s="7" t="n"/>
      <c r="AK1519" s="7" t="n"/>
      <c r="AL1519" s="7" t="n"/>
      <c r="AM1519" s="7" t="n">
        <v>1984</v>
      </c>
      <c r="AN1519" s="10" t="n"/>
      <c r="AO1519" s="10" t="n"/>
      <c r="AP1519" s="10" t="n"/>
      <c r="AQ1519" s="10" t="n"/>
    </row>
    <row r="1520">
      <c r="A1520" s="7" t="inlineStr">
        <is>
          <t>b9-0137</t>
        </is>
      </c>
      <c r="B1520" s="7" t="inlineStr">
        <is>
          <t>Point</t>
        </is>
      </c>
      <c r="C1520" s="7" t="n"/>
      <c r="D1520" s="7" t="inlineStr">
        <is>
          <t>1984</t>
        </is>
      </c>
      <c r="E1520" s="7" t="n"/>
      <c r="F1520" s="7" t="inlineStr">
        <is>
          <t>1984 CE</t>
        </is>
      </c>
      <c r="G1520" s="7" t="inlineStr">
        <is>
          <t>Exact</t>
        </is>
      </c>
      <c r="H1520" s="7" t="n"/>
      <c r="I1520" s="7" t="n"/>
      <c r="J1520" s="7" t="n"/>
      <c r="K1520" s="2" t="inlineStr">
        <is>
          <t>Songbook Sing Praises to Jehovah released</t>
        </is>
      </c>
      <c r="L1520" s="2" t="n"/>
      <c r="M1520" s="7" t="inlineStr">
        <is>
          <t>God’s Kingdom Rules! shows the 1984 songbook Sing Praises to Jehovah.</t>
        </is>
      </c>
      <c r="N1520" s="7" t="n"/>
      <c r="O1520" s="13" t="inlineStr">
        <is>
          <t>Jehovah's Witnesses</t>
        </is>
      </c>
      <c r="P1520" s="7" t="inlineStr">
        <is>
          <t>jw.publication</t>
        </is>
      </c>
      <c r="Q1520" s="7" t="inlineStr">
        <is>
          <t>release</t>
        </is>
      </c>
      <c r="R1520" s="7" t="n"/>
      <c r="S1520" s="7" t="n"/>
      <c r="T1520" s="7" t="n"/>
      <c r="U1520" s="7" t="n"/>
      <c r="V1520" s="7" t="n">
        <v>1</v>
      </c>
      <c r="W1520" s="7" t="inlineStr">
        <is>
          <t>Meeting Together for Worship</t>
        </is>
      </c>
      <c r="X1520" s="9" t="inlineStr">
        <is>
          <t>open</t>
        </is>
      </c>
      <c r="Y1520" s="9" t="inlineStr">
        <is>
          <t>open</t>
        </is>
      </c>
      <c r="Z1520" s="7" t="inlineStr">
        <is>
          <t>https://wol.jw.org/en/wol/d/r1/lp-e/1102014255</t>
        </is>
      </c>
      <c r="AA1520" s="7" t="n">
        <v>1</v>
      </c>
      <c r="AB1520" s="9" t="inlineStr">
        <is>
          <t>open</t>
        </is>
      </c>
      <c r="AC1520" s="7" t="n">
        <v>0</v>
      </c>
      <c r="AD1520" s="7" t="n"/>
      <c r="AE1520" s="7" t="n"/>
      <c r="AF1520" s="7" t="n"/>
      <c r="AG1520" s="7" t="n"/>
      <c r="AH1520" s="7" t="n"/>
      <c r="AI1520" s="7" t="n"/>
      <c r="AJ1520" s="7" t="n"/>
      <c r="AK1520" s="7" t="n"/>
      <c r="AL1520" s="7" t="n"/>
      <c r="AM1520" s="7" t="n">
        <v>1984</v>
      </c>
      <c r="AN1520" s="10" t="n"/>
      <c r="AO1520" s="10" t="n"/>
      <c r="AP1520" s="10" t="n"/>
      <c r="AQ1520" s="10" t="n"/>
    </row>
    <row r="1521">
      <c r="A1521" s="7" t="inlineStr">
        <is>
          <t>b17-0011</t>
        </is>
      </c>
      <c r="B1521" s="7" t="inlineStr">
        <is>
          <t>Point</t>
        </is>
      </c>
      <c r="C1521" s="7" t="n"/>
      <c r="D1521" s="7" t="inlineStr">
        <is>
          <t>1984</t>
        </is>
      </c>
      <c r="E1521" s="7" t="inlineStr">
        <is>
          <t>1984</t>
        </is>
      </c>
      <c r="F1521" s="7" t="inlineStr">
        <is>
          <t>1984 CE</t>
        </is>
      </c>
      <c r="G1521" s="7" t="inlineStr">
        <is>
          <t>Exact</t>
        </is>
      </c>
      <c r="H1521" s="7" t="n"/>
      <c r="I1521" s="7" t="n"/>
      <c r="J1521" s="7" t="n"/>
      <c r="K1521" s="2" t="inlineStr">
        <is>
          <t>New World Translation reference edition released</t>
        </is>
      </c>
      <c r="L1521" s="2" t="inlineStr">
        <is>
          <t>துணைக்குறிப்புகளைக் கொண்ட திருத்தியமைக்கப்பட்ட ஒரு பதிப்பு ஆங்கிலத்தில் வெளியிடப்பட்டது</t>
        </is>
      </c>
      <c r="M1521" s="7" t="inlineStr">
        <is>
          <t>At the “Kingdom Increase” District Conventions of 1984, a revised reference edition of the New World Translation was issued in English, with over 125,000 marginal references, more than 11,000 footnotes, a concordance, maps and 43 appendix articles. A regular-size edition of the 1984 revision was also released that year.</t>
        </is>
      </c>
      <c r="N1521" s="7" t="inlineStr">
        <is>
          <t>1984-⁠ல் நடத்தப்பட்ட யெகோவாவின் சாட்சிகளின் “ராஜ்ய அதிகரிப்பு” மாவட்ட மாநாடுகளில், துணைக்குறிப்புகளைக் கொண்ட திருத்தியமைக்கப்பட்ட ஒரு பதிப்பு ஆங்கிலத்தில் வெளியிடப்பட்டது.</t>
        </is>
      </c>
      <c r="O1521" s="12" t="inlineStr">
        <is>
          <t>Bible &amp; church history</t>
        </is>
      </c>
      <c r="P1521" s="7" t="inlineStr">
        <is>
          <t>history.bible_translation</t>
        </is>
      </c>
      <c r="Q1521" s="7" t="inlineStr">
        <is>
          <t>release</t>
        </is>
      </c>
      <c r="R1521" s="7" t="n"/>
      <c r="S1521" s="7" t="n"/>
      <c r="T1521" s="7" t="n"/>
      <c r="U1521" s="7" t="n"/>
      <c r="V1521" s="7" t="n">
        <v>2</v>
      </c>
      <c r="W1521" s="7" t="inlineStr">
        <is>
          <t>Study Number 7—The Bible in Modern Times</t>
        </is>
      </c>
      <c r="X1521" s="9" t="inlineStr">
        <is>
          <t>open</t>
        </is>
      </c>
      <c r="Y1521" s="9" t="inlineStr">
        <is>
          <t>open</t>
        </is>
      </c>
      <c r="Z1521" s="7" t="inlineStr">
        <is>
          <t>https://wol.jw.org/en/wol/d/r1/lp-e/1101990134
https://wol.jw.org/en/wol/d/r1/lp-e/1001070203</t>
        </is>
      </c>
      <c r="AA1521" s="7" t="n">
        <v>0</v>
      </c>
      <c r="AB1521" s="7" t="n"/>
      <c r="AC1521" s="7" t="n">
        <v>0</v>
      </c>
      <c r="AD1521" s="7" t="n"/>
      <c r="AE1521" s="7" t="n"/>
      <c r="AF1521" s="7" t="n"/>
      <c r="AG1521" s="7" t="n"/>
      <c r="AH1521" s="7" t="n"/>
      <c r="AI1521" s="7" t="n"/>
      <c r="AJ1521" s="7" t="n"/>
      <c r="AK1521" s="7" t="inlineStr">
        <is>
          <t>how-the-bible-came-to-us #57 (step)</t>
        </is>
      </c>
      <c r="AL1521" s="7" t="inlineStr">
        <is>
          <t>A3 footnote c cites the New World Translation of the Holy Scriptures—With References, published in 1984.</t>
        </is>
      </c>
      <c r="AM1521" s="7" t="n">
        <v>1984.5</v>
      </c>
      <c r="AN1521" s="10" t="n"/>
      <c r="AO1521" s="10" t="n"/>
      <c r="AP1521" s="10" t="n"/>
      <c r="AQ1521" s="10" t="n"/>
    </row>
    <row r="1522">
      <c r="A1522" s="7" t="inlineStr">
        <is>
          <t>b9-0138</t>
        </is>
      </c>
      <c r="B1522" s="7" t="inlineStr">
        <is>
          <t>Point</t>
        </is>
      </c>
      <c r="C1522" s="7" t="n"/>
      <c r="D1522" s="7" t="inlineStr">
        <is>
          <t>1985</t>
        </is>
      </c>
      <c r="E1522" s="7" t="n"/>
      <c r="F1522" s="7" t="inlineStr">
        <is>
          <t>1985 CE</t>
        </is>
      </c>
      <c r="G1522" s="7" t="inlineStr">
        <is>
          <t>Exact</t>
        </is>
      </c>
      <c r="H1522" s="7" t="n"/>
      <c r="I1522" s="7" t="n"/>
      <c r="J1522" s="7" t="n"/>
      <c r="K1522" s="2" t="inlineStr">
        <is>
          <t>Understanding clarified: “other sheep” declared righteous as friends of God</t>
        </is>
      </c>
      <c r="L1522" s="2" t="n"/>
      <c r="M1522" s="7" t="inlineStr">
        <is>
          <t>The Watch Tower Publications Index (“Beliefs Clarified,” list by year) records a clarified understanding in 1985 concerning “other sheep” declared righteous as friends of God. Index references: w06 2/15 30; w95 7/1 15.</t>
        </is>
      </c>
      <c r="N1522" s="7" t="n"/>
      <c r="O1522" s="13" t="inlineStr">
        <is>
          <t>Jehovah's Witnesses</t>
        </is>
      </c>
      <c r="P1522" s="7" t="inlineStr">
        <is>
          <t>jw.doctrine</t>
        </is>
      </c>
      <c r="Q1522" s="7" t="inlineStr">
        <is>
          <t>beliefs_clarified</t>
        </is>
      </c>
      <c r="R1522" s="7" t="n"/>
      <c r="S1522" s="7" t="n"/>
      <c r="T1522" s="7" t="n"/>
      <c r="U1522" s="7" t="n"/>
      <c r="V1522" s="7" t="n">
        <v>1</v>
      </c>
      <c r="W1522" s="7" t="inlineStr">
        <is>
          <t>Beliefs Clarified</t>
        </is>
      </c>
      <c r="X1522" s="9" t="inlineStr">
        <is>
          <t>open</t>
        </is>
      </c>
      <c r="Y1522" s="7" t="n"/>
      <c r="Z1522" s="7" t="inlineStr">
        <is>
          <t>https://wol.jw.org/en/wol/d/r1/lp-e/1200277174</t>
        </is>
      </c>
      <c r="AA1522" s="7" t="n">
        <v>0</v>
      </c>
      <c r="AB1522" s="7" t="n"/>
      <c r="AC1522" s="7" t="n">
        <v>0</v>
      </c>
      <c r="AD1522" s="7" t="n"/>
      <c r="AE1522" s="7" t="n"/>
      <c r="AF1522" s="7" t="n"/>
      <c r="AG1522" s="7" t="n"/>
      <c r="AH1522" s="7" t="n"/>
      <c r="AI1522" s="7" t="inlineStr">
        <is>
          <t>Index list entry – app detail</t>
        </is>
      </c>
      <c r="AJ1522" s="7" t="n"/>
      <c r="AK1522" s="7" t="n"/>
      <c r="AL1522" s="7" t="n"/>
      <c r="AM1522" s="7" t="n">
        <v>1985</v>
      </c>
      <c r="AN1522" s="10" t="n"/>
      <c r="AO1522" s="10" t="n"/>
      <c r="AP1522" s="10" t="n"/>
      <c r="AQ1522" s="10" t="n"/>
    </row>
    <row r="1523">
      <c r="A1523" s="7" t="inlineStr">
        <is>
          <t>b9-0139</t>
        </is>
      </c>
      <c r="B1523" s="7" t="inlineStr">
        <is>
          <t>Point</t>
        </is>
      </c>
      <c r="C1523" s="7" t="n"/>
      <c r="D1523" s="7" t="inlineStr">
        <is>
          <t>1985</t>
        </is>
      </c>
      <c r="E1523" s="7" t="n"/>
      <c r="F1523" s="7" t="inlineStr">
        <is>
          <t>1985 CE</t>
        </is>
      </c>
      <c r="G1523" s="7" t="inlineStr">
        <is>
          <t>Exact</t>
        </is>
      </c>
      <c r="H1523" s="7" t="n"/>
      <c r="I1523" s="7" t="n"/>
      <c r="J1523" s="7" t="n"/>
      <c r="K1523" s="2" t="inlineStr">
        <is>
          <t>1985: “Integrity Keepers” District Conventions</t>
        </is>
      </c>
      <c r="L1523" s="2" t="n"/>
      <c r="M1523" s="7" t="inlineStr">
        <is>
          <t>The Watch Tower Publications Index lists the 1985 conventions of Jehovah’s Witnesses as “Integrity Keepers” District Conventions.</t>
        </is>
      </c>
      <c r="N1523" s="7" t="n"/>
      <c r="O1523" s="13" t="inlineStr">
        <is>
          <t>Jehovah's Witnesses</t>
        </is>
      </c>
      <c r="P1523" s="7" t="inlineStr">
        <is>
          <t>jw.convention</t>
        </is>
      </c>
      <c r="Q1523" s="7" t="inlineStr">
        <is>
          <t>convention</t>
        </is>
      </c>
      <c r="R1523" s="7" t="n"/>
      <c r="S1523" s="7" t="n"/>
      <c r="T1523" s="7" t="n"/>
      <c r="U1523" s="7" t="n"/>
      <c r="V1523" s="7" t="n">
        <v>1</v>
      </c>
      <c r="W1523" s="7" t="inlineStr">
        <is>
          <t>Conventions</t>
        </is>
      </c>
      <c r="X1523" s="9" t="inlineStr">
        <is>
          <t>open</t>
        </is>
      </c>
      <c r="Y1523" s="7" t="n"/>
      <c r="Z1523" s="7" t="inlineStr">
        <is>
          <t>https://wol.jw.org/en/wol/d/r1/lp-e/1200271388</t>
        </is>
      </c>
      <c r="AA1523" s="7" t="n">
        <v>0</v>
      </c>
      <c r="AB1523" s="7" t="n"/>
      <c r="AC1523" s="7" t="n">
        <v>0</v>
      </c>
      <c r="AD1523" s="7" t="n"/>
      <c r="AE1523" s="7" t="n"/>
      <c r="AF1523" s="7" t="n"/>
      <c r="AG1523" s="7" t="n"/>
      <c r="AH1523" s="7" t="n"/>
      <c r="AI1523" s="7" t="inlineStr">
        <is>
          <t>Index list entry – app detail</t>
        </is>
      </c>
      <c r="AJ1523" s="7" t="n"/>
      <c r="AK1523" s="7" t="n"/>
      <c r="AL1523" s="7" t="n"/>
      <c r="AM1523" s="7" t="n">
        <v>1985</v>
      </c>
      <c r="AN1523" s="10" t="n"/>
      <c r="AO1523" s="10" t="n"/>
      <c r="AP1523" s="10" t="n"/>
      <c r="AQ1523" s="10" t="n"/>
    </row>
    <row r="1524">
      <c r="A1524" s="7" t="inlineStr">
        <is>
          <t>b9-0140</t>
        </is>
      </c>
      <c r="B1524" s="7" t="inlineStr">
        <is>
          <t>Point</t>
        </is>
      </c>
      <c r="C1524" s="7" t="n"/>
      <c r="D1524" s="7" t="inlineStr">
        <is>
          <t>1985</t>
        </is>
      </c>
      <c r="E1524" s="7" t="n"/>
      <c r="F1524" s="7" t="inlineStr">
        <is>
          <t>1985 CE</t>
        </is>
      </c>
      <c r="G1524" s="7" t="inlineStr">
        <is>
          <t>Exact</t>
        </is>
      </c>
      <c r="H1524" s="7" t="n"/>
      <c r="I1524" s="7" t="n"/>
      <c r="J1524" s="7" t="n"/>
      <c r="K1524" s="2" t="inlineStr">
        <is>
          <t>International volunteer arrangement for construction initiated</t>
        </is>
      </c>
      <c r="L1524" s="2" t="n"/>
      <c r="M1524" s="7" t="inlineStr">
        <is>
          <t>An arrangement for international volunteers was initiated in 1985, coordinating the worldwide construction work from headquarters.</t>
        </is>
      </c>
      <c r="N1524" s="7" t="n"/>
      <c r="O1524" s="13" t="inlineStr">
        <is>
          <t>Jehovah's Witnesses</t>
        </is>
      </c>
      <c r="P1524" s="7" t="inlineStr">
        <is>
          <t>jw.construction</t>
        </is>
      </c>
      <c r="Q1524" s="7" t="n"/>
      <c r="R1524" s="7" t="n"/>
      <c r="S1524" s="7" t="n"/>
      <c r="T1524" s="7" t="n"/>
      <c r="U1524" s="7" t="n"/>
      <c r="V1524" s="7" t="n">
        <v>1</v>
      </c>
      <c r="W1524" s="7" t="inlineStr">
        <is>
          <t>Noteworthy Events in the Modern-day History of Jehovah’s Witnesses</t>
        </is>
      </c>
      <c r="X1524" s="9" t="inlineStr">
        <is>
          <t>open</t>
        </is>
      </c>
      <c r="Y1524" s="7" t="n"/>
      <c r="Z1524" s="7" t="inlineStr">
        <is>
          <t>https://wol.jw.org/en/wol/d/r1/lp-e/1101993046</t>
        </is>
      </c>
      <c r="AA1524" s="7" t="n">
        <v>0</v>
      </c>
      <c r="AB1524" s="7" t="n"/>
      <c r="AC1524" s="7" t="n">
        <v>0</v>
      </c>
      <c r="AD1524" s="7" t="n"/>
      <c r="AE1524" s="7" t="n"/>
      <c r="AF1524" s="7" t="n"/>
      <c r="AG1524" s="7" t="n"/>
      <c r="AH1524" s="7" t="n"/>
      <c r="AI1524" s="7" t="n"/>
      <c r="AJ1524" s="7" t="n"/>
      <c r="AK1524" s="7" t="n"/>
      <c r="AL1524" s="7" t="n"/>
      <c r="AM1524" s="7" t="n">
        <v>1985</v>
      </c>
      <c r="AN1524" s="10" t="n"/>
      <c r="AO1524" s="10" t="n"/>
      <c r="AP1524" s="10" t="n"/>
      <c r="AQ1524" s="10" t="n"/>
    </row>
    <row r="1525">
      <c r="A1525" s="7" t="inlineStr">
        <is>
          <t>b9-0141</t>
        </is>
      </c>
      <c r="B1525" s="7" t="inlineStr">
        <is>
          <t>Point</t>
        </is>
      </c>
      <c r="C1525" s="7" t="n"/>
      <c r="D1525" s="7" t="inlineStr">
        <is>
          <t>1985</t>
        </is>
      </c>
      <c r="E1525" s="7" t="n"/>
      <c r="F1525" s="7" t="inlineStr">
        <is>
          <t>1985 CE</t>
        </is>
      </c>
      <c r="G1525" s="7" t="inlineStr">
        <is>
          <t>Exact</t>
        </is>
      </c>
      <c r="H1525" s="7" t="n"/>
      <c r="I1525" s="7" t="n"/>
      <c r="J1525" s="7" t="n"/>
      <c r="K1525" s="2" t="inlineStr">
        <is>
          <t>Over three million share in preaching in 222 lands</t>
        </is>
      </c>
      <c r="L1525" s="2" t="n"/>
      <c r="M1525" s="7" t="inlineStr">
        <is>
          <t>The 1985 report showed 3,024,131 sharing in Kingdom preaching in 222 lands, an average of 322,821 pioneers, and 189,800 baptized.</t>
        </is>
      </c>
      <c r="N1525" s="7" t="n"/>
      <c r="O1525" s="13" t="inlineStr">
        <is>
          <t>Jehovah's Witnesses</t>
        </is>
      </c>
      <c r="P1525" s="7" t="inlineStr">
        <is>
          <t>jw.preaching</t>
        </is>
      </c>
      <c r="Q1525" s="7" t="inlineStr">
        <is>
          <t>statistic</t>
        </is>
      </c>
      <c r="R1525" s="7" t="n"/>
      <c r="S1525" s="7" t="n"/>
      <c r="T1525" s="7" t="n"/>
      <c r="U1525" s="7" t="n"/>
      <c r="V1525" s="7" t="n">
        <v>1</v>
      </c>
      <c r="W1525" s="7" t="inlineStr">
        <is>
          <t>Noteworthy Events in the Modern-day History of Jehovah’s Witnesses</t>
        </is>
      </c>
      <c r="X1525" s="9" t="inlineStr">
        <is>
          <t>open</t>
        </is>
      </c>
      <c r="Y1525" s="7" t="n"/>
      <c r="Z1525" s="7" t="inlineStr">
        <is>
          <t>https://wol.jw.org/en/wol/d/r1/lp-e/1101993046</t>
        </is>
      </c>
      <c r="AA1525" s="7" t="n">
        <v>0</v>
      </c>
      <c r="AB1525" s="7" t="n"/>
      <c r="AC1525" s="7" t="n">
        <v>0</v>
      </c>
      <c r="AD1525" s="7" t="n"/>
      <c r="AE1525" s="7" t="n"/>
      <c r="AF1525" s="7" t="n"/>
      <c r="AG1525" s="7" t="n"/>
      <c r="AH1525" s="7" t="n"/>
      <c r="AI1525" s="7" t="n"/>
      <c r="AJ1525" s="7" t="n"/>
      <c r="AK1525" s="7" t="n"/>
      <c r="AL1525" s="7" t="n"/>
      <c r="AM1525" s="7" t="n">
        <v>1985</v>
      </c>
      <c r="AN1525" s="10" t="n"/>
      <c r="AO1525" s="10" t="n"/>
      <c r="AP1525" s="10" t="n"/>
      <c r="AQ1525" s="10" t="n"/>
    </row>
    <row r="1526">
      <c r="A1526" s="7" t="inlineStr">
        <is>
          <t>b9-0142</t>
        </is>
      </c>
      <c r="B1526" s="7" t="inlineStr">
        <is>
          <t>Point</t>
        </is>
      </c>
      <c r="C1526" s="7" t="n"/>
      <c r="D1526" s="7" t="inlineStr">
        <is>
          <t>1985, December</t>
        </is>
      </c>
      <c r="E1526" s="7" t="inlineStr">
        <is>
          <t>டிசம்பர் 1985</t>
        </is>
      </c>
      <c r="F1526" s="7" t="inlineStr">
        <is>
          <t>1985 CE</t>
        </is>
      </c>
      <c r="G1526" s="7" t="inlineStr">
        <is>
          <t>Exact</t>
        </is>
      </c>
      <c r="H1526" s="7" t="n"/>
      <c r="I1526" s="7" t="n"/>
      <c r="J1526" s="7" t="n"/>
      <c r="K1526" s="2" t="inlineStr">
        <is>
          <t>International convention in Kinshasa, Zaire</t>
        </is>
      </c>
      <c r="L1526" s="2" t="inlineStr">
        <is>
          <t>டிசம்பர் 1985-ல் தலைநகரமான கின்ஷாசாவிலுள்ள ஒரு ஸ்டேடியத்தில் நடந்த சர்வதேச மாநாட்டுக்கு 32,000 பேர் வந்திருந்தார்கள்.</t>
        </is>
      </c>
      <c r="M1526" s="7" t="inlineStr">
        <is>
          <t>In December 1985 an international convention was held in Kinshasa, Zaire, with 32,000 delegates filling the city’s stadium.</t>
        </is>
      </c>
      <c r="N1526" s="7" t="inlineStr">
        <is>
          <t>டிசம்பர் 1985-ல் தலைநகரமான கின்ஷாசாவிலுள்ள ஒரு ஸ்டேடியத்தில் நடந்த சர்வதேச மாநாட்டுக்கு 32,000 பேர் வந்திருந்தார்கள்.</t>
        </is>
      </c>
      <c r="O1526" s="13" t="inlineStr">
        <is>
          <t>Jehovah's Witnesses</t>
        </is>
      </c>
      <c r="P1526" s="7" t="inlineStr">
        <is>
          <t>jw.convention</t>
        </is>
      </c>
      <c r="Q1526" s="7" t="n"/>
      <c r="R1526" s="7" t="n"/>
      <c r="S1526" s="7" t="inlineStr">
        <is>
          <t>Kinshasa, Zaire</t>
        </is>
      </c>
      <c r="T1526" s="7" t="n"/>
      <c r="U1526" s="7" t="n"/>
      <c r="V1526" s="7" t="n">
        <v>1</v>
      </c>
      <c r="W1526" s="7" t="inlineStr">
        <is>
          <t>Kingdom Preachers Take Their Case to Court</t>
        </is>
      </c>
      <c r="X1526" s="9" t="inlineStr">
        <is>
          <t>open</t>
        </is>
      </c>
      <c r="Y1526" s="9" t="inlineStr">
        <is>
          <t>open</t>
        </is>
      </c>
      <c r="Z1526" s="7" t="inlineStr">
        <is>
          <t>https://wol.jw.org/en/wol/d/r1/lp-e/1102014252</t>
        </is>
      </c>
      <c r="AA1526" s="7" t="n">
        <v>0</v>
      </c>
      <c r="AB1526" s="7" t="n"/>
      <c r="AC1526" s="7" t="n">
        <v>0</v>
      </c>
      <c r="AD1526" s="7" t="n"/>
      <c r="AE1526" s="7" t="n"/>
      <c r="AF1526" s="7" t="n"/>
      <c r="AG1526" s="7" t="n"/>
      <c r="AH1526" s="7" t="n"/>
      <c r="AI1526" s="7" t="n"/>
      <c r="AJ1526" s="7" t="n"/>
      <c r="AK1526" s="7" t="n"/>
      <c r="AL1526" s="7" t="n"/>
      <c r="AM1526" s="7" t="n">
        <v>1985.9167</v>
      </c>
      <c r="AN1526" s="10" t="n"/>
      <c r="AO1526" s="10" t="n"/>
      <c r="AP1526" s="10" t="n"/>
      <c r="AQ1526" s="10" t="n"/>
    </row>
    <row r="1527">
      <c r="A1527" s="7" t="inlineStr">
        <is>
          <t>b9-0143</t>
        </is>
      </c>
      <c r="B1527" s="7" t="inlineStr">
        <is>
          <t>Point</t>
        </is>
      </c>
      <c r="C1527" s="7" t="n"/>
      <c r="D1527" s="7" t="inlineStr">
        <is>
          <t>1986</t>
        </is>
      </c>
      <c r="E1527" s="7" t="n"/>
      <c r="F1527" s="7" t="inlineStr">
        <is>
          <t>1986 CE</t>
        </is>
      </c>
      <c r="G1527" s="7" t="inlineStr">
        <is>
          <t>Exact</t>
        </is>
      </c>
      <c r="H1527" s="7" t="n"/>
      <c r="I1527" s="7" t="n"/>
      <c r="J1527" s="7" t="n"/>
      <c r="K1527" s="2" t="inlineStr">
        <is>
          <t>Understanding clarified: “great crowd” figuratively partake of Jesus’ flesh and blood (John 6:51-56)</t>
        </is>
      </c>
      <c r="L1527" s="2" t="n"/>
      <c r="M1527" s="7" t="inlineStr">
        <is>
          <t>The Watch Tower Publications Index (“Beliefs Clarified,” list by year) records a clarified understanding in 1986 concerning “great crowd” figuratively partake of Jesus’ flesh and blood (John 6:51-56). Index references: w87 6/15 19; w86 2/15 15-20, 30-31.</t>
        </is>
      </c>
      <c r="N1527" s="7" t="n"/>
      <c r="O1527" s="13" t="inlineStr">
        <is>
          <t>Jehovah's Witnesses</t>
        </is>
      </c>
      <c r="P1527" s="7" t="inlineStr">
        <is>
          <t>jw.doctrine</t>
        </is>
      </c>
      <c r="Q1527" s="7" t="inlineStr">
        <is>
          <t>beliefs_clarified</t>
        </is>
      </c>
      <c r="R1527" s="7" t="n"/>
      <c r="S1527" s="7" t="n"/>
      <c r="T1527" s="7" t="inlineStr">
        <is>
          <t>John 6:51-56</t>
        </is>
      </c>
      <c r="U1527" s="7" t="n"/>
      <c r="V1527" s="7" t="n">
        <v>1</v>
      </c>
      <c r="W1527" s="7" t="inlineStr">
        <is>
          <t>Beliefs Clarified</t>
        </is>
      </c>
      <c r="X1527" s="9" t="inlineStr">
        <is>
          <t>open</t>
        </is>
      </c>
      <c r="Y1527" s="7" t="n"/>
      <c r="Z1527" s="7" t="inlineStr">
        <is>
          <t>https://wol.jw.org/en/wol/d/r1/lp-e/1200277174</t>
        </is>
      </c>
      <c r="AA1527" s="7" t="n">
        <v>0</v>
      </c>
      <c r="AB1527" s="7" t="n"/>
      <c r="AC1527" s="7" t="n">
        <v>0</v>
      </c>
      <c r="AD1527" s="7" t="n"/>
      <c r="AE1527" s="7" t="n"/>
      <c r="AF1527" s="7" t="n"/>
      <c r="AG1527" s="7" t="n"/>
      <c r="AH1527" s="7" t="n"/>
      <c r="AI1527" s="7" t="inlineStr">
        <is>
          <t>Index list entry – app detail</t>
        </is>
      </c>
      <c r="AJ1527" s="7" t="n"/>
      <c r="AK1527" s="7" t="n"/>
      <c r="AL1527" s="7" t="n"/>
      <c r="AM1527" s="7" t="n">
        <v>1986</v>
      </c>
      <c r="AN1527" s="10" t="n"/>
      <c r="AO1527" s="10" t="n"/>
      <c r="AP1527" s="10" t="n"/>
      <c r="AQ1527" s="10" t="n"/>
    </row>
    <row r="1528">
      <c r="A1528" s="7" t="inlineStr">
        <is>
          <t>b9-0144</t>
        </is>
      </c>
      <c r="B1528" s="7" t="inlineStr">
        <is>
          <t>Point</t>
        </is>
      </c>
      <c r="C1528" s="7" t="n"/>
      <c r="D1528" s="7" t="inlineStr">
        <is>
          <t>1986</t>
        </is>
      </c>
      <c r="E1528" s="7" t="n"/>
      <c r="F1528" s="7" t="inlineStr">
        <is>
          <t>1986 CE</t>
        </is>
      </c>
      <c r="G1528" s="7" t="inlineStr">
        <is>
          <t>Exact</t>
        </is>
      </c>
      <c r="H1528" s="7" t="n"/>
      <c r="I1528" s="7" t="n"/>
      <c r="J1528" s="7" t="n"/>
      <c r="K1528" s="2" t="inlineStr">
        <is>
          <t>Understanding clarified: “ten virgins” (Matt. 25)</t>
        </is>
      </c>
      <c r="L1528" s="2" t="n"/>
      <c r="M1528" s="7" t="inlineStr">
        <is>
          <t>The Watch Tower Publications Index (“Beliefs Clarified,” list by year) records a clarified understanding in 1986 concerning “ten virgins” (Matt. 25). Index references: ws 38-44, 46-55.</t>
        </is>
      </c>
      <c r="N1528" s="7" t="n"/>
      <c r="O1528" s="13" t="inlineStr">
        <is>
          <t>Jehovah's Witnesses</t>
        </is>
      </c>
      <c r="P1528" s="7" t="inlineStr">
        <is>
          <t>jw.doctrine</t>
        </is>
      </c>
      <c r="Q1528" s="7" t="inlineStr">
        <is>
          <t>beliefs_clarified</t>
        </is>
      </c>
      <c r="R1528" s="7" t="n"/>
      <c r="S1528" s="7" t="n"/>
      <c r="T1528" s="7" t="inlineStr">
        <is>
          <t>Matt. 25</t>
        </is>
      </c>
      <c r="U1528" s="7" t="n"/>
      <c r="V1528" s="7" t="n">
        <v>1</v>
      </c>
      <c r="W1528" s="7" t="inlineStr">
        <is>
          <t>Beliefs Clarified</t>
        </is>
      </c>
      <c r="X1528" s="9" t="inlineStr">
        <is>
          <t>open</t>
        </is>
      </c>
      <c r="Y1528" s="7" t="n"/>
      <c r="Z1528" s="7" t="inlineStr">
        <is>
          <t>https://wol.jw.org/en/wol/d/r1/lp-e/1200277174</t>
        </is>
      </c>
      <c r="AA1528" s="7" t="n">
        <v>0</v>
      </c>
      <c r="AB1528" s="7" t="n"/>
      <c r="AC1528" s="7" t="n">
        <v>0</v>
      </c>
      <c r="AD1528" s="7" t="n"/>
      <c r="AE1528" s="7" t="n"/>
      <c r="AF1528" s="7" t="n"/>
      <c r="AG1528" s="7" t="n"/>
      <c r="AH1528" s="7" t="n"/>
      <c r="AI1528" s="7" t="inlineStr">
        <is>
          <t>Index list entry – app detail</t>
        </is>
      </c>
      <c r="AJ1528" s="7" t="n"/>
      <c r="AK1528" s="7" t="n"/>
      <c r="AL1528" s="7" t="n"/>
      <c r="AM1528" s="7" t="n">
        <v>1986</v>
      </c>
      <c r="AN1528" s="10" t="n"/>
      <c r="AO1528" s="10" t="n"/>
      <c r="AP1528" s="10" t="n"/>
      <c r="AQ1528" s="10" t="n"/>
    </row>
    <row r="1529">
      <c r="A1529" s="7" t="inlineStr">
        <is>
          <t>b9-0145</t>
        </is>
      </c>
      <c r="B1529" s="7" t="inlineStr">
        <is>
          <t>Point</t>
        </is>
      </c>
      <c r="C1529" s="7" t="n"/>
      <c r="D1529" s="7" t="inlineStr">
        <is>
          <t>1986</t>
        </is>
      </c>
      <c r="E1529" s="7" t="n"/>
      <c r="F1529" s="7" t="inlineStr">
        <is>
          <t>1986 CE</t>
        </is>
      </c>
      <c r="G1529" s="7" t="inlineStr">
        <is>
          <t>Exact</t>
        </is>
      </c>
      <c r="H1529" s="7" t="n"/>
      <c r="I1529" s="7" t="n"/>
      <c r="J1529" s="7" t="n"/>
      <c r="K1529" s="2" t="inlineStr">
        <is>
          <t>1986: “Divine Peace” District Conventions</t>
        </is>
      </c>
      <c r="L1529" s="2" t="n"/>
      <c r="M1529" s="7" t="inlineStr">
        <is>
          <t>The Watch Tower Publications Index lists the 1986 conventions of Jehovah’s Witnesses as “Divine Peace” District Conventions.</t>
        </is>
      </c>
      <c r="N1529" s="7" t="n"/>
      <c r="O1529" s="13" t="inlineStr">
        <is>
          <t>Jehovah's Witnesses</t>
        </is>
      </c>
      <c r="P1529" s="7" t="inlineStr">
        <is>
          <t>jw.convention</t>
        </is>
      </c>
      <c r="Q1529" s="7" t="inlineStr">
        <is>
          <t>convention</t>
        </is>
      </c>
      <c r="R1529" s="7" t="n"/>
      <c r="S1529" s="7" t="n"/>
      <c r="T1529" s="7" t="n"/>
      <c r="U1529" s="7" t="n"/>
      <c r="V1529" s="7" t="n">
        <v>1</v>
      </c>
      <c r="W1529" s="7" t="inlineStr">
        <is>
          <t>Conventions</t>
        </is>
      </c>
      <c r="X1529" s="9" t="inlineStr">
        <is>
          <t>open</t>
        </is>
      </c>
      <c r="Y1529" s="7" t="n"/>
      <c r="Z1529" s="7" t="inlineStr">
        <is>
          <t>https://wol.jw.org/en/wol/d/r1/lp-e/1200271388</t>
        </is>
      </c>
      <c r="AA1529" s="7" t="n">
        <v>0</v>
      </c>
      <c r="AB1529" s="7" t="n"/>
      <c r="AC1529" s="7" t="n">
        <v>0</v>
      </c>
      <c r="AD1529" s="7" t="n"/>
      <c r="AE1529" s="7" t="n"/>
      <c r="AF1529" s="7" t="n"/>
      <c r="AG1529" s="7" t="n"/>
      <c r="AH1529" s="7" t="n"/>
      <c r="AI1529" s="7" t="inlineStr">
        <is>
          <t>Index list entry – app detail</t>
        </is>
      </c>
      <c r="AJ1529" s="7" t="n"/>
      <c r="AK1529" s="7" t="n"/>
      <c r="AL1529" s="7" t="n"/>
      <c r="AM1529" s="7" t="n">
        <v>1986</v>
      </c>
      <c r="AN1529" s="10" t="n"/>
      <c r="AO1529" s="10" t="n"/>
      <c r="AP1529" s="10" t="n"/>
      <c r="AQ1529" s="10" t="n"/>
    </row>
    <row r="1530">
      <c r="A1530" s="7" t="inlineStr">
        <is>
          <t>b9-0146</t>
        </is>
      </c>
      <c r="B1530" s="7" t="inlineStr">
        <is>
          <t>Point</t>
        </is>
      </c>
      <c r="C1530" s="7" t="n"/>
      <c r="D1530" s="7" t="inlineStr">
        <is>
          <t>1986</t>
        </is>
      </c>
      <c r="E1530" s="7" t="inlineStr">
        <is>
          <t>1986</t>
        </is>
      </c>
      <c r="F1530" s="7" t="inlineStr">
        <is>
          <t>1986 CE</t>
        </is>
      </c>
      <c r="G1530" s="7" t="inlineStr">
        <is>
          <t>Exact</t>
        </is>
      </c>
      <c r="H1530" s="7" t="n"/>
      <c r="I1530" s="7" t="n"/>
      <c r="J1530" s="7" t="n"/>
      <c r="K1530" s="2" t="inlineStr">
        <is>
          <t>Regional Building Committees appointed</t>
        </is>
      </c>
      <c r="L1530" s="2" t="inlineStr">
        <is>
          <t>இந்த ஏற்பாடு பயனுள்ளதாக இருந்ததால், 1986-ல் மண்டலக் கட்டுமானக் குழுக்களை (RBC) அமைக்க ஆளும் குழு அங்கீகாரம் கொடுத்தது.</t>
        </is>
      </c>
      <c r="M1530" s="7" t="inlineStr">
        <is>
          <t>Regional Building Committees were appointed in 1986 to help coordinate the building of Kingdom Halls; God’s Kingdom Rules! says the Governing Body formalized the arrangement that year.</t>
        </is>
      </c>
      <c r="N1530" s="7" t="inlineStr">
        <is>
          <t>இந்த ஏற்பாடு பயனுள்ளதாக இருந்ததால், 1986-ல் மண்டலக் கட்டுமானக் குழுக்களை (RBC) அமைக்க ஆளும் குழு அங்கீகாரம் கொடுத்தது.</t>
        </is>
      </c>
      <c r="O1530" s="13" t="inlineStr">
        <is>
          <t>Jehovah's Witnesses</t>
        </is>
      </c>
      <c r="P1530" s="7" t="inlineStr">
        <is>
          <t>jw.construction</t>
        </is>
      </c>
      <c r="Q1530" s="7" t="n"/>
      <c r="R1530" s="7" t="n"/>
      <c r="S1530" s="7" t="n"/>
      <c r="T1530" s="7" t="n"/>
      <c r="U1530" s="7" t="n"/>
      <c r="V1530" s="7" t="n">
        <v>2</v>
      </c>
      <c r="W1530" s="7" t="inlineStr">
        <is>
          <t>Noteworthy Events in the Modern-day History of Jehovah’s Witnesses</t>
        </is>
      </c>
      <c r="X1530" s="9" t="inlineStr">
        <is>
          <t>open</t>
        </is>
      </c>
      <c r="Y1530" s="7" t="n"/>
      <c r="Z1530" s="7" t="inlineStr">
        <is>
          <t>https://wol.jw.org/en/wol/d/r1/lp-e/1101993046
https://wol.jw.org/en/wol/d/r1/lp-e/1102014258</t>
        </is>
      </c>
      <c r="AA1530" s="7" t="n">
        <v>0</v>
      </c>
      <c r="AB1530" s="7" t="n"/>
      <c r="AC1530" s="7" t="n">
        <v>0</v>
      </c>
      <c r="AD1530" s="7" t="n"/>
      <c r="AE1530" s="7" t="n"/>
      <c r="AF1530" s="7" t="n"/>
      <c r="AG1530" s="7" t="n"/>
      <c r="AH1530" s="7" t="n"/>
      <c r="AI1530" s="7" t="n"/>
      <c r="AJ1530" s="7" t="n"/>
      <c r="AK1530" s="7" t="n"/>
      <c r="AL1530" s="7" t="n"/>
      <c r="AM1530" s="7" t="n">
        <v>1986</v>
      </c>
      <c r="AN1530" s="10" t="n"/>
      <c r="AO1530" s="10" t="n"/>
      <c r="AP1530" s="10" t="n"/>
      <c r="AQ1530" s="10" t="n"/>
    </row>
    <row r="1531">
      <c r="A1531" s="7" t="inlineStr">
        <is>
          <t>b9-0147</t>
        </is>
      </c>
      <c r="B1531" s="7" t="inlineStr">
        <is>
          <t>Point</t>
        </is>
      </c>
      <c r="C1531" s="7" t="n"/>
      <c r="D1531" s="7" t="inlineStr">
        <is>
          <t>1986, March 12</t>
        </is>
      </c>
      <c r="E1531" s="7" t="inlineStr">
        <is>
          <t>மார்ச் 12, 1986</t>
        </is>
      </c>
      <c r="F1531" s="7" t="inlineStr">
        <is>
          <t>1986 CE</t>
        </is>
      </c>
      <c r="G1531" s="7" t="inlineStr">
        <is>
          <t>Exact</t>
        </is>
      </c>
      <c r="H1531" s="7" t="n"/>
      <c r="I1531" s="7" t="n"/>
      <c r="J1531" s="7" t="n"/>
      <c r="K1531" s="2" t="inlineStr">
        <is>
          <t>Witnesses declared illegal in Zaire</t>
        </is>
      </c>
      <c r="L1531" s="2" t="inlineStr">
        <is>
          <t>அவர் சொல்கிறார்: “மார்ச் 12, 1986 அன்று பொறுப்பில் இருந்த சகோதரர்களிடம் ஒரு கடிதம் கொடுக்கப்பட்டது.</t>
        </is>
      </c>
      <c r="M1531" s="7" t="inlineStr">
        <is>
          <t>On March 12, 1986, the responsible brothers in Zaire were handed a letter declaring the association of Jehovah’s Witnesses illegal; persecution followed.</t>
        </is>
      </c>
      <c r="N1531" s="7" t="inlineStr">
        <is>
          <t>அவர் சொல்கிறார்: “மார்ச் 12, 1986 அன்று பொறுப்பில் இருந்த சகோதரர்களிடம் ஒரு கடிதம் கொடுக்கப்பட்டது.</t>
        </is>
      </c>
      <c r="O1531" s="13" t="inlineStr">
        <is>
          <t>Jehovah's Witnesses</t>
        </is>
      </c>
      <c r="P1531" s="7" t="inlineStr">
        <is>
          <t>jw.persecution</t>
        </is>
      </c>
      <c r="Q1531" s="7" t="inlineStr">
        <is>
          <t>ban</t>
        </is>
      </c>
      <c r="R1531" s="7" t="n"/>
      <c r="S1531" s="7" t="inlineStr">
        <is>
          <t>Zaire</t>
        </is>
      </c>
      <c r="T1531" s="7" t="n"/>
      <c r="U1531" s="7" t="n"/>
      <c r="V1531" s="7" t="n">
        <v>1</v>
      </c>
      <c r="W1531" s="7" t="inlineStr">
        <is>
          <t>Kingdom Preachers Take Their Case to Court</t>
        </is>
      </c>
      <c r="X1531" s="9" t="inlineStr">
        <is>
          <t>open</t>
        </is>
      </c>
      <c r="Y1531" s="9" t="inlineStr">
        <is>
          <t>open</t>
        </is>
      </c>
      <c r="Z1531" s="7" t="inlineStr">
        <is>
          <t>https://wol.jw.org/en/wol/d/r1/lp-e/1102014252</t>
        </is>
      </c>
      <c r="AA1531" s="7" t="n">
        <v>0</v>
      </c>
      <c r="AB1531" s="7" t="n"/>
      <c r="AC1531" s="7" t="n">
        <v>0</v>
      </c>
      <c r="AD1531" s="7" t="n"/>
      <c r="AE1531" s="7" t="n"/>
      <c r="AF1531" s="7" t="n"/>
      <c r="AG1531" s="7" t="n"/>
      <c r="AH1531" s="7" t="n"/>
      <c r="AI1531" s="7" t="inlineStr">
        <is>
          <t>Span endpoint – keep</t>
        </is>
      </c>
      <c r="AJ1531" s="7" t="inlineStr">
        <is>
          <t>start of Ban on Jehovah’s Witnesses in Zaire (b12-0099)</t>
        </is>
      </c>
      <c r="AK1531" s="7" t="n"/>
      <c r="AL1531" s="7" t="n"/>
      <c r="AM1531" s="7" t="n">
        <v>1986.1962</v>
      </c>
      <c r="AN1531" s="10" t="n"/>
      <c r="AO1531" s="10" t="n"/>
      <c r="AP1531" s="10" t="n"/>
      <c r="AQ1531" s="10" t="n"/>
    </row>
    <row r="1532">
      <c r="A1532" s="7" t="inlineStr">
        <is>
          <t>b12-0099</t>
        </is>
      </c>
      <c r="B1532" s="11" t="inlineStr">
        <is>
          <t>Span</t>
        </is>
      </c>
      <c r="C1532" s="7" t="inlineStr">
        <is>
          <t>ban</t>
        </is>
      </c>
      <c r="D1532" s="7" t="inlineStr">
        <is>
          <t>1986–January 8, 1993</t>
        </is>
      </c>
      <c r="E1532" s="7" t="n"/>
      <c r="F1532" s="7" t="inlineStr">
        <is>
          <t>1986 CE</t>
        </is>
      </c>
      <c r="G1532" s="7" t="inlineStr">
        <is>
          <t>Exact</t>
        </is>
      </c>
      <c r="H1532" s="7" t="inlineStr">
        <is>
          <t>1993 CE</t>
        </is>
      </c>
      <c r="I1532" s="7" t="inlineStr">
        <is>
          <t>Exact</t>
        </is>
      </c>
      <c r="J1532" s="7" t="inlineStr">
        <is>
          <t>nearly seven years</t>
        </is>
      </c>
      <c r="K1532" s="2" t="inlineStr">
        <is>
          <t>Ban on Jehovah’s Witnesses in Zaire</t>
        </is>
      </c>
      <c r="L1532" s="2" t="n"/>
      <c r="M1532" s="7" t="inlineStr">
        <is>
          <t>A presidential order of 1986 declared the Witnesses illegal in Zaire; nearly seven years later the Supreme Court ruled the government’s action unlawful.</t>
        </is>
      </c>
      <c r="N1532" s="7" t="inlineStr">
        <is>
          <t>ஜனாதிபதி தடை உத்தரவு போட்டு கிட்டத்தட்ட ஏழு வருஷங்களுக்குப் பிறகு, அதாவது ஜனவரி 8, 1993-ல் உச்ச நீதிமன்றம் நமக்குச் சாதகமாகத் தீர்ப்பளித்தது.</t>
        </is>
      </c>
      <c r="O1532" s="13" t="inlineStr">
        <is>
          <t>Jehovah's Witnesses</t>
        </is>
      </c>
      <c r="P1532" s="7" t="inlineStr">
        <is>
          <t>jw.legal</t>
        </is>
      </c>
      <c r="Q1532" s="7" t="n"/>
      <c r="R1532" s="7" t="n"/>
      <c r="S1532" s="7" t="inlineStr">
        <is>
          <t>Zaire (Democratic Republic of the Congo)</t>
        </is>
      </c>
      <c r="T1532" s="7" t="n"/>
      <c r="U1532" s="7" t="n"/>
      <c r="V1532" s="7" t="n">
        <v>2</v>
      </c>
      <c r="W1532" s="7" t="inlineStr">
        <is>
          <t>Kingdom Preachers Take Their Case to Court</t>
        </is>
      </c>
      <c r="X1532" s="9" t="inlineStr">
        <is>
          <t>open</t>
        </is>
      </c>
      <c r="Y1532" s="9" t="inlineStr">
        <is>
          <t>open</t>
        </is>
      </c>
      <c r="Z1532" s="7" t="inlineStr">
        <is>
          <t>https://wol.jw.org/en/wol/d/r1/lp-e/1102014252
https://wol.jw.org/en/wol/d/r1/lp-e/1102014252</t>
        </is>
      </c>
      <c r="AA1532" s="7" t="n">
        <v>0</v>
      </c>
      <c r="AB1532" s="7" t="n"/>
      <c r="AC1532" s="7" t="n">
        <v>0</v>
      </c>
      <c r="AD1532" s="7" t="n"/>
      <c r="AE1532" s="7" t="n"/>
      <c r="AF1532" s="7" t="inlineStr">
        <is>
          <t>b9-0147</t>
        </is>
      </c>
      <c r="AG1532" s="7" t="inlineStr">
        <is>
          <t>b9-0190</t>
        </is>
      </c>
      <c r="AH1532" s="7" t="n"/>
      <c r="AI1532" s="7" t="n"/>
      <c r="AJ1532" s="7" t="n"/>
      <c r="AK1532" s="7" t="n"/>
      <c r="AL1532" s="7" t="n"/>
      <c r="AM1532" s="7" t="n">
        <v>1986.1962</v>
      </c>
      <c r="AN1532" s="10" t="n"/>
      <c r="AO1532" s="10" t="n"/>
      <c r="AP1532" s="10" t="n"/>
      <c r="AQ1532" s="10" t="n"/>
    </row>
    <row r="1533">
      <c r="A1533" s="7" t="inlineStr">
        <is>
          <t>b9-0148</t>
        </is>
      </c>
      <c r="B1533" s="7" t="inlineStr">
        <is>
          <t>Point</t>
        </is>
      </c>
      <c r="C1533" s="7" t="n"/>
      <c r="D1533" s="7" t="inlineStr">
        <is>
          <t>1986, May 26</t>
        </is>
      </c>
      <c r="E1533" s="7" t="inlineStr">
        <is>
          <t>மே 26, 1986</t>
        </is>
      </c>
      <c r="F1533" s="7" t="inlineStr">
        <is>
          <t>1986 CE</t>
        </is>
      </c>
      <c r="G1533" s="7" t="inlineStr">
        <is>
          <t>Exact</t>
        </is>
      </c>
      <c r="H1533" s="7" t="n"/>
      <c r="I1533" s="7" t="n"/>
      <c r="J1533" s="7" t="n"/>
      <c r="K1533" s="2" t="inlineStr">
        <is>
          <t>Turkey Supreme Court annuls convictions of Witnesses</t>
        </is>
      </c>
      <c r="L1533" s="2" t="inlineStr">
        <is>
          <t>தீர்ப்பின் தேதி மே 26, 1986</t>
        </is>
      </c>
      <c r="M1533" s="7" t="inlineStr">
        <is>
          <t>On May 26, 1986, the Supreme Court of Turkey annulled the convictions of 23 Witnesses and upheld their freedom of belief.</t>
        </is>
      </c>
      <c r="N1533" s="7" t="inlineStr">
        <is>
          <t>தீர்ப்பின் தேதி மே 26, 1986</t>
        </is>
      </c>
      <c r="O1533" s="13" t="inlineStr">
        <is>
          <t>Jehovah's Witnesses</t>
        </is>
      </c>
      <c r="P1533" s="7" t="inlineStr">
        <is>
          <t>jw.legal</t>
        </is>
      </c>
      <c r="Q1533" s="7" t="inlineStr">
        <is>
          <t>court_ruling</t>
        </is>
      </c>
      <c r="R1533" s="7" t="n"/>
      <c r="S1533" s="7" t="inlineStr">
        <is>
          <t>Turkey</t>
        </is>
      </c>
      <c r="T1533" s="7" t="n"/>
      <c r="U1533" s="7" t="n"/>
      <c r="V1533" s="7" t="n">
        <v>1</v>
      </c>
      <c r="W1533" s="7" t="inlineStr">
        <is>
          <t>Kingdom Preachers Take Their Case to Court</t>
        </is>
      </c>
      <c r="X1533" s="9" t="inlineStr">
        <is>
          <t>open</t>
        </is>
      </c>
      <c r="Y1533" s="9" t="inlineStr">
        <is>
          <t>open</t>
        </is>
      </c>
      <c r="Z1533" s="7" t="inlineStr">
        <is>
          <t>https://wol.jw.org/en/wol/d/r1/lp-e/1102014252</t>
        </is>
      </c>
      <c r="AA1533" s="7" t="n">
        <v>0</v>
      </c>
      <c r="AB1533" s="7" t="n"/>
      <c r="AC1533" s="7" t="n">
        <v>0</v>
      </c>
      <c r="AD1533" s="7" t="n"/>
      <c r="AE1533" s="7" t="n"/>
      <c r="AF1533" s="7" t="n"/>
      <c r="AG1533" s="7" t="n"/>
      <c r="AH1533" s="7" t="n"/>
      <c r="AI1533" s="7" t="n"/>
      <c r="AJ1533" s="7" t="n"/>
      <c r="AK1533" s="7" t="n"/>
      <c r="AL1533" s="7" t="n"/>
      <c r="AM1533" s="7" t="n">
        <v>1986.4005</v>
      </c>
      <c r="AN1533" s="10" t="n"/>
      <c r="AO1533" s="10" t="n"/>
      <c r="AP1533" s="10" t="n"/>
      <c r="AQ1533" s="10" t="n"/>
    </row>
    <row r="1534">
      <c r="A1534" s="7" t="inlineStr">
        <is>
          <t>b9-0149</t>
        </is>
      </c>
      <c r="B1534" s="7" t="inlineStr">
        <is>
          <t>Point</t>
        </is>
      </c>
      <c r="C1534" s="7" t="n"/>
      <c r="D1534" s="7" t="inlineStr">
        <is>
          <t>1987</t>
        </is>
      </c>
      <c r="E1534" s="7" t="inlineStr">
        <is>
          <t>1987</t>
        </is>
      </c>
      <c r="F1534" s="7" t="inlineStr">
        <is>
          <t>1987 CE</t>
        </is>
      </c>
      <c r="G1534" s="7" t="inlineStr">
        <is>
          <t>Before (b.)</t>
        </is>
      </c>
      <c r="H1534" s="7" t="n"/>
      <c r="I1534" s="7" t="n"/>
      <c r="J1534" s="7" t="n"/>
      <c r="K1534" s="2" t="inlineStr">
        <is>
          <t>60 Regional Building Committees in the United States</t>
        </is>
      </c>
      <c r="L1534" s="2" t="inlineStr">
        <is>
          <t>1987-க்குள் அமெரிக்காவில் மட்டும் 60 கட்டுமானக் குழுக்கள் ஏற்படுத்தப்பட்டன.a 1992-க்குள் அர்ஜென்டினா, ஆஸ்திரேலியா, தென் ஆப்பிரிக்கா,…</t>
        </is>
      </c>
      <c r="M1534" s="7" t="inlineStr">
        <is>
          <t>By 1987 there were 60 Regional Building Committees in the United States; by 1992 RBCs had also been appointed in eight other countries.</t>
        </is>
      </c>
      <c r="N1534" s="7" t="inlineStr">
        <is>
          <t>1987-க்குள் அமெரிக்காவில் மட்டும் 60 கட்டுமானக் குழுக்கள் ஏற்படுத்தப்பட்டன.a 1992-க்குள் அர்ஜென்டினா, ஆஸ்திரேலியா, தென் ஆப்பிரிக்கா, பிரான்சு, மெக்சிகோ, ஜப்பான், ஜெர்மனி, ஸ்பெயின் ஆகிய இடங்களிலும் மண்டலக் கட்டுமானக் குழுக்கள் ஏற்படுத்தப்பட்டன.</t>
        </is>
      </c>
      <c r="O1534" s="13" t="inlineStr">
        <is>
          <t>Jehovah's Witnesses</t>
        </is>
      </c>
      <c r="P1534" s="7" t="inlineStr">
        <is>
          <t>jw.construction</t>
        </is>
      </c>
      <c r="Q1534" s="7" t="inlineStr">
        <is>
          <t>statistic</t>
        </is>
      </c>
      <c r="R1534" s="7" t="n"/>
      <c r="S1534" s="7" t="n"/>
      <c r="T1534" s="7" t="n"/>
      <c r="U1534" s="7" t="n"/>
      <c r="V1534" s="7" t="n">
        <v>1</v>
      </c>
      <c r="W1534" s="7" t="inlineStr">
        <is>
          <t>Building Work That Honors Jehovah</t>
        </is>
      </c>
      <c r="X1534" s="9" t="inlineStr">
        <is>
          <t>open</t>
        </is>
      </c>
      <c r="Y1534" s="9" t="inlineStr">
        <is>
          <t>open</t>
        </is>
      </c>
      <c r="Z1534" s="7" t="inlineStr">
        <is>
          <t>https://wol.jw.org/en/wol/d/r1/lp-e/1102014258</t>
        </is>
      </c>
      <c r="AA1534" s="7" t="n">
        <v>0</v>
      </c>
      <c r="AB1534" s="7" t="n"/>
      <c r="AC1534" s="7" t="n">
        <v>0</v>
      </c>
      <c r="AD1534" s="7" t="n"/>
      <c r="AE1534" s="7" t="n"/>
      <c r="AF1534" s="7" t="n"/>
      <c r="AG1534" s="7" t="n"/>
      <c r="AH1534" s="7" t="n"/>
      <c r="AI1534" s="7" t="n"/>
      <c r="AJ1534" s="7" t="n"/>
      <c r="AK1534" s="7" t="n"/>
      <c r="AL1534" s="7" t="n"/>
      <c r="AM1534" s="7" t="n">
        <v>1986.99</v>
      </c>
      <c r="AN1534" s="10" t="n"/>
      <c r="AO1534" s="10" t="n"/>
      <c r="AP1534" s="10" t="n"/>
      <c r="AQ1534" s="10" t="n"/>
    </row>
    <row r="1535">
      <c r="A1535" s="7" t="inlineStr">
        <is>
          <t>b9-0150</t>
        </is>
      </c>
      <c r="B1535" s="7" t="inlineStr">
        <is>
          <t>Point</t>
        </is>
      </c>
      <c r="C1535" s="7" t="n"/>
      <c r="D1535" s="7" t="inlineStr">
        <is>
          <t>1987</t>
        </is>
      </c>
      <c r="E1535" s="7" t="n"/>
      <c r="F1535" s="7" t="inlineStr">
        <is>
          <t>1987 CE</t>
        </is>
      </c>
      <c r="G1535" s="7" t="inlineStr">
        <is>
          <t>Exact</t>
        </is>
      </c>
      <c r="H1535" s="7" t="n"/>
      <c r="I1535" s="7" t="n"/>
      <c r="J1535" s="7" t="n"/>
      <c r="K1535" s="2" t="inlineStr">
        <is>
          <t>Bible studies with over three million individuals</t>
        </is>
      </c>
      <c r="L1535" s="2" t="n"/>
      <c r="M1535" s="7" t="inlineStr">
        <is>
          <t>In 1987 Bible studies were being conducted with 3,005,048 individuals and family groups, and 230,843 were baptized.</t>
        </is>
      </c>
      <c r="N1535" s="7" t="n"/>
      <c r="O1535" s="13" t="inlineStr">
        <is>
          <t>Jehovah's Witnesses</t>
        </is>
      </c>
      <c r="P1535" s="7" t="inlineStr">
        <is>
          <t>jw.preaching</t>
        </is>
      </c>
      <c r="Q1535" s="7" t="inlineStr">
        <is>
          <t>statistic</t>
        </is>
      </c>
      <c r="R1535" s="7" t="n"/>
      <c r="S1535" s="7" t="n"/>
      <c r="T1535" s="7" t="n"/>
      <c r="U1535" s="7" t="n"/>
      <c r="V1535" s="7" t="n">
        <v>1</v>
      </c>
      <c r="W1535" s="7" t="inlineStr">
        <is>
          <t>Noteworthy Events in the Modern-day History of Jehovah’s Witnesses</t>
        </is>
      </c>
      <c r="X1535" s="9" t="inlineStr">
        <is>
          <t>open</t>
        </is>
      </c>
      <c r="Y1535" s="7" t="n"/>
      <c r="Z1535" s="7" t="inlineStr">
        <is>
          <t>https://wol.jw.org/en/wol/d/r1/lp-e/1101993046</t>
        </is>
      </c>
      <c r="AA1535" s="7" t="n">
        <v>0</v>
      </c>
      <c r="AB1535" s="7" t="n"/>
      <c r="AC1535" s="7" t="n">
        <v>0</v>
      </c>
      <c r="AD1535" s="7" t="n"/>
      <c r="AE1535" s="7" t="n"/>
      <c r="AF1535" s="7" t="n"/>
      <c r="AG1535" s="7" t="n"/>
      <c r="AH1535" s="7" t="n"/>
      <c r="AI1535" s="7" t="n"/>
      <c r="AJ1535" s="7" t="n"/>
      <c r="AK1535" s="7" t="n"/>
      <c r="AL1535" s="7" t="n"/>
      <c r="AM1535" s="7" t="n">
        <v>1987</v>
      </c>
      <c r="AN1535" s="10" t="n"/>
      <c r="AO1535" s="10" t="n"/>
      <c r="AP1535" s="10" t="n"/>
      <c r="AQ1535" s="10" t="n"/>
    </row>
    <row r="1536">
      <c r="A1536" s="7" t="inlineStr">
        <is>
          <t>b9-0151</t>
        </is>
      </c>
      <c r="B1536" s="7" t="inlineStr">
        <is>
          <t>Point</t>
        </is>
      </c>
      <c r="C1536" s="7" t="n"/>
      <c r="D1536" s="7" t="inlineStr">
        <is>
          <t>1987</t>
        </is>
      </c>
      <c r="E1536" s="7" t="n"/>
      <c r="F1536" s="7" t="inlineStr">
        <is>
          <t>1987 CE</t>
        </is>
      </c>
      <c r="G1536" s="7" t="inlineStr">
        <is>
          <t>Exact</t>
        </is>
      </c>
      <c r="H1536" s="7" t="n"/>
      <c r="I1536" s="7" t="n"/>
      <c r="J1536" s="7" t="n"/>
      <c r="K1536" s="2" t="inlineStr">
        <is>
          <t>Understanding clarified: Christian Jubilee</t>
        </is>
      </c>
      <c r="L1536" s="2" t="n"/>
      <c r="M1536" s="7" t="inlineStr">
        <is>
          <t>The Watch Tower Publications Index (“Beliefs Clarified,” list by year) records a clarified understanding in 1987 concerning Christian Jubilee. Index references: w06 2/15 30; w95 5/15 24; w87 1/1 19-28, 30; w87 4/15 30.</t>
        </is>
      </c>
      <c r="N1536" s="7" t="n"/>
      <c r="O1536" s="13" t="inlineStr">
        <is>
          <t>Jehovah's Witnesses</t>
        </is>
      </c>
      <c r="P1536" s="7" t="inlineStr">
        <is>
          <t>jw.doctrine</t>
        </is>
      </c>
      <c r="Q1536" s="7" t="inlineStr">
        <is>
          <t>beliefs_clarified</t>
        </is>
      </c>
      <c r="R1536" s="7" t="n"/>
      <c r="S1536" s="7" t="n"/>
      <c r="T1536" s="7" t="n"/>
      <c r="U1536" s="7" t="n"/>
      <c r="V1536" s="7" t="n">
        <v>1</v>
      </c>
      <c r="W1536" s="7" t="inlineStr">
        <is>
          <t>Beliefs Clarified</t>
        </is>
      </c>
      <c r="X1536" s="9" t="inlineStr">
        <is>
          <t>open</t>
        </is>
      </c>
      <c r="Y1536" s="7" t="n"/>
      <c r="Z1536" s="7" t="inlineStr">
        <is>
          <t>https://wol.jw.org/en/wol/d/r1/lp-e/1200277174</t>
        </is>
      </c>
      <c r="AA1536" s="7" t="n">
        <v>0</v>
      </c>
      <c r="AB1536" s="7" t="n"/>
      <c r="AC1536" s="7" t="n">
        <v>0</v>
      </c>
      <c r="AD1536" s="7" t="n"/>
      <c r="AE1536" s="7" t="n"/>
      <c r="AF1536" s="7" t="n"/>
      <c r="AG1536" s="7" t="n"/>
      <c r="AH1536" s="7" t="n"/>
      <c r="AI1536" s="7" t="inlineStr">
        <is>
          <t>Index list entry – app detail</t>
        </is>
      </c>
      <c r="AJ1536" s="7" t="n"/>
      <c r="AK1536" s="7" t="n"/>
      <c r="AL1536" s="7" t="n"/>
      <c r="AM1536" s="7" t="n">
        <v>1987</v>
      </c>
      <c r="AN1536" s="10" t="n"/>
      <c r="AO1536" s="10" t="n"/>
      <c r="AP1536" s="10" t="n"/>
      <c r="AQ1536" s="10" t="n"/>
    </row>
    <row r="1537">
      <c r="A1537" s="7" t="inlineStr">
        <is>
          <t>b9-0152</t>
        </is>
      </c>
      <c r="B1537" s="7" t="inlineStr">
        <is>
          <t>Point</t>
        </is>
      </c>
      <c r="C1537" s="7" t="n"/>
      <c r="D1537" s="7" t="inlineStr">
        <is>
          <t>1987</t>
        </is>
      </c>
      <c r="E1537" s="7" t="n"/>
      <c r="F1537" s="7" t="inlineStr">
        <is>
          <t>1987 CE</t>
        </is>
      </c>
      <c r="G1537" s="7" t="inlineStr">
        <is>
          <t>Exact</t>
        </is>
      </c>
      <c r="H1537" s="7" t="n"/>
      <c r="I1537" s="7" t="n"/>
      <c r="J1537" s="7" t="n"/>
      <c r="K1537" s="2" t="inlineStr">
        <is>
          <t>Understanding clarified: Declaration Pledging Faithfulness</t>
        </is>
      </c>
      <c r="L1537" s="2" t="n"/>
      <c r="M1537" s="7" t="inlineStr">
        <is>
          <t>The Watch Tower Publications Index (“Beliefs Clarified,” list by year) records a clarified understanding in 1987 concerning Declaration Pledging Faithfulness. Index references: w87 2/15 31.</t>
        </is>
      </c>
      <c r="N1537" s="7" t="n"/>
      <c r="O1537" s="13" t="inlineStr">
        <is>
          <t>Jehovah's Witnesses</t>
        </is>
      </c>
      <c r="P1537" s="7" t="inlineStr">
        <is>
          <t>jw.doctrine</t>
        </is>
      </c>
      <c r="Q1537" s="7" t="inlineStr">
        <is>
          <t>beliefs_clarified</t>
        </is>
      </c>
      <c r="R1537" s="7" t="n"/>
      <c r="S1537" s="7" t="n"/>
      <c r="T1537" s="7" t="n"/>
      <c r="U1537" s="7" t="n"/>
      <c r="V1537" s="7" t="n">
        <v>1</v>
      </c>
      <c r="W1537" s="7" t="inlineStr">
        <is>
          <t>Beliefs Clarified</t>
        </is>
      </c>
      <c r="X1537" s="9" t="inlineStr">
        <is>
          <t>open</t>
        </is>
      </c>
      <c r="Y1537" s="7" t="n"/>
      <c r="Z1537" s="7" t="inlineStr">
        <is>
          <t>https://wol.jw.org/en/wol/d/r1/lp-e/1200277174</t>
        </is>
      </c>
      <c r="AA1537" s="7" t="n">
        <v>0</v>
      </c>
      <c r="AB1537" s="7" t="n"/>
      <c r="AC1537" s="7" t="n">
        <v>0</v>
      </c>
      <c r="AD1537" s="7" t="n"/>
      <c r="AE1537" s="7" t="n"/>
      <c r="AF1537" s="7" t="n"/>
      <c r="AG1537" s="7" t="n"/>
      <c r="AH1537" s="7" t="n"/>
      <c r="AI1537" s="7" t="inlineStr">
        <is>
          <t>Index list entry – app detail</t>
        </is>
      </c>
      <c r="AJ1537" s="7" t="n"/>
      <c r="AK1537" s="7" t="n"/>
      <c r="AL1537" s="7" t="n"/>
      <c r="AM1537" s="7" t="n">
        <v>1987</v>
      </c>
      <c r="AN1537" s="10" t="n"/>
      <c r="AO1537" s="10" t="n"/>
      <c r="AP1537" s="10" t="n"/>
      <c r="AQ1537" s="10" t="n"/>
    </row>
    <row r="1538">
      <c r="A1538" s="7" t="inlineStr">
        <is>
          <t>b9-0153</t>
        </is>
      </c>
      <c r="B1538" s="7" t="inlineStr">
        <is>
          <t>Point</t>
        </is>
      </c>
      <c r="C1538" s="7" t="n"/>
      <c r="D1538" s="7" t="inlineStr">
        <is>
          <t>1987</t>
        </is>
      </c>
      <c r="E1538" s="7" t="n"/>
      <c r="F1538" s="7" t="inlineStr">
        <is>
          <t>1987 CE</t>
        </is>
      </c>
      <c r="G1538" s="7" t="inlineStr">
        <is>
          <t>Exact</t>
        </is>
      </c>
      <c r="H1538" s="7" t="n"/>
      <c r="I1538" s="7" t="n"/>
      <c r="J1538" s="7" t="n"/>
      <c r="K1538" s="2" t="inlineStr">
        <is>
          <t>1987: “Trust in Jehovah” District Conventions</t>
        </is>
      </c>
      <c r="L1538" s="2" t="n"/>
      <c r="M1538" s="7" t="inlineStr">
        <is>
          <t>The Watch Tower Publications Index lists the 1987 conventions of Jehovah’s Witnesses as “Trust in Jehovah” District Conventions.</t>
        </is>
      </c>
      <c r="N1538" s="7" t="n"/>
      <c r="O1538" s="13" t="inlineStr">
        <is>
          <t>Jehovah's Witnesses</t>
        </is>
      </c>
      <c r="P1538" s="7" t="inlineStr">
        <is>
          <t>jw.convention</t>
        </is>
      </c>
      <c r="Q1538" s="7" t="inlineStr">
        <is>
          <t>convention</t>
        </is>
      </c>
      <c r="R1538" s="7" t="n"/>
      <c r="S1538" s="7" t="n"/>
      <c r="T1538" s="7" t="n"/>
      <c r="U1538" s="7" t="n"/>
      <c r="V1538" s="7" t="n">
        <v>1</v>
      </c>
      <c r="W1538" s="7" t="inlineStr">
        <is>
          <t>Conventions</t>
        </is>
      </c>
      <c r="X1538" s="9" t="inlineStr">
        <is>
          <t>open</t>
        </is>
      </c>
      <c r="Y1538" s="7" t="n"/>
      <c r="Z1538" s="7" t="inlineStr">
        <is>
          <t>https://wol.jw.org/en/wol/d/r1/lp-e/1200271388</t>
        </is>
      </c>
      <c r="AA1538" s="7" t="n">
        <v>0</v>
      </c>
      <c r="AB1538" s="7" t="n"/>
      <c r="AC1538" s="7" t="n">
        <v>0</v>
      </c>
      <c r="AD1538" s="7" t="n"/>
      <c r="AE1538" s="7" t="n"/>
      <c r="AF1538" s="7" t="n"/>
      <c r="AG1538" s="7" t="n"/>
      <c r="AH1538" s="7" t="n"/>
      <c r="AI1538" s="7" t="inlineStr">
        <is>
          <t>Index list entry – app detail</t>
        </is>
      </c>
      <c r="AJ1538" s="7" t="n"/>
      <c r="AK1538" s="7" t="n"/>
      <c r="AL1538" s="7" t="n"/>
      <c r="AM1538" s="7" t="n">
        <v>1987</v>
      </c>
      <c r="AN1538" s="10" t="n"/>
      <c r="AO1538" s="10" t="n"/>
      <c r="AP1538" s="10" t="n"/>
      <c r="AQ1538" s="10" t="n"/>
    </row>
    <row r="1539">
      <c r="A1539" s="7" t="inlineStr">
        <is>
          <t>b9-0154</t>
        </is>
      </c>
      <c r="B1539" s="7" t="inlineStr">
        <is>
          <t>Point</t>
        </is>
      </c>
      <c r="C1539" s="7" t="n"/>
      <c r="D1539" s="7" t="inlineStr">
        <is>
          <t>1987, October 1</t>
        </is>
      </c>
      <c r="E1539" s="7" t="n"/>
      <c r="F1539" s="7" t="inlineStr">
        <is>
          <t>1987 CE</t>
        </is>
      </c>
      <c r="G1539" s="7" t="inlineStr">
        <is>
          <t>Exact</t>
        </is>
      </c>
      <c r="H1539" s="7" t="n"/>
      <c r="I1539" s="7" t="n"/>
      <c r="J1539" s="7" t="n"/>
      <c r="K1539" s="2" t="inlineStr">
        <is>
          <t>Ministerial Training School begins</t>
        </is>
      </c>
      <c r="L1539" s="2" t="n"/>
      <c r="M1539" s="7" t="inlineStr">
        <is>
          <t>The Ministerial Training School began operating on October 1, 1987, with its first class at Coraopolis, Pennsylvania.</t>
        </is>
      </c>
      <c r="N1539" s="7" t="n"/>
      <c r="O1539" s="13" t="inlineStr">
        <is>
          <t>Jehovah's Witnesses</t>
        </is>
      </c>
      <c r="P1539" s="7" t="inlineStr">
        <is>
          <t>jw.education</t>
        </is>
      </c>
      <c r="Q1539" s="7" t="n"/>
      <c r="R1539" s="7" t="n"/>
      <c r="S1539" s="7" t="inlineStr">
        <is>
          <t>Coraopolis, Pennsylvania</t>
        </is>
      </c>
      <c r="T1539" s="7" t="n"/>
      <c r="U1539" s="7" t="n"/>
      <c r="V1539" s="7" t="n">
        <v>1</v>
      </c>
      <c r="W1539" s="7" t="inlineStr">
        <is>
          <t>Noteworthy Events in the Modern-day History of Jehovah’s Witnesses</t>
        </is>
      </c>
      <c r="X1539" s="9" t="inlineStr">
        <is>
          <t>open</t>
        </is>
      </c>
      <c r="Y1539" s="7" t="n"/>
      <c r="Z1539" s="7" t="inlineStr">
        <is>
          <t>https://wol.jw.org/en/wol/d/r1/lp-e/1101993046</t>
        </is>
      </c>
      <c r="AA1539" s="7" t="n">
        <v>0</v>
      </c>
      <c r="AB1539" s="7" t="n"/>
      <c r="AC1539" s="7" t="n">
        <v>0</v>
      </c>
      <c r="AD1539" s="7" t="n"/>
      <c r="AE1539" s="7" t="n"/>
      <c r="AF1539" s="7" t="n"/>
      <c r="AG1539" s="7" t="n"/>
      <c r="AH1539" s="7" t="n"/>
      <c r="AI1539" s="7" t="n"/>
      <c r="AJ1539" s="7" t="n"/>
      <c r="AK1539" s="7" t="n"/>
      <c r="AL1539" s="7" t="n"/>
      <c r="AM1539" s="7" t="n">
        <v>1987.75</v>
      </c>
      <c r="AN1539" s="10" t="n"/>
      <c r="AO1539" s="10" t="n"/>
      <c r="AP1539" s="10" t="n"/>
      <c r="AQ1539" s="10" t="n"/>
    </row>
    <row r="1540">
      <c r="A1540" s="7" t="inlineStr">
        <is>
          <t>b9-0155</t>
        </is>
      </c>
      <c r="B1540" s="7" t="inlineStr">
        <is>
          <t>Point</t>
        </is>
      </c>
      <c r="C1540" s="7" t="n"/>
      <c r="D1540" s="7" t="inlineStr">
        <is>
          <t>1988</t>
        </is>
      </c>
      <c r="E1540" s="7" t="n"/>
      <c r="F1540" s="7" t="inlineStr">
        <is>
          <t>1988 CE</t>
        </is>
      </c>
      <c r="G1540" s="7" t="inlineStr">
        <is>
          <t>Exact</t>
        </is>
      </c>
      <c r="H1540" s="7" t="n"/>
      <c r="I1540" s="7" t="n"/>
      <c r="J1540" s="7" t="n"/>
      <c r="K1540" s="2" t="inlineStr">
        <is>
          <t>Understanding clarified: 144,000 sing new song before 24 elders (Rev. 14:3)</t>
        </is>
      </c>
      <c r="L1540" s="2" t="n"/>
      <c r="M1540" s="7" t="inlineStr">
        <is>
          <t>The Watch Tower Publications Index (“Beliefs Clarified,” list by year) records a clarified understanding in 1988 concerning 144,000 sing new song before 24 elders (Rev. 14:3). Index references: re 200-201.</t>
        </is>
      </c>
      <c r="N1540" s="7" t="n"/>
      <c r="O1540" s="13" t="inlineStr">
        <is>
          <t>Jehovah's Witnesses</t>
        </is>
      </c>
      <c r="P1540" s="7" t="inlineStr">
        <is>
          <t>jw.doctrine</t>
        </is>
      </c>
      <c r="Q1540" s="7" t="inlineStr">
        <is>
          <t>beliefs_clarified</t>
        </is>
      </c>
      <c r="R1540" s="7" t="n"/>
      <c r="S1540" s="7" t="n"/>
      <c r="T1540" s="7" t="inlineStr">
        <is>
          <t>Rev. 14:3</t>
        </is>
      </c>
      <c r="U1540" s="7" t="n"/>
      <c r="V1540" s="7" t="n">
        <v>1</v>
      </c>
      <c r="W1540" s="7" t="inlineStr">
        <is>
          <t>Beliefs Clarified</t>
        </is>
      </c>
      <c r="X1540" s="9" t="inlineStr">
        <is>
          <t>open</t>
        </is>
      </c>
      <c r="Y1540" s="7" t="n"/>
      <c r="Z1540" s="7" t="inlineStr">
        <is>
          <t>https://wol.jw.org/en/wol/d/r1/lp-e/1200277174</t>
        </is>
      </c>
      <c r="AA1540" s="7" t="n">
        <v>0</v>
      </c>
      <c r="AB1540" s="7" t="n"/>
      <c r="AC1540" s="7" t="n">
        <v>0</v>
      </c>
      <c r="AD1540" s="7" t="n"/>
      <c r="AE1540" s="7" t="n"/>
      <c r="AF1540" s="7" t="n"/>
      <c r="AG1540" s="7" t="n"/>
      <c r="AH1540" s="7" t="n"/>
      <c r="AI1540" s="7" t="inlineStr">
        <is>
          <t>Index list entry – app detail</t>
        </is>
      </c>
      <c r="AJ1540" s="7" t="n"/>
      <c r="AK1540" s="7" t="n"/>
      <c r="AL1540" s="7" t="n"/>
      <c r="AM1540" s="7" t="n">
        <v>1988</v>
      </c>
      <c r="AN1540" s="10" t="n"/>
      <c r="AO1540" s="10" t="n"/>
      <c r="AP1540" s="10" t="n"/>
      <c r="AQ1540" s="10" t="n"/>
    </row>
    <row r="1541">
      <c r="A1541" s="7" t="inlineStr">
        <is>
          <t>b9-0156</t>
        </is>
      </c>
      <c r="B1541" s="7" t="inlineStr">
        <is>
          <t>Point</t>
        </is>
      </c>
      <c r="C1541" s="7" t="n"/>
      <c r="D1541" s="7" t="inlineStr">
        <is>
          <t>1988</t>
        </is>
      </c>
      <c r="E1541" s="7" t="n"/>
      <c r="F1541" s="7" t="inlineStr">
        <is>
          <t>1988 CE</t>
        </is>
      </c>
      <c r="G1541" s="7" t="inlineStr">
        <is>
          <t>Exact</t>
        </is>
      </c>
      <c r="H1541" s="7" t="n"/>
      <c r="I1541" s="7" t="n"/>
      <c r="J1541" s="7" t="n"/>
      <c r="K1541" s="2" t="inlineStr">
        <is>
          <t>Understanding clarified: approved associates</t>
        </is>
      </c>
      <c r="L1541" s="2" t="n"/>
      <c r="M1541" s="7" t="inlineStr">
        <is>
          <t>The Watch Tower Publications Index (“Beliefs Clarified,” list by year) records a clarified understanding in 1988 concerning approved associates. Index references: w88 11/15 10-15, 17.</t>
        </is>
      </c>
      <c r="N1541" s="7" t="n"/>
      <c r="O1541" s="13" t="inlineStr">
        <is>
          <t>Jehovah's Witnesses</t>
        </is>
      </c>
      <c r="P1541" s="7" t="inlineStr">
        <is>
          <t>jw.doctrine</t>
        </is>
      </c>
      <c r="Q1541" s="7" t="inlineStr">
        <is>
          <t>beliefs_clarified</t>
        </is>
      </c>
      <c r="R1541" s="7" t="n"/>
      <c r="S1541" s="7" t="n"/>
      <c r="T1541" s="7" t="n"/>
      <c r="U1541" s="7" t="n"/>
      <c r="V1541" s="7" t="n">
        <v>1</v>
      </c>
      <c r="W1541" s="7" t="inlineStr">
        <is>
          <t>Beliefs Clarified</t>
        </is>
      </c>
      <c r="X1541" s="9" t="inlineStr">
        <is>
          <t>open</t>
        </is>
      </c>
      <c r="Y1541" s="7" t="n"/>
      <c r="Z1541" s="7" t="inlineStr">
        <is>
          <t>https://wol.jw.org/en/wol/d/r1/lp-e/1200277174</t>
        </is>
      </c>
      <c r="AA1541" s="7" t="n">
        <v>0</v>
      </c>
      <c r="AB1541" s="7" t="n"/>
      <c r="AC1541" s="7" t="n">
        <v>0</v>
      </c>
      <c r="AD1541" s="7" t="n"/>
      <c r="AE1541" s="7" t="n"/>
      <c r="AF1541" s="7" t="n"/>
      <c r="AG1541" s="7" t="n"/>
      <c r="AH1541" s="7" t="n"/>
      <c r="AI1541" s="7" t="inlineStr">
        <is>
          <t>Index list entry – app detail</t>
        </is>
      </c>
      <c r="AJ1541" s="7" t="n"/>
      <c r="AK1541" s="7" t="n"/>
      <c r="AL1541" s="7" t="n"/>
      <c r="AM1541" s="7" t="n">
        <v>1988</v>
      </c>
      <c r="AN1541" s="10" t="n"/>
      <c r="AO1541" s="10" t="n"/>
      <c r="AP1541" s="10" t="n"/>
      <c r="AQ1541" s="10" t="n"/>
    </row>
    <row r="1542">
      <c r="A1542" s="7" t="inlineStr">
        <is>
          <t>b9-0157</t>
        </is>
      </c>
      <c r="B1542" s="7" t="inlineStr">
        <is>
          <t>Point</t>
        </is>
      </c>
      <c r="C1542" s="7" t="n"/>
      <c r="D1542" s="7" t="inlineStr">
        <is>
          <t>1988</t>
        </is>
      </c>
      <c r="E1542" s="7" t="n"/>
      <c r="F1542" s="7" t="inlineStr">
        <is>
          <t>1988 CE</t>
        </is>
      </c>
      <c r="G1542" s="7" t="inlineStr">
        <is>
          <t>Exact</t>
        </is>
      </c>
      <c r="H1542" s="7" t="n"/>
      <c r="I1542" s="7" t="n"/>
      <c r="J1542" s="7" t="n"/>
      <c r="K1542" s="2" t="inlineStr">
        <is>
          <t>Understanding clarified: figurative heart</t>
        </is>
      </c>
      <c r="L1542" s="2" t="n"/>
      <c r="M1542" s="7" t="inlineStr">
        <is>
          <t>The Watch Tower Publications Index (“Beliefs Clarified,” list by year) records a clarified understanding in 1988 concerning figurative heart. Index references: it-1 1057-1058.</t>
        </is>
      </c>
      <c r="N1542" s="7" t="n"/>
      <c r="O1542" s="13" t="inlineStr">
        <is>
          <t>Jehovah's Witnesses</t>
        </is>
      </c>
      <c r="P1542" s="7" t="inlineStr">
        <is>
          <t>jw.doctrine</t>
        </is>
      </c>
      <c r="Q1542" s="7" t="inlineStr">
        <is>
          <t>beliefs_clarified</t>
        </is>
      </c>
      <c r="R1542" s="7" t="n"/>
      <c r="S1542" s="7" t="n"/>
      <c r="T1542" s="7" t="n"/>
      <c r="U1542" s="7" t="n"/>
      <c r="V1542" s="7" t="n">
        <v>1</v>
      </c>
      <c r="W1542" s="7" t="inlineStr">
        <is>
          <t>Beliefs Clarified</t>
        </is>
      </c>
      <c r="X1542" s="9" t="inlineStr">
        <is>
          <t>open</t>
        </is>
      </c>
      <c r="Y1542" s="7" t="n"/>
      <c r="Z1542" s="7" t="inlineStr">
        <is>
          <t>https://wol.jw.org/en/wol/d/r1/lp-e/1200277174</t>
        </is>
      </c>
      <c r="AA1542" s="7" t="n">
        <v>0</v>
      </c>
      <c r="AB1542" s="7" t="n"/>
      <c r="AC1542" s="7" t="n">
        <v>0</v>
      </c>
      <c r="AD1542" s="7" t="n"/>
      <c r="AE1542" s="7" t="n"/>
      <c r="AF1542" s="7" t="n"/>
      <c r="AG1542" s="7" t="n"/>
      <c r="AH1542" s="7" t="n"/>
      <c r="AI1542" s="7" t="inlineStr">
        <is>
          <t>Index list entry – app detail</t>
        </is>
      </c>
      <c r="AJ1542" s="7" t="n"/>
      <c r="AK1542" s="7" t="n"/>
      <c r="AL1542" s="7" t="n"/>
      <c r="AM1542" s="7" t="n">
        <v>1988</v>
      </c>
      <c r="AN1542" s="10" t="n"/>
      <c r="AO1542" s="10" t="n"/>
      <c r="AP1542" s="10" t="n"/>
      <c r="AQ1542" s="10" t="n"/>
    </row>
    <row r="1543">
      <c r="A1543" s="7" t="inlineStr">
        <is>
          <t>b9-0158</t>
        </is>
      </c>
      <c r="B1543" s="7" t="inlineStr">
        <is>
          <t>Point</t>
        </is>
      </c>
      <c r="C1543" s="7" t="n"/>
      <c r="D1543" s="7" t="inlineStr">
        <is>
          <t>1988</t>
        </is>
      </c>
      <c r="E1543" s="7" t="n"/>
      <c r="F1543" s="7" t="inlineStr">
        <is>
          <t>1988 CE</t>
        </is>
      </c>
      <c r="G1543" s="7" t="inlineStr">
        <is>
          <t>Exact</t>
        </is>
      </c>
      <c r="H1543" s="7" t="n"/>
      <c r="I1543" s="7" t="n"/>
      <c r="J1543" s="7" t="n"/>
      <c r="K1543" s="2" t="inlineStr">
        <is>
          <t>Understanding clarified: no resurrection for dead in Sodom and Gomorrah</t>
        </is>
      </c>
      <c r="L1543" s="2" t="n"/>
      <c r="M1543" s="7" t="inlineStr">
        <is>
          <t>The Watch Tower Publications Index (“Beliefs Clarified,” list by year) records a clarified understanding in 1988 concerning no resurrection for dead in Sodom and Gomorrah. Index references: w88 6/1 30-31.</t>
        </is>
      </c>
      <c r="N1543" s="7" t="n"/>
      <c r="O1543" s="13" t="inlineStr">
        <is>
          <t>Jehovah's Witnesses</t>
        </is>
      </c>
      <c r="P1543" s="7" t="inlineStr">
        <is>
          <t>jw.doctrine</t>
        </is>
      </c>
      <c r="Q1543" s="7" t="inlineStr">
        <is>
          <t>beliefs_clarified</t>
        </is>
      </c>
      <c r="R1543" s="7" t="n"/>
      <c r="S1543" s="7" t="n"/>
      <c r="T1543" s="7" t="n"/>
      <c r="U1543" s="7" t="n"/>
      <c r="V1543" s="7" t="n">
        <v>1</v>
      </c>
      <c r="W1543" s="7" t="inlineStr">
        <is>
          <t>Beliefs Clarified</t>
        </is>
      </c>
      <c r="X1543" s="9" t="inlineStr">
        <is>
          <t>open</t>
        </is>
      </c>
      <c r="Y1543" s="7" t="n"/>
      <c r="Z1543" s="7" t="inlineStr">
        <is>
          <t>https://wol.jw.org/en/wol/d/r1/lp-e/1200277174</t>
        </is>
      </c>
      <c r="AA1543" s="7" t="n">
        <v>0</v>
      </c>
      <c r="AB1543" s="7" t="n"/>
      <c r="AC1543" s="7" t="n">
        <v>0</v>
      </c>
      <c r="AD1543" s="7" t="n"/>
      <c r="AE1543" s="7" t="n"/>
      <c r="AF1543" s="7" t="n"/>
      <c r="AG1543" s="7" t="n"/>
      <c r="AH1543" s="7" t="n"/>
      <c r="AI1543" s="7" t="inlineStr">
        <is>
          <t>Index list entry – app detail</t>
        </is>
      </c>
      <c r="AJ1543" s="7" t="n"/>
      <c r="AK1543" s="7" t="n"/>
      <c r="AL1543" s="7" t="n"/>
      <c r="AM1543" s="7" t="n">
        <v>1988</v>
      </c>
      <c r="AN1543" s="10" t="n"/>
      <c r="AO1543" s="10" t="n"/>
      <c r="AP1543" s="10" t="n"/>
      <c r="AQ1543" s="10" t="n"/>
    </row>
    <row r="1544">
      <c r="A1544" s="7" t="inlineStr">
        <is>
          <t>b9-0159</t>
        </is>
      </c>
      <c r="B1544" s="7" t="inlineStr">
        <is>
          <t>Point</t>
        </is>
      </c>
      <c r="C1544" s="7" t="n"/>
      <c r="D1544" s="7" t="inlineStr">
        <is>
          <t>1988</t>
        </is>
      </c>
      <c r="E1544" s="7" t="n"/>
      <c r="F1544" s="7" t="inlineStr">
        <is>
          <t>1988 CE</t>
        </is>
      </c>
      <c r="G1544" s="7" t="inlineStr">
        <is>
          <t>Exact</t>
        </is>
      </c>
      <c r="H1544" s="7" t="n"/>
      <c r="I1544" s="7" t="n"/>
      <c r="J1544" s="7" t="n"/>
      <c r="K1544" s="2" t="inlineStr">
        <is>
          <t>Understanding clarified: parents may study with minor child who has been removed from the congregation</t>
        </is>
      </c>
      <c r="L1544" s="2" t="n"/>
      <c r="M1544" s="7" t="inlineStr">
        <is>
          <t>The Watch Tower Publications Index (“Beliefs Clarified,” list by year) records a clarified understanding in 1988 concerning parents may study with minor child who has been removed from the congregation. Index references: w88 11/15 20.</t>
        </is>
      </c>
      <c r="N1544" s="7" t="n"/>
      <c r="O1544" s="13" t="inlineStr">
        <is>
          <t>Jehovah's Witnesses</t>
        </is>
      </c>
      <c r="P1544" s="7" t="inlineStr">
        <is>
          <t>jw.doctrine</t>
        </is>
      </c>
      <c r="Q1544" s="7" t="inlineStr">
        <is>
          <t>beliefs_clarified</t>
        </is>
      </c>
      <c r="R1544" s="7" t="n"/>
      <c r="S1544" s="7" t="n"/>
      <c r="T1544" s="7" t="n"/>
      <c r="U1544" s="7" t="n"/>
      <c r="V1544" s="7" t="n">
        <v>1</v>
      </c>
      <c r="W1544" s="7" t="inlineStr">
        <is>
          <t>Beliefs Clarified</t>
        </is>
      </c>
      <c r="X1544" s="9" t="inlineStr">
        <is>
          <t>open</t>
        </is>
      </c>
      <c r="Y1544" s="7" t="n"/>
      <c r="Z1544" s="7" t="inlineStr">
        <is>
          <t>https://wol.jw.org/en/wol/d/r1/lp-e/1200277174</t>
        </is>
      </c>
      <c r="AA1544" s="7" t="n">
        <v>0</v>
      </c>
      <c r="AB1544" s="7" t="n"/>
      <c r="AC1544" s="7" t="n">
        <v>0</v>
      </c>
      <c r="AD1544" s="7" t="n"/>
      <c r="AE1544" s="7" t="n"/>
      <c r="AF1544" s="7" t="n"/>
      <c r="AG1544" s="7" t="n"/>
      <c r="AH1544" s="7" t="n"/>
      <c r="AI1544" s="7" t="inlineStr">
        <is>
          <t>Index list entry – app detail</t>
        </is>
      </c>
      <c r="AJ1544" s="7" t="n"/>
      <c r="AK1544" s="7" t="n"/>
      <c r="AL1544" s="7" t="n"/>
      <c r="AM1544" s="7" t="n">
        <v>1988</v>
      </c>
      <c r="AN1544" s="10" t="n"/>
      <c r="AO1544" s="10" t="n"/>
      <c r="AP1544" s="10" t="n"/>
      <c r="AQ1544" s="10" t="n"/>
    </row>
    <row r="1545">
      <c r="A1545" s="7" t="inlineStr">
        <is>
          <t>b9-0160</t>
        </is>
      </c>
      <c r="B1545" s="7" t="inlineStr">
        <is>
          <t>Point</t>
        </is>
      </c>
      <c r="C1545" s="7" t="n"/>
      <c r="D1545" s="7" t="inlineStr">
        <is>
          <t>1988</t>
        </is>
      </c>
      <c r="E1545" s="7" t="n"/>
      <c r="F1545" s="7" t="inlineStr">
        <is>
          <t>1988 CE</t>
        </is>
      </c>
      <c r="G1545" s="7" t="inlineStr">
        <is>
          <t>Exact</t>
        </is>
      </c>
      <c r="H1545" s="7" t="n"/>
      <c r="I1545" s="7" t="n"/>
      <c r="J1545" s="7" t="n"/>
      <c r="K1545" s="2" t="inlineStr">
        <is>
          <t>Understanding clarified: Revelation</t>
        </is>
      </c>
      <c r="L1545" s="2" t="n"/>
      <c r="M1545" s="7" t="inlineStr">
        <is>
          <t>The Watch Tower Publications Index (“Beliefs Clarified,” list by year) records a clarified understanding in 1988 concerning Revelation. Index references: w95 5/15 21; jv 148.</t>
        </is>
      </c>
      <c r="N1545" s="7" t="n"/>
      <c r="O1545" s="13" t="inlineStr">
        <is>
          <t>Jehovah's Witnesses</t>
        </is>
      </c>
      <c r="P1545" s="7" t="inlineStr">
        <is>
          <t>jw.doctrine</t>
        </is>
      </c>
      <c r="Q1545" s="7" t="inlineStr">
        <is>
          <t>beliefs_clarified</t>
        </is>
      </c>
      <c r="R1545" s="7" t="n"/>
      <c r="S1545" s="7" t="n"/>
      <c r="T1545" s="7" t="n"/>
      <c r="U1545" s="7" t="n"/>
      <c r="V1545" s="7" t="n">
        <v>1</v>
      </c>
      <c r="W1545" s="7" t="inlineStr">
        <is>
          <t>Beliefs Clarified</t>
        </is>
      </c>
      <c r="X1545" s="9" t="inlineStr">
        <is>
          <t>open</t>
        </is>
      </c>
      <c r="Y1545" s="7" t="n"/>
      <c r="Z1545" s="7" t="inlineStr">
        <is>
          <t>https://wol.jw.org/en/wol/d/r1/lp-e/1200277174</t>
        </is>
      </c>
      <c r="AA1545" s="7" t="n">
        <v>0</v>
      </c>
      <c r="AB1545" s="7" t="n"/>
      <c r="AC1545" s="7" t="n">
        <v>0</v>
      </c>
      <c r="AD1545" s="7" t="n"/>
      <c r="AE1545" s="7" t="n"/>
      <c r="AF1545" s="7" t="n"/>
      <c r="AG1545" s="7" t="n"/>
      <c r="AH1545" s="7" t="n"/>
      <c r="AI1545" s="7" t="inlineStr">
        <is>
          <t>Index list entry – app detail</t>
        </is>
      </c>
      <c r="AJ1545" s="7" t="n"/>
      <c r="AK1545" s="7" t="n"/>
      <c r="AL1545" s="7" t="n"/>
      <c r="AM1545" s="7" t="n">
        <v>1988</v>
      </c>
      <c r="AN1545" s="10" t="n"/>
      <c r="AO1545" s="10" t="n"/>
      <c r="AP1545" s="10" t="n"/>
      <c r="AQ1545" s="10" t="n"/>
    </row>
    <row r="1546">
      <c r="A1546" s="7" t="inlineStr">
        <is>
          <t>b9-0161</t>
        </is>
      </c>
      <c r="B1546" s="7" t="inlineStr">
        <is>
          <t>Point</t>
        </is>
      </c>
      <c r="C1546" s="7" t="n"/>
      <c r="D1546" s="7" t="inlineStr">
        <is>
          <t>1988</t>
        </is>
      </c>
      <c r="E1546" s="7" t="n"/>
      <c r="F1546" s="7" t="inlineStr">
        <is>
          <t>1988 CE</t>
        </is>
      </c>
      <c r="G1546" s="7" t="inlineStr">
        <is>
          <t>Exact</t>
        </is>
      </c>
      <c r="H1546" s="7" t="n"/>
      <c r="I1546" s="7" t="n"/>
      <c r="J1546" s="7" t="n"/>
      <c r="K1546" s="2" t="inlineStr">
        <is>
          <t>Understanding clarified: unbaptized publishers</t>
        </is>
      </c>
      <c r="L1546" s="2" t="n"/>
      <c r="M1546" s="7" t="inlineStr">
        <is>
          <t>The Watch Tower Publications Index (“Beliefs Clarified,” list by year) records a clarified understanding in 1988 concerning unbaptized publishers. Index references: w89 2/15 29; w88 11/15 16-20.</t>
        </is>
      </c>
      <c r="N1546" s="7" t="n"/>
      <c r="O1546" s="13" t="inlineStr">
        <is>
          <t>Jehovah's Witnesses</t>
        </is>
      </c>
      <c r="P1546" s="7" t="inlineStr">
        <is>
          <t>jw.doctrine</t>
        </is>
      </c>
      <c r="Q1546" s="7" t="inlineStr">
        <is>
          <t>beliefs_clarified</t>
        </is>
      </c>
      <c r="R1546" s="7" t="n"/>
      <c r="S1546" s="7" t="n"/>
      <c r="T1546" s="7" t="n"/>
      <c r="U1546" s="7" t="n"/>
      <c r="V1546" s="7" t="n">
        <v>1</v>
      </c>
      <c r="W1546" s="7" t="inlineStr">
        <is>
          <t>Beliefs Clarified</t>
        </is>
      </c>
      <c r="X1546" s="9" t="inlineStr">
        <is>
          <t>open</t>
        </is>
      </c>
      <c r="Y1546" s="7" t="n"/>
      <c r="Z1546" s="7" t="inlineStr">
        <is>
          <t>https://wol.jw.org/en/wol/d/r1/lp-e/1200277174</t>
        </is>
      </c>
      <c r="AA1546" s="7" t="n">
        <v>0</v>
      </c>
      <c r="AB1546" s="7" t="n"/>
      <c r="AC1546" s="7" t="n">
        <v>0</v>
      </c>
      <c r="AD1546" s="7" t="n"/>
      <c r="AE1546" s="7" t="n"/>
      <c r="AF1546" s="7" t="n"/>
      <c r="AG1546" s="7" t="n"/>
      <c r="AH1546" s="7" t="n"/>
      <c r="AI1546" s="7" t="inlineStr">
        <is>
          <t>Index list entry – app detail</t>
        </is>
      </c>
      <c r="AJ1546" s="7" t="n"/>
      <c r="AK1546" s="7" t="n"/>
      <c r="AL1546" s="7" t="n"/>
      <c r="AM1546" s="7" t="n">
        <v>1988</v>
      </c>
      <c r="AN1546" s="10" t="n"/>
      <c r="AO1546" s="10" t="n"/>
      <c r="AP1546" s="10" t="n"/>
      <c r="AQ1546" s="10" t="n"/>
    </row>
    <row r="1547">
      <c r="A1547" s="7" t="inlineStr">
        <is>
          <t>b9-0162</t>
        </is>
      </c>
      <c r="B1547" s="7" t="inlineStr">
        <is>
          <t>Point</t>
        </is>
      </c>
      <c r="C1547" s="7" t="n"/>
      <c r="D1547" s="7" t="inlineStr">
        <is>
          <t>1988</t>
        </is>
      </c>
      <c r="E1547" s="7" t="n"/>
      <c r="F1547" s="7" t="inlineStr">
        <is>
          <t>1988 CE</t>
        </is>
      </c>
      <c r="G1547" s="7" t="inlineStr">
        <is>
          <t>Exact</t>
        </is>
      </c>
      <c r="H1547" s="7" t="n"/>
      <c r="I1547" s="7" t="n"/>
      <c r="J1547" s="7" t="n"/>
      <c r="K1547" s="2" t="inlineStr">
        <is>
          <t>1988: “Divine Justice” District Conventions</t>
        </is>
      </c>
      <c r="L1547" s="2" t="n"/>
      <c r="M1547" s="7" t="inlineStr">
        <is>
          <t>The Watch Tower Publications Index lists the 1988 conventions of Jehovah’s Witnesses as “Divine Justice” District Conventions.</t>
        </is>
      </c>
      <c r="N1547" s="7" t="n"/>
      <c r="O1547" s="13" t="inlineStr">
        <is>
          <t>Jehovah's Witnesses</t>
        </is>
      </c>
      <c r="P1547" s="7" t="inlineStr">
        <is>
          <t>jw.convention</t>
        </is>
      </c>
      <c r="Q1547" s="7" t="inlineStr">
        <is>
          <t>convention</t>
        </is>
      </c>
      <c r="R1547" s="7" t="n"/>
      <c r="S1547" s="7" t="n"/>
      <c r="T1547" s="7" t="n"/>
      <c r="U1547" s="7" t="n"/>
      <c r="V1547" s="7" t="n">
        <v>1</v>
      </c>
      <c r="W1547" s="7" t="inlineStr">
        <is>
          <t>Conventions</t>
        </is>
      </c>
      <c r="X1547" s="9" t="inlineStr">
        <is>
          <t>open</t>
        </is>
      </c>
      <c r="Y1547" s="7" t="n"/>
      <c r="Z1547" s="7" t="inlineStr">
        <is>
          <t>https://wol.jw.org/en/wol/d/r1/lp-e/1200271388</t>
        </is>
      </c>
      <c r="AA1547" s="7" t="n">
        <v>0</v>
      </c>
      <c r="AB1547" s="7" t="n"/>
      <c r="AC1547" s="7" t="n">
        <v>0</v>
      </c>
      <c r="AD1547" s="7" t="n"/>
      <c r="AE1547" s="7" t="n"/>
      <c r="AF1547" s="7" t="n"/>
      <c r="AG1547" s="7" t="n"/>
      <c r="AH1547" s="7" t="n"/>
      <c r="AI1547" s="7" t="inlineStr">
        <is>
          <t>Index list entry – app detail</t>
        </is>
      </c>
      <c r="AJ1547" s="7" t="n"/>
      <c r="AK1547" s="7" t="n"/>
      <c r="AL1547" s="7" t="n"/>
      <c r="AM1547" s="7" t="n">
        <v>1988</v>
      </c>
      <c r="AN1547" s="10" t="n"/>
      <c r="AO1547" s="10" t="n"/>
      <c r="AP1547" s="10" t="n"/>
      <c r="AQ1547" s="10" t="n"/>
    </row>
    <row r="1548">
      <c r="A1548" s="7" t="inlineStr">
        <is>
          <t>b9-0163</t>
        </is>
      </c>
      <c r="B1548" s="7" t="inlineStr">
        <is>
          <t>Point</t>
        </is>
      </c>
      <c r="C1548" s="7" t="n"/>
      <c r="D1548" s="7" t="inlineStr">
        <is>
          <t>1988, June 16</t>
        </is>
      </c>
      <c r="E1548" s="7" t="n"/>
      <c r="F1548" s="7" t="inlineStr">
        <is>
          <t>1988 CE</t>
        </is>
      </c>
      <c r="G1548" s="7" t="inlineStr">
        <is>
          <t>Exact</t>
        </is>
      </c>
      <c r="H1548" s="7" t="n"/>
      <c r="I1548" s="7" t="n"/>
      <c r="J1548" s="7" t="n"/>
      <c r="K1548" s="2" t="inlineStr">
        <is>
          <t>Death of Governing Body member Martin Poetzinger</t>
        </is>
      </c>
      <c r="L1548" s="2" t="n"/>
      <c r="M1548" s="7" t="inlineStr">
        <is>
          <t>Martin Poetzinger, a member of the Governing Body, finished his earthly course on Thursday, June 16, 1988.</t>
        </is>
      </c>
      <c r="N1548" s="7" t="n"/>
      <c r="O1548" s="13" t="inlineStr">
        <is>
          <t>Jehovah's Witnesses</t>
        </is>
      </c>
      <c r="P1548" s="7" t="inlineStr">
        <is>
          <t>jw.leadership</t>
        </is>
      </c>
      <c r="Q1548" s="7" t="inlineStr">
        <is>
          <t>death</t>
        </is>
      </c>
      <c r="R1548" s="7" t="inlineStr">
        <is>
          <t>Martin Poetzinger</t>
        </is>
      </c>
      <c r="S1548" s="7" t="n"/>
      <c r="T1548" s="7" t="n"/>
      <c r="U1548" s="7" t="n"/>
      <c r="V1548" s="7" t="n">
        <v>1</v>
      </c>
      <c r="W1548" s="7" t="inlineStr">
        <is>
          <t>A Staunch Fighter for the Truth</t>
        </is>
      </c>
      <c r="X1548" s="9" t="inlineStr">
        <is>
          <t>open</t>
        </is>
      </c>
      <c r="Y1548" s="7" t="n"/>
      <c r="Z1548" s="7" t="inlineStr">
        <is>
          <t>https://wol.jw.org/en/wol/d/r1/lp-e/1988687</t>
        </is>
      </c>
      <c r="AA1548" s="7" t="n">
        <v>0</v>
      </c>
      <c r="AB1548" s="7" t="n"/>
      <c r="AC1548" s="7" t="n">
        <v>0</v>
      </c>
      <c r="AD1548" s="7" t="n"/>
      <c r="AE1548" s="7" t="n"/>
      <c r="AF1548" s="7" t="n"/>
      <c r="AG1548" s="7" t="n"/>
      <c r="AH1548" s="7" t="n"/>
      <c r="AI1548" s="7" t="inlineStr">
        <is>
          <t>Covered by span – hide on chart</t>
        </is>
      </c>
      <c r="AJ1548" s="7" t="inlineStr">
        <is>
          <t>end of Martin Poetzinger serves on the Governing Body (b12-0098)</t>
        </is>
      </c>
      <c r="AK1548" s="7" t="n"/>
      <c r="AL1548" s="7" t="n"/>
      <c r="AM1548" s="7" t="n">
        <v>1988.457</v>
      </c>
      <c r="AN1548" s="10" t="n"/>
      <c r="AO1548" s="10" t="n"/>
      <c r="AP1548" s="10" t="n"/>
      <c r="AQ1548" s="10" t="n"/>
    </row>
    <row r="1549">
      <c r="A1549" s="7" t="inlineStr">
        <is>
          <t>b9-0164</t>
        </is>
      </c>
      <c r="B1549" s="7" t="inlineStr">
        <is>
          <t>Point</t>
        </is>
      </c>
      <c r="C1549" s="7" t="n"/>
      <c r="D1549" s="7" t="inlineStr">
        <is>
          <t>1988, October 12</t>
        </is>
      </c>
      <c r="E1549" s="7" t="inlineStr">
        <is>
          <t>அக்டோபர் 12, 1988</t>
        </is>
      </c>
      <c r="F1549" s="7" t="inlineStr">
        <is>
          <t>1988 CE</t>
        </is>
      </c>
      <c r="G1549" s="7" t="inlineStr">
        <is>
          <t>Exact</t>
        </is>
      </c>
      <c r="H1549" s="7" t="n"/>
      <c r="I1549" s="7" t="n"/>
      <c r="J1549" s="7" t="n"/>
      <c r="K1549" s="2" t="inlineStr">
        <is>
          <t>Zaire government seizes branch property</t>
        </is>
      </c>
      <c r="L1549" s="2" t="inlineStr">
        <is>
          <t>அக்டோபர் 12, 1988-ல் நம் அமைப்பின் உடமைகள் பறிமுதல் செய்யப்பட்டன.</t>
        </is>
      </c>
      <c r="M1549" s="7" t="inlineStr">
        <is>
          <t>On October 12, 1988, the government of Zaire seized the organization’s belongings and the Civil Guard occupied the branch property.</t>
        </is>
      </c>
      <c r="N1549" s="7" t="inlineStr">
        <is>
          <t>அக்டோபர் 12, 1988-ல் நம் அமைப்பின் உடமைகள் பறிமுதல் செய்யப்பட்டன.</t>
        </is>
      </c>
      <c r="O1549" s="13" t="inlineStr">
        <is>
          <t>Jehovah's Witnesses</t>
        </is>
      </c>
      <c r="P1549" s="7" t="inlineStr">
        <is>
          <t>jw.persecution</t>
        </is>
      </c>
      <c r="Q1549" s="7" t="n"/>
      <c r="R1549" s="7" t="n"/>
      <c r="S1549" s="7" t="inlineStr">
        <is>
          <t>Zaire</t>
        </is>
      </c>
      <c r="T1549" s="7" t="n"/>
      <c r="U1549" s="7" t="n"/>
      <c r="V1549" s="7" t="n">
        <v>1</v>
      </c>
      <c r="W1549" s="7" t="inlineStr">
        <is>
          <t>Kingdom Preachers Take Their Case to Court</t>
        </is>
      </c>
      <c r="X1549" s="9" t="inlineStr">
        <is>
          <t>open</t>
        </is>
      </c>
      <c r="Y1549" s="9" t="inlineStr">
        <is>
          <t>open</t>
        </is>
      </c>
      <c r="Z1549" s="7" t="inlineStr">
        <is>
          <t>https://wol.jw.org/en/wol/d/r1/lp-e/1102014252</t>
        </is>
      </c>
      <c r="AA1549" s="7" t="n">
        <v>0</v>
      </c>
      <c r="AB1549" s="7" t="n"/>
      <c r="AC1549" s="7" t="n">
        <v>0</v>
      </c>
      <c r="AD1549" s="7" t="n"/>
      <c r="AE1549" s="7" t="n"/>
      <c r="AF1549" s="7" t="n"/>
      <c r="AG1549" s="7" t="n"/>
      <c r="AH1549" s="7" t="n"/>
      <c r="AI1549" s="7" t="n"/>
      <c r="AJ1549" s="7" t="n"/>
      <c r="AK1549" s="7" t="n"/>
      <c r="AL1549" s="7" t="n"/>
      <c r="AM1549" s="7" t="n">
        <v>1988.7796</v>
      </c>
      <c r="AN1549" s="10" t="n"/>
      <c r="AO1549" s="10" t="n"/>
      <c r="AP1549" s="10" t="n"/>
      <c r="AQ1549" s="10" t="n"/>
    </row>
    <row r="1550">
      <c r="A1550" s="7" t="inlineStr">
        <is>
          <t>b9-0165</t>
        </is>
      </c>
      <c r="B1550" s="7" t="inlineStr">
        <is>
          <t>Point</t>
        </is>
      </c>
      <c r="C1550" s="7" t="n"/>
      <c r="D1550" s="7" t="inlineStr">
        <is>
          <t>1989</t>
        </is>
      </c>
      <c r="E1550" s="7" t="inlineStr">
        <is>
          <t>1989</t>
        </is>
      </c>
      <c r="F1550" s="7" t="inlineStr">
        <is>
          <t>1989 CE</t>
        </is>
      </c>
      <c r="G1550" s="7" t="inlineStr">
        <is>
          <t>Before (b.)</t>
        </is>
      </c>
      <c r="H1550" s="7" t="n"/>
      <c r="I1550" s="7" t="n"/>
      <c r="J1550" s="7" t="n"/>
      <c r="K1550" s="2" t="inlineStr">
        <is>
          <t>NWT published in 11 languages</t>
        </is>
      </c>
      <c r="L1550" s="2" t="inlineStr">
        <is>
          <t>1989-க்குள் புதிய உலக மொழிபெயர்ப்பு முழுமையாகவோ பகுதியாகவோ 11 மொழிகளில் மொழிபெயர்க்கப்பட்டிருந்தது.</t>
        </is>
      </c>
      <c r="M1550" s="7" t="inlineStr">
        <is>
          <t>By 1989 the New World Translation had been published, in whole or in part, in 11 languages.</t>
        </is>
      </c>
      <c r="N1550" s="7" t="inlineStr">
        <is>
          <t>1989-க்குள் புதிய உலக மொழிபெயர்ப்பு முழுமையாகவோ பகுதியாகவோ 11 மொழிகளில் மொழிபெயர்க்கப்பட்டிருந்தது.</t>
        </is>
      </c>
      <c r="O1550" s="12" t="inlineStr">
        <is>
          <t>Bible &amp; church history</t>
        </is>
      </c>
      <c r="P1550" s="7" t="inlineStr">
        <is>
          <t>history.bible_translation</t>
        </is>
      </c>
      <c r="Q1550" s="7" t="inlineStr">
        <is>
          <t>statistic</t>
        </is>
      </c>
      <c r="R1550" s="7" t="n"/>
      <c r="S1550" s="7" t="n"/>
      <c r="T1550" s="7" t="n"/>
      <c r="U1550" s="7" t="n"/>
      <c r="V1550" s="7" t="n">
        <v>1</v>
      </c>
      <c r="W1550" s="7" t="inlineStr">
        <is>
          <t>Tools for Preaching</t>
        </is>
      </c>
      <c r="X1550" s="9" t="inlineStr">
        <is>
          <t>open</t>
        </is>
      </c>
      <c r="Y1550" s="9" t="inlineStr">
        <is>
          <t>open</t>
        </is>
      </c>
      <c r="Z1550" s="7" t="inlineStr">
        <is>
          <t>https://wol.jw.org/en/wol/d/r1/lp-e/1102014247</t>
        </is>
      </c>
      <c r="AA1550" s="7" t="n">
        <v>0</v>
      </c>
      <c r="AB1550" s="7" t="n"/>
      <c r="AC1550" s="7" t="n">
        <v>0</v>
      </c>
      <c r="AD1550" s="7" t="n"/>
      <c r="AE1550" s="7" t="n"/>
      <c r="AF1550" s="7" t="n"/>
      <c r="AG1550" s="7" t="n"/>
      <c r="AH1550" s="7" t="n"/>
      <c r="AI1550" s="7" t="n"/>
      <c r="AJ1550" s="7" t="n"/>
      <c r="AK1550" s="7" t="n"/>
      <c r="AL1550" s="7" t="n"/>
      <c r="AM1550" s="7" t="n">
        <v>1988.99</v>
      </c>
      <c r="AN1550" s="10" t="n"/>
      <c r="AO1550" s="10" t="n"/>
      <c r="AP1550" s="10" t="n"/>
      <c r="AQ1550" s="10" t="n"/>
    </row>
    <row r="1551">
      <c r="A1551" s="7" t="inlineStr">
        <is>
          <t>b9-0166</t>
        </is>
      </c>
      <c r="B1551" s="7" t="inlineStr">
        <is>
          <t>Point</t>
        </is>
      </c>
      <c r="C1551" s="7" t="n"/>
      <c r="D1551" s="7" t="inlineStr">
        <is>
          <t>1989</t>
        </is>
      </c>
      <c r="E1551" s="7" t="n"/>
      <c r="F1551" s="7" t="inlineStr">
        <is>
          <t>1989 CE</t>
        </is>
      </c>
      <c r="G1551" s="7" t="inlineStr">
        <is>
          <t>Exact</t>
        </is>
      </c>
      <c r="H1551" s="7" t="n"/>
      <c r="I1551" s="7" t="n"/>
      <c r="J1551" s="7" t="n"/>
      <c r="K1551" s="2" t="inlineStr">
        <is>
          <t>1989: “Godly Devotion” District Conventions</t>
        </is>
      </c>
      <c r="L1551" s="2" t="n"/>
      <c r="M1551" s="7" t="inlineStr">
        <is>
          <t>The Watch Tower Publications Index lists the 1989 conventions of Jehovah’s Witnesses as “Godly Devotion” District Conventions.</t>
        </is>
      </c>
      <c r="N1551" s="7" t="n"/>
      <c r="O1551" s="13" t="inlineStr">
        <is>
          <t>Jehovah's Witnesses</t>
        </is>
      </c>
      <c r="P1551" s="7" t="inlineStr">
        <is>
          <t>jw.convention</t>
        </is>
      </c>
      <c r="Q1551" s="7" t="inlineStr">
        <is>
          <t>convention</t>
        </is>
      </c>
      <c r="R1551" s="7" t="n"/>
      <c r="S1551" s="7" t="n"/>
      <c r="T1551" s="7" t="n"/>
      <c r="U1551" s="7" t="n"/>
      <c r="V1551" s="7" t="n">
        <v>1</v>
      </c>
      <c r="W1551" s="7" t="inlineStr">
        <is>
          <t>Conventions</t>
        </is>
      </c>
      <c r="X1551" s="9" t="inlineStr">
        <is>
          <t>open</t>
        </is>
      </c>
      <c r="Y1551" s="7" t="n"/>
      <c r="Z1551" s="7" t="inlineStr">
        <is>
          <t>https://wol.jw.org/en/wol/d/r1/lp-e/1200271388</t>
        </is>
      </c>
      <c r="AA1551" s="7" t="n">
        <v>0</v>
      </c>
      <c r="AB1551" s="7" t="n"/>
      <c r="AC1551" s="7" t="n">
        <v>0</v>
      </c>
      <c r="AD1551" s="7" t="n"/>
      <c r="AE1551" s="7" t="n"/>
      <c r="AF1551" s="7" t="n"/>
      <c r="AG1551" s="7" t="n"/>
      <c r="AH1551" s="7" t="n"/>
      <c r="AI1551" s="7" t="inlineStr">
        <is>
          <t>Index list entry – app detail</t>
        </is>
      </c>
      <c r="AJ1551" s="7" t="n"/>
      <c r="AK1551" s="7" t="n"/>
      <c r="AL1551" s="7" t="n"/>
      <c r="AM1551" s="7" t="n">
        <v>1989</v>
      </c>
      <c r="AN1551" s="10" t="n"/>
      <c r="AO1551" s="10" t="n"/>
      <c r="AP1551" s="10" t="n"/>
      <c r="AQ1551" s="10" t="n"/>
    </row>
    <row r="1552">
      <c r="A1552" s="7" t="inlineStr">
        <is>
          <t>b9-0167</t>
        </is>
      </c>
      <c r="B1552" s="7" t="inlineStr">
        <is>
          <t>Point</t>
        </is>
      </c>
      <c r="C1552" s="7" t="n"/>
      <c r="D1552" s="7" t="inlineStr">
        <is>
          <t>1989</t>
        </is>
      </c>
      <c r="E1552" s="7" t="n"/>
      <c r="F1552" s="7" t="inlineStr">
        <is>
          <t>1989 CE</t>
        </is>
      </c>
      <c r="G1552" s="7" t="inlineStr">
        <is>
          <t>Exact</t>
        </is>
      </c>
      <c r="H1552" s="7" t="n"/>
      <c r="I1552" s="7" t="n"/>
      <c r="J1552" s="7" t="n"/>
      <c r="K1552" s="2" t="inlineStr">
        <is>
          <t>Three international conventions held in Poland</t>
        </is>
      </c>
      <c r="L1552" s="2" t="n"/>
      <c r="M1552" s="7" t="inlineStr">
        <is>
          <t>Changing conditions in Eastern Europe made possible three large international conventions in Poland in 1989, and others in other lands in following years.</t>
        </is>
      </c>
      <c r="N1552" s="7" t="n"/>
      <c r="O1552" s="13" t="inlineStr">
        <is>
          <t>Jehovah's Witnesses</t>
        </is>
      </c>
      <c r="P1552" s="7" t="inlineStr">
        <is>
          <t>jw.convention</t>
        </is>
      </c>
      <c r="Q1552" s="7" t="n"/>
      <c r="R1552" s="7" t="n"/>
      <c r="S1552" s="7" t="inlineStr">
        <is>
          <t>Poland</t>
        </is>
      </c>
      <c r="T1552" s="7" t="n"/>
      <c r="U1552" s="7" t="n"/>
      <c r="V1552" s="7" t="n">
        <v>1</v>
      </c>
      <c r="W1552" s="7" t="inlineStr">
        <is>
          <t>Noteworthy Events in the Modern-day History of Jehovah’s Witnesses</t>
        </is>
      </c>
      <c r="X1552" s="9" t="inlineStr">
        <is>
          <t>open</t>
        </is>
      </c>
      <c r="Y1552" s="7" t="n"/>
      <c r="Z1552" s="7" t="inlineStr">
        <is>
          <t>https://wol.jw.org/en/wol/d/r1/lp-e/1101993046</t>
        </is>
      </c>
      <c r="AA1552" s="7" t="n">
        <v>0</v>
      </c>
      <c r="AB1552" s="7" t="n"/>
      <c r="AC1552" s="7" t="n">
        <v>0</v>
      </c>
      <c r="AD1552" s="7" t="n"/>
      <c r="AE1552" s="7" t="n"/>
      <c r="AF1552" s="7" t="n"/>
      <c r="AG1552" s="7" t="n"/>
      <c r="AH1552" s="7" t="n"/>
      <c r="AI1552" s="7" t="n"/>
      <c r="AJ1552" s="7" t="n"/>
      <c r="AK1552" s="7" t="n"/>
      <c r="AL1552" s="7" t="n"/>
      <c r="AM1552" s="7" t="n">
        <v>1989</v>
      </c>
      <c r="AN1552" s="10" t="n"/>
      <c r="AO1552" s="10" t="n"/>
      <c r="AP1552" s="10" t="n"/>
      <c r="AQ1552" s="10" t="n"/>
    </row>
    <row r="1553">
      <c r="A1553" s="7" t="inlineStr">
        <is>
          <t>b9-0168</t>
        </is>
      </c>
      <c r="B1553" s="7" t="inlineStr">
        <is>
          <t>Point</t>
        </is>
      </c>
      <c r="C1553" s="7" t="n"/>
      <c r="D1553" s="7" t="inlineStr">
        <is>
          <t>1990</t>
        </is>
      </c>
      <c r="E1553" s="7" t="n"/>
      <c r="F1553" s="7" t="inlineStr">
        <is>
          <t>1990 CE</t>
        </is>
      </c>
      <c r="G1553" s="7" t="inlineStr">
        <is>
          <t>Exact</t>
        </is>
      </c>
      <c r="H1553" s="7" t="n"/>
      <c r="I1553" s="7" t="n"/>
      <c r="J1553" s="7" t="n"/>
      <c r="K1553" s="2" t="inlineStr">
        <is>
          <t>1990: “Pure Language” District Conventions</t>
        </is>
      </c>
      <c r="L1553" s="2" t="n"/>
      <c r="M1553" s="7" t="inlineStr">
        <is>
          <t>The Watch Tower Publications Index lists the 1990 conventions of Jehovah’s Witnesses as “Pure Language” District Conventions.</t>
        </is>
      </c>
      <c r="N1553" s="7" t="n"/>
      <c r="O1553" s="13" t="inlineStr">
        <is>
          <t>Jehovah's Witnesses</t>
        </is>
      </c>
      <c r="P1553" s="7" t="inlineStr">
        <is>
          <t>jw.convention</t>
        </is>
      </c>
      <c r="Q1553" s="7" t="inlineStr">
        <is>
          <t>convention</t>
        </is>
      </c>
      <c r="R1553" s="7" t="n"/>
      <c r="S1553" s="7" t="n"/>
      <c r="T1553" s="7" t="n"/>
      <c r="U1553" s="7" t="n"/>
      <c r="V1553" s="7" t="n">
        <v>1</v>
      </c>
      <c r="W1553" s="7" t="inlineStr">
        <is>
          <t>Conventions</t>
        </is>
      </c>
      <c r="X1553" s="9" t="inlineStr">
        <is>
          <t>open</t>
        </is>
      </c>
      <c r="Y1553" s="7" t="n"/>
      <c r="Z1553" s="7" t="inlineStr">
        <is>
          <t>https://wol.jw.org/en/wol/d/r1/lp-e/1200271388</t>
        </is>
      </c>
      <c r="AA1553" s="7" t="n">
        <v>0</v>
      </c>
      <c r="AB1553" s="7" t="n"/>
      <c r="AC1553" s="7" t="n">
        <v>0</v>
      </c>
      <c r="AD1553" s="7" t="n"/>
      <c r="AE1553" s="7" t="n"/>
      <c r="AF1553" s="7" t="n"/>
      <c r="AG1553" s="7" t="n"/>
      <c r="AH1553" s="7" t="n"/>
      <c r="AI1553" s="7" t="inlineStr">
        <is>
          <t>Index list entry – app detail</t>
        </is>
      </c>
      <c r="AJ1553" s="7" t="n"/>
      <c r="AK1553" s="7" t="n"/>
      <c r="AL1553" s="7" t="n"/>
      <c r="AM1553" s="7" t="n">
        <v>1990</v>
      </c>
      <c r="AN1553" s="10" t="n"/>
      <c r="AO1553" s="10" t="n"/>
      <c r="AP1553" s="10" t="n"/>
      <c r="AQ1553" s="10" t="n"/>
    </row>
    <row r="1554">
      <c r="A1554" s="7" t="inlineStr">
        <is>
          <t>b9-0169</t>
        </is>
      </c>
      <c r="B1554" s="7" t="inlineStr">
        <is>
          <t>Point</t>
        </is>
      </c>
      <c r="C1554" s="7" t="n"/>
      <c r="D1554" s="7" t="inlineStr">
        <is>
          <t>1990</t>
        </is>
      </c>
      <c r="E1554" s="7" t="inlineStr">
        <is>
          <t>1990</t>
        </is>
      </c>
      <c r="F1554" s="7" t="inlineStr">
        <is>
          <t>1990 CE</t>
        </is>
      </c>
      <c r="G1554" s="7" t="inlineStr">
        <is>
          <t>Exact</t>
        </is>
      </c>
      <c r="H1554" s="7" t="n"/>
      <c r="I1554" s="7" t="n"/>
      <c r="J1554" s="7" t="n"/>
      <c r="K1554" s="2" t="inlineStr">
        <is>
          <t>Witness students expelled in the Philippines over flag salute</t>
        </is>
      </c>
      <c r="L1554" s="2" t="inlineStr">
        <is>
          <t>1990-ல், ரோயெல் எம்ப்ரலீனாக் (9 வயது),g அவனுடைய அக்கா எமலீ எம்ப்ரலீனாக் (10 வயது), மற்றும் யெகோவாவின் சாட்சிகளாக இருந்த கிட்டத்தட்ட 66…</t>
        </is>
      </c>
      <c r="M1554" s="7" t="inlineStr">
        <is>
          <t>In 1990 Roel and Emily Embralinag and about 66 other Witness students were expelled from school in the Philippines for not saluting the flag; their father petitioned the Supreme Court.</t>
        </is>
      </c>
      <c r="N1554" s="7" t="inlineStr">
        <is>
          <t>1990-ல், ரோயெல் எம்ப்ரலீனாக் (9 வயது),g அவனுடைய அக்கா எமலீ எம்ப்ரலீனாக் (10 வயது), மற்றும் யெகோவாவின் சாட்சிகளாக இருந்த கிட்டத்தட்ட 66 பிள்ளைகள் கொடி வணக்கத்தில் ஈடுபடாததால் பள்ளியிலிருந்து வெளியேற்றப்பட்டார்கள்.</t>
        </is>
      </c>
      <c r="O1554" s="13" t="inlineStr">
        <is>
          <t>Jehovah's Witnesses</t>
        </is>
      </c>
      <c r="P1554" s="7" t="inlineStr">
        <is>
          <t>jw.persecution</t>
        </is>
      </c>
      <c r="Q1554" s="7" t="n"/>
      <c r="R1554" s="7" t="inlineStr">
        <is>
          <t>Roel Embralinag; Emily Embralinag</t>
        </is>
      </c>
      <c r="S1554" s="7" t="inlineStr">
        <is>
          <t>Philippines</t>
        </is>
      </c>
      <c r="T1554" s="7" t="n"/>
      <c r="U1554" s="7" t="n"/>
      <c r="V1554" s="7" t="n">
        <v>1</v>
      </c>
      <c r="W1554" s="7" t="inlineStr">
        <is>
          <t>Loyally Supporting God’s Government and No Other</t>
        </is>
      </c>
      <c r="X1554" s="9" t="inlineStr">
        <is>
          <t>open</t>
        </is>
      </c>
      <c r="Y1554" s="9" t="inlineStr">
        <is>
          <t>open</t>
        </is>
      </c>
      <c r="Z1554" s="7" t="inlineStr">
        <is>
          <t>https://wol.jw.org/en/wol/d/r1/lp-e/1102014253</t>
        </is>
      </c>
      <c r="AA1554" s="7" t="n">
        <v>0</v>
      </c>
      <c r="AB1554" s="7" t="n"/>
      <c r="AC1554" s="7" t="n">
        <v>0</v>
      </c>
      <c r="AD1554" s="7" t="n"/>
      <c r="AE1554" s="7" t="n"/>
      <c r="AF1554" s="7" t="n"/>
      <c r="AG1554" s="7" t="n"/>
      <c r="AH1554" s="7" t="n"/>
      <c r="AI1554" s="7" t="n"/>
      <c r="AJ1554" s="7" t="n"/>
      <c r="AK1554" s="7" t="n"/>
      <c r="AL1554" s="7" t="n"/>
      <c r="AM1554" s="7" t="n">
        <v>1990</v>
      </c>
      <c r="AN1554" s="10" t="n"/>
      <c r="AO1554" s="10" t="n"/>
      <c r="AP1554" s="10" t="n"/>
      <c r="AQ1554" s="10" t="n"/>
    </row>
    <row r="1555">
      <c r="A1555" s="7" t="inlineStr">
        <is>
          <t>b9-0170</t>
        </is>
      </c>
      <c r="B1555" s="7" t="inlineStr">
        <is>
          <t>Point</t>
        </is>
      </c>
      <c r="C1555" s="7" t="n"/>
      <c r="D1555" s="7" t="inlineStr">
        <is>
          <t>1990</t>
        </is>
      </c>
      <c r="E1555" s="7" t="inlineStr">
        <is>
          <t>1990</t>
        </is>
      </c>
      <c r="F1555" s="7" t="inlineStr">
        <is>
          <t>1990 CE</t>
        </is>
      </c>
      <c r="G1555" s="7" t="inlineStr">
        <is>
          <t>Exact</t>
        </is>
      </c>
      <c r="H1555" s="7" t="n"/>
      <c r="I1555" s="7" t="n"/>
      <c r="J1555" s="7" t="n"/>
      <c r="K1555" s="2" t="inlineStr">
        <is>
          <t>Literature offered on voluntary donation basis</t>
        </is>
      </c>
      <c r="L1555" s="2" t="inlineStr">
        <is>
          <t>ஆனால் 1990-ல், ஆளும் குழு ஒரு மாற்றத்தைச் செய்தது.</t>
        </is>
      </c>
      <c r="M1555" s="7" t="inlineStr">
        <is>
          <t>In 1990 the Governing Body began to adjust the way literature is offered, moving to a voluntary donation arrangement.</t>
        </is>
      </c>
      <c r="N1555" s="7" t="inlineStr">
        <is>
          <t>ஆனால் 1990-ல், ஆளும் குழு ஒரு மாற்றத்தைச் செய்தது.</t>
        </is>
      </c>
      <c r="O1555" s="13" t="inlineStr">
        <is>
          <t>Jehovah's Witnesses</t>
        </is>
      </c>
      <c r="P1555" s="7" t="inlineStr">
        <is>
          <t>jw.organization</t>
        </is>
      </c>
      <c r="Q1555" s="7" t="n"/>
      <c r="R1555" s="7" t="n"/>
      <c r="S1555" s="7" t="n"/>
      <c r="T1555" s="7" t="n"/>
      <c r="U1555" s="7" t="n"/>
      <c r="V1555" s="7" t="n">
        <v>1</v>
      </c>
      <c r="W1555" s="7" t="inlineStr">
        <is>
          <t>How Kingdom Activities Are Financed</t>
        </is>
      </c>
      <c r="X1555" s="9" t="inlineStr">
        <is>
          <t>open</t>
        </is>
      </c>
      <c r="Y1555" s="9" t="inlineStr">
        <is>
          <t>open</t>
        </is>
      </c>
      <c r="Z1555" s="7" t="inlineStr">
        <is>
          <t>https://wol.jw.org/en/wol/d/r1/lp-e/1102014257</t>
        </is>
      </c>
      <c r="AA1555" s="7" t="n">
        <v>0</v>
      </c>
      <c r="AB1555" s="7" t="n"/>
      <c r="AC1555" s="7" t="n">
        <v>0</v>
      </c>
      <c r="AD1555" s="7" t="n"/>
      <c r="AE1555" s="7" t="n"/>
      <c r="AF1555" s="7" t="n"/>
      <c r="AG1555" s="7" t="n"/>
      <c r="AH1555" s="7" t="n"/>
      <c r="AI1555" s="7" t="n"/>
      <c r="AJ1555" s="7" t="n"/>
      <c r="AK1555" s="7" t="n"/>
      <c r="AL1555" s="7" t="n"/>
      <c r="AM1555" s="7" t="n">
        <v>1990</v>
      </c>
      <c r="AN1555" s="10" t="n"/>
      <c r="AO1555" s="10" t="n"/>
      <c r="AP1555" s="10" t="n"/>
      <c r="AQ1555" s="10" t="n"/>
    </row>
    <row r="1556">
      <c r="A1556" s="7" t="inlineStr">
        <is>
          <t>b9-0171</t>
        </is>
      </c>
      <c r="B1556" s="7" t="inlineStr">
        <is>
          <t>Point</t>
        </is>
      </c>
      <c r="C1556" s="7" t="n"/>
      <c r="D1556" s="7" t="inlineStr">
        <is>
          <t>1990</t>
        </is>
      </c>
      <c r="E1556" s="7" t="inlineStr">
        <is>
          <t>1990</t>
        </is>
      </c>
      <c r="F1556" s="7" t="inlineStr">
        <is>
          <t>1990 CE</t>
        </is>
      </c>
      <c r="G1556" s="7" t="inlineStr">
        <is>
          <t>Exact</t>
        </is>
      </c>
      <c r="H1556" s="7" t="n"/>
      <c r="I1556" s="7" t="n"/>
      <c r="J1556" s="7" t="n"/>
      <c r="K1556" s="2" t="inlineStr">
        <is>
          <t>Public discourses delivered only as talks</t>
        </is>
      </c>
      <c r="L1556" s="2" t="inlineStr">
        <is>
          <t>ஆனால், சபைகளுக்குக் கொடுக்கப்பட்ட குறிப்புத்தாளின் அடிப்படையில்தான் பேச்சுகளைக் கொடுக்க வேண்டும் என்று 1981-ல், எல்லா பேச்சாளர்களுக்கும்…</t>
        </is>
      </c>
      <c r="M1556" s="7" t="inlineStr">
        <is>
          <t>In 1990 the instructions were amended so that public discourses were delivered only as talks, without audience participation or demonstrations.</t>
        </is>
      </c>
      <c r="N1556" s="7" t="inlineStr">
        <is>
          <t>ஆனால், சபைகளுக்குக் கொடுக்கப்பட்ட குறிப்புத்தாளின் அடிப்படையில்தான் பேச்சுகளைக் கொடுக்க வேண்டும் என்று 1981-ல், எல்லா பேச்சாளர்களுக்கும் சொல்லப்பட்டது.b 1990 வரை பொதுப் பேச்சுக்கான சில குறிப்புத்தாள்களில், பேச்சுக்கு இடையே சபையாரிடம் கலந்தாலோசிக்கும்படி அல்லது நடிப்புகளுக்கு ஏற்பாடு செய்யும்படி சொல்லப்பட்டிருந்தது.</t>
        </is>
      </c>
      <c r="O1556" s="13" t="inlineStr">
        <is>
          <t>Jehovah's Witnesses</t>
        </is>
      </c>
      <c r="P1556" s="7" t="inlineStr">
        <is>
          <t>jw.organization</t>
        </is>
      </c>
      <c r="Q1556" s="7" t="n"/>
      <c r="R1556" s="7" t="n"/>
      <c r="S1556" s="7" t="n"/>
      <c r="T1556" s="7" t="n"/>
      <c r="U1556" s="7" t="n"/>
      <c r="V1556" s="7" t="n">
        <v>1</v>
      </c>
      <c r="W1556" s="7" t="inlineStr">
        <is>
          <t>Meeting Together for Worship</t>
        </is>
      </c>
      <c r="X1556" s="9" t="inlineStr">
        <is>
          <t>open</t>
        </is>
      </c>
      <c r="Y1556" s="9" t="inlineStr">
        <is>
          <t>open</t>
        </is>
      </c>
      <c r="Z1556" s="7" t="inlineStr">
        <is>
          <t>https://wol.jw.org/en/wol/d/r1/lp-e/1102014255</t>
        </is>
      </c>
      <c r="AA1556" s="7" t="n">
        <v>0</v>
      </c>
      <c r="AB1556" s="7" t="n"/>
      <c r="AC1556" s="7" t="n">
        <v>0</v>
      </c>
      <c r="AD1556" s="7" t="n"/>
      <c r="AE1556" s="7" t="n"/>
      <c r="AF1556" s="7" t="n"/>
      <c r="AG1556" s="7" t="n"/>
      <c r="AH1556" s="7" t="n"/>
      <c r="AI1556" s="7" t="n"/>
      <c r="AJ1556" s="7" t="n"/>
      <c r="AK1556" s="7" t="n"/>
      <c r="AL1556" s="7" t="n"/>
      <c r="AM1556" s="7" t="n">
        <v>1990</v>
      </c>
      <c r="AN1556" s="10" t="n"/>
      <c r="AO1556" s="10" t="n"/>
      <c r="AP1556" s="10" t="n"/>
      <c r="AQ1556" s="10" t="n"/>
    </row>
    <row r="1557">
      <c r="A1557" s="7" t="inlineStr">
        <is>
          <t>b9-0172</t>
        </is>
      </c>
      <c r="B1557" s="7" t="inlineStr">
        <is>
          <t>Point</t>
        </is>
      </c>
      <c r="C1557" s="7" t="n"/>
      <c r="D1557" s="7" t="inlineStr">
        <is>
          <t>1990</t>
        </is>
      </c>
      <c r="E1557" s="7" t="n"/>
      <c r="F1557" s="7" t="inlineStr">
        <is>
          <t>1990 CE</t>
        </is>
      </c>
      <c r="G1557" s="7" t="inlineStr">
        <is>
          <t>Exact</t>
        </is>
      </c>
      <c r="H1557" s="7" t="n"/>
      <c r="I1557" s="7" t="n"/>
      <c r="J1557" s="7" t="n"/>
      <c r="K1557" s="2" t="inlineStr">
        <is>
          <t>Kingdom publishers reach peak of 4,017,213</t>
        </is>
      </c>
      <c r="L1557" s="2" t="n"/>
      <c r="M1557" s="7" t="inlineStr">
        <is>
          <t>In 1990 Kingdom publishers reached a peak of 4,017,213, pioneers numbered 536,508, and 895,229,424 hours were spent preaching.</t>
        </is>
      </c>
      <c r="N1557" s="7" t="n"/>
      <c r="O1557" s="13" t="inlineStr">
        <is>
          <t>Jehovah's Witnesses</t>
        </is>
      </c>
      <c r="P1557" s="7" t="inlineStr">
        <is>
          <t>jw.preaching</t>
        </is>
      </c>
      <c r="Q1557" s="7" t="inlineStr">
        <is>
          <t>statistic</t>
        </is>
      </c>
      <c r="R1557" s="7" t="n"/>
      <c r="S1557" s="7" t="n"/>
      <c r="T1557" s="7" t="n"/>
      <c r="U1557" s="7" t="n"/>
      <c r="V1557" s="7" t="n">
        <v>1</v>
      </c>
      <c r="W1557" s="7" t="inlineStr">
        <is>
          <t>Noteworthy Events in the Modern-day History of Jehovah’s Witnesses</t>
        </is>
      </c>
      <c r="X1557" s="9" t="inlineStr">
        <is>
          <t>open</t>
        </is>
      </c>
      <c r="Y1557" s="7" t="n"/>
      <c r="Z1557" s="7" t="inlineStr">
        <is>
          <t>https://wol.jw.org/en/wol/d/r1/lp-e/1101993046</t>
        </is>
      </c>
      <c r="AA1557" s="7" t="n">
        <v>0</v>
      </c>
      <c r="AB1557" s="7" t="n"/>
      <c r="AC1557" s="7" t="n">
        <v>0</v>
      </c>
      <c r="AD1557" s="7" t="n"/>
      <c r="AE1557" s="7" t="n"/>
      <c r="AF1557" s="7" t="n"/>
      <c r="AG1557" s="7" t="n"/>
      <c r="AH1557" s="7" t="n"/>
      <c r="AI1557" s="7" t="n"/>
      <c r="AJ1557" s="7" t="n"/>
      <c r="AK1557" s="7" t="n"/>
      <c r="AL1557" s="7" t="n"/>
      <c r="AM1557" s="7" t="n">
        <v>1990</v>
      </c>
      <c r="AN1557" s="10" t="n"/>
      <c r="AO1557" s="10" t="n"/>
      <c r="AP1557" s="10" t="n"/>
      <c r="AQ1557" s="10" t="n"/>
    </row>
    <row r="1558">
      <c r="A1558" s="7" t="inlineStr">
        <is>
          <t>b9-0173</t>
        </is>
      </c>
      <c r="B1558" s="7" t="inlineStr">
        <is>
          <t>Point</t>
        </is>
      </c>
      <c r="C1558" s="7" t="n"/>
      <c r="D1558" s="7" t="inlineStr">
        <is>
          <t>1990</t>
        </is>
      </c>
      <c r="E1558" s="7" t="n"/>
      <c r="F1558" s="7" t="inlineStr">
        <is>
          <t>1990 CE</t>
        </is>
      </c>
      <c r="G1558" s="7" t="inlineStr">
        <is>
          <t>Exact</t>
        </is>
      </c>
      <c r="H1558" s="7" t="n"/>
      <c r="I1558" s="7" t="n"/>
      <c r="J1558" s="7" t="n"/>
      <c r="K1558" s="2" t="inlineStr">
        <is>
          <t>Restrictions lifted in lands in Africa and Eastern Europe</t>
        </is>
      </c>
      <c r="L1558" s="2" t="n"/>
      <c r="M1558" s="7" t="inlineStr">
        <is>
          <t>In 1990 the lifting of restrictions on Jehovah’s Witnesses in lands in Africa and Eastern Europe opened the way to preach to an additional 100,000,000 people.</t>
        </is>
      </c>
      <c r="N1558" s="7" t="n"/>
      <c r="O1558" s="13" t="inlineStr">
        <is>
          <t>Jehovah's Witnesses</t>
        </is>
      </c>
      <c r="P1558" s="7" t="inlineStr">
        <is>
          <t>jw.legal</t>
        </is>
      </c>
      <c r="Q1558" s="7" t="n"/>
      <c r="R1558" s="7" t="n"/>
      <c r="S1558" s="7" t="n"/>
      <c r="T1558" s="7" t="n"/>
      <c r="U1558" s="7" t="n"/>
      <c r="V1558" s="7" t="n">
        <v>1</v>
      </c>
      <c r="W1558" s="7" t="inlineStr">
        <is>
          <t>Noteworthy Events in the Modern-day History of Jehovah’s Witnesses</t>
        </is>
      </c>
      <c r="X1558" s="9" t="inlineStr">
        <is>
          <t>open</t>
        </is>
      </c>
      <c r="Y1558" s="7" t="n"/>
      <c r="Z1558" s="7" t="inlineStr">
        <is>
          <t>https://wol.jw.org/en/wol/d/r1/lp-e/1101993046</t>
        </is>
      </c>
      <c r="AA1558" s="7" t="n">
        <v>0</v>
      </c>
      <c r="AB1558" s="7" t="n"/>
      <c r="AC1558" s="7" t="n">
        <v>0</v>
      </c>
      <c r="AD1558" s="7" t="n"/>
      <c r="AE1558" s="7" t="n"/>
      <c r="AF1558" s="7" t="n"/>
      <c r="AG1558" s="7" t="n"/>
      <c r="AH1558" s="7" t="n"/>
      <c r="AI1558" s="7" t="n"/>
      <c r="AJ1558" s="7" t="n"/>
      <c r="AK1558" s="7" t="n"/>
      <c r="AL1558" s="7" t="n"/>
      <c r="AM1558" s="7" t="n">
        <v>1990</v>
      </c>
      <c r="AN1558" s="10" t="n"/>
      <c r="AO1558" s="10" t="n"/>
      <c r="AP1558" s="10" t="n"/>
      <c r="AQ1558" s="10" t="n"/>
    </row>
    <row r="1559">
      <c r="A1559" s="7" t="inlineStr">
        <is>
          <t>b9-0174</t>
        </is>
      </c>
      <c r="B1559" s="7" t="inlineStr">
        <is>
          <t>Point</t>
        </is>
      </c>
      <c r="C1559" s="7" t="n"/>
      <c r="D1559" s="7" t="inlineStr">
        <is>
          <t>1990</t>
        </is>
      </c>
      <c r="E1559" s="7" t="n"/>
      <c r="F1559" s="7" t="inlineStr">
        <is>
          <t>1990 CE</t>
        </is>
      </c>
      <c r="G1559" s="7" t="inlineStr">
        <is>
          <t>Exact</t>
        </is>
      </c>
      <c r="H1559" s="7" t="n"/>
      <c r="I1559" s="7" t="n"/>
      <c r="J1559" s="7" t="n"/>
      <c r="K1559" s="2" t="inlineStr">
        <is>
          <t>Videos begin to be used in preaching</t>
        </is>
      </c>
      <c r="L1559" s="2" t="n"/>
      <c r="M1559" s="7" t="inlineStr">
        <is>
          <t>A timeline in God’s Kingdom Rules! lists 1990 as the year videos began to be used in the ministry.</t>
        </is>
      </c>
      <c r="N1559" s="7" t="n"/>
      <c r="O1559" s="13" t="inlineStr">
        <is>
          <t>Jehovah's Witnesses</t>
        </is>
      </c>
      <c r="P1559" s="7" t="inlineStr">
        <is>
          <t>jw.preaching</t>
        </is>
      </c>
      <c r="Q1559" s="7" t="n"/>
      <c r="R1559" s="7" t="n"/>
      <c r="S1559" s="7" t="n"/>
      <c r="T1559" s="7" t="n"/>
      <c r="U1559" s="7" t="n"/>
      <c r="V1559" s="7" t="n">
        <v>1</v>
      </c>
      <c r="W1559" s="7" t="inlineStr">
        <is>
          <t>Methods of Preaching</t>
        </is>
      </c>
      <c r="X1559" s="9" t="inlineStr">
        <is>
          <t>open</t>
        </is>
      </c>
      <c r="Y1559" s="9" t="inlineStr">
        <is>
          <t>open</t>
        </is>
      </c>
      <c r="Z1559" s="7" t="inlineStr">
        <is>
          <t>https://wol.jw.org/en/wol/d/r1/lp-e/1102014246</t>
        </is>
      </c>
      <c r="AA1559" s="7" t="n">
        <v>0</v>
      </c>
      <c r="AB1559" s="7" t="n"/>
      <c r="AC1559" s="7" t="n">
        <v>0</v>
      </c>
      <c r="AD1559" s="7" t="n"/>
      <c r="AE1559" s="7" t="n"/>
      <c r="AF1559" s="7" t="n"/>
      <c r="AG1559" s="7" t="n"/>
      <c r="AH1559" s="7" t="n"/>
      <c r="AI1559" s="7" t="n"/>
      <c r="AJ1559" s="7" t="n"/>
      <c r="AK1559" s="7" t="n"/>
      <c r="AL1559" s="7" t="n"/>
      <c r="AM1559" s="7" t="n">
        <v>1990</v>
      </c>
      <c r="AN1559" s="10" t="n"/>
      <c r="AO1559" s="10" t="n"/>
      <c r="AP1559" s="10" t="n"/>
      <c r="AQ1559" s="10" t="n"/>
    </row>
    <row r="1560">
      <c r="A1560" s="7" t="inlineStr">
        <is>
          <t>b9-0175</t>
        </is>
      </c>
      <c r="B1560" s="7" t="inlineStr">
        <is>
          <t>Point</t>
        </is>
      </c>
      <c r="C1560" s="7" t="n"/>
      <c r="D1560" s="7" t="inlineStr">
        <is>
          <t>1991</t>
        </is>
      </c>
      <c r="E1560" s="7" t="n"/>
      <c r="F1560" s="7" t="inlineStr">
        <is>
          <t>1991 CE</t>
        </is>
      </c>
      <c r="G1560" s="7" t="inlineStr">
        <is>
          <t>Exact</t>
        </is>
      </c>
      <c r="H1560" s="7" t="n"/>
      <c r="I1560" s="7" t="n"/>
      <c r="J1560" s="7" t="n"/>
      <c r="K1560" s="2" t="inlineStr">
        <is>
          <t>Bans lifted in Eastern Europe and Africa</t>
        </is>
      </c>
      <c r="L1560" s="2" t="n"/>
      <c r="M1560" s="7" t="inlineStr">
        <is>
          <t>Bans lifted in Eastern Europe and Africa in 1991 made it easier to reach 390,000,000 more people with the good news.</t>
        </is>
      </c>
      <c r="N1560" s="7" t="n"/>
      <c r="O1560" s="13" t="inlineStr">
        <is>
          <t>Jehovah's Witnesses</t>
        </is>
      </c>
      <c r="P1560" s="7" t="inlineStr">
        <is>
          <t>jw.legal</t>
        </is>
      </c>
      <c r="Q1560" s="7" t="n"/>
      <c r="R1560" s="7" t="n"/>
      <c r="S1560" s="7" t="n"/>
      <c r="T1560" s="7" t="n"/>
      <c r="U1560" s="7" t="n"/>
      <c r="V1560" s="7" t="n">
        <v>1</v>
      </c>
      <c r="W1560" s="7" t="inlineStr">
        <is>
          <t>Noteworthy Events in the Modern-day History of Jehovah’s Witnesses</t>
        </is>
      </c>
      <c r="X1560" s="9" t="inlineStr">
        <is>
          <t>open</t>
        </is>
      </c>
      <c r="Y1560" s="7" t="n"/>
      <c r="Z1560" s="7" t="inlineStr">
        <is>
          <t>https://wol.jw.org/en/wol/d/r1/lp-e/1101993046</t>
        </is>
      </c>
      <c r="AA1560" s="7" t="n">
        <v>0</v>
      </c>
      <c r="AB1560" s="7" t="n"/>
      <c r="AC1560" s="7" t="n">
        <v>0</v>
      </c>
      <c r="AD1560" s="7" t="n"/>
      <c r="AE1560" s="7" t="n"/>
      <c r="AF1560" s="7" t="n"/>
      <c r="AG1560" s="7" t="n"/>
      <c r="AH1560" s="7" t="n"/>
      <c r="AI1560" s="7" t="n"/>
      <c r="AJ1560" s="7" t="n"/>
      <c r="AK1560" s="7" t="n"/>
      <c r="AL1560" s="7" t="n"/>
      <c r="AM1560" s="7" t="n">
        <v>1991</v>
      </c>
      <c r="AN1560" s="10" t="n"/>
      <c r="AO1560" s="10" t="n"/>
      <c r="AP1560" s="10" t="n"/>
      <c r="AQ1560" s="10" t="n"/>
    </row>
    <row r="1561">
      <c r="A1561" s="7" t="inlineStr">
        <is>
          <t>b9-0176</t>
        </is>
      </c>
      <c r="B1561" s="7" t="inlineStr">
        <is>
          <t>Point</t>
        </is>
      </c>
      <c r="C1561" s="7" t="n"/>
      <c r="D1561" s="7" t="inlineStr">
        <is>
          <t>1991</t>
        </is>
      </c>
      <c r="E1561" s="7" t="n"/>
      <c r="F1561" s="7" t="inlineStr">
        <is>
          <t>1991 CE</t>
        </is>
      </c>
      <c r="G1561" s="7" t="inlineStr">
        <is>
          <t>Exact</t>
        </is>
      </c>
      <c r="H1561" s="7" t="n"/>
      <c r="I1561" s="7" t="n"/>
      <c r="J1561" s="7" t="n"/>
      <c r="K1561" s="2" t="inlineStr">
        <is>
          <t>Understanding clarified: meaning of Proverbs 27:23</t>
        </is>
      </c>
      <c r="L1561" s="2" t="n"/>
      <c r="M1561" s="7" t="inlineStr">
        <is>
          <t>The Watch Tower Publications Index (“Beliefs Clarified,” list by year) records a clarified understanding in 1991 concerning meaning of Proverbs 27:23. Index references: w91 8/1 31.</t>
        </is>
      </c>
      <c r="N1561" s="7" t="n"/>
      <c r="O1561" s="13" t="inlineStr">
        <is>
          <t>Jehovah's Witnesses</t>
        </is>
      </c>
      <c r="P1561" s="7" t="inlineStr">
        <is>
          <t>jw.doctrine</t>
        </is>
      </c>
      <c r="Q1561" s="7" t="inlineStr">
        <is>
          <t>beliefs_clarified</t>
        </is>
      </c>
      <c r="R1561" s="7" t="n"/>
      <c r="S1561" s="7" t="n"/>
      <c r="T1561" s="7" t="n"/>
      <c r="U1561" s="7" t="n"/>
      <c r="V1561" s="7" t="n">
        <v>1</v>
      </c>
      <c r="W1561" s="7" t="inlineStr">
        <is>
          <t>Beliefs Clarified</t>
        </is>
      </c>
      <c r="X1561" s="9" t="inlineStr">
        <is>
          <t>open</t>
        </is>
      </c>
      <c r="Y1561" s="7" t="n"/>
      <c r="Z1561" s="7" t="inlineStr">
        <is>
          <t>https://wol.jw.org/en/wol/d/r1/lp-e/1200277174</t>
        </is>
      </c>
      <c r="AA1561" s="7" t="n">
        <v>0</v>
      </c>
      <c r="AB1561" s="7" t="n"/>
      <c r="AC1561" s="7" t="n">
        <v>0</v>
      </c>
      <c r="AD1561" s="7" t="n"/>
      <c r="AE1561" s="7" t="n"/>
      <c r="AF1561" s="7" t="n"/>
      <c r="AG1561" s="7" t="n"/>
      <c r="AH1561" s="7" t="n"/>
      <c r="AI1561" s="7" t="inlineStr">
        <is>
          <t>Index list entry – app detail</t>
        </is>
      </c>
      <c r="AJ1561" s="7" t="n"/>
      <c r="AK1561" s="7" t="n"/>
      <c r="AL1561" s="7" t="n"/>
      <c r="AM1561" s="7" t="n">
        <v>1991</v>
      </c>
      <c r="AN1561" s="10" t="n"/>
      <c r="AO1561" s="10" t="n"/>
      <c r="AP1561" s="10" t="n"/>
      <c r="AQ1561" s="10" t="n"/>
    </row>
    <row r="1562">
      <c r="A1562" s="7" t="inlineStr">
        <is>
          <t>b9-0177</t>
        </is>
      </c>
      <c r="B1562" s="7" t="inlineStr">
        <is>
          <t>Point</t>
        </is>
      </c>
      <c r="C1562" s="7" t="n"/>
      <c r="D1562" s="7" t="inlineStr">
        <is>
          <t>1991</t>
        </is>
      </c>
      <c r="E1562" s="7" t="n"/>
      <c r="F1562" s="7" t="inlineStr">
        <is>
          <t>1991 CE</t>
        </is>
      </c>
      <c r="G1562" s="7" t="inlineStr">
        <is>
          <t>Exact</t>
        </is>
      </c>
      <c r="H1562" s="7" t="n"/>
      <c r="I1562" s="7" t="n"/>
      <c r="J1562" s="7" t="n"/>
      <c r="K1562" s="2" t="inlineStr">
        <is>
          <t>1991: “Lovers of Freedom” District Conventions</t>
        </is>
      </c>
      <c r="L1562" s="2" t="n"/>
      <c r="M1562" s="7" t="inlineStr">
        <is>
          <t>The Watch Tower Publications Index lists the 1991 conventions of Jehovah’s Witnesses as “Lovers of Freedom” District Conventions.</t>
        </is>
      </c>
      <c r="N1562" s="7" t="n"/>
      <c r="O1562" s="13" t="inlineStr">
        <is>
          <t>Jehovah's Witnesses</t>
        </is>
      </c>
      <c r="P1562" s="7" t="inlineStr">
        <is>
          <t>jw.convention</t>
        </is>
      </c>
      <c r="Q1562" s="7" t="inlineStr">
        <is>
          <t>convention</t>
        </is>
      </c>
      <c r="R1562" s="7" t="n"/>
      <c r="S1562" s="7" t="n"/>
      <c r="T1562" s="7" t="n"/>
      <c r="U1562" s="7" t="n"/>
      <c r="V1562" s="7" t="n">
        <v>1</v>
      </c>
      <c r="W1562" s="7" t="inlineStr">
        <is>
          <t>Conventions</t>
        </is>
      </c>
      <c r="X1562" s="9" t="inlineStr">
        <is>
          <t>open</t>
        </is>
      </c>
      <c r="Y1562" s="7" t="n"/>
      <c r="Z1562" s="7" t="inlineStr">
        <is>
          <t>https://wol.jw.org/en/wol/d/r1/lp-e/1200271388</t>
        </is>
      </c>
      <c r="AA1562" s="7" t="n">
        <v>0</v>
      </c>
      <c r="AB1562" s="7" t="n"/>
      <c r="AC1562" s="7" t="n">
        <v>0</v>
      </c>
      <c r="AD1562" s="7" t="n"/>
      <c r="AE1562" s="7" t="n"/>
      <c r="AF1562" s="7" t="n"/>
      <c r="AG1562" s="7" t="n"/>
      <c r="AH1562" s="7" t="n"/>
      <c r="AI1562" s="7" t="inlineStr">
        <is>
          <t>Index list entry – app detail</t>
        </is>
      </c>
      <c r="AJ1562" s="7" t="n"/>
      <c r="AK1562" s="7" t="n"/>
      <c r="AL1562" s="7" t="n"/>
      <c r="AM1562" s="7" t="n">
        <v>1991</v>
      </c>
      <c r="AN1562" s="10" t="n"/>
      <c r="AO1562" s="10" t="n"/>
      <c r="AP1562" s="10" t="n"/>
      <c r="AQ1562" s="10" t="n"/>
    </row>
    <row r="1563">
      <c r="A1563" s="7" t="inlineStr">
        <is>
          <t>b9-0178</t>
        </is>
      </c>
      <c r="B1563" s="7" t="inlineStr">
        <is>
          <t>Point</t>
        </is>
      </c>
      <c r="C1563" s="7" t="n"/>
      <c r="D1563" s="7" t="inlineStr">
        <is>
          <t>1991</t>
        </is>
      </c>
      <c r="E1563" s="7" t="inlineStr">
        <is>
          <t>1991</t>
        </is>
      </c>
      <c r="F1563" s="7" t="inlineStr">
        <is>
          <t>1991 CE</t>
        </is>
      </c>
      <c r="G1563" s="7" t="inlineStr">
        <is>
          <t>Exact</t>
        </is>
      </c>
      <c r="H1563" s="7" t="n"/>
      <c r="I1563" s="7" t="n"/>
      <c r="J1563" s="7" t="n"/>
      <c r="K1563" s="2" t="inlineStr">
        <is>
          <t>Witnesses registered in the Soviet Union</t>
        </is>
      </c>
      <c r="L1563" s="2" t="inlineStr">
        <is>
          <t>ஆனால், 1991-ல் அவர்களுடைய வேலைகள் சட்டப்பூர்வமாகப் பதிவு செய்யப்பட்டன.</t>
        </is>
      </c>
      <c r="M1563" s="7" t="inlineStr">
        <is>
          <t>After decades under Communist ban, Jehovah’s Witnesses were registered in 1991.</t>
        </is>
      </c>
      <c r="N1563" s="7" t="inlineStr">
        <is>
          <t>ஆனால், 1991-ல் அவர்களுடைய வேலைகள் சட்டப்பூர்வமாகப் பதிவு செய்யப்பட்டன.</t>
        </is>
      </c>
      <c r="O1563" s="13" t="inlineStr">
        <is>
          <t>Jehovah's Witnesses</t>
        </is>
      </c>
      <c r="P1563" s="7" t="inlineStr">
        <is>
          <t>jw.legal</t>
        </is>
      </c>
      <c r="Q1563" s="7" t="n"/>
      <c r="R1563" s="7" t="n"/>
      <c r="S1563" s="7" t="inlineStr">
        <is>
          <t>Soviet Union</t>
        </is>
      </c>
      <c r="T1563" s="7" t="n"/>
      <c r="U1563" s="7" t="n"/>
      <c r="V1563" s="7" t="n">
        <v>1</v>
      </c>
      <c r="W1563" s="7" t="inlineStr">
        <is>
          <t>Fighting for Freedom to Worship</t>
        </is>
      </c>
      <c r="X1563" s="9" t="inlineStr">
        <is>
          <t>open</t>
        </is>
      </c>
      <c r="Y1563" s="9" t="inlineStr">
        <is>
          <t>open</t>
        </is>
      </c>
      <c r="Z1563" s="7" t="inlineStr">
        <is>
          <t>https://wol.jw.org/en/wol/d/r1/lp-e/1102014254</t>
        </is>
      </c>
      <c r="AA1563" s="7" t="n">
        <v>0</v>
      </c>
      <c r="AB1563" s="7" t="n"/>
      <c r="AC1563" s="7" t="n">
        <v>0</v>
      </c>
      <c r="AD1563" s="7" t="n"/>
      <c r="AE1563" s="7" t="n"/>
      <c r="AF1563" s="7" t="n"/>
      <c r="AG1563" s="7" t="n"/>
      <c r="AH1563" s="7" t="n"/>
      <c r="AI1563" s="7" t="n"/>
      <c r="AJ1563" s="7" t="n"/>
      <c r="AK1563" s="7" t="inlineStr">
        <is>
          <t>kings-north-and-south #41 (context)</t>
        </is>
      </c>
      <c r="AL1563" s="7" t="n"/>
      <c r="AM1563" s="7" t="n">
        <v>1991</v>
      </c>
      <c r="AN1563" s="10" t="n"/>
      <c r="AO1563" s="10" t="n"/>
      <c r="AP1563" s="10" t="n"/>
      <c r="AQ1563" s="10" t="n"/>
    </row>
    <row r="1564">
      <c r="A1564" s="7" t="inlineStr">
        <is>
          <t>b14-0013</t>
        </is>
      </c>
      <c r="B1564" s="7" t="inlineStr">
        <is>
          <t>Point</t>
        </is>
      </c>
      <c r="C1564" s="7" t="n"/>
      <c r="D1564" s="7" t="inlineStr">
        <is>
          <t>1991</t>
        </is>
      </c>
      <c r="E1564" s="7" t="inlineStr">
        <is>
          <t>1991</t>
        </is>
      </c>
      <c r="F1564" s="7" t="inlineStr">
        <is>
          <t>1991 CE</t>
        </is>
      </c>
      <c r="G1564" s="7" t="inlineStr">
        <is>
          <t>Exact</t>
        </is>
      </c>
      <c r="H1564" s="7" t="n"/>
      <c r="I1564" s="7" t="n"/>
      <c r="J1564" s="7" t="n"/>
      <c r="K1564" s="2" t="inlineStr">
        <is>
          <t>The Soviet Union collapses; God’s people there enjoy “a little help”</t>
        </is>
      </c>
      <c r="L1564" s="2" t="inlineStr">
        <is>
          <t>1991-ல் சோவியத் யூனியன் சிதைந்தது.</t>
        </is>
      </c>
      <c r="M1564" s="7" t="inlineStr">
        <is>
          <t>The Soviet Union collapsed in 1991. God’s people in that vast region then enjoyed “a little help” (Dan. 11:34), a period of freedom in which they could preach freely.</t>
        </is>
      </c>
      <c r="N1564" s="7" t="inlineStr">
        <is>
          <t>1991-ல் சோவியத் யூனியன் சிதைந்தது.</t>
        </is>
      </c>
      <c r="O1564" s="8" t="inlineStr">
        <is>
          <t>Bible</t>
        </is>
      </c>
      <c r="P1564" s="7" t="inlineStr">
        <is>
          <t>bible.prophecy_fulfilled</t>
        </is>
      </c>
      <c r="Q1564" s="7" t="inlineStr">
        <is>
          <t>collapse</t>
        </is>
      </c>
      <c r="R1564" s="7" t="n"/>
      <c r="S1564" s="7" t="inlineStr">
        <is>
          <t>Soviet Union</t>
        </is>
      </c>
      <c r="T1564" s="7" t="inlineStr">
        <is>
          <t>Dan. 11:34</t>
        </is>
      </c>
      <c r="U1564" s="7" t="inlineStr">
        <is>
          <t>தானி. 11:34</t>
        </is>
      </c>
      <c r="V1564" s="7" t="n">
        <v>2</v>
      </c>
      <c r="W1564" s="7" t="inlineStr">
        <is>
          <t>Rival Kings in the Time of the End</t>
        </is>
      </c>
      <c r="X1564" s="9" t="inlineStr">
        <is>
          <t>open</t>
        </is>
      </c>
      <c r="Y1564" s="9" t="inlineStr">
        <is>
          <t>open</t>
        </is>
      </c>
      <c r="Z1564" s="7" t="inlineStr">
        <is>
          <t>https://wol.jw.org/en/wol/d/r1/lp-e/2020408
https://wol.jw.org/en/wol/d/r1/lp-e/2020401</t>
        </is>
      </c>
      <c r="AA1564" s="7" t="n">
        <v>0</v>
      </c>
      <c r="AB1564" s="7" t="n"/>
      <c r="AC1564" s="7" t="n">
        <v>0</v>
      </c>
      <c r="AD1564" s="7" t="n"/>
      <c r="AE1564" s="7" t="n"/>
      <c r="AF1564" s="7" t="n"/>
      <c r="AG1564" s="7" t="n"/>
      <c r="AH1564" s="7" t="n"/>
      <c r="AI1564" s="7" t="inlineStr">
        <is>
          <t>Span endpoint – keep</t>
        </is>
      </c>
      <c r="AJ1564" s="7" t="inlineStr">
        <is>
          <t>end of The Soviet Union and its allies as “the king of the north” (b14-0012); start of Russia and its allies as “the king of the north” (b14-0014)</t>
        </is>
      </c>
      <c r="AK1564" s="7" t="inlineStr">
        <is>
          <t>kings-north-and-south #40 (fall)</t>
        </is>
      </c>
      <c r="AL1564" s="7" t="n"/>
      <c r="AM1564" s="7" t="n">
        <v>1991.9</v>
      </c>
      <c r="AN1564" s="10" t="n"/>
      <c r="AO1564" s="10" t="n"/>
      <c r="AP1564" s="10" t="n"/>
      <c r="AQ1564" s="10" t="n"/>
    </row>
    <row r="1565">
      <c r="A1565" s="7" t="inlineStr">
        <is>
          <t>b14-0014</t>
        </is>
      </c>
      <c r="B1565" s="11" t="inlineStr">
        <is>
          <t>Span</t>
        </is>
      </c>
      <c r="C1565" s="7" t="inlineStr">
        <is>
          <t>period</t>
        </is>
      </c>
      <c r="D1565" s="7" t="inlineStr">
        <is>
          <t>a. 1991–</t>
        </is>
      </c>
      <c r="E1565" s="7" t="n"/>
      <c r="F1565" s="7" t="inlineStr">
        <is>
          <t>1991 CE</t>
        </is>
      </c>
      <c r="G1565" s="7" t="inlineStr">
        <is>
          <t>After (a.)</t>
        </is>
      </c>
      <c r="H1565" s="7" t="n"/>
      <c r="I1565" s="7" t="inlineStr">
        <is>
          <t>Ongoing</t>
        </is>
      </c>
      <c r="J1565" s="7" t="n"/>
      <c r="K1565" s="2" t="inlineStr">
        <is>
          <t>Russia and its allies as “the king of the north”</t>
        </is>
      </c>
      <c r="L1565" s="2" t="inlineStr">
        <is>
          <t>அதற்குப் பிறகு, ரஷ்யாவும் அதன் கூட்டணி நாடுகளும் வடதிசை ராஜாவாக ஆனது.</t>
        </is>
      </c>
      <c r="M1565" s="7" t="inlineStr">
        <is>
          <t>After the Soviet Union collapsed in 1991, Russia and its allies gradually emerged as the king of the north. They have banned the work of Jehovah’s people and compete with the king of the south, the Anglo-American World Power (Dan. 11:40-45).</t>
        </is>
      </c>
      <c r="N1565" s="7" t="inlineStr">
        <is>
          <t>காலப்போக்கில், ரஷ்யாவும் அதன் கூட்டணிகளும் வடதிசை ராஜாவாக உருவெடுத்தன.</t>
        </is>
      </c>
      <c r="O1565" s="8" t="inlineStr">
        <is>
          <t>Bible</t>
        </is>
      </c>
      <c r="P1565" s="7" t="inlineStr">
        <is>
          <t>bible.prophecy_fulfilled</t>
        </is>
      </c>
      <c r="Q1565" s="7" t="n"/>
      <c r="R1565" s="7" t="n"/>
      <c r="S1565" s="7" t="inlineStr">
        <is>
          <t>Russia</t>
        </is>
      </c>
      <c r="T1565" s="7" t="inlineStr">
        <is>
          <t>Dan. 11:40-45</t>
        </is>
      </c>
      <c r="U1565" s="7" t="inlineStr">
        <is>
          <t>தானி. 11:40-45</t>
        </is>
      </c>
      <c r="V1565" s="7" t="n">
        <v>2</v>
      </c>
      <c r="W1565" s="7" t="inlineStr">
        <is>
          <t>Rival Kings in the Time of the End</t>
        </is>
      </c>
      <c r="X1565" s="9" t="inlineStr">
        <is>
          <t>open</t>
        </is>
      </c>
      <c r="Y1565" s="9" t="inlineStr">
        <is>
          <t>open</t>
        </is>
      </c>
      <c r="Z1565" s="7" t="inlineStr">
        <is>
          <t>https://wol.jw.org/en/wol/d/r1/lp-e/2020408
https://wol.jw.org/en/wol/d/r1/lp-e/2020401</t>
        </is>
      </c>
      <c r="AA1565" s="7" t="n">
        <v>0</v>
      </c>
      <c r="AB1565" s="7" t="n"/>
      <c r="AC1565" s="7" t="n">
        <v>0</v>
      </c>
      <c r="AD1565" s="7" t="n"/>
      <c r="AE1565" s="7" t="n"/>
      <c r="AF1565" s="7" t="inlineStr">
        <is>
          <t>b14-0013</t>
        </is>
      </c>
      <c r="AG1565" s="7" t="n"/>
      <c r="AH1565" s="7" t="n"/>
      <c r="AI1565" s="7" t="n"/>
      <c r="AJ1565" s="7" t="n"/>
      <c r="AK1565" s="7" t="inlineStr">
        <is>
          <t>kings-north-and-south #42 (item)</t>
        </is>
      </c>
      <c r="AL1565" s="7" t="inlineStr">
        <is>
          <t>jw.org gives no single start year: “in time” / “gradually” after the 1991 collapse; the Governing Body identified Russia and its allies as the king of the north in 2018 (b14-0015).</t>
        </is>
      </c>
      <c r="AM1565" s="7" t="n">
        <v>1991.95</v>
      </c>
      <c r="AN1565" s="10" t="n"/>
      <c r="AO1565" s="10" t="n"/>
      <c r="AP1565" s="10" t="n"/>
      <c r="AQ1565" s="10" t="n"/>
    </row>
    <row r="1566">
      <c r="A1566" s="7" t="inlineStr">
        <is>
          <t>b9-0179</t>
        </is>
      </c>
      <c r="B1566" s="7" t="inlineStr">
        <is>
          <t>Point</t>
        </is>
      </c>
      <c r="C1566" s="7" t="n"/>
      <c r="D1566" s="7" t="inlineStr">
        <is>
          <t>1992</t>
        </is>
      </c>
      <c r="E1566" s="7" t="n"/>
      <c r="F1566" s="7" t="inlineStr">
        <is>
          <t>1992 CE</t>
        </is>
      </c>
      <c r="G1566" s="7" t="inlineStr">
        <is>
          <t>Exact</t>
        </is>
      </c>
      <c r="H1566" s="7" t="n"/>
      <c r="I1566" s="7" t="n"/>
      <c r="J1566" s="7" t="n"/>
      <c r="K1566" s="2" t="inlineStr">
        <is>
          <t>Understanding clarified: Nethinim and sons of the servants of Solomon after exile</t>
        </is>
      </c>
      <c r="L1566" s="2" t="n"/>
      <c r="M1566" s="7" t="inlineStr">
        <is>
          <t>The Watch Tower Publications Index (“Beliefs Clarified,” list by year) records a clarified understanding in 1992 concerning Nethinim and sons of the servants of Solomon after exile. Index references: w92 4/15 12-17, 31.</t>
        </is>
      </c>
      <c r="N1566" s="7" t="n"/>
      <c r="O1566" s="13" t="inlineStr">
        <is>
          <t>Jehovah's Witnesses</t>
        </is>
      </c>
      <c r="P1566" s="7" t="inlineStr">
        <is>
          <t>jw.doctrine</t>
        </is>
      </c>
      <c r="Q1566" s="7" t="inlineStr">
        <is>
          <t>beliefs_clarified</t>
        </is>
      </c>
      <c r="R1566" s="7" t="n"/>
      <c r="S1566" s="7" t="n"/>
      <c r="T1566" s="7" t="n"/>
      <c r="U1566" s="7" t="n"/>
      <c r="V1566" s="7" t="n">
        <v>1</v>
      </c>
      <c r="W1566" s="7" t="inlineStr">
        <is>
          <t>Beliefs Clarified</t>
        </is>
      </c>
      <c r="X1566" s="9" t="inlineStr">
        <is>
          <t>open</t>
        </is>
      </c>
      <c r="Y1566" s="7" t="n"/>
      <c r="Z1566" s="7" t="inlineStr">
        <is>
          <t>https://wol.jw.org/en/wol/d/r1/lp-e/1200277174</t>
        </is>
      </c>
      <c r="AA1566" s="7" t="n">
        <v>0</v>
      </c>
      <c r="AB1566" s="7" t="n"/>
      <c r="AC1566" s="7" t="n">
        <v>0</v>
      </c>
      <c r="AD1566" s="7" t="n"/>
      <c r="AE1566" s="7" t="n"/>
      <c r="AF1566" s="7" t="n"/>
      <c r="AG1566" s="7" t="n"/>
      <c r="AH1566" s="7" t="n"/>
      <c r="AI1566" s="7" t="inlineStr">
        <is>
          <t>Index list entry – app detail</t>
        </is>
      </c>
      <c r="AJ1566" s="7" t="n"/>
      <c r="AK1566" s="7" t="n"/>
      <c r="AL1566" s="7" t="n"/>
      <c r="AM1566" s="7" t="n">
        <v>1992</v>
      </c>
      <c r="AN1566" s="10" t="n"/>
      <c r="AO1566" s="10" t="n"/>
      <c r="AP1566" s="10" t="n"/>
      <c r="AQ1566" s="10" t="n"/>
    </row>
    <row r="1567">
      <c r="A1567" s="7" t="inlineStr">
        <is>
          <t>b9-0180</t>
        </is>
      </c>
      <c r="B1567" s="7" t="inlineStr">
        <is>
          <t>Point</t>
        </is>
      </c>
      <c r="C1567" s="7" t="n"/>
      <c r="D1567" s="7" t="inlineStr">
        <is>
          <t>1992</t>
        </is>
      </c>
      <c r="E1567" s="7" t="n"/>
      <c r="F1567" s="7" t="inlineStr">
        <is>
          <t>1992 CE</t>
        </is>
      </c>
      <c r="G1567" s="7" t="inlineStr">
        <is>
          <t>Exact</t>
        </is>
      </c>
      <c r="H1567" s="7" t="n"/>
      <c r="I1567" s="7" t="n"/>
      <c r="J1567" s="7" t="n"/>
      <c r="K1567" s="2" t="inlineStr">
        <is>
          <t>4,472,787 share in Kingdom proclamation in 229 lands</t>
        </is>
      </c>
      <c r="L1567" s="2" t="n"/>
      <c r="M1567" s="7" t="inlineStr">
        <is>
          <t>Proclaimers describes 1992 as the greatest witness ever given: 4,472,787 publishers in 229 lands, 605,610 pioneers monthly, over a billion hours, 4,278,127 Bible studies, and 301,002 baptized.</t>
        </is>
      </c>
      <c r="N1567" s="7" t="n"/>
      <c r="O1567" s="13" t="inlineStr">
        <is>
          <t>Jehovah's Witnesses</t>
        </is>
      </c>
      <c r="P1567" s="7" t="inlineStr">
        <is>
          <t>jw.preaching</t>
        </is>
      </c>
      <c r="Q1567" s="7" t="inlineStr">
        <is>
          <t>statistic</t>
        </is>
      </c>
      <c r="R1567" s="7" t="n"/>
      <c r="S1567" s="7" t="n"/>
      <c r="T1567" s="7" t="n"/>
      <c r="U1567" s="7" t="n"/>
      <c r="V1567" s="7" t="n">
        <v>1</v>
      </c>
      <c r="W1567" s="7" t="inlineStr">
        <is>
          <t>Noteworthy Events in the Modern-day History of Jehovah’s Witnesses</t>
        </is>
      </c>
      <c r="X1567" s="9" t="inlineStr">
        <is>
          <t>open</t>
        </is>
      </c>
      <c r="Y1567" s="7" t="n"/>
      <c r="Z1567" s="7" t="inlineStr">
        <is>
          <t>https://wol.jw.org/en/wol/d/r1/lp-e/1101993046</t>
        </is>
      </c>
      <c r="AA1567" s="7" t="n">
        <v>0</v>
      </c>
      <c r="AB1567" s="7" t="n"/>
      <c r="AC1567" s="7" t="n">
        <v>0</v>
      </c>
      <c r="AD1567" s="7" t="n"/>
      <c r="AE1567" s="7" t="n"/>
      <c r="AF1567" s="7" t="n"/>
      <c r="AG1567" s="7" t="n"/>
      <c r="AH1567" s="7" t="n"/>
      <c r="AI1567" s="7" t="n"/>
      <c r="AJ1567" s="7" t="n"/>
      <c r="AK1567" s="7" t="n"/>
      <c r="AL1567" s="7" t="n"/>
      <c r="AM1567" s="7" t="n">
        <v>1992</v>
      </c>
      <c r="AN1567" s="10" t="n"/>
      <c r="AO1567" s="10" t="n"/>
      <c r="AP1567" s="10" t="n"/>
      <c r="AQ1567" s="10" t="n"/>
    </row>
    <row r="1568">
      <c r="A1568" s="7" t="inlineStr">
        <is>
          <t>b9-0181</t>
        </is>
      </c>
      <c r="B1568" s="7" t="inlineStr">
        <is>
          <t>Point</t>
        </is>
      </c>
      <c r="C1568" s="7" t="n"/>
      <c r="D1568" s="7" t="inlineStr">
        <is>
          <t>1992</t>
        </is>
      </c>
      <c r="E1568" s="7" t="n"/>
      <c r="F1568" s="7" t="inlineStr">
        <is>
          <t>1992 CE</t>
        </is>
      </c>
      <c r="G1568" s="7" t="inlineStr">
        <is>
          <t>Exact</t>
        </is>
      </c>
      <c r="H1568" s="7" t="n"/>
      <c r="I1568" s="7" t="n"/>
      <c r="J1568" s="7" t="n"/>
      <c r="K1568" s="2" t="inlineStr">
        <is>
          <t>“Light Bearers” Convention in St. Petersburg</t>
        </is>
      </c>
      <c r="L1568" s="2" t="n"/>
      <c r="M1568" s="7" t="inlineStr">
        <is>
          <t>The 1992 “Light Bearers” Convention included the first international convention of Jehovah’s Witnesses held in the former Soviet Union, in St. Petersburg, Russia.</t>
        </is>
      </c>
      <c r="N1568" s="7" t="n"/>
      <c r="O1568" s="13" t="inlineStr">
        <is>
          <t>Jehovah's Witnesses</t>
        </is>
      </c>
      <c r="P1568" s="7" t="inlineStr">
        <is>
          <t>jw.convention</t>
        </is>
      </c>
      <c r="Q1568" s="7" t="inlineStr">
        <is>
          <t>convention</t>
        </is>
      </c>
      <c r="R1568" s="7" t="n"/>
      <c r="S1568" s="7" t="inlineStr">
        <is>
          <t>St. Petersburg, Russia</t>
        </is>
      </c>
      <c r="T1568" s="7" t="n"/>
      <c r="U1568" s="7" t="n"/>
      <c r="V1568" s="7" t="n">
        <v>2</v>
      </c>
      <c r="W1568" s="7" t="inlineStr">
        <is>
          <t>Meeting Together for Worship</t>
        </is>
      </c>
      <c r="X1568" s="9" t="inlineStr">
        <is>
          <t>open</t>
        </is>
      </c>
      <c r="Y1568" s="9" t="inlineStr">
        <is>
          <t>open</t>
        </is>
      </c>
      <c r="Z1568" s="7" t="inlineStr">
        <is>
          <t>https://wol.jw.org/en/wol/d/r1/lp-e/1102014255
https://wol.jw.org/en/wol/d/r1/lp-e/1200271388</t>
        </is>
      </c>
      <c r="AA1568" s="7" t="n">
        <v>0</v>
      </c>
      <c r="AB1568" s="7" t="n"/>
      <c r="AC1568" s="7" t="n">
        <v>0</v>
      </c>
      <c r="AD1568" s="7" t="n"/>
      <c r="AE1568" s="7" t="n"/>
      <c r="AF1568" s="7" t="n"/>
      <c r="AG1568" s="7" t="n"/>
      <c r="AH1568" s="7" t="n"/>
      <c r="AI1568" s="7" t="n"/>
      <c r="AJ1568" s="7" t="n"/>
      <c r="AK1568" s="7" t="n"/>
      <c r="AL1568" s="7" t="n"/>
      <c r="AM1568" s="7" t="n">
        <v>1992</v>
      </c>
      <c r="AN1568" s="10" t="n"/>
      <c r="AO1568" s="10" t="n"/>
      <c r="AP1568" s="10" t="n"/>
      <c r="AQ1568" s="10" t="n"/>
    </row>
    <row r="1569">
      <c r="A1569" s="7" t="inlineStr">
        <is>
          <t>b9-0182</t>
        </is>
      </c>
      <c r="B1569" s="7" t="inlineStr">
        <is>
          <t>Point</t>
        </is>
      </c>
      <c r="C1569" s="7" t="n"/>
      <c r="D1569" s="7" t="inlineStr">
        <is>
          <t>1992</t>
        </is>
      </c>
      <c r="E1569" s="7" t="n"/>
      <c r="F1569" s="7" t="inlineStr">
        <is>
          <t>1992 CE</t>
        </is>
      </c>
      <c r="G1569" s="7" t="inlineStr">
        <is>
          <t>Exact</t>
        </is>
      </c>
      <c r="H1569" s="7" t="n"/>
      <c r="I1569" s="7" t="n"/>
      <c r="J1569" s="7" t="n"/>
      <c r="K1569" s="2" t="inlineStr">
        <is>
          <t>Watchtower printed in 111 languages, Awake! in 67</t>
        </is>
      </c>
      <c r="L1569" s="2" t="n"/>
      <c r="M1569" s="7" t="inlineStr">
        <is>
          <t>In 1992 The Watchtower had an average printing of 15,570,000 in 111 languages, and Awake! an average of 13,110,000 in 67 languages.</t>
        </is>
      </c>
      <c r="N1569" s="7" t="n"/>
      <c r="O1569" s="13" t="inlineStr">
        <is>
          <t>Jehovah's Witnesses</t>
        </is>
      </c>
      <c r="P1569" s="7" t="inlineStr">
        <is>
          <t>jw.publication</t>
        </is>
      </c>
      <c r="Q1569" s="7" t="inlineStr">
        <is>
          <t>statistic</t>
        </is>
      </c>
      <c r="R1569" s="7" t="n"/>
      <c r="S1569" s="7" t="n"/>
      <c r="T1569" s="7" t="n"/>
      <c r="U1569" s="7" t="n"/>
      <c r="V1569" s="7" t="n">
        <v>1</v>
      </c>
      <c r="W1569" s="7" t="inlineStr">
        <is>
          <t>Noteworthy Events in the Modern-day History of Jehovah’s Witnesses</t>
        </is>
      </c>
      <c r="X1569" s="9" t="inlineStr">
        <is>
          <t>open</t>
        </is>
      </c>
      <c r="Y1569" s="7" t="n"/>
      <c r="Z1569" s="7" t="inlineStr">
        <is>
          <t>https://wol.jw.org/en/wol/d/r1/lp-e/1101993046</t>
        </is>
      </c>
      <c r="AA1569" s="7" t="n">
        <v>0</v>
      </c>
      <c r="AB1569" s="7" t="n"/>
      <c r="AC1569" s="7" t="n">
        <v>0</v>
      </c>
      <c r="AD1569" s="7" t="n"/>
      <c r="AE1569" s="7" t="n"/>
      <c r="AF1569" s="7" t="n"/>
      <c r="AG1569" s="7" t="n"/>
      <c r="AH1569" s="7" t="n"/>
      <c r="AI1569" s="7" t="n"/>
      <c r="AJ1569" s="7" t="n"/>
      <c r="AK1569" s="7" t="n"/>
      <c r="AL1569" s="7" t="n"/>
      <c r="AM1569" s="7" t="n">
        <v>1992</v>
      </c>
      <c r="AN1569" s="10" t="n"/>
      <c r="AO1569" s="10" t="n"/>
      <c r="AP1569" s="10" t="n"/>
      <c r="AQ1569" s="10" t="n"/>
    </row>
    <row r="1570">
      <c r="A1570" s="7" t="inlineStr">
        <is>
          <t>b9-0183</t>
        </is>
      </c>
      <c r="B1570" s="7" t="inlineStr">
        <is>
          <t>Point</t>
        </is>
      </c>
      <c r="C1570" s="7" t="n"/>
      <c r="D1570" s="7" t="inlineStr">
        <is>
          <t>1992</t>
        </is>
      </c>
      <c r="E1570" s="7" t="inlineStr">
        <is>
          <t>1992</t>
        </is>
      </c>
      <c r="F1570" s="7" t="inlineStr">
        <is>
          <t>1992 CE</t>
        </is>
      </c>
      <c r="G1570" s="7" t="inlineStr">
        <is>
          <t>Exact</t>
        </is>
      </c>
      <c r="H1570" s="7" t="n"/>
      <c r="I1570" s="7" t="n"/>
      <c r="J1570" s="7" t="n"/>
      <c r="K1570" s="2" t="inlineStr">
        <is>
          <t>Ohio Supreme Court considers custody case</t>
        </is>
      </c>
      <c r="L1570" s="2" t="inlineStr">
        <is>
          <t>1992-ல் ஒஹாயோ உச்ச நீதிமன்றம் அந்த வழக்கை விசாரணை செய்தது.</t>
        </is>
      </c>
      <c r="M1570" s="7" t="inlineStr">
        <is>
          <t>In 1992 the Supreme Court of Ohio considered a case in which a non-Witness father claimed that raising his son as a Witness would be harmful.</t>
        </is>
      </c>
      <c r="N1570" s="7" t="inlineStr">
        <is>
          <t>1992-ல் ஒஹாயோ உச்ச நீதிமன்றம் அந்த வழக்கை விசாரணை செய்தது.</t>
        </is>
      </c>
      <c r="O1570" s="13" t="inlineStr">
        <is>
          <t>Jehovah's Witnesses</t>
        </is>
      </c>
      <c r="P1570" s="7" t="inlineStr">
        <is>
          <t>jw.legal</t>
        </is>
      </c>
      <c r="Q1570" s="7" t="n"/>
      <c r="R1570" s="7" t="n"/>
      <c r="S1570" s="7" t="inlineStr">
        <is>
          <t>Ohio, U.S.A.</t>
        </is>
      </c>
      <c r="T1570" s="7" t="n"/>
      <c r="U1570" s="7" t="n"/>
      <c r="V1570" s="7" t="n">
        <v>1</v>
      </c>
      <c r="W1570" s="7" t="inlineStr">
        <is>
          <t>Fighting for Freedom to Worship</t>
        </is>
      </c>
      <c r="X1570" s="9" t="inlineStr">
        <is>
          <t>open</t>
        </is>
      </c>
      <c r="Y1570" s="9" t="inlineStr">
        <is>
          <t>open</t>
        </is>
      </c>
      <c r="Z1570" s="7" t="inlineStr">
        <is>
          <t>https://wol.jw.org/en/wol/d/r1/lp-e/1102014254</t>
        </is>
      </c>
      <c r="AA1570" s="7" t="n">
        <v>0</v>
      </c>
      <c r="AB1570" s="7" t="n"/>
      <c r="AC1570" s="7" t="n">
        <v>0</v>
      </c>
      <c r="AD1570" s="7" t="n"/>
      <c r="AE1570" s="7" t="n"/>
      <c r="AF1570" s="7" t="n"/>
      <c r="AG1570" s="7" t="n"/>
      <c r="AH1570" s="7" t="n"/>
      <c r="AI1570" s="7" t="n"/>
      <c r="AJ1570" s="7" t="n"/>
      <c r="AK1570" s="7" t="n"/>
      <c r="AL1570" s="7" t="n"/>
      <c r="AM1570" s="7" t="n">
        <v>1992</v>
      </c>
      <c r="AN1570" s="10" t="n"/>
      <c r="AO1570" s="10" t="n"/>
      <c r="AP1570" s="10" t="n"/>
      <c r="AQ1570" s="10" t="n"/>
    </row>
    <row r="1571">
      <c r="A1571" s="7" t="inlineStr">
        <is>
          <t>b9-0184</t>
        </is>
      </c>
      <c r="B1571" s="7" t="inlineStr">
        <is>
          <t>Point</t>
        </is>
      </c>
      <c r="C1571" s="7" t="n"/>
      <c r="D1571" s="7" t="inlineStr">
        <is>
          <t>1992</t>
        </is>
      </c>
      <c r="E1571" s="7" t="inlineStr">
        <is>
          <t>1992</t>
        </is>
      </c>
      <c r="F1571" s="7" t="inlineStr">
        <is>
          <t>1992 CE</t>
        </is>
      </c>
      <c r="G1571" s="7" t="inlineStr">
        <is>
          <t>Exact</t>
        </is>
      </c>
      <c r="H1571" s="7" t="n"/>
      <c r="I1571" s="7" t="n"/>
      <c r="J1571" s="7" t="n"/>
      <c r="K1571" s="2" t="inlineStr">
        <is>
          <t>Legal recognition in the Russian Federation</t>
        </is>
      </c>
      <c r="L1571" s="2" t="inlineStr">
        <is>
          <t>முன்னாள் சோவியத் யூனியன் பிளவுபட்ட பிறகு, 1992-ல் ரஷ்ய அரசாங்கம் நமக்குச் சட்டப்பூர்வ அங்கீகாரம் கொடுத்தது.</t>
        </is>
      </c>
      <c r="M1571" s="7" t="inlineStr">
        <is>
          <t>After the breakup of the Soviet Union, Jehovah’s Witnesses were granted legal recognition in the Russian Federation in 1992.</t>
        </is>
      </c>
      <c r="N1571" s="7" t="inlineStr">
        <is>
          <t>முன்னாள் சோவியத் யூனியன் பிளவுபட்ட பிறகு, 1992-ல் ரஷ்ய அரசாங்கம் நமக்குச் சட்டப்பூர்வ அங்கீகாரம் கொடுத்தது.</t>
        </is>
      </c>
      <c r="O1571" s="13" t="inlineStr">
        <is>
          <t>Jehovah's Witnesses</t>
        </is>
      </c>
      <c r="P1571" s="7" t="inlineStr">
        <is>
          <t>jw.legal</t>
        </is>
      </c>
      <c r="Q1571" s="7" t="n"/>
      <c r="R1571" s="7" t="n"/>
      <c r="S1571" s="7" t="inlineStr">
        <is>
          <t>Russia</t>
        </is>
      </c>
      <c r="T1571" s="7" t="n"/>
      <c r="U1571" s="7" t="n"/>
      <c r="V1571" s="7" t="n">
        <v>1</v>
      </c>
      <c r="W1571" s="7" t="inlineStr">
        <is>
          <t>Fighting for Freedom to Worship</t>
        </is>
      </c>
      <c r="X1571" s="9" t="inlineStr">
        <is>
          <t>open</t>
        </is>
      </c>
      <c r="Y1571" s="9" t="inlineStr">
        <is>
          <t>open</t>
        </is>
      </c>
      <c r="Z1571" s="7" t="inlineStr">
        <is>
          <t>https://wol.jw.org/en/wol/d/r1/lp-e/1102014254</t>
        </is>
      </c>
      <c r="AA1571" s="7" t="n">
        <v>0</v>
      </c>
      <c r="AB1571" s="7" t="n"/>
      <c r="AC1571" s="7" t="n">
        <v>0</v>
      </c>
      <c r="AD1571" s="7" t="n"/>
      <c r="AE1571" s="7" t="n"/>
      <c r="AF1571" s="7" t="n"/>
      <c r="AG1571" s="7" t="n"/>
      <c r="AH1571" s="7" t="n"/>
      <c r="AI1571" s="7" t="n"/>
      <c r="AJ1571" s="7" t="n"/>
      <c r="AK1571" s="7" t="n"/>
      <c r="AL1571" s="7" t="n"/>
      <c r="AM1571" s="7" t="n">
        <v>1992</v>
      </c>
      <c r="AN1571" s="10" t="n"/>
      <c r="AO1571" s="10" t="n"/>
      <c r="AP1571" s="10" t="n"/>
      <c r="AQ1571" s="10" t="n"/>
    </row>
    <row r="1572">
      <c r="A1572" s="7" t="inlineStr">
        <is>
          <t>b9-0185</t>
        </is>
      </c>
      <c r="B1572" s="7" t="inlineStr">
        <is>
          <t>Point</t>
        </is>
      </c>
      <c r="C1572" s="7" t="n"/>
      <c r="D1572" s="7" t="inlineStr">
        <is>
          <t>1992, December 22</t>
        </is>
      </c>
      <c r="E1572" s="7" t="n"/>
      <c r="F1572" s="7" t="inlineStr">
        <is>
          <t>1992 CE</t>
        </is>
      </c>
      <c r="G1572" s="7" t="inlineStr">
        <is>
          <t>Exact</t>
        </is>
      </c>
      <c r="H1572" s="7" t="n"/>
      <c r="I1572" s="7" t="n"/>
      <c r="J1572" s="7" t="n"/>
      <c r="K1572" s="2" t="inlineStr">
        <is>
          <t>Death of Frederick W. Franz</t>
        </is>
      </c>
      <c r="L1572" s="2" t="n"/>
      <c r="M1572" s="7" t="inlineStr">
        <is>
          <t>Frederick William Franz, president of the Watch Tower Society, finished his earthly course on the morning of December 22, 1992.</t>
        </is>
      </c>
      <c r="N1572" s="7" t="n"/>
      <c r="O1572" s="13" t="inlineStr">
        <is>
          <t>Jehovah's Witnesses</t>
        </is>
      </c>
      <c r="P1572" s="7" t="inlineStr">
        <is>
          <t>jw.leadership</t>
        </is>
      </c>
      <c r="Q1572" s="7" t="inlineStr">
        <is>
          <t>death</t>
        </is>
      </c>
      <c r="R1572" s="7" t="inlineStr">
        <is>
          <t>Frederick W. Franz</t>
        </is>
      </c>
      <c r="S1572" s="7" t="n"/>
      <c r="T1572" s="7" t="n"/>
      <c r="U1572" s="7" t="n"/>
      <c r="V1572" s="7" t="n">
        <v>1</v>
      </c>
      <c r="W1572" s="7" t="inlineStr">
        <is>
          <t>Rewarded With “the Crown of Life”</t>
        </is>
      </c>
      <c r="X1572" s="9" t="inlineStr">
        <is>
          <t>open</t>
        </is>
      </c>
      <c r="Y1572" s="7" t="n"/>
      <c r="Z1572" s="7" t="inlineStr">
        <is>
          <t>https://wol.jw.org/en/wol/d/r1/lp-e/1993207</t>
        </is>
      </c>
      <c r="AA1572" s="7" t="n">
        <v>0</v>
      </c>
      <c r="AB1572" s="7" t="n"/>
      <c r="AC1572" s="7" t="n">
        <v>0</v>
      </c>
      <c r="AD1572" s="7" t="n"/>
      <c r="AE1572" s="7" t="n"/>
      <c r="AF1572" s="7" t="n"/>
      <c r="AG1572" s="7" t="n"/>
      <c r="AH1572" s="7" t="n"/>
      <c r="AI1572" s="7" t="inlineStr">
        <is>
          <t>Covered by span – hide on chart</t>
        </is>
      </c>
      <c r="AJ1572" s="7" t="inlineStr">
        <is>
          <t>end of F. W. Franz, fourth president of the Watch Tower Society (b12-0097)</t>
        </is>
      </c>
      <c r="AK1572" s="7" t="n"/>
      <c r="AL1572" s="7" t="n"/>
      <c r="AM1572" s="7" t="n">
        <v>1992.9731</v>
      </c>
      <c r="AN1572" s="10" t="n"/>
      <c r="AO1572" s="10" t="n"/>
      <c r="AP1572" s="10" t="n"/>
      <c r="AQ1572" s="10" t="n"/>
    </row>
    <row r="1573">
      <c r="A1573" s="7" t="inlineStr">
        <is>
          <t>b9-0186</t>
        </is>
      </c>
      <c r="B1573" s="7" t="inlineStr">
        <is>
          <t>Point</t>
        </is>
      </c>
      <c r="C1573" s="7" t="n"/>
      <c r="D1573" s="7" t="inlineStr">
        <is>
          <t>1992, December 30</t>
        </is>
      </c>
      <c r="E1573" s="7" t="n"/>
      <c r="F1573" s="7" t="inlineStr">
        <is>
          <t>1992 CE</t>
        </is>
      </c>
      <c r="G1573" s="7" t="inlineStr">
        <is>
          <t>Exact</t>
        </is>
      </c>
      <c r="H1573" s="7" t="n"/>
      <c r="I1573" s="7" t="n"/>
      <c r="J1573" s="7" t="n"/>
      <c r="K1573" s="2" t="inlineStr">
        <is>
          <t>Milton G. Henschel chosen fifth president</t>
        </is>
      </c>
      <c r="L1573" s="2" t="n"/>
      <c r="M1573" s="7" t="inlineStr">
        <is>
          <t>On December 30, 1992, Milton G. Henschel was chosen as the Watch Tower Society’s fifth president, succeeding Frederick W. Franz.</t>
        </is>
      </c>
      <c r="N1573" s="7" t="n"/>
      <c r="O1573" s="13" t="inlineStr">
        <is>
          <t>Jehovah's Witnesses</t>
        </is>
      </c>
      <c r="P1573" s="7" t="inlineStr">
        <is>
          <t>jw.leadership</t>
        </is>
      </c>
      <c r="Q1573" s="7" t="inlineStr">
        <is>
          <t>appointment</t>
        </is>
      </c>
      <c r="R1573" s="7" t="inlineStr">
        <is>
          <t>Milton G. Henschel</t>
        </is>
      </c>
      <c r="S1573" s="7" t="n"/>
      <c r="T1573" s="7" t="n"/>
      <c r="U1573" s="7" t="n"/>
      <c r="V1573" s="7" t="n">
        <v>1</v>
      </c>
      <c r="W1573" s="7" t="inlineStr">
        <is>
          <t>Rewarded With “the Crown of Life”</t>
        </is>
      </c>
      <c r="X1573" s="9" t="inlineStr">
        <is>
          <t>open</t>
        </is>
      </c>
      <c r="Y1573" s="7" t="n"/>
      <c r="Z1573" s="7" t="inlineStr">
        <is>
          <t>https://wol.jw.org/en/wol/d/r1/lp-e/1993207</t>
        </is>
      </c>
      <c r="AA1573" s="7" t="n">
        <v>0</v>
      </c>
      <c r="AB1573" s="7" t="n"/>
      <c r="AC1573" s="7" t="n">
        <v>0</v>
      </c>
      <c r="AD1573" s="7" t="n"/>
      <c r="AE1573" s="7" t="n"/>
      <c r="AF1573" s="7" t="n"/>
      <c r="AG1573" s="7" t="n"/>
      <c r="AH1573" s="7" t="n"/>
      <c r="AI1573" s="7" t="inlineStr">
        <is>
          <t>Covered by span – hide on chart</t>
        </is>
      </c>
      <c r="AJ1573" s="7" t="inlineStr">
        <is>
          <t>start of M. G. Henschel, fifth president of the Watch Tower Society (b12-0100)</t>
        </is>
      </c>
      <c r="AK1573" s="7" t="n"/>
      <c r="AL1573" s="7" t="n"/>
      <c r="AM1573" s="7" t="n">
        <v>1992.9946</v>
      </c>
      <c r="AN1573" s="10" t="n"/>
      <c r="AO1573" s="10" t="n"/>
      <c r="AP1573" s="10" t="n"/>
      <c r="AQ1573" s="10" t="n"/>
    </row>
    <row r="1574">
      <c r="A1574" s="7" t="inlineStr">
        <is>
          <t>b12-0100</t>
        </is>
      </c>
      <c r="B1574" s="11" t="inlineStr">
        <is>
          <t>Span</t>
        </is>
      </c>
      <c r="C1574" s="7" t="inlineStr">
        <is>
          <t>office</t>
        </is>
      </c>
      <c r="D1574" s="7" t="inlineStr">
        <is>
          <t>December 30, 1992–(end not dated)</t>
        </is>
      </c>
      <c r="E1574" s="7" t="n"/>
      <c r="F1574" s="7" t="inlineStr">
        <is>
          <t>1992 CE</t>
        </is>
      </c>
      <c r="G1574" s="7" t="inlineStr">
        <is>
          <t>Exact</t>
        </is>
      </c>
      <c r="H1574" s="7" t="n"/>
      <c r="I1574" s="7" t="inlineStr">
        <is>
          <t>Not stated</t>
        </is>
      </c>
      <c r="J1574" s="7" t="n"/>
      <c r="K1574" s="2" t="inlineStr">
        <is>
          <t>M. G. Henschel, fifth president of the Watch Tower Society</t>
        </is>
      </c>
      <c r="L1574" s="2" t="n"/>
      <c r="M1574" s="7" t="inlineStr">
        <is>
          <t>Milton G. Henschel, longtime secretary to N. H. Knorr, was chosen as the Society’s fifth president to succeed F. W. Franz.</t>
        </is>
      </c>
      <c r="N1574" s="7" t="n"/>
      <c r="O1574" s="13" t="inlineStr">
        <is>
          <t>Jehovah's Witnesses</t>
        </is>
      </c>
      <c r="P1574" s="7" t="inlineStr">
        <is>
          <t>jw.leadership</t>
        </is>
      </c>
      <c r="Q1574" s="7" t="n"/>
      <c r="R1574" s="7" t="inlineStr">
        <is>
          <t>Milton G. Henschel</t>
        </is>
      </c>
      <c r="S1574" s="7" t="n"/>
      <c r="T1574" s="7" t="n"/>
      <c r="U1574" s="7" t="n"/>
      <c r="V1574" s="7" t="n">
        <v>1</v>
      </c>
      <c r="W1574" s="7" t="inlineStr">
        <is>
          <t>Rewarded With “the Crown of Life”</t>
        </is>
      </c>
      <c r="X1574" s="9" t="inlineStr">
        <is>
          <t>open</t>
        </is>
      </c>
      <c r="Y1574" s="7" t="n"/>
      <c r="Z1574" s="7" t="inlineStr">
        <is>
          <t>https://wol.jw.org/en/wol/d/r1/lp-e/1993207</t>
        </is>
      </c>
      <c r="AA1574" s="7" t="n">
        <v>0</v>
      </c>
      <c r="AB1574" s="7" t="n"/>
      <c r="AC1574" s="7" t="n">
        <v>0</v>
      </c>
      <c r="AD1574" s="7" t="n"/>
      <c r="AE1574" s="7" t="n"/>
      <c r="AF1574" s="7" t="inlineStr">
        <is>
          <t>b9-0186</t>
        </is>
      </c>
      <c r="AG1574" s="7" t="n"/>
      <c r="AH1574" s="7" t="n"/>
      <c r="AI1574" s="7" t="n"/>
      <c r="AJ1574" s="7" t="n"/>
      <c r="AK1574" s="7" t="inlineStr">
        <is>
          <t>watch-tower-presidents #5 (ruler)</t>
        </is>
      </c>
      <c r="AL1574" s="7" t="inlineStr">
        <is>
          <t>No jw.org page found that dates the end of Henschel’s presidency. End sort_key 2003.22 is only an upper bound for ordering: he died on March 22, 2003 (The Watchtower, August 15, 2003, “He Loved Kindness”).</t>
        </is>
      </c>
      <c r="AM1574" s="7" t="n">
        <v>1992.9946</v>
      </c>
      <c r="AN1574" s="10" t="n"/>
      <c r="AO1574" s="10" t="n"/>
      <c r="AP1574" s="10" t="n"/>
      <c r="AQ1574" s="10" t="n"/>
    </row>
    <row r="1575">
      <c r="A1575" s="7" t="inlineStr">
        <is>
          <t>b9-0187</t>
        </is>
      </c>
      <c r="B1575" s="7" t="inlineStr">
        <is>
          <t>Point</t>
        </is>
      </c>
      <c r="C1575" s="7" t="n"/>
      <c r="D1575" s="7" t="inlineStr">
        <is>
          <t>1993</t>
        </is>
      </c>
      <c r="E1575" s="7" t="n"/>
      <c r="F1575" s="7" t="inlineStr">
        <is>
          <t>1993 CE</t>
        </is>
      </c>
      <c r="G1575" s="7" t="inlineStr">
        <is>
          <t>Exact</t>
        </is>
      </c>
      <c r="H1575" s="7" t="n"/>
      <c r="I1575" s="7" t="n"/>
      <c r="J1575" s="7" t="n"/>
      <c r="K1575" s="2" t="inlineStr">
        <is>
          <t>Understanding clarified: kings of north and south during time of the end (Dan. 11, 12)</t>
        </is>
      </c>
      <c r="L1575" s="2" t="n"/>
      <c r="M1575" s="7" t="inlineStr">
        <is>
          <t>The Watch Tower Publications Index (“Beliefs Clarified,” list by year) records a clarified understanding in 1993 concerning kings of north and south during time of the end (Dan. 11, 12). Index references: w93 11/1 13-23.</t>
        </is>
      </c>
      <c r="N1575" s="7" t="n"/>
      <c r="O1575" s="13" t="inlineStr">
        <is>
          <t>Jehovah's Witnesses</t>
        </is>
      </c>
      <c r="P1575" s="7" t="inlineStr">
        <is>
          <t>jw.doctrine</t>
        </is>
      </c>
      <c r="Q1575" s="7" t="inlineStr">
        <is>
          <t>beliefs_clarified</t>
        </is>
      </c>
      <c r="R1575" s="7" t="n"/>
      <c r="S1575" s="7" t="n"/>
      <c r="T1575" s="7" t="inlineStr">
        <is>
          <t>Dan. 11, 12</t>
        </is>
      </c>
      <c r="U1575" s="7" t="n"/>
      <c r="V1575" s="7" t="n">
        <v>1</v>
      </c>
      <c r="W1575" s="7" t="inlineStr">
        <is>
          <t>Beliefs Clarified</t>
        </is>
      </c>
      <c r="X1575" s="9" t="inlineStr">
        <is>
          <t>open</t>
        </is>
      </c>
      <c r="Y1575" s="7" t="n"/>
      <c r="Z1575" s="7" t="inlineStr">
        <is>
          <t>https://wol.jw.org/en/wol/d/r1/lp-e/1200277174</t>
        </is>
      </c>
      <c r="AA1575" s="7" t="n">
        <v>0</v>
      </c>
      <c r="AB1575" s="7" t="n"/>
      <c r="AC1575" s="7" t="n">
        <v>0</v>
      </c>
      <c r="AD1575" s="7" t="n"/>
      <c r="AE1575" s="7" t="n"/>
      <c r="AF1575" s="7" t="n"/>
      <c r="AG1575" s="7" t="n"/>
      <c r="AH1575" s="7" t="n"/>
      <c r="AI1575" s="7" t="inlineStr">
        <is>
          <t>Index list entry – app detail</t>
        </is>
      </c>
      <c r="AJ1575" s="7" t="n"/>
      <c r="AK1575" s="7" t="n"/>
      <c r="AL1575" s="7" t="n"/>
      <c r="AM1575" s="7" t="n">
        <v>1993</v>
      </c>
      <c r="AN1575" s="10" t="n"/>
      <c r="AO1575" s="10" t="n"/>
      <c r="AP1575" s="10" t="n"/>
      <c r="AQ1575" s="10" t="n"/>
    </row>
    <row r="1576">
      <c r="A1576" s="7" t="inlineStr">
        <is>
          <t>b9-0188</t>
        </is>
      </c>
      <c r="B1576" s="7" t="inlineStr">
        <is>
          <t>Point</t>
        </is>
      </c>
      <c r="C1576" s="7" t="n"/>
      <c r="D1576" s="7" t="inlineStr">
        <is>
          <t>1993</t>
        </is>
      </c>
      <c r="E1576" s="7" t="n"/>
      <c r="F1576" s="7" t="inlineStr">
        <is>
          <t>1993 CE</t>
        </is>
      </c>
      <c r="G1576" s="7" t="inlineStr">
        <is>
          <t>Exact</t>
        </is>
      </c>
      <c r="H1576" s="7" t="n"/>
      <c r="I1576" s="7" t="n"/>
      <c r="J1576" s="7" t="n"/>
      <c r="K1576" s="2" t="inlineStr">
        <is>
          <t>Understanding clarified: start and end of 1,260 days (Rev. 11:3) and time, times, and a half (Da 7:25; 12:7)</t>
        </is>
      </c>
      <c r="L1576" s="2" t="n"/>
      <c r="M1576" s="7" t="inlineStr">
        <is>
          <t>The Watch Tower Publications Index (“Beliefs Clarified,” list by year) records a clarified understanding in 1993 concerning start and end of 1,260 days (Rev. 11:3) and time, times, and a half (Da 7:25; 12:7). Index references: w94 8/1 31; w93 11/1 9-10.</t>
        </is>
      </c>
      <c r="N1576" s="7" t="n"/>
      <c r="O1576" s="13" t="inlineStr">
        <is>
          <t>Jehovah's Witnesses</t>
        </is>
      </c>
      <c r="P1576" s="7" t="inlineStr">
        <is>
          <t>jw.doctrine</t>
        </is>
      </c>
      <c r="Q1576" s="7" t="inlineStr">
        <is>
          <t>beliefs_clarified</t>
        </is>
      </c>
      <c r="R1576" s="7" t="n"/>
      <c r="S1576" s="7" t="n"/>
      <c r="T1576" s="7" t="inlineStr">
        <is>
          <t>Rev. 11:3</t>
        </is>
      </c>
      <c r="U1576" s="7" t="n"/>
      <c r="V1576" s="7" t="n">
        <v>1</v>
      </c>
      <c r="W1576" s="7" t="inlineStr">
        <is>
          <t>Beliefs Clarified</t>
        </is>
      </c>
      <c r="X1576" s="9" t="inlineStr">
        <is>
          <t>open</t>
        </is>
      </c>
      <c r="Y1576" s="7" t="n"/>
      <c r="Z1576" s="7" t="inlineStr">
        <is>
          <t>https://wol.jw.org/en/wol/d/r1/lp-e/1200277174</t>
        </is>
      </c>
      <c r="AA1576" s="7" t="n">
        <v>0</v>
      </c>
      <c r="AB1576" s="7" t="n"/>
      <c r="AC1576" s="7" t="n">
        <v>0</v>
      </c>
      <c r="AD1576" s="7" t="n"/>
      <c r="AE1576" s="7" t="n"/>
      <c r="AF1576" s="7" t="n"/>
      <c r="AG1576" s="7" t="n"/>
      <c r="AH1576" s="7" t="n"/>
      <c r="AI1576" s="7" t="inlineStr">
        <is>
          <t>Index list entry – app detail</t>
        </is>
      </c>
      <c r="AJ1576" s="7" t="n"/>
      <c r="AK1576" s="7" t="n"/>
      <c r="AL1576" s="7" t="n"/>
      <c r="AM1576" s="7" t="n">
        <v>1993</v>
      </c>
      <c r="AN1576" s="10" t="n"/>
      <c r="AO1576" s="10" t="n"/>
      <c r="AP1576" s="10" t="n"/>
      <c r="AQ1576" s="10" t="n"/>
    </row>
    <row r="1577">
      <c r="A1577" s="7" t="inlineStr">
        <is>
          <t>b9-0189</t>
        </is>
      </c>
      <c r="B1577" s="7" t="inlineStr">
        <is>
          <t>Point</t>
        </is>
      </c>
      <c r="C1577" s="7" t="n"/>
      <c r="D1577" s="7" t="inlineStr">
        <is>
          <t>1993</t>
        </is>
      </c>
      <c r="E1577" s="7" t="n"/>
      <c r="F1577" s="7" t="inlineStr">
        <is>
          <t>1993 CE</t>
        </is>
      </c>
      <c r="G1577" s="7" t="inlineStr">
        <is>
          <t>Exact</t>
        </is>
      </c>
      <c r="H1577" s="7" t="n"/>
      <c r="I1577" s="7" t="n"/>
      <c r="J1577" s="7" t="n"/>
      <c r="K1577" s="2" t="inlineStr">
        <is>
          <t>“Divine Teaching” Convention in Kyiv; 7,402 baptized</t>
        </is>
      </c>
      <c r="L1577" s="2" t="n"/>
      <c r="M1577" s="7" t="inlineStr">
        <is>
          <t>At the 1993 “Divine Teaching” Convention in Kyiv, Ukraine, 7,402 were baptized, the largest Christian baptism on record at a single convention.</t>
        </is>
      </c>
      <c r="N1577" s="7" t="n"/>
      <c r="O1577" s="13" t="inlineStr">
        <is>
          <t>Jehovah's Witnesses</t>
        </is>
      </c>
      <c r="P1577" s="7" t="inlineStr">
        <is>
          <t>jw.convention</t>
        </is>
      </c>
      <c r="Q1577" s="7" t="inlineStr">
        <is>
          <t>convention</t>
        </is>
      </c>
      <c r="R1577" s="7" t="n"/>
      <c r="S1577" s="7" t="inlineStr">
        <is>
          <t>Kyiv, Ukraine</t>
        </is>
      </c>
      <c r="T1577" s="7" t="n"/>
      <c r="U1577" s="7" t="n"/>
      <c r="V1577" s="7" t="n">
        <v>2</v>
      </c>
      <c r="W1577" s="7" t="inlineStr">
        <is>
          <t>Meeting Together for Worship</t>
        </is>
      </c>
      <c r="X1577" s="9" t="inlineStr">
        <is>
          <t>open</t>
        </is>
      </c>
      <c r="Y1577" s="9" t="inlineStr">
        <is>
          <t>open</t>
        </is>
      </c>
      <c r="Z1577" s="7" t="inlineStr">
        <is>
          <t>https://wol.jw.org/en/wol/d/r1/lp-e/1102014255
https://wol.jw.org/en/wol/d/r1/lp-e/1200271388</t>
        </is>
      </c>
      <c r="AA1577" s="7" t="n">
        <v>0</v>
      </c>
      <c r="AB1577" s="7" t="n"/>
      <c r="AC1577" s="7" t="n">
        <v>0</v>
      </c>
      <c r="AD1577" s="7" t="n"/>
      <c r="AE1577" s="7" t="n"/>
      <c r="AF1577" s="7" t="n"/>
      <c r="AG1577" s="7" t="n"/>
      <c r="AH1577" s="7" t="n"/>
      <c r="AI1577" s="7" t="n"/>
      <c r="AJ1577" s="7" t="n"/>
      <c r="AK1577" s="7" t="n"/>
      <c r="AL1577" s="7" t="n"/>
      <c r="AM1577" s="7" t="n">
        <v>1993</v>
      </c>
      <c r="AN1577" s="10" t="n"/>
      <c r="AO1577" s="10" t="n"/>
      <c r="AP1577" s="10" t="n"/>
      <c r="AQ1577" s="10" t="n"/>
    </row>
    <row r="1578">
      <c r="A1578" s="7" t="inlineStr">
        <is>
          <t>b9-0190</t>
        </is>
      </c>
      <c r="B1578" s="7" t="inlineStr">
        <is>
          <t>Point</t>
        </is>
      </c>
      <c r="C1578" s="7" t="n"/>
      <c r="D1578" s="7" t="inlineStr">
        <is>
          <t>1993, January 8</t>
        </is>
      </c>
      <c r="E1578" s="7" t="inlineStr">
        <is>
          <t>ஜனவரி 8, 1993</t>
        </is>
      </c>
      <c r="F1578" s="7" t="inlineStr">
        <is>
          <t>1993 CE</t>
        </is>
      </c>
      <c r="G1578" s="7" t="inlineStr">
        <is>
          <t>Exact</t>
        </is>
      </c>
      <c r="H1578" s="7" t="n"/>
      <c r="I1578" s="7" t="n"/>
      <c r="J1578" s="7" t="n"/>
      <c r="K1578" s="2" t="inlineStr">
        <is>
          <t>Zaire Supreme Court lifts ban</t>
        </is>
      </c>
      <c r="L1578" s="2" t="inlineStr">
        <is>
          <t>ஜனாதிபதி தடை உத்தரவு போட்டு கிட்டத்தட்ட ஏழு வருஷங்களுக்குப் பிறகு, அதாவது ஜனவரி 8, 1993-ல் உச்ச நீதிமன்றம் நமக்குச் சாதகமாகத்…</t>
        </is>
      </c>
      <c r="M1578" s="7" t="inlineStr">
        <is>
          <t>On January 8, 1993, nearly seven years after the ban, the Supreme Court of Justice of Zaire ruled the government’s action unlawful and the ban was lifted.</t>
        </is>
      </c>
      <c r="N1578" s="7" t="inlineStr">
        <is>
          <t>ஜனாதிபதி தடை உத்தரவு போட்டு கிட்டத்தட்ட ஏழு வருஷங்களுக்குப் பிறகு, அதாவது ஜனவரி 8, 1993-ல் உச்ச நீதிமன்றம் நமக்குச் சாதகமாகத் தீர்ப்பளித்தது.</t>
        </is>
      </c>
      <c r="O1578" s="13" t="inlineStr">
        <is>
          <t>Jehovah's Witnesses</t>
        </is>
      </c>
      <c r="P1578" s="7" t="inlineStr">
        <is>
          <t>jw.legal</t>
        </is>
      </c>
      <c r="Q1578" s="7" t="inlineStr">
        <is>
          <t>court_ruling</t>
        </is>
      </c>
      <c r="R1578" s="7" t="n"/>
      <c r="S1578" s="7" t="inlineStr">
        <is>
          <t>Zaire</t>
        </is>
      </c>
      <c r="T1578" s="7" t="n"/>
      <c r="U1578" s="7" t="n"/>
      <c r="V1578" s="7" t="n">
        <v>1</v>
      </c>
      <c r="W1578" s="7" t="inlineStr">
        <is>
          <t>Kingdom Preachers Take Their Case to Court</t>
        </is>
      </c>
      <c r="X1578" s="9" t="inlineStr">
        <is>
          <t>open</t>
        </is>
      </c>
      <c r="Y1578" s="9" t="inlineStr">
        <is>
          <t>open</t>
        </is>
      </c>
      <c r="Z1578" s="7" t="inlineStr">
        <is>
          <t>https://wol.jw.org/en/wol/d/r1/lp-e/1102014252</t>
        </is>
      </c>
      <c r="AA1578" s="7" t="n">
        <v>0</v>
      </c>
      <c r="AB1578" s="7" t="n"/>
      <c r="AC1578" s="7" t="n">
        <v>0</v>
      </c>
      <c r="AD1578" s="7" t="n"/>
      <c r="AE1578" s="7" t="n"/>
      <c r="AF1578" s="7" t="n"/>
      <c r="AG1578" s="7" t="n"/>
      <c r="AH1578" s="7" t="n"/>
      <c r="AI1578" s="7" t="inlineStr">
        <is>
          <t>Span endpoint – keep</t>
        </is>
      </c>
      <c r="AJ1578" s="7" t="inlineStr">
        <is>
          <t>end of Ban on Jehovah’s Witnesses in Zaire (b12-0099)</t>
        </is>
      </c>
      <c r="AK1578" s="7" t="n"/>
      <c r="AL1578" s="7" t="n"/>
      <c r="AM1578" s="7" t="n">
        <v>1993.0188</v>
      </c>
      <c r="AN1578" s="10" t="n"/>
      <c r="AO1578" s="10" t="n"/>
      <c r="AP1578" s="10" t="n"/>
      <c r="AQ1578" s="10" t="n"/>
    </row>
    <row r="1579">
      <c r="A1579" s="7" t="inlineStr">
        <is>
          <t>b9-0191</t>
        </is>
      </c>
      <c r="B1579" s="7" t="inlineStr">
        <is>
          <t>Point</t>
        </is>
      </c>
      <c r="C1579" s="7" t="n"/>
      <c r="D1579" s="7" t="inlineStr">
        <is>
          <t>1993, May 25</t>
        </is>
      </c>
      <c r="E1579" s="7" t="inlineStr">
        <is>
          <t>மே 25, 1993</t>
        </is>
      </c>
      <c r="F1579" s="7" t="inlineStr">
        <is>
          <t>1993 CE</t>
        </is>
      </c>
      <c r="G1579" s="7" t="inlineStr">
        <is>
          <t>Exact</t>
        </is>
      </c>
      <c r="H1579" s="7" t="n"/>
      <c r="I1579" s="7" t="n"/>
      <c r="J1579" s="7" t="n"/>
      <c r="K1579" s="2" t="inlineStr">
        <is>
          <t>ECHR rules for Minos Kokkinakis (Greece)</t>
        </is>
      </c>
      <c r="L1579" s="2" t="inlineStr">
        <is>
          <t>தீர்ப்பின் தேதி மே 25, 1993</t>
        </is>
      </c>
      <c r="M1579" s="7" t="inlineStr">
        <is>
          <t>On May 25, 1993, the European Court of Human Rights found that Greece violated Minos Kokkinakis’ freedom of religion; he had been convicted of proselytism 18 times. Greek law against proselytism had led to over 19,000 arrests of Witnesses from 1938 to 1992.</t>
        </is>
      </c>
      <c r="N1579" s="7" t="inlineStr">
        <is>
          <t>தீர்ப்பின் தேதி மே 25, 1993</t>
        </is>
      </c>
      <c r="O1579" s="13" t="inlineStr">
        <is>
          <t>Jehovah's Witnesses</t>
        </is>
      </c>
      <c r="P1579" s="7" t="inlineStr">
        <is>
          <t>jw.legal</t>
        </is>
      </c>
      <c r="Q1579" s="7" t="inlineStr">
        <is>
          <t>court_ruling</t>
        </is>
      </c>
      <c r="R1579" s="7" t="inlineStr">
        <is>
          <t>Minos Kokkinakis</t>
        </is>
      </c>
      <c r="S1579" s="7" t="inlineStr">
        <is>
          <t>Greece</t>
        </is>
      </c>
      <c r="T1579" s="7" t="n"/>
      <c r="U1579" s="7" t="n"/>
      <c r="V1579" s="7" t="n">
        <v>1</v>
      </c>
      <c r="W1579" s="7" t="inlineStr">
        <is>
          <t>Kingdom Preachers Take Their Case to Court</t>
        </is>
      </c>
      <c r="X1579" s="9" t="inlineStr">
        <is>
          <t>open</t>
        </is>
      </c>
      <c r="Y1579" s="9" t="inlineStr">
        <is>
          <t>open</t>
        </is>
      </c>
      <c r="Z1579" s="7" t="inlineStr">
        <is>
          <t>https://wol.jw.org/en/wol/d/r1/lp-e/1102014252</t>
        </is>
      </c>
      <c r="AA1579" s="7" t="n">
        <v>0</v>
      </c>
      <c r="AB1579" s="7" t="n"/>
      <c r="AC1579" s="7" t="n">
        <v>0</v>
      </c>
      <c r="AD1579" s="7" t="n"/>
      <c r="AE1579" s="7" t="n"/>
      <c r="AF1579" s="7" t="n"/>
      <c r="AG1579" s="7" t="n"/>
      <c r="AH1579" s="7" t="n"/>
      <c r="AI1579" s="7" t="n"/>
      <c r="AJ1579" s="7" t="n"/>
      <c r="AK1579" s="7" t="n"/>
      <c r="AL1579" s="7" t="n"/>
      <c r="AM1579" s="7" t="n">
        <v>1993.3978</v>
      </c>
      <c r="AN1579" s="10" t="n"/>
      <c r="AO1579" s="10" t="n"/>
      <c r="AP1579" s="10" t="n"/>
      <c r="AQ1579" s="10" t="n"/>
    </row>
    <row r="1580">
      <c r="A1580" s="7" t="inlineStr">
        <is>
          <t>b9-0192</t>
        </is>
      </c>
      <c r="B1580" s="7" t="inlineStr">
        <is>
          <t>Point</t>
        </is>
      </c>
      <c r="C1580" s="7" t="n"/>
      <c r="D1580" s="7" t="inlineStr">
        <is>
          <t>1993, June</t>
        </is>
      </c>
      <c r="E1580" s="7" t="inlineStr">
        <is>
          <t>ஜூன் 1993</t>
        </is>
      </c>
      <c r="F1580" s="7" t="inlineStr">
        <is>
          <t>1993 CE</t>
        </is>
      </c>
      <c r="G1580" s="7" t="inlineStr">
        <is>
          <t>Exact</t>
        </is>
      </c>
      <c r="H1580" s="7" t="n"/>
      <c r="I1580" s="7" t="n"/>
      <c r="J1580" s="7" t="n"/>
      <c r="K1580" s="2" t="inlineStr">
        <is>
          <t>Misae Takeda sues over unauthorized transfusion</t>
        </is>
      </c>
      <c r="L1580" s="2" t="inlineStr">
        <is>
          <t>டாக்டர்கள், தன்னுடைய விருப்பத்துக்கு மதிப்பு கொடுக்காமல் தன்னை ஏமாற்றியதால், ஜூன் 1993-ல் சகோதரி டாகிடா அந்த டாக்டர்கள்மீதும்…</t>
        </is>
      </c>
      <c r="M1580" s="7" t="inlineStr">
        <is>
          <t>In June 1993 Sister Takeda filed a lawsuit against the doctors and hospital in Japan over a transfusion given against her wishes.</t>
        </is>
      </c>
      <c r="N1580" s="7" t="inlineStr">
        <is>
          <t>டாக்டர்கள், தன்னுடைய விருப்பத்துக்கு மதிப்பு கொடுக்காமல் தன்னை ஏமாற்றியதால், ஜூன் 1993-ல் சகோதரி டாகிடா அந்த டாக்டர்கள்மீதும் மருத்துவமனைமீதும் வழக்குத் தொடுத்தார்.</t>
        </is>
      </c>
      <c r="O1580" s="13" t="inlineStr">
        <is>
          <t>Jehovah's Witnesses</t>
        </is>
      </c>
      <c r="P1580" s="7" t="inlineStr">
        <is>
          <t>jw.legal</t>
        </is>
      </c>
      <c r="Q1580" s="7" t="n"/>
      <c r="R1580" s="7" t="n"/>
      <c r="S1580" s="7" t="inlineStr">
        <is>
          <t>Japan</t>
        </is>
      </c>
      <c r="T1580" s="7" t="n"/>
      <c r="U1580" s="7" t="n"/>
      <c r="V1580" s="7" t="n">
        <v>1</v>
      </c>
      <c r="W1580" s="7" t="inlineStr">
        <is>
          <t>Fighting for Freedom to Worship</t>
        </is>
      </c>
      <c r="X1580" s="9" t="inlineStr">
        <is>
          <t>open</t>
        </is>
      </c>
      <c r="Y1580" s="9" t="inlineStr">
        <is>
          <t>open</t>
        </is>
      </c>
      <c r="Z1580" s="7" t="inlineStr">
        <is>
          <t>https://wol.jw.org/en/wol/d/r1/lp-e/1102014254</t>
        </is>
      </c>
      <c r="AA1580" s="7" t="n">
        <v>0</v>
      </c>
      <c r="AB1580" s="7" t="n"/>
      <c r="AC1580" s="7" t="n">
        <v>0</v>
      </c>
      <c r="AD1580" s="7" t="n"/>
      <c r="AE1580" s="7" t="n"/>
      <c r="AF1580" s="7" t="n"/>
      <c r="AG1580" s="7" t="n"/>
      <c r="AH1580" s="7" t="n"/>
      <c r="AI1580" s="7" t="n"/>
      <c r="AJ1580" s="7" t="n"/>
      <c r="AK1580" s="7" t="n"/>
      <c r="AL1580" s="7" t="n"/>
      <c r="AM1580" s="7" t="n">
        <v>1993.4167</v>
      </c>
      <c r="AN1580" s="10" t="n"/>
      <c r="AO1580" s="10" t="n"/>
      <c r="AP1580" s="10" t="n"/>
      <c r="AQ1580" s="10" t="n"/>
    </row>
    <row r="1581">
      <c r="A1581" s="7" t="inlineStr">
        <is>
          <t>b9-0193</t>
        </is>
      </c>
      <c r="B1581" s="7" t="inlineStr">
        <is>
          <t>Point</t>
        </is>
      </c>
      <c r="C1581" s="7" t="n"/>
      <c r="D1581" s="7" t="inlineStr">
        <is>
          <t>1994</t>
        </is>
      </c>
      <c r="E1581" s="7" t="n"/>
      <c r="F1581" s="7" t="inlineStr">
        <is>
          <t>1994 CE</t>
        </is>
      </c>
      <c r="G1581" s="7" t="inlineStr">
        <is>
          <t>Exact</t>
        </is>
      </c>
      <c r="H1581" s="7" t="n"/>
      <c r="I1581" s="7" t="n"/>
      <c r="J1581" s="7" t="n"/>
      <c r="K1581" s="2" t="inlineStr">
        <is>
          <t>Understanding clarified: tribulation and celestial phenomena (Matt. 24:29-31; Mark 13:24-27; Luke 21:25-28)</t>
        </is>
      </c>
      <c r="L1581" s="2" t="n"/>
      <c r="M1581" s="7" t="inlineStr">
        <is>
          <t>The Watch Tower Publications Index (“Beliefs Clarified,” list by year) records a clarified understanding in 1994 concerning tribulation and celestial phenomena (Matt. 24:29-31; Mark 13:24-27; Luke 21:25-28). Index references: w94 2/15 16-21.</t>
        </is>
      </c>
      <c r="N1581" s="7" t="n"/>
      <c r="O1581" s="13" t="inlineStr">
        <is>
          <t>Jehovah's Witnesses</t>
        </is>
      </c>
      <c r="P1581" s="7" t="inlineStr">
        <is>
          <t>jw.doctrine</t>
        </is>
      </c>
      <c r="Q1581" s="7" t="inlineStr">
        <is>
          <t>beliefs_clarified</t>
        </is>
      </c>
      <c r="R1581" s="7" t="n"/>
      <c r="S1581" s="7" t="n"/>
      <c r="T1581" s="7" t="inlineStr">
        <is>
          <t>Matt. 24:29-31; Mark 13:24-27; Luke 21:25-28</t>
        </is>
      </c>
      <c r="U1581" s="7" t="n"/>
      <c r="V1581" s="7" t="n">
        <v>1</v>
      </c>
      <c r="W1581" s="7" t="inlineStr">
        <is>
          <t>Beliefs Clarified</t>
        </is>
      </c>
      <c r="X1581" s="9" t="inlineStr">
        <is>
          <t>open</t>
        </is>
      </c>
      <c r="Y1581" s="7" t="n"/>
      <c r="Z1581" s="7" t="inlineStr">
        <is>
          <t>https://wol.jw.org/en/wol/d/r1/lp-e/1200277174</t>
        </is>
      </c>
      <c r="AA1581" s="7" t="n">
        <v>0</v>
      </c>
      <c r="AB1581" s="7" t="n"/>
      <c r="AC1581" s="7" t="n">
        <v>0</v>
      </c>
      <c r="AD1581" s="7" t="n"/>
      <c r="AE1581" s="7" t="n"/>
      <c r="AF1581" s="7" t="n"/>
      <c r="AG1581" s="7" t="n"/>
      <c r="AH1581" s="7" t="n"/>
      <c r="AI1581" s="7" t="inlineStr">
        <is>
          <t>Index list entry – app detail</t>
        </is>
      </c>
      <c r="AJ1581" s="7" t="n"/>
      <c r="AK1581" s="7" t="n"/>
      <c r="AL1581" s="7" t="n"/>
      <c r="AM1581" s="7" t="n">
        <v>1994</v>
      </c>
      <c r="AN1581" s="10" t="n"/>
      <c r="AO1581" s="10" t="n"/>
      <c r="AP1581" s="10" t="n"/>
      <c r="AQ1581" s="10" t="n"/>
    </row>
    <row r="1582">
      <c r="A1582" s="7" t="inlineStr">
        <is>
          <t>b9-0194</t>
        </is>
      </c>
      <c r="B1582" s="7" t="inlineStr">
        <is>
          <t>Point</t>
        </is>
      </c>
      <c r="C1582" s="7" t="n"/>
      <c r="D1582" s="7" t="inlineStr">
        <is>
          <t>1994</t>
        </is>
      </c>
      <c r="E1582" s="7" t="n"/>
      <c r="F1582" s="7" t="inlineStr">
        <is>
          <t>1994 CE</t>
        </is>
      </c>
      <c r="G1582" s="7" t="inlineStr">
        <is>
          <t>Exact</t>
        </is>
      </c>
      <c r="H1582" s="7" t="n"/>
      <c r="I1582" s="7" t="n"/>
      <c r="J1582" s="7" t="n"/>
      <c r="K1582" s="2" t="inlineStr">
        <is>
          <t>1994: “Godly Fear” District Conventions</t>
        </is>
      </c>
      <c r="L1582" s="2" t="n"/>
      <c r="M1582" s="7" t="inlineStr">
        <is>
          <t>The Watch Tower Publications Index lists the 1994 conventions of Jehovah’s Witnesses as “Godly Fear” District Conventions.</t>
        </is>
      </c>
      <c r="N1582" s="7" t="n"/>
      <c r="O1582" s="13" t="inlineStr">
        <is>
          <t>Jehovah's Witnesses</t>
        </is>
      </c>
      <c r="P1582" s="7" t="inlineStr">
        <is>
          <t>jw.convention</t>
        </is>
      </c>
      <c r="Q1582" s="7" t="inlineStr">
        <is>
          <t>convention</t>
        </is>
      </c>
      <c r="R1582" s="7" t="n"/>
      <c r="S1582" s="7" t="n"/>
      <c r="T1582" s="7" t="n"/>
      <c r="U1582" s="7" t="n"/>
      <c r="V1582" s="7" t="n">
        <v>1</v>
      </c>
      <c r="W1582" s="7" t="inlineStr">
        <is>
          <t>Conventions</t>
        </is>
      </c>
      <c r="X1582" s="9" t="inlineStr">
        <is>
          <t>open</t>
        </is>
      </c>
      <c r="Y1582" s="7" t="n"/>
      <c r="Z1582" s="7" t="inlineStr">
        <is>
          <t>https://wol.jw.org/en/wol/d/r1/lp-e/1200271388</t>
        </is>
      </c>
      <c r="AA1582" s="7" t="n">
        <v>0</v>
      </c>
      <c r="AB1582" s="7" t="n"/>
      <c r="AC1582" s="7" t="n">
        <v>0</v>
      </c>
      <c r="AD1582" s="7" t="n"/>
      <c r="AE1582" s="7" t="n"/>
      <c r="AF1582" s="7" t="n"/>
      <c r="AG1582" s="7" t="n"/>
      <c r="AH1582" s="7" t="n"/>
      <c r="AI1582" s="7" t="inlineStr">
        <is>
          <t>Index list entry – app detail</t>
        </is>
      </c>
      <c r="AJ1582" s="7" t="n"/>
      <c r="AK1582" s="7" t="n"/>
      <c r="AL1582" s="7" t="n"/>
      <c r="AM1582" s="7" t="n">
        <v>1994</v>
      </c>
      <c r="AN1582" s="10" t="n"/>
      <c r="AO1582" s="10" t="n"/>
      <c r="AP1582" s="10" t="n"/>
      <c r="AQ1582" s="10" t="n"/>
    </row>
    <row r="1583">
      <c r="A1583" s="7" t="inlineStr">
        <is>
          <t>b9-0195</t>
        </is>
      </c>
      <c r="B1583" s="7" t="inlineStr">
        <is>
          <t>Point</t>
        </is>
      </c>
      <c r="C1583" s="7" t="n"/>
      <c r="D1583" s="7" t="inlineStr">
        <is>
          <t>1994</t>
        </is>
      </c>
      <c r="E1583" s="7" t="inlineStr">
        <is>
          <t>1994</t>
        </is>
      </c>
      <c r="F1583" s="7" t="inlineStr">
        <is>
          <t>1994 CE</t>
        </is>
      </c>
      <c r="G1583" s="7" t="inlineStr">
        <is>
          <t>Exact</t>
        </is>
      </c>
      <c r="H1583" s="7" t="n"/>
      <c r="I1583" s="7" t="n"/>
      <c r="J1583" s="7" t="n"/>
      <c r="K1583" s="2" t="inlineStr">
        <is>
          <t>Relief for Witnesses after Rwanda genocide</t>
        </is>
      </c>
      <c r="L1583" s="2" t="inlineStr">
        <is>
          <t>1994-ல், ருவாண்டாவில் சுமார் 8,00,000 அல்லது அதற்கும் அதிகமான ஆட்கள் இன படுகொலை காரணமாக உயிரிழந்தார்கள்.</t>
        </is>
      </c>
      <c r="M1583" s="7" t="inlineStr">
        <is>
          <t>In 1994 some 800,000 or more people were killed in the genocide in Rwanda; Witnesses organized relief for fellow believers.</t>
        </is>
      </c>
      <c r="N1583" s="7" t="inlineStr">
        <is>
          <t>1994-ல், ருவாண்டாவில் சுமார் 8,00,000 அல்லது அதற்கும் அதிகமான ஆட்கள் இன படுகொலை காரணமாக உயிரிழந்தார்கள்.</t>
        </is>
      </c>
      <c r="O1583" s="13" t="inlineStr">
        <is>
          <t>Jehovah's Witnesses</t>
        </is>
      </c>
      <c r="P1583" s="7" t="inlineStr">
        <is>
          <t>jw.relief</t>
        </is>
      </c>
      <c r="Q1583" s="7" t="n"/>
      <c r="R1583" s="7" t="n"/>
      <c r="S1583" s="7" t="inlineStr">
        <is>
          <t>Rwanda</t>
        </is>
      </c>
      <c r="T1583" s="7" t="n"/>
      <c r="U1583" s="7" t="n"/>
      <c r="V1583" s="7" t="n">
        <v>1</v>
      </c>
      <c r="W1583" s="7" t="inlineStr">
        <is>
          <t>The Ministry of Relief</t>
        </is>
      </c>
      <c r="X1583" s="9" t="inlineStr">
        <is>
          <t>open</t>
        </is>
      </c>
      <c r="Y1583" s="9" t="inlineStr">
        <is>
          <t>open</t>
        </is>
      </c>
      <c r="Z1583" s="7" t="inlineStr">
        <is>
          <t>https://wol.jw.org/en/wol/d/r1/lp-e/1102014262</t>
        </is>
      </c>
      <c r="AA1583" s="7" t="n">
        <v>0</v>
      </c>
      <c r="AB1583" s="7" t="n"/>
      <c r="AC1583" s="7" t="n">
        <v>0</v>
      </c>
      <c r="AD1583" s="7" t="n"/>
      <c r="AE1583" s="7" t="n"/>
      <c r="AF1583" s="7" t="n"/>
      <c r="AG1583" s="7" t="n"/>
      <c r="AH1583" s="7" t="n"/>
      <c r="AI1583" s="7" t="n"/>
      <c r="AJ1583" s="7" t="n"/>
      <c r="AK1583" s="7" t="n"/>
      <c r="AL1583" s="7" t="n"/>
      <c r="AM1583" s="7" t="n">
        <v>1994</v>
      </c>
      <c r="AN1583" s="10" t="n"/>
      <c r="AO1583" s="10" t="n"/>
      <c r="AP1583" s="10" t="n"/>
      <c r="AQ1583" s="10" t="n"/>
    </row>
    <row r="1584">
      <c r="A1584" s="7" t="inlineStr">
        <is>
          <t>b9-0196</t>
        </is>
      </c>
      <c r="B1584" s="7" t="inlineStr">
        <is>
          <t>Point</t>
        </is>
      </c>
      <c r="C1584" s="7" t="n"/>
      <c r="D1584" s="7" t="inlineStr">
        <is>
          <t>1994</t>
        </is>
      </c>
      <c r="E1584" s="7" t="inlineStr">
        <is>
          <t>1994</t>
        </is>
      </c>
      <c r="F1584" s="7" t="inlineStr">
        <is>
          <t>1994 CE</t>
        </is>
      </c>
      <c r="G1584" s="7" t="inlineStr">
        <is>
          <t>Exact</t>
        </is>
      </c>
      <c r="H1584" s="7" t="n"/>
      <c r="I1584" s="7" t="n"/>
      <c r="J1584" s="7" t="n"/>
      <c r="K1584" s="2" t="inlineStr">
        <is>
          <t>Ivailo Stefanov drafted in Bulgaria</t>
        </is>
      </c>
      <c r="L1584" s="2" t="inlineStr">
        <is>
          <t>1994-ல், 19 வயது இவைல்லோ ஸ்டெஃபனாஃப் ராணுவத்தில் சேரும்படி உத்தரவிடப்பட்டார்.</t>
        </is>
      </c>
      <c r="M1584" s="7" t="inlineStr">
        <is>
          <t>In 1994 Ivailo Stefanov, aged 19, was drafted into the army in Bulgaria; his case was resolved by a friendly settlement in 2001.</t>
        </is>
      </c>
      <c r="N1584" s="7" t="inlineStr">
        <is>
          <t>1994-ல், 19 வயது இவைல்லோ ஸ்டெஃபனாஃப் ராணுவத்தில் சேரும்படி உத்தரவிடப்பட்டார்.</t>
        </is>
      </c>
      <c r="O1584" s="13" t="inlineStr">
        <is>
          <t>Jehovah's Witnesses</t>
        </is>
      </c>
      <c r="P1584" s="7" t="inlineStr">
        <is>
          <t>jw.legal</t>
        </is>
      </c>
      <c r="Q1584" s="7" t="n"/>
      <c r="R1584" s="7" t="inlineStr">
        <is>
          <t>Ivailo Stefanov</t>
        </is>
      </c>
      <c r="S1584" s="7" t="inlineStr">
        <is>
          <t>Bulgaria</t>
        </is>
      </c>
      <c r="T1584" s="7" t="n"/>
      <c r="U1584" s="7" t="n"/>
      <c r="V1584" s="7" t="n">
        <v>1</v>
      </c>
      <c r="W1584" s="7" t="inlineStr">
        <is>
          <t>Loyally Supporting God’s Government and No Other</t>
        </is>
      </c>
      <c r="X1584" s="9" t="inlineStr">
        <is>
          <t>open</t>
        </is>
      </c>
      <c r="Y1584" s="9" t="inlineStr">
        <is>
          <t>open</t>
        </is>
      </c>
      <c r="Z1584" s="7" t="inlineStr">
        <is>
          <t>https://wol.jw.org/en/wol/d/r1/lp-e/1102014253</t>
        </is>
      </c>
      <c r="AA1584" s="7" t="n">
        <v>0</v>
      </c>
      <c r="AB1584" s="7" t="n"/>
      <c r="AC1584" s="7" t="n">
        <v>0</v>
      </c>
      <c r="AD1584" s="7" t="n"/>
      <c r="AE1584" s="7" t="n"/>
      <c r="AF1584" s="7" t="n"/>
      <c r="AG1584" s="7" t="n"/>
      <c r="AH1584" s="7" t="n"/>
      <c r="AI1584" s="7" t="n"/>
      <c r="AJ1584" s="7" t="n"/>
      <c r="AK1584" s="7" t="n"/>
      <c r="AL1584" s="7" t="n"/>
      <c r="AM1584" s="7" t="n">
        <v>1994</v>
      </c>
      <c r="AN1584" s="10" t="n"/>
      <c r="AO1584" s="10" t="n"/>
      <c r="AP1584" s="10" t="n"/>
      <c r="AQ1584" s="10" t="n"/>
    </row>
    <row r="1585">
      <c r="A1585" s="7" t="inlineStr">
        <is>
          <t>b9-0197</t>
        </is>
      </c>
      <c r="B1585" s="7" t="inlineStr">
        <is>
          <t>Point</t>
        </is>
      </c>
      <c r="C1585" s="7" t="n"/>
      <c r="D1585" s="7" t="inlineStr">
        <is>
          <t>1994, July 1</t>
        </is>
      </c>
      <c r="E1585" s="7" t="inlineStr">
        <is>
          <t>ஜூலை 1, 1994</t>
        </is>
      </c>
      <c r="F1585" s="7" t="inlineStr">
        <is>
          <t>1994 CE</t>
        </is>
      </c>
      <c r="G1585" s="7" t="inlineStr">
        <is>
          <t>Exact</t>
        </is>
      </c>
      <c r="H1585" s="7" t="n"/>
      <c r="I1585" s="7" t="n"/>
      <c r="J1585" s="7" t="n"/>
      <c r="K1585" s="2" t="inlineStr">
        <is>
          <t>Gerrit Lösch added to the Governing Body</t>
        </is>
      </c>
      <c r="L1585" s="2" t="inlineStr">
        <is>
          <t>யெகோவாவின் சாட்சிகளின் நிர்வாகக் குழுவினுடைய அலுவலக ஊழியரின் எண்ணிக்கையை அதிகரிக்கும் நோக்கத்துடன், கூடுதலான ஓர் உறுப்பினர் ஜூலை 1, 1994…</t>
        </is>
      </c>
      <c r="M1585" s="7" t="inlineStr">
        <is>
          <t>Effective July 1, 1994, Gerrit Lösch was added to the 11 elders serving on the Governing Body.</t>
        </is>
      </c>
      <c r="N1585" s="7" t="inlineStr">
        <is>
          <t>யெகோவாவின் சாட்சிகளின் நிர்வாகக் குழுவினுடைய அலுவலக ஊழியரின் எண்ணிக்கையை அதிகரிக்கும் நோக்கத்துடன், கூடுதலான ஓர் உறுப்பினர் ஜூலை 1, 1994 முதற்கொண்டு சேவிக்கும்படி, இப்பொழுது சேவித்துக்கொண்டிருக்கும் 11 மூப்பர்களோடுகூட சேர்க்கப்பட்டிருக்கிறார்.</t>
        </is>
      </c>
      <c r="O1585" s="13" t="inlineStr">
        <is>
          <t>Jehovah's Witnesses</t>
        </is>
      </c>
      <c r="P1585" s="7" t="inlineStr">
        <is>
          <t>jw.leadership</t>
        </is>
      </c>
      <c r="Q1585" s="7" t="inlineStr">
        <is>
          <t>appointment</t>
        </is>
      </c>
      <c r="R1585" s="7" t="inlineStr">
        <is>
          <t>Gerrit Lösch</t>
        </is>
      </c>
      <c r="S1585" s="7" t="n"/>
      <c r="T1585" s="7" t="n"/>
      <c r="U1585" s="7" t="n"/>
      <c r="V1585" s="7" t="n">
        <v>1</v>
      </c>
      <c r="W1585" s="7" t="inlineStr">
        <is>
          <t>Governing Body Addition</t>
        </is>
      </c>
      <c r="X1585" s="9" t="inlineStr">
        <is>
          <t>open</t>
        </is>
      </c>
      <c r="Y1585" s="9" t="inlineStr">
        <is>
          <t>open</t>
        </is>
      </c>
      <c r="Z1585" s="7" t="inlineStr">
        <is>
          <t>https://wol.jw.org/en/wol/d/r1/lp-e/1994808</t>
        </is>
      </c>
      <c r="AA1585" s="7" t="n">
        <v>0</v>
      </c>
      <c r="AB1585" s="7" t="n"/>
      <c r="AC1585" s="7" t="n">
        <v>0</v>
      </c>
      <c r="AD1585" s="7" t="n"/>
      <c r="AE1585" s="7" t="n"/>
      <c r="AF1585" s="7" t="n"/>
      <c r="AG1585" s="7" t="n"/>
      <c r="AH1585" s="7" t="n"/>
      <c r="AI1585" s="7" t="inlineStr">
        <is>
          <t>Covered by span – hide on chart</t>
        </is>
      </c>
      <c r="AJ1585" s="7" t="inlineStr">
        <is>
          <t>start of Gerrit Lösch serves on the Governing Body (b12-0101)</t>
        </is>
      </c>
      <c r="AK1585" s="7" t="n"/>
      <c r="AL1585" s="7" t="n"/>
      <c r="AM1585" s="7" t="n">
        <v>1994.5</v>
      </c>
      <c r="AN1585" s="10" t="n"/>
      <c r="AO1585" s="10" t="n"/>
      <c r="AP1585" s="10" t="n"/>
      <c r="AQ1585" s="10" t="n"/>
    </row>
    <row r="1586">
      <c r="A1586" s="7" t="inlineStr">
        <is>
          <t>b12-0101</t>
        </is>
      </c>
      <c r="B1586" s="11" t="inlineStr">
        <is>
          <t>Span</t>
        </is>
      </c>
      <c r="C1586" s="7" t="inlineStr">
        <is>
          <t>office</t>
        </is>
      </c>
      <c r="D1586" s="7" t="inlineStr">
        <is>
          <t>July 1, 1994–</t>
        </is>
      </c>
      <c r="E1586" s="7" t="n"/>
      <c r="F1586" s="7" t="inlineStr">
        <is>
          <t>1994 CE</t>
        </is>
      </c>
      <c r="G1586" s="7" t="inlineStr">
        <is>
          <t>Exact</t>
        </is>
      </c>
      <c r="H1586" s="7" t="n"/>
      <c r="I1586" s="7" t="inlineStr">
        <is>
          <t>Ongoing</t>
        </is>
      </c>
      <c r="J1586" s="7" t="n"/>
      <c r="K1586" s="2" t="inlineStr">
        <is>
          <t>Gerrit Lösch serves on the Governing Body</t>
        </is>
      </c>
      <c r="L1586" s="2" t="n"/>
      <c r="M1586" s="7" t="inlineStr">
        <is>
          <t>Gerrit Lösch was added to the Governing Body effective July 1, 1994, and was still serving according to The Watchtower of October 2025.</t>
        </is>
      </c>
      <c r="N1586" s="7" t="inlineStr">
        <is>
          <t>யெகோவாவின் சாட்சிகளின் நிர்வாகக் குழுவினுடைய அலுவலக ஊழியரின் எண்ணிக்கையை அதிகரிக்கும் நோக்கத்துடன், கூடுதலான ஓர் உறுப்பினர் ஜூலை 1, 1994 முதற்கொண்டு சேவிக்கும்படி, இப்பொழுது சேவித்துக்கொண்டிருக்கும் 11 மூப்பர்களோடுகூட சேர்க்கப்பட்டிருக்கிறார்.</t>
        </is>
      </c>
      <c r="O1586" s="13" t="inlineStr">
        <is>
          <t>Jehovah's Witnesses</t>
        </is>
      </c>
      <c r="P1586" s="7" t="inlineStr">
        <is>
          <t>jw.leadership</t>
        </is>
      </c>
      <c r="Q1586" s="7" t="n"/>
      <c r="R1586" s="7" t="inlineStr">
        <is>
          <t>Gerrit Lösch</t>
        </is>
      </c>
      <c r="S1586" s="7" t="n"/>
      <c r="T1586" s="7" t="n"/>
      <c r="U1586" s="7" t="n"/>
      <c r="V1586" s="7" t="n">
        <v>2</v>
      </c>
      <c r="W1586" s="7" t="inlineStr">
        <is>
          <t>Governing Body Addition</t>
        </is>
      </c>
      <c r="X1586" s="9" t="inlineStr">
        <is>
          <t>open</t>
        </is>
      </c>
      <c r="Y1586" s="9" t="inlineStr">
        <is>
          <t>open</t>
        </is>
      </c>
      <c r="Z1586" s="7" t="inlineStr">
        <is>
          <t>https://wol.jw.org/en/wol/d/r1/lp-e/1994808
https://wol.jw.org/en/wol/d/r1/lp-e/2025605</t>
        </is>
      </c>
      <c r="AA1586" s="7" t="n">
        <v>0</v>
      </c>
      <c r="AB1586" s="7" t="n"/>
      <c r="AC1586" s="7" t="n">
        <v>0</v>
      </c>
      <c r="AD1586" s="7" t="n"/>
      <c r="AE1586" s="7" t="n"/>
      <c r="AF1586" s="7" t="inlineStr">
        <is>
          <t>b9-0197</t>
        </is>
      </c>
      <c r="AG1586" s="7" t="n"/>
      <c r="AH1586" s="7" t="n"/>
      <c r="AI1586" s="7" t="n"/>
      <c r="AJ1586" s="7" t="n"/>
      <c r="AK1586" s="7" t="inlineStr">
        <is>
          <t>governing-body #4 (ruler)</t>
        </is>
      </c>
      <c r="AL1586" s="7" t="n"/>
      <c r="AM1586" s="7" t="n">
        <v>1994.5</v>
      </c>
      <c r="AN1586" s="10" t="n"/>
      <c r="AO1586" s="10" t="n"/>
      <c r="AP1586" s="10" t="n"/>
      <c r="AQ1586" s="10" t="n"/>
    </row>
    <row r="1587">
      <c r="A1587" s="7" t="inlineStr">
        <is>
          <t>b9-0198</t>
        </is>
      </c>
      <c r="B1587" s="7" t="inlineStr">
        <is>
          <t>Point</t>
        </is>
      </c>
      <c r="C1587" s="7" t="n"/>
      <c r="D1587" s="7" t="inlineStr">
        <is>
          <t>1995</t>
        </is>
      </c>
      <c r="E1587" s="7" t="n"/>
      <c r="F1587" s="7" t="inlineStr">
        <is>
          <t>1995 CE</t>
        </is>
      </c>
      <c r="G1587" s="7" t="inlineStr">
        <is>
          <t>Exact</t>
        </is>
      </c>
      <c r="H1587" s="7" t="n"/>
      <c r="I1587" s="7" t="n"/>
      <c r="J1587" s="7" t="n"/>
      <c r="K1587" s="2" t="inlineStr">
        <is>
          <t>Understanding clarified: “sheep” and “goats” (Matt. 25)</t>
        </is>
      </c>
      <c r="L1587" s="2" t="n"/>
      <c r="M1587" s="7" t="inlineStr">
        <is>
          <t>The Watch Tower Publications Index (“Beliefs Clarified,” list by year) records a clarified understanding in 1995 concerning “sheep” and “goats” (Matt. 25). Index references: w15 3/15 26-27; w13 7/15 6; w06 2/15 30; w97 7/1 30-31; w95 10/15 18-28.</t>
        </is>
      </c>
      <c r="N1587" s="7" t="n"/>
      <c r="O1587" s="13" t="inlineStr">
        <is>
          <t>Jehovah's Witnesses</t>
        </is>
      </c>
      <c r="P1587" s="7" t="inlineStr">
        <is>
          <t>jw.doctrine</t>
        </is>
      </c>
      <c r="Q1587" s="7" t="inlineStr">
        <is>
          <t>beliefs_clarified</t>
        </is>
      </c>
      <c r="R1587" s="7" t="n"/>
      <c r="S1587" s="7" t="n"/>
      <c r="T1587" s="7" t="inlineStr">
        <is>
          <t>Matt. 25</t>
        </is>
      </c>
      <c r="U1587" s="7" t="n"/>
      <c r="V1587" s="7" t="n">
        <v>1</v>
      </c>
      <c r="W1587" s="7" t="inlineStr">
        <is>
          <t>Beliefs Clarified</t>
        </is>
      </c>
      <c r="X1587" s="9" t="inlineStr">
        <is>
          <t>open</t>
        </is>
      </c>
      <c r="Y1587" s="7" t="n"/>
      <c r="Z1587" s="7" t="inlineStr">
        <is>
          <t>https://wol.jw.org/en/wol/d/r1/lp-e/1200277174</t>
        </is>
      </c>
      <c r="AA1587" s="7" t="n">
        <v>0</v>
      </c>
      <c r="AB1587" s="7" t="n"/>
      <c r="AC1587" s="7" t="n">
        <v>0</v>
      </c>
      <c r="AD1587" s="7" t="n"/>
      <c r="AE1587" s="7" t="n"/>
      <c r="AF1587" s="7" t="n"/>
      <c r="AG1587" s="7" t="n"/>
      <c r="AH1587" s="7" t="n"/>
      <c r="AI1587" s="7" t="inlineStr">
        <is>
          <t>Index list entry – app detail</t>
        </is>
      </c>
      <c r="AJ1587" s="7" t="n"/>
      <c r="AK1587" s="7" t="n"/>
      <c r="AL1587" s="7" t="n"/>
      <c r="AM1587" s="7" t="n">
        <v>1995</v>
      </c>
      <c r="AN1587" s="10" t="n"/>
      <c r="AO1587" s="10" t="n"/>
      <c r="AP1587" s="10" t="n"/>
      <c r="AQ1587" s="10" t="n"/>
    </row>
    <row r="1588">
      <c r="A1588" s="7" t="inlineStr">
        <is>
          <t>b9-0199</t>
        </is>
      </c>
      <c r="B1588" s="7" t="inlineStr">
        <is>
          <t>Point</t>
        </is>
      </c>
      <c r="C1588" s="7" t="n"/>
      <c r="D1588" s="7" t="inlineStr">
        <is>
          <t>1995</t>
        </is>
      </c>
      <c r="E1588" s="7" t="n"/>
      <c r="F1588" s="7" t="inlineStr">
        <is>
          <t>1995 CE</t>
        </is>
      </c>
      <c r="G1588" s="7" t="inlineStr">
        <is>
          <t>Exact</t>
        </is>
      </c>
      <c r="H1588" s="7" t="n"/>
      <c r="I1588" s="7" t="n"/>
      <c r="J1588" s="7" t="n"/>
      <c r="K1588" s="2" t="inlineStr">
        <is>
          <t>Understanding clarified: “this generation” (Matt. 24:34; Mark 13:30; Luke 21:32)</t>
        </is>
      </c>
      <c r="L1588" s="2" t="n"/>
      <c r="M1588" s="7" t="inlineStr">
        <is>
          <t>The Watch Tower Publications Index (“Beliefs Clarified,” list by year) records a clarified understanding in 1995 concerning “this generation” (Matt. 24:34; Mark 13:30; Luke 21:32). Index references: w97 6/1 28; w95 11/1 10-21, 30-31.</t>
        </is>
      </c>
      <c r="N1588" s="7" t="n"/>
      <c r="O1588" s="13" t="inlineStr">
        <is>
          <t>Jehovah's Witnesses</t>
        </is>
      </c>
      <c r="P1588" s="7" t="inlineStr">
        <is>
          <t>jw.doctrine</t>
        </is>
      </c>
      <c r="Q1588" s="7" t="inlineStr">
        <is>
          <t>beliefs_clarified</t>
        </is>
      </c>
      <c r="R1588" s="7" t="n"/>
      <c r="S1588" s="7" t="n"/>
      <c r="T1588" s="7" t="inlineStr">
        <is>
          <t>Matt. 24:34; Mark 13:30; Luke 21:32</t>
        </is>
      </c>
      <c r="U1588" s="7" t="n"/>
      <c r="V1588" s="7" t="n">
        <v>1</v>
      </c>
      <c r="W1588" s="7" t="inlineStr">
        <is>
          <t>Beliefs Clarified</t>
        </is>
      </c>
      <c r="X1588" s="9" t="inlineStr">
        <is>
          <t>open</t>
        </is>
      </c>
      <c r="Y1588" s="7" t="n"/>
      <c r="Z1588" s="7" t="inlineStr">
        <is>
          <t>https://wol.jw.org/en/wol/d/r1/lp-e/1200277174</t>
        </is>
      </c>
      <c r="AA1588" s="7" t="n">
        <v>0</v>
      </c>
      <c r="AB1588" s="7" t="n"/>
      <c r="AC1588" s="7" t="n">
        <v>0</v>
      </c>
      <c r="AD1588" s="7" t="n"/>
      <c r="AE1588" s="7" t="n"/>
      <c r="AF1588" s="7" t="n"/>
      <c r="AG1588" s="7" t="n"/>
      <c r="AH1588" s="7" t="n"/>
      <c r="AI1588" s="7" t="inlineStr">
        <is>
          <t>Index list entry – app detail</t>
        </is>
      </c>
      <c r="AJ1588" s="7" t="n"/>
      <c r="AK1588" s="7" t="n"/>
      <c r="AL1588" s="7" t="n"/>
      <c r="AM1588" s="7" t="n">
        <v>1995</v>
      </c>
      <c r="AN1588" s="10" t="n"/>
      <c r="AO1588" s="10" t="n"/>
      <c r="AP1588" s="10" t="n"/>
      <c r="AQ1588" s="10" t="n"/>
    </row>
    <row r="1589">
      <c r="A1589" s="7" t="inlineStr">
        <is>
          <t>b9-0200</t>
        </is>
      </c>
      <c r="B1589" s="7" t="inlineStr">
        <is>
          <t>Point</t>
        </is>
      </c>
      <c r="C1589" s="7" t="n"/>
      <c r="D1589" s="7" t="inlineStr">
        <is>
          <t>1995</t>
        </is>
      </c>
      <c r="E1589" s="7" t="n"/>
      <c r="F1589" s="7" t="inlineStr">
        <is>
          <t>1995 CE</t>
        </is>
      </c>
      <c r="G1589" s="7" t="inlineStr">
        <is>
          <t>Exact</t>
        </is>
      </c>
      <c r="H1589" s="7" t="n"/>
      <c r="I1589" s="7" t="n"/>
      <c r="J1589" s="7" t="n"/>
      <c r="K1589" s="2" t="inlineStr">
        <is>
          <t>1995: “Joyful Praisers” District Conventions</t>
        </is>
      </c>
      <c r="L1589" s="2" t="n"/>
      <c r="M1589" s="7" t="inlineStr">
        <is>
          <t>The Watch Tower Publications Index lists the 1995 conventions of Jehovah’s Witnesses as “Joyful Praisers” District Conventions.</t>
        </is>
      </c>
      <c r="N1589" s="7" t="n"/>
      <c r="O1589" s="13" t="inlineStr">
        <is>
          <t>Jehovah's Witnesses</t>
        </is>
      </c>
      <c r="P1589" s="7" t="inlineStr">
        <is>
          <t>jw.convention</t>
        </is>
      </c>
      <c r="Q1589" s="7" t="inlineStr">
        <is>
          <t>convention</t>
        </is>
      </c>
      <c r="R1589" s="7" t="n"/>
      <c r="S1589" s="7" t="n"/>
      <c r="T1589" s="7" t="n"/>
      <c r="U1589" s="7" t="n"/>
      <c r="V1589" s="7" t="n">
        <v>1</v>
      </c>
      <c r="W1589" s="7" t="inlineStr">
        <is>
          <t>Conventions</t>
        </is>
      </c>
      <c r="X1589" s="9" t="inlineStr">
        <is>
          <t>open</t>
        </is>
      </c>
      <c r="Y1589" s="7" t="n"/>
      <c r="Z1589" s="7" t="inlineStr">
        <is>
          <t>https://wol.jw.org/en/wol/d/r1/lp-e/1200271388</t>
        </is>
      </c>
      <c r="AA1589" s="7" t="n">
        <v>0</v>
      </c>
      <c r="AB1589" s="7" t="n"/>
      <c r="AC1589" s="7" t="n">
        <v>0</v>
      </c>
      <c r="AD1589" s="7" t="n"/>
      <c r="AE1589" s="7" t="n"/>
      <c r="AF1589" s="7" t="n"/>
      <c r="AG1589" s="7" t="n"/>
      <c r="AH1589" s="7" t="n"/>
      <c r="AI1589" s="7" t="inlineStr">
        <is>
          <t>Index list entry – app detail</t>
        </is>
      </c>
      <c r="AJ1589" s="7" t="n"/>
      <c r="AK1589" s="7" t="n"/>
      <c r="AL1589" s="7" t="n"/>
      <c r="AM1589" s="7" t="n">
        <v>1995</v>
      </c>
      <c r="AN1589" s="10" t="n"/>
      <c r="AO1589" s="10" t="n"/>
      <c r="AP1589" s="10" t="n"/>
      <c r="AQ1589" s="10" t="n"/>
    </row>
    <row r="1590">
      <c r="A1590" s="7" t="inlineStr">
        <is>
          <t>b9-0201</t>
        </is>
      </c>
      <c r="B1590" s="7" t="inlineStr">
        <is>
          <t>Point</t>
        </is>
      </c>
      <c r="C1590" s="7" t="n"/>
      <c r="D1590" s="7" t="inlineStr">
        <is>
          <t>1995</t>
        </is>
      </c>
      <c r="E1590" s="7" t="inlineStr">
        <is>
          <t>1995</t>
        </is>
      </c>
      <c r="F1590" s="7" t="inlineStr">
        <is>
          <t>1995 CE</t>
        </is>
      </c>
      <c r="G1590" s="7" t="inlineStr">
        <is>
          <t>Exact</t>
        </is>
      </c>
      <c r="H1590" s="7" t="n"/>
      <c r="I1590" s="7" t="n"/>
      <c r="J1590" s="7" t="n"/>
      <c r="K1590" s="2" t="inlineStr">
        <is>
          <t>Knowledge That Leads to Everlasting Life published</t>
        </is>
      </c>
      <c r="L1590" s="2" t="inlineStr">
        <is>
          <t>பைபிள் படிப்பு நடத்துவதற்காக கடவுளுடைய ஊழியர்களுக்கு உதவிய இன்னும் சில புத்தகங்கள்: கடவுளுடைய சுரமண்டலம் (1921, ஆங்கிலம்), தேவனே…</t>
        </is>
      </c>
      <c r="M1590" s="7" t="inlineStr">
        <is>
          <t>The Bible study aid Knowledge That Leads to Everlasting Life was published in 1995.</t>
        </is>
      </c>
      <c r="N1590" s="7" t="inlineStr">
        <is>
          <t>பைபிள் படிப்பு நடத்துவதற்காக கடவுளுடைய ஊழியர்களுக்கு உதவிய இன்னும் சில புத்தகங்கள்: கடவுளுடைய சுரமண்டலம் (1921, ஆங்கிலம்), தேவனே சத்தியபரர் (1946, ஆங்கிலம்), நீங்கள் பூமியில் பரதீஸில் என்றும் வாழலாம் (1989), நித்திய ஜீவனுக்கு வழிநடத்துகிற அறிவு (1995).</t>
        </is>
      </c>
      <c r="O1590" s="13" t="inlineStr">
        <is>
          <t>Jehovah's Witnesses</t>
        </is>
      </c>
      <c r="P1590" s="7" t="inlineStr">
        <is>
          <t>jw.publication</t>
        </is>
      </c>
      <c r="Q1590" s="7" t="inlineStr">
        <is>
          <t>release</t>
        </is>
      </c>
      <c r="R1590" s="7" t="n"/>
      <c r="S1590" s="7" t="n"/>
      <c r="T1590" s="7" t="n"/>
      <c r="U1590" s="7" t="n"/>
      <c r="V1590" s="7" t="n">
        <v>1</v>
      </c>
      <c r="W1590" s="7" t="inlineStr">
        <is>
          <t>Tools for Preaching</t>
        </is>
      </c>
      <c r="X1590" s="9" t="inlineStr">
        <is>
          <t>open</t>
        </is>
      </c>
      <c r="Y1590" s="9" t="inlineStr">
        <is>
          <t>open</t>
        </is>
      </c>
      <c r="Z1590" s="7" t="inlineStr">
        <is>
          <t>https://wol.jw.org/en/wol/d/r1/lp-e/1102014247</t>
        </is>
      </c>
      <c r="AA1590" s="7" t="n">
        <v>0</v>
      </c>
      <c r="AB1590" s="7" t="n"/>
      <c r="AC1590" s="7" t="n">
        <v>0</v>
      </c>
      <c r="AD1590" s="7" t="n"/>
      <c r="AE1590" s="7" t="n"/>
      <c r="AF1590" s="7" t="n"/>
      <c r="AG1590" s="7" t="n"/>
      <c r="AH1590" s="7" t="n"/>
      <c r="AI1590" s="7" t="n"/>
      <c r="AJ1590" s="7" t="n"/>
      <c r="AK1590" s="7" t="n"/>
      <c r="AL1590" s="7" t="n"/>
      <c r="AM1590" s="7" t="n">
        <v>1995</v>
      </c>
      <c r="AN1590" s="10" t="n"/>
      <c r="AO1590" s="10" t="n"/>
      <c r="AP1590" s="10" t="n"/>
      <c r="AQ1590" s="10" t="n"/>
    </row>
    <row r="1591">
      <c r="A1591" s="7" t="inlineStr">
        <is>
          <t>b9-0202</t>
        </is>
      </c>
      <c r="B1591" s="7" t="inlineStr">
        <is>
          <t>Point</t>
        </is>
      </c>
      <c r="C1591" s="7" t="n"/>
      <c r="D1591" s="7" t="inlineStr">
        <is>
          <t>1996</t>
        </is>
      </c>
      <c r="E1591" s="7" t="n"/>
      <c r="F1591" s="7" t="inlineStr">
        <is>
          <t>1996 CE</t>
        </is>
      </c>
      <c r="G1591" s="7" t="inlineStr">
        <is>
          <t>Exact</t>
        </is>
      </c>
      <c r="H1591" s="7" t="n"/>
      <c r="I1591" s="7" t="n"/>
      <c r="J1591" s="7" t="n"/>
      <c r="K1591" s="2" t="inlineStr">
        <is>
          <t>Understanding clarified: acceptability of customary (tribal) marriage</t>
        </is>
      </c>
      <c r="L1591" s="2" t="n"/>
      <c r="M1591" s="7" t="inlineStr">
        <is>
          <t>The Watch Tower Publications Index (“Beliefs Clarified,” list by year) records a clarified understanding in 1996 concerning acceptability of customary (tribal) marriage. Index references: g96 12/8 23.</t>
        </is>
      </c>
      <c r="N1591" s="7" t="n"/>
      <c r="O1591" s="13" t="inlineStr">
        <is>
          <t>Jehovah's Witnesses</t>
        </is>
      </c>
      <c r="P1591" s="7" t="inlineStr">
        <is>
          <t>jw.doctrine</t>
        </is>
      </c>
      <c r="Q1591" s="7" t="inlineStr">
        <is>
          <t>beliefs_clarified</t>
        </is>
      </c>
      <c r="R1591" s="7" t="n"/>
      <c r="S1591" s="7" t="n"/>
      <c r="T1591" s="7" t="n"/>
      <c r="U1591" s="7" t="n"/>
      <c r="V1591" s="7" t="n">
        <v>1</v>
      </c>
      <c r="W1591" s="7" t="inlineStr">
        <is>
          <t>Beliefs Clarified</t>
        </is>
      </c>
      <c r="X1591" s="9" t="inlineStr">
        <is>
          <t>open</t>
        </is>
      </c>
      <c r="Y1591" s="7" t="n"/>
      <c r="Z1591" s="7" t="inlineStr">
        <is>
          <t>https://wol.jw.org/en/wol/d/r1/lp-e/1200277174</t>
        </is>
      </c>
      <c r="AA1591" s="7" t="n">
        <v>0</v>
      </c>
      <c r="AB1591" s="7" t="n"/>
      <c r="AC1591" s="7" t="n">
        <v>0</v>
      </c>
      <c r="AD1591" s="7" t="n"/>
      <c r="AE1591" s="7" t="n"/>
      <c r="AF1591" s="7" t="n"/>
      <c r="AG1591" s="7" t="n"/>
      <c r="AH1591" s="7" t="n"/>
      <c r="AI1591" s="7" t="inlineStr">
        <is>
          <t>Index list entry – app detail</t>
        </is>
      </c>
      <c r="AJ1591" s="7" t="n"/>
      <c r="AK1591" s="7" t="n"/>
      <c r="AL1591" s="7" t="n"/>
      <c r="AM1591" s="7" t="n">
        <v>1996</v>
      </c>
      <c r="AN1591" s="10" t="n"/>
      <c r="AO1591" s="10" t="n"/>
      <c r="AP1591" s="10" t="n"/>
      <c r="AQ1591" s="10" t="n"/>
    </row>
    <row r="1592">
      <c r="A1592" s="7" t="inlineStr">
        <is>
          <t>b9-0203</t>
        </is>
      </c>
      <c r="B1592" s="7" t="inlineStr">
        <is>
          <t>Point</t>
        </is>
      </c>
      <c r="C1592" s="7" t="n"/>
      <c r="D1592" s="7" t="inlineStr">
        <is>
          <t>1996</t>
        </is>
      </c>
      <c r="E1592" s="7" t="n"/>
      <c r="F1592" s="7" t="inlineStr">
        <is>
          <t>1996 CE</t>
        </is>
      </c>
      <c r="G1592" s="7" t="inlineStr">
        <is>
          <t>Exact</t>
        </is>
      </c>
      <c r="H1592" s="7" t="n"/>
      <c r="I1592" s="7" t="n"/>
      <c r="J1592" s="7" t="n"/>
      <c r="K1592" s="2" t="inlineStr">
        <is>
          <t>Understanding clarified: civilian service in lieu of military service</t>
        </is>
      </c>
      <c r="L1592" s="2" t="n"/>
      <c r="M1592" s="7" t="inlineStr">
        <is>
          <t>The Watch Tower Publications Index (“Beliefs Clarified,” list by year) records a clarified understanding in 1996 concerning civilian service in lieu of military service. Index references: yb97 16; w96 5/1 19-20.</t>
        </is>
      </c>
      <c r="N1592" s="7" t="n"/>
      <c r="O1592" s="13" t="inlineStr">
        <is>
          <t>Jehovah's Witnesses</t>
        </is>
      </c>
      <c r="P1592" s="7" t="inlineStr">
        <is>
          <t>jw.doctrine</t>
        </is>
      </c>
      <c r="Q1592" s="7" t="inlineStr">
        <is>
          <t>beliefs_clarified</t>
        </is>
      </c>
      <c r="R1592" s="7" t="n"/>
      <c r="S1592" s="7" t="n"/>
      <c r="T1592" s="7" t="n"/>
      <c r="U1592" s="7" t="n"/>
      <c r="V1592" s="7" t="n">
        <v>1</v>
      </c>
      <c r="W1592" s="7" t="inlineStr">
        <is>
          <t>Beliefs Clarified</t>
        </is>
      </c>
      <c r="X1592" s="9" t="inlineStr">
        <is>
          <t>open</t>
        </is>
      </c>
      <c r="Y1592" s="7" t="n"/>
      <c r="Z1592" s="7" t="inlineStr">
        <is>
          <t>https://wol.jw.org/en/wol/d/r1/lp-e/1200277174</t>
        </is>
      </c>
      <c r="AA1592" s="7" t="n">
        <v>0</v>
      </c>
      <c r="AB1592" s="7" t="n"/>
      <c r="AC1592" s="7" t="n">
        <v>0</v>
      </c>
      <c r="AD1592" s="7" t="n"/>
      <c r="AE1592" s="7" t="n"/>
      <c r="AF1592" s="7" t="n"/>
      <c r="AG1592" s="7" t="n"/>
      <c r="AH1592" s="7" t="n"/>
      <c r="AI1592" s="7" t="inlineStr">
        <is>
          <t>Index list entry – app detail</t>
        </is>
      </c>
      <c r="AJ1592" s="7" t="n"/>
      <c r="AK1592" s="7" t="n"/>
      <c r="AL1592" s="7" t="n"/>
      <c r="AM1592" s="7" t="n">
        <v>1996</v>
      </c>
      <c r="AN1592" s="10" t="n"/>
      <c r="AO1592" s="10" t="n"/>
      <c r="AP1592" s="10" t="n"/>
      <c r="AQ1592" s="10" t="n"/>
    </row>
    <row r="1593">
      <c r="A1593" s="7" t="inlineStr">
        <is>
          <t>b9-0204</t>
        </is>
      </c>
      <c r="B1593" s="7" t="inlineStr">
        <is>
          <t>Point</t>
        </is>
      </c>
      <c r="C1593" s="7" t="n"/>
      <c r="D1593" s="7" t="inlineStr">
        <is>
          <t>1996</t>
        </is>
      </c>
      <c r="E1593" s="7" t="n"/>
      <c r="F1593" s="7" t="inlineStr">
        <is>
          <t>1996 CE</t>
        </is>
      </c>
      <c r="G1593" s="7" t="inlineStr">
        <is>
          <t>Exact</t>
        </is>
      </c>
      <c r="H1593" s="7" t="n"/>
      <c r="I1593" s="7" t="n"/>
      <c r="J1593" s="7" t="n"/>
      <c r="K1593" s="2" t="inlineStr">
        <is>
          <t>Understanding clarified: “flesh” saved through great tribulation (Matt. 24:22)</t>
        </is>
      </c>
      <c r="L1593" s="2" t="n"/>
      <c r="M1593" s="7" t="inlineStr">
        <is>
          <t>The Watch Tower Publications Index (“Beliefs Clarified,” list by year) records a clarified understanding in 1996 concerning “flesh” saved through great tribulation (Matt. 24:22). Index references: w96 8/15 15-20.</t>
        </is>
      </c>
      <c r="N1593" s="7" t="n"/>
      <c r="O1593" s="13" t="inlineStr">
        <is>
          <t>Jehovah's Witnesses</t>
        </is>
      </c>
      <c r="P1593" s="7" t="inlineStr">
        <is>
          <t>jw.doctrine</t>
        </is>
      </c>
      <c r="Q1593" s="7" t="inlineStr">
        <is>
          <t>beliefs_clarified</t>
        </is>
      </c>
      <c r="R1593" s="7" t="n"/>
      <c r="S1593" s="7" t="n"/>
      <c r="T1593" s="7" t="inlineStr">
        <is>
          <t>Matt. 24:22</t>
        </is>
      </c>
      <c r="U1593" s="7" t="n"/>
      <c r="V1593" s="7" t="n">
        <v>1</v>
      </c>
      <c r="W1593" s="7" t="inlineStr">
        <is>
          <t>Beliefs Clarified</t>
        </is>
      </c>
      <c r="X1593" s="9" t="inlineStr">
        <is>
          <t>open</t>
        </is>
      </c>
      <c r="Y1593" s="7" t="n"/>
      <c r="Z1593" s="7" t="inlineStr">
        <is>
          <t>https://wol.jw.org/en/wol/d/r1/lp-e/1200277174</t>
        </is>
      </c>
      <c r="AA1593" s="7" t="n">
        <v>0</v>
      </c>
      <c r="AB1593" s="7" t="n"/>
      <c r="AC1593" s="7" t="n">
        <v>0</v>
      </c>
      <c r="AD1593" s="7" t="n"/>
      <c r="AE1593" s="7" t="n"/>
      <c r="AF1593" s="7" t="n"/>
      <c r="AG1593" s="7" t="n"/>
      <c r="AH1593" s="7" t="n"/>
      <c r="AI1593" s="7" t="inlineStr">
        <is>
          <t>Index list entry – app detail</t>
        </is>
      </c>
      <c r="AJ1593" s="7" t="n"/>
      <c r="AK1593" s="7" t="n"/>
      <c r="AL1593" s="7" t="n"/>
      <c r="AM1593" s="7" t="n">
        <v>1996</v>
      </c>
      <c r="AN1593" s="10" t="n"/>
      <c r="AO1593" s="10" t="n"/>
      <c r="AP1593" s="10" t="n"/>
      <c r="AQ1593" s="10" t="n"/>
    </row>
    <row r="1594">
      <c r="A1594" s="7" t="inlineStr">
        <is>
          <t>b9-0205</t>
        </is>
      </c>
      <c r="B1594" s="7" t="inlineStr">
        <is>
          <t>Point</t>
        </is>
      </c>
      <c r="C1594" s="7" t="n"/>
      <c r="D1594" s="7" t="inlineStr">
        <is>
          <t>1996</t>
        </is>
      </c>
      <c r="E1594" s="7" t="n"/>
      <c r="F1594" s="7" t="inlineStr">
        <is>
          <t>1996 CE</t>
        </is>
      </c>
      <c r="G1594" s="7" t="inlineStr">
        <is>
          <t>Exact</t>
        </is>
      </c>
      <c r="H1594" s="7" t="n"/>
      <c r="I1594" s="7" t="n"/>
      <c r="J1594" s="7" t="n"/>
      <c r="K1594" s="2" t="inlineStr">
        <is>
          <t>Understanding clarified: great tribulation “cut short” (Matt. 24:22)</t>
        </is>
      </c>
      <c r="L1594" s="2" t="n"/>
      <c r="M1594" s="7" t="inlineStr">
        <is>
          <t>The Watch Tower Publications Index (“Beliefs Clarified,” list by year) records a clarified understanding in 1996 concerning great tribulation “cut short” (Matt. 24:22). Index references: w96 8/15 17-18.</t>
        </is>
      </c>
      <c r="N1594" s="7" t="n"/>
      <c r="O1594" s="13" t="inlineStr">
        <is>
          <t>Jehovah's Witnesses</t>
        </is>
      </c>
      <c r="P1594" s="7" t="inlineStr">
        <is>
          <t>jw.doctrine</t>
        </is>
      </c>
      <c r="Q1594" s="7" t="inlineStr">
        <is>
          <t>beliefs_clarified</t>
        </is>
      </c>
      <c r="R1594" s="7" t="n"/>
      <c r="S1594" s="7" t="n"/>
      <c r="T1594" s="7" t="inlineStr">
        <is>
          <t>Matt. 24:22</t>
        </is>
      </c>
      <c r="U1594" s="7" t="n"/>
      <c r="V1594" s="7" t="n">
        <v>1</v>
      </c>
      <c r="W1594" s="7" t="inlineStr">
        <is>
          <t>Beliefs Clarified</t>
        </is>
      </c>
      <c r="X1594" s="9" t="inlineStr">
        <is>
          <t>open</t>
        </is>
      </c>
      <c r="Y1594" s="7" t="n"/>
      <c r="Z1594" s="7" t="inlineStr">
        <is>
          <t>https://wol.jw.org/en/wol/d/r1/lp-e/1200277174</t>
        </is>
      </c>
      <c r="AA1594" s="7" t="n">
        <v>0</v>
      </c>
      <c r="AB1594" s="7" t="n"/>
      <c r="AC1594" s="7" t="n">
        <v>0</v>
      </c>
      <c r="AD1594" s="7" t="n"/>
      <c r="AE1594" s="7" t="n"/>
      <c r="AF1594" s="7" t="n"/>
      <c r="AG1594" s="7" t="n"/>
      <c r="AH1594" s="7" t="n"/>
      <c r="AI1594" s="7" t="inlineStr">
        <is>
          <t>Index list entry – app detail</t>
        </is>
      </c>
      <c r="AJ1594" s="7" t="n"/>
      <c r="AK1594" s="7" t="n"/>
      <c r="AL1594" s="7" t="n"/>
      <c r="AM1594" s="7" t="n">
        <v>1996</v>
      </c>
      <c r="AN1594" s="10" t="n"/>
      <c r="AO1594" s="10" t="n"/>
      <c r="AP1594" s="10" t="n"/>
      <c r="AQ1594" s="10" t="n"/>
    </row>
    <row r="1595">
      <c r="A1595" s="7" t="inlineStr">
        <is>
          <t>b9-0206</t>
        </is>
      </c>
      <c r="B1595" s="7" t="inlineStr">
        <is>
          <t>Point</t>
        </is>
      </c>
      <c r="C1595" s="7" t="n"/>
      <c r="D1595" s="7" t="inlineStr">
        <is>
          <t>1996</t>
        </is>
      </c>
      <c r="E1595" s="7" t="n"/>
      <c r="F1595" s="7" t="inlineStr">
        <is>
          <t>1996 CE</t>
        </is>
      </c>
      <c r="G1595" s="7" t="inlineStr">
        <is>
          <t>Exact</t>
        </is>
      </c>
      <c r="H1595" s="7" t="n"/>
      <c r="I1595" s="7" t="n"/>
      <c r="J1595" s="7" t="n"/>
      <c r="K1595" s="2" t="inlineStr">
        <is>
          <t>1996: “Messengers of Godly Peace” District Conventions</t>
        </is>
      </c>
      <c r="L1595" s="2" t="n"/>
      <c r="M1595" s="7" t="inlineStr">
        <is>
          <t>The Watch Tower Publications Index lists the 1996 conventions of Jehovah’s Witnesses as “Messengers of Godly Peace” District Conventions.</t>
        </is>
      </c>
      <c r="N1595" s="7" t="n"/>
      <c r="O1595" s="13" t="inlineStr">
        <is>
          <t>Jehovah's Witnesses</t>
        </is>
      </c>
      <c r="P1595" s="7" t="inlineStr">
        <is>
          <t>jw.convention</t>
        </is>
      </c>
      <c r="Q1595" s="7" t="inlineStr">
        <is>
          <t>convention</t>
        </is>
      </c>
      <c r="R1595" s="7" t="n"/>
      <c r="S1595" s="7" t="n"/>
      <c r="T1595" s="7" t="n"/>
      <c r="U1595" s="7" t="n"/>
      <c r="V1595" s="7" t="n">
        <v>1</v>
      </c>
      <c r="W1595" s="7" t="inlineStr">
        <is>
          <t>Conventions</t>
        </is>
      </c>
      <c r="X1595" s="9" t="inlineStr">
        <is>
          <t>open</t>
        </is>
      </c>
      <c r="Y1595" s="7" t="n"/>
      <c r="Z1595" s="7" t="inlineStr">
        <is>
          <t>https://wol.jw.org/en/wol/d/r1/lp-e/1200271388</t>
        </is>
      </c>
      <c r="AA1595" s="7" t="n">
        <v>0</v>
      </c>
      <c r="AB1595" s="7" t="n"/>
      <c r="AC1595" s="7" t="n">
        <v>0</v>
      </c>
      <c r="AD1595" s="7" t="n"/>
      <c r="AE1595" s="7" t="n"/>
      <c r="AF1595" s="7" t="n"/>
      <c r="AG1595" s="7" t="n"/>
      <c r="AH1595" s="7" t="n"/>
      <c r="AI1595" s="7" t="inlineStr">
        <is>
          <t>Index list entry – app detail</t>
        </is>
      </c>
      <c r="AJ1595" s="7" t="n"/>
      <c r="AK1595" s="7" t="n"/>
      <c r="AL1595" s="7" t="n"/>
      <c r="AM1595" s="7" t="n">
        <v>1996</v>
      </c>
      <c r="AN1595" s="10" t="n"/>
      <c r="AO1595" s="10" t="n"/>
      <c r="AP1595" s="10" t="n"/>
      <c r="AQ1595" s="10" t="n"/>
    </row>
    <row r="1596">
      <c r="A1596" s="7" t="inlineStr">
        <is>
          <t>b9-0207</t>
        </is>
      </c>
      <c r="B1596" s="7" t="inlineStr">
        <is>
          <t>Point</t>
        </is>
      </c>
      <c r="C1596" s="7" t="n"/>
      <c r="D1596" s="7" t="inlineStr">
        <is>
          <t>1996</t>
        </is>
      </c>
      <c r="E1596" s="7" t="inlineStr">
        <is>
          <t>1996</t>
        </is>
      </c>
      <c r="F1596" s="7" t="inlineStr">
        <is>
          <t>1996 CE</t>
        </is>
      </c>
      <c r="G1596" s="7" t="inlineStr">
        <is>
          <t>Exact</t>
        </is>
      </c>
      <c r="H1596" s="7" t="n"/>
      <c r="I1596" s="7" t="n"/>
      <c r="J1596" s="7" t="n"/>
      <c r="K1596" s="2" t="inlineStr">
        <is>
          <t>ECHR rules for Manoussakis (Greece)</t>
        </is>
      </c>
      <c r="L1596" s="2" t="inlineStr">
        <is>
          <t>1996-ல் ECHR-ன் தீர்ப்பு, உண்மை வணக்கத்தை எதிர்த்தவர்களுக்குப் பேரடியாக இருந்தது.</t>
        </is>
      </c>
      <c r="M1596" s="7" t="inlineStr">
        <is>
          <t>In 1996 the European Court of Human Rights ruled in the Manoussakis case, a major victory for freedom of worship in Greece.</t>
        </is>
      </c>
      <c r="N1596" s="7" t="inlineStr">
        <is>
          <t>1996-ல் ECHR-ன் தீர்ப்பு, உண்மை வணக்கத்தை எதிர்த்தவர்களுக்குப் பேரடியாக இருந்தது.</t>
        </is>
      </c>
      <c r="O1596" s="13" t="inlineStr">
        <is>
          <t>Jehovah's Witnesses</t>
        </is>
      </c>
      <c r="P1596" s="7" t="inlineStr">
        <is>
          <t>jw.legal</t>
        </is>
      </c>
      <c r="Q1596" s="7" t="inlineStr">
        <is>
          <t>court_ruling</t>
        </is>
      </c>
      <c r="R1596" s="7" t="n"/>
      <c r="S1596" s="7" t="inlineStr">
        <is>
          <t>Greece</t>
        </is>
      </c>
      <c r="T1596" s="7" t="n"/>
      <c r="U1596" s="7" t="n"/>
      <c r="V1596" s="7" t="n">
        <v>1</v>
      </c>
      <c r="W1596" s="7" t="inlineStr">
        <is>
          <t>Fighting for Freedom to Worship</t>
        </is>
      </c>
      <c r="X1596" s="9" t="inlineStr">
        <is>
          <t>open</t>
        </is>
      </c>
      <c r="Y1596" s="9" t="inlineStr">
        <is>
          <t>open</t>
        </is>
      </c>
      <c r="Z1596" s="7" t="inlineStr">
        <is>
          <t>https://wol.jw.org/en/wol/d/r1/lp-e/1102014254</t>
        </is>
      </c>
      <c r="AA1596" s="7" t="n">
        <v>0</v>
      </c>
      <c r="AB1596" s="7" t="n"/>
      <c r="AC1596" s="7" t="n">
        <v>0</v>
      </c>
      <c r="AD1596" s="7" t="n"/>
      <c r="AE1596" s="7" t="n"/>
      <c r="AF1596" s="7" t="n"/>
      <c r="AG1596" s="7" t="n"/>
      <c r="AH1596" s="7" t="n"/>
      <c r="AI1596" s="7" t="n"/>
      <c r="AJ1596" s="7" t="n"/>
      <c r="AK1596" s="7" t="n"/>
      <c r="AL1596" s="7" t="n"/>
      <c r="AM1596" s="7" t="n">
        <v>1996</v>
      </c>
      <c r="AN1596" s="10" t="n"/>
      <c r="AO1596" s="10" t="n"/>
      <c r="AP1596" s="10" t="n"/>
      <c r="AQ1596" s="10" t="n"/>
    </row>
    <row r="1597">
      <c r="A1597" s="7" t="inlineStr">
        <is>
          <t>b9-0208</t>
        </is>
      </c>
      <c r="B1597" s="7" t="inlineStr">
        <is>
          <t>Point</t>
        </is>
      </c>
      <c r="C1597" s="7" t="n"/>
      <c r="D1597" s="7" t="inlineStr">
        <is>
          <t>1996</t>
        </is>
      </c>
      <c r="E1597" s="7" t="inlineStr">
        <is>
          <t>1996</t>
        </is>
      </c>
      <c r="F1597" s="7" t="inlineStr">
        <is>
          <t>1996 CE</t>
        </is>
      </c>
      <c r="G1597" s="7" t="inlineStr">
        <is>
          <t>Exact</t>
        </is>
      </c>
      <c r="H1597" s="7" t="n"/>
      <c r="I1597" s="7" t="n"/>
      <c r="J1597" s="7" t="n"/>
      <c r="K1597" s="2" t="inlineStr">
        <is>
          <t>Weekly radio program in Apia, Samoa</t>
        </is>
      </c>
      <c r="L1597" s="2" t="inlineStr">
        <is>
          <t>1996-ல் அபியாவிலிருந்த (தென் பசிபிக் நாடான சமோவாவின் தலைநகர்) வானொலி நிலையம் “உங்கள் பைபிள் கேள்விகளுக்குப் பதில்கள்”</t>
        </is>
      </c>
      <c r="M1597" s="7" t="inlineStr">
        <is>
          <t>In 1996 a radio station in Apia, Samoa, transmitted a weekly program entitled “Answers to Your Bible Questions.”</t>
        </is>
      </c>
      <c r="N1597" s="7" t="inlineStr">
        <is>
          <t>1996-ல் அபியாவிலிருந்த (தென் பசிபிக் நாடான சமோவாவின் தலைநகர்) வானொலி நிலையம் “உங்கள் பைபிள் கேள்விகளுக்குப் பதில்கள்”</t>
        </is>
      </c>
      <c r="O1597" s="13" t="inlineStr">
        <is>
          <t>Jehovah's Witnesses</t>
        </is>
      </c>
      <c r="P1597" s="7" t="inlineStr">
        <is>
          <t>jw.preaching</t>
        </is>
      </c>
      <c r="Q1597" s="7" t="n"/>
      <c r="R1597" s="7" t="n"/>
      <c r="S1597" s="7" t="inlineStr">
        <is>
          <t>Apia, Samoa</t>
        </is>
      </c>
      <c r="T1597" s="7" t="n"/>
      <c r="U1597" s="7" t="n"/>
      <c r="V1597" s="7" t="n">
        <v>1</v>
      </c>
      <c r="W1597" s="7" t="inlineStr">
        <is>
          <t>Methods of Preaching</t>
        </is>
      </c>
      <c r="X1597" s="9" t="inlineStr">
        <is>
          <t>open</t>
        </is>
      </c>
      <c r="Y1597" s="9" t="inlineStr">
        <is>
          <t>open</t>
        </is>
      </c>
      <c r="Z1597" s="7" t="inlineStr">
        <is>
          <t>https://wol.jw.org/en/wol/d/r1/lp-e/1102014246</t>
        </is>
      </c>
      <c r="AA1597" s="7" t="n">
        <v>0</v>
      </c>
      <c r="AB1597" s="7" t="n"/>
      <c r="AC1597" s="7" t="n">
        <v>0</v>
      </c>
      <c r="AD1597" s="7" t="n"/>
      <c r="AE1597" s="7" t="n"/>
      <c r="AF1597" s="7" t="n"/>
      <c r="AG1597" s="7" t="n"/>
      <c r="AH1597" s="7" t="n"/>
      <c r="AI1597" s="7" t="n"/>
      <c r="AJ1597" s="7" t="n"/>
      <c r="AK1597" s="7" t="n"/>
      <c r="AL1597" s="7" t="n"/>
      <c r="AM1597" s="7" t="n">
        <v>1996</v>
      </c>
      <c r="AN1597" s="10" t="n"/>
      <c r="AO1597" s="10" t="n"/>
      <c r="AP1597" s="10" t="n"/>
      <c r="AQ1597" s="10" t="n"/>
    </row>
    <row r="1598">
      <c r="A1598" s="7" t="inlineStr">
        <is>
          <t>b9-0209</t>
        </is>
      </c>
      <c r="B1598" s="7" t="inlineStr">
        <is>
          <t>Point</t>
        </is>
      </c>
      <c r="C1598" s="7" t="n"/>
      <c r="D1598" s="7" t="inlineStr">
        <is>
          <t>1997</t>
        </is>
      </c>
      <c r="E1598" s="7" t="n"/>
      <c r="F1598" s="7" t="inlineStr">
        <is>
          <t>1997 CE</t>
        </is>
      </c>
      <c r="G1598" s="7" t="inlineStr">
        <is>
          <t>Exact</t>
        </is>
      </c>
      <c r="H1598" s="7" t="n"/>
      <c r="I1598" s="7" t="n"/>
      <c r="J1598" s="7" t="n"/>
      <c r="K1598" s="2" t="inlineStr">
        <is>
          <t>Understanding clarified: transfiguration vision (Matt. 17; Mark 9; Luke 9)</t>
        </is>
      </c>
      <c r="L1598" s="2" t="n"/>
      <c r="M1598" s="7" t="inlineStr">
        <is>
          <t>The Watch Tower Publications Index (“Beliefs Clarified,” list by year) records a clarified understanding in 1997 concerning transfiguration vision (Matt. 17; Mark 9; Luke 9). Index references: w97 5/15 9-14.</t>
        </is>
      </c>
      <c r="N1598" s="7" t="n"/>
      <c r="O1598" s="13" t="inlineStr">
        <is>
          <t>Jehovah's Witnesses</t>
        </is>
      </c>
      <c r="P1598" s="7" t="inlineStr">
        <is>
          <t>jw.doctrine</t>
        </is>
      </c>
      <c r="Q1598" s="7" t="inlineStr">
        <is>
          <t>beliefs_clarified</t>
        </is>
      </c>
      <c r="R1598" s="7" t="n"/>
      <c r="S1598" s="7" t="n"/>
      <c r="T1598" s="7" t="inlineStr">
        <is>
          <t>Matt. 17; Mark 9; Luke 9</t>
        </is>
      </c>
      <c r="U1598" s="7" t="n"/>
      <c r="V1598" s="7" t="n">
        <v>1</v>
      </c>
      <c r="W1598" s="7" t="inlineStr">
        <is>
          <t>Beliefs Clarified</t>
        </is>
      </c>
      <c r="X1598" s="9" t="inlineStr">
        <is>
          <t>open</t>
        </is>
      </c>
      <c r="Y1598" s="7" t="n"/>
      <c r="Z1598" s="7" t="inlineStr">
        <is>
          <t>https://wol.jw.org/en/wol/d/r1/lp-e/1200277174</t>
        </is>
      </c>
      <c r="AA1598" s="7" t="n">
        <v>0</v>
      </c>
      <c r="AB1598" s="7" t="n"/>
      <c r="AC1598" s="7" t="n">
        <v>0</v>
      </c>
      <c r="AD1598" s="7" t="n"/>
      <c r="AE1598" s="7" t="n"/>
      <c r="AF1598" s="7" t="n"/>
      <c r="AG1598" s="7" t="n"/>
      <c r="AH1598" s="7" t="n"/>
      <c r="AI1598" s="7" t="inlineStr">
        <is>
          <t>Index list entry – app detail</t>
        </is>
      </c>
      <c r="AJ1598" s="7" t="n"/>
      <c r="AK1598" s="7" t="n"/>
      <c r="AL1598" s="7" t="n"/>
      <c r="AM1598" s="7" t="n">
        <v>1997</v>
      </c>
      <c r="AN1598" s="10" t="n"/>
      <c r="AO1598" s="10" t="n"/>
      <c r="AP1598" s="10" t="n"/>
      <c r="AQ1598" s="10" t="n"/>
    </row>
    <row r="1599">
      <c r="A1599" s="7" t="inlineStr">
        <is>
          <t>b9-0210</t>
        </is>
      </c>
      <c r="B1599" s="7" t="inlineStr">
        <is>
          <t>Point</t>
        </is>
      </c>
      <c r="C1599" s="7" t="n"/>
      <c r="D1599" s="7" t="inlineStr">
        <is>
          <t>1997</t>
        </is>
      </c>
      <c r="E1599" s="7" t="n"/>
      <c r="F1599" s="7" t="inlineStr">
        <is>
          <t>1997 CE</t>
        </is>
      </c>
      <c r="G1599" s="7" t="inlineStr">
        <is>
          <t>Exact</t>
        </is>
      </c>
      <c r="H1599" s="7" t="n"/>
      <c r="I1599" s="7" t="n"/>
      <c r="J1599" s="7" t="n"/>
      <c r="K1599" s="2" t="inlineStr">
        <is>
          <t>1997: “Faith in God’s Word” District Conventions</t>
        </is>
      </c>
      <c r="L1599" s="2" t="n"/>
      <c r="M1599" s="7" t="inlineStr">
        <is>
          <t>The Watch Tower Publications Index lists the 1997 conventions of Jehovah’s Witnesses as “Faith in God’s Word” District Conventions.</t>
        </is>
      </c>
      <c r="N1599" s="7" t="n"/>
      <c r="O1599" s="13" t="inlineStr">
        <is>
          <t>Jehovah's Witnesses</t>
        </is>
      </c>
      <c r="P1599" s="7" t="inlineStr">
        <is>
          <t>jw.convention</t>
        </is>
      </c>
      <c r="Q1599" s="7" t="inlineStr">
        <is>
          <t>convention</t>
        </is>
      </c>
      <c r="R1599" s="7" t="n"/>
      <c r="S1599" s="7" t="n"/>
      <c r="T1599" s="7" t="n"/>
      <c r="U1599" s="7" t="n"/>
      <c r="V1599" s="7" t="n">
        <v>1</v>
      </c>
      <c r="W1599" s="7" t="inlineStr">
        <is>
          <t>Conventions</t>
        </is>
      </c>
      <c r="X1599" s="9" t="inlineStr">
        <is>
          <t>open</t>
        </is>
      </c>
      <c r="Y1599" s="7" t="n"/>
      <c r="Z1599" s="7" t="inlineStr">
        <is>
          <t>https://wol.jw.org/en/wol/d/r1/lp-e/1200271388</t>
        </is>
      </c>
      <c r="AA1599" s="7" t="n">
        <v>0</v>
      </c>
      <c r="AB1599" s="7" t="n"/>
      <c r="AC1599" s="7" t="n">
        <v>0</v>
      </c>
      <c r="AD1599" s="7" t="n"/>
      <c r="AE1599" s="7" t="n"/>
      <c r="AF1599" s="7" t="n"/>
      <c r="AG1599" s="7" t="n"/>
      <c r="AH1599" s="7" t="n"/>
      <c r="AI1599" s="7" t="inlineStr">
        <is>
          <t>Index list entry – app detail</t>
        </is>
      </c>
      <c r="AJ1599" s="7" t="n"/>
      <c r="AK1599" s="7" t="n"/>
      <c r="AL1599" s="7" t="n"/>
      <c r="AM1599" s="7" t="n">
        <v>1997</v>
      </c>
      <c r="AN1599" s="10" t="n"/>
      <c r="AO1599" s="10" t="n"/>
      <c r="AP1599" s="10" t="n"/>
      <c r="AQ1599" s="10" t="n"/>
    </row>
    <row r="1600">
      <c r="A1600" s="7" t="inlineStr">
        <is>
          <t>b9-0211</t>
        </is>
      </c>
      <c r="B1600" s="7" t="inlineStr">
        <is>
          <t>Point</t>
        </is>
      </c>
      <c r="C1600" s="7" t="n"/>
      <c r="D1600" s="7" t="inlineStr">
        <is>
          <t>1997</t>
        </is>
      </c>
      <c r="E1600" s="7" t="inlineStr">
        <is>
          <t>1997</t>
        </is>
      </c>
      <c r="F1600" s="7" t="inlineStr">
        <is>
          <t>1997 CE</t>
        </is>
      </c>
      <c r="G1600" s="7" t="inlineStr">
        <is>
          <t>Exact</t>
        </is>
      </c>
      <c r="H1600" s="7" t="n"/>
      <c r="I1600" s="7" t="n"/>
      <c r="J1600" s="7" t="n"/>
      <c r="K1600" s="2" t="inlineStr">
        <is>
          <t>Witnesses begin using the Internet</t>
        </is>
      </c>
      <c r="L1600" s="2" t="inlineStr">
        <is>
          <t>1997-லிருந்து யெகோவாவின் மக்கள் இன்டர்நெட்டைப் பயன்படுத்த ஆரம்பித்தார்கள்.</t>
        </is>
      </c>
      <c r="M1600" s="7" t="inlineStr">
        <is>
          <t>Starting in 1997, Jehovah’s people adopted the Internet as a means of mass communication; a kr timeline lists 1997 for the Internet. A 2022 jw.org report says 2022 marked 25 years of an official website.</t>
        </is>
      </c>
      <c r="N1600" s="7" t="inlineStr">
        <is>
          <t>1997-லிருந்து யெகோவாவின் மக்கள் இன்டர்நெட்டைப் பயன்படுத்த ஆரம்பித்தார்கள்.</t>
        </is>
      </c>
      <c r="O1600" s="13" t="inlineStr">
        <is>
          <t>Jehovah's Witnesses</t>
        </is>
      </c>
      <c r="P1600" s="7" t="inlineStr">
        <is>
          <t>jw.preaching</t>
        </is>
      </c>
      <c r="Q1600" s="7" t="n"/>
      <c r="R1600" s="7" t="n"/>
      <c r="S1600" s="7" t="n"/>
      <c r="T1600" s="7" t="n"/>
      <c r="U1600" s="7" t="n"/>
      <c r="V1600" s="7" t="n">
        <v>2</v>
      </c>
      <c r="W1600" s="7" t="inlineStr">
        <is>
          <t>Methods of Preaching</t>
        </is>
      </c>
      <c r="X1600" s="9" t="inlineStr">
        <is>
          <t>open</t>
        </is>
      </c>
      <c r="Y1600" s="9" t="inlineStr">
        <is>
          <t>open</t>
        </is>
      </c>
      <c r="Z1600" s="7" t="inlineStr">
        <is>
          <t>https://wol.jw.org/en/wol/d/r1/lp-e/1102014246
https://www.jw.org/en/news/region/global/A-Decade-of-JWORG-Part-1/</t>
        </is>
      </c>
      <c r="AA1600" s="7" t="n">
        <v>1</v>
      </c>
      <c r="AB1600" s="9" t="inlineStr">
        <is>
          <t>open</t>
        </is>
      </c>
      <c r="AC1600" s="7" t="n">
        <v>0</v>
      </c>
      <c r="AD1600" s="7" t="n"/>
      <c r="AE1600" s="7" t="n"/>
      <c r="AF1600" s="7" t="n"/>
      <c r="AG1600" s="7" t="n"/>
      <c r="AH1600" s="7" t="n"/>
      <c r="AI1600" s="7" t="n"/>
      <c r="AJ1600" s="7" t="n"/>
      <c r="AK1600" s="7" t="n"/>
      <c r="AL1600" s="7" t="n"/>
      <c r="AM1600" s="7" t="n">
        <v>1997</v>
      </c>
      <c r="AN1600" s="10" t="n"/>
      <c r="AO1600" s="10" t="n"/>
      <c r="AP1600" s="10" t="n"/>
      <c r="AQ1600" s="10" t="n"/>
    </row>
    <row r="1601">
      <c r="A1601" s="7" t="inlineStr">
        <is>
          <t>b9-0212</t>
        </is>
      </c>
      <c r="B1601" s="7" t="inlineStr">
        <is>
          <t>Point</t>
        </is>
      </c>
      <c r="C1601" s="7" t="n"/>
      <c r="D1601" s="7" t="inlineStr">
        <is>
          <t>1998</t>
        </is>
      </c>
      <c r="E1601" s="7" t="n"/>
      <c r="F1601" s="7" t="inlineStr">
        <is>
          <t>1998 CE</t>
        </is>
      </c>
      <c r="G1601" s="7" t="inlineStr">
        <is>
          <t>Exact</t>
        </is>
      </c>
      <c r="H1601" s="7" t="n"/>
      <c r="I1601" s="7" t="n"/>
      <c r="J1601" s="7" t="n"/>
      <c r="K1601" s="2" t="inlineStr">
        <is>
          <t>Understanding clarified: duration of new covenant (Heb. 13:20)</t>
        </is>
      </c>
      <c r="L1601" s="2" t="n"/>
      <c r="M1601" s="7" t="inlineStr">
        <is>
          <t>The Watch Tower Publications Index (“Beliefs Clarified,” list by year) records a clarified understanding in 1998 concerning duration of new covenant (Heb. 13:20). Index references: w98 2/1 22-23.</t>
        </is>
      </c>
      <c r="N1601" s="7" t="n"/>
      <c r="O1601" s="13" t="inlineStr">
        <is>
          <t>Jehovah's Witnesses</t>
        </is>
      </c>
      <c r="P1601" s="7" t="inlineStr">
        <is>
          <t>jw.doctrine</t>
        </is>
      </c>
      <c r="Q1601" s="7" t="inlineStr">
        <is>
          <t>beliefs_clarified</t>
        </is>
      </c>
      <c r="R1601" s="7" t="n"/>
      <c r="S1601" s="7" t="n"/>
      <c r="T1601" s="7" t="inlineStr">
        <is>
          <t>Heb. 13:20</t>
        </is>
      </c>
      <c r="U1601" s="7" t="n"/>
      <c r="V1601" s="7" t="n">
        <v>1</v>
      </c>
      <c r="W1601" s="7" t="inlineStr">
        <is>
          <t>Beliefs Clarified</t>
        </is>
      </c>
      <c r="X1601" s="9" t="inlineStr">
        <is>
          <t>open</t>
        </is>
      </c>
      <c r="Y1601" s="7" t="n"/>
      <c r="Z1601" s="7" t="inlineStr">
        <is>
          <t>https://wol.jw.org/en/wol/d/r1/lp-e/1200277174</t>
        </is>
      </c>
      <c r="AA1601" s="7" t="n">
        <v>0</v>
      </c>
      <c r="AB1601" s="7" t="n"/>
      <c r="AC1601" s="7" t="n">
        <v>0</v>
      </c>
      <c r="AD1601" s="7" t="n"/>
      <c r="AE1601" s="7" t="n"/>
      <c r="AF1601" s="7" t="n"/>
      <c r="AG1601" s="7" t="n"/>
      <c r="AH1601" s="7" t="n"/>
      <c r="AI1601" s="7" t="inlineStr">
        <is>
          <t>Index list entry – app detail</t>
        </is>
      </c>
      <c r="AJ1601" s="7" t="n"/>
      <c r="AK1601" s="7" t="inlineStr">
        <is>
          <t>covenants #21 (context)</t>
        </is>
      </c>
      <c r="AL1601" s="7" t="n"/>
      <c r="AM1601" s="7" t="n">
        <v>1998</v>
      </c>
      <c r="AN1601" s="10" t="n"/>
      <c r="AO1601" s="10" t="n"/>
      <c r="AP1601" s="10" t="n"/>
      <c r="AQ1601" s="10" t="n"/>
    </row>
    <row r="1602">
      <c r="A1602" s="7" t="inlineStr">
        <is>
          <t>b9-0213</t>
        </is>
      </c>
      <c r="B1602" s="7" t="inlineStr">
        <is>
          <t>Point</t>
        </is>
      </c>
      <c r="C1602" s="7" t="n"/>
      <c r="D1602" s="7" t="inlineStr">
        <is>
          <t>1998</t>
        </is>
      </c>
      <c r="E1602" s="7" t="n"/>
      <c r="F1602" s="7" t="inlineStr">
        <is>
          <t>1998 CE</t>
        </is>
      </c>
      <c r="G1602" s="7" t="inlineStr">
        <is>
          <t>Exact</t>
        </is>
      </c>
      <c r="H1602" s="7" t="n"/>
      <c r="I1602" s="7" t="n"/>
      <c r="J1602" s="7" t="n"/>
      <c r="K1602" s="2" t="inlineStr">
        <is>
          <t>Understanding clarified: nations blessed through Abraham’s seed (offspring) (Ge 22:18)</t>
        </is>
      </c>
      <c r="L1602" s="2" t="n"/>
      <c r="M1602" s="7" t="inlineStr">
        <is>
          <t>The Watch Tower Publications Index (“Beliefs Clarified,” list by year) records a clarified understanding in 1998 concerning nations blessed through Abraham’s seed (offspring) (Ge 22:18). Index references: w98 2/1 14-15.</t>
        </is>
      </c>
      <c r="N1602" s="7" t="n"/>
      <c r="O1602" s="13" t="inlineStr">
        <is>
          <t>Jehovah's Witnesses</t>
        </is>
      </c>
      <c r="P1602" s="7" t="inlineStr">
        <is>
          <t>jw.doctrine</t>
        </is>
      </c>
      <c r="Q1602" s="7" t="inlineStr">
        <is>
          <t>beliefs_clarified</t>
        </is>
      </c>
      <c r="R1602" s="7" t="n"/>
      <c r="S1602" s="7" t="n"/>
      <c r="T1602" s="7" t="n"/>
      <c r="U1602" s="7" t="n"/>
      <c r="V1602" s="7" t="n">
        <v>1</v>
      </c>
      <c r="W1602" s="7" t="inlineStr">
        <is>
          <t>Beliefs Clarified</t>
        </is>
      </c>
      <c r="X1602" s="9" t="inlineStr">
        <is>
          <t>open</t>
        </is>
      </c>
      <c r="Y1602" s="7" t="n"/>
      <c r="Z1602" s="7" t="inlineStr">
        <is>
          <t>https://wol.jw.org/en/wol/d/r1/lp-e/1200277174</t>
        </is>
      </c>
      <c r="AA1602" s="7" t="n">
        <v>0</v>
      </c>
      <c r="AB1602" s="7" t="n"/>
      <c r="AC1602" s="7" t="n">
        <v>0</v>
      </c>
      <c r="AD1602" s="7" t="n"/>
      <c r="AE1602" s="7" t="n"/>
      <c r="AF1602" s="7" t="n"/>
      <c r="AG1602" s="7" t="n"/>
      <c r="AH1602" s="7" t="n"/>
      <c r="AI1602" s="7" t="inlineStr">
        <is>
          <t>Index list entry – app detail</t>
        </is>
      </c>
      <c r="AJ1602" s="7" t="n"/>
      <c r="AK1602" s="7" t="n"/>
      <c r="AL1602" s="7" t="n"/>
      <c r="AM1602" s="7" t="n">
        <v>1998</v>
      </c>
      <c r="AN1602" s="10" t="n"/>
      <c r="AO1602" s="10" t="n"/>
      <c r="AP1602" s="10" t="n"/>
      <c r="AQ1602" s="10" t="n"/>
    </row>
    <row r="1603">
      <c r="A1603" s="7" t="inlineStr">
        <is>
          <t>b9-0214</t>
        </is>
      </c>
      <c r="B1603" s="7" t="inlineStr">
        <is>
          <t>Point</t>
        </is>
      </c>
      <c r="C1603" s="7" t="n"/>
      <c r="D1603" s="7" t="inlineStr">
        <is>
          <t>1998</t>
        </is>
      </c>
      <c r="E1603" s="7" t="n"/>
      <c r="F1603" s="7" t="inlineStr">
        <is>
          <t>1998 CE</t>
        </is>
      </c>
      <c r="G1603" s="7" t="inlineStr">
        <is>
          <t>Exact</t>
        </is>
      </c>
      <c r="H1603" s="7" t="n"/>
      <c r="I1603" s="7" t="n"/>
      <c r="J1603" s="7" t="n"/>
      <c r="K1603" s="2" t="inlineStr">
        <is>
          <t>1998: “God’s Way of Life” District Conventions</t>
        </is>
      </c>
      <c r="L1603" s="2" t="n"/>
      <c r="M1603" s="7" t="inlineStr">
        <is>
          <t>The Watch Tower Publications Index lists the 1998 conventions of Jehovah’s Witnesses as “God’s Way of Life” District Conventions.</t>
        </is>
      </c>
      <c r="N1603" s="7" t="n"/>
      <c r="O1603" s="13" t="inlineStr">
        <is>
          <t>Jehovah's Witnesses</t>
        </is>
      </c>
      <c r="P1603" s="7" t="inlineStr">
        <is>
          <t>jw.convention</t>
        </is>
      </c>
      <c r="Q1603" s="7" t="inlineStr">
        <is>
          <t>convention</t>
        </is>
      </c>
      <c r="R1603" s="7" t="n"/>
      <c r="S1603" s="7" t="n"/>
      <c r="T1603" s="7" t="n"/>
      <c r="U1603" s="7" t="n"/>
      <c r="V1603" s="7" t="n">
        <v>1</v>
      </c>
      <c r="W1603" s="7" t="inlineStr">
        <is>
          <t>Conventions</t>
        </is>
      </c>
      <c r="X1603" s="9" t="inlineStr">
        <is>
          <t>open</t>
        </is>
      </c>
      <c r="Y1603" s="7" t="n"/>
      <c r="Z1603" s="7" t="inlineStr">
        <is>
          <t>https://wol.jw.org/en/wol/d/r1/lp-e/1200271388</t>
        </is>
      </c>
      <c r="AA1603" s="7" t="n">
        <v>0</v>
      </c>
      <c r="AB1603" s="7" t="n"/>
      <c r="AC1603" s="7" t="n">
        <v>0</v>
      </c>
      <c r="AD1603" s="7" t="n"/>
      <c r="AE1603" s="7" t="n"/>
      <c r="AF1603" s="7" t="n"/>
      <c r="AG1603" s="7" t="n"/>
      <c r="AH1603" s="7" t="n"/>
      <c r="AI1603" s="7" t="inlineStr">
        <is>
          <t>Index list entry – app detail</t>
        </is>
      </c>
      <c r="AJ1603" s="7" t="n"/>
      <c r="AK1603" s="7" t="n"/>
      <c r="AL1603" s="7" t="n"/>
      <c r="AM1603" s="7" t="n">
        <v>1998</v>
      </c>
      <c r="AN1603" s="10" t="n"/>
      <c r="AO1603" s="10" t="n"/>
      <c r="AP1603" s="10" t="n"/>
      <c r="AQ1603" s="10" t="n"/>
    </row>
    <row r="1604">
      <c r="A1604" s="7" t="inlineStr">
        <is>
          <t>b9-0215</t>
        </is>
      </c>
      <c r="B1604" s="7" t="inlineStr">
        <is>
          <t>Point</t>
        </is>
      </c>
      <c r="C1604" s="7" t="n"/>
      <c r="D1604" s="7" t="inlineStr">
        <is>
          <t>1998</t>
        </is>
      </c>
      <c r="E1604" s="7" t="inlineStr">
        <is>
          <t>1998</t>
        </is>
      </c>
      <c r="F1604" s="7" t="inlineStr">
        <is>
          <t>1998 CE</t>
        </is>
      </c>
      <c r="G1604" s="7" t="inlineStr">
        <is>
          <t>Exact</t>
        </is>
      </c>
      <c r="H1604" s="7" t="n"/>
      <c r="I1604" s="7" t="n"/>
      <c r="J1604" s="7" t="n"/>
      <c r="K1604" s="2" t="inlineStr">
        <is>
          <t>Opposers file civil complaint in Moscow</t>
        </is>
      </c>
      <c r="L1604" s="2" t="inlineStr">
        <is>
          <t>1995-லிருந்து 1998-க்கு இடைப்பட்ட காலத்தில் அவர்கள் யெகோவாவின் சாட்சிகளுக்கு எதிராக அடுத்தடுத்து ஐந்து குற்ற வழக்குகளைத் தொடுத்தார்கள்.</t>
        </is>
      </c>
      <c r="M1604" s="7" t="inlineStr">
        <is>
          <t>After five criminal complaints between 1995 and 1998 failed, opposers filed a civil complaint against the Witnesses in Moscow in 1998.</t>
        </is>
      </c>
      <c r="N1604" s="7" t="inlineStr">
        <is>
          <t>1995-லிருந்து 1998-க்கு இடைப்பட்ட காலத்தில் அவர்கள் யெகோவாவின் சாட்சிகளுக்கு எதிராக அடுத்தடுத்து ஐந்து குற்ற வழக்குகளைத் தொடுத்தார்கள்.</t>
        </is>
      </c>
      <c r="O1604" s="13" t="inlineStr">
        <is>
          <t>Jehovah's Witnesses</t>
        </is>
      </c>
      <c r="P1604" s="7" t="inlineStr">
        <is>
          <t>jw.legal</t>
        </is>
      </c>
      <c r="Q1604" s="7" t="n"/>
      <c r="R1604" s="7" t="n"/>
      <c r="S1604" s="7" t="inlineStr">
        <is>
          <t>Moscow</t>
        </is>
      </c>
      <c r="T1604" s="7" t="n"/>
      <c r="U1604" s="7" t="n"/>
      <c r="V1604" s="7" t="n">
        <v>1</v>
      </c>
      <c r="W1604" s="7" t="inlineStr">
        <is>
          <t>Fighting for Freedom to Worship</t>
        </is>
      </c>
      <c r="X1604" s="9" t="inlineStr">
        <is>
          <t>open</t>
        </is>
      </c>
      <c r="Y1604" s="9" t="inlineStr">
        <is>
          <t>open</t>
        </is>
      </c>
      <c r="Z1604" s="7" t="inlineStr">
        <is>
          <t>https://wol.jw.org/en/wol/d/r1/lp-e/1102014254</t>
        </is>
      </c>
      <c r="AA1604" s="7" t="n">
        <v>0</v>
      </c>
      <c r="AB1604" s="7" t="n"/>
      <c r="AC1604" s="7" t="n">
        <v>0</v>
      </c>
      <c r="AD1604" s="7" t="n"/>
      <c r="AE1604" s="7" t="n"/>
      <c r="AF1604" s="7" t="n"/>
      <c r="AG1604" s="7" t="n"/>
      <c r="AH1604" s="7" t="n"/>
      <c r="AI1604" s="7" t="n"/>
      <c r="AJ1604" s="7" t="n"/>
      <c r="AK1604" s="7" t="n"/>
      <c r="AL1604" s="7" t="n"/>
      <c r="AM1604" s="7" t="n">
        <v>1998</v>
      </c>
      <c r="AN1604" s="10" t="n"/>
      <c r="AO1604" s="10" t="n"/>
      <c r="AP1604" s="10" t="n"/>
      <c r="AQ1604" s="10" t="n"/>
    </row>
    <row r="1605">
      <c r="A1605" s="7" t="inlineStr">
        <is>
          <t>b9-0216</t>
        </is>
      </c>
      <c r="B1605" s="7" t="inlineStr">
        <is>
          <t>Point</t>
        </is>
      </c>
      <c r="C1605" s="7" t="n"/>
      <c r="D1605" s="7" t="inlineStr">
        <is>
          <t>1999</t>
        </is>
      </c>
      <c r="E1605" s="7" t="n"/>
      <c r="F1605" s="7" t="inlineStr">
        <is>
          <t>1999 CE</t>
        </is>
      </c>
      <c r="G1605" s="7" t="inlineStr">
        <is>
          <t>Exact</t>
        </is>
      </c>
      <c r="H1605" s="7" t="n"/>
      <c r="I1605" s="7" t="n"/>
      <c r="J1605" s="7" t="n"/>
      <c r="K1605" s="2" t="inlineStr">
        <is>
          <t>Understanding clarified: ‘disgusting thing standing in a holy place’ (Matt. 24:15; Mark 13:14)</t>
        </is>
      </c>
      <c r="L1605" s="2" t="n"/>
      <c r="M1605" s="7" t="inlineStr">
        <is>
          <t>The Watch Tower Publications Index (“Beliefs Clarified,” list by year) records a clarified understanding in 1999 concerning ‘disgusting thing standing in a holy place’ (Matt. 24:15; Mark 13:14). Index references: w06 2/15 30; w99 5/1 15-20.</t>
        </is>
      </c>
      <c r="N1605" s="7" t="n"/>
      <c r="O1605" s="13" t="inlineStr">
        <is>
          <t>Jehovah's Witnesses</t>
        </is>
      </c>
      <c r="P1605" s="7" t="inlineStr">
        <is>
          <t>jw.doctrine</t>
        </is>
      </c>
      <c r="Q1605" s="7" t="inlineStr">
        <is>
          <t>beliefs_clarified</t>
        </is>
      </c>
      <c r="R1605" s="7" t="n"/>
      <c r="S1605" s="7" t="n"/>
      <c r="T1605" s="7" t="inlineStr">
        <is>
          <t>Matt. 24:15; Mark 13:14</t>
        </is>
      </c>
      <c r="U1605" s="7" t="n"/>
      <c r="V1605" s="7" t="n">
        <v>1</v>
      </c>
      <c r="W1605" s="7" t="inlineStr">
        <is>
          <t>Beliefs Clarified</t>
        </is>
      </c>
      <c r="X1605" s="9" t="inlineStr">
        <is>
          <t>open</t>
        </is>
      </c>
      <c r="Y1605" s="7" t="n"/>
      <c r="Z1605" s="7" t="inlineStr">
        <is>
          <t>https://wol.jw.org/en/wol/d/r1/lp-e/1200277174</t>
        </is>
      </c>
      <c r="AA1605" s="7" t="n">
        <v>0</v>
      </c>
      <c r="AB1605" s="7" t="n"/>
      <c r="AC1605" s="7" t="n">
        <v>0</v>
      </c>
      <c r="AD1605" s="7" t="n"/>
      <c r="AE1605" s="7" t="n"/>
      <c r="AF1605" s="7" t="n"/>
      <c r="AG1605" s="7" t="n"/>
      <c r="AH1605" s="7" t="n"/>
      <c r="AI1605" s="7" t="inlineStr">
        <is>
          <t>Index list entry – app detail</t>
        </is>
      </c>
      <c r="AJ1605" s="7" t="n"/>
      <c r="AK1605" s="7" t="n"/>
      <c r="AL1605" s="7" t="n"/>
      <c r="AM1605" s="7" t="n">
        <v>1999</v>
      </c>
      <c r="AN1605" s="10" t="n"/>
      <c r="AO1605" s="10" t="n"/>
      <c r="AP1605" s="10" t="n"/>
      <c r="AQ1605" s="10" t="n"/>
    </row>
    <row r="1606">
      <c r="A1606" s="7" t="inlineStr">
        <is>
          <t>b9-0217</t>
        </is>
      </c>
      <c r="B1606" s="7" t="inlineStr">
        <is>
          <t>Point</t>
        </is>
      </c>
      <c r="C1606" s="7" t="n"/>
      <c r="D1606" s="7" t="inlineStr">
        <is>
          <t>1999</t>
        </is>
      </c>
      <c r="E1606" s="7" t="n"/>
      <c r="F1606" s="7" t="inlineStr">
        <is>
          <t>1999 CE</t>
        </is>
      </c>
      <c r="G1606" s="7" t="inlineStr">
        <is>
          <t>Exact</t>
        </is>
      </c>
      <c r="H1606" s="7" t="n"/>
      <c r="I1606" s="7" t="n"/>
      <c r="J1606" s="7" t="n"/>
      <c r="K1606" s="2" t="inlineStr">
        <is>
          <t>1999: “God’s Prophetic Word” District Conventions</t>
        </is>
      </c>
      <c r="L1606" s="2" t="n"/>
      <c r="M1606" s="7" t="inlineStr">
        <is>
          <t>The Watch Tower Publications Index lists the 1999 conventions of Jehovah’s Witnesses as “God’s Prophetic Word” District Conventions.</t>
        </is>
      </c>
      <c r="N1606" s="7" t="n"/>
      <c r="O1606" s="13" t="inlineStr">
        <is>
          <t>Jehovah's Witnesses</t>
        </is>
      </c>
      <c r="P1606" s="7" t="inlineStr">
        <is>
          <t>jw.convention</t>
        </is>
      </c>
      <c r="Q1606" s="7" t="inlineStr">
        <is>
          <t>convention</t>
        </is>
      </c>
      <c r="R1606" s="7" t="n"/>
      <c r="S1606" s="7" t="n"/>
      <c r="T1606" s="7" t="n"/>
      <c r="U1606" s="7" t="n"/>
      <c r="V1606" s="7" t="n">
        <v>1</v>
      </c>
      <c r="W1606" s="7" t="inlineStr">
        <is>
          <t>Conventions</t>
        </is>
      </c>
      <c r="X1606" s="9" t="inlineStr">
        <is>
          <t>open</t>
        </is>
      </c>
      <c r="Y1606" s="7" t="n"/>
      <c r="Z1606" s="7" t="inlineStr">
        <is>
          <t>https://wol.jw.org/en/wol/d/r1/lp-e/1200271388</t>
        </is>
      </c>
      <c r="AA1606" s="7" t="n">
        <v>0</v>
      </c>
      <c r="AB1606" s="7" t="n"/>
      <c r="AC1606" s="7" t="n">
        <v>0</v>
      </c>
      <c r="AD1606" s="7" t="n"/>
      <c r="AE1606" s="7" t="n"/>
      <c r="AF1606" s="7" t="n"/>
      <c r="AG1606" s="7" t="n"/>
      <c r="AH1606" s="7" t="n"/>
      <c r="AI1606" s="7" t="inlineStr">
        <is>
          <t>Index list entry – app detail</t>
        </is>
      </c>
      <c r="AJ1606" s="7" t="n"/>
      <c r="AK1606" s="7" t="n"/>
      <c r="AL1606" s="7" t="n"/>
      <c r="AM1606" s="7" t="n">
        <v>1999</v>
      </c>
      <c r="AN1606" s="10" t="n"/>
      <c r="AO1606" s="10" t="n"/>
      <c r="AP1606" s="10" t="n"/>
      <c r="AQ1606" s="10" t="n"/>
    </row>
    <row r="1607">
      <c r="A1607" s="7" t="inlineStr">
        <is>
          <t>b9-0218</t>
        </is>
      </c>
      <c r="B1607" s="7" t="inlineStr">
        <is>
          <t>Point</t>
        </is>
      </c>
      <c r="C1607" s="7" t="n"/>
      <c r="D1607" s="7" t="inlineStr">
        <is>
          <t>1999</t>
        </is>
      </c>
      <c r="E1607" s="7" t="inlineStr">
        <is>
          <t>1999</t>
        </is>
      </c>
      <c r="F1607" s="7" t="inlineStr">
        <is>
          <t>1999 CE</t>
        </is>
      </c>
      <c r="G1607" s="7" t="inlineStr">
        <is>
          <t>Exact</t>
        </is>
      </c>
      <c r="H1607" s="7" t="n"/>
      <c r="I1607" s="7" t="n"/>
      <c r="J1607" s="7" t="n"/>
      <c r="K1607" s="2" t="inlineStr">
        <is>
          <t>Program to build Kingdom Halls in developing lands</t>
        </is>
      </c>
      <c r="L1607" s="2" t="inlineStr">
        <is>
          <t>ஆனால் 1999-லிருந்து, வளரும் நாடுகளில் நிறைய ராஜ்ய மன்றங்களைக் கட்ட ஆளும் குழு ஒரு புதிய திட்டத்தைக் கொண்டுவந்தது.</t>
        </is>
      </c>
      <c r="M1607" s="7" t="inlineStr">
        <is>
          <t>Starting in 1999 the Governing Body approved a program to accelerate Kingdom Hall construction in developing lands; from 1999 to 2013, 26,849 Kingdom Halls were built under it.</t>
        </is>
      </c>
      <c r="N1607" s="7" t="inlineStr">
        <is>
          <t>ஆனால் 1999-லிருந்து, வளரும் நாடுகளில் நிறைய ராஜ்ய மன்றங்களைக் கட்ட ஆளும் குழு ஒரு புதிய திட்டத்தைக் கொண்டுவந்தது.</t>
        </is>
      </c>
      <c r="O1607" s="13" t="inlineStr">
        <is>
          <t>Jehovah's Witnesses</t>
        </is>
      </c>
      <c r="P1607" s="7" t="inlineStr">
        <is>
          <t>jw.construction</t>
        </is>
      </c>
      <c r="Q1607" s="7" t="n"/>
      <c r="R1607" s="7" t="n"/>
      <c r="S1607" s="7" t="n"/>
      <c r="T1607" s="7" t="n"/>
      <c r="U1607" s="7" t="n"/>
      <c r="V1607" s="7" t="n">
        <v>1</v>
      </c>
      <c r="W1607" s="7" t="inlineStr">
        <is>
          <t>Building Work That Honors Jehovah</t>
        </is>
      </c>
      <c r="X1607" s="9" t="inlineStr">
        <is>
          <t>open</t>
        </is>
      </c>
      <c r="Y1607" s="9" t="inlineStr">
        <is>
          <t>open</t>
        </is>
      </c>
      <c r="Z1607" s="7" t="inlineStr">
        <is>
          <t>https://wol.jw.org/en/wol/d/r1/lp-e/1102014258</t>
        </is>
      </c>
      <c r="AA1607" s="7" t="n">
        <v>0</v>
      </c>
      <c r="AB1607" s="7" t="n"/>
      <c r="AC1607" s="7" t="n">
        <v>0</v>
      </c>
      <c r="AD1607" s="7" t="n"/>
      <c r="AE1607" s="7" t="n"/>
      <c r="AF1607" s="7" t="n"/>
      <c r="AG1607" s="7" t="n"/>
      <c r="AH1607" s="7" t="n"/>
      <c r="AI1607" s="7" t="n"/>
      <c r="AJ1607" s="7" t="n"/>
      <c r="AK1607" s="7" t="n"/>
      <c r="AL1607" s="7" t="n"/>
      <c r="AM1607" s="7" t="n">
        <v>1999</v>
      </c>
      <c r="AN1607" s="10" t="n"/>
      <c r="AO1607" s="10" t="n"/>
      <c r="AP1607" s="10" t="n"/>
      <c r="AQ1607" s="10" t="n"/>
    </row>
    <row r="1608">
      <c r="A1608" s="7" t="inlineStr">
        <is>
          <t>b9-0219</t>
        </is>
      </c>
      <c r="B1608" s="7" t="inlineStr">
        <is>
          <t>Point</t>
        </is>
      </c>
      <c r="C1608" s="7" t="n"/>
      <c r="D1608" s="7" t="inlineStr">
        <is>
          <t>1999, March 1</t>
        </is>
      </c>
      <c r="E1608" s="7" t="inlineStr">
        <is>
          <t>மார்ச் 1, 1999</t>
        </is>
      </c>
      <c r="F1608" s="7" t="inlineStr">
        <is>
          <t>1999 CE</t>
        </is>
      </c>
      <c r="G1608" s="7" t="inlineStr">
        <is>
          <t>Exact</t>
        </is>
      </c>
      <c r="H1608" s="7" t="n"/>
      <c r="I1608" s="7" t="n"/>
      <c r="J1608" s="7" t="n"/>
      <c r="K1608" s="2" t="inlineStr">
        <is>
          <t>Watchtower explains Ezekiel’s temple vision</t>
        </is>
      </c>
      <c r="L1608" s="2" t="inlineStr">
        <is>
          <t>எசேக்கியேலின் தரிசனத்திலுள்ள ஆலயமும்கூட தூய வணக்கம் திரும்ப ஆரம்பிக்கப்படுவதைப் பற்றிய தீர்க்கதரிசனம்தான் என்றும் அது கடைசி நாட்களில்…</t>
        </is>
      </c>
      <c r="M1608" s="7" t="inlineStr">
        <is>
          <t>The Watchtower of March 1, 1999, explained that Ezekiel’s temple vision is a restoration prophecy with an important spiritual fulfillment in the last days.</t>
        </is>
      </c>
      <c r="N1608" s="7" t="inlineStr">
        <is>
          <t>எசேக்கியேலின் தரிசனத்திலுள்ள ஆலயமும்கூட தூய வணக்கம் திரும்ப ஆரம்பிக்கப்படுவதைப் பற்றிய தீர்க்கதரிசனம்தான் என்றும் அது கடைசி நாட்களில் நிறைவேறும் ஒரு முக்கியமான தீர்க்கதரிசனம் என்றும் மார்ச் 1, 1999, காவற்கோபுரம் சொன்னது.</t>
        </is>
      </c>
      <c r="O1608" s="13" t="inlineStr">
        <is>
          <t>Jehovah's Witnesses</t>
        </is>
      </c>
      <c r="P1608" s="7" t="inlineStr">
        <is>
          <t>jw.doctrine</t>
        </is>
      </c>
      <c r="Q1608" s="7" t="n"/>
      <c r="R1608" s="7" t="n"/>
      <c r="S1608" s="7" t="n"/>
      <c r="T1608" s="7" t="n"/>
      <c r="U1608" s="7" t="n"/>
      <c r="V1608" s="7" t="n">
        <v>2</v>
      </c>
      <c r="W1608" s="7" t="inlineStr">
        <is>
          <t>Moral Refinements</t>
        </is>
      </c>
      <c r="X1608" s="9" t="inlineStr">
        <is>
          <t>open</t>
        </is>
      </c>
      <c r="Y1608" s="9" t="inlineStr">
        <is>
          <t>open</t>
        </is>
      </c>
      <c r="Z1608" s="7" t="inlineStr">
        <is>
          <t>https://wol.jw.org/en/wol/d/r1/lp-e/1102014250
https://wol.jw.org/en/wol/d/r1/lp-e/1200277174</t>
        </is>
      </c>
      <c r="AA1608" s="7" t="n">
        <v>0</v>
      </c>
      <c r="AB1608" s="7" t="n"/>
      <c r="AC1608" s="7" t="n">
        <v>1</v>
      </c>
      <c r="AD1608" s="7" t="inlineStr">
        <is>
          <t>The Watch Tower Publications Index “Beliefs Clarified” lists this under 1998 (citing w99 3/1 8-23); kr cites The Watchtower of March 1, 1999.</t>
        </is>
      </c>
      <c r="AE1608" s="7" t="n"/>
      <c r="AF1608" s="7" t="n"/>
      <c r="AG1608" s="7" t="n"/>
      <c r="AH1608" s="7" t="n"/>
      <c r="AI1608" s="7" t="n"/>
      <c r="AJ1608" s="7" t="n"/>
      <c r="AK1608" s="7" t="n"/>
      <c r="AL1608" s="7" t="n"/>
      <c r="AM1608" s="7" t="n">
        <v>1999.1667</v>
      </c>
      <c r="AN1608" s="10" t="n"/>
      <c r="AO1608" s="10" t="n"/>
      <c r="AP1608" s="10" t="n"/>
      <c r="AQ1608" s="10" t="n"/>
    </row>
    <row r="1609">
      <c r="A1609" s="7" t="inlineStr">
        <is>
          <t>b9-0220</t>
        </is>
      </c>
      <c r="B1609" s="7" t="inlineStr">
        <is>
          <t>Point</t>
        </is>
      </c>
      <c r="C1609" s="7" t="n"/>
      <c r="D1609" s="7" t="inlineStr">
        <is>
          <t>1999, July 2</t>
        </is>
      </c>
      <c r="E1609" s="7" t="n"/>
      <c r="F1609" s="7" t="inlineStr">
        <is>
          <t>1999 CE</t>
        </is>
      </c>
      <c r="G1609" s="7" t="inlineStr">
        <is>
          <t>Exact</t>
        </is>
      </c>
      <c r="H1609" s="7" t="n"/>
      <c r="I1609" s="7" t="n"/>
      <c r="J1609" s="7" t="n"/>
      <c r="K1609" s="2" t="inlineStr">
        <is>
          <t>Death of Governing Body member Lloyd Barry</t>
        </is>
      </c>
      <c r="L1609" s="2" t="inlineStr">
        <is>
          <t>சகோதரர் பேரி உண்மையோடு தன்னுடைய பூமிக்குரிய வாழ்க்கையை, 1999, ஜூலை 2-ம் தேதியன்று முடித்துக்கொண்டார்.</t>
        </is>
      </c>
      <c r="M1609" s="7" t="inlineStr">
        <is>
          <t>Lloyd Barry finished his earthly course in faithfulness on July 2, 1999.</t>
        </is>
      </c>
      <c r="N1609" s="7" t="inlineStr">
        <is>
          <t>சகோதரர் பேரி உண்மையோடு தன்னுடைய பூமிக்குரிய வாழ்க்கையை, 1999, ஜூலை 2-ம் தேதியன்று முடித்துக்கொண்டார்.</t>
        </is>
      </c>
      <c r="O1609" s="13" t="inlineStr">
        <is>
          <t>Jehovah's Witnesses</t>
        </is>
      </c>
      <c r="P1609" s="7" t="inlineStr">
        <is>
          <t>jw.leadership</t>
        </is>
      </c>
      <c r="Q1609" s="7" t="inlineStr">
        <is>
          <t>death</t>
        </is>
      </c>
      <c r="R1609" s="7" t="inlineStr">
        <is>
          <t>W. Lloyd Barry</t>
        </is>
      </c>
      <c r="S1609" s="7" t="n"/>
      <c r="T1609" s="7" t="n"/>
      <c r="U1609" s="7" t="n"/>
      <c r="V1609" s="7" t="n">
        <v>1</v>
      </c>
      <c r="W1609" s="7" t="inlineStr">
        <is>
          <t>Dedication of the Watchtower Educational Center</t>
        </is>
      </c>
      <c r="X1609" s="9" t="inlineStr">
        <is>
          <t>open</t>
        </is>
      </c>
      <c r="Y1609" s="9" t="inlineStr">
        <is>
          <t>open</t>
        </is>
      </c>
      <c r="Z1609" s="7" t="inlineStr">
        <is>
          <t>https://wol.jw.org/en/wol/d/r1/lp-e/1999842</t>
        </is>
      </c>
      <c r="AA1609" s="7" t="n">
        <v>0</v>
      </c>
      <c r="AB1609" s="7" t="n"/>
      <c r="AC1609" s="7" t="n">
        <v>0</v>
      </c>
      <c r="AD1609" s="7" t="n"/>
      <c r="AE1609" s="7" t="n"/>
      <c r="AF1609" s="7" t="n"/>
      <c r="AG1609" s="7" t="n"/>
      <c r="AH1609" s="7" t="n"/>
      <c r="AI1609" s="7" t="n"/>
      <c r="AJ1609" s="7" t="n"/>
      <c r="AK1609" s="7" t="n"/>
      <c r="AL1609" s="7" t="n"/>
      <c r="AM1609" s="7" t="n">
        <v>1999.5027</v>
      </c>
      <c r="AN1609" s="10" t="n"/>
      <c r="AO1609" s="10" t="n"/>
      <c r="AP1609" s="10" t="n"/>
      <c r="AQ1609" s="10" t="n"/>
    </row>
    <row r="1610">
      <c r="A1610" s="7" t="inlineStr">
        <is>
          <t>b9-0221</t>
        </is>
      </c>
      <c r="B1610" s="7" t="inlineStr">
        <is>
          <t>Point</t>
        </is>
      </c>
      <c r="C1610" s="7" t="n"/>
      <c r="D1610" s="7" t="inlineStr">
        <is>
          <t>1999, October 2</t>
        </is>
      </c>
      <c r="E1610" s="7" t="inlineStr">
        <is>
          <t>அக்டோபர் 2, 1999</t>
        </is>
      </c>
      <c r="F1610" s="7" t="inlineStr">
        <is>
          <t>1999 CE</t>
        </is>
      </c>
      <c r="G1610" s="7" t="inlineStr">
        <is>
          <t>Exact</t>
        </is>
      </c>
      <c r="H1610" s="7" t="n"/>
      <c r="I1610" s="7" t="n"/>
      <c r="J1610" s="7" t="n"/>
      <c r="K1610" s="2" t="inlineStr">
        <is>
          <t>Guy H. Pierce appointed to the Governing Body</t>
        </is>
      </c>
      <c r="L1610" s="2" t="inlineStr">
        <is>
          <t>அதைப் பற்றி அக்டோபர் 2, 1999-ல் நடந்த யெகோவாவின் சாட்சிகளுடைய வருடாந்தரக் கூட்டத்தில் அறிவித்தார்கள்.</t>
        </is>
      </c>
      <c r="M1610" s="7" t="inlineStr">
        <is>
          <t>On October 2, 1999, at the annual meeting, it was announced that Guy H. Pierce had been appointed a member of the Governing Body.</t>
        </is>
      </c>
      <c r="N1610" s="7" t="inlineStr">
        <is>
          <t>அதைப் பற்றி அக்டோபர் 2, 1999-ல் நடந்த யெகோவாவின் சாட்சிகளுடைய வருடாந்தரக் கூட்டத்தில் அறிவித்தார்கள்.</t>
        </is>
      </c>
      <c r="O1610" s="13" t="inlineStr">
        <is>
          <t>Jehovah's Witnesses</t>
        </is>
      </c>
      <c r="P1610" s="7" t="inlineStr">
        <is>
          <t>jw.leadership</t>
        </is>
      </c>
      <c r="Q1610" s="7" t="inlineStr">
        <is>
          <t>appointment</t>
        </is>
      </c>
      <c r="R1610" s="7" t="inlineStr">
        <is>
          <t>Guy H. Pierce</t>
        </is>
      </c>
      <c r="S1610" s="7" t="n"/>
      <c r="T1610" s="7" t="n"/>
      <c r="U1610" s="7" t="n"/>
      <c r="V1610" s="7" t="n">
        <v>1</v>
      </c>
      <c r="W1610" s="7" t="inlineStr">
        <is>
          <t>He ‘Knew the Way’</t>
        </is>
      </c>
      <c r="X1610" s="9" t="inlineStr">
        <is>
          <t>open</t>
        </is>
      </c>
      <c r="Y1610" s="9" t="inlineStr">
        <is>
          <t>open</t>
        </is>
      </c>
      <c r="Z1610" s="7" t="inlineStr">
        <is>
          <t>https://wol.jw.org/en/wol/d/r1/lp-e/2014922</t>
        </is>
      </c>
      <c r="AA1610" s="7" t="n">
        <v>0</v>
      </c>
      <c r="AB1610" s="7" t="n"/>
      <c r="AC1610" s="7" t="n">
        <v>0</v>
      </c>
      <c r="AD1610" s="7" t="n"/>
      <c r="AE1610" s="7" t="n"/>
      <c r="AF1610" s="7" t="n"/>
      <c r="AG1610" s="7" t="n"/>
      <c r="AH1610" s="7" t="n"/>
      <c r="AI1610" s="7" t="inlineStr">
        <is>
          <t>Covered by span – hide on chart</t>
        </is>
      </c>
      <c r="AJ1610" s="7" t="inlineStr">
        <is>
          <t>start of Guy H. Pierce serves on the Governing Body (b12-0102)</t>
        </is>
      </c>
      <c r="AK1610" s="7" t="n"/>
      <c r="AL1610" s="7" t="n"/>
      <c r="AM1610" s="7" t="n">
        <v>1999.7527</v>
      </c>
      <c r="AN1610" s="10" t="n"/>
      <c r="AO1610" s="10" t="n"/>
      <c r="AP1610" s="10" t="n"/>
      <c r="AQ1610" s="10" t="n"/>
    </row>
    <row r="1611">
      <c r="A1611" s="7" t="inlineStr">
        <is>
          <t>b12-0102</t>
        </is>
      </c>
      <c r="B1611" s="11" t="inlineStr">
        <is>
          <t>Span</t>
        </is>
      </c>
      <c r="C1611" s="7" t="inlineStr">
        <is>
          <t>office</t>
        </is>
      </c>
      <c r="D1611" s="7" t="inlineStr">
        <is>
          <t>October 2, 1999–March 18, 2014</t>
        </is>
      </c>
      <c r="E1611" s="7" t="n"/>
      <c r="F1611" s="7" t="inlineStr">
        <is>
          <t>1999 CE</t>
        </is>
      </c>
      <c r="G1611" s="7" t="inlineStr">
        <is>
          <t>Exact</t>
        </is>
      </c>
      <c r="H1611" s="7" t="inlineStr">
        <is>
          <t>2014 CE</t>
        </is>
      </c>
      <c r="I1611" s="7" t="inlineStr">
        <is>
          <t>Exact</t>
        </is>
      </c>
      <c r="J1611" s="7" t="n"/>
      <c r="K1611" s="2" t="inlineStr">
        <is>
          <t>Guy H. Pierce serves on the Governing Body</t>
        </is>
      </c>
      <c r="L1611" s="2" t="n"/>
      <c r="M1611" s="7" t="inlineStr">
        <is>
          <t>Guy H. Pierce’s appointment to the Governing Body was announced on October 2, 1999; he served until his death in 2014.</t>
        </is>
      </c>
      <c r="N1611" s="7" t="inlineStr">
        <is>
          <t>அதைப் பற்றி அக்டோபர் 2, 1999-ல் நடந்த யெகோவாவின் சாட்சிகளுடைய வருடாந்தரக் கூட்டத்தில் அறிவித்தார்கள்.</t>
        </is>
      </c>
      <c r="O1611" s="13" t="inlineStr">
        <is>
          <t>Jehovah's Witnesses</t>
        </is>
      </c>
      <c r="P1611" s="7" t="inlineStr">
        <is>
          <t>jw.leadership</t>
        </is>
      </c>
      <c r="Q1611" s="7" t="n"/>
      <c r="R1611" s="7" t="inlineStr">
        <is>
          <t>Guy H. Pierce</t>
        </is>
      </c>
      <c r="S1611" s="7" t="n"/>
      <c r="T1611" s="7" t="n"/>
      <c r="U1611" s="7" t="n"/>
      <c r="V1611" s="7" t="n">
        <v>2</v>
      </c>
      <c r="W1611" s="7" t="inlineStr">
        <is>
          <t>He ‘Knew the Way’</t>
        </is>
      </c>
      <c r="X1611" s="9" t="inlineStr">
        <is>
          <t>open</t>
        </is>
      </c>
      <c r="Y1611" s="9" t="inlineStr">
        <is>
          <t>open</t>
        </is>
      </c>
      <c r="Z1611" s="7" t="inlineStr">
        <is>
          <t>https://wol.jw.org/en/wol/d/r1/lp-e/2014922
https://wol.jw.org/en/wol/d/r1/lp-e/2014922</t>
        </is>
      </c>
      <c r="AA1611" s="7" t="n">
        <v>0</v>
      </c>
      <c r="AB1611" s="7" t="n"/>
      <c r="AC1611" s="7" t="n">
        <v>0</v>
      </c>
      <c r="AD1611" s="7" t="n"/>
      <c r="AE1611" s="7" t="n"/>
      <c r="AF1611" s="7" t="inlineStr">
        <is>
          <t>b9-0221</t>
        </is>
      </c>
      <c r="AG1611" s="7" t="inlineStr">
        <is>
          <t>b9-0327</t>
        </is>
      </c>
      <c r="AH1611" s="7" t="n"/>
      <c r="AI1611" s="7" t="n"/>
      <c r="AJ1611" s="7" t="n"/>
      <c r="AK1611" s="7" t="inlineStr">
        <is>
          <t>governing-body #5 (ruler)</t>
        </is>
      </c>
      <c r="AL1611" s="7" t="n"/>
      <c r="AM1611" s="7" t="n">
        <v>1999.7527</v>
      </c>
      <c r="AN1611" s="10" t="n"/>
      <c r="AO1611" s="10" t="n"/>
      <c r="AP1611" s="10" t="n"/>
      <c r="AQ1611" s="10" t="n"/>
    </row>
    <row r="1612">
      <c r="A1612" s="7" t="inlineStr">
        <is>
          <t>b12-0103</t>
        </is>
      </c>
      <c r="B1612" s="11" t="inlineStr">
        <is>
          <t>Span</t>
        </is>
      </c>
      <c r="C1612" s="7" t="inlineStr">
        <is>
          <t>office</t>
        </is>
      </c>
      <c r="D1612" s="7" t="inlineStr">
        <is>
          <t>October 2, 1999–</t>
        </is>
      </c>
      <c r="E1612" s="7" t="n"/>
      <c r="F1612" s="7" t="inlineStr">
        <is>
          <t>1999 CE</t>
        </is>
      </c>
      <c r="G1612" s="7" t="inlineStr">
        <is>
          <t>Exact</t>
        </is>
      </c>
      <c r="H1612" s="7" t="n"/>
      <c r="I1612" s="7" t="inlineStr">
        <is>
          <t>Ongoing</t>
        </is>
      </c>
      <c r="J1612" s="7" t="n"/>
      <c r="K1612" s="2" t="inlineStr">
        <is>
          <t>Samuel F. Herd serves on the Governing Body</t>
        </is>
      </c>
      <c r="L1612" s="2" t="n"/>
      <c r="M1612" s="7" t="inlineStr">
        <is>
          <t>Samuel F. Herd was one of four anointed brothers added to the Governing Body at the annual meeting of October 2, 1999; he was still serving according to The Watchtower of October 2025.</t>
        </is>
      </c>
      <c r="N1612" s="7" t="inlineStr">
        <is>
          <t>சாமுவேல் எஃப். ஹெர்ட்; எம். ஸ்டீவன் லெட்; கை ஹெச். பியர்ஸ்; டேவிட் ஹெச். ஸ்பிளேன் என்பவர்களே அந்நால்வர்.</t>
        </is>
      </c>
      <c r="O1612" s="13" t="inlineStr">
        <is>
          <t>Jehovah's Witnesses</t>
        </is>
      </c>
      <c r="P1612" s="7" t="inlineStr">
        <is>
          <t>jw.leadership</t>
        </is>
      </c>
      <c r="Q1612" s="7" t="n"/>
      <c r="R1612" s="7" t="inlineStr">
        <is>
          <t>Samuel F. Herd</t>
        </is>
      </c>
      <c r="S1612" s="7" t="n"/>
      <c r="T1612" s="7" t="n"/>
      <c r="U1612" s="7" t="n"/>
      <c r="V1612" s="7" t="n">
        <v>3</v>
      </c>
      <c r="W1612" s="7" t="inlineStr">
        <is>
          <t>New Members of the Governing Body</t>
        </is>
      </c>
      <c r="X1612" s="9" t="inlineStr">
        <is>
          <t>open</t>
        </is>
      </c>
      <c r="Y1612" s="9" t="inlineStr">
        <is>
          <t>open</t>
        </is>
      </c>
      <c r="Z1612" s="7" t="inlineStr">
        <is>
          <t>https://wol.jw.org/en/wol/d/r1/lp-e/2000007
https://wol.jw.org/en/wol/d/r1/lp-e/2000007
https://wol.jw.org/en/wol/d/r1/lp-e/2025605</t>
        </is>
      </c>
      <c r="AA1612" s="7" t="n">
        <v>0</v>
      </c>
      <c r="AB1612" s="7" t="n"/>
      <c r="AC1612" s="7" t="n">
        <v>0</v>
      </c>
      <c r="AD1612" s="7" t="n"/>
      <c r="AE1612" s="7" t="n"/>
      <c r="AF1612" s="7" t="n"/>
      <c r="AG1612" s="7" t="n"/>
      <c r="AH1612" s="7" t="n"/>
      <c r="AI1612" s="7" t="n"/>
      <c r="AJ1612" s="7" t="n"/>
      <c r="AK1612" s="7" t="inlineStr">
        <is>
          <t>governing-body #6 (ruler)</t>
        </is>
      </c>
      <c r="AL1612" s="7" t="n"/>
      <c r="AM1612" s="7" t="n">
        <v>1999.7527</v>
      </c>
      <c r="AN1612" s="10" t="n"/>
      <c r="AO1612" s="10" t="n"/>
      <c r="AP1612" s="10" t="n"/>
      <c r="AQ1612" s="10" t="n"/>
    </row>
    <row r="1613">
      <c r="A1613" s="7" t="inlineStr">
        <is>
          <t>b12-0104</t>
        </is>
      </c>
      <c r="B1613" s="11" t="inlineStr">
        <is>
          <t>Span</t>
        </is>
      </c>
      <c r="C1613" s="7" t="inlineStr">
        <is>
          <t>office</t>
        </is>
      </c>
      <c r="D1613" s="7" t="inlineStr">
        <is>
          <t>October 2, 1999–</t>
        </is>
      </c>
      <c r="E1613" s="7" t="n"/>
      <c r="F1613" s="7" t="inlineStr">
        <is>
          <t>1999 CE</t>
        </is>
      </c>
      <c r="G1613" s="7" t="inlineStr">
        <is>
          <t>Exact</t>
        </is>
      </c>
      <c r="H1613" s="7" t="n"/>
      <c r="I1613" s="7" t="inlineStr">
        <is>
          <t>Ongoing</t>
        </is>
      </c>
      <c r="J1613" s="7" t="n"/>
      <c r="K1613" s="2" t="inlineStr">
        <is>
          <t>M. Stephen Lett serves on the Governing Body</t>
        </is>
      </c>
      <c r="L1613" s="2" t="n"/>
      <c r="M1613" s="7" t="inlineStr">
        <is>
          <t>M. Stephen Lett was one of four anointed brothers added to the Governing Body at the annual meeting of October 2, 1999; he was still serving according to The Watchtower of October 2025.</t>
        </is>
      </c>
      <c r="N1613" s="7" t="inlineStr">
        <is>
          <t>சாமுவேல் எஃப். ஹெர்ட்; எம். ஸ்டீவன் லெட்; கை ஹெச். பியர்ஸ்; டேவிட் ஹெச். ஸ்பிளேன் என்பவர்களே அந்நால்வர்.</t>
        </is>
      </c>
      <c r="O1613" s="13" t="inlineStr">
        <is>
          <t>Jehovah's Witnesses</t>
        </is>
      </c>
      <c r="P1613" s="7" t="inlineStr">
        <is>
          <t>jw.leadership</t>
        </is>
      </c>
      <c r="Q1613" s="7" t="n"/>
      <c r="R1613" s="7" t="inlineStr">
        <is>
          <t>M. Stephen Lett</t>
        </is>
      </c>
      <c r="S1613" s="7" t="n"/>
      <c r="T1613" s="7" t="n"/>
      <c r="U1613" s="7" t="n"/>
      <c r="V1613" s="7" t="n">
        <v>3</v>
      </c>
      <c r="W1613" s="7" t="inlineStr">
        <is>
          <t>New Members of the Governing Body</t>
        </is>
      </c>
      <c r="X1613" s="9" t="inlineStr">
        <is>
          <t>open</t>
        </is>
      </c>
      <c r="Y1613" s="9" t="inlineStr">
        <is>
          <t>open</t>
        </is>
      </c>
      <c r="Z1613" s="7" t="inlineStr">
        <is>
          <t>https://wol.jw.org/en/wol/d/r1/lp-e/2000007
https://wol.jw.org/en/wol/d/r1/lp-e/2000007
https://wol.jw.org/en/wol/d/r1/lp-e/2025605</t>
        </is>
      </c>
      <c r="AA1613" s="7" t="n">
        <v>0</v>
      </c>
      <c r="AB1613" s="7" t="n"/>
      <c r="AC1613" s="7" t="n">
        <v>0</v>
      </c>
      <c r="AD1613" s="7" t="n"/>
      <c r="AE1613" s="7" t="n"/>
      <c r="AF1613" s="7" t="n"/>
      <c r="AG1613" s="7" t="n"/>
      <c r="AH1613" s="7" t="n"/>
      <c r="AI1613" s="7" t="n"/>
      <c r="AJ1613" s="7" t="n"/>
      <c r="AK1613" s="7" t="inlineStr">
        <is>
          <t>governing-body #7 (ruler)</t>
        </is>
      </c>
      <c r="AL1613" s="7" t="n"/>
      <c r="AM1613" s="7" t="n">
        <v>1999.7527</v>
      </c>
      <c r="AN1613" s="10" t="n"/>
      <c r="AO1613" s="10" t="n"/>
      <c r="AP1613" s="10" t="n"/>
      <c r="AQ1613" s="10" t="n"/>
    </row>
    <row r="1614">
      <c r="A1614" s="7" t="inlineStr">
        <is>
          <t>b12-0105</t>
        </is>
      </c>
      <c r="B1614" s="11" t="inlineStr">
        <is>
          <t>Span</t>
        </is>
      </c>
      <c r="C1614" s="7" t="inlineStr">
        <is>
          <t>office</t>
        </is>
      </c>
      <c r="D1614" s="7" t="inlineStr">
        <is>
          <t>October 2, 1999–</t>
        </is>
      </c>
      <c r="E1614" s="7" t="n"/>
      <c r="F1614" s="7" t="inlineStr">
        <is>
          <t>1999 CE</t>
        </is>
      </c>
      <c r="G1614" s="7" t="inlineStr">
        <is>
          <t>Exact</t>
        </is>
      </c>
      <c r="H1614" s="7" t="n"/>
      <c r="I1614" s="7" t="inlineStr">
        <is>
          <t>Ongoing</t>
        </is>
      </c>
      <c r="J1614" s="7" t="n"/>
      <c r="K1614" s="2" t="inlineStr">
        <is>
          <t>David H. Splane serves on the Governing Body</t>
        </is>
      </c>
      <c r="L1614" s="2" t="n"/>
      <c r="M1614" s="7" t="inlineStr">
        <is>
          <t>David H. Splane was one of four anointed brothers added to the Governing Body at the annual meeting of October 2, 1999; he was still serving according to The Watchtower of October 2025.</t>
        </is>
      </c>
      <c r="N1614" s="7" t="inlineStr">
        <is>
          <t>சாமுவேல் எஃப். ஹெர்ட்; எம். ஸ்டீவன் லெட்; கை ஹெச். பியர்ஸ்; டேவிட் ஹெச். ஸ்பிளேன் என்பவர்களே அந்நால்வர்.</t>
        </is>
      </c>
      <c r="O1614" s="13" t="inlineStr">
        <is>
          <t>Jehovah's Witnesses</t>
        </is>
      </c>
      <c r="P1614" s="7" t="inlineStr">
        <is>
          <t>jw.leadership</t>
        </is>
      </c>
      <c r="Q1614" s="7" t="n"/>
      <c r="R1614" s="7" t="inlineStr">
        <is>
          <t>David H. Splane</t>
        </is>
      </c>
      <c r="S1614" s="7" t="n"/>
      <c r="T1614" s="7" t="n"/>
      <c r="U1614" s="7" t="n"/>
      <c r="V1614" s="7" t="n">
        <v>3</v>
      </c>
      <c r="W1614" s="7" t="inlineStr">
        <is>
          <t>New Members of the Governing Body</t>
        </is>
      </c>
      <c r="X1614" s="9" t="inlineStr">
        <is>
          <t>open</t>
        </is>
      </c>
      <c r="Y1614" s="9" t="inlineStr">
        <is>
          <t>open</t>
        </is>
      </c>
      <c r="Z1614" s="7" t="inlineStr">
        <is>
          <t>https://wol.jw.org/en/wol/d/r1/lp-e/2000007
https://wol.jw.org/en/wol/d/r1/lp-e/2000007
https://wol.jw.org/en/wol/d/r1/lp-e/2025605</t>
        </is>
      </c>
      <c r="AA1614" s="7" t="n">
        <v>0</v>
      </c>
      <c r="AB1614" s="7" t="n"/>
      <c r="AC1614" s="7" t="n">
        <v>0</v>
      </c>
      <c r="AD1614" s="7" t="n"/>
      <c r="AE1614" s="7" t="n"/>
      <c r="AF1614" s="7" t="n"/>
      <c r="AG1614" s="7" t="n"/>
      <c r="AH1614" s="7" t="n"/>
      <c r="AI1614" s="7" t="n"/>
      <c r="AJ1614" s="7" t="n"/>
      <c r="AK1614" s="7" t="inlineStr">
        <is>
          <t>governing-body #8 (ruler)</t>
        </is>
      </c>
      <c r="AL1614" s="7" t="n"/>
      <c r="AM1614" s="7" t="n">
        <v>1999.7527</v>
      </c>
      <c r="AN1614" s="10" t="n"/>
      <c r="AO1614" s="10" t="n"/>
      <c r="AP1614" s="10" t="n"/>
      <c r="AQ1614" s="10" t="n"/>
    </row>
    <row r="1615">
      <c r="A1615" s="7" t="inlineStr">
        <is>
          <t>b9-0222</t>
        </is>
      </c>
      <c r="B1615" s="7" t="inlineStr">
        <is>
          <t>Point</t>
        </is>
      </c>
      <c r="C1615" s="7" t="n"/>
      <c r="D1615" s="7" t="inlineStr">
        <is>
          <t>2000</t>
        </is>
      </c>
      <c r="E1615" s="7" t="n"/>
      <c r="F1615" s="7" t="inlineStr">
        <is>
          <t>2000 CE</t>
        </is>
      </c>
      <c r="G1615" s="7" t="inlineStr">
        <is>
          <t>Exact</t>
        </is>
      </c>
      <c r="H1615" s="7" t="n"/>
      <c r="I1615" s="7" t="n"/>
      <c r="J1615" s="7" t="n"/>
      <c r="K1615" s="2" t="inlineStr">
        <is>
          <t>Understanding clarified: blood fractions</t>
        </is>
      </c>
      <c r="L1615" s="2" t="n"/>
      <c r="M1615" s="7" t="inlineStr">
        <is>
          <t>The Watch Tower Publications Index (“Beliefs Clarified,” list by year) records a clarified understanding in 2000 concerning blood fractions. Index references: w23.05 18; w00 6/15 29-31.</t>
        </is>
      </c>
      <c r="N1615" s="7" t="n"/>
      <c r="O1615" s="13" t="inlineStr">
        <is>
          <t>Jehovah's Witnesses</t>
        </is>
      </c>
      <c r="P1615" s="7" t="inlineStr">
        <is>
          <t>jw.doctrine</t>
        </is>
      </c>
      <c r="Q1615" s="7" t="inlineStr">
        <is>
          <t>beliefs_clarified</t>
        </is>
      </c>
      <c r="R1615" s="7" t="n"/>
      <c r="S1615" s="7" t="n"/>
      <c r="T1615" s="7" t="n"/>
      <c r="U1615" s="7" t="n"/>
      <c r="V1615" s="7" t="n">
        <v>1</v>
      </c>
      <c r="W1615" s="7" t="inlineStr">
        <is>
          <t>Beliefs Clarified</t>
        </is>
      </c>
      <c r="X1615" s="9" t="inlineStr">
        <is>
          <t>open</t>
        </is>
      </c>
      <c r="Y1615" s="7" t="n"/>
      <c r="Z1615" s="7" t="inlineStr">
        <is>
          <t>https://wol.jw.org/en/wol/d/r1/lp-e/1200277174</t>
        </is>
      </c>
      <c r="AA1615" s="7" t="n">
        <v>0</v>
      </c>
      <c r="AB1615" s="7" t="n"/>
      <c r="AC1615" s="7" t="n">
        <v>0</v>
      </c>
      <c r="AD1615" s="7" t="n"/>
      <c r="AE1615" s="7" t="n"/>
      <c r="AF1615" s="7" t="n"/>
      <c r="AG1615" s="7" t="n"/>
      <c r="AH1615" s="7" t="n"/>
      <c r="AI1615" s="7" t="inlineStr">
        <is>
          <t>Index list entry – app detail</t>
        </is>
      </c>
      <c r="AJ1615" s="7" t="n"/>
      <c r="AK1615" s="7" t="n"/>
      <c r="AL1615" s="7" t="n"/>
      <c r="AM1615" s="7" t="n">
        <v>2000</v>
      </c>
      <c r="AN1615" s="10" t="n"/>
      <c r="AO1615" s="10" t="n"/>
      <c r="AP1615" s="10" t="n"/>
      <c r="AQ1615" s="10" t="n"/>
    </row>
    <row r="1616">
      <c r="A1616" s="7" t="inlineStr">
        <is>
          <t>b9-0223</t>
        </is>
      </c>
      <c r="B1616" s="7" t="inlineStr">
        <is>
          <t>Point</t>
        </is>
      </c>
      <c r="C1616" s="7" t="n"/>
      <c r="D1616" s="7" t="inlineStr">
        <is>
          <t>2000</t>
        </is>
      </c>
      <c r="E1616" s="7" t="n"/>
      <c r="F1616" s="7" t="inlineStr">
        <is>
          <t>2000 CE</t>
        </is>
      </c>
      <c r="G1616" s="7" t="inlineStr">
        <is>
          <t>Exact</t>
        </is>
      </c>
      <c r="H1616" s="7" t="n"/>
      <c r="I1616" s="7" t="n"/>
      <c r="J1616" s="7" t="n"/>
      <c r="K1616" s="2" t="inlineStr">
        <is>
          <t>Understanding clarified: use of one’s own blood</t>
        </is>
      </c>
      <c r="L1616" s="2" t="n"/>
      <c r="M1616" s="7" t="inlineStr">
        <is>
          <t>The Watch Tower Publications Index (“Beliefs Clarified,” list by year) records a clarified understanding in 2000 concerning use of one’s own blood. Index references: w00 10/15 30-31; w00 12/15 30.</t>
        </is>
      </c>
      <c r="N1616" s="7" t="n"/>
      <c r="O1616" s="13" t="inlineStr">
        <is>
          <t>Jehovah's Witnesses</t>
        </is>
      </c>
      <c r="P1616" s="7" t="inlineStr">
        <is>
          <t>jw.doctrine</t>
        </is>
      </c>
      <c r="Q1616" s="7" t="inlineStr">
        <is>
          <t>beliefs_clarified</t>
        </is>
      </c>
      <c r="R1616" s="7" t="n"/>
      <c r="S1616" s="7" t="n"/>
      <c r="T1616" s="7" t="n"/>
      <c r="U1616" s="7" t="n"/>
      <c r="V1616" s="7" t="n">
        <v>1</v>
      </c>
      <c r="W1616" s="7" t="inlineStr">
        <is>
          <t>Beliefs Clarified</t>
        </is>
      </c>
      <c r="X1616" s="9" t="inlineStr">
        <is>
          <t>open</t>
        </is>
      </c>
      <c r="Y1616" s="7" t="n"/>
      <c r="Z1616" s="7" t="inlineStr">
        <is>
          <t>https://wol.jw.org/en/wol/d/r1/lp-e/1200277174</t>
        </is>
      </c>
      <c r="AA1616" s="7" t="n">
        <v>0</v>
      </c>
      <c r="AB1616" s="7" t="n"/>
      <c r="AC1616" s="7" t="n">
        <v>0</v>
      </c>
      <c r="AD1616" s="7" t="n"/>
      <c r="AE1616" s="7" t="n"/>
      <c r="AF1616" s="7" t="n"/>
      <c r="AG1616" s="7" t="n"/>
      <c r="AH1616" s="7" t="n"/>
      <c r="AI1616" s="7" t="inlineStr">
        <is>
          <t>Index list entry – app detail</t>
        </is>
      </c>
      <c r="AJ1616" s="7" t="n"/>
      <c r="AK1616" s="7" t="n"/>
      <c r="AL1616" s="7" t="n"/>
      <c r="AM1616" s="7" t="n">
        <v>2000</v>
      </c>
      <c r="AN1616" s="10" t="n"/>
      <c r="AO1616" s="10" t="n"/>
      <c r="AP1616" s="10" t="n"/>
      <c r="AQ1616" s="10" t="n"/>
    </row>
    <row r="1617">
      <c r="A1617" s="7" t="inlineStr">
        <is>
          <t>b9-0224</t>
        </is>
      </c>
      <c r="B1617" s="7" t="inlineStr">
        <is>
          <t>Point</t>
        </is>
      </c>
      <c r="C1617" s="7" t="n"/>
      <c r="D1617" s="7" t="inlineStr">
        <is>
          <t>2000</t>
        </is>
      </c>
      <c r="E1617" s="7" t="n"/>
      <c r="F1617" s="7" t="inlineStr">
        <is>
          <t>2000 CE</t>
        </is>
      </c>
      <c r="G1617" s="7" t="inlineStr">
        <is>
          <t>Exact</t>
        </is>
      </c>
      <c r="H1617" s="7" t="n"/>
      <c r="I1617" s="7" t="n"/>
      <c r="J1617" s="7" t="n"/>
      <c r="K1617" s="2" t="inlineStr">
        <is>
          <t>2000: “Doers of God’s Word” District Conventions</t>
        </is>
      </c>
      <c r="L1617" s="2" t="n"/>
      <c r="M1617" s="7" t="inlineStr">
        <is>
          <t>The Watch Tower Publications Index lists the 2000 conventions of Jehovah’s Witnesses as “Doers of God’s Word” District Conventions.</t>
        </is>
      </c>
      <c r="N1617" s="7" t="n"/>
      <c r="O1617" s="13" t="inlineStr">
        <is>
          <t>Jehovah's Witnesses</t>
        </is>
      </c>
      <c r="P1617" s="7" t="inlineStr">
        <is>
          <t>jw.convention</t>
        </is>
      </c>
      <c r="Q1617" s="7" t="inlineStr">
        <is>
          <t>convention</t>
        </is>
      </c>
      <c r="R1617" s="7" t="n"/>
      <c r="S1617" s="7" t="n"/>
      <c r="T1617" s="7" t="n"/>
      <c r="U1617" s="7" t="n"/>
      <c r="V1617" s="7" t="n">
        <v>1</v>
      </c>
      <c r="W1617" s="7" t="inlineStr">
        <is>
          <t>Conventions</t>
        </is>
      </c>
      <c r="X1617" s="9" t="inlineStr">
        <is>
          <t>open</t>
        </is>
      </c>
      <c r="Y1617" s="7" t="n"/>
      <c r="Z1617" s="7" t="inlineStr">
        <is>
          <t>https://wol.jw.org/en/wol/d/r1/lp-e/1200271388</t>
        </is>
      </c>
      <c r="AA1617" s="7" t="n">
        <v>0</v>
      </c>
      <c r="AB1617" s="7" t="n"/>
      <c r="AC1617" s="7" t="n">
        <v>0</v>
      </c>
      <c r="AD1617" s="7" t="n"/>
      <c r="AE1617" s="7" t="n"/>
      <c r="AF1617" s="7" t="n"/>
      <c r="AG1617" s="7" t="n"/>
      <c r="AH1617" s="7" t="n"/>
      <c r="AI1617" s="7" t="inlineStr">
        <is>
          <t>Index list entry – app detail</t>
        </is>
      </c>
      <c r="AJ1617" s="7" t="n"/>
      <c r="AK1617" s="7" t="n"/>
      <c r="AL1617" s="7" t="n"/>
      <c r="AM1617" s="7" t="n">
        <v>2000</v>
      </c>
      <c r="AN1617" s="10" t="n"/>
      <c r="AO1617" s="10" t="n"/>
      <c r="AP1617" s="10" t="n"/>
      <c r="AQ1617" s="10" t="n"/>
    </row>
    <row r="1618">
      <c r="A1618" s="7" t="inlineStr">
        <is>
          <t>b9-0225</t>
        </is>
      </c>
      <c r="B1618" s="7" t="inlineStr">
        <is>
          <t>Point</t>
        </is>
      </c>
      <c r="C1618" s="7" t="n"/>
      <c r="D1618" s="7" t="inlineStr">
        <is>
          <t>2000</t>
        </is>
      </c>
      <c r="E1618" s="7" t="inlineStr">
        <is>
          <t>2000</t>
        </is>
      </c>
      <c r="F1618" s="7" t="inlineStr">
        <is>
          <t>2000 CE</t>
        </is>
      </c>
      <c r="G1618" s="7" t="inlineStr">
        <is>
          <t>Exact</t>
        </is>
      </c>
      <c r="H1618" s="7" t="n"/>
      <c r="I1618" s="7" t="n"/>
      <c r="J1618" s="7" t="n"/>
      <c r="K1618" s="2" t="inlineStr">
        <is>
          <t>ECHR Grand Chamber rules for Thlimmenos</t>
        </is>
      </c>
      <c r="L1618" s="2" t="inlineStr">
        <is>
          <t>2000-ல், 17 நீதிபதிகள் கொண்ட ஒரு குழு அவருக்குச் சாதகமாகத் தீர்ப்பு வழங்கியது.</t>
        </is>
      </c>
      <c r="M1618" s="7" t="inlineStr">
        <is>
          <t>In 2000 the Grand Chamber of the European Court of Human Rights ruled in favor of Iakovos Thlimmenos, setting a precedent against discrimination.</t>
        </is>
      </c>
      <c r="N1618" s="7" t="inlineStr">
        <is>
          <t>2000-ல், 17 நீதிபதிகள் கொண்ட ஒரு குழு அவருக்குச் சாதகமாகத் தீர்ப்பு வழங்கியது.</t>
        </is>
      </c>
      <c r="O1618" s="13" t="inlineStr">
        <is>
          <t>Jehovah's Witnesses</t>
        </is>
      </c>
      <c r="P1618" s="7" t="inlineStr">
        <is>
          <t>jw.legal</t>
        </is>
      </c>
      <c r="Q1618" s="7" t="inlineStr">
        <is>
          <t>court_ruling</t>
        </is>
      </c>
      <c r="R1618" s="7" t="inlineStr">
        <is>
          <t>Iakovos Thlimmenos</t>
        </is>
      </c>
      <c r="S1618" s="7" t="inlineStr">
        <is>
          <t>Greece</t>
        </is>
      </c>
      <c r="T1618" s="7" t="n"/>
      <c r="U1618" s="7" t="n"/>
      <c r="V1618" s="7" t="n">
        <v>1</v>
      </c>
      <c r="W1618" s="7" t="inlineStr">
        <is>
          <t>Loyally Supporting God’s Government and No Other</t>
        </is>
      </c>
      <c r="X1618" s="9" t="inlineStr">
        <is>
          <t>open</t>
        </is>
      </c>
      <c r="Y1618" s="9" t="inlineStr">
        <is>
          <t>open</t>
        </is>
      </c>
      <c r="Z1618" s="7" t="inlineStr">
        <is>
          <t>https://wol.jw.org/en/wol/d/r1/lp-e/1102014253</t>
        </is>
      </c>
      <c r="AA1618" s="7" t="n">
        <v>0</v>
      </c>
      <c r="AB1618" s="7" t="n"/>
      <c r="AC1618" s="7" t="n">
        <v>0</v>
      </c>
      <c r="AD1618" s="7" t="n"/>
      <c r="AE1618" s="7" t="n"/>
      <c r="AF1618" s="7" t="n"/>
      <c r="AG1618" s="7" t="n"/>
      <c r="AH1618" s="7" t="n"/>
      <c r="AI1618" s="7" t="n"/>
      <c r="AJ1618" s="7" t="n"/>
      <c r="AK1618" s="7" t="n"/>
      <c r="AL1618" s="7" t="n"/>
      <c r="AM1618" s="7" t="n">
        <v>2000</v>
      </c>
      <c r="AN1618" s="10" t="n"/>
      <c r="AO1618" s="10" t="n"/>
      <c r="AP1618" s="10" t="n"/>
      <c r="AQ1618" s="10" t="n"/>
    </row>
    <row r="1619">
      <c r="A1619" s="7" t="inlineStr">
        <is>
          <t>b9-0226</t>
        </is>
      </c>
      <c r="B1619" s="7" t="inlineStr">
        <is>
          <t>Point</t>
        </is>
      </c>
      <c r="C1619" s="7" t="n"/>
      <c r="D1619" s="7" t="inlineStr">
        <is>
          <t>2000</t>
        </is>
      </c>
      <c r="E1619" s="7" t="inlineStr">
        <is>
          <t>2000</t>
        </is>
      </c>
      <c r="F1619" s="7" t="inlineStr">
        <is>
          <t>2000 CE</t>
        </is>
      </c>
      <c r="G1619" s="7" t="inlineStr">
        <is>
          <t>Exact</t>
        </is>
      </c>
      <c r="H1619" s="7" t="n"/>
      <c r="I1619" s="7" t="n"/>
      <c r="J1619" s="7" t="n"/>
      <c r="K1619" s="2" t="inlineStr">
        <is>
          <t>Training program for all translation teams authorized</t>
        </is>
      </c>
      <c r="L1619" s="2" t="inlineStr">
        <is>
          <t>2000-ல், உலகிலுள்ள எல்லா மொழிபெயர்ப்புக் குழுக்களுக்கும் முதன்முறையாக ஒரு பாடத் திட்டத்தை ஆளும் குழு ஏற்பாடு செய்தது.</t>
        </is>
      </c>
      <c r="M1619" s="7" t="inlineStr">
        <is>
          <t>In 2000 the Governing Body authorized an unprecedented training program for all translation teams worldwide; a second course was developed in 2001.</t>
        </is>
      </c>
      <c r="N1619" s="7" t="inlineStr">
        <is>
          <t>2000-ல், உலகிலுள்ள எல்லா மொழிபெயர்ப்புக் குழுக்களுக்கும் முதன்முறையாக ஒரு பாடத் திட்டத்தை ஆளும் குழு ஏற்பாடு செய்தது.</t>
        </is>
      </c>
      <c r="O1619" s="13" t="inlineStr">
        <is>
          <t>Jehovah's Witnesses</t>
        </is>
      </c>
      <c r="P1619" s="7" t="inlineStr">
        <is>
          <t>jw.education</t>
        </is>
      </c>
      <c r="Q1619" s="7" t="n"/>
      <c r="R1619" s="7" t="n"/>
      <c r="S1619" s="7" t="n"/>
      <c r="T1619" s="7" t="n"/>
      <c r="U1619" s="7" t="n"/>
      <c r="V1619" s="7" t="n">
        <v>1</v>
      </c>
      <c r="W1619" s="7" t="inlineStr">
        <is>
          <t>Tools for Preaching</t>
        </is>
      </c>
      <c r="X1619" s="9" t="inlineStr">
        <is>
          <t>open</t>
        </is>
      </c>
      <c r="Y1619" s="9" t="inlineStr">
        <is>
          <t>open</t>
        </is>
      </c>
      <c r="Z1619" s="7" t="inlineStr">
        <is>
          <t>https://wol.jw.org/en/wol/d/r1/lp-e/1102014247</t>
        </is>
      </c>
      <c r="AA1619" s="7" t="n">
        <v>0</v>
      </c>
      <c r="AB1619" s="7" t="n"/>
      <c r="AC1619" s="7" t="n">
        <v>0</v>
      </c>
      <c r="AD1619" s="7" t="n"/>
      <c r="AE1619" s="7" t="n"/>
      <c r="AF1619" s="7" t="n"/>
      <c r="AG1619" s="7" t="n"/>
      <c r="AH1619" s="7" t="n"/>
      <c r="AI1619" s="7" t="n"/>
      <c r="AJ1619" s="7" t="n"/>
      <c r="AK1619" s="7" t="n"/>
      <c r="AL1619" s="7" t="n"/>
      <c r="AM1619" s="7" t="n">
        <v>2000</v>
      </c>
      <c r="AN1619" s="10" t="n"/>
      <c r="AO1619" s="10" t="n"/>
      <c r="AP1619" s="10" t="n"/>
      <c r="AQ1619" s="10" t="n"/>
    </row>
    <row r="1620">
      <c r="A1620" s="7" t="inlineStr">
        <is>
          <t>b9-0227</t>
        </is>
      </c>
      <c r="B1620" s="7" t="inlineStr">
        <is>
          <t>Point</t>
        </is>
      </c>
      <c r="C1620" s="7" t="n"/>
      <c r="D1620" s="7" t="inlineStr">
        <is>
          <t>2000, February 29</t>
        </is>
      </c>
      <c r="E1620" s="7" t="inlineStr">
        <is>
          <t>பிப்ரவரி 29, 2000</t>
        </is>
      </c>
      <c r="F1620" s="7" t="inlineStr">
        <is>
          <t>2000 CE</t>
        </is>
      </c>
      <c r="G1620" s="7" t="inlineStr">
        <is>
          <t>Exact</t>
        </is>
      </c>
      <c r="H1620" s="7" t="n"/>
      <c r="I1620" s="7" t="n"/>
      <c r="J1620" s="7" t="n"/>
      <c r="K1620" s="2" t="inlineStr">
        <is>
          <t>Japan Supreme Court upholds right to refuse blood</t>
        </is>
      </c>
      <c r="L1620" s="2" t="inlineStr">
        <is>
          <t>என்று பிப்ரவரி 29, 2000-ல் கொடுக்கப்பட்ட தீர்ப்பில் குறிப்பிடப்பட்டிருந்தது.</t>
        </is>
      </c>
      <c r="M1620" s="7" t="inlineStr">
        <is>
          <t>On February 29, 2000, the Supreme Court of Japan ruled that the right to decide on such treatment must be respected as a personal right.</t>
        </is>
      </c>
      <c r="N1620" s="7" t="inlineStr">
        <is>
          <t>என்று பிப்ரவரி 29, 2000-ல் கொடுக்கப்பட்ட தீர்ப்பில் குறிப்பிடப்பட்டிருந்தது.</t>
        </is>
      </c>
      <c r="O1620" s="13" t="inlineStr">
        <is>
          <t>Jehovah's Witnesses</t>
        </is>
      </c>
      <c r="P1620" s="7" t="inlineStr">
        <is>
          <t>jw.legal</t>
        </is>
      </c>
      <c r="Q1620" s="7" t="inlineStr">
        <is>
          <t>court_ruling</t>
        </is>
      </c>
      <c r="R1620" s="7" t="n"/>
      <c r="S1620" s="7" t="inlineStr">
        <is>
          <t>Japan</t>
        </is>
      </c>
      <c r="T1620" s="7" t="n"/>
      <c r="U1620" s="7" t="n"/>
      <c r="V1620" s="7" t="n">
        <v>1</v>
      </c>
      <c r="W1620" s="7" t="inlineStr">
        <is>
          <t>Fighting for Freedom to Worship</t>
        </is>
      </c>
      <c r="X1620" s="9" t="inlineStr">
        <is>
          <t>open</t>
        </is>
      </c>
      <c r="Y1620" s="9" t="inlineStr">
        <is>
          <t>open</t>
        </is>
      </c>
      <c r="Z1620" s="7" t="inlineStr">
        <is>
          <t>https://wol.jw.org/en/wol/d/r1/lp-e/1102014254</t>
        </is>
      </c>
      <c r="AA1620" s="7" t="n">
        <v>0</v>
      </c>
      <c r="AB1620" s="7" t="n"/>
      <c r="AC1620" s="7" t="n">
        <v>0</v>
      </c>
      <c r="AD1620" s="7" t="n"/>
      <c r="AE1620" s="7" t="n"/>
      <c r="AF1620" s="7" t="n"/>
      <c r="AG1620" s="7" t="n"/>
      <c r="AH1620" s="7" t="n"/>
      <c r="AI1620" s="7" t="n"/>
      <c r="AJ1620" s="7" t="n"/>
      <c r="AK1620" s="7" t="n"/>
      <c r="AL1620" s="7" t="n"/>
      <c r="AM1620" s="7" t="n">
        <v>2000.1586</v>
      </c>
      <c r="AN1620" s="10" t="n"/>
      <c r="AO1620" s="10" t="n"/>
      <c r="AP1620" s="10" t="n"/>
      <c r="AQ1620" s="10" t="n"/>
    </row>
    <row r="1621">
      <c r="A1621" s="7" t="inlineStr">
        <is>
          <t>b9-0228</t>
        </is>
      </c>
      <c r="B1621" s="7" t="inlineStr">
        <is>
          <t>Point</t>
        </is>
      </c>
      <c r="C1621" s="7" t="n"/>
      <c r="D1621" s="7" t="inlineStr">
        <is>
          <t>2001</t>
        </is>
      </c>
      <c r="E1621" s="7" t="inlineStr">
        <is>
          <t>2001</t>
        </is>
      </c>
      <c r="F1621" s="7" t="inlineStr">
        <is>
          <t>2001 CE</t>
        </is>
      </c>
      <c r="G1621" s="7" t="inlineStr">
        <is>
          <t>Exact</t>
        </is>
      </c>
      <c r="H1621" s="7" t="n"/>
      <c r="I1621" s="7" t="n"/>
      <c r="J1621" s="7" t="n"/>
      <c r="K1621" s="2" t="inlineStr">
        <is>
          <t>Benefit From Theocratic Ministry School Education published</t>
        </is>
      </c>
      <c r="L1621" s="2" t="inlineStr">
        <is>
          <t>2001-ல் தேவராஜ்ய ஊழியப் பள்ளியிலிருந்து பயனடையுங்கள் என்ற புத்தகம் வெளிவந்தது.</t>
        </is>
      </c>
      <c r="M1621" s="7" t="inlineStr">
        <is>
          <t>The textbook Benefit From Theocratic Ministry School Education was published in 2001.</t>
        </is>
      </c>
      <c r="N1621" s="7" t="inlineStr">
        <is>
          <t>2001-ல் தேவராஜ்ய ஊழியப் பள்ளியிலிருந்து பயனடையுங்கள் என்ற புத்தகம் வெளிவந்தது.</t>
        </is>
      </c>
      <c r="O1621" s="13" t="inlineStr">
        <is>
          <t>Jehovah's Witnesses</t>
        </is>
      </c>
      <c r="P1621" s="7" t="inlineStr">
        <is>
          <t>jw.publication</t>
        </is>
      </c>
      <c r="Q1621" s="7" t="inlineStr">
        <is>
          <t>release</t>
        </is>
      </c>
      <c r="R1621" s="7" t="n"/>
      <c r="S1621" s="7" t="n"/>
      <c r="T1621" s="7" t="n"/>
      <c r="U1621" s="7" t="n"/>
      <c r="V1621" s="7" t="n">
        <v>1</v>
      </c>
      <c r="W1621" s="7" t="inlineStr">
        <is>
          <t>Tools for Preaching</t>
        </is>
      </c>
      <c r="X1621" s="9" t="inlineStr">
        <is>
          <t>open</t>
        </is>
      </c>
      <c r="Y1621" s="9" t="inlineStr">
        <is>
          <t>open</t>
        </is>
      </c>
      <c r="Z1621" s="7" t="inlineStr">
        <is>
          <t>https://wol.jw.org/en/wol/d/r1/lp-e/1102014247</t>
        </is>
      </c>
      <c r="AA1621" s="7" t="n">
        <v>0</v>
      </c>
      <c r="AB1621" s="7" t="n"/>
      <c r="AC1621" s="7" t="n">
        <v>0</v>
      </c>
      <c r="AD1621" s="7" t="n"/>
      <c r="AE1621" s="7" t="n"/>
      <c r="AF1621" s="7" t="n"/>
      <c r="AG1621" s="7" t="n"/>
      <c r="AH1621" s="7" t="n"/>
      <c r="AI1621" s="7" t="n"/>
      <c r="AJ1621" s="7" t="n"/>
      <c r="AK1621" s="7" t="n"/>
      <c r="AL1621" s="7" t="n"/>
      <c r="AM1621" s="7" t="n">
        <v>2001</v>
      </c>
      <c r="AN1621" s="10" t="n"/>
      <c r="AO1621" s="10" t="n"/>
      <c r="AP1621" s="10" t="n"/>
      <c r="AQ1621" s="10" t="n"/>
    </row>
    <row r="1622">
      <c r="A1622" s="7" t="inlineStr">
        <is>
          <t>b9-0229</t>
        </is>
      </c>
      <c r="B1622" s="7" t="inlineStr">
        <is>
          <t>Point</t>
        </is>
      </c>
      <c r="C1622" s="7" t="n"/>
      <c r="D1622" s="7" t="inlineStr">
        <is>
          <t>2001</t>
        </is>
      </c>
      <c r="E1622" s="7" t="n"/>
      <c r="F1622" s="7" t="inlineStr">
        <is>
          <t>2001 CE</t>
        </is>
      </c>
      <c r="G1622" s="7" t="inlineStr">
        <is>
          <t>Exact</t>
        </is>
      </c>
      <c r="H1622" s="7" t="n"/>
      <c r="I1622" s="7" t="n"/>
      <c r="J1622" s="7" t="n"/>
      <c r="K1622" s="2" t="inlineStr">
        <is>
          <t>Understanding clarified: “divorce certificate” for Judah (Isa. 50:1)</t>
        </is>
      </c>
      <c r="L1622" s="2" t="n"/>
      <c r="M1622" s="7" t="inlineStr">
        <is>
          <t>The Watch Tower Publications Index (“Beliefs Clarified,” list by year) records a clarified understanding in 2001 concerning “divorce certificate” for Judah (Isa. 50:1). Index references: ip-2 152-153.</t>
        </is>
      </c>
      <c r="N1622" s="7" t="n"/>
      <c r="O1622" s="13" t="inlineStr">
        <is>
          <t>Jehovah's Witnesses</t>
        </is>
      </c>
      <c r="P1622" s="7" t="inlineStr">
        <is>
          <t>jw.doctrine</t>
        </is>
      </c>
      <c r="Q1622" s="7" t="inlineStr">
        <is>
          <t>beliefs_clarified</t>
        </is>
      </c>
      <c r="R1622" s="7" t="n"/>
      <c r="S1622" s="7" t="n"/>
      <c r="T1622" s="7" t="inlineStr">
        <is>
          <t>Isa. 50:1</t>
        </is>
      </c>
      <c r="U1622" s="7" t="n"/>
      <c r="V1622" s="7" t="n">
        <v>1</v>
      </c>
      <c r="W1622" s="7" t="inlineStr">
        <is>
          <t>Beliefs Clarified</t>
        </is>
      </c>
      <c r="X1622" s="9" t="inlineStr">
        <is>
          <t>open</t>
        </is>
      </c>
      <c r="Y1622" s="7" t="n"/>
      <c r="Z1622" s="7" t="inlineStr">
        <is>
          <t>https://wol.jw.org/en/wol/d/r1/lp-e/1200277174</t>
        </is>
      </c>
      <c r="AA1622" s="7" t="n">
        <v>0</v>
      </c>
      <c r="AB1622" s="7" t="n"/>
      <c r="AC1622" s="7" t="n">
        <v>0</v>
      </c>
      <c r="AD1622" s="7" t="n"/>
      <c r="AE1622" s="7" t="n"/>
      <c r="AF1622" s="7" t="n"/>
      <c r="AG1622" s="7" t="n"/>
      <c r="AH1622" s="7" t="n"/>
      <c r="AI1622" s="7" t="inlineStr">
        <is>
          <t>Index list entry – app detail</t>
        </is>
      </c>
      <c r="AJ1622" s="7" t="n"/>
      <c r="AK1622" s="7" t="n"/>
      <c r="AL1622" s="7" t="n"/>
      <c r="AM1622" s="7" t="n">
        <v>2001</v>
      </c>
      <c r="AN1622" s="10" t="n"/>
      <c r="AO1622" s="10" t="n"/>
      <c r="AP1622" s="10" t="n"/>
      <c r="AQ1622" s="10" t="n"/>
    </row>
    <row r="1623">
      <c r="A1623" s="7" t="inlineStr">
        <is>
          <t>b9-0230</t>
        </is>
      </c>
      <c r="B1623" s="7" t="inlineStr">
        <is>
          <t>Point</t>
        </is>
      </c>
      <c r="C1623" s="7" t="n"/>
      <c r="D1623" s="7" t="inlineStr">
        <is>
          <t>2001</t>
        </is>
      </c>
      <c r="E1623" s="7" t="n"/>
      <c r="F1623" s="7" t="inlineStr">
        <is>
          <t>2001 CE</t>
        </is>
      </c>
      <c r="G1623" s="7" t="inlineStr">
        <is>
          <t>Exact</t>
        </is>
      </c>
      <c r="H1623" s="7" t="n"/>
      <c r="I1623" s="7" t="n"/>
      <c r="J1623" s="7" t="n"/>
      <c r="K1623" s="2" t="inlineStr">
        <is>
          <t>Understanding clarified: ‘doves to birdhouse holes’ (Isa. 60:8, 9)</t>
        </is>
      </c>
      <c r="L1623" s="2" t="n"/>
      <c r="M1623" s="7" t="inlineStr">
        <is>
          <t>The Watch Tower Publications Index (“Beliefs Clarified,” list by year) records a clarified understanding in 2001 concerning ‘doves to birdhouse holes’ (Isa. 60:8, 9). Index references: w02 7/1 12-13; ip-2 308-309.</t>
        </is>
      </c>
      <c r="N1623" s="7" t="n"/>
      <c r="O1623" s="13" t="inlineStr">
        <is>
          <t>Jehovah's Witnesses</t>
        </is>
      </c>
      <c r="P1623" s="7" t="inlineStr">
        <is>
          <t>jw.doctrine</t>
        </is>
      </c>
      <c r="Q1623" s="7" t="inlineStr">
        <is>
          <t>beliefs_clarified</t>
        </is>
      </c>
      <c r="R1623" s="7" t="n"/>
      <c r="S1623" s="7" t="n"/>
      <c r="T1623" s="7" t="inlineStr">
        <is>
          <t>Isa. 60:8, 9</t>
        </is>
      </c>
      <c r="U1623" s="7" t="n"/>
      <c r="V1623" s="7" t="n">
        <v>1</v>
      </c>
      <c r="W1623" s="7" t="inlineStr">
        <is>
          <t>Beliefs Clarified</t>
        </is>
      </c>
      <c r="X1623" s="9" t="inlineStr">
        <is>
          <t>open</t>
        </is>
      </c>
      <c r="Y1623" s="7" t="n"/>
      <c r="Z1623" s="7" t="inlineStr">
        <is>
          <t>https://wol.jw.org/en/wol/d/r1/lp-e/1200277174</t>
        </is>
      </c>
      <c r="AA1623" s="7" t="n">
        <v>0</v>
      </c>
      <c r="AB1623" s="7" t="n"/>
      <c r="AC1623" s="7" t="n">
        <v>0</v>
      </c>
      <c r="AD1623" s="7" t="n"/>
      <c r="AE1623" s="7" t="n"/>
      <c r="AF1623" s="7" t="n"/>
      <c r="AG1623" s="7" t="n"/>
      <c r="AH1623" s="7" t="n"/>
      <c r="AI1623" s="7" t="inlineStr">
        <is>
          <t>Index list entry – app detail</t>
        </is>
      </c>
      <c r="AJ1623" s="7" t="n"/>
      <c r="AK1623" s="7" t="n"/>
      <c r="AL1623" s="7" t="n"/>
      <c r="AM1623" s="7" t="n">
        <v>2001</v>
      </c>
      <c r="AN1623" s="10" t="n"/>
      <c r="AO1623" s="10" t="n"/>
      <c r="AP1623" s="10" t="n"/>
      <c r="AQ1623" s="10" t="n"/>
    </row>
    <row r="1624">
      <c r="A1624" s="7" t="inlineStr">
        <is>
          <t>b9-0231</t>
        </is>
      </c>
      <c r="B1624" s="7" t="inlineStr">
        <is>
          <t>Point</t>
        </is>
      </c>
      <c r="C1624" s="7" t="n"/>
      <c r="D1624" s="7" t="inlineStr">
        <is>
          <t>2001</t>
        </is>
      </c>
      <c r="E1624" s="7" t="n"/>
      <c r="F1624" s="7" t="inlineStr">
        <is>
          <t>2001 CE</t>
        </is>
      </c>
      <c r="G1624" s="7" t="inlineStr">
        <is>
          <t>Exact</t>
        </is>
      </c>
      <c r="H1624" s="7" t="n"/>
      <c r="I1624" s="7" t="n"/>
      <c r="J1624" s="7" t="n"/>
      <c r="K1624" s="2" t="inlineStr">
        <is>
          <t>Understanding clarified: worshipping Jehovah “with spirit” (John 4:24)</t>
        </is>
      </c>
      <c r="L1624" s="2" t="n"/>
      <c r="M1624" s="7" t="inlineStr">
        <is>
          <t>The Watch Tower Publications Index (“Beliefs Clarified,” list by year) records a clarified understanding in 2001 concerning worshipping Jehovah “with spirit” (John 4:24). Index references: w06 2/15 30; w02 7/15 15; w01 9/15 28.</t>
        </is>
      </c>
      <c r="N1624" s="7" t="n"/>
      <c r="O1624" s="13" t="inlineStr">
        <is>
          <t>Jehovah's Witnesses</t>
        </is>
      </c>
      <c r="P1624" s="7" t="inlineStr">
        <is>
          <t>jw.doctrine</t>
        </is>
      </c>
      <c r="Q1624" s="7" t="inlineStr">
        <is>
          <t>beliefs_clarified</t>
        </is>
      </c>
      <c r="R1624" s="7" t="n"/>
      <c r="S1624" s="7" t="n"/>
      <c r="T1624" s="7" t="inlineStr">
        <is>
          <t>John 4:24</t>
        </is>
      </c>
      <c r="U1624" s="7" t="n"/>
      <c r="V1624" s="7" t="n">
        <v>1</v>
      </c>
      <c r="W1624" s="7" t="inlineStr">
        <is>
          <t>Beliefs Clarified</t>
        </is>
      </c>
      <c r="X1624" s="9" t="inlineStr">
        <is>
          <t>open</t>
        </is>
      </c>
      <c r="Y1624" s="7" t="n"/>
      <c r="Z1624" s="7" t="inlineStr">
        <is>
          <t>https://wol.jw.org/en/wol/d/r1/lp-e/1200277174</t>
        </is>
      </c>
      <c r="AA1624" s="7" t="n">
        <v>0</v>
      </c>
      <c r="AB1624" s="7" t="n"/>
      <c r="AC1624" s="7" t="n">
        <v>0</v>
      </c>
      <c r="AD1624" s="7" t="n"/>
      <c r="AE1624" s="7" t="n"/>
      <c r="AF1624" s="7" t="n"/>
      <c r="AG1624" s="7" t="n"/>
      <c r="AH1624" s="7" t="n"/>
      <c r="AI1624" s="7" t="inlineStr">
        <is>
          <t>Index list entry – app detail</t>
        </is>
      </c>
      <c r="AJ1624" s="7" t="n"/>
      <c r="AK1624" s="7" t="n"/>
      <c r="AL1624" s="7" t="n"/>
      <c r="AM1624" s="7" t="n">
        <v>2001</v>
      </c>
      <c r="AN1624" s="10" t="n"/>
      <c r="AO1624" s="10" t="n"/>
      <c r="AP1624" s="10" t="n"/>
      <c r="AQ1624" s="10" t="n"/>
    </row>
    <row r="1625">
      <c r="A1625" s="7" t="inlineStr">
        <is>
          <t>b9-0232</t>
        </is>
      </c>
      <c r="B1625" s="7" t="inlineStr">
        <is>
          <t>Point</t>
        </is>
      </c>
      <c r="C1625" s="7" t="n"/>
      <c r="D1625" s="7" t="inlineStr">
        <is>
          <t>2001</t>
        </is>
      </c>
      <c r="E1625" s="7" t="n"/>
      <c r="F1625" s="7" t="inlineStr">
        <is>
          <t>2001 CE</t>
        </is>
      </c>
      <c r="G1625" s="7" t="inlineStr">
        <is>
          <t>Exact</t>
        </is>
      </c>
      <c r="H1625" s="7" t="n"/>
      <c r="I1625" s="7" t="n"/>
      <c r="J1625" s="7" t="n"/>
      <c r="K1625" s="2" t="inlineStr">
        <is>
          <t>2001: “Teachers of God’s Word” District Conventions</t>
        </is>
      </c>
      <c r="L1625" s="2" t="n"/>
      <c r="M1625" s="7" t="inlineStr">
        <is>
          <t>The Watch Tower Publications Index lists the 2001 conventions of Jehovah’s Witnesses as “Teachers of God’s Word” District Conventions.</t>
        </is>
      </c>
      <c r="N1625" s="7" t="n"/>
      <c r="O1625" s="13" t="inlineStr">
        <is>
          <t>Jehovah's Witnesses</t>
        </is>
      </c>
      <c r="P1625" s="7" t="inlineStr">
        <is>
          <t>jw.convention</t>
        </is>
      </c>
      <c r="Q1625" s="7" t="inlineStr">
        <is>
          <t>convention</t>
        </is>
      </c>
      <c r="R1625" s="7" t="n"/>
      <c r="S1625" s="7" t="n"/>
      <c r="T1625" s="7" t="n"/>
      <c r="U1625" s="7" t="n"/>
      <c r="V1625" s="7" t="n">
        <v>1</v>
      </c>
      <c r="W1625" s="7" t="inlineStr">
        <is>
          <t>Conventions</t>
        </is>
      </c>
      <c r="X1625" s="9" t="inlineStr">
        <is>
          <t>open</t>
        </is>
      </c>
      <c r="Y1625" s="7" t="n"/>
      <c r="Z1625" s="7" t="inlineStr">
        <is>
          <t>https://wol.jw.org/en/wol/d/r1/lp-e/1200271388</t>
        </is>
      </c>
      <c r="AA1625" s="7" t="n">
        <v>0</v>
      </c>
      <c r="AB1625" s="7" t="n"/>
      <c r="AC1625" s="7" t="n">
        <v>0</v>
      </c>
      <c r="AD1625" s="7" t="n"/>
      <c r="AE1625" s="7" t="n"/>
      <c r="AF1625" s="7" t="n"/>
      <c r="AG1625" s="7" t="n"/>
      <c r="AH1625" s="7" t="n"/>
      <c r="AI1625" s="7" t="inlineStr">
        <is>
          <t>Index list entry – app detail</t>
        </is>
      </c>
      <c r="AJ1625" s="7" t="n"/>
      <c r="AK1625" s="7" t="n"/>
      <c r="AL1625" s="7" t="n"/>
      <c r="AM1625" s="7" t="n">
        <v>2001</v>
      </c>
      <c r="AN1625" s="10" t="n"/>
      <c r="AO1625" s="10" t="n"/>
      <c r="AP1625" s="10" t="n"/>
      <c r="AQ1625" s="10" t="n"/>
    </row>
    <row r="1626">
      <c r="A1626" s="7" t="inlineStr">
        <is>
          <t>b9-0233</t>
        </is>
      </c>
      <c r="B1626" s="7" t="inlineStr">
        <is>
          <t>Point</t>
        </is>
      </c>
      <c r="C1626" s="7" t="n"/>
      <c r="D1626" s="7" t="inlineStr">
        <is>
          <t>2001</t>
        </is>
      </c>
      <c r="E1626" s="7" t="inlineStr">
        <is>
          <t>2001</t>
        </is>
      </c>
      <c r="F1626" s="7" t="inlineStr">
        <is>
          <t>2001 CE</t>
        </is>
      </c>
      <c r="G1626" s="7" t="inlineStr">
        <is>
          <t>Exact</t>
        </is>
      </c>
      <c r="H1626" s="7" t="n"/>
      <c r="I1626" s="7" t="n"/>
      <c r="J1626" s="7" t="n"/>
      <c r="K1626" s="2" t="inlineStr">
        <is>
          <t>Report: 18,300 Kingdom Halls needed in 88 lands</t>
        </is>
      </c>
      <c r="L1626" s="2" t="inlineStr">
        <is>
          <t>2001-ன் அறிக்கைபடி, வளர்ந்து வரும் 88 நாடுகளில் 18,300-க்கும் அதிகமான ராஜ்ய மன்றங்கள் தேவைப்பட்டன.</t>
        </is>
      </c>
      <c r="M1626" s="7" t="inlineStr">
        <is>
          <t>A report in 2001 showed that more than 18,300 Kingdom Halls were needed in 88 developing countries.</t>
        </is>
      </c>
      <c r="N1626" s="7" t="inlineStr">
        <is>
          <t>2001-ன் அறிக்கைபடி, வளர்ந்து வரும் 88 நாடுகளில் 18,300-க்கும் அதிகமான ராஜ்ய மன்றங்கள் தேவைப்பட்டன.</t>
        </is>
      </c>
      <c r="O1626" s="13" t="inlineStr">
        <is>
          <t>Jehovah's Witnesses</t>
        </is>
      </c>
      <c r="P1626" s="7" t="inlineStr">
        <is>
          <t>jw.construction</t>
        </is>
      </c>
      <c r="Q1626" s="7" t="inlineStr">
        <is>
          <t>statistic</t>
        </is>
      </c>
      <c r="R1626" s="7" t="n"/>
      <c r="S1626" s="7" t="n"/>
      <c r="T1626" s="7" t="n"/>
      <c r="U1626" s="7" t="n"/>
      <c r="V1626" s="7" t="n">
        <v>1</v>
      </c>
      <c r="W1626" s="7" t="inlineStr">
        <is>
          <t>Building Work That Honors Jehovah</t>
        </is>
      </c>
      <c r="X1626" s="9" t="inlineStr">
        <is>
          <t>open</t>
        </is>
      </c>
      <c r="Y1626" s="9" t="inlineStr">
        <is>
          <t>open</t>
        </is>
      </c>
      <c r="Z1626" s="7" t="inlineStr">
        <is>
          <t>https://wol.jw.org/en/wol/d/r1/lp-e/1102014258</t>
        </is>
      </c>
      <c r="AA1626" s="7" t="n">
        <v>0</v>
      </c>
      <c r="AB1626" s="7" t="n"/>
      <c r="AC1626" s="7" t="n">
        <v>0</v>
      </c>
      <c r="AD1626" s="7" t="n"/>
      <c r="AE1626" s="7" t="n"/>
      <c r="AF1626" s="7" t="n"/>
      <c r="AG1626" s="7" t="n"/>
      <c r="AH1626" s="7" t="n"/>
      <c r="AI1626" s="7" t="n"/>
      <c r="AJ1626" s="7" t="n"/>
      <c r="AK1626" s="7" t="n"/>
      <c r="AL1626" s="7" t="n"/>
      <c r="AM1626" s="7" t="n">
        <v>2001</v>
      </c>
      <c r="AN1626" s="10" t="n"/>
      <c r="AO1626" s="10" t="n"/>
      <c r="AP1626" s="10" t="n"/>
      <c r="AQ1626" s="10" t="n"/>
    </row>
    <row r="1627">
      <c r="A1627" s="7" t="inlineStr">
        <is>
          <t>b9-0234</t>
        </is>
      </c>
      <c r="B1627" s="7" t="inlineStr">
        <is>
          <t>Point</t>
        </is>
      </c>
      <c r="C1627" s="7" t="n"/>
      <c r="D1627" s="7" t="inlineStr">
        <is>
          <t>2001</t>
        </is>
      </c>
      <c r="E1627" s="7" t="inlineStr">
        <is>
          <t>2001</t>
        </is>
      </c>
      <c r="F1627" s="7" t="inlineStr">
        <is>
          <t>2001 CE</t>
        </is>
      </c>
      <c r="G1627" s="7" t="inlineStr">
        <is>
          <t>Exact</t>
        </is>
      </c>
      <c r="H1627" s="7" t="n"/>
      <c r="I1627" s="7" t="n"/>
      <c r="J1627" s="7" t="n"/>
      <c r="K1627" s="2" t="inlineStr">
        <is>
          <t>Friendly settlement reached in Stefanov case</t>
        </is>
      </c>
      <c r="L1627" s="2" t="inlineStr">
        <is>
          <t>ஆனால், 2001-ல் அந்த வழக்கு விசாரணைக்கு வருவதற்கு முன்பே பல்கேரியா அரசாங்கம் சகோதரர் ஸ்டெஃபனாஃப்வோடு சமரசம் செய்து, அவருக்கு பொது மன்னிப்பு…</t>
        </is>
      </c>
      <c r="M1627" s="7" t="inlineStr">
        <is>
          <t>In 2001, before his case could be heard by the ECHR, a friendly settlement was reached with Ivailo Stefanov.</t>
        </is>
      </c>
      <c r="N1627" s="7" t="inlineStr">
        <is>
          <t>ஆனால், 2001-ல் அந்த வழக்கு விசாரணைக்கு வருவதற்கு முன்பே பல்கேரியா அரசாங்கம் சகோதரர் ஸ்டெஃபனாஃப்வோடு சமரசம் செய்து, அவருக்கு பொது மன்னிப்பு வழங்கியது.</t>
        </is>
      </c>
      <c r="O1627" s="13" t="inlineStr">
        <is>
          <t>Jehovah's Witnesses</t>
        </is>
      </c>
      <c r="P1627" s="7" t="inlineStr">
        <is>
          <t>jw.legal</t>
        </is>
      </c>
      <c r="Q1627" s="7" t="n"/>
      <c r="R1627" s="7" t="inlineStr">
        <is>
          <t>Ivailo Stefanov</t>
        </is>
      </c>
      <c r="S1627" s="7" t="inlineStr">
        <is>
          <t>Bulgaria</t>
        </is>
      </c>
      <c r="T1627" s="7" t="n"/>
      <c r="U1627" s="7" t="n"/>
      <c r="V1627" s="7" t="n">
        <v>1</v>
      </c>
      <c r="W1627" s="7" t="inlineStr">
        <is>
          <t>Loyally Supporting God’s Government and No Other</t>
        </is>
      </c>
      <c r="X1627" s="9" t="inlineStr">
        <is>
          <t>open</t>
        </is>
      </c>
      <c r="Y1627" s="9" t="inlineStr">
        <is>
          <t>open</t>
        </is>
      </c>
      <c r="Z1627" s="7" t="inlineStr">
        <is>
          <t>https://wol.jw.org/en/wol/d/r1/lp-e/1102014253</t>
        </is>
      </c>
      <c r="AA1627" s="7" t="n">
        <v>0</v>
      </c>
      <c r="AB1627" s="7" t="n"/>
      <c r="AC1627" s="7" t="n">
        <v>0</v>
      </c>
      <c r="AD1627" s="7" t="n"/>
      <c r="AE1627" s="7" t="n"/>
      <c r="AF1627" s="7" t="n"/>
      <c r="AG1627" s="7" t="n"/>
      <c r="AH1627" s="7" t="n"/>
      <c r="AI1627" s="7" t="n"/>
      <c r="AJ1627" s="7" t="n"/>
      <c r="AK1627" s="7" t="n"/>
      <c r="AL1627" s="7" t="n"/>
      <c r="AM1627" s="7" t="n">
        <v>2001</v>
      </c>
      <c r="AN1627" s="10" t="n"/>
      <c r="AO1627" s="10" t="n"/>
      <c r="AP1627" s="10" t="n"/>
      <c r="AQ1627" s="10" t="n"/>
    </row>
    <row r="1628">
      <c r="A1628" s="7" t="inlineStr">
        <is>
          <t>b9-0235</t>
        </is>
      </c>
      <c r="B1628" s="7" t="inlineStr">
        <is>
          <t>Point</t>
        </is>
      </c>
      <c r="C1628" s="7" t="n"/>
      <c r="D1628" s="7" t="inlineStr">
        <is>
          <t>2001, May</t>
        </is>
      </c>
      <c r="E1628" s="7" t="inlineStr">
        <is>
          <t>மே 2001</t>
        </is>
      </c>
      <c r="F1628" s="7" t="inlineStr">
        <is>
          <t>2001 CE</t>
        </is>
      </c>
      <c r="G1628" s="7" t="inlineStr">
        <is>
          <t>Exact</t>
        </is>
      </c>
      <c r="H1628" s="7" t="n"/>
      <c r="I1628" s="7" t="n"/>
      <c r="J1628" s="7" t="n"/>
      <c r="K1628" s="2" t="inlineStr">
        <is>
          <t>Moscow Witnesses lose on appeal; retrial ordered</t>
        </is>
      </c>
      <c r="L1628" s="2" t="inlineStr">
        <is>
          <t>மே 2001-ல், அந்த மேல்முறையீட்டின் பேரில் நடத்தப்பட்ட வழக்கில் யெகோவாவின் சாட்சிகளுக்கு வெற்றி கிடைக்கவில்லை.</t>
        </is>
      </c>
      <c r="M1628" s="7" t="inlineStr">
        <is>
          <t>The Witnesses prevailed at first, but lost on appeal in May 2001; a retrial began in October of that year.</t>
        </is>
      </c>
      <c r="N1628" s="7" t="inlineStr">
        <is>
          <t>மே 2001-ல், அந்த மேல்முறையீட்டின் பேரில் நடத்தப்பட்ட வழக்கில் யெகோவாவின் சாட்சிகளுக்கு வெற்றி கிடைக்கவில்லை.</t>
        </is>
      </c>
      <c r="O1628" s="13" t="inlineStr">
        <is>
          <t>Jehovah's Witnesses</t>
        </is>
      </c>
      <c r="P1628" s="7" t="inlineStr">
        <is>
          <t>jw.legal</t>
        </is>
      </c>
      <c r="Q1628" s="7" t="n"/>
      <c r="R1628" s="7" t="n"/>
      <c r="S1628" s="7" t="inlineStr">
        <is>
          <t>Moscow</t>
        </is>
      </c>
      <c r="T1628" s="7" t="n"/>
      <c r="U1628" s="7" t="n"/>
      <c r="V1628" s="7" t="n">
        <v>1</v>
      </c>
      <c r="W1628" s="7" t="inlineStr">
        <is>
          <t>Fighting for Freedom to Worship</t>
        </is>
      </c>
      <c r="X1628" s="9" t="inlineStr">
        <is>
          <t>open</t>
        </is>
      </c>
      <c r="Y1628" s="9" t="inlineStr">
        <is>
          <t>open</t>
        </is>
      </c>
      <c r="Z1628" s="7" t="inlineStr">
        <is>
          <t>https://wol.jw.org/en/wol/d/r1/lp-e/1102014254</t>
        </is>
      </c>
      <c r="AA1628" s="7" t="n">
        <v>0</v>
      </c>
      <c r="AB1628" s="7" t="n"/>
      <c r="AC1628" s="7" t="n">
        <v>0</v>
      </c>
      <c r="AD1628" s="7" t="n"/>
      <c r="AE1628" s="7" t="n"/>
      <c r="AF1628" s="7" t="n"/>
      <c r="AG1628" s="7" t="n"/>
      <c r="AH1628" s="7" t="n"/>
      <c r="AI1628" s="7" t="n"/>
      <c r="AJ1628" s="7" t="n"/>
      <c r="AK1628" s="7" t="n"/>
      <c r="AL1628" s="7" t="n"/>
      <c r="AM1628" s="7" t="n">
        <v>2001.3333</v>
      </c>
      <c r="AN1628" s="10" t="n"/>
      <c r="AO1628" s="10" t="n"/>
      <c r="AP1628" s="10" t="n"/>
      <c r="AQ1628" s="10" t="n"/>
    </row>
    <row r="1629">
      <c r="A1629" s="7" t="inlineStr">
        <is>
          <t>b9-0236</t>
        </is>
      </c>
      <c r="B1629" s="7" t="inlineStr">
        <is>
          <t>Point</t>
        </is>
      </c>
      <c r="C1629" s="7" t="n"/>
      <c r="D1629" s="7" t="inlineStr">
        <is>
          <t>2002</t>
        </is>
      </c>
      <c r="E1629" s="7" t="n"/>
      <c r="F1629" s="7" t="inlineStr">
        <is>
          <t>2002 CE</t>
        </is>
      </c>
      <c r="G1629" s="7" t="inlineStr">
        <is>
          <t>Exact</t>
        </is>
      </c>
      <c r="H1629" s="7" t="n"/>
      <c r="I1629" s="7" t="n"/>
      <c r="J1629" s="7" t="n"/>
      <c r="K1629" s="2" t="inlineStr">
        <is>
          <t>Understanding clarified: courtyard in which “great crowd” serve (Rev. 7:15)</t>
        </is>
      </c>
      <c r="L1629" s="2" t="n"/>
      <c r="M1629" s="7" t="inlineStr">
        <is>
          <t>The Watch Tower Publications Index (“Beliefs Clarified,” list by year) records a clarified understanding in 2002 concerning courtyard in which “great crowd” serve (Rev. 7:15). Index references: w02 5/1 30-31.</t>
        </is>
      </c>
      <c r="N1629" s="7" t="n"/>
      <c r="O1629" s="13" t="inlineStr">
        <is>
          <t>Jehovah's Witnesses</t>
        </is>
      </c>
      <c r="P1629" s="7" t="inlineStr">
        <is>
          <t>jw.doctrine</t>
        </is>
      </c>
      <c r="Q1629" s="7" t="inlineStr">
        <is>
          <t>beliefs_clarified</t>
        </is>
      </c>
      <c r="R1629" s="7" t="n"/>
      <c r="S1629" s="7" t="n"/>
      <c r="T1629" s="7" t="inlineStr">
        <is>
          <t>Rev. 7:15</t>
        </is>
      </c>
      <c r="U1629" s="7" t="n"/>
      <c r="V1629" s="7" t="n">
        <v>1</v>
      </c>
      <c r="W1629" s="7" t="inlineStr">
        <is>
          <t>Beliefs Clarified</t>
        </is>
      </c>
      <c r="X1629" s="9" t="inlineStr">
        <is>
          <t>open</t>
        </is>
      </c>
      <c r="Y1629" s="7" t="n"/>
      <c r="Z1629" s="7" t="inlineStr">
        <is>
          <t>https://wol.jw.org/en/wol/d/r1/lp-e/1200277174</t>
        </is>
      </c>
      <c r="AA1629" s="7" t="n">
        <v>0</v>
      </c>
      <c r="AB1629" s="7" t="n"/>
      <c r="AC1629" s="7" t="n">
        <v>0</v>
      </c>
      <c r="AD1629" s="7" t="n"/>
      <c r="AE1629" s="7" t="n"/>
      <c r="AF1629" s="7" t="n"/>
      <c r="AG1629" s="7" t="n"/>
      <c r="AH1629" s="7" t="n"/>
      <c r="AI1629" s="7" t="inlineStr">
        <is>
          <t>Index list entry – app detail</t>
        </is>
      </c>
      <c r="AJ1629" s="7" t="n"/>
      <c r="AK1629" s="7" t="n"/>
      <c r="AL1629" s="7" t="n"/>
      <c r="AM1629" s="7" t="n">
        <v>2002</v>
      </c>
      <c r="AN1629" s="10" t="n"/>
      <c r="AO1629" s="10" t="n"/>
      <c r="AP1629" s="10" t="n"/>
      <c r="AQ1629" s="10" t="n"/>
    </row>
    <row r="1630">
      <c r="A1630" s="7" t="inlineStr">
        <is>
          <t>b9-0237</t>
        </is>
      </c>
      <c r="B1630" s="7" t="inlineStr">
        <is>
          <t>Point</t>
        </is>
      </c>
      <c r="C1630" s="7" t="n"/>
      <c r="D1630" s="7" t="inlineStr">
        <is>
          <t>2002</t>
        </is>
      </c>
      <c r="E1630" s="7" t="n"/>
      <c r="F1630" s="7" t="inlineStr">
        <is>
          <t>2002 CE</t>
        </is>
      </c>
      <c r="G1630" s="7" t="inlineStr">
        <is>
          <t>Exact</t>
        </is>
      </c>
      <c r="H1630" s="7" t="n"/>
      <c r="I1630" s="7" t="n"/>
      <c r="J1630" s="7" t="n"/>
      <c r="K1630" s="2" t="inlineStr">
        <is>
          <t>2002: “Zealous Kingdom Proclaimers” District Conventions</t>
        </is>
      </c>
      <c r="L1630" s="2" t="n"/>
      <c r="M1630" s="7" t="inlineStr">
        <is>
          <t>The Watch Tower Publications Index lists the 2002 conventions of Jehovah’s Witnesses as “Zealous Kingdom Proclaimers” District Conventions.</t>
        </is>
      </c>
      <c r="N1630" s="7" t="n"/>
      <c r="O1630" s="13" t="inlineStr">
        <is>
          <t>Jehovah's Witnesses</t>
        </is>
      </c>
      <c r="P1630" s="7" t="inlineStr">
        <is>
          <t>jw.convention</t>
        </is>
      </c>
      <c r="Q1630" s="7" t="inlineStr">
        <is>
          <t>convention</t>
        </is>
      </c>
      <c r="R1630" s="7" t="n"/>
      <c r="S1630" s="7" t="n"/>
      <c r="T1630" s="7" t="n"/>
      <c r="U1630" s="7" t="n"/>
      <c r="V1630" s="7" t="n">
        <v>1</v>
      </c>
      <c r="W1630" s="7" t="inlineStr">
        <is>
          <t>Conventions</t>
        </is>
      </c>
      <c r="X1630" s="9" t="inlineStr">
        <is>
          <t>open</t>
        </is>
      </c>
      <c r="Y1630" s="7" t="n"/>
      <c r="Z1630" s="7" t="inlineStr">
        <is>
          <t>https://wol.jw.org/en/wol/d/r1/lp-e/1200271388</t>
        </is>
      </c>
      <c r="AA1630" s="7" t="n">
        <v>0</v>
      </c>
      <c r="AB1630" s="7" t="n"/>
      <c r="AC1630" s="7" t="n">
        <v>0</v>
      </c>
      <c r="AD1630" s="7" t="n"/>
      <c r="AE1630" s="7" t="n"/>
      <c r="AF1630" s="7" t="n"/>
      <c r="AG1630" s="7" t="n"/>
      <c r="AH1630" s="7" t="n"/>
      <c r="AI1630" s="7" t="inlineStr">
        <is>
          <t>Index list entry – app detail</t>
        </is>
      </c>
      <c r="AJ1630" s="7" t="n"/>
      <c r="AK1630" s="7" t="n"/>
      <c r="AL1630" s="7" t="n"/>
      <c r="AM1630" s="7" t="n">
        <v>2002</v>
      </c>
      <c r="AN1630" s="10" t="n"/>
      <c r="AO1630" s="10" t="n"/>
      <c r="AP1630" s="10" t="n"/>
      <c r="AQ1630" s="10" t="n"/>
    </row>
    <row r="1631">
      <c r="A1631" s="7" t="inlineStr">
        <is>
          <t>b9-0238</t>
        </is>
      </c>
      <c r="B1631" s="7" t="inlineStr">
        <is>
          <t>Point</t>
        </is>
      </c>
      <c r="C1631" s="7" t="n"/>
      <c r="D1631" s="7" t="inlineStr">
        <is>
          <t>2002, June 17</t>
        </is>
      </c>
      <c r="E1631" s="7" t="inlineStr">
        <is>
          <t>ஜூன் 17, 2002</t>
        </is>
      </c>
      <c r="F1631" s="7" t="inlineStr">
        <is>
          <t>2002 CE</t>
        </is>
      </c>
      <c r="G1631" s="7" t="inlineStr">
        <is>
          <t>Exact</t>
        </is>
      </c>
      <c r="H1631" s="7" t="n"/>
      <c r="I1631" s="7" t="n"/>
      <c r="J1631" s="7" t="n"/>
      <c r="K1631" s="2" t="inlineStr">
        <is>
          <t>U.S. Supreme Court strikes down Stratton permit ordinance</t>
        </is>
      </c>
      <c r="L1631" s="2" t="inlineStr">
        <is>
          <t>தீர்ப்பின் தேதி ஜூன் 17, 2002</t>
        </is>
      </c>
      <c r="M1631" s="7" t="inlineStr">
        <is>
          <t>On June 17, 2002, the U.S. Supreme Court struck down an ordinance of the village of Stratton, Ohio, requiring a permit for door-to-door activity, reaffirming freedom of religion and expression.</t>
        </is>
      </c>
      <c r="N1631" s="7" t="inlineStr">
        <is>
          <t>தீர்ப்பின் தேதி ஜூன் 17, 2002</t>
        </is>
      </c>
      <c r="O1631" s="13" t="inlineStr">
        <is>
          <t>Jehovah's Witnesses</t>
        </is>
      </c>
      <c r="P1631" s="7" t="inlineStr">
        <is>
          <t>jw.legal</t>
        </is>
      </c>
      <c r="Q1631" s="7" t="inlineStr">
        <is>
          <t>court_ruling</t>
        </is>
      </c>
      <c r="R1631" s="7" t="n"/>
      <c r="S1631" s="7" t="inlineStr">
        <is>
          <t>Stratton, Ohio, U.S.A.</t>
        </is>
      </c>
      <c r="T1631" s="7" t="n"/>
      <c r="U1631" s="7" t="n"/>
      <c r="V1631" s="7" t="n">
        <v>1</v>
      </c>
      <c r="W1631" s="7" t="inlineStr">
        <is>
          <t>Kingdom Preachers Take Their Case to Court</t>
        </is>
      </c>
      <c r="X1631" s="9" t="inlineStr">
        <is>
          <t>open</t>
        </is>
      </c>
      <c r="Y1631" s="9" t="inlineStr">
        <is>
          <t>open</t>
        </is>
      </c>
      <c r="Z1631" s="7" t="inlineStr">
        <is>
          <t>https://wol.jw.org/en/wol/d/r1/lp-e/1102014252</t>
        </is>
      </c>
      <c r="AA1631" s="7" t="n">
        <v>0</v>
      </c>
      <c r="AB1631" s="7" t="n"/>
      <c r="AC1631" s="7" t="n">
        <v>0</v>
      </c>
      <c r="AD1631" s="7" t="n"/>
      <c r="AE1631" s="7" t="n"/>
      <c r="AF1631" s="7" t="n"/>
      <c r="AG1631" s="7" t="n"/>
      <c r="AH1631" s="7" t="n"/>
      <c r="AI1631" s="7" t="n"/>
      <c r="AJ1631" s="7" t="n"/>
      <c r="AK1631" s="7" t="n"/>
      <c r="AL1631" s="7" t="n"/>
      <c r="AM1631" s="7" t="n">
        <v>2002.4597</v>
      </c>
      <c r="AN1631" s="10" t="n"/>
      <c r="AO1631" s="10" t="n"/>
      <c r="AP1631" s="10" t="n"/>
      <c r="AQ1631" s="10" t="n"/>
    </row>
    <row r="1632">
      <c r="A1632" s="7" t="inlineStr">
        <is>
          <t>b9-0239</t>
        </is>
      </c>
      <c r="B1632" s="7" t="inlineStr">
        <is>
          <t>Point</t>
        </is>
      </c>
      <c r="C1632" s="7" t="n"/>
      <c r="D1632" s="7" t="inlineStr">
        <is>
          <t>2002, September</t>
        </is>
      </c>
      <c r="E1632" s="7" t="inlineStr">
        <is>
          <t>செப்டம்பர் 2002</t>
        </is>
      </c>
      <c r="F1632" s="7" t="inlineStr">
        <is>
          <t>2002 CE</t>
        </is>
      </c>
      <c r="G1632" s="7" t="inlineStr">
        <is>
          <t>Exact</t>
        </is>
      </c>
      <c r="H1632" s="7" t="n"/>
      <c r="I1632" s="7" t="n"/>
      <c r="J1632" s="7" t="n"/>
      <c r="K1632" s="2" t="inlineStr">
        <is>
          <t>Vahan Bayatyan begins prison sentence in Armenia</t>
        </is>
      </c>
      <c r="L1632" s="2" t="inlineStr">
        <is>
          <t>செப்டம்பர் 2002-ல், அவருக்கு இரண்டரை வருஷ சிறை தண்டனை கொடுக்கப்பட்டது.</t>
        </is>
      </c>
      <c r="M1632" s="7" t="inlineStr">
        <is>
          <t>In September 2002 Vahan Bayatyan began serving a two-and-a-half-year sentence in Armenia for conscientious objection; he was released after ten and a half months.</t>
        </is>
      </c>
      <c r="N1632" s="7" t="inlineStr">
        <is>
          <t>செப்டம்பர் 2002-ல், அவருக்கு இரண்டரை வருஷ சிறை தண்டனை கொடுக்கப்பட்டது.</t>
        </is>
      </c>
      <c r="O1632" s="13" t="inlineStr">
        <is>
          <t>Jehovah's Witnesses</t>
        </is>
      </c>
      <c r="P1632" s="7" t="inlineStr">
        <is>
          <t>jw.persecution</t>
        </is>
      </c>
      <c r="Q1632" s="7" t="n"/>
      <c r="R1632" s="7" t="inlineStr">
        <is>
          <t>Vahan Bayatyan</t>
        </is>
      </c>
      <c r="S1632" s="7" t="inlineStr">
        <is>
          <t>Armenia</t>
        </is>
      </c>
      <c r="T1632" s="7" t="n"/>
      <c r="U1632" s="7" t="n"/>
      <c r="V1632" s="7" t="n">
        <v>1</v>
      </c>
      <c r="W1632" s="7" t="inlineStr">
        <is>
          <t>Loyally Supporting God’s Government and No Other</t>
        </is>
      </c>
      <c r="X1632" s="9" t="inlineStr">
        <is>
          <t>open</t>
        </is>
      </c>
      <c r="Y1632" s="9" t="inlineStr">
        <is>
          <t>open</t>
        </is>
      </c>
      <c r="Z1632" s="7" t="inlineStr">
        <is>
          <t>https://wol.jw.org/en/wol/d/r1/lp-e/1102014253</t>
        </is>
      </c>
      <c r="AA1632" s="7" t="n">
        <v>0</v>
      </c>
      <c r="AB1632" s="7" t="n"/>
      <c r="AC1632" s="7" t="n">
        <v>0</v>
      </c>
      <c r="AD1632" s="7" t="n"/>
      <c r="AE1632" s="7" t="n"/>
      <c r="AF1632" s="7" t="n"/>
      <c r="AG1632" s="7" t="n"/>
      <c r="AH1632" s="7" t="n"/>
      <c r="AI1632" s="7" t="n"/>
      <c r="AJ1632" s="7" t="n"/>
      <c r="AK1632" s="7" t="n"/>
      <c r="AL1632" s="7" t="n"/>
      <c r="AM1632" s="7" t="n">
        <v>2002.6667</v>
      </c>
      <c r="AN1632" s="10" t="n"/>
      <c r="AO1632" s="10" t="n"/>
      <c r="AP1632" s="10" t="n"/>
      <c r="AQ1632" s="10" t="n"/>
    </row>
    <row r="1633">
      <c r="A1633" s="7" t="inlineStr">
        <is>
          <t>b9-0240</t>
        </is>
      </c>
      <c r="B1633" s="7" t="inlineStr">
        <is>
          <t>Point</t>
        </is>
      </c>
      <c r="C1633" s="7" t="n"/>
      <c r="D1633" s="7" t="inlineStr">
        <is>
          <t>2003</t>
        </is>
      </c>
      <c r="E1633" s="7" t="n"/>
      <c r="F1633" s="7" t="inlineStr">
        <is>
          <t>2003 CE</t>
        </is>
      </c>
      <c r="G1633" s="7" t="inlineStr">
        <is>
          <t>Exact</t>
        </is>
      </c>
      <c r="H1633" s="7" t="n"/>
      <c r="I1633" s="7" t="n"/>
      <c r="J1633" s="7" t="n"/>
      <c r="K1633" s="2" t="inlineStr">
        <is>
          <t>Understanding clarified: meaning of baptism of Jewish believers at Pentecost 33 C.E.</t>
        </is>
      </c>
      <c r="L1633" s="2" t="n"/>
      <c r="M1633" s="7" t="inlineStr">
        <is>
          <t>The Watch Tower Publications Index (“Beliefs Clarified,” list by year) records a clarified understanding in 2003 concerning meaning of baptism of Jewish believers at Pentecost 33 C.E.. Index references: w03 5/15 30-31.</t>
        </is>
      </c>
      <c r="N1633" s="7" t="n"/>
      <c r="O1633" s="13" t="inlineStr">
        <is>
          <t>Jehovah's Witnesses</t>
        </is>
      </c>
      <c r="P1633" s="7" t="inlineStr">
        <is>
          <t>jw.doctrine</t>
        </is>
      </c>
      <c r="Q1633" s="7" t="inlineStr">
        <is>
          <t>beliefs_clarified</t>
        </is>
      </c>
      <c r="R1633" s="7" t="n"/>
      <c r="S1633" s="7" t="n"/>
      <c r="T1633" s="7" t="n"/>
      <c r="U1633" s="7" t="n"/>
      <c r="V1633" s="7" t="n">
        <v>1</v>
      </c>
      <c r="W1633" s="7" t="inlineStr">
        <is>
          <t>Beliefs Clarified</t>
        </is>
      </c>
      <c r="X1633" s="9" t="inlineStr">
        <is>
          <t>open</t>
        </is>
      </c>
      <c r="Y1633" s="7" t="n"/>
      <c r="Z1633" s="7" t="inlineStr">
        <is>
          <t>https://wol.jw.org/en/wol/d/r1/lp-e/1200277174</t>
        </is>
      </c>
      <c r="AA1633" s="7" t="n">
        <v>0</v>
      </c>
      <c r="AB1633" s="7" t="n"/>
      <c r="AC1633" s="7" t="n">
        <v>0</v>
      </c>
      <c r="AD1633" s="7" t="n"/>
      <c r="AE1633" s="7" t="n"/>
      <c r="AF1633" s="7" t="n"/>
      <c r="AG1633" s="7" t="n"/>
      <c r="AH1633" s="7" t="n"/>
      <c r="AI1633" s="7" t="inlineStr">
        <is>
          <t>Index list entry – app detail</t>
        </is>
      </c>
      <c r="AJ1633" s="7" t="n"/>
      <c r="AK1633" s="7" t="n"/>
      <c r="AL1633" s="7" t="n"/>
      <c r="AM1633" s="7" t="n">
        <v>2003</v>
      </c>
      <c r="AN1633" s="10" t="n"/>
      <c r="AO1633" s="10" t="n"/>
      <c r="AP1633" s="10" t="n"/>
      <c r="AQ1633" s="10" t="n"/>
    </row>
    <row r="1634">
      <c r="A1634" s="7" t="inlineStr">
        <is>
          <t>b9-0241</t>
        </is>
      </c>
      <c r="B1634" s="7" t="inlineStr">
        <is>
          <t>Point</t>
        </is>
      </c>
      <c r="C1634" s="7" t="n"/>
      <c r="D1634" s="7" t="inlineStr">
        <is>
          <t>2003</t>
        </is>
      </c>
      <c r="E1634" s="7" t="n"/>
      <c r="F1634" s="7" t="inlineStr">
        <is>
          <t>2003 CE</t>
        </is>
      </c>
      <c r="G1634" s="7" t="inlineStr">
        <is>
          <t>Exact</t>
        </is>
      </c>
      <c r="H1634" s="7" t="n"/>
      <c r="I1634" s="7" t="n"/>
      <c r="J1634" s="7" t="n"/>
      <c r="K1634" s="2" t="inlineStr">
        <is>
          <t>Understanding clarified: why some early Christians observed features of the Law</t>
        </is>
      </c>
      <c r="L1634" s="2" t="n"/>
      <c r="M1634" s="7" t="inlineStr">
        <is>
          <t>The Watch Tower Publications Index (“Beliefs Clarified,” list by year) records a clarified understanding in 2003 concerning why some early Christians observed features of the Law. Index references: w03 3/15 23-25.</t>
        </is>
      </c>
      <c r="N1634" s="7" t="n"/>
      <c r="O1634" s="13" t="inlineStr">
        <is>
          <t>Jehovah's Witnesses</t>
        </is>
      </c>
      <c r="P1634" s="7" t="inlineStr">
        <is>
          <t>jw.doctrine</t>
        </is>
      </c>
      <c r="Q1634" s="7" t="inlineStr">
        <is>
          <t>beliefs_clarified</t>
        </is>
      </c>
      <c r="R1634" s="7" t="n"/>
      <c r="S1634" s="7" t="n"/>
      <c r="T1634" s="7" t="n"/>
      <c r="U1634" s="7" t="n"/>
      <c r="V1634" s="7" t="n">
        <v>1</v>
      </c>
      <c r="W1634" s="7" t="inlineStr">
        <is>
          <t>Beliefs Clarified</t>
        </is>
      </c>
      <c r="X1634" s="9" t="inlineStr">
        <is>
          <t>open</t>
        </is>
      </c>
      <c r="Y1634" s="7" t="n"/>
      <c r="Z1634" s="7" t="inlineStr">
        <is>
          <t>https://wol.jw.org/en/wol/d/r1/lp-e/1200277174</t>
        </is>
      </c>
      <c r="AA1634" s="7" t="n">
        <v>0</v>
      </c>
      <c r="AB1634" s="7" t="n"/>
      <c r="AC1634" s="7" t="n">
        <v>0</v>
      </c>
      <c r="AD1634" s="7" t="n"/>
      <c r="AE1634" s="7" t="n"/>
      <c r="AF1634" s="7" t="n"/>
      <c r="AG1634" s="7" t="n"/>
      <c r="AH1634" s="7" t="n"/>
      <c r="AI1634" s="7" t="inlineStr">
        <is>
          <t>Index list entry – app detail</t>
        </is>
      </c>
      <c r="AJ1634" s="7" t="n"/>
      <c r="AK1634" s="7" t="n"/>
      <c r="AL1634" s="7" t="n"/>
      <c r="AM1634" s="7" t="n">
        <v>2003</v>
      </c>
      <c r="AN1634" s="10" t="n"/>
      <c r="AO1634" s="10" t="n"/>
      <c r="AP1634" s="10" t="n"/>
      <c r="AQ1634" s="10" t="n"/>
    </row>
    <row r="1635">
      <c r="A1635" s="7" t="inlineStr">
        <is>
          <t>b9-0242</t>
        </is>
      </c>
      <c r="B1635" s="7" t="inlineStr">
        <is>
          <t>Point</t>
        </is>
      </c>
      <c r="C1635" s="7" t="n"/>
      <c r="D1635" s="7" t="inlineStr">
        <is>
          <t>2003</t>
        </is>
      </c>
      <c r="E1635" s="7" t="n"/>
      <c r="F1635" s="7" t="inlineStr">
        <is>
          <t>2003 CE</t>
        </is>
      </c>
      <c r="G1635" s="7" t="inlineStr">
        <is>
          <t>Exact</t>
        </is>
      </c>
      <c r="H1635" s="7" t="n"/>
      <c r="I1635" s="7" t="n"/>
      <c r="J1635" s="7" t="n"/>
      <c r="K1635" s="2" t="inlineStr">
        <is>
          <t>2003: “Give God Glory” District Conventions</t>
        </is>
      </c>
      <c r="L1635" s="2" t="n"/>
      <c r="M1635" s="7" t="inlineStr">
        <is>
          <t>The Watch Tower Publications Index lists the 2003 conventions of Jehovah’s Witnesses as “Give God Glory” District Conventions.</t>
        </is>
      </c>
      <c r="N1635" s="7" t="n"/>
      <c r="O1635" s="13" t="inlineStr">
        <is>
          <t>Jehovah's Witnesses</t>
        </is>
      </c>
      <c r="P1635" s="7" t="inlineStr">
        <is>
          <t>jw.convention</t>
        </is>
      </c>
      <c r="Q1635" s="7" t="inlineStr">
        <is>
          <t>convention</t>
        </is>
      </c>
      <c r="R1635" s="7" t="n"/>
      <c r="S1635" s="7" t="n"/>
      <c r="T1635" s="7" t="n"/>
      <c r="U1635" s="7" t="n"/>
      <c r="V1635" s="7" t="n">
        <v>1</v>
      </c>
      <c r="W1635" s="7" t="inlineStr">
        <is>
          <t>Conventions</t>
        </is>
      </c>
      <c r="X1635" s="9" t="inlineStr">
        <is>
          <t>open</t>
        </is>
      </c>
      <c r="Y1635" s="7" t="n"/>
      <c r="Z1635" s="7" t="inlineStr">
        <is>
          <t>https://wol.jw.org/en/wol/d/r1/lp-e/1200271388</t>
        </is>
      </c>
      <c r="AA1635" s="7" t="n">
        <v>0</v>
      </c>
      <c r="AB1635" s="7" t="n"/>
      <c r="AC1635" s="7" t="n">
        <v>0</v>
      </c>
      <c r="AD1635" s="7" t="n"/>
      <c r="AE1635" s="7" t="n"/>
      <c r="AF1635" s="7" t="n"/>
      <c r="AG1635" s="7" t="n"/>
      <c r="AH1635" s="7" t="n"/>
      <c r="AI1635" s="7" t="inlineStr">
        <is>
          <t>Index list entry – app detail</t>
        </is>
      </c>
      <c r="AJ1635" s="7" t="n"/>
      <c r="AK1635" s="7" t="n"/>
      <c r="AL1635" s="7" t="n"/>
      <c r="AM1635" s="7" t="n">
        <v>2003</v>
      </c>
      <c r="AN1635" s="10" t="n"/>
      <c r="AO1635" s="10" t="n"/>
      <c r="AP1635" s="10" t="n"/>
      <c r="AQ1635" s="10" t="n"/>
    </row>
    <row r="1636">
      <c r="A1636" s="7" t="inlineStr">
        <is>
          <t>b9-0243</t>
        </is>
      </c>
      <c r="B1636" s="7" t="inlineStr">
        <is>
          <t>Point</t>
        </is>
      </c>
      <c r="C1636" s="7" t="n"/>
      <c r="D1636" s="7" t="inlineStr">
        <is>
          <t>2004</t>
        </is>
      </c>
      <c r="E1636" s="7" t="inlineStr">
        <is>
          <t>2004</t>
        </is>
      </c>
      <c r="F1636" s="7" t="inlineStr">
        <is>
          <t>2004 CE</t>
        </is>
      </c>
      <c r="G1636" s="7" t="inlineStr">
        <is>
          <t>Before (b.)</t>
        </is>
      </c>
      <c r="H1636" s="7" t="n"/>
      <c r="I1636" s="7" t="n"/>
      <c r="J1636" s="7" t="n"/>
      <c r="K1636" s="2" t="inlineStr">
        <is>
          <t>NWT available in over 50 languages</t>
        </is>
      </c>
      <c r="L1636" s="2" t="inlineStr">
        <is>
          <t>அவர்களுடைய முயற்சியின் பலனாக, 2004-க்குள் 50 மொழிகளில் புதிய உலக மொழிபெயர்ப்பு பைபிள் கிடைத்தது.</t>
        </is>
      </c>
      <c r="M1636" s="7" t="inlineStr">
        <is>
          <t>By 2004 the New World Translation was available in over 50 languages.</t>
        </is>
      </c>
      <c r="N1636" s="7" t="inlineStr">
        <is>
          <t>அவர்களுடைய முயற்சியின் பலனாக, 2004-க்குள் 50 மொழிகளில் புதிய உலக மொழிபெயர்ப்பு பைபிள் கிடைத்தது.</t>
        </is>
      </c>
      <c r="O1636" s="12" t="inlineStr">
        <is>
          <t>Bible &amp; church history</t>
        </is>
      </c>
      <c r="P1636" s="7" t="inlineStr">
        <is>
          <t>history.bible_translation</t>
        </is>
      </c>
      <c r="Q1636" s="7" t="inlineStr">
        <is>
          <t>statistic</t>
        </is>
      </c>
      <c r="R1636" s="7" t="n"/>
      <c r="S1636" s="7" t="n"/>
      <c r="T1636" s="7" t="n"/>
      <c r="U1636" s="7" t="n"/>
      <c r="V1636" s="7" t="n">
        <v>1</v>
      </c>
      <c r="W1636" s="7" t="inlineStr">
        <is>
          <t>Tools for Preaching</t>
        </is>
      </c>
      <c r="X1636" s="9" t="inlineStr">
        <is>
          <t>open</t>
        </is>
      </c>
      <c r="Y1636" s="9" t="inlineStr">
        <is>
          <t>open</t>
        </is>
      </c>
      <c r="Z1636" s="7" t="inlineStr">
        <is>
          <t>https://wol.jw.org/en/wol/d/r1/lp-e/1102014247</t>
        </is>
      </c>
      <c r="AA1636" s="7" t="n">
        <v>0</v>
      </c>
      <c r="AB1636" s="7" t="n"/>
      <c r="AC1636" s="7" t="n">
        <v>0</v>
      </c>
      <c r="AD1636" s="7" t="n"/>
      <c r="AE1636" s="7" t="n"/>
      <c r="AF1636" s="7" t="n"/>
      <c r="AG1636" s="7" t="n"/>
      <c r="AH1636" s="7" t="n"/>
      <c r="AI1636" s="7" t="n"/>
      <c r="AJ1636" s="7" t="n"/>
      <c r="AK1636" s="7" t="n"/>
      <c r="AL1636" s="7" t="n"/>
      <c r="AM1636" s="7" t="n">
        <v>2003.99</v>
      </c>
      <c r="AN1636" s="10" t="n"/>
      <c r="AO1636" s="10" t="n"/>
      <c r="AP1636" s="10" t="n"/>
      <c r="AQ1636" s="10" t="n"/>
    </row>
    <row r="1637">
      <c r="A1637" s="7" t="inlineStr">
        <is>
          <t>b9-0244</t>
        </is>
      </c>
      <c r="B1637" s="7" t="inlineStr">
        <is>
          <t>Point</t>
        </is>
      </c>
      <c r="C1637" s="7" t="n"/>
      <c r="D1637" s="7" t="inlineStr">
        <is>
          <t>2004</t>
        </is>
      </c>
      <c r="E1637" s="7" t="n"/>
      <c r="F1637" s="7" t="inlineStr">
        <is>
          <t>2004 CE</t>
        </is>
      </c>
      <c r="G1637" s="7" t="inlineStr">
        <is>
          <t>Exact</t>
        </is>
      </c>
      <c r="H1637" s="7" t="n"/>
      <c r="I1637" s="7" t="n"/>
      <c r="J1637" s="7" t="n"/>
      <c r="K1637" s="2" t="inlineStr">
        <is>
          <t>2004: “Walk With God” District Conventions</t>
        </is>
      </c>
      <c r="L1637" s="2" t="n"/>
      <c r="M1637" s="7" t="inlineStr">
        <is>
          <t>The Watch Tower Publications Index lists the 2004 conventions of Jehovah’s Witnesses as “Walk With God” District Conventions.</t>
        </is>
      </c>
      <c r="N1637" s="7" t="n"/>
      <c r="O1637" s="13" t="inlineStr">
        <is>
          <t>Jehovah's Witnesses</t>
        </is>
      </c>
      <c r="P1637" s="7" t="inlineStr">
        <is>
          <t>jw.convention</t>
        </is>
      </c>
      <c r="Q1637" s="7" t="inlineStr">
        <is>
          <t>convention</t>
        </is>
      </c>
      <c r="R1637" s="7" t="n"/>
      <c r="S1637" s="7" t="n"/>
      <c r="T1637" s="7" t="n"/>
      <c r="U1637" s="7" t="n"/>
      <c r="V1637" s="7" t="n">
        <v>1</v>
      </c>
      <c r="W1637" s="7" t="inlineStr">
        <is>
          <t>Conventions</t>
        </is>
      </c>
      <c r="X1637" s="9" t="inlineStr">
        <is>
          <t>open</t>
        </is>
      </c>
      <c r="Y1637" s="7" t="n"/>
      <c r="Z1637" s="7" t="inlineStr">
        <is>
          <t>https://wol.jw.org/en/wol/d/r1/lp-e/1200271388</t>
        </is>
      </c>
      <c r="AA1637" s="7" t="n">
        <v>0</v>
      </c>
      <c r="AB1637" s="7" t="n"/>
      <c r="AC1637" s="7" t="n">
        <v>0</v>
      </c>
      <c r="AD1637" s="7" t="n"/>
      <c r="AE1637" s="7" t="n"/>
      <c r="AF1637" s="7" t="n"/>
      <c r="AG1637" s="7" t="n"/>
      <c r="AH1637" s="7" t="n"/>
      <c r="AI1637" s="7" t="inlineStr">
        <is>
          <t>Index list entry – app detail</t>
        </is>
      </c>
      <c r="AJ1637" s="7" t="n"/>
      <c r="AK1637" s="7" t="n"/>
      <c r="AL1637" s="7" t="n"/>
      <c r="AM1637" s="7" t="n">
        <v>2004</v>
      </c>
      <c r="AN1637" s="10" t="n"/>
      <c r="AO1637" s="10" t="n"/>
      <c r="AP1637" s="10" t="n"/>
      <c r="AQ1637" s="10" t="n"/>
    </row>
    <row r="1638">
      <c r="A1638" s="7" t="inlineStr">
        <is>
          <t>b9-0245</t>
        </is>
      </c>
      <c r="B1638" s="7" t="inlineStr">
        <is>
          <t>Point</t>
        </is>
      </c>
      <c r="C1638" s="7" t="n"/>
      <c r="D1638" s="7" t="inlineStr">
        <is>
          <t>2004</t>
        </is>
      </c>
      <c r="E1638" s="7" t="inlineStr">
        <is>
          <t>2004</t>
        </is>
      </c>
      <c r="F1638" s="7" t="inlineStr">
        <is>
          <t>2004 CE</t>
        </is>
      </c>
      <c r="G1638" s="7" t="inlineStr">
        <is>
          <t>Exact</t>
        </is>
      </c>
      <c r="H1638" s="7" t="n"/>
      <c r="I1638" s="7" t="n"/>
      <c r="J1638" s="7" t="n"/>
      <c r="K1638" s="2" t="inlineStr">
        <is>
          <t>Moscow court liquidates Witnesses’ legal entity</t>
        </is>
      </c>
      <c r="L1638" s="2" t="inlineStr">
        <is>
          <t>அதன்படி மாஸ்கோவில் யெகோவாவின் சாட்சிகளுடைய அரசு அங்கீகாரம் பெற்ற நிறுவனத்துக்குச் சொந்தமான எல்லாவற்றையும் பறிமுதல் செய்யும்படியும்…</t>
        </is>
      </c>
      <c r="M1638" s="7" t="inlineStr">
        <is>
          <t>In 2004 a court decided to liquidate the registered legal entity used by Jehovah’s Witnesses in Moscow and ban its activities.</t>
        </is>
      </c>
      <c r="N1638" s="7" t="inlineStr">
        <is>
          <t>அதன்படி மாஸ்கோவில் யெகோவாவின் சாட்சிகளுடைய அரசு அங்கீகாரம் பெற்ற நிறுவனத்துக்குச் சொந்தமான எல்லாவற்றையும் பறிமுதல் செய்யும்படியும் அவர்களுடைய வேலைகளைத் தடை செய்யும்படியும் 2004-ல் தீர்ப்பு வழங்கப்பட்டது.</t>
        </is>
      </c>
      <c r="O1638" s="13" t="inlineStr">
        <is>
          <t>Jehovah's Witnesses</t>
        </is>
      </c>
      <c r="P1638" s="7" t="inlineStr">
        <is>
          <t>jw.legal</t>
        </is>
      </c>
      <c r="Q1638" s="7" t="inlineStr">
        <is>
          <t>court_ruling</t>
        </is>
      </c>
      <c r="R1638" s="7" t="n"/>
      <c r="S1638" s="7" t="inlineStr">
        <is>
          <t>Moscow</t>
        </is>
      </c>
      <c r="T1638" s="7" t="n"/>
      <c r="U1638" s="7" t="n"/>
      <c r="V1638" s="7" t="n">
        <v>1</v>
      </c>
      <c r="W1638" s="7" t="inlineStr">
        <is>
          <t>Fighting for Freedom to Worship</t>
        </is>
      </c>
      <c r="X1638" s="9" t="inlineStr">
        <is>
          <t>open</t>
        </is>
      </c>
      <c r="Y1638" s="9" t="inlineStr">
        <is>
          <t>open</t>
        </is>
      </c>
      <c r="Z1638" s="7" t="inlineStr">
        <is>
          <t>https://wol.jw.org/en/wol/d/r1/lp-e/1102014254</t>
        </is>
      </c>
      <c r="AA1638" s="7" t="n">
        <v>0</v>
      </c>
      <c r="AB1638" s="7" t="n"/>
      <c r="AC1638" s="7" t="n">
        <v>0</v>
      </c>
      <c r="AD1638" s="7" t="n"/>
      <c r="AE1638" s="7" t="n"/>
      <c r="AF1638" s="7" t="n"/>
      <c r="AG1638" s="7" t="n"/>
      <c r="AH1638" s="7" t="n"/>
      <c r="AI1638" s="7" t="n"/>
      <c r="AJ1638" s="7" t="n"/>
      <c r="AK1638" s="7" t="n"/>
      <c r="AL1638" s="7" t="n"/>
      <c r="AM1638" s="7" t="n">
        <v>2004</v>
      </c>
      <c r="AN1638" s="10" t="n"/>
      <c r="AO1638" s="10" t="n"/>
      <c r="AP1638" s="10" t="n"/>
      <c r="AQ1638" s="10" t="n"/>
    </row>
    <row r="1639">
      <c r="A1639" s="7" t="inlineStr">
        <is>
          <t>b9-0246</t>
        </is>
      </c>
      <c r="B1639" s="7" t="inlineStr">
        <is>
          <t>Point</t>
        </is>
      </c>
      <c r="C1639" s="7" t="n"/>
      <c r="D1639" s="7" t="inlineStr">
        <is>
          <t>2005</t>
        </is>
      </c>
      <c r="E1639" s="7" t="inlineStr">
        <is>
          <t>2005</t>
        </is>
      </c>
      <c r="F1639" s="7" t="inlineStr">
        <is>
          <t>2005 CE</t>
        </is>
      </c>
      <c r="G1639" s="7" t="inlineStr">
        <is>
          <t>Exact</t>
        </is>
      </c>
      <c r="H1639" s="7" t="n"/>
      <c r="I1639" s="7" t="n"/>
      <c r="J1639" s="7" t="n"/>
      <c r="K1639" s="2" t="inlineStr">
        <is>
          <t>What Does the Bible Really Teach? released</t>
        </is>
      </c>
      <c r="L1639" s="2" t="inlineStr">
        <is>
          <t>பைபிள் படிப்பு நடத்துவதற்கு உதவும் இன்னொரு மிகச் சிறந்த புத்தகம் 2005-ல் வெளியிடப்பட்டது.</t>
        </is>
      </c>
      <c r="M1639" s="7" t="inlineStr">
        <is>
          <t>The Bible study aid What Does the Bible Really Teach? was released in 2005; from 2005 to 2012 about 1.2 million people became publishers.</t>
        </is>
      </c>
      <c r="N1639" s="7" t="inlineStr">
        <is>
          <t>பைபிள் படிப்பு நடத்துவதற்கு உதவும் இன்னொரு மிகச் சிறந்த புத்தகம் 2005-ல் வெளியிடப்பட்டது.</t>
        </is>
      </c>
      <c r="O1639" s="13" t="inlineStr">
        <is>
          <t>Jehovah's Witnesses</t>
        </is>
      </c>
      <c r="P1639" s="7" t="inlineStr">
        <is>
          <t>jw.publication</t>
        </is>
      </c>
      <c r="Q1639" s="7" t="inlineStr">
        <is>
          <t>release</t>
        </is>
      </c>
      <c r="R1639" s="7" t="n"/>
      <c r="S1639" s="7" t="n"/>
      <c r="T1639" s="7" t="n"/>
      <c r="U1639" s="7" t="n"/>
      <c r="V1639" s="7" t="n">
        <v>1</v>
      </c>
      <c r="W1639" s="7" t="inlineStr">
        <is>
          <t>Tools for Preaching</t>
        </is>
      </c>
      <c r="X1639" s="9" t="inlineStr">
        <is>
          <t>open</t>
        </is>
      </c>
      <c r="Y1639" s="9" t="inlineStr">
        <is>
          <t>open</t>
        </is>
      </c>
      <c r="Z1639" s="7" t="inlineStr">
        <is>
          <t>https://wol.jw.org/en/wol/d/r1/lp-e/1102014247</t>
        </is>
      </c>
      <c r="AA1639" s="7" t="n">
        <v>0</v>
      </c>
      <c r="AB1639" s="7" t="n"/>
      <c r="AC1639" s="7" t="n">
        <v>0</v>
      </c>
      <c r="AD1639" s="7" t="n"/>
      <c r="AE1639" s="7" t="n"/>
      <c r="AF1639" s="7" t="n"/>
      <c r="AG1639" s="7" t="n"/>
      <c r="AH1639" s="7" t="n"/>
      <c r="AI1639" s="7" t="n"/>
      <c r="AJ1639" s="7" t="n"/>
      <c r="AK1639" s="7" t="n"/>
      <c r="AL1639" s="7" t="n"/>
      <c r="AM1639" s="7" t="n">
        <v>2005</v>
      </c>
      <c r="AN1639" s="10" t="n"/>
      <c r="AO1639" s="10" t="n"/>
      <c r="AP1639" s="10" t="n"/>
      <c r="AQ1639" s="10" t="n"/>
    </row>
    <row r="1640">
      <c r="A1640" s="7" t="inlineStr">
        <is>
          <t>b9-0247</t>
        </is>
      </c>
      <c r="B1640" s="7" t="inlineStr">
        <is>
          <t>Point</t>
        </is>
      </c>
      <c r="C1640" s="7" t="n"/>
      <c r="D1640" s="7" t="inlineStr">
        <is>
          <t>2005</t>
        </is>
      </c>
      <c r="E1640" s="7" t="n"/>
      <c r="F1640" s="7" t="inlineStr">
        <is>
          <t>2005 CE</t>
        </is>
      </c>
      <c r="G1640" s="7" t="inlineStr">
        <is>
          <t>Exact</t>
        </is>
      </c>
      <c r="H1640" s="7" t="n"/>
      <c r="I1640" s="7" t="n"/>
      <c r="J1640" s="7" t="n"/>
      <c r="K1640" s="2" t="inlineStr">
        <is>
          <t>2005: “Godly Obedience” District Conventions</t>
        </is>
      </c>
      <c r="L1640" s="2" t="n"/>
      <c r="M1640" s="7" t="inlineStr">
        <is>
          <t>The Watch Tower Publications Index lists the 2005 conventions of Jehovah’s Witnesses as “Godly Obedience” District Conventions.</t>
        </is>
      </c>
      <c r="N1640" s="7" t="n"/>
      <c r="O1640" s="13" t="inlineStr">
        <is>
          <t>Jehovah's Witnesses</t>
        </is>
      </c>
      <c r="P1640" s="7" t="inlineStr">
        <is>
          <t>jw.convention</t>
        </is>
      </c>
      <c r="Q1640" s="7" t="inlineStr">
        <is>
          <t>convention</t>
        </is>
      </c>
      <c r="R1640" s="7" t="n"/>
      <c r="S1640" s="7" t="n"/>
      <c r="T1640" s="7" t="n"/>
      <c r="U1640" s="7" t="n"/>
      <c r="V1640" s="7" t="n">
        <v>1</v>
      </c>
      <c r="W1640" s="7" t="inlineStr">
        <is>
          <t>Conventions</t>
        </is>
      </c>
      <c r="X1640" s="9" t="inlineStr">
        <is>
          <t>open</t>
        </is>
      </c>
      <c r="Y1640" s="7" t="n"/>
      <c r="Z1640" s="7" t="inlineStr">
        <is>
          <t>https://wol.jw.org/en/wol/d/r1/lp-e/1200271388</t>
        </is>
      </c>
      <c r="AA1640" s="7" t="n">
        <v>0</v>
      </c>
      <c r="AB1640" s="7" t="n"/>
      <c r="AC1640" s="7" t="n">
        <v>0</v>
      </c>
      <c r="AD1640" s="7" t="n"/>
      <c r="AE1640" s="7" t="n"/>
      <c r="AF1640" s="7" t="n"/>
      <c r="AG1640" s="7" t="n"/>
      <c r="AH1640" s="7" t="n"/>
      <c r="AI1640" s="7" t="inlineStr">
        <is>
          <t>Index list entry – app detail</t>
        </is>
      </c>
      <c r="AJ1640" s="7" t="n"/>
      <c r="AK1640" s="7" t="n"/>
      <c r="AL1640" s="7" t="n"/>
      <c r="AM1640" s="7" t="n">
        <v>2005</v>
      </c>
      <c r="AN1640" s="10" t="n"/>
      <c r="AO1640" s="10" t="n"/>
      <c r="AP1640" s="10" t="n"/>
      <c r="AQ1640" s="10" t="n"/>
    </row>
    <row r="1641">
      <c r="A1641" s="7" t="inlineStr">
        <is>
          <t>b9-0248</t>
        </is>
      </c>
      <c r="B1641" s="7" t="inlineStr">
        <is>
          <t>Point</t>
        </is>
      </c>
      <c r="C1641" s="7" t="n"/>
      <c r="D1641" s="7" t="inlineStr">
        <is>
          <t>2005, September 1</t>
        </is>
      </c>
      <c r="E1641" s="7" t="inlineStr">
        <is>
          <t>செப்டம்பர் 1, 2005</t>
        </is>
      </c>
      <c r="F1641" s="7" t="inlineStr">
        <is>
          <t>2005 CE</t>
        </is>
      </c>
      <c r="G1641" s="7" t="inlineStr">
        <is>
          <t>Exact</t>
        </is>
      </c>
      <c r="H1641" s="7" t="n"/>
      <c r="I1641" s="7" t="n"/>
      <c r="J1641" s="7" t="n"/>
      <c r="K1641" s="2" t="inlineStr">
        <is>
          <t>Geoffrey Jackson and Anthony Morris added to Governing Body</t>
        </is>
      </c>
      <c r="L1641" s="2" t="inlineStr">
        <is>
          <t>செப்டம்பர் 1, 2005 முதற்கொண்டு இரண்டு புதிய அங்கத்தினர்கள்—⁠ஜெஃப்ரி டபிள்யூ.</t>
        </is>
      </c>
      <c r="M1641" s="7" t="inlineStr">
        <is>
          <t>Announced on August 24, 2005, Geoffrey W. Jackson and Anthony Morris III were added to the Governing Body effective September 1, 2005.</t>
        </is>
      </c>
      <c r="N1641" s="7" t="inlineStr">
        <is>
          <t>செப்டம்பர் 1, 2005 முதற்கொண்டு இரண்டு புதிய அங்கத்தினர்கள்—⁠ஜெஃப்ரி டபிள்யூ.</t>
        </is>
      </c>
      <c r="O1641" s="13" t="inlineStr">
        <is>
          <t>Jehovah's Witnesses</t>
        </is>
      </c>
      <c r="P1641" s="7" t="inlineStr">
        <is>
          <t>jw.leadership</t>
        </is>
      </c>
      <c r="Q1641" s="7" t="inlineStr">
        <is>
          <t>appointment</t>
        </is>
      </c>
      <c r="R1641" s="7" t="inlineStr">
        <is>
          <t>Geoffrey W. Jackson; Anthony Morris III</t>
        </is>
      </c>
      <c r="S1641" s="7" t="n"/>
      <c r="T1641" s="7" t="n"/>
      <c r="U1641" s="7" t="n"/>
      <c r="V1641" s="7" t="n">
        <v>1</v>
      </c>
      <c r="W1641" s="7" t="inlineStr">
        <is>
          <t>New Members of the Governing Body</t>
        </is>
      </c>
      <c r="X1641" s="9" t="inlineStr">
        <is>
          <t>open</t>
        </is>
      </c>
      <c r="Y1641" s="9" t="inlineStr">
        <is>
          <t>open</t>
        </is>
      </c>
      <c r="Z1641" s="7" t="inlineStr">
        <is>
          <t>https://wol.jw.org/en/wol/d/r1/lp-e/2006207</t>
        </is>
      </c>
      <c r="AA1641" s="7" t="n">
        <v>0</v>
      </c>
      <c r="AB1641" s="7" t="n"/>
      <c r="AC1641" s="7" t="n">
        <v>0</v>
      </c>
      <c r="AD1641" s="7" t="n"/>
      <c r="AE1641" s="7" t="n"/>
      <c r="AF1641" s="7" t="n"/>
      <c r="AG1641" s="7" t="n"/>
      <c r="AH1641" s="7" t="n"/>
      <c r="AI1641" s="7" t="inlineStr">
        <is>
          <t>Covered by span – hide on chart</t>
        </is>
      </c>
      <c r="AJ1641" s="7" t="inlineStr">
        <is>
          <t>start of Anthony Morris III serves on the Governing Body (b12-0106); start of Geoffrey W. Jackson serves on the Governing Body (b12-0107)</t>
        </is>
      </c>
      <c r="AK1641" s="7" t="n"/>
      <c r="AL1641" s="7" t="n"/>
      <c r="AM1641" s="7" t="n">
        <v>2005.6667</v>
      </c>
      <c r="AN1641" s="10" t="n"/>
      <c r="AO1641" s="10" t="n"/>
      <c r="AP1641" s="10" t="n"/>
      <c r="AQ1641" s="10" t="n"/>
    </row>
    <row r="1642">
      <c r="A1642" s="7" t="inlineStr">
        <is>
          <t>b12-0106</t>
        </is>
      </c>
      <c r="B1642" s="11" t="inlineStr">
        <is>
          <t>Span</t>
        </is>
      </c>
      <c r="C1642" s="7" t="inlineStr">
        <is>
          <t>office</t>
        </is>
      </c>
      <c r="D1642" s="7" t="inlineStr">
        <is>
          <t>September 1, 2005–(end not dated)</t>
        </is>
      </c>
      <c r="E1642" s="7" t="n"/>
      <c r="F1642" s="7" t="inlineStr">
        <is>
          <t>2005 CE</t>
        </is>
      </c>
      <c r="G1642" s="7" t="inlineStr">
        <is>
          <t>Exact</t>
        </is>
      </c>
      <c r="H1642" s="7" t="n"/>
      <c r="I1642" s="7" t="inlineStr">
        <is>
          <t>Not stated</t>
        </is>
      </c>
      <c r="J1642" s="7" t="n"/>
      <c r="K1642" s="2" t="inlineStr">
        <is>
          <t>Anthony Morris III serves on the Governing Body</t>
        </is>
      </c>
      <c r="L1642" s="2" t="n"/>
      <c r="M1642" s="7" t="inlineStr">
        <is>
          <t>Anthony Morris III was added to the Governing Body effective September 1, 2005. jw.org does not date the end of his service; he is not listed among the members in The Watchtower of February 2024.</t>
        </is>
      </c>
      <c r="N1642" s="7" t="inlineStr">
        <is>
          <t>செப்டம்பர் 1, 2005 முதற்கொண்டு இரண்டு புதிய அங்கத்தினர்கள்—ஜெஃப்ரி டபிள்யூ. ஜாக்ஸனும் மூன்றாம் ஆந்தணி மாரிஸும்—யெகோவாவின் சாட்சிகளுடைய ஆளும் குழுவில் சேர்க்கப்படுவார்கள் என அறிவிக்கப்பட்டது.</t>
        </is>
      </c>
      <c r="O1642" s="13" t="inlineStr">
        <is>
          <t>Jehovah's Witnesses</t>
        </is>
      </c>
      <c r="P1642" s="7" t="inlineStr">
        <is>
          <t>jw.leadership</t>
        </is>
      </c>
      <c r="Q1642" s="7" t="n"/>
      <c r="R1642" s="7" t="inlineStr">
        <is>
          <t>Anthony Morris III</t>
        </is>
      </c>
      <c r="S1642" s="7" t="n"/>
      <c r="T1642" s="7" t="n"/>
      <c r="U1642" s="7" t="n"/>
      <c r="V1642" s="7" t="n">
        <v>2</v>
      </c>
      <c r="W1642" s="7" t="inlineStr">
        <is>
          <t>New Members of the Governing Body</t>
        </is>
      </c>
      <c r="X1642" s="9" t="inlineStr">
        <is>
          <t>open</t>
        </is>
      </c>
      <c r="Y1642" s="9" t="inlineStr">
        <is>
          <t>open</t>
        </is>
      </c>
      <c r="Z1642" s="7" t="inlineStr">
        <is>
          <t>https://wol.jw.org/en/wol/d/r1/lp-e/2006207
https://wol.jw.org/en/wol/d/r1/lp-e/2024287</t>
        </is>
      </c>
      <c r="AA1642" s="7" t="n">
        <v>0</v>
      </c>
      <c r="AB1642" s="7" t="n"/>
      <c r="AC1642" s="7" t="n">
        <v>0</v>
      </c>
      <c r="AD1642" s="7" t="n"/>
      <c r="AE1642" s="7" t="n"/>
      <c r="AF1642" s="7" t="inlineStr">
        <is>
          <t>b9-0248</t>
        </is>
      </c>
      <c r="AG1642" s="7" t="n"/>
      <c r="AH1642" s="7" t="n"/>
      <c r="AI1642" s="7" t="n"/>
      <c r="AJ1642" s="7" t="n"/>
      <c r="AK1642" s="7" t="inlineStr">
        <is>
          <t>governing-body #9 (ruler)</t>
        </is>
      </c>
      <c r="AL1642" s="7" t="inlineStr">
        <is>
          <t>jw.org gives no date for the end of his service. He is not among the nine members listed in The Watchtower, February 2024; end sort_key 2023.5 is an ordering estimate only.</t>
        </is>
      </c>
      <c r="AM1642" s="7" t="n">
        <v>2005.6667</v>
      </c>
      <c r="AN1642" s="10" t="n"/>
      <c r="AO1642" s="10" t="n"/>
      <c r="AP1642" s="10" t="n"/>
      <c r="AQ1642" s="10" t="n"/>
    </row>
    <row r="1643">
      <c r="A1643" s="7" t="inlineStr">
        <is>
          <t>b12-0107</t>
        </is>
      </c>
      <c r="B1643" s="11" t="inlineStr">
        <is>
          <t>Span</t>
        </is>
      </c>
      <c r="C1643" s="7" t="inlineStr">
        <is>
          <t>office</t>
        </is>
      </c>
      <c r="D1643" s="7" t="inlineStr">
        <is>
          <t>September 1, 2005–</t>
        </is>
      </c>
      <c r="E1643" s="7" t="n"/>
      <c r="F1643" s="7" t="inlineStr">
        <is>
          <t>2005 CE</t>
        </is>
      </c>
      <c r="G1643" s="7" t="inlineStr">
        <is>
          <t>Exact</t>
        </is>
      </c>
      <c r="H1643" s="7" t="n"/>
      <c r="I1643" s="7" t="inlineStr">
        <is>
          <t>Ongoing</t>
        </is>
      </c>
      <c r="J1643" s="7" t="n"/>
      <c r="K1643" s="2" t="inlineStr">
        <is>
          <t>Geoffrey W. Jackson serves on the Governing Body</t>
        </is>
      </c>
      <c r="L1643" s="2" t="n"/>
      <c r="M1643" s="7" t="inlineStr">
        <is>
          <t>Geoffrey W. Jackson was added to the Governing Body effective September 1, 2005, and was still serving according to The Watchtower of October 2025.</t>
        </is>
      </c>
      <c r="N1643" s="7" t="inlineStr">
        <is>
          <t>செப்டம்பர் 1, 2005 முதற்கொண்டு இரண்டு புதிய அங்கத்தினர்கள்—ஜெஃப்ரி டபிள்யூ. ஜாக்ஸனும் மூன்றாம் ஆந்தணி மாரிஸும்—யெகோவாவின் சாட்சிகளுடைய ஆளும் குழுவில் சேர்க்கப்படுவார்கள் என அறிவிக்கப்பட்டது.</t>
        </is>
      </c>
      <c r="O1643" s="13" t="inlineStr">
        <is>
          <t>Jehovah's Witnesses</t>
        </is>
      </c>
      <c r="P1643" s="7" t="inlineStr">
        <is>
          <t>jw.leadership</t>
        </is>
      </c>
      <c r="Q1643" s="7" t="n"/>
      <c r="R1643" s="7" t="inlineStr">
        <is>
          <t>Geoffrey W. Jackson</t>
        </is>
      </c>
      <c r="S1643" s="7" t="n"/>
      <c r="T1643" s="7" t="n"/>
      <c r="U1643" s="7" t="n"/>
      <c r="V1643" s="7" t="n">
        <v>2</v>
      </c>
      <c r="W1643" s="7" t="inlineStr">
        <is>
          <t>New Members of the Governing Body</t>
        </is>
      </c>
      <c r="X1643" s="9" t="inlineStr">
        <is>
          <t>open</t>
        </is>
      </c>
      <c r="Y1643" s="9" t="inlineStr">
        <is>
          <t>open</t>
        </is>
      </c>
      <c r="Z1643" s="7" t="inlineStr">
        <is>
          <t>https://wol.jw.org/en/wol/d/r1/lp-e/2006207
https://wol.jw.org/en/wol/d/r1/lp-e/2025605</t>
        </is>
      </c>
      <c r="AA1643" s="7" t="n">
        <v>0</v>
      </c>
      <c r="AB1643" s="7" t="n"/>
      <c r="AC1643" s="7" t="n">
        <v>0</v>
      </c>
      <c r="AD1643" s="7" t="n"/>
      <c r="AE1643" s="7" t="n"/>
      <c r="AF1643" s="7" t="inlineStr">
        <is>
          <t>b9-0248</t>
        </is>
      </c>
      <c r="AG1643" s="7" t="n"/>
      <c r="AH1643" s="7" t="n"/>
      <c r="AI1643" s="7" t="n"/>
      <c r="AJ1643" s="7" t="n"/>
      <c r="AK1643" s="7" t="inlineStr">
        <is>
          <t>governing-body #10 (ruler)</t>
        </is>
      </c>
      <c r="AL1643" s="7" t="n"/>
      <c r="AM1643" s="7" t="n">
        <v>2005.6667</v>
      </c>
      <c r="AN1643" s="10" t="n"/>
      <c r="AO1643" s="10" t="n"/>
      <c r="AP1643" s="10" t="n"/>
      <c r="AQ1643" s="10" t="n"/>
    </row>
    <row r="1644">
      <c r="A1644" s="7" t="inlineStr">
        <is>
          <t>b15-0007</t>
        </is>
      </c>
      <c r="B1644" s="7" t="inlineStr">
        <is>
          <t>Point</t>
        </is>
      </c>
      <c r="C1644" s="7" t="n"/>
      <c r="D1644" s="7" t="inlineStr">
        <is>
          <t>2005 (“currently,” w05 10/1)</t>
        </is>
      </c>
      <c r="E1644" s="7" t="inlineStr">
        <is>
          <t>2005</t>
        </is>
      </c>
      <c r="F1644" s="7" t="inlineStr">
        <is>
          <t>2005 CE</t>
        </is>
      </c>
      <c r="G1644" s="7" t="inlineStr">
        <is>
          <t>Exact</t>
        </is>
      </c>
      <c r="H1644" s="7" t="n"/>
      <c r="I1644" s="7" t="n"/>
      <c r="J1644" s="7" t="n"/>
      <c r="K1644" s="2" t="inlineStr">
        <is>
          <t>Over six million Witnesses preach in 235 lands</t>
        </is>
      </c>
      <c r="L1644" s="2" t="n"/>
      <c r="M1644" s="7" t="inlineStr">
        <is>
          <t>Writing in 2005 on the sign of Jesus’ presence, The Watchtower states that the preaching of the good news of the Kingdom foretold at Matthew 24:14 has reached a climax in the last days: over six million Jehovah’s Witnesses were then preaching in 235 lands and in over 400 languages.</t>
        </is>
      </c>
      <c r="N1644" s="7" t="inlineStr">
        <is>
          <t>தற்போது, 235 நாடுகளில், அறுபது லட்சத்திற்கும் அதிகமான யெகோவாவின் சாட்சிகள் 400-⁠க்கும் மேற்பட்ட மொழிகளில் நற்செய்தியைப் பிரசங்கித்து வருகிறார்கள்.</t>
        </is>
      </c>
      <c r="O1644" s="13" t="inlineStr">
        <is>
          <t>Jehovah's Witnesses</t>
        </is>
      </c>
      <c r="P1644" s="7" t="inlineStr">
        <is>
          <t>jw.preaching</t>
        </is>
      </c>
      <c r="Q1644" s="7" t="inlineStr">
        <is>
          <t>preaching_report</t>
        </is>
      </c>
      <c r="R1644" s="7" t="n"/>
      <c r="S1644" s="7" t="n"/>
      <c r="T1644" s="7" t="inlineStr">
        <is>
          <t>Matt. 24:14</t>
        </is>
      </c>
      <c r="U1644" s="7" t="inlineStr">
        <is>
          <t>மத். 24:14</t>
        </is>
      </c>
      <c r="V1644" s="7" t="n">
        <v>1</v>
      </c>
      <c r="W1644" s="7" t="inlineStr">
        <is>
          <t>Do You Recognize the Sign of Jesus’ Presence?</t>
        </is>
      </c>
      <c r="X1644" s="9" t="inlineStr">
        <is>
          <t>open</t>
        </is>
      </c>
      <c r="Y1644" s="9" t="inlineStr">
        <is>
          <t>open</t>
        </is>
      </c>
      <c r="Z1644" s="7" t="inlineStr">
        <is>
          <t>https://wol.jw.org/en/wol/d/r1/lp-e/2005721</t>
        </is>
      </c>
      <c r="AA1644" s="7" t="n">
        <v>0</v>
      </c>
      <c r="AB1644" s="7" t="n"/>
      <c r="AC1644" s="7" t="n">
        <v>0</v>
      </c>
      <c r="AD1644" s="7" t="n"/>
      <c r="AE1644" s="7" t="n"/>
      <c r="AF1644" s="7" t="n"/>
      <c r="AG1644" s="7" t="n"/>
      <c r="AH1644" s="7" t="n"/>
      <c r="AI1644" s="7" t="n"/>
      <c r="AJ1644" s="7" t="n"/>
      <c r="AK1644" s="7" t="inlineStr">
        <is>
          <t>last-days-sign #18 (fulfillment)</t>
        </is>
      </c>
      <c r="AL1644" s="7" t="inlineStr">
        <is>
          <t>Date = issue date of The Watchtower, October 1, 2005, which says “currently”; sort_key 2005.75.</t>
        </is>
      </c>
      <c r="AM1644" s="7" t="n">
        <v>2005.75</v>
      </c>
      <c r="AN1644" s="10" t="n"/>
      <c r="AO1644" s="10" t="n"/>
      <c r="AP1644" s="10" t="n"/>
      <c r="AQ1644" s="10" t="n"/>
    </row>
    <row r="1645">
      <c r="A1645" s="7" t="inlineStr">
        <is>
          <t>b9-0249</t>
        </is>
      </c>
      <c r="B1645" s="7" t="inlineStr">
        <is>
          <t>Point</t>
        </is>
      </c>
      <c r="C1645" s="7" t="n"/>
      <c r="D1645" s="7" t="inlineStr">
        <is>
          <t>2006</t>
        </is>
      </c>
      <c r="E1645" s="7" t="n"/>
      <c r="F1645" s="7" t="inlineStr">
        <is>
          <t>2006 CE</t>
        </is>
      </c>
      <c r="G1645" s="7" t="inlineStr">
        <is>
          <t>Exact</t>
        </is>
      </c>
      <c r="H1645" s="7" t="n"/>
      <c r="I1645" s="7" t="n"/>
      <c r="J1645" s="7" t="n"/>
      <c r="K1645" s="2" t="inlineStr">
        <is>
          <t>Understanding clarified: abhorrent forms of pornography</t>
        </is>
      </c>
      <c r="L1645" s="2" t="n"/>
      <c r="M1645" s="7" t="inlineStr">
        <is>
          <t>The Watch Tower Publications Index (“Beliefs Clarified,” list by year) records a clarified understanding in 2006 concerning abhorrent forms of pornography. Index references: w23.05 18; w06 7/15 31.</t>
        </is>
      </c>
      <c r="N1645" s="7" t="n"/>
      <c r="O1645" s="13" t="inlineStr">
        <is>
          <t>Jehovah's Witnesses</t>
        </is>
      </c>
      <c r="P1645" s="7" t="inlineStr">
        <is>
          <t>jw.doctrine</t>
        </is>
      </c>
      <c r="Q1645" s="7" t="inlineStr">
        <is>
          <t>beliefs_clarified</t>
        </is>
      </c>
      <c r="R1645" s="7" t="n"/>
      <c r="S1645" s="7" t="n"/>
      <c r="T1645" s="7" t="n"/>
      <c r="U1645" s="7" t="n"/>
      <c r="V1645" s="7" t="n">
        <v>1</v>
      </c>
      <c r="W1645" s="7" t="inlineStr">
        <is>
          <t>Beliefs Clarified</t>
        </is>
      </c>
      <c r="X1645" s="9" t="inlineStr">
        <is>
          <t>open</t>
        </is>
      </c>
      <c r="Y1645" s="7" t="n"/>
      <c r="Z1645" s="7" t="inlineStr">
        <is>
          <t>https://wol.jw.org/en/wol/d/r1/lp-e/1200277174</t>
        </is>
      </c>
      <c r="AA1645" s="7" t="n">
        <v>0</v>
      </c>
      <c r="AB1645" s="7" t="n"/>
      <c r="AC1645" s="7" t="n">
        <v>0</v>
      </c>
      <c r="AD1645" s="7" t="n"/>
      <c r="AE1645" s="7" t="n"/>
      <c r="AF1645" s="7" t="n"/>
      <c r="AG1645" s="7" t="n"/>
      <c r="AH1645" s="7" t="n"/>
      <c r="AI1645" s="7" t="inlineStr">
        <is>
          <t>Index list entry – app detail</t>
        </is>
      </c>
      <c r="AJ1645" s="7" t="n"/>
      <c r="AK1645" s="7" t="n"/>
      <c r="AL1645" s="7" t="n"/>
      <c r="AM1645" s="7" t="n">
        <v>2006</v>
      </c>
      <c r="AN1645" s="10" t="n"/>
      <c r="AO1645" s="10" t="n"/>
      <c r="AP1645" s="10" t="n"/>
      <c r="AQ1645" s="10" t="n"/>
    </row>
    <row r="1646">
      <c r="A1646" s="7" t="inlineStr">
        <is>
          <t>b9-0250</t>
        </is>
      </c>
      <c r="B1646" s="7" t="inlineStr">
        <is>
          <t>Point</t>
        </is>
      </c>
      <c r="C1646" s="7" t="n"/>
      <c r="D1646" s="7" t="inlineStr">
        <is>
          <t>2006</t>
        </is>
      </c>
      <c r="E1646" s="7" t="n"/>
      <c r="F1646" s="7" t="inlineStr">
        <is>
          <t>2006 CE</t>
        </is>
      </c>
      <c r="G1646" s="7" t="inlineStr">
        <is>
          <t>Exact</t>
        </is>
      </c>
      <c r="H1646" s="7" t="n"/>
      <c r="I1646" s="7" t="n"/>
      <c r="J1646" s="7" t="n"/>
      <c r="K1646" s="2" t="inlineStr">
        <is>
          <t>2006: “Deliverance at Hand!” District Conventions</t>
        </is>
      </c>
      <c r="L1646" s="2" t="n"/>
      <c r="M1646" s="7" t="inlineStr">
        <is>
          <t>The Watch Tower Publications Index lists the 2006 conventions of Jehovah’s Witnesses as “Deliverance at Hand!” District Conventions.</t>
        </is>
      </c>
      <c r="N1646" s="7" t="n"/>
      <c r="O1646" s="13" t="inlineStr">
        <is>
          <t>Jehovah's Witnesses</t>
        </is>
      </c>
      <c r="P1646" s="7" t="inlineStr">
        <is>
          <t>jw.convention</t>
        </is>
      </c>
      <c r="Q1646" s="7" t="inlineStr">
        <is>
          <t>convention</t>
        </is>
      </c>
      <c r="R1646" s="7" t="n"/>
      <c r="S1646" s="7" t="n"/>
      <c r="T1646" s="7" t="n"/>
      <c r="U1646" s="7" t="n"/>
      <c r="V1646" s="7" t="n">
        <v>1</v>
      </c>
      <c r="W1646" s="7" t="inlineStr">
        <is>
          <t>Conventions</t>
        </is>
      </c>
      <c r="X1646" s="9" t="inlineStr">
        <is>
          <t>open</t>
        </is>
      </c>
      <c r="Y1646" s="7" t="n"/>
      <c r="Z1646" s="7" t="inlineStr">
        <is>
          <t>https://wol.jw.org/en/wol/d/r1/lp-e/1200271388</t>
        </is>
      </c>
      <c r="AA1646" s="7" t="n">
        <v>0</v>
      </c>
      <c r="AB1646" s="7" t="n"/>
      <c r="AC1646" s="7" t="n">
        <v>0</v>
      </c>
      <c r="AD1646" s="7" t="n"/>
      <c r="AE1646" s="7" t="n"/>
      <c r="AF1646" s="7" t="n"/>
      <c r="AG1646" s="7" t="n"/>
      <c r="AH1646" s="7" t="n"/>
      <c r="AI1646" s="7" t="inlineStr">
        <is>
          <t>Index list entry – app detail</t>
        </is>
      </c>
      <c r="AJ1646" s="7" t="n"/>
      <c r="AK1646" s="7" t="n"/>
      <c r="AL1646" s="7" t="n"/>
      <c r="AM1646" s="7" t="n">
        <v>2006</v>
      </c>
      <c r="AN1646" s="10" t="n"/>
      <c r="AO1646" s="10" t="n"/>
      <c r="AP1646" s="10" t="n"/>
      <c r="AQ1646" s="10" t="n"/>
    </row>
    <row r="1647">
      <c r="A1647" s="7" t="inlineStr">
        <is>
          <t>b9-0251</t>
        </is>
      </c>
      <c r="B1647" s="7" t="inlineStr">
        <is>
          <t>Point</t>
        </is>
      </c>
      <c r="C1647" s="7" t="n"/>
      <c r="D1647" s="7" t="inlineStr">
        <is>
          <t>2006, April 18</t>
        </is>
      </c>
      <c r="E1647" s="7" t="inlineStr">
        <is>
          <t>ஏப்ரல் 18, 2006</t>
        </is>
      </c>
      <c r="F1647" s="7" t="inlineStr">
        <is>
          <t>2006 CE</t>
        </is>
      </c>
      <c r="G1647" s="7" t="inlineStr">
        <is>
          <t>Exact</t>
        </is>
      </c>
      <c r="H1647" s="7" t="n"/>
      <c r="I1647" s="7" t="n"/>
      <c r="J1647" s="7" t="n"/>
      <c r="K1647" s="2" t="inlineStr">
        <is>
          <t>Death of Governing Body member Daniel Sydlik</t>
        </is>
      </c>
      <c r="L1647" s="2" t="inlineStr">
        <is>
          <t>சகோதரர் டானியேல் ஸிட்லிக், யெகோவாவின் சாட்சிகளுடைய ஆளும் குழுவில் நீண்ட காலம் பணியாற்றியவர்; ஏப்ரல் 18, 2006, செவ்வாய்கிழமை அன்று அவருடைய…</t>
        </is>
      </c>
      <c r="M1647" s="7" t="inlineStr">
        <is>
          <t>Daniel Sydlik, a longtime member of the Governing Body, finished his earthly course on Tuesday, April 18, 2006.</t>
        </is>
      </c>
      <c r="N1647" s="7" t="inlineStr">
        <is>
          <t>சகோதரர் டானியேல் ஸிட்லிக், யெகோவாவின் சாட்சிகளுடைய ஆளும் குழுவில் நீண்ட காலம் பணியாற்றியவர்; ஏப்ரல் 18, 2006, செவ்வாய்கிழமை அன்று அவருடைய பூமிக்குரிய சேவை முடிவுக்கு வந்தது.</t>
        </is>
      </c>
      <c r="O1647" s="13" t="inlineStr">
        <is>
          <t>Jehovah's Witnesses</t>
        </is>
      </c>
      <c r="P1647" s="7" t="inlineStr">
        <is>
          <t>jw.leadership</t>
        </is>
      </c>
      <c r="Q1647" s="7" t="inlineStr">
        <is>
          <t>death</t>
        </is>
      </c>
      <c r="R1647" s="7" t="inlineStr">
        <is>
          <t>Daniel Sydlik</t>
        </is>
      </c>
      <c r="S1647" s="7" t="n"/>
      <c r="T1647" s="7" t="n"/>
      <c r="U1647" s="7" t="n"/>
      <c r="V1647" s="7" t="n">
        <v>1</v>
      </c>
      <c r="W1647" s="7" t="inlineStr">
        <is>
          <t>A Man Who Loved Life and People</t>
        </is>
      </c>
      <c r="X1647" s="9" t="inlineStr">
        <is>
          <t>open</t>
        </is>
      </c>
      <c r="Y1647" s="9" t="inlineStr">
        <is>
          <t>open</t>
        </is>
      </c>
      <c r="Z1647" s="7" t="inlineStr">
        <is>
          <t>https://wol.jw.org/en/wol/d/r1/lp-e/2007002</t>
        </is>
      </c>
      <c r="AA1647" s="7" t="n">
        <v>0</v>
      </c>
      <c r="AB1647" s="7" t="n"/>
      <c r="AC1647" s="7" t="n">
        <v>0</v>
      </c>
      <c r="AD1647" s="7" t="n"/>
      <c r="AE1647" s="7" t="n"/>
      <c r="AF1647" s="7" t="n"/>
      <c r="AG1647" s="7" t="n"/>
      <c r="AH1647" s="7" t="n"/>
      <c r="AI1647" s="7" t="inlineStr">
        <is>
          <t>Covered by span – hide on chart</t>
        </is>
      </c>
      <c r="AJ1647" s="7" t="inlineStr">
        <is>
          <t>end of Daniel Sydlik serves on the Governing Body (b12-0096)</t>
        </is>
      </c>
      <c r="AK1647" s="7" t="n"/>
      <c r="AL1647" s="7" t="n"/>
      <c r="AM1647" s="7" t="n">
        <v>2006.2957</v>
      </c>
      <c r="AN1647" s="10" t="n"/>
      <c r="AO1647" s="10" t="n"/>
      <c r="AP1647" s="10" t="n"/>
      <c r="AQ1647" s="10" t="n"/>
    </row>
    <row r="1648">
      <c r="A1648" s="7" t="inlineStr">
        <is>
          <t>b9-0252</t>
        </is>
      </c>
      <c r="B1648" s="7" t="inlineStr">
        <is>
          <t>Point</t>
        </is>
      </c>
      <c r="C1648" s="7" t="n"/>
      <c r="D1648" s="7" t="inlineStr">
        <is>
          <t>2007</t>
        </is>
      </c>
      <c r="E1648" s="7" t="n"/>
      <c r="F1648" s="7" t="inlineStr">
        <is>
          <t>2007 CE</t>
        </is>
      </c>
      <c r="G1648" s="7" t="inlineStr">
        <is>
          <t>Exact</t>
        </is>
      </c>
      <c r="H1648" s="7" t="n"/>
      <c r="I1648" s="7" t="n"/>
      <c r="J1648" s="7" t="n"/>
      <c r="K1648" s="2" t="inlineStr">
        <is>
          <t>Understanding clarified: start of heavenly resurrection</t>
        </is>
      </c>
      <c r="L1648" s="2" t="n"/>
      <c r="M1648" s="7" t="inlineStr">
        <is>
          <t>The Watch Tower Publications Index (“Beliefs Clarified,” list by year) records a clarified understanding in 2007 concerning start of heavenly resurrection. Index references: w07 1/1 27-30.</t>
        </is>
      </c>
      <c r="N1648" s="7" t="n"/>
      <c r="O1648" s="13" t="inlineStr">
        <is>
          <t>Jehovah's Witnesses</t>
        </is>
      </c>
      <c r="P1648" s="7" t="inlineStr">
        <is>
          <t>jw.doctrine</t>
        </is>
      </c>
      <c r="Q1648" s="7" t="inlineStr">
        <is>
          <t>beliefs_clarified</t>
        </is>
      </c>
      <c r="R1648" s="7" t="n"/>
      <c r="S1648" s="7" t="n"/>
      <c r="T1648" s="7" t="n"/>
      <c r="U1648" s="7" t="n"/>
      <c r="V1648" s="7" t="n">
        <v>1</v>
      </c>
      <c r="W1648" s="7" t="inlineStr">
        <is>
          <t>Beliefs Clarified</t>
        </is>
      </c>
      <c r="X1648" s="9" t="inlineStr">
        <is>
          <t>open</t>
        </is>
      </c>
      <c r="Y1648" s="7" t="n"/>
      <c r="Z1648" s="7" t="inlineStr">
        <is>
          <t>https://wol.jw.org/en/wol/d/r1/lp-e/1200277174</t>
        </is>
      </c>
      <c r="AA1648" s="7" t="n">
        <v>0</v>
      </c>
      <c r="AB1648" s="7" t="n"/>
      <c r="AC1648" s="7" t="n">
        <v>0</v>
      </c>
      <c r="AD1648" s="7" t="n"/>
      <c r="AE1648" s="7" t="n"/>
      <c r="AF1648" s="7" t="n"/>
      <c r="AG1648" s="7" t="n"/>
      <c r="AH1648" s="7" t="n"/>
      <c r="AI1648" s="7" t="inlineStr">
        <is>
          <t>Index list entry – app detail</t>
        </is>
      </c>
      <c r="AJ1648" s="7" t="n"/>
      <c r="AK1648" s="7" t="n"/>
      <c r="AL1648" s="7" t="n"/>
      <c r="AM1648" s="7" t="n">
        <v>2007</v>
      </c>
      <c r="AN1648" s="10" t="n"/>
      <c r="AO1648" s="10" t="n"/>
      <c r="AP1648" s="10" t="n"/>
      <c r="AQ1648" s="10" t="n"/>
    </row>
    <row r="1649">
      <c r="A1649" s="7" t="inlineStr">
        <is>
          <t>b9-0253</t>
        </is>
      </c>
      <c r="B1649" s="7" t="inlineStr">
        <is>
          <t>Point</t>
        </is>
      </c>
      <c r="C1649" s="7" t="n"/>
      <c r="D1649" s="7" t="inlineStr">
        <is>
          <t>2007</t>
        </is>
      </c>
      <c r="E1649" s="7" t="n"/>
      <c r="F1649" s="7" t="inlineStr">
        <is>
          <t>2007 CE</t>
        </is>
      </c>
      <c r="G1649" s="7" t="inlineStr">
        <is>
          <t>Exact</t>
        </is>
      </c>
      <c r="H1649" s="7" t="n"/>
      <c r="I1649" s="7" t="n"/>
      <c r="J1649" s="7" t="n"/>
      <c r="K1649" s="2" t="inlineStr">
        <is>
          <t>Understanding clarified: when calling to heavenly hope ceases</t>
        </is>
      </c>
      <c r="L1649" s="2" t="n"/>
      <c r="M1649" s="7" t="inlineStr">
        <is>
          <t>The Watch Tower Publications Index (“Beliefs Clarified,” list by year) records a clarified understanding in 2007 concerning when calling to heavenly hope ceases. Index references: w07 5/1 30-31; w07 8/15 19.</t>
        </is>
      </c>
      <c r="N1649" s="7" t="n"/>
      <c r="O1649" s="13" t="inlineStr">
        <is>
          <t>Jehovah's Witnesses</t>
        </is>
      </c>
      <c r="P1649" s="7" t="inlineStr">
        <is>
          <t>jw.doctrine</t>
        </is>
      </c>
      <c r="Q1649" s="7" t="inlineStr">
        <is>
          <t>beliefs_clarified</t>
        </is>
      </c>
      <c r="R1649" s="7" t="n"/>
      <c r="S1649" s="7" t="n"/>
      <c r="T1649" s="7" t="n"/>
      <c r="U1649" s="7" t="n"/>
      <c r="V1649" s="7" t="n">
        <v>1</v>
      </c>
      <c r="W1649" s="7" t="inlineStr">
        <is>
          <t>Beliefs Clarified</t>
        </is>
      </c>
      <c r="X1649" s="9" t="inlineStr">
        <is>
          <t>open</t>
        </is>
      </c>
      <c r="Y1649" s="7" t="n"/>
      <c r="Z1649" s="7" t="inlineStr">
        <is>
          <t>https://wol.jw.org/en/wol/d/r1/lp-e/1200277174</t>
        </is>
      </c>
      <c r="AA1649" s="7" t="n">
        <v>0</v>
      </c>
      <c r="AB1649" s="7" t="n"/>
      <c r="AC1649" s="7" t="n">
        <v>0</v>
      </c>
      <c r="AD1649" s="7" t="n"/>
      <c r="AE1649" s="7" t="n"/>
      <c r="AF1649" s="7" t="n"/>
      <c r="AG1649" s="7" t="n"/>
      <c r="AH1649" s="7" t="n"/>
      <c r="AI1649" s="7" t="inlineStr">
        <is>
          <t>Index list entry – app detail</t>
        </is>
      </c>
      <c r="AJ1649" s="7" t="n"/>
      <c r="AK1649" s="7" t="n"/>
      <c r="AL1649" s="7" t="n"/>
      <c r="AM1649" s="7" t="n">
        <v>2007</v>
      </c>
      <c r="AN1649" s="10" t="n"/>
      <c r="AO1649" s="10" t="n"/>
      <c r="AP1649" s="10" t="n"/>
      <c r="AQ1649" s="10" t="n"/>
    </row>
    <row r="1650">
      <c r="A1650" s="7" t="inlineStr">
        <is>
          <t>b9-0254</t>
        </is>
      </c>
      <c r="B1650" s="7" t="inlineStr">
        <is>
          <t>Point</t>
        </is>
      </c>
      <c r="C1650" s="7" t="n"/>
      <c r="D1650" s="7" t="inlineStr">
        <is>
          <t>2007</t>
        </is>
      </c>
      <c r="E1650" s="7" t="n"/>
      <c r="F1650" s="7" t="inlineStr">
        <is>
          <t>2007 CE</t>
        </is>
      </c>
      <c r="G1650" s="7" t="inlineStr">
        <is>
          <t>Exact</t>
        </is>
      </c>
      <c r="H1650" s="7" t="n"/>
      <c r="I1650" s="7" t="n"/>
      <c r="J1650" s="7" t="n"/>
      <c r="K1650" s="2" t="inlineStr">
        <is>
          <t>2007: “Follow the Christ!” District Conventions</t>
        </is>
      </c>
      <c r="L1650" s="2" t="n"/>
      <c r="M1650" s="7" t="inlineStr">
        <is>
          <t>The Watch Tower Publications Index lists the 2007 conventions of Jehovah’s Witnesses as “Follow the Christ!” District Conventions.</t>
        </is>
      </c>
      <c r="N1650" s="7" t="n"/>
      <c r="O1650" s="13" t="inlineStr">
        <is>
          <t>Jehovah's Witnesses</t>
        </is>
      </c>
      <c r="P1650" s="7" t="inlineStr">
        <is>
          <t>jw.convention</t>
        </is>
      </c>
      <c r="Q1650" s="7" t="inlineStr">
        <is>
          <t>convention</t>
        </is>
      </c>
      <c r="R1650" s="7" t="n"/>
      <c r="S1650" s="7" t="n"/>
      <c r="T1650" s="7" t="n"/>
      <c r="U1650" s="7" t="n"/>
      <c r="V1650" s="7" t="n">
        <v>1</v>
      </c>
      <c r="W1650" s="7" t="inlineStr">
        <is>
          <t>Conventions</t>
        </is>
      </c>
      <c r="X1650" s="9" t="inlineStr">
        <is>
          <t>open</t>
        </is>
      </c>
      <c r="Y1650" s="7" t="n"/>
      <c r="Z1650" s="7" t="inlineStr">
        <is>
          <t>https://wol.jw.org/en/wol/d/r1/lp-e/1200271388</t>
        </is>
      </c>
      <c r="AA1650" s="7" t="n">
        <v>0</v>
      </c>
      <c r="AB1650" s="7" t="n"/>
      <c r="AC1650" s="7" t="n">
        <v>0</v>
      </c>
      <c r="AD1650" s="7" t="n"/>
      <c r="AE1650" s="7" t="n"/>
      <c r="AF1650" s="7" t="n"/>
      <c r="AG1650" s="7" t="n"/>
      <c r="AH1650" s="7" t="n"/>
      <c r="AI1650" s="7" t="inlineStr">
        <is>
          <t>Index list entry – app detail</t>
        </is>
      </c>
      <c r="AJ1650" s="7" t="n"/>
      <c r="AK1650" s="7" t="n"/>
      <c r="AL1650" s="7" t="n"/>
      <c r="AM1650" s="7" t="n">
        <v>2007</v>
      </c>
      <c r="AN1650" s="10" t="n"/>
      <c r="AO1650" s="10" t="n"/>
      <c r="AP1650" s="10" t="n"/>
      <c r="AQ1650" s="10" t="n"/>
    </row>
    <row r="1651">
      <c r="A1651" s="7" t="inlineStr">
        <is>
          <t>b9-0255</t>
        </is>
      </c>
      <c r="B1651" s="7" t="inlineStr">
        <is>
          <t>Point</t>
        </is>
      </c>
      <c r="C1651" s="7" t="n"/>
      <c r="D1651" s="7" t="inlineStr">
        <is>
          <t>2008</t>
        </is>
      </c>
      <c r="E1651" s="7" t="n"/>
      <c r="F1651" s="7" t="inlineStr">
        <is>
          <t>2008 CE</t>
        </is>
      </c>
      <c r="G1651" s="7" t="inlineStr">
        <is>
          <t>Exact</t>
        </is>
      </c>
      <c r="H1651" s="7" t="n"/>
      <c r="I1651" s="7" t="n"/>
      <c r="J1651" s="7" t="n"/>
      <c r="K1651" s="2" t="inlineStr">
        <is>
          <t>Understanding clarified: illustration of dragnet (Matt. 13)</t>
        </is>
      </c>
      <c r="L1651" s="2" t="n"/>
      <c r="M1651" s="7" t="inlineStr">
        <is>
          <t>The Watch Tower Publications Index (“Beliefs Clarified,” list by year) records a clarified understanding in 2008 concerning illustration of dragnet (Matt. 13). Index references: w08 7/15 20-21.</t>
        </is>
      </c>
      <c r="N1651" s="7" t="n"/>
      <c r="O1651" s="13" t="inlineStr">
        <is>
          <t>Jehovah's Witnesses</t>
        </is>
      </c>
      <c r="P1651" s="7" t="inlineStr">
        <is>
          <t>jw.doctrine</t>
        </is>
      </c>
      <c r="Q1651" s="7" t="inlineStr">
        <is>
          <t>beliefs_clarified</t>
        </is>
      </c>
      <c r="R1651" s="7" t="n"/>
      <c r="S1651" s="7" t="n"/>
      <c r="T1651" s="7" t="inlineStr">
        <is>
          <t>Matt. 13</t>
        </is>
      </c>
      <c r="U1651" s="7" t="n"/>
      <c r="V1651" s="7" t="n">
        <v>1</v>
      </c>
      <c r="W1651" s="7" t="inlineStr">
        <is>
          <t>Beliefs Clarified</t>
        </is>
      </c>
      <c r="X1651" s="9" t="inlineStr">
        <is>
          <t>open</t>
        </is>
      </c>
      <c r="Y1651" s="7" t="n"/>
      <c r="Z1651" s="7" t="inlineStr">
        <is>
          <t>https://wol.jw.org/en/wol/d/r1/lp-e/1200277174</t>
        </is>
      </c>
      <c r="AA1651" s="7" t="n">
        <v>0</v>
      </c>
      <c r="AB1651" s="7" t="n"/>
      <c r="AC1651" s="7" t="n">
        <v>0</v>
      </c>
      <c r="AD1651" s="7" t="n"/>
      <c r="AE1651" s="7" t="n"/>
      <c r="AF1651" s="7" t="n"/>
      <c r="AG1651" s="7" t="n"/>
      <c r="AH1651" s="7" t="n"/>
      <c r="AI1651" s="7" t="inlineStr">
        <is>
          <t>Index list entry – app detail</t>
        </is>
      </c>
      <c r="AJ1651" s="7" t="n"/>
      <c r="AK1651" s="7" t="n"/>
      <c r="AL1651" s="7" t="n"/>
      <c r="AM1651" s="7" t="n">
        <v>2008</v>
      </c>
      <c r="AN1651" s="10" t="n"/>
      <c r="AO1651" s="10" t="n"/>
      <c r="AP1651" s="10" t="n"/>
      <c r="AQ1651" s="10" t="n"/>
    </row>
    <row r="1652">
      <c r="A1652" s="7" t="inlineStr">
        <is>
          <t>b9-0256</t>
        </is>
      </c>
      <c r="B1652" s="7" t="inlineStr">
        <is>
          <t>Point</t>
        </is>
      </c>
      <c r="C1652" s="7" t="n"/>
      <c r="D1652" s="7" t="inlineStr">
        <is>
          <t>2008</t>
        </is>
      </c>
      <c r="E1652" s="7" t="n"/>
      <c r="F1652" s="7" t="inlineStr">
        <is>
          <t>2008 CE</t>
        </is>
      </c>
      <c r="G1652" s="7" t="inlineStr">
        <is>
          <t>Exact</t>
        </is>
      </c>
      <c r="H1652" s="7" t="n"/>
      <c r="I1652" s="7" t="n"/>
      <c r="J1652" s="7" t="n"/>
      <c r="K1652" s="2" t="inlineStr">
        <is>
          <t>Understanding clarified: illustration of foundation of house (Luke 6:46-49)</t>
        </is>
      </c>
      <c r="L1652" s="2" t="n"/>
      <c r="M1652" s="7" t="inlineStr">
        <is>
          <t>The Watch Tower Publications Index (“Beliefs Clarified,” list by year) records a clarified understanding in 2008 concerning illustration of foundation of house (Luke 6:46-49). Index references: w08 2/15 31-32; w08 11/1 29-31.</t>
        </is>
      </c>
      <c r="N1652" s="7" t="n"/>
      <c r="O1652" s="13" t="inlineStr">
        <is>
          <t>Jehovah's Witnesses</t>
        </is>
      </c>
      <c r="P1652" s="7" t="inlineStr">
        <is>
          <t>jw.doctrine</t>
        </is>
      </c>
      <c r="Q1652" s="7" t="inlineStr">
        <is>
          <t>beliefs_clarified</t>
        </is>
      </c>
      <c r="R1652" s="7" t="n"/>
      <c r="S1652" s="7" t="n"/>
      <c r="T1652" s="7" t="inlineStr">
        <is>
          <t>Luke 6:46-49</t>
        </is>
      </c>
      <c r="U1652" s="7" t="n"/>
      <c r="V1652" s="7" t="n">
        <v>1</v>
      </c>
      <c r="W1652" s="7" t="inlineStr">
        <is>
          <t>Beliefs Clarified</t>
        </is>
      </c>
      <c r="X1652" s="9" t="inlineStr">
        <is>
          <t>open</t>
        </is>
      </c>
      <c r="Y1652" s="7" t="n"/>
      <c r="Z1652" s="7" t="inlineStr">
        <is>
          <t>https://wol.jw.org/en/wol/d/r1/lp-e/1200277174</t>
        </is>
      </c>
      <c r="AA1652" s="7" t="n">
        <v>0</v>
      </c>
      <c r="AB1652" s="7" t="n"/>
      <c r="AC1652" s="7" t="n">
        <v>0</v>
      </c>
      <c r="AD1652" s="7" t="n"/>
      <c r="AE1652" s="7" t="n"/>
      <c r="AF1652" s="7" t="n"/>
      <c r="AG1652" s="7" t="n"/>
      <c r="AH1652" s="7" t="n"/>
      <c r="AI1652" s="7" t="inlineStr">
        <is>
          <t>Index list entry – app detail</t>
        </is>
      </c>
      <c r="AJ1652" s="7" t="n"/>
      <c r="AK1652" s="7" t="n"/>
      <c r="AL1652" s="7" t="n"/>
      <c r="AM1652" s="7" t="n">
        <v>2008</v>
      </c>
      <c r="AN1652" s="10" t="n"/>
      <c r="AO1652" s="10" t="n"/>
      <c r="AP1652" s="10" t="n"/>
      <c r="AQ1652" s="10" t="n"/>
    </row>
    <row r="1653">
      <c r="A1653" s="7" t="inlineStr">
        <is>
          <t>b9-0257</t>
        </is>
      </c>
      <c r="B1653" s="7" t="inlineStr">
        <is>
          <t>Point</t>
        </is>
      </c>
      <c r="C1653" s="7" t="n"/>
      <c r="D1653" s="7" t="inlineStr">
        <is>
          <t>2008</t>
        </is>
      </c>
      <c r="E1653" s="7" t="n"/>
      <c r="F1653" s="7" t="inlineStr">
        <is>
          <t>2008 CE</t>
        </is>
      </c>
      <c r="G1653" s="7" t="inlineStr">
        <is>
          <t>Exact</t>
        </is>
      </c>
      <c r="H1653" s="7" t="n"/>
      <c r="I1653" s="7" t="n"/>
      <c r="J1653" s="7" t="n"/>
      <c r="K1653" s="2" t="inlineStr">
        <is>
          <t>Understanding clarified: illustration of leaven hidden in flour (Matt. 13; Luke 13)</t>
        </is>
      </c>
      <c r="L1653" s="2" t="n"/>
      <c r="M1653" s="7" t="inlineStr">
        <is>
          <t>The Watch Tower Publications Index (“Beliefs Clarified,” list by year) records a clarified understanding in 2008 concerning illustration of leaven hidden in flour (Matt. 13; Luke 13). Index references: w08 7/15 19-21.</t>
        </is>
      </c>
      <c r="N1653" s="7" t="n"/>
      <c r="O1653" s="13" t="inlineStr">
        <is>
          <t>Jehovah's Witnesses</t>
        </is>
      </c>
      <c r="P1653" s="7" t="inlineStr">
        <is>
          <t>jw.doctrine</t>
        </is>
      </c>
      <c r="Q1653" s="7" t="inlineStr">
        <is>
          <t>beliefs_clarified</t>
        </is>
      </c>
      <c r="R1653" s="7" t="n"/>
      <c r="S1653" s="7" t="n"/>
      <c r="T1653" s="7" t="inlineStr">
        <is>
          <t>Matt. 13; Luke 13</t>
        </is>
      </c>
      <c r="U1653" s="7" t="n"/>
      <c r="V1653" s="7" t="n">
        <v>1</v>
      </c>
      <c r="W1653" s="7" t="inlineStr">
        <is>
          <t>Beliefs Clarified</t>
        </is>
      </c>
      <c r="X1653" s="9" t="inlineStr">
        <is>
          <t>open</t>
        </is>
      </c>
      <c r="Y1653" s="7" t="n"/>
      <c r="Z1653" s="7" t="inlineStr">
        <is>
          <t>https://wol.jw.org/en/wol/d/r1/lp-e/1200277174</t>
        </is>
      </c>
      <c r="AA1653" s="7" t="n">
        <v>0</v>
      </c>
      <c r="AB1653" s="7" t="n"/>
      <c r="AC1653" s="7" t="n">
        <v>0</v>
      </c>
      <c r="AD1653" s="7" t="n"/>
      <c r="AE1653" s="7" t="n"/>
      <c r="AF1653" s="7" t="n"/>
      <c r="AG1653" s="7" t="n"/>
      <c r="AH1653" s="7" t="n"/>
      <c r="AI1653" s="7" t="inlineStr">
        <is>
          <t>Index list entry – app detail</t>
        </is>
      </c>
      <c r="AJ1653" s="7" t="n"/>
      <c r="AK1653" s="7" t="n"/>
      <c r="AL1653" s="7" t="n"/>
      <c r="AM1653" s="7" t="n">
        <v>2008</v>
      </c>
      <c r="AN1653" s="10" t="n"/>
      <c r="AO1653" s="10" t="n"/>
      <c r="AP1653" s="10" t="n"/>
      <c r="AQ1653" s="10" t="n"/>
    </row>
    <row r="1654">
      <c r="A1654" s="7" t="inlineStr">
        <is>
          <t>b9-0258</t>
        </is>
      </c>
      <c r="B1654" s="7" t="inlineStr">
        <is>
          <t>Point</t>
        </is>
      </c>
      <c r="C1654" s="7" t="n"/>
      <c r="D1654" s="7" t="inlineStr">
        <is>
          <t>2008</t>
        </is>
      </c>
      <c r="E1654" s="7" t="n"/>
      <c r="F1654" s="7" t="inlineStr">
        <is>
          <t>2008 CE</t>
        </is>
      </c>
      <c r="G1654" s="7" t="inlineStr">
        <is>
          <t>Exact</t>
        </is>
      </c>
      <c r="H1654" s="7" t="n"/>
      <c r="I1654" s="7" t="n"/>
      <c r="J1654" s="7" t="n"/>
      <c r="K1654" s="2" t="inlineStr">
        <is>
          <t>Understanding clarified: illustration of man casting seed (Mark 4:26-29)</t>
        </is>
      </c>
      <c r="L1654" s="2" t="n"/>
      <c r="M1654" s="7" t="inlineStr">
        <is>
          <t>The Watch Tower Publications Index (“Beliefs Clarified,” list by year) records a clarified understanding in 2008 concerning illustration of man casting seed (Mark 4:26-29). Index references: w08 7/15 14-16.</t>
        </is>
      </c>
      <c r="N1654" s="7" t="n"/>
      <c r="O1654" s="13" t="inlineStr">
        <is>
          <t>Jehovah's Witnesses</t>
        </is>
      </c>
      <c r="P1654" s="7" t="inlineStr">
        <is>
          <t>jw.doctrine</t>
        </is>
      </c>
      <c r="Q1654" s="7" t="inlineStr">
        <is>
          <t>beliefs_clarified</t>
        </is>
      </c>
      <c r="R1654" s="7" t="n"/>
      <c r="S1654" s="7" t="n"/>
      <c r="T1654" s="7" t="inlineStr">
        <is>
          <t>Mark 4:26-29</t>
        </is>
      </c>
      <c r="U1654" s="7" t="n"/>
      <c r="V1654" s="7" t="n">
        <v>1</v>
      </c>
      <c r="W1654" s="7" t="inlineStr">
        <is>
          <t>Beliefs Clarified</t>
        </is>
      </c>
      <c r="X1654" s="9" t="inlineStr">
        <is>
          <t>open</t>
        </is>
      </c>
      <c r="Y1654" s="7" t="n"/>
      <c r="Z1654" s="7" t="inlineStr">
        <is>
          <t>https://wol.jw.org/en/wol/d/r1/lp-e/1200277174</t>
        </is>
      </c>
      <c r="AA1654" s="7" t="n">
        <v>0</v>
      </c>
      <c r="AB1654" s="7" t="n"/>
      <c r="AC1654" s="7" t="n">
        <v>0</v>
      </c>
      <c r="AD1654" s="7" t="n"/>
      <c r="AE1654" s="7" t="n"/>
      <c r="AF1654" s="7" t="n"/>
      <c r="AG1654" s="7" t="n"/>
      <c r="AH1654" s="7" t="n"/>
      <c r="AI1654" s="7" t="inlineStr">
        <is>
          <t>Index list entry – app detail</t>
        </is>
      </c>
      <c r="AJ1654" s="7" t="n"/>
      <c r="AK1654" s="7" t="n"/>
      <c r="AL1654" s="7" t="n"/>
      <c r="AM1654" s="7" t="n">
        <v>2008</v>
      </c>
      <c r="AN1654" s="10" t="n"/>
      <c r="AO1654" s="10" t="n"/>
      <c r="AP1654" s="10" t="n"/>
      <c r="AQ1654" s="10" t="n"/>
    </row>
    <row r="1655">
      <c r="A1655" s="7" t="inlineStr">
        <is>
          <t>b9-0259</t>
        </is>
      </c>
      <c r="B1655" s="7" t="inlineStr">
        <is>
          <t>Point</t>
        </is>
      </c>
      <c r="C1655" s="7" t="n"/>
      <c r="D1655" s="7" t="inlineStr">
        <is>
          <t>2008</t>
        </is>
      </c>
      <c r="E1655" s="7" t="n"/>
      <c r="F1655" s="7" t="inlineStr">
        <is>
          <t>2008 CE</t>
        </is>
      </c>
      <c r="G1655" s="7" t="inlineStr">
        <is>
          <t>Exact</t>
        </is>
      </c>
      <c r="H1655" s="7" t="n"/>
      <c r="I1655" s="7" t="n"/>
      <c r="J1655" s="7" t="n"/>
      <c r="K1655" s="2" t="inlineStr">
        <is>
          <t>Understanding clarified: illustration of mustard grain (Matt. 13; Mark 4; Luke 13)</t>
        </is>
      </c>
      <c r="L1655" s="2" t="n"/>
      <c r="M1655" s="7" t="inlineStr">
        <is>
          <t>The Watch Tower Publications Index (“Beliefs Clarified,” list by year) records a clarified understanding in 2008 concerning illustration of mustard grain (Matt. 13; Mark 4; Luke 13). Index references: w08 7/15 17-19, 21.</t>
        </is>
      </c>
      <c r="N1655" s="7" t="n"/>
      <c r="O1655" s="13" t="inlineStr">
        <is>
          <t>Jehovah's Witnesses</t>
        </is>
      </c>
      <c r="P1655" s="7" t="inlineStr">
        <is>
          <t>jw.doctrine</t>
        </is>
      </c>
      <c r="Q1655" s="7" t="inlineStr">
        <is>
          <t>beliefs_clarified</t>
        </is>
      </c>
      <c r="R1655" s="7" t="n"/>
      <c r="S1655" s="7" t="n"/>
      <c r="T1655" s="7" t="inlineStr">
        <is>
          <t>Matt. 13; Mark 4; Luke 13</t>
        </is>
      </c>
      <c r="U1655" s="7" t="n"/>
      <c r="V1655" s="7" t="n">
        <v>1</v>
      </c>
      <c r="W1655" s="7" t="inlineStr">
        <is>
          <t>Beliefs Clarified</t>
        </is>
      </c>
      <c r="X1655" s="9" t="inlineStr">
        <is>
          <t>open</t>
        </is>
      </c>
      <c r="Y1655" s="7" t="n"/>
      <c r="Z1655" s="7" t="inlineStr">
        <is>
          <t>https://wol.jw.org/en/wol/d/r1/lp-e/1200277174</t>
        </is>
      </c>
      <c r="AA1655" s="7" t="n">
        <v>0</v>
      </c>
      <c r="AB1655" s="7" t="n"/>
      <c r="AC1655" s="7" t="n">
        <v>0</v>
      </c>
      <c r="AD1655" s="7" t="n"/>
      <c r="AE1655" s="7" t="n"/>
      <c r="AF1655" s="7" t="n"/>
      <c r="AG1655" s="7" t="n"/>
      <c r="AH1655" s="7" t="n"/>
      <c r="AI1655" s="7" t="inlineStr">
        <is>
          <t>Index list entry – app detail</t>
        </is>
      </c>
      <c r="AJ1655" s="7" t="n"/>
      <c r="AK1655" s="7" t="n"/>
      <c r="AL1655" s="7" t="n"/>
      <c r="AM1655" s="7" t="n">
        <v>2008</v>
      </c>
      <c r="AN1655" s="10" t="n"/>
      <c r="AO1655" s="10" t="n"/>
      <c r="AP1655" s="10" t="n"/>
      <c r="AQ1655" s="10" t="n"/>
    </row>
    <row r="1656">
      <c r="A1656" s="7" t="inlineStr">
        <is>
          <t>b9-0260</t>
        </is>
      </c>
      <c r="B1656" s="7" t="inlineStr">
        <is>
          <t>Point</t>
        </is>
      </c>
      <c r="C1656" s="7" t="n"/>
      <c r="D1656" s="7" t="inlineStr">
        <is>
          <t>2008</t>
        </is>
      </c>
      <c r="E1656" s="7" t="n"/>
      <c r="F1656" s="7" t="inlineStr">
        <is>
          <t>2008 CE</t>
        </is>
      </c>
      <c r="G1656" s="7" t="inlineStr">
        <is>
          <t>Exact</t>
        </is>
      </c>
      <c r="H1656" s="7" t="n"/>
      <c r="I1656" s="7" t="n"/>
      <c r="J1656" s="7" t="n"/>
      <c r="K1656" s="2" t="inlineStr">
        <is>
          <t>Understanding clarified: Mary’s pain during Jesus’ birth</t>
        </is>
      </c>
      <c r="L1656" s="2" t="n"/>
      <c r="M1656" s="7" t="inlineStr">
        <is>
          <t>The Watch Tower Publications Index (“Beliefs Clarified,” list by year) records a clarified understanding in 2008 concerning Mary’s pain during Jesus’ birth. Index references: w08 10/1 23.</t>
        </is>
      </c>
      <c r="N1656" s="7" t="n"/>
      <c r="O1656" s="13" t="inlineStr">
        <is>
          <t>Jehovah's Witnesses</t>
        </is>
      </c>
      <c r="P1656" s="7" t="inlineStr">
        <is>
          <t>jw.doctrine</t>
        </is>
      </c>
      <c r="Q1656" s="7" t="inlineStr">
        <is>
          <t>beliefs_clarified</t>
        </is>
      </c>
      <c r="R1656" s="7" t="n"/>
      <c r="S1656" s="7" t="n"/>
      <c r="T1656" s="7" t="n"/>
      <c r="U1656" s="7" t="n"/>
      <c r="V1656" s="7" t="n">
        <v>1</v>
      </c>
      <c r="W1656" s="7" t="inlineStr">
        <is>
          <t>Beliefs Clarified</t>
        </is>
      </c>
      <c r="X1656" s="9" t="inlineStr">
        <is>
          <t>open</t>
        </is>
      </c>
      <c r="Y1656" s="7" t="n"/>
      <c r="Z1656" s="7" t="inlineStr">
        <is>
          <t>https://wol.jw.org/en/wol/d/r1/lp-e/1200277174</t>
        </is>
      </c>
      <c r="AA1656" s="7" t="n">
        <v>0</v>
      </c>
      <c r="AB1656" s="7" t="n"/>
      <c r="AC1656" s="7" t="n">
        <v>0</v>
      </c>
      <c r="AD1656" s="7" t="n"/>
      <c r="AE1656" s="7" t="n"/>
      <c r="AF1656" s="7" t="n"/>
      <c r="AG1656" s="7" t="n"/>
      <c r="AH1656" s="7" t="n"/>
      <c r="AI1656" s="7" t="inlineStr">
        <is>
          <t>Index list entry – app detail</t>
        </is>
      </c>
      <c r="AJ1656" s="7" t="n"/>
      <c r="AK1656" s="7" t="n"/>
      <c r="AL1656" s="7" t="n"/>
      <c r="AM1656" s="7" t="n">
        <v>2008</v>
      </c>
      <c r="AN1656" s="10" t="n"/>
      <c r="AO1656" s="10" t="n"/>
      <c r="AP1656" s="10" t="n"/>
      <c r="AQ1656" s="10" t="n"/>
    </row>
    <row r="1657">
      <c r="A1657" s="7" t="inlineStr">
        <is>
          <t>b9-0261</t>
        </is>
      </c>
      <c r="B1657" s="7" t="inlineStr">
        <is>
          <t>Point</t>
        </is>
      </c>
      <c r="C1657" s="7" t="n"/>
      <c r="D1657" s="7" t="inlineStr">
        <is>
          <t>2008</t>
        </is>
      </c>
      <c r="E1657" s="7" t="n"/>
      <c r="F1657" s="7" t="inlineStr">
        <is>
          <t>2008 CE</t>
        </is>
      </c>
      <c r="G1657" s="7" t="inlineStr">
        <is>
          <t>Exact</t>
        </is>
      </c>
      <c r="H1657" s="7" t="n"/>
      <c r="I1657" s="7" t="n"/>
      <c r="J1657" s="7" t="n"/>
      <c r="K1657" s="2" t="inlineStr">
        <is>
          <t>Understanding clarified: “this generation” (Matt. 24:34; Mark 13:30; Luke 21:32)</t>
        </is>
      </c>
      <c r="L1657" s="2" t="n"/>
      <c r="M1657" s="7" t="inlineStr">
        <is>
          <t>The Watch Tower Publications Index (“Beliefs Clarified,” list by year) records a clarified understanding in 2008 concerning “this generation” (Matt. 24:34; Mark 13:30; Luke 21:32). Index references: w10 4/15 10-11; w08 2/15 23-24; w08 4/15 29.</t>
        </is>
      </c>
      <c r="N1657" s="7" t="n"/>
      <c r="O1657" s="13" t="inlineStr">
        <is>
          <t>Jehovah's Witnesses</t>
        </is>
      </c>
      <c r="P1657" s="7" t="inlineStr">
        <is>
          <t>jw.doctrine</t>
        </is>
      </c>
      <c r="Q1657" s="7" t="inlineStr">
        <is>
          <t>beliefs_clarified</t>
        </is>
      </c>
      <c r="R1657" s="7" t="n"/>
      <c r="S1657" s="7" t="n"/>
      <c r="T1657" s="7" t="inlineStr">
        <is>
          <t>Matt. 24:34; Mark 13:30; Luke 21:32</t>
        </is>
      </c>
      <c r="U1657" s="7" t="n"/>
      <c r="V1657" s="7" t="n">
        <v>1</v>
      </c>
      <c r="W1657" s="7" t="inlineStr">
        <is>
          <t>Beliefs Clarified</t>
        </is>
      </c>
      <c r="X1657" s="9" t="inlineStr">
        <is>
          <t>open</t>
        </is>
      </c>
      <c r="Y1657" s="7" t="n"/>
      <c r="Z1657" s="7" t="inlineStr">
        <is>
          <t>https://wol.jw.org/en/wol/d/r1/lp-e/1200277174</t>
        </is>
      </c>
      <c r="AA1657" s="7" t="n">
        <v>0</v>
      </c>
      <c r="AB1657" s="7" t="n"/>
      <c r="AC1657" s="7" t="n">
        <v>0</v>
      </c>
      <c r="AD1657" s="7" t="n"/>
      <c r="AE1657" s="7" t="n"/>
      <c r="AF1657" s="7" t="n"/>
      <c r="AG1657" s="7" t="n"/>
      <c r="AH1657" s="7" t="n"/>
      <c r="AI1657" s="7" t="inlineStr">
        <is>
          <t>Index list entry – app detail</t>
        </is>
      </c>
      <c r="AJ1657" s="7" t="n"/>
      <c r="AK1657" s="7" t="n"/>
      <c r="AL1657" s="7" t="n"/>
      <c r="AM1657" s="7" t="n">
        <v>2008</v>
      </c>
      <c r="AN1657" s="10" t="n"/>
      <c r="AO1657" s="10" t="n"/>
      <c r="AP1657" s="10" t="n"/>
      <c r="AQ1657" s="10" t="n"/>
    </row>
    <row r="1658">
      <c r="A1658" s="7" t="inlineStr">
        <is>
          <t>b9-0262</t>
        </is>
      </c>
      <c r="B1658" s="7" t="inlineStr">
        <is>
          <t>Point</t>
        </is>
      </c>
      <c r="C1658" s="7" t="n"/>
      <c r="D1658" s="7" t="inlineStr">
        <is>
          <t>2008</t>
        </is>
      </c>
      <c r="E1658" s="7" t="n"/>
      <c r="F1658" s="7" t="inlineStr">
        <is>
          <t>2008 CE</t>
        </is>
      </c>
      <c r="G1658" s="7" t="inlineStr">
        <is>
          <t>Exact</t>
        </is>
      </c>
      <c r="H1658" s="7" t="n"/>
      <c r="I1658" s="7" t="n"/>
      <c r="J1658" s="7" t="n"/>
      <c r="K1658" s="2" t="inlineStr">
        <is>
          <t>2008: “Guided by God’s Spirit” District Conventions</t>
        </is>
      </c>
      <c r="L1658" s="2" t="n"/>
      <c r="M1658" s="7" t="inlineStr">
        <is>
          <t>The Watch Tower Publications Index lists the 2008 conventions of Jehovah’s Witnesses as “Guided by God’s Spirit” District Conventions.</t>
        </is>
      </c>
      <c r="N1658" s="7" t="n"/>
      <c r="O1658" s="13" t="inlineStr">
        <is>
          <t>Jehovah's Witnesses</t>
        </is>
      </c>
      <c r="P1658" s="7" t="inlineStr">
        <is>
          <t>jw.convention</t>
        </is>
      </c>
      <c r="Q1658" s="7" t="inlineStr">
        <is>
          <t>convention</t>
        </is>
      </c>
      <c r="R1658" s="7" t="n"/>
      <c r="S1658" s="7" t="n"/>
      <c r="T1658" s="7" t="n"/>
      <c r="U1658" s="7" t="n"/>
      <c r="V1658" s="7" t="n">
        <v>1</v>
      </c>
      <c r="W1658" s="7" t="inlineStr">
        <is>
          <t>Conventions</t>
        </is>
      </c>
      <c r="X1658" s="9" t="inlineStr">
        <is>
          <t>open</t>
        </is>
      </c>
      <c r="Y1658" s="7" t="n"/>
      <c r="Z1658" s="7" t="inlineStr">
        <is>
          <t>https://wol.jw.org/en/wol/d/r1/lp-e/1200271388</t>
        </is>
      </c>
      <c r="AA1658" s="7" t="n">
        <v>0</v>
      </c>
      <c r="AB1658" s="7" t="n"/>
      <c r="AC1658" s="7" t="n">
        <v>0</v>
      </c>
      <c r="AD1658" s="7" t="n"/>
      <c r="AE1658" s="7" t="n"/>
      <c r="AF1658" s="7" t="n"/>
      <c r="AG1658" s="7" t="n"/>
      <c r="AH1658" s="7" t="n"/>
      <c r="AI1658" s="7" t="inlineStr">
        <is>
          <t>Index list entry – app detail</t>
        </is>
      </c>
      <c r="AJ1658" s="7" t="n"/>
      <c r="AK1658" s="7" t="n"/>
      <c r="AL1658" s="7" t="n"/>
      <c r="AM1658" s="7" t="n">
        <v>2008</v>
      </c>
      <c r="AN1658" s="10" t="n"/>
      <c r="AO1658" s="10" t="n"/>
      <c r="AP1658" s="10" t="n"/>
      <c r="AQ1658" s="10" t="n"/>
    </row>
    <row r="1659">
      <c r="A1659" s="7" t="inlineStr">
        <is>
          <t>b9-0263</t>
        </is>
      </c>
      <c r="B1659" s="7" t="inlineStr">
        <is>
          <t>Point</t>
        </is>
      </c>
      <c r="C1659" s="7" t="n"/>
      <c r="D1659" s="7" t="inlineStr">
        <is>
          <t>2008, January</t>
        </is>
      </c>
      <c r="E1659" s="7" t="inlineStr">
        <is>
          <t>ஜனவரி 2008</t>
        </is>
      </c>
      <c r="F1659" s="7" t="inlineStr">
        <is>
          <t>2008 CE</t>
        </is>
      </c>
      <c r="G1659" s="7" t="inlineStr">
        <is>
          <t>Exact</t>
        </is>
      </c>
      <c r="H1659" s="7" t="n"/>
      <c r="I1659" s="7" t="n"/>
      <c r="J1659" s="7" t="n"/>
      <c r="K1659" s="2" t="inlineStr">
        <is>
          <t>Public talks reduced to 30 minutes</t>
        </is>
      </c>
      <c r="L1659" s="2" t="inlineStr">
        <is>
          <t>ஜனவரி 2008-ல் இன்னொரு மாற்றம் செய்யப்பட்டது.</t>
        </is>
      </c>
      <c r="M1659" s="7" t="inlineStr">
        <is>
          <t>In January 2008 public talks were reduced from 45 minutes to 30 minutes.</t>
        </is>
      </c>
      <c r="N1659" s="7" t="inlineStr">
        <is>
          <t>ஜனவரி 2008-ல் இன்னொரு மாற்றம் செய்யப்பட்டது.</t>
        </is>
      </c>
      <c r="O1659" s="13" t="inlineStr">
        <is>
          <t>Jehovah's Witnesses</t>
        </is>
      </c>
      <c r="P1659" s="7" t="inlineStr">
        <is>
          <t>jw.organization</t>
        </is>
      </c>
      <c r="Q1659" s="7" t="n"/>
      <c r="R1659" s="7" t="n"/>
      <c r="S1659" s="7" t="n"/>
      <c r="T1659" s="7" t="n"/>
      <c r="U1659" s="7" t="n"/>
      <c r="V1659" s="7" t="n">
        <v>1</v>
      </c>
      <c r="W1659" s="7" t="inlineStr">
        <is>
          <t>Meeting Together for Worship</t>
        </is>
      </c>
      <c r="X1659" s="9" t="inlineStr">
        <is>
          <t>open</t>
        </is>
      </c>
      <c r="Y1659" s="9" t="inlineStr">
        <is>
          <t>open</t>
        </is>
      </c>
      <c r="Z1659" s="7" t="inlineStr">
        <is>
          <t>https://wol.jw.org/en/wol/d/r1/lp-e/1102014255</t>
        </is>
      </c>
      <c r="AA1659" s="7" t="n">
        <v>0</v>
      </c>
      <c r="AB1659" s="7" t="n"/>
      <c r="AC1659" s="7" t="n">
        <v>0</v>
      </c>
      <c r="AD1659" s="7" t="n"/>
      <c r="AE1659" s="7" t="n"/>
      <c r="AF1659" s="7" t="n"/>
      <c r="AG1659" s="7" t="n"/>
      <c r="AH1659" s="7" t="n"/>
      <c r="AI1659" s="7" t="n"/>
      <c r="AJ1659" s="7" t="n"/>
      <c r="AK1659" s="7" t="n"/>
      <c r="AL1659" s="7" t="n"/>
      <c r="AM1659" s="7" t="n">
        <v>2008</v>
      </c>
      <c r="AN1659" s="10" t="n"/>
      <c r="AO1659" s="10" t="n"/>
      <c r="AP1659" s="10" t="n"/>
      <c r="AQ1659" s="10" t="n"/>
    </row>
    <row r="1660">
      <c r="A1660" s="7" t="inlineStr">
        <is>
          <t>b9-0264</t>
        </is>
      </c>
      <c r="B1660" s="7" t="inlineStr">
        <is>
          <t>Point</t>
        </is>
      </c>
      <c r="C1660" s="7" t="n"/>
      <c r="D1660" s="7" t="inlineStr">
        <is>
          <t>2008</t>
        </is>
      </c>
      <c r="E1660" s="7" t="inlineStr">
        <is>
          <t>2008</t>
        </is>
      </c>
      <c r="F1660" s="7" t="inlineStr">
        <is>
          <t>2008 CE</t>
        </is>
      </c>
      <c r="G1660" s="7" t="inlineStr">
        <is>
          <t>Exact</t>
        </is>
      </c>
      <c r="H1660" s="7" t="n"/>
      <c r="I1660" s="7" t="n"/>
      <c r="J1660" s="7" t="n"/>
      <c r="K1660" s="2" t="inlineStr">
        <is>
          <t>Relief after floods in Santa Catarina, Brazil</t>
        </is>
      </c>
      <c r="L1660" s="2" t="inlineStr">
        <is>
          <t>2008-ல் சாண்டா காட்டாரினா மாநிலத்தில், நிலச்சரிவாலும் வெள்ளத்தாலும் சுமார் 80,000 பேர் வீட்டைவிட்டு வெளியேற வேண்டியிருந்தது.</t>
        </is>
      </c>
      <c r="M1660" s="7" t="inlineStr">
        <is>
          <t>In 2008 mudslides and floods in Santa Catarina, Brazil, forced some 80,000 from their homes; an Assembly Hall became a relief center.</t>
        </is>
      </c>
      <c r="N1660" s="7" t="inlineStr">
        <is>
          <t>2008-ல் சாண்டா காட்டாரினா மாநிலத்தில், நிலச்சரிவாலும் வெள்ளத்தாலும் சுமார் 80,000 பேர் வீட்டைவிட்டு வெளியேற வேண்டியிருந்தது.</t>
        </is>
      </c>
      <c r="O1660" s="13" t="inlineStr">
        <is>
          <t>Jehovah's Witnesses</t>
        </is>
      </c>
      <c r="P1660" s="7" t="inlineStr">
        <is>
          <t>jw.relief</t>
        </is>
      </c>
      <c r="Q1660" s="7" t="n"/>
      <c r="R1660" s="7" t="n"/>
      <c r="S1660" s="7" t="inlineStr">
        <is>
          <t>Santa Catarina, Brazil</t>
        </is>
      </c>
      <c r="T1660" s="7" t="n"/>
      <c r="U1660" s="7" t="n"/>
      <c r="V1660" s="7" t="n">
        <v>1</v>
      </c>
      <c r="W1660" s="7" t="inlineStr">
        <is>
          <t>The Ministry of Relief</t>
        </is>
      </c>
      <c r="X1660" s="9" t="inlineStr">
        <is>
          <t>open</t>
        </is>
      </c>
      <c r="Y1660" s="9" t="inlineStr">
        <is>
          <t>open</t>
        </is>
      </c>
      <c r="Z1660" s="7" t="inlineStr">
        <is>
          <t>https://wol.jw.org/en/wol/d/r1/lp-e/1102014262</t>
        </is>
      </c>
      <c r="AA1660" s="7" t="n">
        <v>0</v>
      </c>
      <c r="AB1660" s="7" t="n"/>
      <c r="AC1660" s="7" t="n">
        <v>0</v>
      </c>
      <c r="AD1660" s="7" t="n"/>
      <c r="AE1660" s="7" t="n"/>
      <c r="AF1660" s="7" t="n"/>
      <c r="AG1660" s="7" t="n"/>
      <c r="AH1660" s="7" t="n"/>
      <c r="AI1660" s="7" t="n"/>
      <c r="AJ1660" s="7" t="n"/>
      <c r="AK1660" s="7" t="n"/>
      <c r="AL1660" s="7" t="n"/>
      <c r="AM1660" s="7" t="n">
        <v>2008</v>
      </c>
      <c r="AN1660" s="10" t="n"/>
      <c r="AO1660" s="10" t="n"/>
      <c r="AP1660" s="10" t="n"/>
      <c r="AQ1660" s="10" t="n"/>
    </row>
    <row r="1661">
      <c r="A1661" s="7" t="inlineStr">
        <is>
          <t>b9-0265</t>
        </is>
      </c>
      <c r="B1661" s="7" t="inlineStr">
        <is>
          <t>Point</t>
        </is>
      </c>
      <c r="C1661" s="7" t="n"/>
      <c r="D1661" s="7" t="inlineStr">
        <is>
          <t>2009</t>
        </is>
      </c>
      <c r="E1661" s="7" t="n"/>
      <c r="F1661" s="7" t="inlineStr">
        <is>
          <t>2009 CE</t>
        </is>
      </c>
      <c r="G1661" s="7" t="inlineStr">
        <is>
          <t>Exact</t>
        </is>
      </c>
      <c r="H1661" s="7" t="n"/>
      <c r="I1661" s="7" t="n"/>
      <c r="J1661" s="7" t="n"/>
      <c r="K1661" s="2" t="inlineStr">
        <is>
          <t>Understanding clarified: “all creation under heaven” (Col. 1:23)</t>
        </is>
      </c>
      <c r="L1661" s="2" t="n"/>
      <c r="M1661" s="7" t="inlineStr">
        <is>
          <t>The Watch Tower Publications Index (“Beliefs Clarified,” list by year) records a clarified understanding in 2009 concerning “all creation under heaven” (Col. 1:23). Index references: bt 217.</t>
        </is>
      </c>
      <c r="N1661" s="7" t="n"/>
      <c r="O1661" s="13" t="inlineStr">
        <is>
          <t>Jehovah's Witnesses</t>
        </is>
      </c>
      <c r="P1661" s="7" t="inlineStr">
        <is>
          <t>jw.doctrine</t>
        </is>
      </c>
      <c r="Q1661" s="7" t="inlineStr">
        <is>
          <t>beliefs_clarified</t>
        </is>
      </c>
      <c r="R1661" s="7" t="n"/>
      <c r="S1661" s="7" t="n"/>
      <c r="T1661" s="7" t="inlineStr">
        <is>
          <t>Col. 1:23</t>
        </is>
      </c>
      <c r="U1661" s="7" t="n"/>
      <c r="V1661" s="7" t="n">
        <v>1</v>
      </c>
      <c r="W1661" s="7" t="inlineStr">
        <is>
          <t>Beliefs Clarified</t>
        </is>
      </c>
      <c r="X1661" s="9" t="inlineStr">
        <is>
          <t>open</t>
        </is>
      </c>
      <c r="Y1661" s="7" t="n"/>
      <c r="Z1661" s="7" t="inlineStr">
        <is>
          <t>https://wol.jw.org/en/wol/d/r1/lp-e/1200277174</t>
        </is>
      </c>
      <c r="AA1661" s="7" t="n">
        <v>0</v>
      </c>
      <c r="AB1661" s="7" t="n"/>
      <c r="AC1661" s="7" t="n">
        <v>0</v>
      </c>
      <c r="AD1661" s="7" t="n"/>
      <c r="AE1661" s="7" t="n"/>
      <c r="AF1661" s="7" t="n"/>
      <c r="AG1661" s="7" t="n"/>
      <c r="AH1661" s="7" t="n"/>
      <c r="AI1661" s="7" t="inlineStr">
        <is>
          <t>Index list entry – app detail</t>
        </is>
      </c>
      <c r="AJ1661" s="7" t="n"/>
      <c r="AK1661" s="7" t="n"/>
      <c r="AL1661" s="7" t="n"/>
      <c r="AM1661" s="7" t="n">
        <v>2009</v>
      </c>
      <c r="AN1661" s="10" t="n"/>
      <c r="AO1661" s="10" t="n"/>
      <c r="AP1661" s="10" t="n"/>
      <c r="AQ1661" s="10" t="n"/>
    </row>
    <row r="1662">
      <c r="A1662" s="7" t="inlineStr">
        <is>
          <t>b9-0266</t>
        </is>
      </c>
      <c r="B1662" s="7" t="inlineStr">
        <is>
          <t>Point</t>
        </is>
      </c>
      <c r="C1662" s="7" t="n"/>
      <c r="D1662" s="7" t="inlineStr">
        <is>
          <t>2009</t>
        </is>
      </c>
      <c r="E1662" s="7" t="n"/>
      <c r="F1662" s="7" t="inlineStr">
        <is>
          <t>2009 CE</t>
        </is>
      </c>
      <c r="G1662" s="7" t="inlineStr">
        <is>
          <t>Exact</t>
        </is>
      </c>
      <c r="H1662" s="7" t="n"/>
      <c r="I1662" s="7" t="n"/>
      <c r="J1662" s="7" t="n"/>
      <c r="K1662" s="2" t="inlineStr">
        <is>
          <t>Understanding clarified: head covering for female interpreters for the deaf at meetings</t>
        </is>
      </c>
      <c r="L1662" s="2" t="n"/>
      <c r="M1662" s="7" t="inlineStr">
        <is>
          <t>The Watch Tower Publications Index (“Beliefs Clarified,” list by year) records a clarified understanding in 2009 concerning head covering for female interpreters for the deaf at meetings. Index references: w09 11/15 12-13.</t>
        </is>
      </c>
      <c r="N1662" s="7" t="n"/>
      <c r="O1662" s="13" t="inlineStr">
        <is>
          <t>Jehovah's Witnesses</t>
        </is>
      </c>
      <c r="P1662" s="7" t="inlineStr">
        <is>
          <t>jw.doctrine</t>
        </is>
      </c>
      <c r="Q1662" s="7" t="inlineStr">
        <is>
          <t>beliefs_clarified</t>
        </is>
      </c>
      <c r="R1662" s="7" t="n"/>
      <c r="S1662" s="7" t="n"/>
      <c r="T1662" s="7" t="n"/>
      <c r="U1662" s="7" t="n"/>
      <c r="V1662" s="7" t="n">
        <v>1</v>
      </c>
      <c r="W1662" s="7" t="inlineStr">
        <is>
          <t>Beliefs Clarified</t>
        </is>
      </c>
      <c r="X1662" s="9" t="inlineStr">
        <is>
          <t>open</t>
        </is>
      </c>
      <c r="Y1662" s="7" t="n"/>
      <c r="Z1662" s="7" t="inlineStr">
        <is>
          <t>https://wol.jw.org/en/wol/d/r1/lp-e/1200277174</t>
        </is>
      </c>
      <c r="AA1662" s="7" t="n">
        <v>0</v>
      </c>
      <c r="AB1662" s="7" t="n"/>
      <c r="AC1662" s="7" t="n">
        <v>0</v>
      </c>
      <c r="AD1662" s="7" t="n"/>
      <c r="AE1662" s="7" t="n"/>
      <c r="AF1662" s="7" t="n"/>
      <c r="AG1662" s="7" t="n"/>
      <c r="AH1662" s="7" t="n"/>
      <c r="AI1662" s="7" t="inlineStr">
        <is>
          <t>Index list entry – app detail</t>
        </is>
      </c>
      <c r="AJ1662" s="7" t="n"/>
      <c r="AK1662" s="7" t="n"/>
      <c r="AL1662" s="7" t="n"/>
      <c r="AM1662" s="7" t="n">
        <v>2009</v>
      </c>
      <c r="AN1662" s="10" t="n"/>
      <c r="AO1662" s="10" t="n"/>
      <c r="AP1662" s="10" t="n"/>
      <c r="AQ1662" s="10" t="n"/>
    </row>
    <row r="1663">
      <c r="A1663" s="7" t="inlineStr">
        <is>
          <t>b9-0267</t>
        </is>
      </c>
      <c r="B1663" s="7" t="inlineStr">
        <is>
          <t>Point</t>
        </is>
      </c>
      <c r="C1663" s="7" t="n"/>
      <c r="D1663" s="7" t="inlineStr">
        <is>
          <t>2009</t>
        </is>
      </c>
      <c r="E1663" s="7" t="n"/>
      <c r="F1663" s="7" t="inlineStr">
        <is>
          <t>2009 CE</t>
        </is>
      </c>
      <c r="G1663" s="7" t="inlineStr">
        <is>
          <t>Exact</t>
        </is>
      </c>
      <c r="H1663" s="7" t="n"/>
      <c r="I1663" s="7" t="n"/>
      <c r="J1663" s="7" t="n"/>
      <c r="K1663" s="2" t="inlineStr">
        <is>
          <t>Understanding clarified: resurrection hope for baby dying in womb</t>
        </is>
      </c>
      <c r="L1663" s="2" t="n"/>
      <c r="M1663" s="7" t="inlineStr">
        <is>
          <t>The Watch Tower Publications Index (“Beliefs Clarified,” list by year) records a clarified understanding in 2009 concerning resurrection hope for baby dying in womb. Index references: w09 4/15 12-13.</t>
        </is>
      </c>
      <c r="N1663" s="7" t="n"/>
      <c r="O1663" s="13" t="inlineStr">
        <is>
          <t>Jehovah's Witnesses</t>
        </is>
      </c>
      <c r="P1663" s="7" t="inlineStr">
        <is>
          <t>jw.doctrine</t>
        </is>
      </c>
      <c r="Q1663" s="7" t="inlineStr">
        <is>
          <t>beliefs_clarified</t>
        </is>
      </c>
      <c r="R1663" s="7" t="n"/>
      <c r="S1663" s="7" t="n"/>
      <c r="T1663" s="7" t="n"/>
      <c r="U1663" s="7" t="n"/>
      <c r="V1663" s="7" t="n">
        <v>1</v>
      </c>
      <c r="W1663" s="7" t="inlineStr">
        <is>
          <t>Beliefs Clarified</t>
        </is>
      </c>
      <c r="X1663" s="9" t="inlineStr">
        <is>
          <t>open</t>
        </is>
      </c>
      <c r="Y1663" s="7" t="n"/>
      <c r="Z1663" s="7" t="inlineStr">
        <is>
          <t>https://wol.jw.org/en/wol/d/r1/lp-e/1200277174</t>
        </is>
      </c>
      <c r="AA1663" s="7" t="n">
        <v>0</v>
      </c>
      <c r="AB1663" s="7" t="n"/>
      <c r="AC1663" s="7" t="n">
        <v>0</v>
      </c>
      <c r="AD1663" s="7" t="n"/>
      <c r="AE1663" s="7" t="n"/>
      <c r="AF1663" s="7" t="n"/>
      <c r="AG1663" s="7" t="n"/>
      <c r="AH1663" s="7" t="n"/>
      <c r="AI1663" s="7" t="inlineStr">
        <is>
          <t>Index list entry – app detail</t>
        </is>
      </c>
      <c r="AJ1663" s="7" t="n"/>
      <c r="AK1663" s="7" t="n"/>
      <c r="AL1663" s="7" t="n"/>
      <c r="AM1663" s="7" t="n">
        <v>2009</v>
      </c>
      <c r="AN1663" s="10" t="n"/>
      <c r="AO1663" s="10" t="n"/>
      <c r="AP1663" s="10" t="n"/>
      <c r="AQ1663" s="10" t="n"/>
    </row>
    <row r="1664">
      <c r="A1664" s="7" t="inlineStr">
        <is>
          <t>b9-0268</t>
        </is>
      </c>
      <c r="B1664" s="7" t="inlineStr">
        <is>
          <t>Point</t>
        </is>
      </c>
      <c r="C1664" s="7" t="n"/>
      <c r="D1664" s="7" t="inlineStr">
        <is>
          <t>2009</t>
        </is>
      </c>
      <c r="E1664" s="7" t="n"/>
      <c r="F1664" s="7" t="inlineStr">
        <is>
          <t>2009 CE</t>
        </is>
      </c>
      <c r="G1664" s="7" t="inlineStr">
        <is>
          <t>Exact</t>
        </is>
      </c>
      <c r="H1664" s="7" t="n"/>
      <c r="I1664" s="7" t="n"/>
      <c r="J1664" s="7" t="n"/>
      <c r="K1664" s="2" t="inlineStr">
        <is>
          <t>2009: “Keep on the Watch!” District Conventions</t>
        </is>
      </c>
      <c r="L1664" s="2" t="n"/>
      <c r="M1664" s="7" t="inlineStr">
        <is>
          <t>The Watch Tower Publications Index lists the 2009 conventions of Jehovah’s Witnesses as “Keep on the Watch!” District Conventions.</t>
        </is>
      </c>
      <c r="N1664" s="7" t="n"/>
      <c r="O1664" s="13" t="inlineStr">
        <is>
          <t>Jehovah's Witnesses</t>
        </is>
      </c>
      <c r="P1664" s="7" t="inlineStr">
        <is>
          <t>jw.convention</t>
        </is>
      </c>
      <c r="Q1664" s="7" t="inlineStr">
        <is>
          <t>convention</t>
        </is>
      </c>
      <c r="R1664" s="7" t="n"/>
      <c r="S1664" s="7" t="n"/>
      <c r="T1664" s="7" t="n"/>
      <c r="U1664" s="7" t="n"/>
      <c r="V1664" s="7" t="n">
        <v>1</v>
      </c>
      <c r="W1664" s="7" t="inlineStr">
        <is>
          <t>Conventions</t>
        </is>
      </c>
      <c r="X1664" s="9" t="inlineStr">
        <is>
          <t>open</t>
        </is>
      </c>
      <c r="Y1664" s="7" t="n"/>
      <c r="Z1664" s="7" t="inlineStr">
        <is>
          <t>https://wol.jw.org/en/wol/d/r1/lp-e/1200271388</t>
        </is>
      </c>
      <c r="AA1664" s="7" t="n">
        <v>0</v>
      </c>
      <c r="AB1664" s="7" t="n"/>
      <c r="AC1664" s="7" t="n">
        <v>0</v>
      </c>
      <c r="AD1664" s="7" t="n"/>
      <c r="AE1664" s="7" t="n"/>
      <c r="AF1664" s="7" t="n"/>
      <c r="AG1664" s="7" t="n"/>
      <c r="AH1664" s="7" t="n"/>
      <c r="AI1664" s="7" t="inlineStr">
        <is>
          <t>Index list entry – app detail</t>
        </is>
      </c>
      <c r="AJ1664" s="7" t="n"/>
      <c r="AK1664" s="7" t="n"/>
      <c r="AL1664" s="7" t="n"/>
      <c r="AM1664" s="7" t="n">
        <v>2009</v>
      </c>
      <c r="AN1664" s="10" t="n"/>
      <c r="AO1664" s="10" t="n"/>
      <c r="AP1664" s="10" t="n"/>
      <c r="AQ1664" s="10" t="n"/>
    </row>
    <row r="1665">
      <c r="A1665" s="7" t="inlineStr">
        <is>
          <t>b9-0269</t>
        </is>
      </c>
      <c r="B1665" s="7" t="inlineStr">
        <is>
          <t>Point</t>
        </is>
      </c>
      <c r="C1665" s="7" t="n"/>
      <c r="D1665" s="7" t="inlineStr">
        <is>
          <t>2009</t>
        </is>
      </c>
      <c r="E1665" s="7" t="inlineStr">
        <is>
          <t>2009</t>
        </is>
      </c>
      <c r="F1665" s="7" t="inlineStr">
        <is>
          <t>2009 CE</t>
        </is>
      </c>
      <c r="G1665" s="7" t="inlineStr">
        <is>
          <t>Exact</t>
        </is>
      </c>
      <c r="H1665" s="7" t="n"/>
      <c r="I1665" s="7" t="n"/>
      <c r="J1665" s="7" t="n"/>
      <c r="K1665" s="2" t="inlineStr">
        <is>
          <t>Midweek meetings combined; Family Worship evening</t>
        </is>
      </c>
      <c r="L1665" s="2" t="inlineStr">
        <is>
          <t>2009-ல் குடும்பப் படிப்பின் முக்கியத்துவத்தை வலியுறுத்துவதற்காக நம் அமைப்பு வார நாட்களில் நடக்கும் கூட்டங்களில் ஒரு மாற்றத்தைச் செய்தது.</t>
        </is>
      </c>
      <c r="M1665" s="7" t="inlineStr">
        <is>
          <t>In 2009 the Congregation Bible Study was moved to the same night as the Theocratic Ministry School and Service Meeting, freeing an evening each week for family worship.</t>
        </is>
      </c>
      <c r="N1665" s="7" t="inlineStr">
        <is>
          <t>2009-ல் குடும்பப் படிப்பின் முக்கியத்துவத்தை வலியுறுத்துவதற்காக நம் அமைப்பு வார நாட்களில் நடக்கும் கூட்டங்களில் ஒரு மாற்றத்தைச் செய்தது.</t>
        </is>
      </c>
      <c r="O1665" s="13" t="inlineStr">
        <is>
          <t>Jehovah's Witnesses</t>
        </is>
      </c>
      <c r="P1665" s="7" t="inlineStr">
        <is>
          <t>jw.organization</t>
        </is>
      </c>
      <c r="Q1665" s="7" t="n"/>
      <c r="R1665" s="7" t="n"/>
      <c r="S1665" s="7" t="n"/>
      <c r="T1665" s="7" t="n"/>
      <c r="U1665" s="7" t="n"/>
      <c r="V1665" s="7" t="n">
        <v>1</v>
      </c>
      <c r="W1665" s="7" t="inlineStr">
        <is>
          <t>Meeting Together for Worship</t>
        </is>
      </c>
      <c r="X1665" s="9" t="inlineStr">
        <is>
          <t>open</t>
        </is>
      </c>
      <c r="Y1665" s="9" t="inlineStr">
        <is>
          <t>open</t>
        </is>
      </c>
      <c r="Z1665" s="7" t="inlineStr">
        <is>
          <t>https://wol.jw.org/en/wol/d/r1/lp-e/1102014255</t>
        </is>
      </c>
      <c r="AA1665" s="7" t="n">
        <v>0</v>
      </c>
      <c r="AB1665" s="7" t="n"/>
      <c r="AC1665" s="7" t="n">
        <v>0</v>
      </c>
      <c r="AD1665" s="7" t="n"/>
      <c r="AE1665" s="7" t="n"/>
      <c r="AF1665" s="7" t="n"/>
      <c r="AG1665" s="7" t="n"/>
      <c r="AH1665" s="7" t="n"/>
      <c r="AI1665" s="7" t="n"/>
      <c r="AJ1665" s="7" t="n"/>
      <c r="AK1665" s="7" t="n"/>
      <c r="AL1665" s="7" t="n"/>
      <c r="AM1665" s="7" t="n">
        <v>2009</v>
      </c>
      <c r="AN1665" s="10" t="n"/>
      <c r="AO1665" s="10" t="n"/>
      <c r="AP1665" s="10" t="n"/>
      <c r="AQ1665" s="10" t="n"/>
    </row>
    <row r="1666">
      <c r="A1666" s="7" t="inlineStr">
        <is>
          <t>b9-0270</t>
        </is>
      </c>
      <c r="B1666" s="7" t="inlineStr">
        <is>
          <t>Point</t>
        </is>
      </c>
      <c r="C1666" s="7" t="n"/>
      <c r="D1666" s="7" t="inlineStr">
        <is>
          <t>2009, October 27</t>
        </is>
      </c>
      <c r="E1666" s="7" t="inlineStr">
        <is>
          <t>அக்டோபர் 27, 2009</t>
        </is>
      </c>
      <c r="F1666" s="7" t="inlineStr">
        <is>
          <t>2009 CE</t>
        </is>
      </c>
      <c r="G1666" s="7" t="inlineStr">
        <is>
          <t>Exact</t>
        </is>
      </c>
      <c r="H1666" s="7" t="n"/>
      <c r="I1666" s="7" t="n"/>
      <c r="J1666" s="7" t="n"/>
      <c r="K1666" s="2" t="inlineStr">
        <is>
          <t>ECHR chamber rules against Bayatyan</t>
        </is>
      </c>
      <c r="L1666" s="2" t="inlineStr">
        <is>
          <t>ஆனாலும், அக்டோபர் 27, 2009-ல் அந்த நீதிமன்றம் அவருக்கு எதிராகத் தீர்ப்பு வழங்கியது.</t>
        </is>
      </c>
      <c r="M1666" s="7" t="inlineStr">
        <is>
          <t>On October 27, 2009, the European Court of Human Rights initially ruled against Vahan Bayatyan.</t>
        </is>
      </c>
      <c r="N1666" s="7" t="inlineStr">
        <is>
          <t>ஆனாலும், அக்டோபர் 27, 2009-ல் அந்த நீதிமன்றம் அவருக்கு எதிராகத் தீர்ப்பு வழங்கியது.</t>
        </is>
      </c>
      <c r="O1666" s="13" t="inlineStr">
        <is>
          <t>Jehovah's Witnesses</t>
        </is>
      </c>
      <c r="P1666" s="7" t="inlineStr">
        <is>
          <t>jw.legal</t>
        </is>
      </c>
      <c r="Q1666" s="7" t="inlineStr">
        <is>
          <t>court_ruling</t>
        </is>
      </c>
      <c r="R1666" s="7" t="inlineStr">
        <is>
          <t>Vahan Bayatyan</t>
        </is>
      </c>
      <c r="S1666" s="7" t="inlineStr">
        <is>
          <t>Armenia</t>
        </is>
      </c>
      <c r="T1666" s="7" t="n"/>
      <c r="U1666" s="7" t="n"/>
      <c r="V1666" s="7" t="n">
        <v>1</v>
      </c>
      <c r="W1666" s="7" t="inlineStr">
        <is>
          <t>Loyally Supporting God’s Government and No Other</t>
        </is>
      </c>
      <c r="X1666" s="9" t="inlineStr">
        <is>
          <t>open</t>
        </is>
      </c>
      <c r="Y1666" s="9" t="inlineStr">
        <is>
          <t>open</t>
        </is>
      </c>
      <c r="Z1666" s="7" t="inlineStr">
        <is>
          <t>https://wol.jw.org/en/wol/d/r1/lp-e/1102014253</t>
        </is>
      </c>
      <c r="AA1666" s="7" t="n">
        <v>0</v>
      </c>
      <c r="AB1666" s="7" t="n"/>
      <c r="AC1666" s="7" t="n">
        <v>0</v>
      </c>
      <c r="AD1666" s="7" t="n"/>
      <c r="AE1666" s="7" t="n"/>
      <c r="AF1666" s="7" t="n"/>
      <c r="AG1666" s="7" t="n"/>
      <c r="AH1666" s="7" t="n"/>
      <c r="AI1666" s="7" t="n"/>
      <c r="AJ1666" s="7" t="n"/>
      <c r="AK1666" s="7" t="n"/>
      <c r="AL1666" s="7" t="n"/>
      <c r="AM1666" s="7" t="n">
        <v>2009.8199</v>
      </c>
      <c r="AN1666" s="10" t="n"/>
      <c r="AO1666" s="10" t="n"/>
      <c r="AP1666" s="10" t="n"/>
      <c r="AQ1666" s="10" t="n"/>
    </row>
    <row r="1667">
      <c r="A1667" s="7" t="inlineStr">
        <is>
          <t>b9-0271</t>
        </is>
      </c>
      <c r="B1667" s="7" t="inlineStr">
        <is>
          <t>Point</t>
        </is>
      </c>
      <c r="C1667" s="7" t="n"/>
      <c r="D1667" s="7" t="inlineStr">
        <is>
          <t>2010</t>
        </is>
      </c>
      <c r="E1667" s="7" t="n"/>
      <c r="F1667" s="7" t="inlineStr">
        <is>
          <t>2010 CE</t>
        </is>
      </c>
      <c r="G1667" s="7" t="inlineStr">
        <is>
          <t>Exact</t>
        </is>
      </c>
      <c r="H1667" s="7" t="n"/>
      <c r="I1667" s="7" t="n"/>
      <c r="J1667" s="7" t="n"/>
      <c r="K1667" s="2" t="inlineStr">
        <is>
          <t>Understanding clarified: illustration of wheat and weeds (sowing of seed) (Mt 13:24, 38)</t>
        </is>
      </c>
      <c r="L1667" s="2" t="n"/>
      <c r="M1667" s="7" t="inlineStr">
        <is>
          <t>The Watch Tower Publications Index (“Beliefs Clarified,” list by year) records a clarified understanding in 2010 concerning illustration of wheat and weeds (sowing of seed) (Mt 13:24, 38). Index references: w10 3/15 20.</t>
        </is>
      </c>
      <c r="N1667" s="7" t="n"/>
      <c r="O1667" s="13" t="inlineStr">
        <is>
          <t>Jehovah's Witnesses</t>
        </is>
      </c>
      <c r="P1667" s="7" t="inlineStr">
        <is>
          <t>jw.doctrine</t>
        </is>
      </c>
      <c r="Q1667" s="7" t="inlineStr">
        <is>
          <t>beliefs_clarified</t>
        </is>
      </c>
      <c r="R1667" s="7" t="n"/>
      <c r="S1667" s="7" t="n"/>
      <c r="T1667" s="7" t="n"/>
      <c r="U1667" s="7" t="n"/>
      <c r="V1667" s="7" t="n">
        <v>1</v>
      </c>
      <c r="W1667" s="7" t="inlineStr">
        <is>
          <t>Beliefs Clarified</t>
        </is>
      </c>
      <c r="X1667" s="9" t="inlineStr">
        <is>
          <t>open</t>
        </is>
      </c>
      <c r="Y1667" s="7" t="n"/>
      <c r="Z1667" s="7" t="inlineStr">
        <is>
          <t>https://wol.jw.org/en/wol/d/r1/lp-e/1200277174</t>
        </is>
      </c>
      <c r="AA1667" s="7" t="n">
        <v>0</v>
      </c>
      <c r="AB1667" s="7" t="n"/>
      <c r="AC1667" s="7" t="n">
        <v>0</v>
      </c>
      <c r="AD1667" s="7" t="n"/>
      <c r="AE1667" s="7" t="n"/>
      <c r="AF1667" s="7" t="n"/>
      <c r="AG1667" s="7" t="n"/>
      <c r="AH1667" s="7" t="n"/>
      <c r="AI1667" s="7" t="inlineStr">
        <is>
          <t>Index list entry – app detail</t>
        </is>
      </c>
      <c r="AJ1667" s="7" t="n"/>
      <c r="AK1667" s="7" t="n"/>
      <c r="AL1667" s="7" t="n"/>
      <c r="AM1667" s="7" t="n">
        <v>2010</v>
      </c>
      <c r="AN1667" s="10" t="n"/>
      <c r="AO1667" s="10" t="n"/>
      <c r="AP1667" s="10" t="n"/>
      <c r="AQ1667" s="10" t="n"/>
    </row>
    <row r="1668">
      <c r="A1668" s="7" t="inlineStr">
        <is>
          <t>b9-0272</t>
        </is>
      </c>
      <c r="B1668" s="7" t="inlineStr">
        <is>
          <t>Point</t>
        </is>
      </c>
      <c r="C1668" s="7" t="n"/>
      <c r="D1668" s="7" t="inlineStr">
        <is>
          <t>2010</t>
        </is>
      </c>
      <c r="E1668" s="7" t="n"/>
      <c r="F1668" s="7" t="inlineStr">
        <is>
          <t>2010 CE</t>
        </is>
      </c>
      <c r="G1668" s="7" t="inlineStr">
        <is>
          <t>Exact</t>
        </is>
      </c>
      <c r="H1668" s="7" t="n"/>
      <c r="I1668" s="7" t="n"/>
      <c r="J1668" s="7" t="n"/>
      <c r="K1668" s="2" t="inlineStr">
        <is>
          <t>Understanding clarified: illustration of wheat and weeds (wheat brought into storehouse) (Mt 13:30)</t>
        </is>
      </c>
      <c r="L1668" s="2" t="n"/>
      <c r="M1668" s="7" t="inlineStr">
        <is>
          <t>The Watch Tower Publications Index (“Beliefs Clarified,” list by year) records a clarified understanding in 2010 concerning illustration of wheat and weeds (wheat brought into storehouse) (Mt 13:30). Index references: w10 3/15 22.</t>
        </is>
      </c>
      <c r="N1668" s="7" t="n"/>
      <c r="O1668" s="13" t="inlineStr">
        <is>
          <t>Jehovah's Witnesses</t>
        </is>
      </c>
      <c r="P1668" s="7" t="inlineStr">
        <is>
          <t>jw.doctrine</t>
        </is>
      </c>
      <c r="Q1668" s="7" t="inlineStr">
        <is>
          <t>beliefs_clarified</t>
        </is>
      </c>
      <c r="R1668" s="7" t="n"/>
      <c r="S1668" s="7" t="n"/>
      <c r="T1668" s="7" t="n"/>
      <c r="U1668" s="7" t="n"/>
      <c r="V1668" s="7" t="n">
        <v>1</v>
      </c>
      <c r="W1668" s="7" t="inlineStr">
        <is>
          <t>Beliefs Clarified</t>
        </is>
      </c>
      <c r="X1668" s="9" t="inlineStr">
        <is>
          <t>open</t>
        </is>
      </c>
      <c r="Y1668" s="7" t="n"/>
      <c r="Z1668" s="7" t="inlineStr">
        <is>
          <t>https://wol.jw.org/en/wol/d/r1/lp-e/1200277174</t>
        </is>
      </c>
      <c r="AA1668" s="7" t="n">
        <v>0</v>
      </c>
      <c r="AB1668" s="7" t="n"/>
      <c r="AC1668" s="7" t="n">
        <v>0</v>
      </c>
      <c r="AD1668" s="7" t="n"/>
      <c r="AE1668" s="7" t="n"/>
      <c r="AF1668" s="7" t="n"/>
      <c r="AG1668" s="7" t="n"/>
      <c r="AH1668" s="7" t="n"/>
      <c r="AI1668" s="7" t="inlineStr">
        <is>
          <t>Index list entry – app detail</t>
        </is>
      </c>
      <c r="AJ1668" s="7" t="n"/>
      <c r="AK1668" s="7" t="n"/>
      <c r="AL1668" s="7" t="n"/>
      <c r="AM1668" s="7" t="n">
        <v>2010</v>
      </c>
      <c r="AN1668" s="10" t="n"/>
      <c r="AO1668" s="10" t="n"/>
      <c r="AP1668" s="10" t="n"/>
      <c r="AQ1668" s="10" t="n"/>
    </row>
    <row r="1669">
      <c r="A1669" s="7" t="inlineStr">
        <is>
          <t>b9-0273</t>
        </is>
      </c>
      <c r="B1669" s="7" t="inlineStr">
        <is>
          <t>Point</t>
        </is>
      </c>
      <c r="C1669" s="7" t="n"/>
      <c r="D1669" s="7" t="inlineStr">
        <is>
          <t>2010</t>
        </is>
      </c>
      <c r="E1669" s="7" t="n"/>
      <c r="F1669" s="7" t="inlineStr">
        <is>
          <t>2010 CE</t>
        </is>
      </c>
      <c r="G1669" s="7" t="inlineStr">
        <is>
          <t>Exact</t>
        </is>
      </c>
      <c r="H1669" s="7" t="n"/>
      <c r="I1669" s="7" t="n"/>
      <c r="J1669" s="7" t="n"/>
      <c r="K1669" s="2" t="inlineStr">
        <is>
          <t>2010: “Remain Close to Jehovah!” District Conventions</t>
        </is>
      </c>
      <c r="L1669" s="2" t="n"/>
      <c r="M1669" s="7" t="inlineStr">
        <is>
          <t>The Watch Tower Publications Index lists the 2010 conventions of Jehovah’s Witnesses as “Remain Close to Jehovah!” District Conventions.</t>
        </is>
      </c>
      <c r="N1669" s="7" t="n"/>
      <c r="O1669" s="13" t="inlineStr">
        <is>
          <t>Jehovah's Witnesses</t>
        </is>
      </c>
      <c r="P1669" s="7" t="inlineStr">
        <is>
          <t>jw.convention</t>
        </is>
      </c>
      <c r="Q1669" s="7" t="inlineStr">
        <is>
          <t>convention</t>
        </is>
      </c>
      <c r="R1669" s="7" t="n"/>
      <c r="S1669" s="7" t="n"/>
      <c r="T1669" s="7" t="n"/>
      <c r="U1669" s="7" t="n"/>
      <c r="V1669" s="7" t="n">
        <v>1</v>
      </c>
      <c r="W1669" s="7" t="inlineStr">
        <is>
          <t>Conventions</t>
        </is>
      </c>
      <c r="X1669" s="9" t="inlineStr">
        <is>
          <t>open</t>
        </is>
      </c>
      <c r="Y1669" s="7" t="n"/>
      <c r="Z1669" s="7" t="inlineStr">
        <is>
          <t>https://wol.jw.org/en/wol/d/r1/lp-e/1200271388</t>
        </is>
      </c>
      <c r="AA1669" s="7" t="n">
        <v>0</v>
      </c>
      <c r="AB1669" s="7" t="n"/>
      <c r="AC1669" s="7" t="n">
        <v>0</v>
      </c>
      <c r="AD1669" s="7" t="n"/>
      <c r="AE1669" s="7" t="n"/>
      <c r="AF1669" s="7" t="n"/>
      <c r="AG1669" s="7" t="n"/>
      <c r="AH1669" s="7" t="n"/>
      <c r="AI1669" s="7" t="inlineStr">
        <is>
          <t>Index list entry – app detail</t>
        </is>
      </c>
      <c r="AJ1669" s="7" t="n"/>
      <c r="AK1669" s="7" t="n"/>
      <c r="AL1669" s="7" t="n"/>
      <c r="AM1669" s="7" t="n">
        <v>2010</v>
      </c>
      <c r="AN1669" s="10" t="n"/>
      <c r="AO1669" s="10" t="n"/>
      <c r="AP1669" s="10" t="n"/>
      <c r="AQ1669" s="10" t="n"/>
    </row>
    <row r="1670">
      <c r="A1670" s="7" t="inlineStr">
        <is>
          <t>b9-0274</t>
        </is>
      </c>
      <c r="B1670" s="7" t="inlineStr">
        <is>
          <t>Point</t>
        </is>
      </c>
      <c r="C1670" s="7" t="n"/>
      <c r="D1670" s="7" t="inlineStr">
        <is>
          <t>2010</t>
        </is>
      </c>
      <c r="E1670" s="7" t="inlineStr">
        <is>
          <t>2010</t>
        </is>
      </c>
      <c r="F1670" s="7" t="inlineStr">
        <is>
          <t>2010 CE</t>
        </is>
      </c>
      <c r="G1670" s="7" t="inlineStr">
        <is>
          <t>Exact</t>
        </is>
      </c>
      <c r="H1670" s="7" t="n"/>
      <c r="I1670" s="7" t="n"/>
      <c r="J1670" s="7" t="n"/>
      <c r="K1670" s="2" t="inlineStr">
        <is>
          <t>ECHR rules on Moscow liquidation case</t>
        </is>
      </c>
      <c r="L1670" s="2" t="inlineStr">
        <is>
          <t>2010-ல் ECHR தீர்ப்பு வழங்கியது.</t>
        </is>
      </c>
      <c r="M1670" s="7" t="inlineStr">
        <is>
          <t>In 2010 the European Court of Human Rights reached its decision on the Witnesses’ application regarding the Moscow ban, ruling in their favor.</t>
        </is>
      </c>
      <c r="N1670" s="7" t="inlineStr">
        <is>
          <t>2010-ல் ECHR தீர்ப்பு வழங்கியது.</t>
        </is>
      </c>
      <c r="O1670" s="13" t="inlineStr">
        <is>
          <t>Jehovah's Witnesses</t>
        </is>
      </c>
      <c r="P1670" s="7" t="inlineStr">
        <is>
          <t>jw.legal</t>
        </is>
      </c>
      <c r="Q1670" s="7" t="inlineStr">
        <is>
          <t>court_ruling</t>
        </is>
      </c>
      <c r="R1670" s="7" t="n"/>
      <c r="S1670" s="7" t="inlineStr">
        <is>
          <t>Moscow</t>
        </is>
      </c>
      <c r="T1670" s="7" t="n"/>
      <c r="U1670" s="7" t="n"/>
      <c r="V1670" s="7" t="n">
        <v>1</v>
      </c>
      <c r="W1670" s="7" t="inlineStr">
        <is>
          <t>Fighting for Freedom to Worship</t>
        </is>
      </c>
      <c r="X1670" s="9" t="inlineStr">
        <is>
          <t>open</t>
        </is>
      </c>
      <c r="Y1670" s="9" t="inlineStr">
        <is>
          <t>open</t>
        </is>
      </c>
      <c r="Z1670" s="7" t="inlineStr">
        <is>
          <t>https://wol.jw.org/en/wol/d/r1/lp-e/1102014254</t>
        </is>
      </c>
      <c r="AA1670" s="7" t="n">
        <v>0</v>
      </c>
      <c r="AB1670" s="7" t="n"/>
      <c r="AC1670" s="7" t="n">
        <v>0</v>
      </c>
      <c r="AD1670" s="7" t="n"/>
      <c r="AE1670" s="7" t="n"/>
      <c r="AF1670" s="7" t="n"/>
      <c r="AG1670" s="7" t="n"/>
      <c r="AH1670" s="7" t="n"/>
      <c r="AI1670" s="7" t="n"/>
      <c r="AJ1670" s="7" t="n"/>
      <c r="AK1670" s="7" t="n"/>
      <c r="AL1670" s="7" t="n"/>
      <c r="AM1670" s="7" t="n">
        <v>2010</v>
      </c>
      <c r="AN1670" s="10" t="n"/>
      <c r="AO1670" s="10" t="n"/>
      <c r="AP1670" s="10" t="n"/>
      <c r="AQ1670" s="10" t="n"/>
    </row>
    <row r="1671">
      <c r="A1671" s="7" t="inlineStr">
        <is>
          <t>b9-0275</t>
        </is>
      </c>
      <c r="B1671" s="7" t="inlineStr">
        <is>
          <t>Point</t>
        </is>
      </c>
      <c r="C1671" s="7" t="n"/>
      <c r="D1671" s="7" t="inlineStr">
        <is>
          <t>2010</t>
        </is>
      </c>
      <c r="E1671" s="7" t="inlineStr">
        <is>
          <t>2010</t>
        </is>
      </c>
      <c r="F1671" s="7" t="inlineStr">
        <is>
          <t>2010 CE</t>
        </is>
      </c>
      <c r="G1671" s="7" t="inlineStr">
        <is>
          <t>Exact</t>
        </is>
      </c>
      <c r="H1671" s="7" t="n"/>
      <c r="I1671" s="7" t="n"/>
      <c r="J1671" s="7" t="n"/>
      <c r="K1671" s="2" t="inlineStr">
        <is>
          <t>Bethel buildings in Papua New Guinea dedicated</t>
        </is>
      </c>
      <c r="L1671" s="2" t="inlineStr">
        <is>
          <t>பாப்புவா-நியூ கினி பெத்தேல் 2010-ல் அர்ப்பணம் செய்யப்பட்டது</t>
        </is>
      </c>
      <c r="M1671" s="7" t="inlineStr">
        <is>
          <t>Bethel buildings in Papua New Guinea were dedicated in 2010.</t>
        </is>
      </c>
      <c r="N1671" s="7" t="inlineStr">
        <is>
          <t>பாப்புவா-நியூ கினி பெத்தேல் 2010-ல் அர்ப்பணம் செய்யப்பட்டது</t>
        </is>
      </c>
      <c r="O1671" s="13" t="inlineStr">
        <is>
          <t>Jehovah's Witnesses</t>
        </is>
      </c>
      <c r="P1671" s="7" t="inlineStr">
        <is>
          <t>jw.construction</t>
        </is>
      </c>
      <c r="Q1671" s="7" t="inlineStr">
        <is>
          <t>dedication</t>
        </is>
      </c>
      <c r="R1671" s="7" t="n"/>
      <c r="S1671" s="7" t="inlineStr">
        <is>
          <t>Papua New Guinea</t>
        </is>
      </c>
      <c r="T1671" s="7" t="n"/>
      <c r="U1671" s="7" t="n"/>
      <c r="V1671" s="7" t="n">
        <v>1</v>
      </c>
      <c r="W1671" s="7" t="inlineStr">
        <is>
          <t>Building Work That Honors Jehovah</t>
        </is>
      </c>
      <c r="X1671" s="9" t="inlineStr">
        <is>
          <t>open</t>
        </is>
      </c>
      <c r="Y1671" s="9" t="inlineStr">
        <is>
          <t>open</t>
        </is>
      </c>
      <c r="Z1671" s="7" t="inlineStr">
        <is>
          <t>https://wol.jw.org/en/wol/d/r1/lp-e/1102014258</t>
        </is>
      </c>
      <c r="AA1671" s="7" t="n">
        <v>1</v>
      </c>
      <c r="AB1671" s="9" t="inlineStr">
        <is>
          <t>open</t>
        </is>
      </c>
      <c r="AC1671" s="7" t="n">
        <v>0</v>
      </c>
      <c r="AD1671" s="7" t="n"/>
      <c r="AE1671" s="7" t="n"/>
      <c r="AF1671" s="7" t="n"/>
      <c r="AG1671" s="7" t="n"/>
      <c r="AH1671" s="7" t="n"/>
      <c r="AI1671" s="7" t="n"/>
      <c r="AJ1671" s="7" t="n"/>
      <c r="AK1671" s="7" t="n"/>
      <c r="AL1671" s="7" t="n"/>
      <c r="AM1671" s="7" t="n">
        <v>2010</v>
      </c>
      <c r="AN1671" s="10" t="n"/>
      <c r="AO1671" s="10" t="n"/>
      <c r="AP1671" s="10" t="n"/>
      <c r="AQ1671" s="10" t="n"/>
    </row>
    <row r="1672">
      <c r="A1672" s="7" t="inlineStr">
        <is>
          <t>b9-0276</t>
        </is>
      </c>
      <c r="B1672" s="7" t="inlineStr">
        <is>
          <t>Point</t>
        </is>
      </c>
      <c r="C1672" s="7" t="n"/>
      <c r="D1672" s="7" t="inlineStr">
        <is>
          <t>2010, June 9</t>
        </is>
      </c>
      <c r="E1672" s="7" t="inlineStr">
        <is>
          <t>2010 ஜூன்</t>
        </is>
      </c>
      <c r="F1672" s="7" t="inlineStr">
        <is>
          <t>2010 CE</t>
        </is>
      </c>
      <c r="G1672" s="7" t="inlineStr">
        <is>
          <t>Exact</t>
        </is>
      </c>
      <c r="H1672" s="7" t="n"/>
      <c r="I1672" s="7" t="n"/>
      <c r="J1672" s="7" t="n"/>
      <c r="K1672" s="2" t="inlineStr">
        <is>
          <t>Death of Governing Body member Theodore Jaracz</t>
        </is>
      </c>
      <c r="L1672" s="2" t="inlineStr">
        <is>
          <t>யெகோவாவின் சாட்சிகளுடைய ஆளும் குழுவின் அங்கத்தினரான இவர், 2010 ஜூன் 9-ஆம் தேதி புதன்கிழமை காலை பூமிக்குரிய சேவையை முடித்தார்.</t>
        </is>
      </c>
      <c r="M1672" s="7" t="inlineStr">
        <is>
          <t>Theodore Jaracz, a member of the Governing Body, finished his earthly course on Wednesday morning, June 9, 2010.</t>
        </is>
      </c>
      <c r="N1672" s="7" t="inlineStr">
        <is>
          <t>யெகோவாவின் சாட்சிகளுடைய ஆளும் குழுவின் அங்கத்தினரான இவர், 2010 ஜூன் 9-ஆம் தேதி புதன்கிழமை காலை பூமிக்குரிய சேவையை முடித்தார்.</t>
        </is>
      </c>
      <c r="O1672" s="13" t="inlineStr">
        <is>
          <t>Jehovah's Witnesses</t>
        </is>
      </c>
      <c r="P1672" s="7" t="inlineStr">
        <is>
          <t>jw.leadership</t>
        </is>
      </c>
      <c r="Q1672" s="7" t="inlineStr">
        <is>
          <t>death</t>
        </is>
      </c>
      <c r="R1672" s="7" t="inlineStr">
        <is>
          <t>Theodore Jaracz</t>
        </is>
      </c>
      <c r="S1672" s="7" t="n"/>
      <c r="T1672" s="7" t="n"/>
      <c r="U1672" s="7" t="n"/>
      <c r="V1672" s="7" t="n">
        <v>1</v>
      </c>
      <c r="W1672" s="7" t="inlineStr">
        <is>
          <t>‘The Things He Did Have Gone Right With Him’</t>
        </is>
      </c>
      <c r="X1672" s="9" t="inlineStr">
        <is>
          <t>open</t>
        </is>
      </c>
      <c r="Y1672" s="9" t="inlineStr">
        <is>
          <t>open</t>
        </is>
      </c>
      <c r="Z1672" s="7" t="inlineStr">
        <is>
          <t>https://wol.jw.org/en/wol/d/r1/lp-e/2010849</t>
        </is>
      </c>
      <c r="AA1672" s="7" t="n">
        <v>0</v>
      </c>
      <c r="AB1672" s="7" t="n"/>
      <c r="AC1672" s="7" t="n">
        <v>0</v>
      </c>
      <c r="AD1672" s="7" t="n"/>
      <c r="AE1672" s="7" t="n"/>
      <c r="AF1672" s="7" t="n"/>
      <c r="AG1672" s="7" t="n"/>
      <c r="AH1672" s="7" t="n"/>
      <c r="AI1672" s="7" t="inlineStr">
        <is>
          <t>Covered by span – hide on chart</t>
        </is>
      </c>
      <c r="AJ1672" s="7" t="inlineStr">
        <is>
          <t>end of Theodore Jaracz serves on the Governing Body (b12-0095)</t>
        </is>
      </c>
      <c r="AK1672" s="7" t="n"/>
      <c r="AL1672" s="7" t="n"/>
      <c r="AM1672" s="7" t="n">
        <v>2010.4382</v>
      </c>
      <c r="AN1672" s="10" t="n"/>
      <c r="AO1672" s="10" t="n"/>
      <c r="AP1672" s="10" t="n"/>
      <c r="AQ1672" s="10" t="n"/>
    </row>
    <row r="1673">
      <c r="A1673" s="7" t="inlineStr">
        <is>
          <t>b9-0277</t>
        </is>
      </c>
      <c r="B1673" s="7" t="inlineStr">
        <is>
          <t>Point</t>
        </is>
      </c>
      <c r="C1673" s="7" t="n"/>
      <c r="D1673" s="7" t="inlineStr">
        <is>
          <t>2010, December 4</t>
        </is>
      </c>
      <c r="E1673" s="7" t="inlineStr">
        <is>
          <t>டிசம்பர் 4, 2010</t>
        </is>
      </c>
      <c r="F1673" s="7" t="inlineStr">
        <is>
          <t>2010 CE</t>
        </is>
      </c>
      <c r="G1673" s="7" t="inlineStr">
        <is>
          <t>Exact</t>
        </is>
      </c>
      <c r="H1673" s="7" t="n"/>
      <c r="I1673" s="7" t="n"/>
      <c r="J1673" s="7" t="n"/>
      <c r="K1673" s="2" t="inlineStr">
        <is>
          <t>Death of Governing Body member John E. Barr</t>
        </is>
      </c>
      <c r="L1673" s="2" t="inlineStr">
        <is>
          <t>யெகோவாவின் சாட்சிகளுடைய ஆளும் குழுவின் அங்கத்தினரான இவர் டிசம்பர் 4, 2010, சனிக்கிழமை காலை தன் பூமிக்குரிய வாழ்வை முடித்தார்.</t>
        </is>
      </c>
      <c r="M1673" s="7" t="inlineStr">
        <is>
          <t>John (Jack) Barr, a member of the Governing Body, finished his earthly course on Saturday morning, December 4, 2010.</t>
        </is>
      </c>
      <c r="N1673" s="7" t="inlineStr">
        <is>
          <t>யெகோவாவின் சாட்சிகளுடைய ஆளும் குழுவின் அங்கத்தினரான இவர் டிசம்பர் 4, 2010, சனிக்கிழமை காலை தன் பூமிக்குரிய வாழ்வை முடித்தார்.</t>
        </is>
      </c>
      <c r="O1673" s="13" t="inlineStr">
        <is>
          <t>Jehovah's Witnesses</t>
        </is>
      </c>
      <c r="P1673" s="7" t="inlineStr">
        <is>
          <t>jw.leadership</t>
        </is>
      </c>
      <c r="Q1673" s="7" t="inlineStr">
        <is>
          <t>death</t>
        </is>
      </c>
      <c r="R1673" s="7" t="inlineStr">
        <is>
          <t>John E. Barr</t>
        </is>
      </c>
      <c r="S1673" s="7" t="n"/>
      <c r="T1673" s="7" t="n"/>
      <c r="U1673" s="7" t="n"/>
      <c r="V1673" s="7" t="n">
        <v>1</v>
      </c>
      <c r="W1673" s="7" t="inlineStr">
        <is>
          <t>“A Wonderful Overseer and a Dear Friend”</t>
        </is>
      </c>
      <c r="X1673" s="9" t="inlineStr">
        <is>
          <t>open</t>
        </is>
      </c>
      <c r="Y1673" s="9" t="inlineStr">
        <is>
          <t>open</t>
        </is>
      </c>
      <c r="Z1673" s="7" t="inlineStr">
        <is>
          <t>https://wol.jw.org/en/wol/d/r1/lp-e/2011369</t>
        </is>
      </c>
      <c r="AA1673" s="7" t="n">
        <v>0</v>
      </c>
      <c r="AB1673" s="7" t="n"/>
      <c r="AC1673" s="7" t="n">
        <v>0</v>
      </c>
      <c r="AD1673" s="7" t="n"/>
      <c r="AE1673" s="7" t="n"/>
      <c r="AF1673" s="7" t="n"/>
      <c r="AG1673" s="7" t="n"/>
      <c r="AH1673" s="7" t="n"/>
      <c r="AI1673" s="7" t="n"/>
      <c r="AJ1673" s="7" t="n"/>
      <c r="AK1673" s="7" t="n"/>
      <c r="AL1673" s="7" t="n"/>
      <c r="AM1673" s="7" t="n">
        <v>2010.9247</v>
      </c>
      <c r="AN1673" s="10" t="n"/>
      <c r="AO1673" s="10" t="n"/>
      <c r="AP1673" s="10" t="n"/>
      <c r="AQ1673" s="10" t="n"/>
    </row>
    <row r="1674">
      <c r="A1674" s="7" t="inlineStr">
        <is>
          <t>b9-0278</t>
        </is>
      </c>
      <c r="B1674" s="7" t="inlineStr">
        <is>
          <t>Point</t>
        </is>
      </c>
      <c r="C1674" s="7" t="n"/>
      <c r="D1674" s="7" t="inlineStr">
        <is>
          <t>2011</t>
        </is>
      </c>
      <c r="E1674" s="7" t="n"/>
      <c r="F1674" s="7" t="inlineStr">
        <is>
          <t>2011 CE</t>
        </is>
      </c>
      <c r="G1674" s="7" t="inlineStr">
        <is>
          <t>Exact</t>
        </is>
      </c>
      <c r="H1674" s="7" t="n"/>
      <c r="I1674" s="7" t="n"/>
      <c r="J1674" s="7" t="n"/>
      <c r="K1674" s="2" t="inlineStr">
        <is>
          <t>Understanding clarified: entering Jehovah’s rest (Heb. 4)</t>
        </is>
      </c>
      <c r="L1674" s="2" t="n"/>
      <c r="M1674" s="7" t="inlineStr">
        <is>
          <t>The Watch Tower Publications Index (“Beliefs Clarified,” list by year) records a clarified understanding in 2011 concerning entering Jehovah’s rest (Heb. 4). Index references: w11 7/15 24-28.</t>
        </is>
      </c>
      <c r="N1674" s="7" t="n"/>
      <c r="O1674" s="13" t="inlineStr">
        <is>
          <t>Jehovah's Witnesses</t>
        </is>
      </c>
      <c r="P1674" s="7" t="inlineStr">
        <is>
          <t>jw.doctrine</t>
        </is>
      </c>
      <c r="Q1674" s="7" t="inlineStr">
        <is>
          <t>beliefs_clarified</t>
        </is>
      </c>
      <c r="R1674" s="7" t="n"/>
      <c r="S1674" s="7" t="n"/>
      <c r="T1674" s="7" t="inlineStr">
        <is>
          <t>Heb. 4</t>
        </is>
      </c>
      <c r="U1674" s="7" t="n"/>
      <c r="V1674" s="7" t="n">
        <v>1</v>
      </c>
      <c r="W1674" s="7" t="inlineStr">
        <is>
          <t>Beliefs Clarified</t>
        </is>
      </c>
      <c r="X1674" s="9" t="inlineStr">
        <is>
          <t>open</t>
        </is>
      </c>
      <c r="Y1674" s="7" t="n"/>
      <c r="Z1674" s="7" t="inlineStr">
        <is>
          <t>https://wol.jw.org/en/wol/d/r1/lp-e/1200277174</t>
        </is>
      </c>
      <c r="AA1674" s="7" t="n">
        <v>0</v>
      </c>
      <c r="AB1674" s="7" t="n"/>
      <c r="AC1674" s="7" t="n">
        <v>0</v>
      </c>
      <c r="AD1674" s="7" t="n"/>
      <c r="AE1674" s="7" t="n"/>
      <c r="AF1674" s="7" t="n"/>
      <c r="AG1674" s="7" t="n"/>
      <c r="AH1674" s="7" t="n"/>
      <c r="AI1674" s="7" t="inlineStr">
        <is>
          <t>Index list entry – app detail</t>
        </is>
      </c>
      <c r="AJ1674" s="7" t="n"/>
      <c r="AK1674" s="7" t="n"/>
      <c r="AL1674" s="7" t="n"/>
      <c r="AM1674" s="7" t="n">
        <v>2011</v>
      </c>
      <c r="AN1674" s="10" t="n"/>
      <c r="AO1674" s="10" t="n"/>
      <c r="AP1674" s="10" t="n"/>
      <c r="AQ1674" s="10" t="n"/>
    </row>
    <row r="1675">
      <c r="A1675" s="7" t="inlineStr">
        <is>
          <t>b9-0279</t>
        </is>
      </c>
      <c r="B1675" s="7" t="inlineStr">
        <is>
          <t>Point</t>
        </is>
      </c>
      <c r="C1675" s="7" t="n"/>
      <c r="D1675" s="7" t="inlineStr">
        <is>
          <t>2011</t>
        </is>
      </c>
      <c r="E1675" s="7" t="n"/>
      <c r="F1675" s="7" t="inlineStr">
        <is>
          <t>2011 CE</t>
        </is>
      </c>
      <c r="G1675" s="7" t="inlineStr">
        <is>
          <t>Exact</t>
        </is>
      </c>
      <c r="H1675" s="7" t="n"/>
      <c r="I1675" s="7" t="n"/>
      <c r="J1675" s="7" t="n"/>
      <c r="K1675" s="2" t="inlineStr">
        <is>
          <t>Understanding clarified: Jesus “a corresponding ransom” (1 Tim. 2:6)</t>
        </is>
      </c>
      <c r="L1675" s="2" t="n"/>
      <c r="M1675" s="7" t="inlineStr">
        <is>
          <t>The Watch Tower Publications Index (“Beliefs Clarified,” list by year) records a clarified understanding in 2011 concerning Jesus “a corresponding ransom” (1 Tim. 2:6). Index references: w11 6/15 13; w11 8/15 32.</t>
        </is>
      </c>
      <c r="N1675" s="7" t="n"/>
      <c r="O1675" s="13" t="inlineStr">
        <is>
          <t>Jehovah's Witnesses</t>
        </is>
      </c>
      <c r="P1675" s="7" t="inlineStr">
        <is>
          <t>jw.doctrine</t>
        </is>
      </c>
      <c r="Q1675" s="7" t="inlineStr">
        <is>
          <t>beliefs_clarified</t>
        </is>
      </c>
      <c r="R1675" s="7" t="n"/>
      <c r="S1675" s="7" t="n"/>
      <c r="T1675" s="7" t="inlineStr">
        <is>
          <t>1 Tim. 2:6</t>
        </is>
      </c>
      <c r="U1675" s="7" t="n"/>
      <c r="V1675" s="7" t="n">
        <v>1</v>
      </c>
      <c r="W1675" s="7" t="inlineStr">
        <is>
          <t>Beliefs Clarified</t>
        </is>
      </c>
      <c r="X1675" s="9" t="inlineStr">
        <is>
          <t>open</t>
        </is>
      </c>
      <c r="Y1675" s="7" t="n"/>
      <c r="Z1675" s="7" t="inlineStr">
        <is>
          <t>https://wol.jw.org/en/wol/d/r1/lp-e/1200277174</t>
        </is>
      </c>
      <c r="AA1675" s="7" t="n">
        <v>0</v>
      </c>
      <c r="AB1675" s="7" t="n"/>
      <c r="AC1675" s="7" t="n">
        <v>0</v>
      </c>
      <c r="AD1675" s="7" t="n"/>
      <c r="AE1675" s="7" t="n"/>
      <c r="AF1675" s="7" t="n"/>
      <c r="AG1675" s="7" t="n"/>
      <c r="AH1675" s="7" t="n"/>
      <c r="AI1675" s="7" t="inlineStr">
        <is>
          <t>Index list entry – app detail</t>
        </is>
      </c>
      <c r="AJ1675" s="7" t="n"/>
      <c r="AK1675" s="7" t="n"/>
      <c r="AL1675" s="7" t="n"/>
      <c r="AM1675" s="7" t="n">
        <v>2011</v>
      </c>
      <c r="AN1675" s="10" t="n"/>
      <c r="AO1675" s="10" t="n"/>
      <c r="AP1675" s="10" t="n"/>
      <c r="AQ1675" s="10" t="n"/>
    </row>
    <row r="1676">
      <c r="A1676" s="7" t="inlineStr">
        <is>
          <t>b9-0280</t>
        </is>
      </c>
      <c r="B1676" s="7" t="inlineStr">
        <is>
          <t>Point</t>
        </is>
      </c>
      <c r="C1676" s="7" t="n"/>
      <c r="D1676" s="7" t="inlineStr">
        <is>
          <t>2011</t>
        </is>
      </c>
      <c r="E1676" s="7" t="n"/>
      <c r="F1676" s="7" t="inlineStr">
        <is>
          <t>2011 CE</t>
        </is>
      </c>
      <c r="G1676" s="7" t="inlineStr">
        <is>
          <t>Exact</t>
        </is>
      </c>
      <c r="H1676" s="7" t="n"/>
      <c r="I1676" s="7" t="n"/>
      <c r="J1676" s="7" t="n"/>
      <c r="K1676" s="2" t="inlineStr">
        <is>
          <t>Understanding clarified: olive tree (Rom. 11)</t>
        </is>
      </c>
      <c r="L1676" s="2" t="n"/>
      <c r="M1676" s="7" t="inlineStr">
        <is>
          <t>The Watch Tower Publications Index (“Beliefs Clarified,” list by year) records a clarified understanding in 2011 concerning olive tree (Rom. 11). Index references: w11 5/15 23-25.</t>
        </is>
      </c>
      <c r="N1676" s="7" t="n"/>
      <c r="O1676" s="13" t="inlineStr">
        <is>
          <t>Jehovah's Witnesses</t>
        </is>
      </c>
      <c r="P1676" s="7" t="inlineStr">
        <is>
          <t>jw.doctrine</t>
        </is>
      </c>
      <c r="Q1676" s="7" t="inlineStr">
        <is>
          <t>beliefs_clarified</t>
        </is>
      </c>
      <c r="R1676" s="7" t="n"/>
      <c r="S1676" s="7" t="n"/>
      <c r="T1676" s="7" t="inlineStr">
        <is>
          <t>Rom. 11</t>
        </is>
      </c>
      <c r="U1676" s="7" t="n"/>
      <c r="V1676" s="7" t="n">
        <v>1</v>
      </c>
      <c r="W1676" s="7" t="inlineStr">
        <is>
          <t>Beliefs Clarified</t>
        </is>
      </c>
      <c r="X1676" s="9" t="inlineStr">
        <is>
          <t>open</t>
        </is>
      </c>
      <c r="Y1676" s="7" t="n"/>
      <c r="Z1676" s="7" t="inlineStr">
        <is>
          <t>https://wol.jw.org/en/wol/d/r1/lp-e/1200277174</t>
        </is>
      </c>
      <c r="AA1676" s="7" t="n">
        <v>0</v>
      </c>
      <c r="AB1676" s="7" t="n"/>
      <c r="AC1676" s="7" t="n">
        <v>0</v>
      </c>
      <c r="AD1676" s="7" t="n"/>
      <c r="AE1676" s="7" t="n"/>
      <c r="AF1676" s="7" t="n"/>
      <c r="AG1676" s="7" t="n"/>
      <c r="AH1676" s="7" t="n"/>
      <c r="AI1676" s="7" t="inlineStr">
        <is>
          <t>Index list entry – app detail</t>
        </is>
      </c>
      <c r="AJ1676" s="7" t="n"/>
      <c r="AK1676" s="7" t="n"/>
      <c r="AL1676" s="7" t="n"/>
      <c r="AM1676" s="7" t="n">
        <v>2011</v>
      </c>
      <c r="AN1676" s="10" t="n"/>
      <c r="AO1676" s="10" t="n"/>
      <c r="AP1676" s="10" t="n"/>
      <c r="AQ1676" s="10" t="n"/>
    </row>
    <row r="1677">
      <c r="A1677" s="7" t="inlineStr">
        <is>
          <t>b9-0281</t>
        </is>
      </c>
      <c r="B1677" s="7" t="inlineStr">
        <is>
          <t>Point</t>
        </is>
      </c>
      <c r="C1677" s="7" t="n"/>
      <c r="D1677" s="7" t="inlineStr">
        <is>
          <t>2011</t>
        </is>
      </c>
      <c r="E1677" s="7" t="n"/>
      <c r="F1677" s="7" t="inlineStr">
        <is>
          <t>2011 CE</t>
        </is>
      </c>
      <c r="G1677" s="7" t="inlineStr">
        <is>
          <t>Exact</t>
        </is>
      </c>
      <c r="H1677" s="7" t="n"/>
      <c r="I1677" s="7" t="n"/>
      <c r="J1677" s="7" t="n"/>
      <c r="K1677" s="2" t="inlineStr">
        <is>
          <t>Understanding clarified: Peter in Rome</t>
        </is>
      </c>
      <c r="L1677" s="2" t="n"/>
      <c r="M1677" s="7" t="inlineStr">
        <is>
          <t>The Watch Tower Publications Index (“Beliefs Clarified,” list by year) records a clarified understanding in 2011 concerning Peter in Rome. Index references: w11 8/1 25.</t>
        </is>
      </c>
      <c r="N1677" s="7" t="n"/>
      <c r="O1677" s="13" t="inlineStr">
        <is>
          <t>Jehovah's Witnesses</t>
        </is>
      </c>
      <c r="P1677" s="7" t="inlineStr">
        <is>
          <t>jw.doctrine</t>
        </is>
      </c>
      <c r="Q1677" s="7" t="inlineStr">
        <is>
          <t>beliefs_clarified</t>
        </is>
      </c>
      <c r="R1677" s="7" t="n"/>
      <c r="S1677" s="7" t="n"/>
      <c r="T1677" s="7" t="n"/>
      <c r="U1677" s="7" t="n"/>
      <c r="V1677" s="7" t="n">
        <v>1</v>
      </c>
      <c r="W1677" s="7" t="inlineStr">
        <is>
          <t>Beliefs Clarified</t>
        </is>
      </c>
      <c r="X1677" s="9" t="inlineStr">
        <is>
          <t>open</t>
        </is>
      </c>
      <c r="Y1677" s="7" t="n"/>
      <c r="Z1677" s="7" t="inlineStr">
        <is>
          <t>https://wol.jw.org/en/wol/d/r1/lp-e/1200277174</t>
        </is>
      </c>
      <c r="AA1677" s="7" t="n">
        <v>0</v>
      </c>
      <c r="AB1677" s="7" t="n"/>
      <c r="AC1677" s="7" t="n">
        <v>0</v>
      </c>
      <c r="AD1677" s="7" t="n"/>
      <c r="AE1677" s="7" t="n"/>
      <c r="AF1677" s="7" t="n"/>
      <c r="AG1677" s="7" t="n"/>
      <c r="AH1677" s="7" t="n"/>
      <c r="AI1677" s="7" t="inlineStr">
        <is>
          <t>Index list entry – app detail</t>
        </is>
      </c>
      <c r="AJ1677" s="7" t="n"/>
      <c r="AK1677" s="7" t="n"/>
      <c r="AL1677" s="7" t="n"/>
      <c r="AM1677" s="7" t="n">
        <v>2011</v>
      </c>
      <c r="AN1677" s="10" t="n"/>
      <c r="AO1677" s="10" t="n"/>
      <c r="AP1677" s="10" t="n"/>
      <c r="AQ1677" s="10" t="n"/>
    </row>
    <row r="1678">
      <c r="A1678" s="7" t="inlineStr">
        <is>
          <t>b9-0282</t>
        </is>
      </c>
      <c r="B1678" s="7" t="inlineStr">
        <is>
          <t>Point</t>
        </is>
      </c>
      <c r="C1678" s="7" t="n"/>
      <c r="D1678" s="7" t="inlineStr">
        <is>
          <t>2011</t>
        </is>
      </c>
      <c r="E1678" s="7" t="inlineStr">
        <is>
          <t>2011</t>
        </is>
      </c>
      <c r="F1678" s="7" t="inlineStr">
        <is>
          <t>2011 CE</t>
        </is>
      </c>
      <c r="G1678" s="7" t="inlineStr">
        <is>
          <t>Exact</t>
        </is>
      </c>
      <c r="H1678" s="7" t="n"/>
      <c r="I1678" s="7" t="n"/>
      <c r="J1678" s="7" t="n"/>
      <c r="K1678" s="2" t="inlineStr">
        <is>
          <t>Relief and Kingdom Hall rebuilding after Japan tsunami</t>
        </is>
      </c>
      <c r="L1678" s="2" t="inlineStr">
        <is>
          <t>2:15, 16) உதாரணத்துக்கு, 2011-ல் ஜப்பானை சுனாமி தாக்கிய சமயத்தில், அமெரிக்காவிலுள்ள கிளை அலுவலகம் அமெரிக்காவில் இருக்கும் மண்டலக்…</t>
        </is>
      </c>
      <c r="M1678" s="7" t="inlineStr">
        <is>
          <t>After a tsunami struck Japan in 2011, the U.S. branch asked Regional Building Committees for volunteers to help rebuild Kingdom Halls there.</t>
        </is>
      </c>
      <c r="N1678" s="7" t="inlineStr">
        <is>
          <t>2:15, 16) உதாரணத்துக்கு, 2011-ல் ஜப்பானை சுனாமி தாக்கிய சமயத்தில், அமெரிக்காவிலுள்ள கிளை அலுவலகம் அமெரிக்காவில் இருக்கும் மண்டலக் கட்டுமானக் குழுக்களுக்கு ஒரு கடிதம் அனுப்பியது.</t>
        </is>
      </c>
      <c r="O1678" s="13" t="inlineStr">
        <is>
          <t>Jehovah's Witnesses</t>
        </is>
      </c>
      <c r="P1678" s="7" t="inlineStr">
        <is>
          <t>jw.relief</t>
        </is>
      </c>
      <c r="Q1678" s="7" t="n"/>
      <c r="R1678" s="7" t="n"/>
      <c r="S1678" s="7" t="inlineStr">
        <is>
          <t>Japan</t>
        </is>
      </c>
      <c r="T1678" s="7" t="n"/>
      <c r="U1678" s="7" t="n"/>
      <c r="V1678" s="7" t="n">
        <v>1</v>
      </c>
      <c r="W1678" s="7" t="inlineStr">
        <is>
          <t>The Ministry of Relief</t>
        </is>
      </c>
      <c r="X1678" s="9" t="inlineStr">
        <is>
          <t>open</t>
        </is>
      </c>
      <c r="Y1678" s="9" t="inlineStr">
        <is>
          <t>open</t>
        </is>
      </c>
      <c r="Z1678" s="7" t="inlineStr">
        <is>
          <t>https://wol.jw.org/en/wol/d/r1/lp-e/1102014262</t>
        </is>
      </c>
      <c r="AA1678" s="7" t="n">
        <v>0</v>
      </c>
      <c r="AB1678" s="7" t="n"/>
      <c r="AC1678" s="7" t="n">
        <v>0</v>
      </c>
      <c r="AD1678" s="7" t="n"/>
      <c r="AE1678" s="7" t="n"/>
      <c r="AF1678" s="7" t="n"/>
      <c r="AG1678" s="7" t="n"/>
      <c r="AH1678" s="7" t="n"/>
      <c r="AI1678" s="7" t="n"/>
      <c r="AJ1678" s="7" t="n"/>
      <c r="AK1678" s="7" t="n"/>
      <c r="AL1678" s="7" t="n"/>
      <c r="AM1678" s="7" t="n">
        <v>2011</v>
      </c>
      <c r="AN1678" s="10" t="n"/>
      <c r="AO1678" s="10" t="n"/>
      <c r="AP1678" s="10" t="n"/>
      <c r="AQ1678" s="10" t="n"/>
    </row>
    <row r="1679">
      <c r="A1679" s="7" t="inlineStr">
        <is>
          <t>b9-0283</t>
        </is>
      </c>
      <c r="B1679" s="7" t="inlineStr">
        <is>
          <t>Point</t>
        </is>
      </c>
      <c r="C1679" s="7" t="n"/>
      <c r="D1679" s="7" t="inlineStr">
        <is>
          <t>2011</t>
        </is>
      </c>
      <c r="E1679" s="7" t="n"/>
      <c r="F1679" s="7" t="inlineStr">
        <is>
          <t>2011 CE</t>
        </is>
      </c>
      <c r="G1679" s="7" t="inlineStr">
        <is>
          <t>Exact</t>
        </is>
      </c>
      <c r="H1679" s="7" t="n"/>
      <c r="I1679" s="7" t="n"/>
      <c r="J1679" s="7" t="n"/>
      <c r="K1679" s="2" t="inlineStr">
        <is>
          <t>“Let God’s Kingdom Come!” Convention; Daniel 2 image refined</t>
        </is>
      </c>
      <c r="L1679" s="2" t="n"/>
      <c r="M1679" s="7" t="inlineStr">
        <is>
          <t>At the 2011 “Let God’s Kingdom Come!” Convention, understanding of the image of Daniel 2 was refined: the feet of iron and clay represent the Anglo-American World Power.</t>
        </is>
      </c>
      <c r="N1679" s="7" t="n"/>
      <c r="O1679" s="13" t="inlineStr">
        <is>
          <t>Jehovah's Witnesses</t>
        </is>
      </c>
      <c r="P1679" s="7" t="inlineStr">
        <is>
          <t>jw.convention</t>
        </is>
      </c>
      <c r="Q1679" s="7" t="inlineStr">
        <is>
          <t>convention</t>
        </is>
      </c>
      <c r="R1679" s="7" t="n"/>
      <c r="S1679" s="7" t="n"/>
      <c r="T1679" s="7" t="n"/>
      <c r="U1679" s="7" t="n"/>
      <c r="V1679" s="7" t="n">
        <v>3</v>
      </c>
      <c r="W1679" s="7" t="inlineStr">
        <is>
          <t>Meeting Together for Worship</t>
        </is>
      </c>
      <c r="X1679" s="9" t="inlineStr">
        <is>
          <t>open</t>
        </is>
      </c>
      <c r="Y1679" s="9" t="inlineStr">
        <is>
          <t>open</t>
        </is>
      </c>
      <c r="Z1679" s="7" t="inlineStr">
        <is>
          <t>https://wol.jw.org/en/wol/d/r1/lp-e/1102014255
https://wol.jw.org/en/wol/d/r1/lp-e/1200271388
https://wol.jw.org/en/wol/d/r1/lp-e/1200277174</t>
        </is>
      </c>
      <c r="AA1679" s="7" t="n">
        <v>0</v>
      </c>
      <c r="AB1679" s="7" t="n"/>
      <c r="AC1679" s="7" t="n">
        <v>0</v>
      </c>
      <c r="AD1679" s="7" t="n"/>
      <c r="AE1679" s="7" t="n"/>
      <c r="AF1679" s="7" t="n"/>
      <c r="AG1679" s="7" t="n"/>
      <c r="AH1679" s="7" t="n"/>
      <c r="AI1679" s="7" t="n"/>
      <c r="AJ1679" s="7" t="n"/>
      <c r="AK1679" s="7" t="n"/>
      <c r="AL1679" s="7" t="n"/>
      <c r="AM1679" s="7" t="n">
        <v>2011</v>
      </c>
      <c r="AN1679" s="10" t="n"/>
      <c r="AO1679" s="10" t="n"/>
      <c r="AP1679" s="10" t="n"/>
      <c r="AQ1679" s="10" t="n"/>
    </row>
    <row r="1680">
      <c r="A1680" s="7" t="inlineStr">
        <is>
          <t>b9-0284</t>
        </is>
      </c>
      <c r="B1680" s="7" t="inlineStr">
        <is>
          <t>Point</t>
        </is>
      </c>
      <c r="C1680" s="7" t="n"/>
      <c r="D1680" s="7" t="inlineStr">
        <is>
          <t>2011</t>
        </is>
      </c>
      <c r="E1680" s="7" t="n"/>
      <c r="F1680" s="7" t="inlineStr">
        <is>
          <t>2011 CE</t>
        </is>
      </c>
      <c r="G1680" s="7" t="inlineStr">
        <is>
          <t>Exact</t>
        </is>
      </c>
      <c r="H1680" s="7" t="n"/>
      <c r="I1680" s="7" t="n"/>
      <c r="J1680" s="7" t="n"/>
      <c r="K1680" s="2" t="inlineStr">
        <is>
          <t>Metropolitan public witnessing begins</t>
        </is>
      </c>
      <c r="L1680" s="2" t="n"/>
      <c r="M1680" s="7" t="inlineStr">
        <is>
          <t>A timeline in God’s Kingdom Rules! lists 2011 as the year metropolitan witnessing began to be used.</t>
        </is>
      </c>
      <c r="N1680" s="7" t="n"/>
      <c r="O1680" s="13" t="inlineStr">
        <is>
          <t>Jehovah's Witnesses</t>
        </is>
      </c>
      <c r="P1680" s="7" t="inlineStr">
        <is>
          <t>jw.preaching</t>
        </is>
      </c>
      <c r="Q1680" s="7" t="n"/>
      <c r="R1680" s="7" t="n"/>
      <c r="S1680" s="7" t="n"/>
      <c r="T1680" s="7" t="n"/>
      <c r="U1680" s="7" t="n"/>
      <c r="V1680" s="7" t="n">
        <v>1</v>
      </c>
      <c r="W1680" s="7" t="inlineStr">
        <is>
          <t>Methods of Preaching</t>
        </is>
      </c>
      <c r="X1680" s="9" t="inlineStr">
        <is>
          <t>open</t>
        </is>
      </c>
      <c r="Y1680" s="9" t="inlineStr">
        <is>
          <t>open</t>
        </is>
      </c>
      <c r="Z1680" s="7" t="inlineStr">
        <is>
          <t>https://wol.jw.org/en/wol/d/r1/lp-e/1102014246</t>
        </is>
      </c>
      <c r="AA1680" s="7" t="n">
        <v>0</v>
      </c>
      <c r="AB1680" s="7" t="n"/>
      <c r="AC1680" s="7" t="n">
        <v>0</v>
      </c>
      <c r="AD1680" s="7" t="n"/>
      <c r="AE1680" s="7" t="n"/>
      <c r="AF1680" s="7" t="n"/>
      <c r="AG1680" s="7" t="n"/>
      <c r="AH1680" s="7" t="n"/>
      <c r="AI1680" s="7" t="n"/>
      <c r="AJ1680" s="7" t="n"/>
      <c r="AK1680" s="7" t="n"/>
      <c r="AL1680" s="7" t="n"/>
      <c r="AM1680" s="7" t="n">
        <v>2011</v>
      </c>
      <c r="AN1680" s="10" t="n"/>
      <c r="AO1680" s="10" t="n"/>
      <c r="AP1680" s="10" t="n"/>
      <c r="AQ1680" s="10" t="n"/>
    </row>
    <row r="1681">
      <c r="A1681" s="7" t="inlineStr">
        <is>
          <t>b9-0285</t>
        </is>
      </c>
      <c r="B1681" s="7" t="inlineStr">
        <is>
          <t>Point</t>
        </is>
      </c>
      <c r="C1681" s="7" t="n"/>
      <c r="D1681" s="7" t="inlineStr">
        <is>
          <t>2011, June 30</t>
        </is>
      </c>
      <c r="E1681" s="7" t="inlineStr">
        <is>
          <t>ஜூன் 30, 2011</t>
        </is>
      </c>
      <c r="F1681" s="7" t="inlineStr">
        <is>
          <t>2011 CE</t>
        </is>
      </c>
      <c r="G1681" s="7" t="inlineStr">
        <is>
          <t>Exact</t>
        </is>
      </c>
      <c r="H1681" s="7" t="n"/>
      <c r="I1681" s="7" t="n"/>
      <c r="J1681" s="7" t="n"/>
      <c r="K1681" s="2" t="inlineStr">
        <is>
          <t>ECHR judgment in French tax case</t>
        </is>
      </c>
      <c r="L1681" s="2" t="inlineStr">
        <is>
          <t>ஜூன் 30, 2011-ல் நீதிமன்றம் தீர்ப்பு வழங்கியது.</t>
        </is>
      </c>
      <c r="M1681" s="7" t="inlineStr">
        <is>
          <t>On June 30, 2011, the European Court of Human Rights handed down its judgment in the case of the French association’s unjust tax assessment, submitted in 2005.</t>
        </is>
      </c>
      <c r="N1681" s="7" t="inlineStr">
        <is>
          <t>ஜூன் 30, 2011-ல் நீதிமன்றம் தீர்ப்பு வழங்கியது.</t>
        </is>
      </c>
      <c r="O1681" s="13" t="inlineStr">
        <is>
          <t>Jehovah's Witnesses</t>
        </is>
      </c>
      <c r="P1681" s="7" t="inlineStr">
        <is>
          <t>jw.legal</t>
        </is>
      </c>
      <c r="Q1681" s="7" t="inlineStr">
        <is>
          <t>court_ruling</t>
        </is>
      </c>
      <c r="R1681" s="7" t="n"/>
      <c r="S1681" s="7" t="inlineStr">
        <is>
          <t>France</t>
        </is>
      </c>
      <c r="T1681" s="7" t="n"/>
      <c r="U1681" s="7" t="n"/>
      <c r="V1681" s="7" t="n">
        <v>1</v>
      </c>
      <c r="W1681" s="7" t="inlineStr">
        <is>
          <t>Fighting for Freedom to Worship</t>
        </is>
      </c>
      <c r="X1681" s="9" t="inlineStr">
        <is>
          <t>open</t>
        </is>
      </c>
      <c r="Y1681" s="9" t="inlineStr">
        <is>
          <t>open</t>
        </is>
      </c>
      <c r="Z1681" s="7" t="inlineStr">
        <is>
          <t>https://wol.jw.org/en/wol/d/r1/lp-e/1102014254</t>
        </is>
      </c>
      <c r="AA1681" s="7" t="n">
        <v>0</v>
      </c>
      <c r="AB1681" s="7" t="n"/>
      <c r="AC1681" s="7" t="n">
        <v>0</v>
      </c>
      <c r="AD1681" s="7" t="n"/>
      <c r="AE1681" s="7" t="n"/>
      <c r="AF1681" s="7" t="n"/>
      <c r="AG1681" s="7" t="n"/>
      <c r="AH1681" s="7" t="n"/>
      <c r="AI1681" s="7" t="n"/>
      <c r="AJ1681" s="7" t="n"/>
      <c r="AK1681" s="7" t="n"/>
      <c r="AL1681" s="7" t="n"/>
      <c r="AM1681" s="7" t="n">
        <v>2011.4946</v>
      </c>
      <c r="AN1681" s="10" t="n"/>
      <c r="AO1681" s="10" t="n"/>
      <c r="AP1681" s="10" t="n"/>
      <c r="AQ1681" s="10" t="n"/>
    </row>
    <row r="1682">
      <c r="A1682" s="7" t="inlineStr">
        <is>
          <t>b9-0286</t>
        </is>
      </c>
      <c r="B1682" s="7" t="inlineStr">
        <is>
          <t>Point</t>
        </is>
      </c>
      <c r="C1682" s="7" t="n"/>
      <c r="D1682" s="7" t="inlineStr">
        <is>
          <t>2011, July 7</t>
        </is>
      </c>
      <c r="E1682" s="7" t="inlineStr">
        <is>
          <t>ஜூலை 7, 2011</t>
        </is>
      </c>
      <c r="F1682" s="7" t="inlineStr">
        <is>
          <t>2011 CE</t>
        </is>
      </c>
      <c r="G1682" s="7" t="inlineStr">
        <is>
          <t>Exact</t>
        </is>
      </c>
      <c r="H1682" s="7" t="n"/>
      <c r="I1682" s="7" t="n"/>
      <c r="J1682" s="7" t="n"/>
      <c r="K1682" s="2" t="inlineStr">
        <is>
          <t>ECHR Grand Chamber upholds conscientious objection (Bayatyan)</t>
        </is>
      </c>
      <c r="L1682" s="2" t="inlineStr">
        <is>
          <t>ஜூலை 7, 2011-ல் அந்த நீதிமன்றம் வாஹான் பயாட்டியானுக்கு சாதகமாகத் தீர்ப்பு கொடுத்தது.</t>
        </is>
      </c>
      <c r="M1682" s="7" t="inlineStr">
        <is>
          <t>On July 7, 2011, the European Court of Human Rights ruled in favor of Vahan Bayatyan, upholding the right to conscientious objection.</t>
        </is>
      </c>
      <c r="N1682" s="7" t="inlineStr">
        <is>
          <t>ஜூலை 7, 2011-ல் அந்த நீதிமன்றம் வாஹான் பயாட்டியானுக்கு சாதகமாகத் தீர்ப்பு கொடுத்தது.</t>
        </is>
      </c>
      <c r="O1682" s="13" t="inlineStr">
        <is>
          <t>Jehovah's Witnesses</t>
        </is>
      </c>
      <c r="P1682" s="7" t="inlineStr">
        <is>
          <t>jw.legal</t>
        </is>
      </c>
      <c r="Q1682" s="7" t="inlineStr">
        <is>
          <t>court_ruling</t>
        </is>
      </c>
      <c r="R1682" s="7" t="inlineStr">
        <is>
          <t>Vahan Bayatyan</t>
        </is>
      </c>
      <c r="S1682" s="7" t="inlineStr">
        <is>
          <t>Armenia</t>
        </is>
      </c>
      <c r="T1682" s="7" t="n"/>
      <c r="U1682" s="7" t="n"/>
      <c r="V1682" s="7" t="n">
        <v>1</v>
      </c>
      <c r="W1682" s="7" t="inlineStr">
        <is>
          <t>Loyally Supporting God’s Government and No Other</t>
        </is>
      </c>
      <c r="X1682" s="9" t="inlineStr">
        <is>
          <t>open</t>
        </is>
      </c>
      <c r="Y1682" s="9" t="inlineStr">
        <is>
          <t>open</t>
        </is>
      </c>
      <c r="Z1682" s="7" t="inlineStr">
        <is>
          <t>https://wol.jw.org/en/wol/d/r1/lp-e/1102014253</t>
        </is>
      </c>
      <c r="AA1682" s="7" t="n">
        <v>0</v>
      </c>
      <c r="AB1682" s="7" t="n"/>
      <c r="AC1682" s="7" t="n">
        <v>0</v>
      </c>
      <c r="AD1682" s="7" t="n"/>
      <c r="AE1682" s="7" t="n"/>
      <c r="AF1682" s="7" t="n"/>
      <c r="AG1682" s="7" t="n"/>
      <c r="AH1682" s="7" t="n"/>
      <c r="AI1682" s="7" t="n"/>
      <c r="AJ1682" s="7" t="n"/>
      <c r="AK1682" s="7" t="n"/>
      <c r="AL1682" s="7" t="n"/>
      <c r="AM1682" s="7" t="n">
        <v>2011.5161</v>
      </c>
      <c r="AN1682" s="10" t="n"/>
      <c r="AO1682" s="10" t="n"/>
      <c r="AP1682" s="10" t="n"/>
      <c r="AQ1682" s="10" t="n"/>
    </row>
    <row r="1683">
      <c r="A1683" s="7" t="inlineStr">
        <is>
          <t>b9-0287</t>
        </is>
      </c>
      <c r="B1683" s="7" t="inlineStr">
        <is>
          <t>Point</t>
        </is>
      </c>
      <c r="C1683" s="7" t="n"/>
      <c r="D1683" s="7" t="inlineStr">
        <is>
          <t>2011, October</t>
        </is>
      </c>
      <c r="E1683" s="7" t="inlineStr">
        <is>
          <t>அக்டோபர் 2011</t>
        </is>
      </c>
      <c r="F1683" s="7" t="inlineStr">
        <is>
          <t>2011 CE</t>
        </is>
      </c>
      <c r="G1683" s="7" t="inlineStr">
        <is>
          <t>Exact</t>
        </is>
      </c>
      <c r="H1683" s="7" t="n"/>
      <c r="I1683" s="7" t="n"/>
      <c r="J1683" s="7" t="n"/>
      <c r="K1683" s="2" t="inlineStr">
        <is>
          <t>Gilead enrollment limited to special full-time servants</t>
        </is>
      </c>
      <c r="L1683" s="2" t="inlineStr">
        <is>
          <t>ஆனால், அக்டோபர் 2011-லிருந்து விசேஷ முழுநேர சேவையில் இருப்பவர்களுக்கு மட்டுமே இந்தப் பள்ளியில் கலந்துகொள்ள வாய்ப்பளிக்கப்படுகிறது.</t>
        </is>
      </c>
      <c r="M1683" s="7" t="inlineStr">
        <is>
          <t>Since October 2011, enrollment in Gilead School has been limited to those already in special full-time service, such as special pioneers, traveling overseers, Bethelites, and field missionaries.</t>
        </is>
      </c>
      <c r="N1683" s="7" t="inlineStr">
        <is>
          <t>ஆனால், அக்டோபர் 2011-லிருந்து விசேஷ முழுநேர சேவையில் இருப்பவர்களுக்கு மட்டுமே இந்தப் பள்ளியில் கலந்துகொள்ள வாய்ப்பளிக்கப்படுகிறது.</t>
        </is>
      </c>
      <c r="O1683" s="13" t="inlineStr">
        <is>
          <t>Jehovah's Witnesses</t>
        </is>
      </c>
      <c r="P1683" s="7" t="inlineStr">
        <is>
          <t>jw.education</t>
        </is>
      </c>
      <c r="Q1683" s="7" t="n"/>
      <c r="R1683" s="7" t="n"/>
      <c r="S1683" s="7" t="n"/>
      <c r="T1683" s="7" t="n"/>
      <c r="U1683" s="7" t="n"/>
      <c r="V1683" s="7" t="n">
        <v>1</v>
      </c>
      <c r="W1683" s="7" t="inlineStr">
        <is>
          <t>Training Ministers of the Kingdom</t>
        </is>
      </c>
      <c r="X1683" s="9" t="inlineStr">
        <is>
          <t>open</t>
        </is>
      </c>
      <c r="Y1683" s="9" t="inlineStr">
        <is>
          <t>open</t>
        </is>
      </c>
      <c r="Z1683" s="7" t="inlineStr">
        <is>
          <t>https://wol.jw.org/en/wol/d/r1/lp-e/1102014256</t>
        </is>
      </c>
      <c r="AA1683" s="7" t="n">
        <v>0</v>
      </c>
      <c r="AB1683" s="7" t="n"/>
      <c r="AC1683" s="7" t="n">
        <v>0</v>
      </c>
      <c r="AD1683" s="7" t="n"/>
      <c r="AE1683" s="7" t="n"/>
      <c r="AF1683" s="7" t="n"/>
      <c r="AG1683" s="7" t="n"/>
      <c r="AH1683" s="7" t="n"/>
      <c r="AI1683" s="7" t="n"/>
      <c r="AJ1683" s="7" t="n"/>
      <c r="AK1683" s="7" t="n"/>
      <c r="AL1683" s="7" t="n"/>
      <c r="AM1683" s="7" t="n">
        <v>2011.75</v>
      </c>
      <c r="AN1683" s="10" t="n"/>
      <c r="AO1683" s="10" t="n"/>
      <c r="AP1683" s="10" t="n"/>
      <c r="AQ1683" s="10" t="n"/>
    </row>
    <row r="1684">
      <c r="A1684" s="7" t="inlineStr">
        <is>
          <t>b9-0288</t>
        </is>
      </c>
      <c r="B1684" s="7" t="inlineStr">
        <is>
          <t>Point</t>
        </is>
      </c>
      <c r="C1684" s="7" t="n"/>
      <c r="D1684" s="7" t="inlineStr">
        <is>
          <t>2012</t>
        </is>
      </c>
      <c r="E1684" s="7" t="n"/>
      <c r="F1684" s="7" t="inlineStr">
        <is>
          <t>2012 CE</t>
        </is>
      </c>
      <c r="G1684" s="7" t="inlineStr">
        <is>
          <t>Exact</t>
        </is>
      </c>
      <c r="H1684" s="7" t="n"/>
      <c r="I1684" s="7" t="n"/>
      <c r="J1684" s="7" t="n"/>
      <c r="K1684" s="2" t="inlineStr">
        <is>
          <t>Understanding clarified: abhorrent forms of pornography</t>
        </is>
      </c>
      <c r="L1684" s="2" t="n"/>
      <c r="M1684" s="7" t="inlineStr">
        <is>
          <t>The Watch Tower Publications Index (“Beliefs Clarified,” list by year) records a clarified understanding in 2012 concerning abhorrent forms of pornography. Index references: w23.05 18; w12 3/15 31.</t>
        </is>
      </c>
      <c r="N1684" s="7" t="n"/>
      <c r="O1684" s="13" t="inlineStr">
        <is>
          <t>Jehovah's Witnesses</t>
        </is>
      </c>
      <c r="P1684" s="7" t="inlineStr">
        <is>
          <t>jw.doctrine</t>
        </is>
      </c>
      <c r="Q1684" s="7" t="inlineStr">
        <is>
          <t>beliefs_clarified</t>
        </is>
      </c>
      <c r="R1684" s="7" t="n"/>
      <c r="S1684" s="7" t="n"/>
      <c r="T1684" s="7" t="n"/>
      <c r="U1684" s="7" t="n"/>
      <c r="V1684" s="7" t="n">
        <v>1</v>
      </c>
      <c r="W1684" s="7" t="inlineStr">
        <is>
          <t>Beliefs Clarified</t>
        </is>
      </c>
      <c r="X1684" s="9" t="inlineStr">
        <is>
          <t>open</t>
        </is>
      </c>
      <c r="Y1684" s="7" t="n"/>
      <c r="Z1684" s="7" t="inlineStr">
        <is>
          <t>https://wol.jw.org/en/wol/d/r1/lp-e/1200277174</t>
        </is>
      </c>
      <c r="AA1684" s="7" t="n">
        <v>0</v>
      </c>
      <c r="AB1684" s="7" t="n"/>
      <c r="AC1684" s="7" t="n">
        <v>0</v>
      </c>
      <c r="AD1684" s="7" t="n"/>
      <c r="AE1684" s="7" t="n"/>
      <c r="AF1684" s="7" t="n"/>
      <c r="AG1684" s="7" t="n"/>
      <c r="AH1684" s="7" t="n"/>
      <c r="AI1684" s="7" t="inlineStr">
        <is>
          <t>Index list entry – app detail</t>
        </is>
      </c>
      <c r="AJ1684" s="7" t="n"/>
      <c r="AK1684" s="7" t="n"/>
      <c r="AL1684" s="7" t="n"/>
      <c r="AM1684" s="7" t="n">
        <v>2012</v>
      </c>
      <c r="AN1684" s="10" t="n"/>
      <c r="AO1684" s="10" t="n"/>
      <c r="AP1684" s="10" t="n"/>
      <c r="AQ1684" s="10" t="n"/>
    </row>
    <row r="1685">
      <c r="A1685" s="7" t="inlineStr">
        <is>
          <t>b9-0289</t>
        </is>
      </c>
      <c r="B1685" s="7" t="inlineStr">
        <is>
          <t>Point</t>
        </is>
      </c>
      <c r="C1685" s="7" t="n"/>
      <c r="D1685" s="7" t="inlineStr">
        <is>
          <t>2012</t>
        </is>
      </c>
      <c r="E1685" s="7" t="n"/>
      <c r="F1685" s="7" t="inlineStr">
        <is>
          <t>2012 CE</t>
        </is>
      </c>
      <c r="G1685" s="7" t="inlineStr">
        <is>
          <t>Exact</t>
        </is>
      </c>
      <c r="H1685" s="7" t="n"/>
      <c r="I1685" s="7" t="n"/>
      <c r="J1685" s="7" t="n"/>
      <c r="K1685" s="2" t="inlineStr">
        <is>
          <t>Understanding clarified: “all these kingdoms” (Dan. 2:44)</t>
        </is>
      </c>
      <c r="L1685" s="2" t="n"/>
      <c r="M1685" s="7" t="inlineStr">
        <is>
          <t>The Watch Tower Publications Index (“Beliefs Clarified,” list by year) records a clarified understanding in 2012 concerning “all these kingdoms” (Dan. 2:44). Index references: w12 6/15 17.</t>
        </is>
      </c>
      <c r="N1685" s="7" t="n"/>
      <c r="O1685" s="13" t="inlineStr">
        <is>
          <t>Jehovah's Witnesses</t>
        </is>
      </c>
      <c r="P1685" s="7" t="inlineStr">
        <is>
          <t>jw.doctrine</t>
        </is>
      </c>
      <c r="Q1685" s="7" t="inlineStr">
        <is>
          <t>beliefs_clarified</t>
        </is>
      </c>
      <c r="R1685" s="7" t="n"/>
      <c r="S1685" s="7" t="n"/>
      <c r="T1685" s="7" t="inlineStr">
        <is>
          <t>Dan. 2:44</t>
        </is>
      </c>
      <c r="U1685" s="7" t="n"/>
      <c r="V1685" s="7" t="n">
        <v>1</v>
      </c>
      <c r="W1685" s="7" t="inlineStr">
        <is>
          <t>Beliefs Clarified</t>
        </is>
      </c>
      <c r="X1685" s="9" t="inlineStr">
        <is>
          <t>open</t>
        </is>
      </c>
      <c r="Y1685" s="7" t="n"/>
      <c r="Z1685" s="7" t="inlineStr">
        <is>
          <t>https://wol.jw.org/en/wol/d/r1/lp-e/1200277174</t>
        </is>
      </c>
      <c r="AA1685" s="7" t="n">
        <v>0</v>
      </c>
      <c r="AB1685" s="7" t="n"/>
      <c r="AC1685" s="7" t="n">
        <v>0</v>
      </c>
      <c r="AD1685" s="7" t="n"/>
      <c r="AE1685" s="7" t="n"/>
      <c r="AF1685" s="7" t="n"/>
      <c r="AG1685" s="7" t="n"/>
      <c r="AH1685" s="7" t="n"/>
      <c r="AI1685" s="7" t="inlineStr">
        <is>
          <t>Index list entry – app detail</t>
        </is>
      </c>
      <c r="AJ1685" s="7" t="n"/>
      <c r="AK1685" s="7" t="n"/>
      <c r="AL1685" s="7" t="n"/>
      <c r="AM1685" s="7" t="n">
        <v>2012</v>
      </c>
      <c r="AN1685" s="10" t="n"/>
      <c r="AO1685" s="10" t="n"/>
      <c r="AP1685" s="10" t="n"/>
      <c r="AQ1685" s="10" t="n"/>
    </row>
    <row r="1686">
      <c r="A1686" s="7" t="inlineStr">
        <is>
          <t>b9-0290</t>
        </is>
      </c>
      <c r="B1686" s="7" t="inlineStr">
        <is>
          <t>Point</t>
        </is>
      </c>
      <c r="C1686" s="7" t="n"/>
      <c r="D1686" s="7" t="inlineStr">
        <is>
          <t>2012</t>
        </is>
      </c>
      <c r="E1686" s="7" t="n"/>
      <c r="F1686" s="7" t="inlineStr">
        <is>
          <t>2012 CE</t>
        </is>
      </c>
      <c r="G1686" s="7" t="inlineStr">
        <is>
          <t>Exact</t>
        </is>
      </c>
      <c r="H1686" s="7" t="n"/>
      <c r="I1686" s="7" t="n"/>
      <c r="J1686" s="7" t="n"/>
      <c r="K1686" s="2" t="inlineStr">
        <is>
          <t>Understanding clarified: Mordecai and Esther “divide spoil” in fulfillment of Genesis 49:27</t>
        </is>
      </c>
      <c r="L1686" s="2" t="n"/>
      <c r="M1686" s="7" t="inlineStr">
        <is>
          <t>The Watch Tower Publications Index (“Beliefs Clarified,” list by year) records a clarified understanding in 2012 concerning Mordecai and Esther “divide spoil” in fulfillment of Genesis 49:27. Index references: ia 142; w12 1/1 29.</t>
        </is>
      </c>
      <c r="N1686" s="7" t="n"/>
      <c r="O1686" s="13" t="inlineStr">
        <is>
          <t>Jehovah's Witnesses</t>
        </is>
      </c>
      <c r="P1686" s="7" t="inlineStr">
        <is>
          <t>jw.doctrine</t>
        </is>
      </c>
      <c r="Q1686" s="7" t="inlineStr">
        <is>
          <t>beliefs_clarified</t>
        </is>
      </c>
      <c r="R1686" s="7" t="n"/>
      <c r="S1686" s="7" t="n"/>
      <c r="T1686" s="7" t="n"/>
      <c r="U1686" s="7" t="n"/>
      <c r="V1686" s="7" t="n">
        <v>1</v>
      </c>
      <c r="W1686" s="7" t="inlineStr">
        <is>
          <t>Beliefs Clarified</t>
        </is>
      </c>
      <c r="X1686" s="9" t="inlineStr">
        <is>
          <t>open</t>
        </is>
      </c>
      <c r="Y1686" s="7" t="n"/>
      <c r="Z1686" s="7" t="inlineStr">
        <is>
          <t>https://wol.jw.org/en/wol/d/r1/lp-e/1200277174</t>
        </is>
      </c>
      <c r="AA1686" s="7" t="n">
        <v>0</v>
      </c>
      <c r="AB1686" s="7" t="n"/>
      <c r="AC1686" s="7" t="n">
        <v>0</v>
      </c>
      <c r="AD1686" s="7" t="n"/>
      <c r="AE1686" s="7" t="n"/>
      <c r="AF1686" s="7" t="n"/>
      <c r="AG1686" s="7" t="n"/>
      <c r="AH1686" s="7" t="n"/>
      <c r="AI1686" s="7" t="inlineStr">
        <is>
          <t>Index list entry – app detail</t>
        </is>
      </c>
      <c r="AJ1686" s="7" t="n"/>
      <c r="AK1686" s="7" t="n"/>
      <c r="AL1686" s="7" t="n"/>
      <c r="AM1686" s="7" t="n">
        <v>2012</v>
      </c>
      <c r="AN1686" s="10" t="n"/>
      <c r="AO1686" s="10" t="n"/>
      <c r="AP1686" s="10" t="n"/>
      <c r="AQ1686" s="10" t="n"/>
    </row>
    <row r="1687">
      <c r="A1687" s="7" t="inlineStr">
        <is>
          <t>b9-0291</t>
        </is>
      </c>
      <c r="B1687" s="7" t="inlineStr">
        <is>
          <t>Point</t>
        </is>
      </c>
      <c r="C1687" s="7" t="n"/>
      <c r="D1687" s="7" t="inlineStr">
        <is>
          <t>2012</t>
        </is>
      </c>
      <c r="E1687" s="7" t="n"/>
      <c r="F1687" s="7" t="inlineStr">
        <is>
          <t>2012 CE</t>
        </is>
      </c>
      <c r="G1687" s="7" t="inlineStr">
        <is>
          <t>Exact</t>
        </is>
      </c>
      <c r="H1687" s="7" t="n"/>
      <c r="I1687" s="7" t="n"/>
      <c r="J1687" s="7" t="n"/>
      <c r="K1687" s="2" t="inlineStr">
        <is>
          <t>Understanding clarified: ruin caused by “king fierce in countenance” (Dan. 8:23, 24)</t>
        </is>
      </c>
      <c r="L1687" s="2" t="n"/>
      <c r="M1687" s="7" t="inlineStr">
        <is>
          <t>The Watch Tower Publications Index (“Beliefs Clarified,” list by year) records a clarified understanding in 2012 concerning ruin caused by “king fierce in countenance” (Dan. 8:23, 24). Index references: w12 6/15 16.</t>
        </is>
      </c>
      <c r="N1687" s="7" t="n"/>
      <c r="O1687" s="13" t="inlineStr">
        <is>
          <t>Jehovah's Witnesses</t>
        </is>
      </c>
      <c r="P1687" s="7" t="inlineStr">
        <is>
          <t>jw.doctrine</t>
        </is>
      </c>
      <c r="Q1687" s="7" t="inlineStr">
        <is>
          <t>beliefs_clarified</t>
        </is>
      </c>
      <c r="R1687" s="7" t="n"/>
      <c r="S1687" s="7" t="n"/>
      <c r="T1687" s="7" t="inlineStr">
        <is>
          <t>Dan. 8:23, 24</t>
        </is>
      </c>
      <c r="U1687" s="7" t="n"/>
      <c r="V1687" s="7" t="n">
        <v>1</v>
      </c>
      <c r="W1687" s="7" t="inlineStr">
        <is>
          <t>Beliefs Clarified</t>
        </is>
      </c>
      <c r="X1687" s="9" t="inlineStr">
        <is>
          <t>open</t>
        </is>
      </c>
      <c r="Y1687" s="7" t="n"/>
      <c r="Z1687" s="7" t="inlineStr">
        <is>
          <t>https://wol.jw.org/en/wol/d/r1/lp-e/1200277174</t>
        </is>
      </c>
      <c r="AA1687" s="7" t="n">
        <v>0</v>
      </c>
      <c r="AB1687" s="7" t="n"/>
      <c r="AC1687" s="7" t="n">
        <v>0</v>
      </c>
      <c r="AD1687" s="7" t="n"/>
      <c r="AE1687" s="7" t="n"/>
      <c r="AF1687" s="7" t="n"/>
      <c r="AG1687" s="7" t="n"/>
      <c r="AH1687" s="7" t="n"/>
      <c r="AI1687" s="7" t="inlineStr">
        <is>
          <t>Index list entry – app detail</t>
        </is>
      </c>
      <c r="AJ1687" s="7" t="n"/>
      <c r="AK1687" s="7" t="n"/>
      <c r="AL1687" s="7" t="n"/>
      <c r="AM1687" s="7" t="n">
        <v>2012</v>
      </c>
      <c r="AN1687" s="10" t="n"/>
      <c r="AO1687" s="10" t="n"/>
      <c r="AP1687" s="10" t="n"/>
      <c r="AQ1687" s="10" t="n"/>
    </row>
    <row r="1688">
      <c r="A1688" s="7" t="inlineStr">
        <is>
          <t>b9-0292</t>
        </is>
      </c>
      <c r="B1688" s="7" t="inlineStr">
        <is>
          <t>Point</t>
        </is>
      </c>
      <c r="C1688" s="7" t="n"/>
      <c r="D1688" s="7" t="inlineStr">
        <is>
          <t>2012</t>
        </is>
      </c>
      <c r="E1688" s="7" t="n"/>
      <c r="F1688" s="7" t="inlineStr">
        <is>
          <t>2012 CE</t>
        </is>
      </c>
      <c r="G1688" s="7" t="inlineStr">
        <is>
          <t>Exact</t>
        </is>
      </c>
      <c r="H1688" s="7" t="n"/>
      <c r="I1688" s="7" t="n"/>
      <c r="J1688" s="7" t="n"/>
      <c r="K1688" s="2" t="inlineStr">
        <is>
          <t>Understanding clarified: toes of Nebuchadnezzar’s dream image (Dan. 2)</t>
        </is>
      </c>
      <c r="L1688" s="2" t="n"/>
      <c r="M1688" s="7" t="inlineStr">
        <is>
          <t>The Watch Tower Publications Index (“Beliefs Clarified,” list by year) records a clarified understanding in 2012 concerning toes of Nebuchadnezzar’s dream image (Dan. 2). Index references: w12 6/15 16.</t>
        </is>
      </c>
      <c r="N1688" s="7" t="n"/>
      <c r="O1688" s="13" t="inlineStr">
        <is>
          <t>Jehovah's Witnesses</t>
        </is>
      </c>
      <c r="P1688" s="7" t="inlineStr">
        <is>
          <t>jw.doctrine</t>
        </is>
      </c>
      <c r="Q1688" s="7" t="inlineStr">
        <is>
          <t>beliefs_clarified</t>
        </is>
      </c>
      <c r="R1688" s="7" t="n"/>
      <c r="S1688" s="7" t="n"/>
      <c r="T1688" s="7" t="inlineStr">
        <is>
          <t>Dan. 2</t>
        </is>
      </c>
      <c r="U1688" s="7" t="n"/>
      <c r="V1688" s="7" t="n">
        <v>1</v>
      </c>
      <c r="W1688" s="7" t="inlineStr">
        <is>
          <t>Beliefs Clarified</t>
        </is>
      </c>
      <c r="X1688" s="9" t="inlineStr">
        <is>
          <t>open</t>
        </is>
      </c>
      <c r="Y1688" s="7" t="n"/>
      <c r="Z1688" s="7" t="inlineStr">
        <is>
          <t>https://wol.jw.org/en/wol/d/r1/lp-e/1200277174</t>
        </is>
      </c>
      <c r="AA1688" s="7" t="n">
        <v>0</v>
      </c>
      <c r="AB1688" s="7" t="n"/>
      <c r="AC1688" s="7" t="n">
        <v>0</v>
      </c>
      <c r="AD1688" s="7" t="n"/>
      <c r="AE1688" s="7" t="n"/>
      <c r="AF1688" s="7" t="n"/>
      <c r="AG1688" s="7" t="n"/>
      <c r="AH1688" s="7" t="n"/>
      <c r="AI1688" s="7" t="inlineStr">
        <is>
          <t>Index list entry – app detail</t>
        </is>
      </c>
      <c r="AJ1688" s="7" t="n"/>
      <c r="AK1688" s="7" t="n"/>
      <c r="AL1688" s="7" t="n"/>
      <c r="AM1688" s="7" t="n">
        <v>2012</v>
      </c>
      <c r="AN1688" s="10" t="n"/>
      <c r="AO1688" s="10" t="n"/>
      <c r="AP1688" s="10" t="n"/>
      <c r="AQ1688" s="10" t="n"/>
    </row>
    <row r="1689">
      <c r="A1689" s="7" t="inlineStr">
        <is>
          <t>b9-0293</t>
        </is>
      </c>
      <c r="B1689" s="7" t="inlineStr">
        <is>
          <t>Point</t>
        </is>
      </c>
      <c r="C1689" s="7" t="n"/>
      <c r="D1689" s="7" t="inlineStr">
        <is>
          <t>2012</t>
        </is>
      </c>
      <c r="E1689" s="7" t="n"/>
      <c r="F1689" s="7" t="inlineStr">
        <is>
          <t>2012 CE</t>
        </is>
      </c>
      <c r="G1689" s="7" t="inlineStr">
        <is>
          <t>Exact</t>
        </is>
      </c>
      <c r="H1689" s="7" t="n"/>
      <c r="I1689" s="7" t="n"/>
      <c r="J1689" s="7" t="n"/>
      <c r="K1689" s="2" t="inlineStr">
        <is>
          <t>Understanding clarified: when seventh world power emerged</t>
        </is>
      </c>
      <c r="L1689" s="2" t="n"/>
      <c r="M1689" s="7" t="inlineStr">
        <is>
          <t>The Watch Tower Publications Index (“Beliefs Clarified,” list by year) records a clarified understanding in 2012 concerning when seventh world power emerged. Index references: w12 6/15 15, 19.</t>
        </is>
      </c>
      <c r="N1689" s="7" t="n"/>
      <c r="O1689" s="13" t="inlineStr">
        <is>
          <t>Jehovah's Witnesses</t>
        </is>
      </c>
      <c r="P1689" s="7" t="inlineStr">
        <is>
          <t>jw.doctrine</t>
        </is>
      </c>
      <c r="Q1689" s="7" t="inlineStr">
        <is>
          <t>beliefs_clarified</t>
        </is>
      </c>
      <c r="R1689" s="7" t="n"/>
      <c r="S1689" s="7" t="n"/>
      <c r="T1689" s="7" t="n"/>
      <c r="U1689" s="7" t="n"/>
      <c r="V1689" s="7" t="n">
        <v>1</v>
      </c>
      <c r="W1689" s="7" t="inlineStr">
        <is>
          <t>Beliefs Clarified</t>
        </is>
      </c>
      <c r="X1689" s="9" t="inlineStr">
        <is>
          <t>open</t>
        </is>
      </c>
      <c r="Y1689" s="7" t="n"/>
      <c r="Z1689" s="7" t="inlineStr">
        <is>
          <t>https://wol.jw.org/en/wol/d/r1/lp-e/1200277174</t>
        </is>
      </c>
      <c r="AA1689" s="7" t="n">
        <v>0</v>
      </c>
      <c r="AB1689" s="7" t="n"/>
      <c r="AC1689" s="7" t="n">
        <v>0</v>
      </c>
      <c r="AD1689" s="7" t="n"/>
      <c r="AE1689" s="7" t="n"/>
      <c r="AF1689" s="7" t="n"/>
      <c r="AG1689" s="7" t="n"/>
      <c r="AH1689" s="7" t="n"/>
      <c r="AI1689" s="7" t="inlineStr">
        <is>
          <t>Index list entry – app detail</t>
        </is>
      </c>
      <c r="AJ1689" s="7" t="n"/>
      <c r="AK1689" s="7" t="n"/>
      <c r="AL1689" s="7" t="n"/>
      <c r="AM1689" s="7" t="n">
        <v>2012</v>
      </c>
      <c r="AN1689" s="10" t="n"/>
      <c r="AO1689" s="10" t="n"/>
      <c r="AP1689" s="10" t="n"/>
      <c r="AQ1689" s="10" t="n"/>
    </row>
    <row r="1690">
      <c r="A1690" s="7" t="inlineStr">
        <is>
          <t>b9-0294</t>
        </is>
      </c>
      <c r="B1690" s="7" t="inlineStr">
        <is>
          <t>Point</t>
        </is>
      </c>
      <c r="C1690" s="7" t="n"/>
      <c r="D1690" s="7" t="inlineStr">
        <is>
          <t>2012</t>
        </is>
      </c>
      <c r="E1690" s="7" t="n"/>
      <c r="F1690" s="7" t="inlineStr">
        <is>
          <t>2012 CE</t>
        </is>
      </c>
      <c r="G1690" s="7" t="inlineStr">
        <is>
          <t>Exact</t>
        </is>
      </c>
      <c r="H1690" s="7" t="n"/>
      <c r="I1690" s="7" t="n"/>
      <c r="J1690" s="7" t="n"/>
      <c r="K1690" s="2" t="inlineStr">
        <is>
          <t>2012: “Safeguard Your Heart!” District Conventions</t>
        </is>
      </c>
      <c r="L1690" s="2" t="n"/>
      <c r="M1690" s="7" t="inlineStr">
        <is>
          <t>The Watch Tower Publications Index lists the 2012 conventions of Jehovah’s Witnesses as “Safeguard Your Heart!” District Conventions.</t>
        </is>
      </c>
      <c r="N1690" s="7" t="n"/>
      <c r="O1690" s="13" t="inlineStr">
        <is>
          <t>Jehovah's Witnesses</t>
        </is>
      </c>
      <c r="P1690" s="7" t="inlineStr">
        <is>
          <t>jw.convention</t>
        </is>
      </c>
      <c r="Q1690" s="7" t="inlineStr">
        <is>
          <t>convention</t>
        </is>
      </c>
      <c r="R1690" s="7" t="n"/>
      <c r="S1690" s="7" t="n"/>
      <c r="T1690" s="7" t="n"/>
      <c r="U1690" s="7" t="n"/>
      <c r="V1690" s="7" t="n">
        <v>1</v>
      </c>
      <c r="W1690" s="7" t="inlineStr">
        <is>
          <t>Conventions</t>
        </is>
      </c>
      <c r="X1690" s="9" t="inlineStr">
        <is>
          <t>open</t>
        </is>
      </c>
      <c r="Y1690" s="7" t="n"/>
      <c r="Z1690" s="7" t="inlineStr">
        <is>
          <t>https://wol.jw.org/en/wol/d/r1/lp-e/1200271388</t>
        </is>
      </c>
      <c r="AA1690" s="7" t="n">
        <v>0</v>
      </c>
      <c r="AB1690" s="7" t="n"/>
      <c r="AC1690" s="7" t="n">
        <v>0</v>
      </c>
      <c r="AD1690" s="7" t="n"/>
      <c r="AE1690" s="7" t="n"/>
      <c r="AF1690" s="7" t="n"/>
      <c r="AG1690" s="7" t="n"/>
      <c r="AH1690" s="7" t="n"/>
      <c r="AI1690" s="7" t="inlineStr">
        <is>
          <t>Index list entry – app detail</t>
        </is>
      </c>
      <c r="AJ1690" s="7" t="n"/>
      <c r="AK1690" s="7" t="n"/>
      <c r="AL1690" s="7" t="n"/>
      <c r="AM1690" s="7" t="n">
        <v>2012</v>
      </c>
      <c r="AN1690" s="10" t="n"/>
      <c r="AO1690" s="10" t="n"/>
      <c r="AP1690" s="10" t="n"/>
      <c r="AQ1690" s="10" t="n"/>
    </row>
    <row r="1691">
      <c r="A1691" s="7" t="inlineStr">
        <is>
          <t>b9-0295</t>
        </is>
      </c>
      <c r="B1691" s="7" t="inlineStr">
        <is>
          <t>Point</t>
        </is>
      </c>
      <c r="C1691" s="7" t="n"/>
      <c r="D1691" s="7" t="inlineStr">
        <is>
          <t>2012</t>
        </is>
      </c>
      <c r="E1691" s="7" t="inlineStr">
        <is>
          <t>2012</t>
        </is>
      </c>
      <c r="F1691" s="7" t="inlineStr">
        <is>
          <t>2012 CE</t>
        </is>
      </c>
      <c r="G1691" s="7" t="inlineStr">
        <is>
          <t>Exact</t>
        </is>
      </c>
      <c r="H1691" s="7" t="n"/>
      <c r="I1691" s="7" t="n"/>
      <c r="J1691" s="7" t="n"/>
      <c r="K1691" s="2" t="inlineStr">
        <is>
          <t>Kassandreia (Greece) case settled</t>
        </is>
      </c>
      <c r="L1691" s="2" t="inlineStr">
        <is>
          <t>கடைசியாக 2012-ல் யெகோவாவின் சாட்சிகளுக்குச் சாதகமாகத் தீர்ப்பு வழங்கப்பட்டது.</t>
        </is>
      </c>
      <c r="M1691" s="7" t="inlineStr">
        <is>
          <t>In 2012 a similar case in Kassandreia, Greece, was settled after a nearly 12-year legal battle.</t>
        </is>
      </c>
      <c r="N1691" s="7" t="inlineStr">
        <is>
          <t>கடைசியாக 2012-ல் யெகோவாவின் சாட்சிகளுக்குச் சாதகமாகத் தீர்ப்பு வழங்கப்பட்டது.</t>
        </is>
      </c>
      <c r="O1691" s="13" t="inlineStr">
        <is>
          <t>Jehovah's Witnesses</t>
        </is>
      </c>
      <c r="P1691" s="7" t="inlineStr">
        <is>
          <t>jw.legal</t>
        </is>
      </c>
      <c r="Q1691" s="7" t="n"/>
      <c r="R1691" s="7" t="n"/>
      <c r="S1691" s="7" t="inlineStr">
        <is>
          <t>Kassandreia, Greece</t>
        </is>
      </c>
      <c r="T1691" s="7" t="n"/>
      <c r="U1691" s="7" t="n"/>
      <c r="V1691" s="7" t="n">
        <v>1</v>
      </c>
      <c r="W1691" s="7" t="inlineStr">
        <is>
          <t>Fighting for Freedom to Worship</t>
        </is>
      </c>
      <c r="X1691" s="9" t="inlineStr">
        <is>
          <t>open</t>
        </is>
      </c>
      <c r="Y1691" s="9" t="inlineStr">
        <is>
          <t>open</t>
        </is>
      </c>
      <c r="Z1691" s="7" t="inlineStr">
        <is>
          <t>https://wol.jw.org/en/wol/d/r1/lp-e/1102014254</t>
        </is>
      </c>
      <c r="AA1691" s="7" t="n">
        <v>0</v>
      </c>
      <c r="AB1691" s="7" t="n"/>
      <c r="AC1691" s="7" t="n">
        <v>0</v>
      </c>
      <c r="AD1691" s="7" t="n"/>
      <c r="AE1691" s="7" t="n"/>
      <c r="AF1691" s="7" t="n"/>
      <c r="AG1691" s="7" t="n"/>
      <c r="AH1691" s="7" t="n"/>
      <c r="AI1691" s="7" t="n"/>
      <c r="AJ1691" s="7" t="n"/>
      <c r="AK1691" s="7" t="n"/>
      <c r="AL1691" s="7" t="n"/>
      <c r="AM1691" s="7" t="n">
        <v>2012</v>
      </c>
      <c r="AN1691" s="10" t="n"/>
      <c r="AO1691" s="10" t="n"/>
      <c r="AP1691" s="10" t="n"/>
      <c r="AQ1691" s="10" t="n"/>
    </row>
    <row r="1692">
      <c r="A1692" s="7" t="inlineStr">
        <is>
          <t>b9-0296</t>
        </is>
      </c>
      <c r="B1692" s="7" t="inlineStr">
        <is>
          <t>Point</t>
        </is>
      </c>
      <c r="C1692" s="7" t="n"/>
      <c r="D1692" s="7" t="inlineStr">
        <is>
          <t>2012, August 27</t>
        </is>
      </c>
      <c r="E1692" s="7" t="n"/>
      <c r="F1692" s="7" t="inlineStr">
        <is>
          <t>2012 CE</t>
        </is>
      </c>
      <c r="G1692" s="7" t="inlineStr">
        <is>
          <t>Exact</t>
        </is>
      </c>
      <c r="H1692" s="7" t="n"/>
      <c r="I1692" s="7" t="n"/>
      <c r="J1692" s="7" t="n"/>
      <c r="K1692" s="2" t="inlineStr">
        <is>
          <t>Redesigned jw.org released</t>
        </is>
      </c>
      <c r="L1692" s="2" t="n"/>
      <c r="M1692" s="7" t="inlineStr">
        <is>
          <t>On August 27, 2012, the redesigned jw.org website was released, providing a new way to distribute videos and digital publications.</t>
        </is>
      </c>
      <c r="N1692" s="7" t="n"/>
      <c r="O1692" s="13" t="inlineStr">
        <is>
          <t>Jehovah's Witnesses</t>
        </is>
      </c>
      <c r="P1692" s="7" t="inlineStr">
        <is>
          <t>jw.publication</t>
        </is>
      </c>
      <c r="Q1692" s="7" t="n"/>
      <c r="R1692" s="7" t="n"/>
      <c r="S1692" s="7" t="n"/>
      <c r="T1692" s="7" t="n"/>
      <c r="U1692" s="7" t="n"/>
      <c r="V1692" s="7" t="n">
        <v>1</v>
      </c>
      <c r="W1692" s="7" t="inlineStr">
        <is>
          <t>A Decade of JW.ORG—Part 1</t>
        </is>
      </c>
      <c r="X1692" s="9" t="inlineStr">
        <is>
          <t>open</t>
        </is>
      </c>
      <c r="Y1692" s="7" t="n"/>
      <c r="Z1692" s="7" t="inlineStr">
        <is>
          <t>https://www.jw.org/en/news/region/global/A-Decade-of-JWORG-Part-1/</t>
        </is>
      </c>
      <c r="AA1692" s="7" t="n">
        <v>1</v>
      </c>
      <c r="AB1692" s="9" t="inlineStr">
        <is>
          <t>open</t>
        </is>
      </c>
      <c r="AC1692" s="7" t="n">
        <v>0</v>
      </c>
      <c r="AD1692" s="7" t="n"/>
      <c r="AE1692" s="7" t="n"/>
      <c r="AF1692" s="7" t="n"/>
      <c r="AG1692" s="7" t="n"/>
      <c r="AH1692" s="7" t="n"/>
      <c r="AI1692" s="7" t="n"/>
      <c r="AJ1692" s="7" t="n"/>
      <c r="AK1692" s="7" t="n"/>
      <c r="AL1692" s="7" t="n"/>
      <c r="AM1692" s="7" t="n">
        <v>2012.6532</v>
      </c>
      <c r="AN1692" s="10" t="n"/>
      <c r="AO1692" s="10" t="n"/>
      <c r="AP1692" s="10" t="n"/>
      <c r="AQ1692" s="10" t="n"/>
    </row>
    <row r="1693">
      <c r="A1693" s="7" t="inlineStr">
        <is>
          <t>b9-0297</t>
        </is>
      </c>
      <c r="B1693" s="7" t="inlineStr">
        <is>
          <t>Point</t>
        </is>
      </c>
      <c r="C1693" s="7" t="n"/>
      <c r="D1693" s="7" t="inlineStr">
        <is>
          <t>2012, September 1</t>
        </is>
      </c>
      <c r="E1693" s="7" t="inlineStr">
        <is>
          <t>செப்டம்பர் 1, 2012</t>
        </is>
      </c>
      <c r="F1693" s="7" t="inlineStr">
        <is>
          <t>2012 CE</t>
        </is>
      </c>
      <c r="G1693" s="7" t="inlineStr">
        <is>
          <t>Exact</t>
        </is>
      </c>
      <c r="H1693" s="7" t="n"/>
      <c r="I1693" s="7" t="n"/>
      <c r="J1693" s="7" t="n"/>
      <c r="K1693" s="2" t="inlineStr">
        <is>
          <t>Mark Sanderson added to the Governing Body</t>
        </is>
      </c>
      <c r="L1693" s="2" t="inlineStr">
        <is>
          <t>செப்டம்பர் 1, 2012 முதல் சகோதரர் மார்க் சான்டர்சன் ஆளும் குழுவின் அங்கத்தினராகச் சேவை செய்ய ஆரம்பித்தார்.</t>
        </is>
      </c>
      <c r="M1693" s="7" t="inlineStr">
        <is>
          <t>Announced on September 5, 2012, Mark Sanderson began serving as a member of the Governing Body effective September 1, 2012.</t>
        </is>
      </c>
      <c r="N1693" s="7" t="inlineStr">
        <is>
          <t>செப்டம்பர் 1, 2012 முதல் சகோதரர் மார்க் சான்டர்சன் ஆளும் குழுவின் அங்கத்தினராகச் சேவை செய்ய ஆரம்பித்தார்.</t>
        </is>
      </c>
      <c r="O1693" s="13" t="inlineStr">
        <is>
          <t>Jehovah's Witnesses</t>
        </is>
      </c>
      <c r="P1693" s="7" t="inlineStr">
        <is>
          <t>jw.leadership</t>
        </is>
      </c>
      <c r="Q1693" s="7" t="inlineStr">
        <is>
          <t>appointment</t>
        </is>
      </c>
      <c r="R1693" s="7" t="inlineStr">
        <is>
          <t>Mark Sanderson</t>
        </is>
      </c>
      <c r="S1693" s="7" t="n"/>
      <c r="T1693" s="7" t="n"/>
      <c r="U1693" s="7" t="n"/>
      <c r="V1693" s="7" t="n">
        <v>1</v>
      </c>
      <c r="W1693" s="7" t="inlineStr">
        <is>
          <t>A New Member of the Governing Body</t>
        </is>
      </c>
      <c r="X1693" s="9" t="inlineStr">
        <is>
          <t>open</t>
        </is>
      </c>
      <c r="Y1693" s="9" t="inlineStr">
        <is>
          <t>open</t>
        </is>
      </c>
      <c r="Z1693" s="7" t="inlineStr">
        <is>
          <t>https://wol.jw.org/en/wol/d/r1/lp-e/2013534</t>
        </is>
      </c>
      <c r="AA1693" s="7" t="n">
        <v>0</v>
      </c>
      <c r="AB1693" s="7" t="n"/>
      <c r="AC1693" s="7" t="n">
        <v>0</v>
      </c>
      <c r="AD1693" s="7" t="n"/>
      <c r="AE1693" s="7" t="n"/>
      <c r="AF1693" s="7" t="n"/>
      <c r="AG1693" s="7" t="n"/>
      <c r="AH1693" s="7" t="n"/>
      <c r="AI1693" s="7" t="inlineStr">
        <is>
          <t>Covered by span – hide on chart</t>
        </is>
      </c>
      <c r="AJ1693" s="7" t="inlineStr">
        <is>
          <t>start of Mark Sanderson serves on the Governing Body (b12-0108)</t>
        </is>
      </c>
      <c r="AK1693" s="7" t="n"/>
      <c r="AL1693" s="7" t="n"/>
      <c r="AM1693" s="7" t="n">
        <v>2012.6667</v>
      </c>
      <c r="AN1693" s="10" t="n"/>
      <c r="AO1693" s="10" t="n"/>
      <c r="AP1693" s="10" t="n"/>
      <c r="AQ1693" s="10" t="n"/>
    </row>
    <row r="1694">
      <c r="A1694" s="7" t="inlineStr">
        <is>
          <t>b12-0108</t>
        </is>
      </c>
      <c r="B1694" s="11" t="inlineStr">
        <is>
          <t>Span</t>
        </is>
      </c>
      <c r="C1694" s="7" t="inlineStr">
        <is>
          <t>office</t>
        </is>
      </c>
      <c r="D1694" s="7" t="inlineStr">
        <is>
          <t>September 1, 2012–</t>
        </is>
      </c>
      <c r="E1694" s="7" t="n"/>
      <c r="F1694" s="7" t="inlineStr">
        <is>
          <t>2012 CE</t>
        </is>
      </c>
      <c r="G1694" s="7" t="inlineStr">
        <is>
          <t>Exact</t>
        </is>
      </c>
      <c r="H1694" s="7" t="n"/>
      <c r="I1694" s="7" t="inlineStr">
        <is>
          <t>Ongoing</t>
        </is>
      </c>
      <c r="J1694" s="7" t="n"/>
      <c r="K1694" s="2" t="inlineStr">
        <is>
          <t>Mark Sanderson serves on the Governing Body</t>
        </is>
      </c>
      <c r="L1694" s="2" t="n"/>
      <c r="M1694" s="7" t="inlineStr">
        <is>
          <t>Mark Sanderson began serving on the Governing Body effective September 1, 2012, and was still serving according to The Watchtower of October 2025.</t>
        </is>
      </c>
      <c r="N1694" s="7" t="inlineStr">
        <is>
          <t>யெகோவாவின் சாட்சிகளுடைய ஆளும் குழுவில் ஒரு புதிய அங்கத்தினர் சேர்க்கப்பட்டிருப்பதாக செப்டம்பர் 5, 2012, புதன்கிழமை காலை, அமெரிக்கா மற்றும் கனடா பெத்தேல் குடும்பத்தாருக்கு அறிவிக்கப்பட்டது.</t>
        </is>
      </c>
      <c r="O1694" s="13" t="inlineStr">
        <is>
          <t>Jehovah's Witnesses</t>
        </is>
      </c>
      <c r="P1694" s="7" t="inlineStr">
        <is>
          <t>jw.leadership</t>
        </is>
      </c>
      <c r="Q1694" s="7" t="n"/>
      <c r="R1694" s="7" t="inlineStr">
        <is>
          <t>Mark Sanderson</t>
        </is>
      </c>
      <c r="S1694" s="7" t="n"/>
      <c r="T1694" s="7" t="n"/>
      <c r="U1694" s="7" t="n"/>
      <c r="V1694" s="7" t="n">
        <v>2</v>
      </c>
      <c r="W1694" s="7" t="inlineStr">
        <is>
          <t>A New Member of the Governing Body</t>
        </is>
      </c>
      <c r="X1694" s="9" t="inlineStr">
        <is>
          <t>open</t>
        </is>
      </c>
      <c r="Y1694" s="9" t="inlineStr">
        <is>
          <t>open</t>
        </is>
      </c>
      <c r="Z1694" s="7" t="inlineStr">
        <is>
          <t>https://wol.jw.org/en/wol/d/r1/lp-e/2013534
https://wol.jw.org/en/wol/d/r1/lp-e/2025605</t>
        </is>
      </c>
      <c r="AA1694" s="7" t="n">
        <v>0</v>
      </c>
      <c r="AB1694" s="7" t="n"/>
      <c r="AC1694" s="7" t="n">
        <v>0</v>
      </c>
      <c r="AD1694" s="7" t="n"/>
      <c r="AE1694" s="7" t="n"/>
      <c r="AF1694" s="7" t="inlineStr">
        <is>
          <t>b9-0297</t>
        </is>
      </c>
      <c r="AG1694" s="7" t="n"/>
      <c r="AH1694" s="7" t="n"/>
      <c r="AI1694" s="7" t="n"/>
      <c r="AJ1694" s="7" t="n"/>
      <c r="AK1694" s="7" t="inlineStr">
        <is>
          <t>governing-body #11 (ruler)</t>
        </is>
      </c>
      <c r="AL1694" s="7" t="n"/>
      <c r="AM1694" s="7" t="n">
        <v>2012.6667</v>
      </c>
      <c r="AN1694" s="10" t="n"/>
      <c r="AO1694" s="10" t="n"/>
      <c r="AP1694" s="10" t="n"/>
      <c r="AQ1694" s="10" t="n"/>
    </row>
    <row r="1695">
      <c r="A1695" s="7" t="inlineStr">
        <is>
          <t>b15-0008</t>
        </is>
      </c>
      <c r="B1695" s="7" t="inlineStr">
        <is>
          <t>Point</t>
        </is>
      </c>
      <c r="C1695" s="7" t="n"/>
      <c r="D1695" s="7" t="inlineStr">
        <is>
          <t>2012 (Awake!, October 2012)</t>
        </is>
      </c>
      <c r="E1695" s="7" t="n"/>
      <c r="F1695" s="7" t="inlineStr">
        <is>
          <t>2012 CE</t>
        </is>
      </c>
      <c r="G1695" s="7" t="inlineStr">
        <is>
          <t>Exact</t>
        </is>
      </c>
      <c r="H1695" s="7" t="n"/>
      <c r="I1695" s="7" t="n"/>
      <c r="J1695" s="7" t="n"/>
      <c r="K1695" s="2" t="inlineStr">
        <is>
          <t>More than seven million Witnesses teach about God’s Kingdom in more than 230 lands</t>
        </is>
      </c>
      <c r="L1695" s="2" t="n"/>
      <c r="M1695" s="7" t="inlineStr">
        <is>
          <t>In its series “The Bible—A Book of Accurate Prophecy,” Awake! presents the worldwide preaching of God’s Kingdom by Jehovah’s Witnesses as the fulfillment of Matthew 24:14, reporting more than seven million Witnesses in more than 230 lands and Bible-based information in over 500 languages.</t>
        </is>
      </c>
      <c r="N1695" s="7" t="n"/>
      <c r="O1695" s="13" t="inlineStr">
        <is>
          <t>Jehovah's Witnesses</t>
        </is>
      </c>
      <c r="P1695" s="7" t="inlineStr">
        <is>
          <t>jw.preaching</t>
        </is>
      </c>
      <c r="Q1695" s="7" t="inlineStr">
        <is>
          <t>preaching_report</t>
        </is>
      </c>
      <c r="R1695" s="7" t="n"/>
      <c r="S1695" s="7" t="n"/>
      <c r="T1695" s="7" t="inlineStr">
        <is>
          <t>Matt. 24:14</t>
        </is>
      </c>
      <c r="U1695" s="7" t="inlineStr">
        <is>
          <t>மத். 24:14</t>
        </is>
      </c>
      <c r="V1695" s="7" t="n">
        <v>1</v>
      </c>
      <c r="W1695" s="7" t="inlineStr">
        <is>
          <t>The Bible—A Book of Accurate Prophecy, Part 6</t>
        </is>
      </c>
      <c r="X1695" s="9" t="inlineStr">
        <is>
          <t>open</t>
        </is>
      </c>
      <c r="Y1695" s="7" t="n"/>
      <c r="Z1695" s="7" t="inlineStr">
        <is>
          <t>https://wol.jw.org/en/wol/d/r1/lp-e/102012375</t>
        </is>
      </c>
      <c r="AA1695" s="7" t="n">
        <v>0</v>
      </c>
      <c r="AB1695" s="7" t="n"/>
      <c r="AC1695" s="7" t="n">
        <v>0</v>
      </c>
      <c r="AD1695" s="7" t="n"/>
      <c r="AE1695" s="7" t="n"/>
      <c r="AF1695" s="7" t="n"/>
      <c r="AG1695" s="7" t="n"/>
      <c r="AH1695" s="7" t="n"/>
      <c r="AI1695" s="7" t="n"/>
      <c r="AJ1695" s="7" t="n"/>
      <c r="AK1695" s="7" t="inlineStr">
        <is>
          <t>last-days-sign #19 (fulfillment)</t>
        </is>
      </c>
      <c r="AL1695" s="7" t="inlineStr">
        <is>
          <t>Date = issue date of Awake!, October 2012 (jw.org: https://www.jw.org/en/library/magazines/g201210/the-last-days/); sort_key 2012.75.</t>
        </is>
      </c>
      <c r="AM1695" s="7" t="n">
        <v>2012.75</v>
      </c>
      <c r="AN1695" s="10" t="n"/>
      <c r="AO1695" s="10" t="n"/>
      <c r="AP1695" s="10" t="n"/>
      <c r="AQ1695" s="10" t="n"/>
    </row>
    <row r="1696">
      <c r="A1696" s="7" t="inlineStr">
        <is>
          <t>b9-0298</t>
        </is>
      </c>
      <c r="B1696" s="7" t="inlineStr">
        <is>
          <t>Point</t>
        </is>
      </c>
      <c r="C1696" s="7" t="n"/>
      <c r="D1696" s="7" t="inlineStr">
        <is>
          <t>2013</t>
        </is>
      </c>
      <c r="E1696" s="7" t="n"/>
      <c r="F1696" s="7" t="inlineStr">
        <is>
          <t>2013 CE</t>
        </is>
      </c>
      <c r="G1696" s="7" t="inlineStr">
        <is>
          <t>Exact</t>
        </is>
      </c>
      <c r="H1696" s="7" t="n"/>
      <c r="I1696" s="7" t="n"/>
      <c r="J1696" s="7" t="n"/>
      <c r="K1696" s="2" t="inlineStr">
        <is>
          <t>Understanding clarified: anointed not to survive Armageddon on earth</t>
        </is>
      </c>
      <c r="L1696" s="2" t="n"/>
      <c r="M1696" s="7" t="inlineStr">
        <is>
          <t>The Watch Tower Publications Index (“Beliefs Clarified,” list by year) records a clarified understanding in 2013 concerning anointed not to survive Armageddon on earth. Index references: w24.02 2; w13 7/15 5.</t>
        </is>
      </c>
      <c r="N1696" s="7" t="n"/>
      <c r="O1696" s="13" t="inlineStr">
        <is>
          <t>Jehovah's Witnesses</t>
        </is>
      </c>
      <c r="P1696" s="7" t="inlineStr">
        <is>
          <t>jw.doctrine</t>
        </is>
      </c>
      <c r="Q1696" s="7" t="inlineStr">
        <is>
          <t>beliefs_clarified</t>
        </is>
      </c>
      <c r="R1696" s="7" t="n"/>
      <c r="S1696" s="7" t="n"/>
      <c r="T1696" s="7" t="n"/>
      <c r="U1696" s="7" t="n"/>
      <c r="V1696" s="7" t="n">
        <v>1</v>
      </c>
      <c r="W1696" s="7" t="inlineStr">
        <is>
          <t>Beliefs Clarified</t>
        </is>
      </c>
      <c r="X1696" s="9" t="inlineStr">
        <is>
          <t>open</t>
        </is>
      </c>
      <c r="Y1696" s="7" t="n"/>
      <c r="Z1696" s="7" t="inlineStr">
        <is>
          <t>https://wol.jw.org/en/wol/d/r1/lp-e/1200277174</t>
        </is>
      </c>
      <c r="AA1696" s="7" t="n">
        <v>0</v>
      </c>
      <c r="AB1696" s="7" t="n"/>
      <c r="AC1696" s="7" t="n">
        <v>0</v>
      </c>
      <c r="AD1696" s="7" t="n"/>
      <c r="AE1696" s="7" t="n"/>
      <c r="AF1696" s="7" t="n"/>
      <c r="AG1696" s="7" t="n"/>
      <c r="AH1696" s="7" t="n"/>
      <c r="AI1696" s="7" t="inlineStr">
        <is>
          <t>Index list entry – app detail</t>
        </is>
      </c>
      <c r="AJ1696" s="7" t="n"/>
      <c r="AK1696" s="7" t="n"/>
      <c r="AL1696" s="7" t="n"/>
      <c r="AM1696" s="7" t="n">
        <v>2013</v>
      </c>
      <c r="AN1696" s="10" t="n"/>
      <c r="AO1696" s="10" t="n"/>
      <c r="AP1696" s="10" t="n"/>
      <c r="AQ1696" s="10" t="n"/>
    </row>
    <row r="1697">
      <c r="A1697" s="7" t="inlineStr">
        <is>
          <t>b9-0299</t>
        </is>
      </c>
      <c r="B1697" s="7" t="inlineStr">
        <is>
          <t>Point</t>
        </is>
      </c>
      <c r="C1697" s="7" t="n"/>
      <c r="D1697" s="7" t="inlineStr">
        <is>
          <t>2013</t>
        </is>
      </c>
      <c r="E1697" s="7" t="n"/>
      <c r="F1697" s="7" t="inlineStr">
        <is>
          <t>2013 CE</t>
        </is>
      </c>
      <c r="G1697" s="7" t="inlineStr">
        <is>
          <t>Exact</t>
        </is>
      </c>
      <c r="H1697" s="7" t="n"/>
      <c r="I1697" s="7" t="n"/>
      <c r="J1697" s="7" t="n"/>
      <c r="K1697" s="2" t="inlineStr">
        <is>
          <t>Understanding clarified: ‘Assyrian invades our land’ (Mic. 5:5)</t>
        </is>
      </c>
      <c r="L1697" s="2" t="n"/>
      <c r="M1697" s="7" t="inlineStr">
        <is>
          <t>The Watch Tower Publications Index (“Beliefs Clarified,” list by year) records a clarified understanding in 2013 concerning ‘Assyrian invades our land’ (Mic. 5:5). Index references: w13 11/15 20.</t>
        </is>
      </c>
      <c r="N1697" s="7" t="n"/>
      <c r="O1697" s="13" t="inlineStr">
        <is>
          <t>Jehovah's Witnesses</t>
        </is>
      </c>
      <c r="P1697" s="7" t="inlineStr">
        <is>
          <t>jw.doctrine</t>
        </is>
      </c>
      <c r="Q1697" s="7" t="inlineStr">
        <is>
          <t>beliefs_clarified</t>
        </is>
      </c>
      <c r="R1697" s="7" t="n"/>
      <c r="S1697" s="7" t="n"/>
      <c r="T1697" s="7" t="inlineStr">
        <is>
          <t>Mic. 5:5</t>
        </is>
      </c>
      <c r="U1697" s="7" t="n"/>
      <c r="V1697" s="7" t="n">
        <v>1</v>
      </c>
      <c r="W1697" s="7" t="inlineStr">
        <is>
          <t>Beliefs Clarified</t>
        </is>
      </c>
      <c r="X1697" s="9" t="inlineStr">
        <is>
          <t>open</t>
        </is>
      </c>
      <c r="Y1697" s="7" t="n"/>
      <c r="Z1697" s="7" t="inlineStr">
        <is>
          <t>https://wol.jw.org/en/wol/d/r1/lp-e/1200277174</t>
        </is>
      </c>
      <c r="AA1697" s="7" t="n">
        <v>0</v>
      </c>
      <c r="AB1697" s="7" t="n"/>
      <c r="AC1697" s="7" t="n">
        <v>0</v>
      </c>
      <c r="AD1697" s="7" t="n"/>
      <c r="AE1697" s="7" t="n"/>
      <c r="AF1697" s="7" t="n"/>
      <c r="AG1697" s="7" t="n"/>
      <c r="AH1697" s="7" t="n"/>
      <c r="AI1697" s="7" t="inlineStr">
        <is>
          <t>Index list entry – app detail</t>
        </is>
      </c>
      <c r="AJ1697" s="7" t="n"/>
      <c r="AK1697" s="7" t="n"/>
      <c r="AL1697" s="7" t="n"/>
      <c r="AM1697" s="7" t="n">
        <v>2013</v>
      </c>
      <c r="AN1697" s="10" t="n"/>
      <c r="AO1697" s="10" t="n"/>
      <c r="AP1697" s="10" t="n"/>
      <c r="AQ1697" s="10" t="n"/>
    </row>
    <row r="1698">
      <c r="A1698" s="7" t="inlineStr">
        <is>
          <t>b9-0300</t>
        </is>
      </c>
      <c r="B1698" s="7" t="inlineStr">
        <is>
          <t>Point</t>
        </is>
      </c>
      <c r="C1698" s="7" t="n"/>
      <c r="D1698" s="7" t="inlineStr">
        <is>
          <t>2013</t>
        </is>
      </c>
      <c r="E1698" s="7" t="n"/>
      <c r="F1698" s="7" t="inlineStr">
        <is>
          <t>2013 CE</t>
        </is>
      </c>
      <c r="G1698" s="7" t="inlineStr">
        <is>
          <t>Exact</t>
        </is>
      </c>
      <c r="H1698" s="7" t="n"/>
      <c r="I1698" s="7" t="n"/>
      <c r="J1698" s="7" t="n"/>
      <c r="K1698" s="2" t="inlineStr">
        <is>
          <t>Understanding clarified: chosen ones gathered (Matt. 24:31; Mark 13:27)</t>
        </is>
      </c>
      <c r="L1698" s="2" t="n"/>
      <c r="M1698" s="7" t="inlineStr">
        <is>
          <t>The Watch Tower Publications Index (“Beliefs Clarified,” list by year) records a clarified understanding in 2013 concerning chosen ones gathered (Matt. 24:31; Mark 13:27). Index references: w13 7/15 5.</t>
        </is>
      </c>
      <c r="N1698" s="7" t="n"/>
      <c r="O1698" s="13" t="inlineStr">
        <is>
          <t>Jehovah's Witnesses</t>
        </is>
      </c>
      <c r="P1698" s="7" t="inlineStr">
        <is>
          <t>jw.doctrine</t>
        </is>
      </c>
      <c r="Q1698" s="7" t="inlineStr">
        <is>
          <t>beliefs_clarified</t>
        </is>
      </c>
      <c r="R1698" s="7" t="n"/>
      <c r="S1698" s="7" t="n"/>
      <c r="T1698" s="7" t="inlineStr">
        <is>
          <t>Matt. 24:31; Mark 13:27</t>
        </is>
      </c>
      <c r="U1698" s="7" t="n"/>
      <c r="V1698" s="7" t="n">
        <v>1</v>
      </c>
      <c r="W1698" s="7" t="inlineStr">
        <is>
          <t>Beliefs Clarified</t>
        </is>
      </c>
      <c r="X1698" s="9" t="inlineStr">
        <is>
          <t>open</t>
        </is>
      </c>
      <c r="Y1698" s="7" t="n"/>
      <c r="Z1698" s="7" t="inlineStr">
        <is>
          <t>https://wol.jw.org/en/wol/d/r1/lp-e/1200277174</t>
        </is>
      </c>
      <c r="AA1698" s="7" t="n">
        <v>0</v>
      </c>
      <c r="AB1698" s="7" t="n"/>
      <c r="AC1698" s="7" t="n">
        <v>0</v>
      </c>
      <c r="AD1698" s="7" t="n"/>
      <c r="AE1698" s="7" t="n"/>
      <c r="AF1698" s="7" t="n"/>
      <c r="AG1698" s="7" t="n"/>
      <c r="AH1698" s="7" t="n"/>
      <c r="AI1698" s="7" t="inlineStr">
        <is>
          <t>Index list entry – app detail</t>
        </is>
      </c>
      <c r="AJ1698" s="7" t="n"/>
      <c r="AK1698" s="7" t="n"/>
      <c r="AL1698" s="7" t="n"/>
      <c r="AM1698" s="7" t="n">
        <v>2013</v>
      </c>
      <c r="AN1698" s="10" t="n"/>
      <c r="AO1698" s="10" t="n"/>
      <c r="AP1698" s="10" t="n"/>
      <c r="AQ1698" s="10" t="n"/>
    </row>
    <row r="1699">
      <c r="A1699" s="7" t="inlineStr">
        <is>
          <t>b9-0301</t>
        </is>
      </c>
      <c r="B1699" s="7" t="inlineStr">
        <is>
          <t>Point</t>
        </is>
      </c>
      <c r="C1699" s="7" t="n"/>
      <c r="D1699" s="7" t="inlineStr">
        <is>
          <t>2013</t>
        </is>
      </c>
      <c r="E1699" s="7" t="n"/>
      <c r="F1699" s="7" t="inlineStr">
        <is>
          <t>2013 CE</t>
        </is>
      </c>
      <c r="G1699" s="7" t="inlineStr">
        <is>
          <t>Exact</t>
        </is>
      </c>
      <c r="H1699" s="7" t="n"/>
      <c r="I1699" s="7" t="n"/>
      <c r="J1699" s="7" t="n"/>
      <c r="K1699" s="2" t="inlineStr">
        <is>
          <t>Understanding clarified: “evil slave” (Matt. 24:48-51)</t>
        </is>
      </c>
      <c r="L1699" s="2" t="n"/>
      <c r="M1699" s="7" t="inlineStr">
        <is>
          <t>The Watch Tower Publications Index (“Beliefs Clarified,” list by year) records a clarified understanding in 2013 concerning “evil slave” (Matt. 24:48-51). Index references: w13 7/15 24.</t>
        </is>
      </c>
      <c r="N1699" s="7" t="n"/>
      <c r="O1699" s="13" t="inlineStr">
        <is>
          <t>Jehovah's Witnesses</t>
        </is>
      </c>
      <c r="P1699" s="7" t="inlineStr">
        <is>
          <t>jw.doctrine</t>
        </is>
      </c>
      <c r="Q1699" s="7" t="inlineStr">
        <is>
          <t>beliefs_clarified</t>
        </is>
      </c>
      <c r="R1699" s="7" t="n"/>
      <c r="S1699" s="7" t="n"/>
      <c r="T1699" s="7" t="inlineStr">
        <is>
          <t>Matt. 24:48-51</t>
        </is>
      </c>
      <c r="U1699" s="7" t="n"/>
      <c r="V1699" s="7" t="n">
        <v>1</v>
      </c>
      <c r="W1699" s="7" t="inlineStr">
        <is>
          <t>Beliefs Clarified</t>
        </is>
      </c>
      <c r="X1699" s="9" t="inlineStr">
        <is>
          <t>open</t>
        </is>
      </c>
      <c r="Y1699" s="7" t="n"/>
      <c r="Z1699" s="7" t="inlineStr">
        <is>
          <t>https://wol.jw.org/en/wol/d/r1/lp-e/1200277174</t>
        </is>
      </c>
      <c r="AA1699" s="7" t="n">
        <v>0</v>
      </c>
      <c r="AB1699" s="7" t="n"/>
      <c r="AC1699" s="7" t="n">
        <v>0</v>
      </c>
      <c r="AD1699" s="7" t="n"/>
      <c r="AE1699" s="7" t="n"/>
      <c r="AF1699" s="7" t="n"/>
      <c r="AG1699" s="7" t="n"/>
      <c r="AH1699" s="7" t="n"/>
      <c r="AI1699" s="7" t="inlineStr">
        <is>
          <t>Index list entry – app detail</t>
        </is>
      </c>
      <c r="AJ1699" s="7" t="n"/>
      <c r="AK1699" s="7" t="n"/>
      <c r="AL1699" s="7" t="n"/>
      <c r="AM1699" s="7" t="n">
        <v>2013</v>
      </c>
      <c r="AN1699" s="10" t="n"/>
      <c r="AO1699" s="10" t="n"/>
      <c r="AP1699" s="10" t="n"/>
      <c r="AQ1699" s="10" t="n"/>
    </row>
    <row r="1700">
      <c r="A1700" s="7" t="inlineStr">
        <is>
          <t>b9-0302</t>
        </is>
      </c>
      <c r="B1700" s="7" t="inlineStr">
        <is>
          <t>Point</t>
        </is>
      </c>
      <c r="C1700" s="7" t="n"/>
      <c r="D1700" s="7" t="inlineStr">
        <is>
          <t>2013</t>
        </is>
      </c>
      <c r="E1700" s="7" t="n"/>
      <c r="F1700" s="7" t="inlineStr">
        <is>
          <t>2013 CE</t>
        </is>
      </c>
      <c r="G1700" s="7" t="inlineStr">
        <is>
          <t>Exact</t>
        </is>
      </c>
      <c r="H1700" s="7" t="n"/>
      <c r="I1700" s="7" t="n"/>
      <c r="J1700" s="7" t="n"/>
      <c r="K1700" s="2" t="inlineStr">
        <is>
          <t>Understanding clarified: “faithful and discreet slave” (Matt. 24:45-47)</t>
        </is>
      </c>
      <c r="L1700" s="2" t="n"/>
      <c r="M1700" s="7" t="inlineStr">
        <is>
          <t>The Watch Tower Publications Index (“Beliefs Clarified,” list by year) records a clarified understanding in 2013 concerning “faithful and discreet slave” (Matt. 24:45-47). Index references: w17.02 26; w15 3/15 8-9; w13 7/15 8, 20-25.</t>
        </is>
      </c>
      <c r="N1700" s="7" t="n"/>
      <c r="O1700" s="13" t="inlineStr">
        <is>
          <t>Jehovah's Witnesses</t>
        </is>
      </c>
      <c r="P1700" s="7" t="inlineStr">
        <is>
          <t>jw.doctrine</t>
        </is>
      </c>
      <c r="Q1700" s="7" t="inlineStr">
        <is>
          <t>beliefs_clarified</t>
        </is>
      </c>
      <c r="R1700" s="7" t="n"/>
      <c r="S1700" s="7" t="n"/>
      <c r="T1700" s="7" t="inlineStr">
        <is>
          <t>Matt. 24:45-47</t>
        </is>
      </c>
      <c r="U1700" s="7" t="n"/>
      <c r="V1700" s="7" t="n">
        <v>2</v>
      </c>
      <c r="W1700" s="7" t="inlineStr">
        <is>
          <t>Beliefs Clarified</t>
        </is>
      </c>
      <c r="X1700" s="9" t="inlineStr">
        <is>
          <t>open</t>
        </is>
      </c>
      <c r="Y1700" s="7" t="n"/>
      <c r="Z1700" s="7" t="inlineStr">
        <is>
          <t>https://wol.jw.org/en/wol/d/r1/lp-e/1200277174
https://wol.jw.org/en/wol/d/r1/lp-e/2013533</t>
        </is>
      </c>
      <c r="AA1700" s="7" t="n">
        <v>0</v>
      </c>
      <c r="AB1700" s="7" t="n"/>
      <c r="AC1700" s="7" t="n">
        <v>0</v>
      </c>
      <c r="AD1700" s="7" t="n"/>
      <c r="AE1700" s="7" t="n"/>
      <c r="AF1700" s="7" t="n"/>
      <c r="AG1700" s="7" t="n"/>
      <c r="AH1700" s="7" t="n"/>
      <c r="AI1700" s="7" t="n"/>
      <c r="AJ1700" s="7" t="n"/>
      <c r="AK1700" s="7" t="n"/>
      <c r="AL1700" s="7" t="n"/>
      <c r="AM1700" s="7" t="n">
        <v>2013</v>
      </c>
      <c r="AN1700" s="10" t="n"/>
      <c r="AO1700" s="10" t="n"/>
      <c r="AP1700" s="10" t="n"/>
      <c r="AQ1700" s="10" t="n"/>
    </row>
    <row r="1701">
      <c r="A1701" s="7" t="inlineStr">
        <is>
          <t>b9-0303</t>
        </is>
      </c>
      <c r="B1701" s="7" t="inlineStr">
        <is>
          <t>Point</t>
        </is>
      </c>
      <c r="C1701" s="7" t="n"/>
      <c r="D1701" s="7" t="inlineStr">
        <is>
          <t>2013</t>
        </is>
      </c>
      <c r="E1701" s="7" t="n"/>
      <c r="F1701" s="7" t="inlineStr">
        <is>
          <t>2013 CE</t>
        </is>
      </c>
      <c r="G1701" s="7" t="inlineStr">
        <is>
          <t>Exact</t>
        </is>
      </c>
      <c r="H1701" s="7" t="n"/>
      <c r="I1701" s="7" t="n"/>
      <c r="J1701" s="7" t="n"/>
      <c r="K1701" s="2" t="inlineStr">
        <is>
          <t>Understanding clarified: great tribulation</t>
        </is>
      </c>
      <c r="L1701" s="2" t="n"/>
      <c r="M1701" s="7" t="inlineStr">
        <is>
          <t>The Watch Tower Publications Index (“Beliefs Clarified,” list by year) records a clarified understanding in 2013 concerning great tribulation. Index references: w13 7/15 3-8.</t>
        </is>
      </c>
      <c r="N1701" s="7" t="n"/>
      <c r="O1701" s="13" t="inlineStr">
        <is>
          <t>Jehovah's Witnesses</t>
        </is>
      </c>
      <c r="P1701" s="7" t="inlineStr">
        <is>
          <t>jw.doctrine</t>
        </is>
      </c>
      <c r="Q1701" s="7" t="inlineStr">
        <is>
          <t>beliefs_clarified</t>
        </is>
      </c>
      <c r="R1701" s="7" t="n"/>
      <c r="S1701" s="7" t="n"/>
      <c r="T1701" s="7" t="n"/>
      <c r="U1701" s="7" t="n"/>
      <c r="V1701" s="7" t="n">
        <v>1</v>
      </c>
      <c r="W1701" s="7" t="inlineStr">
        <is>
          <t>Beliefs Clarified</t>
        </is>
      </c>
      <c r="X1701" s="9" t="inlineStr">
        <is>
          <t>open</t>
        </is>
      </c>
      <c r="Y1701" s="7" t="n"/>
      <c r="Z1701" s="7" t="inlineStr">
        <is>
          <t>https://wol.jw.org/en/wol/d/r1/lp-e/1200277174</t>
        </is>
      </c>
      <c r="AA1701" s="7" t="n">
        <v>0</v>
      </c>
      <c r="AB1701" s="7" t="n"/>
      <c r="AC1701" s="7" t="n">
        <v>0</v>
      </c>
      <c r="AD1701" s="7" t="n"/>
      <c r="AE1701" s="7" t="n"/>
      <c r="AF1701" s="7" t="n"/>
      <c r="AG1701" s="7" t="n"/>
      <c r="AH1701" s="7" t="n"/>
      <c r="AI1701" s="7" t="inlineStr">
        <is>
          <t>Index list entry – app detail</t>
        </is>
      </c>
      <c r="AJ1701" s="7" t="n"/>
      <c r="AK1701" s="7" t="n"/>
      <c r="AL1701" s="7" t="n"/>
      <c r="AM1701" s="7" t="n">
        <v>2013</v>
      </c>
      <c r="AN1701" s="10" t="n"/>
      <c r="AO1701" s="10" t="n"/>
      <c r="AP1701" s="10" t="n"/>
      <c r="AQ1701" s="10" t="n"/>
    </row>
    <row r="1702">
      <c r="A1702" s="7" t="inlineStr">
        <is>
          <t>b9-0304</t>
        </is>
      </c>
      <c r="B1702" s="7" t="inlineStr">
        <is>
          <t>Point</t>
        </is>
      </c>
      <c r="C1702" s="7" t="n"/>
      <c r="D1702" s="7" t="inlineStr">
        <is>
          <t>2013</t>
        </is>
      </c>
      <c r="E1702" s="7" t="n"/>
      <c r="F1702" s="7" t="inlineStr">
        <is>
          <t>2013 CE</t>
        </is>
      </c>
      <c r="G1702" s="7" t="inlineStr">
        <is>
          <t>Exact</t>
        </is>
      </c>
      <c r="H1702" s="7" t="n"/>
      <c r="I1702" s="7" t="n"/>
      <c r="J1702" s="7" t="n"/>
      <c r="K1702" s="2" t="inlineStr">
        <is>
          <t>Understanding clarified: illustration of wheat and weeds (Matt. 13)</t>
        </is>
      </c>
      <c r="L1702" s="2" t="n"/>
      <c r="M1702" s="7" t="inlineStr">
        <is>
          <t>The Watch Tower Publications Index (“Beliefs Clarified,” list by year) records a clarified understanding in 2013 concerning illustration of wheat and weeds (Matt. 13). Index references: w13 7/15 13-14.</t>
        </is>
      </c>
      <c r="N1702" s="7" t="n"/>
      <c r="O1702" s="13" t="inlineStr">
        <is>
          <t>Jehovah's Witnesses</t>
        </is>
      </c>
      <c r="P1702" s="7" t="inlineStr">
        <is>
          <t>jw.doctrine</t>
        </is>
      </c>
      <c r="Q1702" s="7" t="inlineStr">
        <is>
          <t>beliefs_clarified</t>
        </is>
      </c>
      <c r="R1702" s="7" t="n"/>
      <c r="S1702" s="7" t="n"/>
      <c r="T1702" s="7" t="inlineStr">
        <is>
          <t>Matt. 13</t>
        </is>
      </c>
      <c r="U1702" s="7" t="n"/>
      <c r="V1702" s="7" t="n">
        <v>1</v>
      </c>
      <c r="W1702" s="7" t="inlineStr">
        <is>
          <t>Beliefs Clarified</t>
        </is>
      </c>
      <c r="X1702" s="9" t="inlineStr">
        <is>
          <t>open</t>
        </is>
      </c>
      <c r="Y1702" s="7" t="n"/>
      <c r="Z1702" s="7" t="inlineStr">
        <is>
          <t>https://wol.jw.org/en/wol/d/r1/lp-e/1200277174</t>
        </is>
      </c>
      <c r="AA1702" s="7" t="n">
        <v>0</v>
      </c>
      <c r="AB1702" s="7" t="n"/>
      <c r="AC1702" s="7" t="n">
        <v>0</v>
      </c>
      <c r="AD1702" s="7" t="n"/>
      <c r="AE1702" s="7" t="n"/>
      <c r="AF1702" s="7" t="n"/>
      <c r="AG1702" s="7" t="n"/>
      <c r="AH1702" s="7" t="n"/>
      <c r="AI1702" s="7" t="inlineStr">
        <is>
          <t>Index list entry – app detail</t>
        </is>
      </c>
      <c r="AJ1702" s="7" t="n"/>
      <c r="AK1702" s="7" t="n"/>
      <c r="AL1702" s="7" t="n"/>
      <c r="AM1702" s="7" t="n">
        <v>2013</v>
      </c>
      <c r="AN1702" s="10" t="n"/>
      <c r="AO1702" s="10" t="n"/>
      <c r="AP1702" s="10" t="n"/>
      <c r="AQ1702" s="10" t="n"/>
    </row>
    <row r="1703">
      <c r="A1703" s="7" t="inlineStr">
        <is>
          <t>b9-0305</t>
        </is>
      </c>
      <c r="B1703" s="7" t="inlineStr">
        <is>
          <t>Point</t>
        </is>
      </c>
      <c r="C1703" s="7" t="n"/>
      <c r="D1703" s="7" t="inlineStr">
        <is>
          <t>2013</t>
        </is>
      </c>
      <c r="E1703" s="7" t="n"/>
      <c r="F1703" s="7" t="inlineStr">
        <is>
          <t>2013 CE</t>
        </is>
      </c>
      <c r="G1703" s="7" t="inlineStr">
        <is>
          <t>Exact</t>
        </is>
      </c>
      <c r="H1703" s="7" t="n"/>
      <c r="I1703" s="7" t="n"/>
      <c r="J1703" s="7" t="n"/>
      <c r="K1703" s="2" t="inlineStr">
        <is>
          <t>Understanding clarified: Jesus comes, arrives (Matt. 24, 25)</t>
        </is>
      </c>
      <c r="L1703" s="2" t="n"/>
      <c r="M1703" s="7" t="inlineStr">
        <is>
          <t>The Watch Tower Publications Index (“Beliefs Clarified,” list by year) records a clarified understanding in 2013 concerning Jesus comes, arrives (Matt. 24, 25). Index references: w13 7/15 7-8, 24.</t>
        </is>
      </c>
      <c r="N1703" s="7" t="n"/>
      <c r="O1703" s="13" t="inlineStr">
        <is>
          <t>Jehovah's Witnesses</t>
        </is>
      </c>
      <c r="P1703" s="7" t="inlineStr">
        <is>
          <t>jw.doctrine</t>
        </is>
      </c>
      <c r="Q1703" s="7" t="inlineStr">
        <is>
          <t>beliefs_clarified</t>
        </is>
      </c>
      <c r="R1703" s="7" t="n"/>
      <c r="S1703" s="7" t="n"/>
      <c r="T1703" s="7" t="inlineStr">
        <is>
          <t>Matt. 24, 25</t>
        </is>
      </c>
      <c r="U1703" s="7" t="n"/>
      <c r="V1703" s="7" t="n">
        <v>1</v>
      </c>
      <c r="W1703" s="7" t="inlineStr">
        <is>
          <t>Beliefs Clarified</t>
        </is>
      </c>
      <c r="X1703" s="9" t="inlineStr">
        <is>
          <t>open</t>
        </is>
      </c>
      <c r="Y1703" s="7" t="n"/>
      <c r="Z1703" s="7" t="inlineStr">
        <is>
          <t>https://wol.jw.org/en/wol/d/r1/lp-e/1200277174</t>
        </is>
      </c>
      <c r="AA1703" s="7" t="n">
        <v>0</v>
      </c>
      <c r="AB1703" s="7" t="n"/>
      <c r="AC1703" s="7" t="n">
        <v>0</v>
      </c>
      <c r="AD1703" s="7" t="n"/>
      <c r="AE1703" s="7" t="n"/>
      <c r="AF1703" s="7" t="n"/>
      <c r="AG1703" s="7" t="n"/>
      <c r="AH1703" s="7" t="n"/>
      <c r="AI1703" s="7" t="inlineStr">
        <is>
          <t>Index list entry – app detail</t>
        </is>
      </c>
      <c r="AJ1703" s="7" t="n"/>
      <c r="AK1703" s="7" t="n"/>
      <c r="AL1703" s="7" t="n"/>
      <c r="AM1703" s="7" t="n">
        <v>2013</v>
      </c>
      <c r="AN1703" s="10" t="n"/>
      <c r="AO1703" s="10" t="n"/>
      <c r="AP1703" s="10" t="n"/>
      <c r="AQ1703" s="10" t="n"/>
    </row>
    <row r="1704">
      <c r="A1704" s="7" t="inlineStr">
        <is>
          <t>b9-0306</t>
        </is>
      </c>
      <c r="B1704" s="7" t="inlineStr">
        <is>
          <t>Point</t>
        </is>
      </c>
      <c r="C1704" s="7" t="n"/>
      <c r="D1704" s="7" t="inlineStr">
        <is>
          <t>2013</t>
        </is>
      </c>
      <c r="E1704" s="7" t="n"/>
      <c r="F1704" s="7" t="inlineStr">
        <is>
          <t>2013 CE</t>
        </is>
      </c>
      <c r="G1704" s="7" t="inlineStr">
        <is>
          <t>Exact</t>
        </is>
      </c>
      <c r="H1704" s="7" t="n"/>
      <c r="I1704" s="7" t="n"/>
      <c r="J1704" s="7" t="n"/>
      <c r="K1704" s="2" t="inlineStr">
        <is>
          <t>Understanding clarified: Jesus inspects spiritual temple 1914-1919 (Mal. 3:1-4)</t>
        </is>
      </c>
      <c r="L1704" s="2" t="n"/>
      <c r="M1704" s="7" t="inlineStr">
        <is>
          <t>The Watch Tower Publications Index (“Beliefs Clarified,” list by year) records a clarified understanding in 2013 concerning Jesus inspects spiritual temple 1914-1919 (Mal. 3:1-4). Index references: w13 7/15 11-12.</t>
        </is>
      </c>
      <c r="N1704" s="7" t="n"/>
      <c r="O1704" s="13" t="inlineStr">
        <is>
          <t>Jehovah's Witnesses</t>
        </is>
      </c>
      <c r="P1704" s="7" t="inlineStr">
        <is>
          <t>jw.doctrine</t>
        </is>
      </c>
      <c r="Q1704" s="7" t="inlineStr">
        <is>
          <t>beliefs_clarified</t>
        </is>
      </c>
      <c r="R1704" s="7" t="n"/>
      <c r="S1704" s="7" t="n"/>
      <c r="T1704" s="7" t="inlineStr">
        <is>
          <t>Mal. 3:1-4</t>
        </is>
      </c>
      <c r="U1704" s="7" t="n"/>
      <c r="V1704" s="7" t="n">
        <v>1</v>
      </c>
      <c r="W1704" s="7" t="inlineStr">
        <is>
          <t>Beliefs Clarified</t>
        </is>
      </c>
      <c r="X1704" s="9" t="inlineStr">
        <is>
          <t>open</t>
        </is>
      </c>
      <c r="Y1704" s="7" t="n"/>
      <c r="Z1704" s="7" t="inlineStr">
        <is>
          <t>https://wol.jw.org/en/wol/d/r1/lp-e/1200277174</t>
        </is>
      </c>
      <c r="AA1704" s="7" t="n">
        <v>0</v>
      </c>
      <c r="AB1704" s="7" t="n"/>
      <c r="AC1704" s="7" t="n">
        <v>0</v>
      </c>
      <c r="AD1704" s="7" t="n"/>
      <c r="AE1704" s="7" t="n"/>
      <c r="AF1704" s="7" t="n"/>
      <c r="AG1704" s="7" t="n"/>
      <c r="AH1704" s="7" t="n"/>
      <c r="AI1704" s="7" t="inlineStr">
        <is>
          <t>Index list entry – app detail</t>
        </is>
      </c>
      <c r="AJ1704" s="7" t="n"/>
      <c r="AK1704" s="7" t="n"/>
      <c r="AL1704" s="7" t="n"/>
      <c r="AM1704" s="7" t="n">
        <v>2013</v>
      </c>
      <c r="AN1704" s="10" t="n"/>
      <c r="AO1704" s="10" t="n"/>
      <c r="AP1704" s="10" t="n"/>
      <c r="AQ1704" s="10" t="n"/>
    </row>
    <row r="1705">
      <c r="A1705" s="7" t="inlineStr">
        <is>
          <t>b9-0307</t>
        </is>
      </c>
      <c r="B1705" s="7" t="inlineStr">
        <is>
          <t>Point</t>
        </is>
      </c>
      <c r="C1705" s="7" t="n"/>
      <c r="D1705" s="7" t="inlineStr">
        <is>
          <t>2013</t>
        </is>
      </c>
      <c r="E1705" s="7" t="n"/>
      <c r="F1705" s="7" t="inlineStr">
        <is>
          <t>2013 CE</t>
        </is>
      </c>
      <c r="G1705" s="7" t="inlineStr">
        <is>
          <t>Exact</t>
        </is>
      </c>
      <c r="H1705" s="7" t="n"/>
      <c r="I1705" s="7" t="n"/>
      <c r="J1705" s="7" t="n"/>
      <c r="K1705" s="2" t="inlineStr">
        <is>
          <t>Understanding clarified: meaning of name Jehovah</t>
        </is>
      </c>
      <c r="L1705" s="2" t="n"/>
      <c r="M1705" s="7" t="inlineStr">
        <is>
          <t>The Watch Tower Publications Index (“Beliefs Clarified,” list by year) records a clarified understanding in 2013 concerning meaning of name Jehovah. Index references: w15 12/15 10-11; nwt 1735.</t>
        </is>
      </c>
      <c r="N1705" s="7" t="n"/>
      <c r="O1705" s="13" t="inlineStr">
        <is>
          <t>Jehovah's Witnesses</t>
        </is>
      </c>
      <c r="P1705" s="7" t="inlineStr">
        <is>
          <t>jw.doctrine</t>
        </is>
      </c>
      <c r="Q1705" s="7" t="inlineStr">
        <is>
          <t>beliefs_clarified</t>
        </is>
      </c>
      <c r="R1705" s="7" t="n"/>
      <c r="S1705" s="7" t="n"/>
      <c r="T1705" s="7" t="n"/>
      <c r="U1705" s="7" t="n"/>
      <c r="V1705" s="7" t="n">
        <v>1</v>
      </c>
      <c r="W1705" s="7" t="inlineStr">
        <is>
          <t>Beliefs Clarified</t>
        </is>
      </c>
      <c r="X1705" s="9" t="inlineStr">
        <is>
          <t>open</t>
        </is>
      </c>
      <c r="Y1705" s="7" t="n"/>
      <c r="Z1705" s="7" t="inlineStr">
        <is>
          <t>https://wol.jw.org/en/wol/d/r1/lp-e/1200277174</t>
        </is>
      </c>
      <c r="AA1705" s="7" t="n">
        <v>0</v>
      </c>
      <c r="AB1705" s="7" t="n"/>
      <c r="AC1705" s="7" t="n">
        <v>0</v>
      </c>
      <c r="AD1705" s="7" t="n"/>
      <c r="AE1705" s="7" t="n"/>
      <c r="AF1705" s="7" t="n"/>
      <c r="AG1705" s="7" t="n"/>
      <c r="AH1705" s="7" t="n"/>
      <c r="AI1705" s="7" t="inlineStr">
        <is>
          <t>Index list entry – app detail</t>
        </is>
      </c>
      <c r="AJ1705" s="7" t="n"/>
      <c r="AK1705" s="7" t="n"/>
      <c r="AL1705" s="7" t="n"/>
      <c r="AM1705" s="7" t="n">
        <v>2013</v>
      </c>
      <c r="AN1705" s="10" t="n"/>
      <c r="AO1705" s="10" t="n"/>
      <c r="AP1705" s="10" t="n"/>
      <c r="AQ1705" s="10" t="n"/>
    </row>
    <row r="1706">
      <c r="A1706" s="7" t="inlineStr">
        <is>
          <t>b9-0308</t>
        </is>
      </c>
      <c r="B1706" s="7" t="inlineStr">
        <is>
          <t>Point</t>
        </is>
      </c>
      <c r="C1706" s="7" t="n"/>
      <c r="D1706" s="7" t="inlineStr">
        <is>
          <t>2013</t>
        </is>
      </c>
      <c r="E1706" s="7" t="n"/>
      <c r="F1706" s="7" t="inlineStr">
        <is>
          <t>2013 CE</t>
        </is>
      </c>
      <c r="G1706" s="7" t="inlineStr">
        <is>
          <t>Exact</t>
        </is>
      </c>
      <c r="H1706" s="7" t="n"/>
      <c r="I1706" s="7" t="n"/>
      <c r="J1706" s="7" t="n"/>
      <c r="K1706" s="2" t="inlineStr">
        <is>
          <t>2013: “God’s Word Is Truth!” District Conventions</t>
        </is>
      </c>
      <c r="L1706" s="2" t="n"/>
      <c r="M1706" s="7" t="inlineStr">
        <is>
          <t>The Watch Tower Publications Index lists the 2013 conventions of Jehovah’s Witnesses as “God’s Word Is Truth!” District Conventions.</t>
        </is>
      </c>
      <c r="N1706" s="7" t="n"/>
      <c r="O1706" s="13" t="inlineStr">
        <is>
          <t>Jehovah's Witnesses</t>
        </is>
      </c>
      <c r="P1706" s="7" t="inlineStr">
        <is>
          <t>jw.convention</t>
        </is>
      </c>
      <c r="Q1706" s="7" t="inlineStr">
        <is>
          <t>convention</t>
        </is>
      </c>
      <c r="R1706" s="7" t="n"/>
      <c r="S1706" s="7" t="n"/>
      <c r="T1706" s="7" t="n"/>
      <c r="U1706" s="7" t="n"/>
      <c r="V1706" s="7" t="n">
        <v>1</v>
      </c>
      <c r="W1706" s="7" t="inlineStr">
        <is>
          <t>Conventions</t>
        </is>
      </c>
      <c r="X1706" s="9" t="inlineStr">
        <is>
          <t>open</t>
        </is>
      </c>
      <c r="Y1706" s="7" t="n"/>
      <c r="Z1706" s="7" t="inlineStr">
        <is>
          <t>https://wol.jw.org/en/wol/d/r1/lp-e/1200271388</t>
        </is>
      </c>
      <c r="AA1706" s="7" t="n">
        <v>0</v>
      </c>
      <c r="AB1706" s="7" t="n"/>
      <c r="AC1706" s="7" t="n">
        <v>0</v>
      </c>
      <c r="AD1706" s="7" t="n"/>
      <c r="AE1706" s="7" t="n"/>
      <c r="AF1706" s="7" t="n"/>
      <c r="AG1706" s="7" t="n"/>
      <c r="AH1706" s="7" t="n"/>
      <c r="AI1706" s="7" t="inlineStr">
        <is>
          <t>Index list entry – app detail</t>
        </is>
      </c>
      <c r="AJ1706" s="7" t="n"/>
      <c r="AK1706" s="7" t="n"/>
      <c r="AL1706" s="7" t="n"/>
      <c r="AM1706" s="7" t="n">
        <v>2013</v>
      </c>
      <c r="AN1706" s="10" t="n"/>
      <c r="AO1706" s="10" t="n"/>
      <c r="AP1706" s="10" t="n"/>
      <c r="AQ1706" s="10" t="n"/>
    </row>
    <row r="1707">
      <c r="A1707" s="7" t="inlineStr">
        <is>
          <t>b9-0309</t>
        </is>
      </c>
      <c r="B1707" s="7" t="inlineStr">
        <is>
          <t>Point</t>
        </is>
      </c>
      <c r="C1707" s="7" t="n"/>
      <c r="D1707" s="7" t="inlineStr">
        <is>
          <t>2013</t>
        </is>
      </c>
      <c r="E1707" s="7" t="inlineStr">
        <is>
          <t>2013</t>
        </is>
      </c>
      <c r="F1707" s="7" t="inlineStr">
        <is>
          <t>2013 CE</t>
        </is>
      </c>
      <c r="G1707" s="7" t="inlineStr">
        <is>
          <t>Exact</t>
        </is>
      </c>
      <c r="H1707" s="7" t="n"/>
      <c r="I1707" s="7" t="n"/>
      <c r="J1707" s="7" t="n"/>
      <c r="K1707" s="2" t="inlineStr">
        <is>
          <t>jw.org available in some 300 languages</t>
        </is>
      </c>
      <c r="L1707" s="2" t="inlineStr">
        <is>
          <t>2013-ல் jw.org வெப்சைட் சுமார் 300 மொழிகளில் இருந்தது.</t>
        </is>
      </c>
      <c r="M1707" s="7" t="inlineStr">
        <is>
          <t>In 2013 the jw.org website became available in some 300 languages, with Bible-based material downloadable in over 520 languages.</t>
        </is>
      </c>
      <c r="N1707" s="7" t="inlineStr">
        <is>
          <t>2013-ல் jw.org வெப்சைட் சுமார் 300 மொழிகளில் இருந்தது.</t>
        </is>
      </c>
      <c r="O1707" s="13" t="inlineStr">
        <is>
          <t>Jehovah's Witnesses</t>
        </is>
      </c>
      <c r="P1707" s="7" t="inlineStr">
        <is>
          <t>jw.publication</t>
        </is>
      </c>
      <c r="Q1707" s="7" t="inlineStr">
        <is>
          <t>statistic</t>
        </is>
      </c>
      <c r="R1707" s="7" t="n"/>
      <c r="S1707" s="7" t="n"/>
      <c r="T1707" s="7" t="n"/>
      <c r="U1707" s="7" t="n"/>
      <c r="V1707" s="7" t="n">
        <v>1</v>
      </c>
      <c r="W1707" s="7" t="inlineStr">
        <is>
          <t>Methods of Preaching</t>
        </is>
      </c>
      <c r="X1707" s="9" t="inlineStr">
        <is>
          <t>open</t>
        </is>
      </c>
      <c r="Y1707" s="9" t="inlineStr">
        <is>
          <t>open</t>
        </is>
      </c>
      <c r="Z1707" s="7" t="inlineStr">
        <is>
          <t>https://wol.jw.org/en/wol/d/r1/lp-e/1102014246</t>
        </is>
      </c>
      <c r="AA1707" s="7" t="n">
        <v>0</v>
      </c>
      <c r="AB1707" s="7" t="n"/>
      <c r="AC1707" s="7" t="n">
        <v>0</v>
      </c>
      <c r="AD1707" s="7" t="n"/>
      <c r="AE1707" s="7" t="n"/>
      <c r="AF1707" s="7" t="n"/>
      <c r="AG1707" s="7" t="n"/>
      <c r="AH1707" s="7" t="n"/>
      <c r="AI1707" s="7" t="n"/>
      <c r="AJ1707" s="7" t="n"/>
      <c r="AK1707" s="7" t="n"/>
      <c r="AL1707" s="7" t="n"/>
      <c r="AM1707" s="7" t="n">
        <v>2013</v>
      </c>
      <c r="AN1707" s="10" t="n"/>
      <c r="AO1707" s="10" t="n"/>
      <c r="AP1707" s="10" t="n"/>
      <c r="AQ1707" s="10" t="n"/>
    </row>
    <row r="1708">
      <c r="A1708" s="7" t="inlineStr">
        <is>
          <t>b9-0310</t>
        </is>
      </c>
      <c r="B1708" s="7" t="inlineStr">
        <is>
          <t>Point</t>
        </is>
      </c>
      <c r="C1708" s="7" t="n"/>
      <c r="D1708" s="7" t="inlineStr">
        <is>
          <t>2013</t>
        </is>
      </c>
      <c r="E1708" s="7" t="inlineStr">
        <is>
          <t>2013</t>
        </is>
      </c>
      <c r="F1708" s="7" t="inlineStr">
        <is>
          <t>2013 CE</t>
        </is>
      </c>
      <c r="G1708" s="7" t="inlineStr">
        <is>
          <t>Exact</t>
        </is>
      </c>
      <c r="H1708" s="7" t="n"/>
      <c r="I1708" s="7" t="n"/>
      <c r="J1708" s="7" t="n"/>
      <c r="K1708" s="2" t="inlineStr">
        <is>
          <t>Peak of 7,965,954 publishers; 19.2 million at Memorial</t>
        </is>
      </c>
      <c r="L1708" s="2" t="inlineStr">
        <is>
          <t>2013-ல், 79,65,954 பிரஸ்தாபிகள் இருந்தார்கள்.</t>
        </is>
      </c>
      <c r="M1708" s="7" t="inlineStr">
        <is>
          <t>In 2013 there was a peak of 7,965,954 publishers, while 19,241,252 attended the Memorial of Christ’s death.</t>
        </is>
      </c>
      <c r="N1708" s="7" t="inlineStr">
        <is>
          <t>2013-ல், 79,65,954 பிரஸ்தாபிகள் இருந்தார்கள்.</t>
        </is>
      </c>
      <c r="O1708" s="13" t="inlineStr">
        <is>
          <t>Jehovah's Witnesses</t>
        </is>
      </c>
      <c r="P1708" s="7" t="inlineStr">
        <is>
          <t>jw.preaching</t>
        </is>
      </c>
      <c r="Q1708" s="7" t="inlineStr">
        <is>
          <t>statistic</t>
        </is>
      </c>
      <c r="R1708" s="7" t="n"/>
      <c r="S1708" s="7" t="n"/>
      <c r="T1708" s="7" t="n"/>
      <c r="U1708" s="7" t="n"/>
      <c r="V1708" s="7" t="n">
        <v>1</v>
      </c>
      <c r="W1708" s="7" t="inlineStr">
        <is>
          <t>The King Refines His People Spiritually</t>
        </is>
      </c>
      <c r="X1708" s="9" t="inlineStr">
        <is>
          <t>open</t>
        </is>
      </c>
      <c r="Y1708" s="9" t="inlineStr">
        <is>
          <t>open</t>
        </is>
      </c>
      <c r="Z1708" s="7" t="inlineStr">
        <is>
          <t>https://wol.jw.org/en/wol/d/r1/lp-e/1102014249</t>
        </is>
      </c>
      <c r="AA1708" s="7" t="n">
        <v>0</v>
      </c>
      <c r="AB1708" s="7" t="n"/>
      <c r="AC1708" s="7" t="n">
        <v>0</v>
      </c>
      <c r="AD1708" s="7" t="n"/>
      <c r="AE1708" s="7" t="n"/>
      <c r="AF1708" s="7" t="n"/>
      <c r="AG1708" s="7" t="n"/>
      <c r="AH1708" s="7" t="n"/>
      <c r="AI1708" s="7" t="n"/>
      <c r="AJ1708" s="7" t="n"/>
      <c r="AK1708" s="7" t="n"/>
      <c r="AL1708" s="7" t="n"/>
      <c r="AM1708" s="7" t="n">
        <v>2013</v>
      </c>
      <c r="AN1708" s="10" t="n"/>
      <c r="AO1708" s="10" t="n"/>
      <c r="AP1708" s="10" t="n"/>
      <c r="AQ1708" s="10" t="n"/>
    </row>
    <row r="1709">
      <c r="A1709" s="7" t="inlineStr">
        <is>
          <t>b9-0311</t>
        </is>
      </c>
      <c r="B1709" s="7" t="inlineStr">
        <is>
          <t>Point</t>
        </is>
      </c>
      <c r="C1709" s="7" t="n"/>
      <c r="D1709" s="7" t="inlineStr">
        <is>
          <t>2013</t>
        </is>
      </c>
      <c r="E1709" s="7" t="inlineStr">
        <is>
          <t>2013</t>
        </is>
      </c>
      <c r="F1709" s="7" t="inlineStr">
        <is>
          <t>2013 CE</t>
        </is>
      </c>
      <c r="G1709" s="7" t="inlineStr">
        <is>
          <t>Exact</t>
        </is>
      </c>
      <c r="H1709" s="7" t="n"/>
      <c r="I1709" s="7" t="n"/>
      <c r="J1709" s="7" t="n"/>
      <c r="K1709" s="2" t="inlineStr">
        <is>
          <t>School for Kingdom Evangelizers approved</t>
        </is>
      </c>
      <c r="L1709" s="2" t="inlineStr">
        <is>
          <t>2013-ல், இந்த இரண்டு பள்ளிகளையும் சேர்த்து ஒரே பள்ளியாக, ராஜ்ய நற்செய்தியாளர்களுக்கான பள்ளி என்ற பெயரில் நடத்த ஆளும் குழு தீர்மானித்தது.</t>
        </is>
      </c>
      <c r="M1709" s="7" t="inlineStr">
        <is>
          <t>In 2013 the Governing Body approved combining the Bible School for Single Brothers and the Bible School for Christian Couples into the School for Kingdom Evangelizers.</t>
        </is>
      </c>
      <c r="N1709" s="7" t="inlineStr">
        <is>
          <t>2013-ல், இந்த இரண்டு பள்ளிகளையும் சேர்த்து ஒரே பள்ளியாக, ராஜ்ய நற்செய்தியாளர்களுக்கான பள்ளி என்ற பெயரில் நடத்த ஆளும் குழு தீர்மானித்தது.</t>
        </is>
      </c>
      <c r="O1709" s="13" t="inlineStr">
        <is>
          <t>Jehovah's Witnesses</t>
        </is>
      </c>
      <c r="P1709" s="7" t="inlineStr">
        <is>
          <t>jw.education</t>
        </is>
      </c>
      <c r="Q1709" s="7" t="n"/>
      <c r="R1709" s="7" t="n"/>
      <c r="S1709" s="7" t="n"/>
      <c r="T1709" s="7" t="n"/>
      <c r="U1709" s="7" t="n"/>
      <c r="V1709" s="7" t="n">
        <v>1</v>
      </c>
      <c r="W1709" s="7" t="inlineStr">
        <is>
          <t>Training Ministers of the Kingdom</t>
        </is>
      </c>
      <c r="X1709" s="9" t="inlineStr">
        <is>
          <t>open</t>
        </is>
      </c>
      <c r="Y1709" s="9" t="inlineStr">
        <is>
          <t>open</t>
        </is>
      </c>
      <c r="Z1709" s="7" t="inlineStr">
        <is>
          <t>https://wol.jw.org/en/wol/d/r1/lp-e/1102014256</t>
        </is>
      </c>
      <c r="AA1709" s="7" t="n">
        <v>0</v>
      </c>
      <c r="AB1709" s="7" t="n"/>
      <c r="AC1709" s="7" t="n">
        <v>0</v>
      </c>
      <c r="AD1709" s="7" t="n"/>
      <c r="AE1709" s="7" t="n"/>
      <c r="AF1709" s="7" t="n"/>
      <c r="AG1709" s="7" t="n"/>
      <c r="AH1709" s="7" t="n"/>
      <c r="AI1709" s="7" t="n"/>
      <c r="AJ1709" s="7" t="n"/>
      <c r="AK1709" s="7" t="n"/>
      <c r="AL1709" s="7" t="n"/>
      <c r="AM1709" s="7" t="n">
        <v>2013</v>
      </c>
      <c r="AN1709" s="10" t="n"/>
      <c r="AO1709" s="10" t="n"/>
      <c r="AP1709" s="10" t="n"/>
      <c r="AQ1709" s="10" t="n"/>
    </row>
    <row r="1710">
      <c r="A1710" s="7" t="inlineStr">
        <is>
          <t>b9-0312</t>
        </is>
      </c>
      <c r="B1710" s="7" t="inlineStr">
        <is>
          <t>Point</t>
        </is>
      </c>
      <c r="C1710" s="7" t="n"/>
      <c r="D1710" s="7" t="inlineStr">
        <is>
          <t>2013, June</t>
        </is>
      </c>
      <c r="E1710" s="7" t="inlineStr">
        <is>
          <t>ஜூன் 2013</t>
        </is>
      </c>
      <c r="F1710" s="7" t="inlineStr">
        <is>
          <t>2013 CE</t>
        </is>
      </c>
      <c r="G1710" s="7" t="inlineStr">
        <is>
          <t>Exact</t>
        </is>
      </c>
      <c r="H1710" s="7" t="n"/>
      <c r="I1710" s="7" t="n"/>
      <c r="J1710" s="7" t="n"/>
      <c r="K1710" s="2" t="inlineStr">
        <is>
          <t>Brochure Jehovah’s Witnesses and Disaster Relief released</t>
        </is>
      </c>
      <c r="L1710" s="2" t="inlineStr">
        <is>
          <t>ஜூன் 2013-ல் யெகோவாவின் சாட்சிகளும் நிவாரணப் பணியும் என்ற சிற்றேடு வெளியிடப்பட்டது.</t>
        </is>
      </c>
      <c r="M1710" s="7" t="inlineStr">
        <is>
          <t>In June 2013 the brochure Jehovah’s Witnesses and Disaster Relief became available.</t>
        </is>
      </c>
      <c r="N1710" s="7" t="inlineStr">
        <is>
          <t>ஜூன் 2013-ல் யெகோவாவின் சாட்சிகளும் நிவாரணப் பணியும் என்ற சிற்றேடு வெளியிடப்பட்டது.</t>
        </is>
      </c>
      <c r="O1710" s="13" t="inlineStr">
        <is>
          <t>Jehovah's Witnesses</t>
        </is>
      </c>
      <c r="P1710" s="7" t="inlineStr">
        <is>
          <t>jw.publication</t>
        </is>
      </c>
      <c r="Q1710" s="7" t="inlineStr">
        <is>
          <t>release</t>
        </is>
      </c>
      <c r="R1710" s="7" t="n"/>
      <c r="S1710" s="7" t="n"/>
      <c r="T1710" s="7" t="n"/>
      <c r="U1710" s="7" t="n"/>
      <c r="V1710" s="7" t="n">
        <v>1</v>
      </c>
      <c r="W1710" s="7" t="inlineStr">
        <is>
          <t>The Ministry of Relief</t>
        </is>
      </c>
      <c r="X1710" s="9" t="inlineStr">
        <is>
          <t>open</t>
        </is>
      </c>
      <c r="Y1710" s="9" t="inlineStr">
        <is>
          <t>open</t>
        </is>
      </c>
      <c r="Z1710" s="7" t="inlineStr">
        <is>
          <t>https://wol.jw.org/en/wol/d/r1/lp-e/1102014262</t>
        </is>
      </c>
      <c r="AA1710" s="7" t="n">
        <v>0</v>
      </c>
      <c r="AB1710" s="7" t="n"/>
      <c r="AC1710" s="7" t="n">
        <v>0</v>
      </c>
      <c r="AD1710" s="7" t="n"/>
      <c r="AE1710" s="7" t="n"/>
      <c r="AF1710" s="7" t="n"/>
      <c r="AG1710" s="7" t="n"/>
      <c r="AH1710" s="7" t="n"/>
      <c r="AI1710" s="7" t="n"/>
      <c r="AJ1710" s="7" t="n"/>
      <c r="AK1710" s="7" t="n"/>
      <c r="AL1710" s="7" t="n"/>
      <c r="AM1710" s="7" t="n">
        <v>2013.4167</v>
      </c>
      <c r="AN1710" s="10" t="n"/>
      <c r="AO1710" s="10" t="n"/>
      <c r="AP1710" s="10" t="n"/>
      <c r="AQ1710" s="10" t="n"/>
    </row>
    <row r="1711">
      <c r="A1711" s="7" t="inlineStr">
        <is>
          <t>b12-0109</t>
        </is>
      </c>
      <c r="B1711" s="11" t="inlineStr">
        <is>
          <t>Span</t>
        </is>
      </c>
      <c r="C1711" s="7" t="inlineStr">
        <is>
          <t>construction</t>
        </is>
      </c>
      <c r="D1711" s="7" t="inlineStr">
        <is>
          <t>2013–January 2017</t>
        </is>
      </c>
      <c r="E1711" s="7" t="n"/>
      <c r="F1711" s="7" t="inlineStr">
        <is>
          <t>2013 CE</t>
        </is>
      </c>
      <c r="G1711" s="7" t="inlineStr">
        <is>
          <t>Exact</t>
        </is>
      </c>
      <c r="H1711" s="7" t="inlineStr">
        <is>
          <t>2017 CE</t>
        </is>
      </c>
      <c r="I1711" s="7" t="inlineStr">
        <is>
          <t>Exact</t>
        </is>
      </c>
      <c r="J1711" s="7" t="n"/>
      <c r="K1711" s="2" t="inlineStr">
        <is>
          <t>Construction of the world headquarters at Warwick, New York</t>
        </is>
      </c>
      <c r="L1711" s="2" t="n"/>
      <c r="M1711" s="7" t="inlineStr">
        <is>
          <t>After the Warwick Planning Board approved the site plan and the first major building permit was issued in July 2013, volunteers built the new world headquarters, completing it in January 2017.</t>
        </is>
      </c>
      <c r="N1711" s="7" t="n"/>
      <c r="O1711" s="13" t="inlineStr">
        <is>
          <t>Jehovah's Witnesses</t>
        </is>
      </c>
      <c r="P1711" s="7" t="inlineStr">
        <is>
          <t>jw.construction</t>
        </is>
      </c>
      <c r="Q1711" s="7" t="n"/>
      <c r="R1711" s="7" t="n"/>
      <c r="S1711" s="7" t="inlineStr">
        <is>
          <t>Warwick, New York</t>
        </is>
      </c>
      <c r="T1711" s="7" t="n"/>
      <c r="U1711" s="7" t="n"/>
      <c r="V1711" s="7" t="n">
        <v>3</v>
      </c>
      <c r="W1711" s="7" t="inlineStr">
        <is>
          <t>An Organization That Is on the Move</t>
        </is>
      </c>
      <c r="X1711" s="9" t="inlineStr">
        <is>
          <t>open</t>
        </is>
      </c>
      <c r="Y1711" s="7" t="n"/>
      <c r="Z1711" s="7" t="inlineStr">
        <is>
          <t>https://wol.jw.org/en/wol/d/r1/lp-e/302014042
https://wol.jw.org/en/wol/d/r1/lp-e/302014042
https://wol.jw.org/en/wol/d/r1/lp-e/1200271562</t>
        </is>
      </c>
      <c r="AA1711" s="7" t="n">
        <v>0</v>
      </c>
      <c r="AB1711" s="7" t="n"/>
      <c r="AC1711" s="7" t="n">
        <v>0</v>
      </c>
      <c r="AD1711" s="7" t="n"/>
      <c r="AE1711" s="7" t="n"/>
      <c r="AF1711" s="7" t="n"/>
      <c r="AG1711" s="7" t="n"/>
      <c r="AH1711" s="7" t="n"/>
      <c r="AI1711" s="7" t="n"/>
      <c r="AJ1711" s="7" t="n"/>
      <c r="AK1711" s="7" t="n"/>
      <c r="AL1711" s="7" t="n"/>
      <c r="AM1711" s="7" t="n">
        <v>2013.5</v>
      </c>
      <c r="AN1711" s="10" t="n"/>
      <c r="AO1711" s="10" t="n"/>
      <c r="AP1711" s="10" t="n"/>
      <c r="AQ1711" s="10" t="n"/>
    </row>
    <row r="1712">
      <c r="A1712" s="7" t="inlineStr">
        <is>
          <t>b9-0313</t>
        </is>
      </c>
      <c r="B1712" s="7" t="inlineStr">
        <is>
          <t>Point</t>
        </is>
      </c>
      <c r="C1712" s="7" t="n"/>
      <c r="D1712" s="7" t="inlineStr">
        <is>
          <t>2013, August 10</t>
        </is>
      </c>
      <c r="E1712" s="7" t="n"/>
      <c r="F1712" s="7" t="inlineStr">
        <is>
          <t>2013 CE</t>
        </is>
      </c>
      <c r="G1712" s="7" t="inlineStr">
        <is>
          <t>Exact</t>
        </is>
      </c>
      <c r="H1712" s="7" t="n"/>
      <c r="I1712" s="7" t="n"/>
      <c r="J1712" s="7" t="n"/>
      <c r="K1712" s="2" t="inlineStr">
        <is>
          <t>Printing of revised NWT begins</t>
        </is>
      </c>
      <c r="L1712" s="2" t="n"/>
      <c r="M1712" s="7" t="inlineStr">
        <is>
          <t>The printeries received the finalized text of the revised New World Translation on Friday, August 9, 2013, and began printing the next day.</t>
        </is>
      </c>
      <c r="N1712" s="7" t="n"/>
      <c r="O1712" s="12" t="inlineStr">
        <is>
          <t>Bible &amp; church history</t>
        </is>
      </c>
      <c r="P1712" s="7" t="inlineStr">
        <is>
          <t>history.bible_translation</t>
        </is>
      </c>
      <c r="Q1712" s="7" t="n"/>
      <c r="R1712" s="7" t="n"/>
      <c r="S1712" s="7" t="n"/>
      <c r="T1712" s="7" t="n"/>
      <c r="U1712" s="7" t="n"/>
      <c r="V1712" s="7" t="n">
        <v>1</v>
      </c>
      <c r="W1712" s="7" t="inlineStr">
        <is>
          <t>A Bible That Is Made to Last</t>
        </is>
      </c>
      <c r="X1712" s="9" t="inlineStr">
        <is>
          <t>open</t>
        </is>
      </c>
      <c r="Y1712" s="7" t="n"/>
      <c r="Z1712" s="7" t="inlineStr">
        <is>
          <t>https://wol.jw.org/en/wol/d/r1/lp-e/302015054</t>
        </is>
      </c>
      <c r="AA1712" s="7" t="n">
        <v>0</v>
      </c>
      <c r="AB1712" s="7" t="n"/>
      <c r="AC1712" s="7" t="n">
        <v>0</v>
      </c>
      <c r="AD1712" s="7" t="n"/>
      <c r="AE1712" s="7" t="n"/>
      <c r="AF1712" s="7" t="n"/>
      <c r="AG1712" s="7" t="n"/>
      <c r="AH1712" s="7" t="n"/>
      <c r="AI1712" s="7" t="n"/>
      <c r="AJ1712" s="7" t="n"/>
      <c r="AK1712" s="7" t="n"/>
      <c r="AL1712" s="7" t="n"/>
      <c r="AM1712" s="7" t="n">
        <v>2013.6075</v>
      </c>
      <c r="AN1712" s="10" t="n"/>
      <c r="AO1712" s="10" t="n"/>
      <c r="AP1712" s="10" t="n"/>
      <c r="AQ1712" s="10" t="n"/>
    </row>
    <row r="1713">
      <c r="A1713" s="7" t="inlineStr">
        <is>
          <t>b9-0314</t>
        </is>
      </c>
      <c r="B1713" s="7" t="inlineStr">
        <is>
          <t>Point</t>
        </is>
      </c>
      <c r="C1713" s="7" t="n"/>
      <c r="D1713" s="7" t="inlineStr">
        <is>
          <t>2013, October 5</t>
        </is>
      </c>
      <c r="E1713" s="7" t="n"/>
      <c r="F1713" s="7" t="inlineStr">
        <is>
          <t>2013 CE</t>
        </is>
      </c>
      <c r="G1713" s="7" t="inlineStr">
        <is>
          <t>Exact</t>
        </is>
      </c>
      <c r="H1713" s="7" t="n"/>
      <c r="I1713" s="7" t="n"/>
      <c r="J1713" s="7" t="n"/>
      <c r="K1713" s="2" t="inlineStr">
        <is>
          <t>Revised English New World Translation released</t>
        </is>
      </c>
      <c r="L1713" s="2" t="inlineStr">
        <is>
          <t>சமீபத்தில் 2013-ல் இது திருத்தியமைக்கப்பட்டது.</t>
        </is>
      </c>
      <c r="M1713" s="7" t="inlineStr">
        <is>
          <t>A revised English edition of the New World Translation was released on October 5, 2013, at the annual meeting; Geoffrey Jackson gave the release talk. The total audience of 1,413,676 in 31 lands was the largest gathering of Jehovah’s Witnesses to that time.</t>
        </is>
      </c>
      <c r="N1713" s="7" t="inlineStr">
        <is>
          <t>சமீபத்தில் 2013-ல் இது திருத்தியமைக்கப்பட்டது.</t>
        </is>
      </c>
      <c r="O1713" s="12" t="inlineStr">
        <is>
          <t>Bible &amp; church history</t>
        </is>
      </c>
      <c r="P1713" s="7" t="inlineStr">
        <is>
          <t>history.bible_translation</t>
        </is>
      </c>
      <c r="Q1713" s="7" t="inlineStr">
        <is>
          <t>release</t>
        </is>
      </c>
      <c r="R1713" s="7" t="inlineStr">
        <is>
          <t>Geoffrey Jackson</t>
        </is>
      </c>
      <c r="S1713" s="7" t="n"/>
      <c r="T1713" s="7" t="n"/>
      <c r="U1713" s="7" t="n"/>
      <c r="V1713" s="7" t="n">
        <v>5</v>
      </c>
      <c r="W1713" s="7" t="inlineStr">
        <is>
          <t>Tools for Preaching</t>
        </is>
      </c>
      <c r="X1713" s="9" t="inlineStr">
        <is>
          <t>open</t>
        </is>
      </c>
      <c r="Y1713" s="9" t="inlineStr">
        <is>
          <t>open</t>
        </is>
      </c>
      <c r="Z1713" s="7" t="inlineStr">
        <is>
          <t>https://wol.jw.org/en/wol/d/r1/lp-e/1102014247
https://www.jw.org/en/news/region/global/revised-new-world-translation-20131011/
https://wol.jw.org/en/wol/d/r1/lp-e/302015054
https://wol.jw.org/en/wol/d/r1/lp-e/302015055
https://www.jw.org/en/jehovahs-witnesses/activities/events/annual-meeting-report-2013/</t>
        </is>
      </c>
      <c r="AA1713" s="7" t="n">
        <v>1</v>
      </c>
      <c r="AB1713" s="9" t="inlineStr">
        <is>
          <t>open</t>
        </is>
      </c>
      <c r="AC1713" s="7" t="n">
        <v>0</v>
      </c>
      <c r="AD1713" s="7" t="n"/>
      <c r="AE1713" s="7" t="n"/>
      <c r="AF1713" s="7" t="n"/>
      <c r="AG1713" s="7" t="n"/>
      <c r="AH1713" s="7" t="n"/>
      <c r="AI1713" s="7" t="n"/>
      <c r="AJ1713" s="7" t="n"/>
      <c r="AK1713" s="7" t="inlineStr">
        <is>
          <t>how-the-bible-came-to-us #58 (step)</t>
        </is>
      </c>
      <c r="AL1713" s="7" t="n"/>
      <c r="AM1713" s="7" t="n">
        <v>2013.7608</v>
      </c>
      <c r="AN1713" s="10" t="n"/>
      <c r="AO1713" s="10" t="n"/>
      <c r="AP1713" s="10" t="n"/>
      <c r="AQ1713" s="10" t="n"/>
    </row>
    <row r="1714">
      <c r="A1714" s="7" t="inlineStr">
        <is>
          <t>b9-0315</t>
        </is>
      </c>
      <c r="B1714" s="7" t="inlineStr">
        <is>
          <t>Point</t>
        </is>
      </c>
      <c r="C1714" s="7" t="n"/>
      <c r="D1714" s="7" t="inlineStr">
        <is>
          <t>2013, November</t>
        </is>
      </c>
      <c r="E1714" s="7" t="inlineStr">
        <is>
          <t>நவம்பர் 2013</t>
        </is>
      </c>
      <c r="F1714" s="7" t="inlineStr">
        <is>
          <t>2013 CE</t>
        </is>
      </c>
      <c r="G1714" s="7" t="inlineStr">
        <is>
          <t>Exact</t>
        </is>
      </c>
      <c r="H1714" s="7" t="n"/>
      <c r="I1714" s="7" t="n"/>
      <c r="J1714" s="7" t="n"/>
      <c r="K1714" s="2" t="inlineStr">
        <is>
          <t>Last imprisoned objectors released in Armenia</t>
        </is>
      </c>
      <c r="L1714" s="2" t="inlineStr">
        <is>
          <t>நவம்பர் 2013-க்குள் எல்லாரும் விடுதலை செய்யப்பட்டார்கள்.</t>
        </is>
      </c>
      <c r="M1714" s="7" t="inlineStr">
        <is>
          <t>In November 2013 the last of the imprisoned Witness conscientious objectors in Armenia were released.</t>
        </is>
      </c>
      <c r="N1714" s="7" t="inlineStr">
        <is>
          <t>நவம்பர் 2013-க்குள் எல்லாரும் விடுதலை செய்யப்பட்டார்கள்.</t>
        </is>
      </c>
      <c r="O1714" s="13" t="inlineStr">
        <is>
          <t>Jehovah's Witnesses</t>
        </is>
      </c>
      <c r="P1714" s="7" t="inlineStr">
        <is>
          <t>jw.legal</t>
        </is>
      </c>
      <c r="Q1714" s="7" t="n"/>
      <c r="R1714" s="7" t="n"/>
      <c r="S1714" s="7" t="inlineStr">
        <is>
          <t>Armenia</t>
        </is>
      </c>
      <c r="T1714" s="7" t="n"/>
      <c r="U1714" s="7" t="n"/>
      <c r="V1714" s="7" t="n">
        <v>1</v>
      </c>
      <c r="W1714" s="7" t="inlineStr">
        <is>
          <t>Loyally Supporting God’s Government and No Other</t>
        </is>
      </c>
      <c r="X1714" s="9" t="inlineStr">
        <is>
          <t>open</t>
        </is>
      </c>
      <c r="Y1714" s="9" t="inlineStr">
        <is>
          <t>open</t>
        </is>
      </c>
      <c r="Z1714" s="7" t="inlineStr">
        <is>
          <t>https://wol.jw.org/en/wol/d/r1/lp-e/1102014253</t>
        </is>
      </c>
      <c r="AA1714" s="7" t="n">
        <v>0</v>
      </c>
      <c r="AB1714" s="7" t="n"/>
      <c r="AC1714" s="7" t="n">
        <v>0</v>
      </c>
      <c r="AD1714" s="7" t="n"/>
      <c r="AE1714" s="7" t="n"/>
      <c r="AF1714" s="7" t="n"/>
      <c r="AG1714" s="7" t="n"/>
      <c r="AH1714" s="7" t="n"/>
      <c r="AI1714" s="7" t="n"/>
      <c r="AJ1714" s="7" t="n"/>
      <c r="AK1714" s="7" t="n"/>
      <c r="AL1714" s="7" t="n"/>
      <c r="AM1714" s="7" t="n">
        <v>2013.8333</v>
      </c>
      <c r="AN1714" s="10" t="n"/>
      <c r="AO1714" s="10" t="n"/>
      <c r="AP1714" s="10" t="n"/>
      <c r="AQ1714" s="10" t="n"/>
    </row>
    <row r="1715">
      <c r="A1715" s="7" t="inlineStr">
        <is>
          <t>b9-0316</t>
        </is>
      </c>
      <c r="B1715" s="7" t="inlineStr">
        <is>
          <t>Point</t>
        </is>
      </c>
      <c r="C1715" s="7" t="n"/>
      <c r="D1715" s="7" t="inlineStr">
        <is>
          <t>2013, November 19</t>
        </is>
      </c>
      <c r="E1715" s="7" t="n"/>
      <c r="F1715" s="7" t="inlineStr">
        <is>
          <t>2013 CE</t>
        </is>
      </c>
      <c r="G1715" s="7" t="inlineStr">
        <is>
          <t>Exact</t>
        </is>
      </c>
      <c r="H1715" s="7" t="n"/>
      <c r="I1715" s="7" t="n"/>
      <c r="J1715" s="7" t="n"/>
      <c r="K1715" s="2" t="inlineStr">
        <is>
          <t>Kyrgyzstan court rules alternative service law unconstitutional</t>
        </is>
      </c>
      <c r="L1715" s="2" t="n"/>
      <c r="M1715" s="7" t="inlineStr">
        <is>
          <t>On November 19, 2013, the Constitutional Chamber of Kyrgyzstan’s Supreme Court, ruling in the cases of 11 Witnesses, held the country’s alternative service program unconstitutional.</t>
        </is>
      </c>
      <c r="N1715" s="7" t="n"/>
      <c r="O1715" s="13" t="inlineStr">
        <is>
          <t>Jehovah's Witnesses</t>
        </is>
      </c>
      <c r="P1715" s="7" t="inlineStr">
        <is>
          <t>jw.legal</t>
        </is>
      </c>
      <c r="Q1715" s="7" t="inlineStr">
        <is>
          <t>court_ruling</t>
        </is>
      </c>
      <c r="R1715" s="7" t="n"/>
      <c r="S1715" s="7" t="inlineStr">
        <is>
          <t>Kyrgyzstan</t>
        </is>
      </c>
      <c r="T1715" s="7" t="n"/>
      <c r="U1715" s="7" t="n"/>
      <c r="V1715" s="7" t="n">
        <v>1</v>
      </c>
      <c r="W1715" s="7" t="inlineStr">
        <is>
          <t>Legal Report</t>
        </is>
      </c>
      <c r="X1715" s="9" t="inlineStr">
        <is>
          <t>open</t>
        </is>
      </c>
      <c r="Y1715" s="7" t="n"/>
      <c r="Z1715" s="7" t="inlineStr">
        <is>
          <t>https://wol.jw.org/en/wol/d/r1/lp-e/302015057</t>
        </is>
      </c>
      <c r="AA1715" s="7" t="n">
        <v>0</v>
      </c>
      <c r="AB1715" s="7" t="n"/>
      <c r="AC1715" s="7" t="n">
        <v>0</v>
      </c>
      <c r="AD1715" s="7" t="n"/>
      <c r="AE1715" s="7" t="n"/>
      <c r="AF1715" s="7" t="n"/>
      <c r="AG1715" s="7" t="n"/>
      <c r="AH1715" s="7" t="n"/>
      <c r="AI1715" s="7" t="n"/>
      <c r="AJ1715" s="7" t="n"/>
      <c r="AK1715" s="7" t="n"/>
      <c r="AL1715" s="7" t="n"/>
      <c r="AM1715" s="7" t="n">
        <v>2013.8817</v>
      </c>
      <c r="AN1715" s="10" t="n"/>
      <c r="AO1715" s="10" t="n"/>
      <c r="AP1715" s="10" t="n"/>
      <c r="AQ1715" s="10" t="n"/>
    </row>
    <row r="1716">
      <c r="A1716" s="7" t="inlineStr">
        <is>
          <t>b9-0317</t>
        </is>
      </c>
      <c r="B1716" s="7" t="inlineStr">
        <is>
          <t>Point</t>
        </is>
      </c>
      <c r="C1716" s="7" t="n"/>
      <c r="D1716" s="7" t="inlineStr">
        <is>
          <t>2014</t>
        </is>
      </c>
      <c r="E1716" s="7" t="n"/>
      <c r="F1716" s="7" t="inlineStr">
        <is>
          <t>2014 CE</t>
        </is>
      </c>
      <c r="G1716" s="7" t="inlineStr">
        <is>
          <t>Exact</t>
        </is>
      </c>
      <c r="H1716" s="7" t="n"/>
      <c r="I1716" s="7" t="n"/>
      <c r="J1716" s="7" t="n"/>
      <c r="K1716" s="2" t="inlineStr">
        <is>
          <t>Understanding clarified: appointment of elders and ministerial servants</t>
        </is>
      </c>
      <c r="L1716" s="2" t="n"/>
      <c r="M1716" s="7" t="inlineStr">
        <is>
          <t>The Watch Tower Publications Index (“Beliefs Clarified,” list by year) records a clarified understanding in 2014 concerning appointment of elders and ministerial servants. Index references: w16.11 11; w14 11/15 28-29.</t>
        </is>
      </c>
      <c r="N1716" s="7" t="n"/>
      <c r="O1716" s="13" t="inlineStr">
        <is>
          <t>Jehovah's Witnesses</t>
        </is>
      </c>
      <c r="P1716" s="7" t="inlineStr">
        <is>
          <t>jw.doctrine</t>
        </is>
      </c>
      <c r="Q1716" s="7" t="inlineStr">
        <is>
          <t>beliefs_clarified</t>
        </is>
      </c>
      <c r="R1716" s="7" t="n"/>
      <c r="S1716" s="7" t="n"/>
      <c r="T1716" s="7" t="n"/>
      <c r="U1716" s="7" t="n"/>
      <c r="V1716" s="7" t="n">
        <v>1</v>
      </c>
      <c r="W1716" s="7" t="inlineStr">
        <is>
          <t>Beliefs Clarified</t>
        </is>
      </c>
      <c r="X1716" s="9" t="inlineStr">
        <is>
          <t>open</t>
        </is>
      </c>
      <c r="Y1716" s="7" t="n"/>
      <c r="Z1716" s="7" t="inlineStr">
        <is>
          <t>https://wol.jw.org/en/wol/d/r1/lp-e/1200277174</t>
        </is>
      </c>
      <c r="AA1716" s="7" t="n">
        <v>0</v>
      </c>
      <c r="AB1716" s="7" t="n"/>
      <c r="AC1716" s="7" t="n">
        <v>0</v>
      </c>
      <c r="AD1716" s="7" t="n"/>
      <c r="AE1716" s="7" t="n"/>
      <c r="AF1716" s="7" t="n"/>
      <c r="AG1716" s="7" t="n"/>
      <c r="AH1716" s="7" t="n"/>
      <c r="AI1716" s="7" t="inlineStr">
        <is>
          <t>Index list entry – app detail</t>
        </is>
      </c>
      <c r="AJ1716" s="7" t="n"/>
      <c r="AK1716" s="7" t="n"/>
      <c r="AL1716" s="7" t="n"/>
      <c r="AM1716" s="7" t="n">
        <v>2014</v>
      </c>
      <c r="AN1716" s="10" t="n"/>
      <c r="AO1716" s="10" t="n"/>
      <c r="AP1716" s="10" t="n"/>
      <c r="AQ1716" s="10" t="n"/>
    </row>
    <row r="1717">
      <c r="A1717" s="7" t="inlineStr">
        <is>
          <t>b9-0318</t>
        </is>
      </c>
      <c r="B1717" s="7" t="inlineStr">
        <is>
          <t>Point</t>
        </is>
      </c>
      <c r="C1717" s="7" t="n"/>
      <c r="D1717" s="7" t="inlineStr">
        <is>
          <t>2014</t>
        </is>
      </c>
      <c r="E1717" s="7" t="n"/>
      <c r="F1717" s="7" t="inlineStr">
        <is>
          <t>2014 CE</t>
        </is>
      </c>
      <c r="G1717" s="7" t="inlineStr">
        <is>
          <t>Exact</t>
        </is>
      </c>
      <c r="H1717" s="7" t="n"/>
      <c r="I1717" s="7" t="n"/>
      <c r="J1717" s="7" t="n"/>
      <c r="K1717" s="2" t="inlineStr">
        <is>
          <t>Understanding clarified: basis first-century Jews had for being “in expectation” of Messiah (Luke 3:15)</t>
        </is>
      </c>
      <c r="L1717" s="2" t="n"/>
      <c r="M1717" s="7" t="inlineStr">
        <is>
          <t>The Watch Tower Publications Index (“Beliefs Clarified,” list by year) records a clarified understanding in 2014 concerning basis first-century Jews had for being “in expectation” of Messiah (Luke 3:15). Index references: w14 2/15 26-27; w14 6/15 22.</t>
        </is>
      </c>
      <c r="N1717" s="7" t="n"/>
      <c r="O1717" s="13" t="inlineStr">
        <is>
          <t>Jehovah's Witnesses</t>
        </is>
      </c>
      <c r="P1717" s="7" t="inlineStr">
        <is>
          <t>jw.doctrine</t>
        </is>
      </c>
      <c r="Q1717" s="7" t="inlineStr">
        <is>
          <t>beliefs_clarified</t>
        </is>
      </c>
      <c r="R1717" s="7" t="n"/>
      <c r="S1717" s="7" t="n"/>
      <c r="T1717" s="7" t="inlineStr">
        <is>
          <t>Luke 3:15</t>
        </is>
      </c>
      <c r="U1717" s="7" t="n"/>
      <c r="V1717" s="7" t="n">
        <v>1</v>
      </c>
      <c r="W1717" s="7" t="inlineStr">
        <is>
          <t>Beliefs Clarified</t>
        </is>
      </c>
      <c r="X1717" s="9" t="inlineStr">
        <is>
          <t>open</t>
        </is>
      </c>
      <c r="Y1717" s="7" t="n"/>
      <c r="Z1717" s="7" t="inlineStr">
        <is>
          <t>https://wol.jw.org/en/wol/d/r1/lp-e/1200277174</t>
        </is>
      </c>
      <c r="AA1717" s="7" t="n">
        <v>0</v>
      </c>
      <c r="AB1717" s="7" t="n"/>
      <c r="AC1717" s="7" t="n">
        <v>0</v>
      </c>
      <c r="AD1717" s="7" t="n"/>
      <c r="AE1717" s="7" t="n"/>
      <c r="AF1717" s="7" t="n"/>
      <c r="AG1717" s="7" t="n"/>
      <c r="AH1717" s="7" t="n"/>
      <c r="AI1717" s="7" t="inlineStr">
        <is>
          <t>Index list entry – app detail</t>
        </is>
      </c>
      <c r="AJ1717" s="7" t="n"/>
      <c r="AK1717" s="7" t="n"/>
      <c r="AL1717" s="7" t="n"/>
      <c r="AM1717" s="7" t="n">
        <v>2014</v>
      </c>
      <c r="AN1717" s="10" t="n"/>
      <c r="AO1717" s="10" t="n"/>
      <c r="AP1717" s="10" t="n"/>
      <c r="AQ1717" s="10" t="n"/>
    </row>
    <row r="1718">
      <c r="A1718" s="7" t="inlineStr">
        <is>
          <t>b9-0319</t>
        </is>
      </c>
      <c r="B1718" s="7" t="inlineStr">
        <is>
          <t>Point</t>
        </is>
      </c>
      <c r="C1718" s="7" t="n"/>
      <c r="D1718" s="7" t="inlineStr">
        <is>
          <t>2014</t>
        </is>
      </c>
      <c r="E1718" s="7" t="n"/>
      <c r="F1718" s="7" t="inlineStr">
        <is>
          <t>2014 CE</t>
        </is>
      </c>
      <c r="G1718" s="7" t="inlineStr">
        <is>
          <t>Exact</t>
        </is>
      </c>
      <c r="H1718" s="7" t="n"/>
      <c r="I1718" s="7" t="n"/>
      <c r="J1718" s="7" t="n"/>
      <c r="K1718" s="2" t="inlineStr">
        <is>
          <t>Understanding clarified: drinking an alcoholic beverage before engaging in sacred service</t>
        </is>
      </c>
      <c r="L1718" s="2" t="n"/>
      <c r="M1718" s="7" t="inlineStr">
        <is>
          <t>The Watch Tower Publications Index (“Beliefs Clarified,” list by year) records a clarified understanding in 2014 concerning drinking an alcoholic beverage before engaging in sacred service. Index references: w14 11/15 17.</t>
        </is>
      </c>
      <c r="N1718" s="7" t="n"/>
      <c r="O1718" s="13" t="inlineStr">
        <is>
          <t>Jehovah's Witnesses</t>
        </is>
      </c>
      <c r="P1718" s="7" t="inlineStr">
        <is>
          <t>jw.doctrine</t>
        </is>
      </c>
      <c r="Q1718" s="7" t="inlineStr">
        <is>
          <t>beliefs_clarified</t>
        </is>
      </c>
      <c r="R1718" s="7" t="n"/>
      <c r="S1718" s="7" t="n"/>
      <c r="T1718" s="7" t="n"/>
      <c r="U1718" s="7" t="n"/>
      <c r="V1718" s="7" t="n">
        <v>1</v>
      </c>
      <c r="W1718" s="7" t="inlineStr">
        <is>
          <t>Beliefs Clarified</t>
        </is>
      </c>
      <c r="X1718" s="9" t="inlineStr">
        <is>
          <t>open</t>
        </is>
      </c>
      <c r="Y1718" s="7" t="n"/>
      <c r="Z1718" s="7" t="inlineStr">
        <is>
          <t>https://wol.jw.org/en/wol/d/r1/lp-e/1200277174</t>
        </is>
      </c>
      <c r="AA1718" s="7" t="n">
        <v>0</v>
      </c>
      <c r="AB1718" s="7" t="n"/>
      <c r="AC1718" s="7" t="n">
        <v>0</v>
      </c>
      <c r="AD1718" s="7" t="n"/>
      <c r="AE1718" s="7" t="n"/>
      <c r="AF1718" s="7" t="n"/>
      <c r="AG1718" s="7" t="n"/>
      <c r="AH1718" s="7" t="n"/>
      <c r="AI1718" s="7" t="inlineStr">
        <is>
          <t>Index list entry – app detail</t>
        </is>
      </c>
      <c r="AJ1718" s="7" t="n"/>
      <c r="AK1718" s="7" t="n"/>
      <c r="AL1718" s="7" t="n"/>
      <c r="AM1718" s="7" t="n">
        <v>2014</v>
      </c>
      <c r="AN1718" s="10" t="n"/>
      <c r="AO1718" s="10" t="n"/>
      <c r="AP1718" s="10" t="n"/>
      <c r="AQ1718" s="10" t="n"/>
    </row>
    <row r="1719">
      <c r="A1719" s="7" t="inlineStr">
        <is>
          <t>b9-0320</t>
        </is>
      </c>
      <c r="B1719" s="7" t="inlineStr">
        <is>
          <t>Point</t>
        </is>
      </c>
      <c r="C1719" s="7" t="n"/>
      <c r="D1719" s="7" t="inlineStr">
        <is>
          <t>2014</t>
        </is>
      </c>
      <c r="E1719" s="7" t="n"/>
      <c r="F1719" s="7" t="inlineStr">
        <is>
          <t>2014 CE</t>
        </is>
      </c>
      <c r="G1719" s="7" t="inlineStr">
        <is>
          <t>Exact</t>
        </is>
      </c>
      <c r="H1719" s="7" t="n"/>
      <c r="I1719" s="7" t="n"/>
      <c r="J1719" s="7" t="n"/>
      <c r="K1719" s="2" t="inlineStr">
        <is>
          <t>Understanding clarified: duration of cleansing of spiritual temple (Mal. 3:1-4)</t>
        </is>
      </c>
      <c r="L1719" s="2" t="n"/>
      <c r="M1719" s="7" t="inlineStr">
        <is>
          <t>The Watch Tower Publications Index (“Beliefs Clarified,” list by year) records a clarified understanding in 2014 concerning duration of cleansing of spiritual temple (Mal. 3:1-4). Index references: w14 11/15 30.</t>
        </is>
      </c>
      <c r="N1719" s="7" t="n"/>
      <c r="O1719" s="13" t="inlineStr">
        <is>
          <t>Jehovah's Witnesses</t>
        </is>
      </c>
      <c r="P1719" s="7" t="inlineStr">
        <is>
          <t>jw.doctrine</t>
        </is>
      </c>
      <c r="Q1719" s="7" t="inlineStr">
        <is>
          <t>beliefs_clarified</t>
        </is>
      </c>
      <c r="R1719" s="7" t="n"/>
      <c r="S1719" s="7" t="n"/>
      <c r="T1719" s="7" t="inlineStr">
        <is>
          <t>Mal. 3:1-4</t>
        </is>
      </c>
      <c r="U1719" s="7" t="n"/>
      <c r="V1719" s="7" t="n">
        <v>1</v>
      </c>
      <c r="W1719" s="7" t="inlineStr">
        <is>
          <t>Beliefs Clarified</t>
        </is>
      </c>
      <c r="X1719" s="9" t="inlineStr">
        <is>
          <t>open</t>
        </is>
      </c>
      <c r="Y1719" s="7" t="n"/>
      <c r="Z1719" s="7" t="inlineStr">
        <is>
          <t>https://wol.jw.org/en/wol/d/r1/lp-e/1200277174</t>
        </is>
      </c>
      <c r="AA1719" s="7" t="n">
        <v>0</v>
      </c>
      <c r="AB1719" s="7" t="n"/>
      <c r="AC1719" s="7" t="n">
        <v>0</v>
      </c>
      <c r="AD1719" s="7" t="n"/>
      <c r="AE1719" s="7" t="n"/>
      <c r="AF1719" s="7" t="n"/>
      <c r="AG1719" s="7" t="n"/>
      <c r="AH1719" s="7" t="n"/>
      <c r="AI1719" s="7" t="inlineStr">
        <is>
          <t>Index list entry – app detail</t>
        </is>
      </c>
      <c r="AJ1719" s="7" t="n"/>
      <c r="AK1719" s="7" t="n"/>
      <c r="AL1719" s="7" t="n"/>
      <c r="AM1719" s="7" t="n">
        <v>2014</v>
      </c>
      <c r="AN1719" s="10" t="n"/>
      <c r="AO1719" s="10" t="n"/>
      <c r="AP1719" s="10" t="n"/>
      <c r="AQ1719" s="10" t="n"/>
    </row>
    <row r="1720">
      <c r="A1720" s="7" t="inlineStr">
        <is>
          <t>b9-0321</t>
        </is>
      </c>
      <c r="B1720" s="7" t="inlineStr">
        <is>
          <t>Point</t>
        </is>
      </c>
      <c r="C1720" s="7" t="n"/>
      <c r="D1720" s="7" t="inlineStr">
        <is>
          <t>2014</t>
        </is>
      </c>
      <c r="E1720" s="7" t="n"/>
      <c r="F1720" s="7" t="inlineStr">
        <is>
          <t>2014 CE</t>
        </is>
      </c>
      <c r="G1720" s="7" t="inlineStr">
        <is>
          <t>Exact</t>
        </is>
      </c>
      <c r="H1720" s="7" t="n"/>
      <c r="I1720" s="7" t="n"/>
      <c r="J1720" s="7" t="n"/>
      <c r="K1720" s="2" t="inlineStr">
        <is>
          <t>Understanding clarified: marriage in resurrection (Luke 20:34-36)</t>
        </is>
      </c>
      <c r="L1720" s="2" t="n"/>
      <c r="M1720" s="7" t="inlineStr">
        <is>
          <t>The Watch Tower Publications Index (“Beliefs Clarified,” list by year) records a clarified understanding in 2014 concerning marriage in resurrection (Luke 20:34-36). Index references: w14 8/15 29-30.</t>
        </is>
      </c>
      <c r="N1720" s="7" t="n"/>
      <c r="O1720" s="13" t="inlineStr">
        <is>
          <t>Jehovah's Witnesses</t>
        </is>
      </c>
      <c r="P1720" s="7" t="inlineStr">
        <is>
          <t>jw.doctrine</t>
        </is>
      </c>
      <c r="Q1720" s="7" t="inlineStr">
        <is>
          <t>beliefs_clarified</t>
        </is>
      </c>
      <c r="R1720" s="7" t="n"/>
      <c r="S1720" s="7" t="n"/>
      <c r="T1720" s="7" t="inlineStr">
        <is>
          <t>Luke 20:34-36</t>
        </is>
      </c>
      <c r="U1720" s="7" t="n"/>
      <c r="V1720" s="7" t="n">
        <v>1</v>
      </c>
      <c r="W1720" s="7" t="inlineStr">
        <is>
          <t>Beliefs Clarified</t>
        </is>
      </c>
      <c r="X1720" s="9" t="inlineStr">
        <is>
          <t>open</t>
        </is>
      </c>
      <c r="Y1720" s="7" t="n"/>
      <c r="Z1720" s="7" t="inlineStr">
        <is>
          <t>https://wol.jw.org/en/wol/d/r1/lp-e/1200277174</t>
        </is>
      </c>
      <c r="AA1720" s="7" t="n">
        <v>0</v>
      </c>
      <c r="AB1720" s="7" t="n"/>
      <c r="AC1720" s="7" t="n">
        <v>0</v>
      </c>
      <c r="AD1720" s="7" t="n"/>
      <c r="AE1720" s="7" t="n"/>
      <c r="AF1720" s="7" t="n"/>
      <c r="AG1720" s="7" t="n"/>
      <c r="AH1720" s="7" t="n"/>
      <c r="AI1720" s="7" t="inlineStr">
        <is>
          <t>Index list entry – app detail</t>
        </is>
      </c>
      <c r="AJ1720" s="7" t="n"/>
      <c r="AK1720" s="7" t="n"/>
      <c r="AL1720" s="7" t="n"/>
      <c r="AM1720" s="7" t="n">
        <v>2014</v>
      </c>
      <c r="AN1720" s="10" t="n"/>
      <c r="AO1720" s="10" t="n"/>
      <c r="AP1720" s="10" t="n"/>
      <c r="AQ1720" s="10" t="n"/>
    </row>
    <row r="1721">
      <c r="A1721" s="7" t="inlineStr">
        <is>
          <t>b9-0322</t>
        </is>
      </c>
      <c r="B1721" s="7" t="inlineStr">
        <is>
          <t>Point</t>
        </is>
      </c>
      <c r="C1721" s="7" t="n"/>
      <c r="D1721" s="7" t="inlineStr">
        <is>
          <t>2014</t>
        </is>
      </c>
      <c r="E1721" s="7" t="n"/>
      <c r="F1721" s="7" t="inlineStr">
        <is>
          <t>2014 CE</t>
        </is>
      </c>
      <c r="G1721" s="7" t="inlineStr">
        <is>
          <t>Exact</t>
        </is>
      </c>
      <c r="H1721" s="7" t="n"/>
      <c r="I1721" s="7" t="n"/>
      <c r="J1721" s="7" t="n"/>
      <c r="K1721" s="2" t="inlineStr">
        <is>
          <t>Understanding clarified: “solid foundation of God” (2 Tim. 2:19)</t>
        </is>
      </c>
      <c r="L1721" s="2" t="n"/>
      <c r="M1721" s="7" t="inlineStr">
        <is>
          <t>The Watch Tower Publications Index (“Beliefs Clarified,” list by year) records a clarified understanding in 2014 concerning “solid foundation of God” (2 Tim. 2:19). Index references: w14 7/15 8-9, 13.</t>
        </is>
      </c>
      <c r="N1721" s="7" t="n"/>
      <c r="O1721" s="13" t="inlineStr">
        <is>
          <t>Jehovah's Witnesses</t>
        </is>
      </c>
      <c r="P1721" s="7" t="inlineStr">
        <is>
          <t>jw.doctrine</t>
        </is>
      </c>
      <c r="Q1721" s="7" t="inlineStr">
        <is>
          <t>beliefs_clarified</t>
        </is>
      </c>
      <c r="R1721" s="7" t="n"/>
      <c r="S1721" s="7" t="n"/>
      <c r="T1721" s="7" t="inlineStr">
        <is>
          <t>2 Tim. 2:19</t>
        </is>
      </c>
      <c r="U1721" s="7" t="n"/>
      <c r="V1721" s="7" t="n">
        <v>1</v>
      </c>
      <c r="W1721" s="7" t="inlineStr">
        <is>
          <t>Beliefs Clarified</t>
        </is>
      </c>
      <c r="X1721" s="9" t="inlineStr">
        <is>
          <t>open</t>
        </is>
      </c>
      <c r="Y1721" s="7" t="n"/>
      <c r="Z1721" s="7" t="inlineStr">
        <is>
          <t>https://wol.jw.org/en/wol/d/r1/lp-e/1200277174</t>
        </is>
      </c>
      <c r="AA1721" s="7" t="n">
        <v>0</v>
      </c>
      <c r="AB1721" s="7" t="n"/>
      <c r="AC1721" s="7" t="n">
        <v>0</v>
      </c>
      <c r="AD1721" s="7" t="n"/>
      <c r="AE1721" s="7" t="n"/>
      <c r="AF1721" s="7" t="n"/>
      <c r="AG1721" s="7" t="n"/>
      <c r="AH1721" s="7" t="n"/>
      <c r="AI1721" s="7" t="inlineStr">
        <is>
          <t>Index list entry – app detail</t>
        </is>
      </c>
      <c r="AJ1721" s="7" t="n"/>
      <c r="AK1721" s="7" t="n"/>
      <c r="AL1721" s="7" t="n"/>
      <c r="AM1721" s="7" t="n">
        <v>2014</v>
      </c>
      <c r="AN1721" s="10" t="n"/>
      <c r="AO1721" s="10" t="n"/>
      <c r="AP1721" s="10" t="n"/>
      <c r="AQ1721" s="10" t="n"/>
    </row>
    <row r="1722">
      <c r="A1722" s="7" t="inlineStr">
        <is>
          <t>b9-0323</t>
        </is>
      </c>
      <c r="B1722" s="7" t="inlineStr">
        <is>
          <t>Point</t>
        </is>
      </c>
      <c r="C1722" s="7" t="n"/>
      <c r="D1722" s="7" t="inlineStr">
        <is>
          <t>2014</t>
        </is>
      </c>
      <c r="E1722" s="7" t="n"/>
      <c r="F1722" s="7" t="inlineStr">
        <is>
          <t>2014 CE</t>
        </is>
      </c>
      <c r="G1722" s="7" t="inlineStr">
        <is>
          <t>Exact</t>
        </is>
      </c>
      <c r="H1722" s="7" t="n"/>
      <c r="I1722" s="7" t="n"/>
      <c r="J1722" s="7" t="n"/>
      <c r="K1722" s="2" t="inlineStr">
        <is>
          <t>Understanding clarified: two witnesses (Rev. 11)</t>
        </is>
      </c>
      <c r="L1722" s="2" t="n"/>
      <c r="M1722" s="7" t="inlineStr">
        <is>
          <t>The Watch Tower Publications Index (“Beliefs Clarified,” list by year) records a clarified understanding in 2014 concerning two witnesses (Rev. 11). Index references: w14 11/15 30.</t>
        </is>
      </c>
      <c r="N1722" s="7" t="n"/>
      <c r="O1722" s="13" t="inlineStr">
        <is>
          <t>Jehovah's Witnesses</t>
        </is>
      </c>
      <c r="P1722" s="7" t="inlineStr">
        <is>
          <t>jw.doctrine</t>
        </is>
      </c>
      <c r="Q1722" s="7" t="inlineStr">
        <is>
          <t>beliefs_clarified</t>
        </is>
      </c>
      <c r="R1722" s="7" t="n"/>
      <c r="S1722" s="7" t="n"/>
      <c r="T1722" s="7" t="inlineStr">
        <is>
          <t>Rev. 11</t>
        </is>
      </c>
      <c r="U1722" s="7" t="n"/>
      <c r="V1722" s="7" t="n">
        <v>1</v>
      </c>
      <c r="W1722" s="7" t="inlineStr">
        <is>
          <t>Beliefs Clarified</t>
        </is>
      </c>
      <c r="X1722" s="9" t="inlineStr">
        <is>
          <t>open</t>
        </is>
      </c>
      <c r="Y1722" s="7" t="n"/>
      <c r="Z1722" s="7" t="inlineStr">
        <is>
          <t>https://wol.jw.org/en/wol/d/r1/lp-e/1200277174</t>
        </is>
      </c>
      <c r="AA1722" s="7" t="n">
        <v>0</v>
      </c>
      <c r="AB1722" s="7" t="n"/>
      <c r="AC1722" s="7" t="n">
        <v>0</v>
      </c>
      <c r="AD1722" s="7" t="n"/>
      <c r="AE1722" s="7" t="n"/>
      <c r="AF1722" s="7" t="n"/>
      <c r="AG1722" s="7" t="n"/>
      <c r="AH1722" s="7" t="n"/>
      <c r="AI1722" s="7" t="inlineStr">
        <is>
          <t>Index list entry – app detail</t>
        </is>
      </c>
      <c r="AJ1722" s="7" t="n"/>
      <c r="AK1722" s="7" t="n"/>
      <c r="AL1722" s="7" t="n"/>
      <c r="AM1722" s="7" t="n">
        <v>2014</v>
      </c>
      <c r="AN1722" s="10" t="n"/>
      <c r="AO1722" s="10" t="n"/>
      <c r="AP1722" s="10" t="n"/>
      <c r="AQ1722" s="10" t="n"/>
    </row>
    <row r="1723">
      <c r="A1723" s="7" t="inlineStr">
        <is>
          <t>b9-0324</t>
        </is>
      </c>
      <c r="B1723" s="7" t="inlineStr">
        <is>
          <t>Point</t>
        </is>
      </c>
      <c r="C1723" s="7" t="n"/>
      <c r="D1723" s="7" t="inlineStr">
        <is>
          <t>2014</t>
        </is>
      </c>
      <c r="E1723" s="7" t="n"/>
      <c r="F1723" s="7" t="inlineStr">
        <is>
          <t>2014 CE</t>
        </is>
      </c>
      <c r="G1723" s="7" t="inlineStr">
        <is>
          <t>Exact</t>
        </is>
      </c>
      <c r="H1723" s="7" t="n"/>
      <c r="I1723" s="7" t="n"/>
      <c r="J1723" s="7" t="n"/>
      <c r="K1723" s="2" t="inlineStr">
        <is>
          <t>“Keep Seeking First God’s Kingdom!” Convention</t>
        </is>
      </c>
      <c r="L1723" s="2" t="n"/>
      <c r="M1723" s="7" t="inlineStr">
        <is>
          <t>The 2014 “Keep Seeking First God’s Kingdom!” Convention marked the 100th anniversary of Christ’s Kingdom in heaven.</t>
        </is>
      </c>
      <c r="N1723" s="7" t="n"/>
      <c r="O1723" s="13" t="inlineStr">
        <is>
          <t>Jehovah's Witnesses</t>
        </is>
      </c>
      <c r="P1723" s="7" t="inlineStr">
        <is>
          <t>jw.convention</t>
        </is>
      </c>
      <c r="Q1723" s="7" t="inlineStr">
        <is>
          <t>convention</t>
        </is>
      </c>
      <c r="R1723" s="7" t="n"/>
      <c r="S1723" s="7" t="n"/>
      <c r="T1723" s="7" t="n"/>
      <c r="U1723" s="7" t="n"/>
      <c r="V1723" s="7" t="n">
        <v>2</v>
      </c>
      <c r="W1723" s="7" t="inlineStr">
        <is>
          <t>Meeting Together for Worship</t>
        </is>
      </c>
      <c r="X1723" s="9" t="inlineStr">
        <is>
          <t>open</t>
        </is>
      </c>
      <c r="Y1723" s="9" t="inlineStr">
        <is>
          <t>open</t>
        </is>
      </c>
      <c r="Z1723" s="7" t="inlineStr">
        <is>
          <t>https://wol.jw.org/en/wol/d/r1/lp-e/1102014255
https://wol.jw.org/en/wol/d/r1/lp-e/1200271388</t>
        </is>
      </c>
      <c r="AA1723" s="7" t="n">
        <v>0</v>
      </c>
      <c r="AB1723" s="7" t="n"/>
      <c r="AC1723" s="7" t="n">
        <v>0</v>
      </c>
      <c r="AD1723" s="7" t="n"/>
      <c r="AE1723" s="7" t="n"/>
      <c r="AF1723" s="7" t="n"/>
      <c r="AG1723" s="7" t="n"/>
      <c r="AH1723" s="7" t="n"/>
      <c r="AI1723" s="7" t="n"/>
      <c r="AJ1723" s="7" t="n"/>
      <c r="AK1723" s="7" t="n"/>
      <c r="AL1723" s="7" t="n"/>
      <c r="AM1723" s="7" t="n">
        <v>2014</v>
      </c>
      <c r="AN1723" s="10" t="n"/>
      <c r="AO1723" s="10" t="n"/>
      <c r="AP1723" s="10" t="n"/>
      <c r="AQ1723" s="10" t="n"/>
    </row>
    <row r="1724">
      <c r="A1724" s="7" t="inlineStr">
        <is>
          <t>b9-0325</t>
        </is>
      </c>
      <c r="B1724" s="7" t="inlineStr">
        <is>
          <t>Point</t>
        </is>
      </c>
      <c r="C1724" s="7" t="n"/>
      <c r="D1724" s="7" t="inlineStr">
        <is>
          <t>2014</t>
        </is>
      </c>
      <c r="E1724" s="7" t="inlineStr">
        <is>
          <t>2014</t>
        </is>
      </c>
      <c r="F1724" s="7" t="inlineStr">
        <is>
          <t>2014 CE</t>
        </is>
      </c>
      <c r="G1724" s="7" t="inlineStr">
        <is>
          <t>Exact</t>
        </is>
      </c>
      <c r="H1724" s="7" t="n"/>
      <c r="I1724" s="7" t="n"/>
      <c r="J1724" s="7" t="n"/>
      <c r="K1724" s="2" t="inlineStr">
        <is>
          <t>Over 44 million Awake! and 46 million Watchtower copies monthly</t>
        </is>
      </c>
      <c r="L1724" s="2" t="inlineStr">
        <is>
          <t>2014-லிருந்து ஒவ்வொரு மாதமும் சுமார் 4 கோடியே 60 லட்சம் காவற்கோபுர பத்திரிகைகளும், 4 கோடியே 40 லட்சத்துக்கும் அதிகமான விழித்தெழு!</t>
        </is>
      </c>
      <c r="M1724" s="7" t="inlineStr">
        <is>
          <t>By the beginning of 2014, more than 44 million copies of Awake! and some 46 million copies of The Watchtower were published each month.</t>
        </is>
      </c>
      <c r="N1724" s="7" t="inlineStr">
        <is>
          <t>2014-லிருந்து ஒவ்வொரு மாதமும் சுமார் 4 கோடியே 60 லட்சம் காவற்கோபுர பத்திரிகைகளும், 4 கோடியே 40 லட்சத்துக்கும் அதிகமான விழித்தெழு!</t>
        </is>
      </c>
      <c r="O1724" s="13" t="inlineStr">
        <is>
          <t>Jehovah's Witnesses</t>
        </is>
      </c>
      <c r="P1724" s="7" t="inlineStr">
        <is>
          <t>jw.publication</t>
        </is>
      </c>
      <c r="Q1724" s="7" t="inlineStr">
        <is>
          <t>statistic</t>
        </is>
      </c>
      <c r="R1724" s="7" t="n"/>
      <c r="S1724" s="7" t="n"/>
      <c r="T1724" s="7" t="n"/>
      <c r="U1724" s="7" t="n"/>
      <c r="V1724" s="7" t="n">
        <v>1</v>
      </c>
      <c r="W1724" s="7" t="inlineStr">
        <is>
          <t>Tools for Preaching</t>
        </is>
      </c>
      <c r="X1724" s="9" t="inlineStr">
        <is>
          <t>open</t>
        </is>
      </c>
      <c r="Y1724" s="9" t="inlineStr">
        <is>
          <t>open</t>
        </is>
      </c>
      <c r="Z1724" s="7" t="inlineStr">
        <is>
          <t>https://wol.jw.org/en/wol/d/r1/lp-e/1102014247</t>
        </is>
      </c>
      <c r="AA1724" s="7" t="n">
        <v>0</v>
      </c>
      <c r="AB1724" s="7" t="n"/>
      <c r="AC1724" s="7" t="n">
        <v>0</v>
      </c>
      <c r="AD1724" s="7" t="n"/>
      <c r="AE1724" s="7" t="n"/>
      <c r="AF1724" s="7" t="n"/>
      <c r="AG1724" s="7" t="n"/>
      <c r="AH1724" s="7" t="n"/>
      <c r="AI1724" s="7" t="n"/>
      <c r="AJ1724" s="7" t="n"/>
      <c r="AK1724" s="7" t="n"/>
      <c r="AL1724" s="7" t="n"/>
      <c r="AM1724" s="7" t="n">
        <v>2014</v>
      </c>
      <c r="AN1724" s="10" t="n"/>
      <c r="AO1724" s="10" t="n"/>
      <c r="AP1724" s="10" t="n"/>
      <c r="AQ1724" s="10" t="n"/>
    </row>
    <row r="1725">
      <c r="A1725" s="7" t="inlineStr">
        <is>
          <t>b9-0326</t>
        </is>
      </c>
      <c r="B1725" s="7" t="inlineStr">
        <is>
          <t>Point</t>
        </is>
      </c>
      <c r="C1725" s="7" t="n"/>
      <c r="D1725" s="7" t="inlineStr">
        <is>
          <t>2014, January 11</t>
        </is>
      </c>
      <c r="E1725" s="7" t="n"/>
      <c r="F1725" s="7" t="inlineStr">
        <is>
          <t>2014 CE</t>
        </is>
      </c>
      <c r="G1725" s="7" t="inlineStr">
        <is>
          <t>Exact</t>
        </is>
      </c>
      <c r="H1725" s="7" t="n"/>
      <c r="I1725" s="7" t="n"/>
      <c r="J1725" s="7" t="n"/>
      <c r="K1725" s="2" t="inlineStr">
        <is>
          <t>Sri Lanka branch facilities dedicated</t>
        </is>
      </c>
      <c r="L1725" s="2" t="n"/>
      <c r="M1725" s="7" t="inlineStr">
        <is>
          <t>The newly built and renovated branch facilities in Sri Lanka were dedicated on Saturday, January 11, 2014, before an audience of 893.</t>
        </is>
      </c>
      <c r="N1725" s="7" t="n"/>
      <c r="O1725" s="13" t="inlineStr">
        <is>
          <t>Jehovah's Witnesses</t>
        </is>
      </c>
      <c r="P1725" s="7" t="inlineStr">
        <is>
          <t>jw.construction</t>
        </is>
      </c>
      <c r="Q1725" s="7" t="inlineStr">
        <is>
          <t>dedication</t>
        </is>
      </c>
      <c r="R1725" s="7" t="n"/>
      <c r="S1725" s="7" t="inlineStr">
        <is>
          <t>Sri Lanka</t>
        </is>
      </c>
      <c r="T1725" s="7" t="n"/>
      <c r="U1725" s="7" t="n"/>
      <c r="V1725" s="7" t="n">
        <v>1</v>
      </c>
      <c r="W1725" s="7" t="inlineStr">
        <is>
          <t>Sri Lanka Branch Dedication</t>
        </is>
      </c>
      <c r="X1725" s="9" t="inlineStr">
        <is>
          <t>open</t>
        </is>
      </c>
      <c r="Y1725" s="7" t="n"/>
      <c r="Z1725" s="7" t="inlineStr">
        <is>
          <t>https://wol.jw.org/en/wol/d/r1/lp-e/302015056</t>
        </is>
      </c>
      <c r="AA1725" s="7" t="n">
        <v>0</v>
      </c>
      <c r="AB1725" s="7" t="n"/>
      <c r="AC1725" s="7" t="n">
        <v>0</v>
      </c>
      <c r="AD1725" s="7" t="n"/>
      <c r="AE1725" s="7" t="n"/>
      <c r="AF1725" s="7" t="n"/>
      <c r="AG1725" s="7" t="n"/>
      <c r="AH1725" s="7" t="n"/>
      <c r="AI1725" s="7" t="n"/>
      <c r="AJ1725" s="7" t="n"/>
      <c r="AK1725" s="7" t="n"/>
      <c r="AL1725" s="7" t="n"/>
      <c r="AM1725" s="7" t="n">
        <v>2014.0269</v>
      </c>
      <c r="AN1725" s="10" t="n"/>
      <c r="AO1725" s="10" t="n"/>
      <c r="AP1725" s="10" t="n"/>
      <c r="AQ1725" s="10" t="n"/>
    </row>
    <row r="1726">
      <c r="A1726" s="7" t="inlineStr">
        <is>
          <t>b9-0327</t>
        </is>
      </c>
      <c r="B1726" s="7" t="inlineStr">
        <is>
          <t>Point</t>
        </is>
      </c>
      <c r="C1726" s="7" t="n"/>
      <c r="D1726" s="7" t="inlineStr">
        <is>
          <t>2014, March 18</t>
        </is>
      </c>
      <c r="E1726" s="7" t="inlineStr">
        <is>
          <t>மார்ச் 18, 2014</t>
        </is>
      </c>
      <c r="F1726" s="7" t="inlineStr">
        <is>
          <t>2014 CE</t>
        </is>
      </c>
      <c r="G1726" s="7" t="inlineStr">
        <is>
          <t>Exact</t>
        </is>
      </c>
      <c r="H1726" s="7" t="n"/>
      <c r="I1726" s="7" t="n"/>
      <c r="J1726" s="7" t="n"/>
      <c r="K1726" s="2" t="inlineStr">
        <is>
          <t>Death of Governing Body member Guy H. Pierce</t>
        </is>
      </c>
      <c r="L1726" s="2" t="inlineStr">
        <is>
          <t>கை ஹாலிஸ் பியர்ஸ், மார்ச் 18, 2014 செவ்வாய்க்கிழமை அன்று இறந்தார்.</t>
        </is>
      </c>
      <c r="M1726" s="7" t="inlineStr">
        <is>
          <t>Guy Hollis Pierce, a member of the Governing Body, finished his earthly course on Tuesday, March 18, 2014, at the age of 79.</t>
        </is>
      </c>
      <c r="N1726" s="7" t="inlineStr">
        <is>
          <t>கை ஹாலிஸ் பியர்ஸ், மார்ச் 18, 2014 செவ்வாய்க்கிழமை அன்று இறந்தார்.</t>
        </is>
      </c>
      <c r="O1726" s="13" t="inlineStr">
        <is>
          <t>Jehovah's Witnesses</t>
        </is>
      </c>
      <c r="P1726" s="7" t="inlineStr">
        <is>
          <t>jw.leadership</t>
        </is>
      </c>
      <c r="Q1726" s="7" t="inlineStr">
        <is>
          <t>death</t>
        </is>
      </c>
      <c r="R1726" s="7" t="inlineStr">
        <is>
          <t>Guy H. Pierce</t>
        </is>
      </c>
      <c r="S1726" s="7" t="n"/>
      <c r="T1726" s="7" t="n"/>
      <c r="U1726" s="7" t="n"/>
      <c r="V1726" s="7" t="n">
        <v>2</v>
      </c>
      <c r="W1726" s="7" t="inlineStr">
        <is>
          <t>He ‘Knew the Way’</t>
        </is>
      </c>
      <c r="X1726" s="9" t="inlineStr">
        <is>
          <t>open</t>
        </is>
      </c>
      <c r="Y1726" s="9" t="inlineStr">
        <is>
          <t>open</t>
        </is>
      </c>
      <c r="Z1726" s="7" t="inlineStr">
        <is>
          <t>https://wol.jw.org/en/wol/d/r1/lp-e/2014922
https://www.jw.org/en/library/magazines/ws20141215/guy-pierce-governing-body-dies/</t>
        </is>
      </c>
      <c r="AA1726" s="7" t="n">
        <v>1</v>
      </c>
      <c r="AB1726" s="9" t="inlineStr">
        <is>
          <t>open</t>
        </is>
      </c>
      <c r="AC1726" s="7" t="n">
        <v>0</v>
      </c>
      <c r="AD1726" s="7" t="n"/>
      <c r="AE1726" s="7" t="n"/>
      <c r="AF1726" s="7" t="n"/>
      <c r="AG1726" s="7" t="n"/>
      <c r="AH1726" s="7" t="n"/>
      <c r="AI1726" s="7" t="inlineStr">
        <is>
          <t>Covered by span – hide on chart</t>
        </is>
      </c>
      <c r="AJ1726" s="7" t="inlineStr">
        <is>
          <t>end of Guy H. Pierce serves on the Governing Body (b12-0102)</t>
        </is>
      </c>
      <c r="AK1726" s="7" t="n"/>
      <c r="AL1726" s="7" t="n"/>
      <c r="AM1726" s="7" t="n">
        <v>2014.2124</v>
      </c>
      <c r="AN1726" s="10" t="n"/>
      <c r="AO1726" s="10" t="n"/>
      <c r="AP1726" s="10" t="n"/>
      <c r="AQ1726" s="10" t="n"/>
    </row>
    <row r="1727">
      <c r="A1727" s="7" t="inlineStr">
        <is>
          <t>b9-0328</t>
        </is>
      </c>
      <c r="B1727" s="7" t="inlineStr">
        <is>
          <t>Point</t>
        </is>
      </c>
      <c r="C1727" s="7" t="n"/>
      <c r="D1727" s="7" t="inlineStr">
        <is>
          <t>2014, June 3</t>
        </is>
      </c>
      <c r="E1727" s="7" t="n"/>
      <c r="F1727" s="7" t="inlineStr">
        <is>
          <t>2014 CE</t>
        </is>
      </c>
      <c r="G1727" s="7" t="inlineStr">
        <is>
          <t>Exact</t>
        </is>
      </c>
      <c r="H1727" s="7" t="n"/>
      <c r="I1727" s="7" t="n"/>
      <c r="J1727" s="7" t="n"/>
      <c r="K1727" s="2" t="inlineStr">
        <is>
          <t>ECHR rules for four Turkish conscientious objectors</t>
        </is>
      </c>
      <c r="L1727" s="2" t="n"/>
      <c r="M1727" s="7" t="inlineStr">
        <is>
          <t>On June 3, 2014, the European Court of Human Rights ruled in favor of Bariş Görmez and three other Witnesses, the third such ruling against Turkey on conscientious objection.</t>
        </is>
      </c>
      <c r="N1727" s="7" t="n"/>
      <c r="O1727" s="13" t="inlineStr">
        <is>
          <t>Jehovah's Witnesses</t>
        </is>
      </c>
      <c r="P1727" s="7" t="inlineStr">
        <is>
          <t>jw.legal</t>
        </is>
      </c>
      <c r="Q1727" s="7" t="inlineStr">
        <is>
          <t>court_ruling</t>
        </is>
      </c>
      <c r="R1727" s="7" t="inlineStr">
        <is>
          <t>Bariş Görmez</t>
        </is>
      </c>
      <c r="S1727" s="7" t="inlineStr">
        <is>
          <t>Turkey</t>
        </is>
      </c>
      <c r="T1727" s="7" t="n"/>
      <c r="U1727" s="7" t="n"/>
      <c r="V1727" s="7" t="n">
        <v>1</v>
      </c>
      <c r="W1727" s="7" t="inlineStr">
        <is>
          <t>Legal Report</t>
        </is>
      </c>
      <c r="X1727" s="9" t="inlineStr">
        <is>
          <t>open</t>
        </is>
      </c>
      <c r="Y1727" s="7" t="n"/>
      <c r="Z1727" s="7" t="inlineStr">
        <is>
          <t>https://wol.jw.org/en/wol/d/r1/lp-e/302015057</t>
        </is>
      </c>
      <c r="AA1727" s="7" t="n">
        <v>0</v>
      </c>
      <c r="AB1727" s="7" t="n"/>
      <c r="AC1727" s="7" t="n">
        <v>0</v>
      </c>
      <c r="AD1727" s="7" t="n"/>
      <c r="AE1727" s="7" t="n"/>
      <c r="AF1727" s="7" t="n"/>
      <c r="AG1727" s="7" t="n"/>
      <c r="AH1727" s="7" t="n"/>
      <c r="AI1727" s="7" t="n"/>
      <c r="AJ1727" s="7" t="n"/>
      <c r="AK1727" s="7" t="n"/>
      <c r="AL1727" s="7" t="n"/>
      <c r="AM1727" s="7" t="n">
        <v>2014.422</v>
      </c>
      <c r="AN1727" s="10" t="n"/>
      <c r="AO1727" s="10" t="n"/>
      <c r="AP1727" s="10" t="n"/>
      <c r="AQ1727" s="10" t="n"/>
    </row>
    <row r="1728">
      <c r="A1728" s="7" t="inlineStr">
        <is>
          <t>b9-0329</t>
        </is>
      </c>
      <c r="B1728" s="7" t="inlineStr">
        <is>
          <t>Point</t>
        </is>
      </c>
      <c r="C1728" s="7" t="n"/>
      <c r="D1728" s="7" t="inlineStr">
        <is>
          <t>2014, October 4</t>
        </is>
      </c>
      <c r="E1728" s="7" t="inlineStr">
        <is>
          <t>அக்டோபர் 4, 2014</t>
        </is>
      </c>
      <c r="F1728" s="7" t="inlineStr">
        <is>
          <t>2014 CE</t>
        </is>
      </c>
      <c r="G1728" s="7" t="inlineStr">
        <is>
          <t>Exact</t>
        </is>
      </c>
      <c r="H1728" s="7" t="n"/>
      <c r="I1728" s="7" t="n"/>
      <c r="J1728" s="7" t="n"/>
      <c r="K1728" s="2" t="inlineStr">
        <is>
          <t>130th annual meeting marks 100 years of Kingdom rule</t>
        </is>
      </c>
      <c r="L1728" s="2" t="inlineStr">
        <is>
          <t>உவாட்ச் டவர் பைபிள் அண்டு டிராக்ட் சொஸைட்டி ஆஃப் பென்ஸில்வேனியாவின் 130-வது வருடாந்தரக் கூட்டம், அக்டோபர் 4, 2014 அன்று நடந்தது.</t>
        </is>
      </c>
      <c r="M1728" s="7" t="inlineStr">
        <is>
          <t>On October 4, 2014, some 19,000 attended the 130th annual meeting in Jersey City, New Jersey, which commemorated the 100th anniversary of the Messianic Kingdom.</t>
        </is>
      </c>
      <c r="N1728" s="7" t="inlineStr">
        <is>
          <t>உவாட்ச் டவர் பைபிள் அண்டு டிராக்ட் சொஸைட்டி ஆஃப் பென்ஸில்வேனியாவின் 130-வது வருடாந்தரக் கூட்டம், அக்டோபர் 4, 2014 அன்று நடந்தது.</t>
        </is>
      </c>
      <c r="O1728" s="13" t="inlineStr">
        <is>
          <t>Jehovah's Witnesses</t>
        </is>
      </c>
      <c r="P1728" s="7" t="inlineStr">
        <is>
          <t>jw.organization</t>
        </is>
      </c>
      <c r="Q1728" s="7" t="inlineStr">
        <is>
          <t>meeting</t>
        </is>
      </c>
      <c r="R1728" s="7" t="n"/>
      <c r="S1728" s="7" t="inlineStr">
        <is>
          <t>Jersey City, New Jersey</t>
        </is>
      </c>
      <c r="T1728" s="7" t="n"/>
      <c r="U1728" s="7" t="n"/>
      <c r="V1728" s="7" t="n">
        <v>1</v>
      </c>
      <c r="W1728" s="7" t="inlineStr">
        <is>
          <t>Annual Meeting Report 2014 | Jehovah’s Witnesses</t>
        </is>
      </c>
      <c r="X1728" s="9" t="inlineStr">
        <is>
          <t>open</t>
        </is>
      </c>
      <c r="Y1728" s="9" t="inlineStr">
        <is>
          <t>open</t>
        </is>
      </c>
      <c r="Z1728" s="7" t="inlineStr">
        <is>
          <t>https://www.jw.org/en/jehovahs-witnesses/activities/events/annual-meeting-report-2014/</t>
        </is>
      </c>
      <c r="AA1728" s="7" t="n">
        <v>1</v>
      </c>
      <c r="AB1728" s="9" t="inlineStr">
        <is>
          <t>open</t>
        </is>
      </c>
      <c r="AC1728" s="7" t="n">
        <v>0</v>
      </c>
      <c r="AD1728" s="7" t="n"/>
      <c r="AE1728" s="7" t="n"/>
      <c r="AF1728" s="7" t="n"/>
      <c r="AG1728" s="7" t="n"/>
      <c r="AH1728" s="7" t="n"/>
      <c r="AI1728" s="7" t="n"/>
      <c r="AJ1728" s="7" t="n"/>
      <c r="AK1728" s="7" t="n"/>
      <c r="AL1728" s="7" t="n"/>
      <c r="AM1728" s="7" t="n">
        <v>2014.7581</v>
      </c>
      <c r="AN1728" s="10" t="n"/>
      <c r="AO1728" s="10" t="n"/>
      <c r="AP1728" s="10" t="n"/>
      <c r="AQ1728" s="10" t="n"/>
    </row>
    <row r="1729">
      <c r="A1729" s="7" t="inlineStr">
        <is>
          <t>b9-0330</t>
        </is>
      </c>
      <c r="B1729" s="7" t="inlineStr">
        <is>
          <t>Point</t>
        </is>
      </c>
      <c r="C1729" s="7" t="n"/>
      <c r="D1729" s="7" t="inlineStr">
        <is>
          <t>2014, October 6</t>
        </is>
      </c>
      <c r="E1729" s="7" t="n"/>
      <c r="F1729" s="7" t="inlineStr">
        <is>
          <t>2014 CE</t>
        </is>
      </c>
      <c r="G1729" s="7" t="inlineStr">
        <is>
          <t>Exact</t>
        </is>
      </c>
      <c r="H1729" s="7" t="n"/>
      <c r="I1729" s="7" t="n"/>
      <c r="J1729" s="7" t="n"/>
      <c r="K1729" s="2" t="inlineStr">
        <is>
          <t>JW Broadcasting launched</t>
        </is>
      </c>
      <c r="L1729" s="2" t="n"/>
      <c r="M1729" s="7" t="inlineStr">
        <is>
          <t>On October 6, 2014, a trial English-language Internet television station called JW Broadcasting was launched from Brooklyn; from August 2015 its programs were translated into over 70 languages.</t>
        </is>
      </c>
      <c r="N1729" s="7" t="n"/>
      <c r="O1729" s="13" t="inlineStr">
        <is>
          <t>Jehovah's Witnesses</t>
        </is>
      </c>
      <c r="P1729" s="7" t="inlineStr">
        <is>
          <t>jw.publication</t>
        </is>
      </c>
      <c r="Q1729" s="7" t="inlineStr">
        <is>
          <t>launch</t>
        </is>
      </c>
      <c r="R1729" s="7" t="n"/>
      <c r="S1729" s="7" t="n"/>
      <c r="T1729" s="7" t="n"/>
      <c r="U1729" s="7" t="n"/>
      <c r="V1729" s="7" t="n">
        <v>2</v>
      </c>
      <c r="W1729" s="7" t="inlineStr">
        <is>
          <t>“We Love JW Broadcasting So Much!”</t>
        </is>
      </c>
      <c r="X1729" s="9" t="inlineStr">
        <is>
          <t>open</t>
        </is>
      </c>
      <c r="Y1729" s="7" t="n"/>
      <c r="Z1729" s="7" t="inlineStr">
        <is>
          <t>https://wol.jw.org/en/wol/d/r1/lp-e/302016046
https://www.jw.org/en/news/region/global/JW-Broadcasting-Reaches-Five-Year-Mark/</t>
        </is>
      </c>
      <c r="AA1729" s="7" t="n">
        <v>1</v>
      </c>
      <c r="AB1729" s="9" t="inlineStr">
        <is>
          <t>open</t>
        </is>
      </c>
      <c r="AC1729" s="7" t="n">
        <v>0</v>
      </c>
      <c r="AD1729" s="7" t="n"/>
      <c r="AE1729" s="7" t="n"/>
      <c r="AF1729" s="7" t="n"/>
      <c r="AG1729" s="7" t="n"/>
      <c r="AH1729" s="7" t="n"/>
      <c r="AI1729" s="7" t="n"/>
      <c r="AJ1729" s="7" t="n"/>
      <c r="AK1729" s="7" t="n"/>
      <c r="AL1729" s="7" t="n"/>
      <c r="AM1729" s="7" t="n">
        <v>2014.7634</v>
      </c>
      <c r="AN1729" s="10" t="n"/>
      <c r="AO1729" s="10" t="n"/>
      <c r="AP1729" s="10" t="n"/>
      <c r="AQ1729" s="10" t="n"/>
    </row>
    <row r="1730">
      <c r="A1730" s="7" t="inlineStr">
        <is>
          <t>b9-0331</t>
        </is>
      </c>
      <c r="B1730" s="7" t="inlineStr">
        <is>
          <t>Point</t>
        </is>
      </c>
      <c r="C1730" s="7" t="n"/>
      <c r="D1730" s="7" t="inlineStr">
        <is>
          <t>2015</t>
        </is>
      </c>
      <c r="E1730" s="7" t="n"/>
      <c r="F1730" s="7" t="inlineStr">
        <is>
          <t>2015 CE</t>
        </is>
      </c>
      <c r="G1730" s="7" t="inlineStr">
        <is>
          <t>Exact</t>
        </is>
      </c>
      <c r="H1730" s="7" t="n"/>
      <c r="I1730" s="7" t="n"/>
      <c r="J1730" s="7" t="n"/>
      <c r="K1730" s="2" t="inlineStr">
        <is>
          <t>Understanding clarified: Gog of Magog (Ezek. 38, 39)</t>
        </is>
      </c>
      <c r="L1730" s="2" t="n"/>
      <c r="M1730" s="7" t="inlineStr">
        <is>
          <t>The Watch Tower Publications Index (“Beliefs Clarified,” list by year) records a clarified understanding in 2015 concerning Gog of Magog (Ezek. 38, 39). Index references: rr 240; w15 5/15 29-30.</t>
        </is>
      </c>
      <c r="N1730" s="7" t="n"/>
      <c r="O1730" s="13" t="inlineStr">
        <is>
          <t>Jehovah's Witnesses</t>
        </is>
      </c>
      <c r="P1730" s="7" t="inlineStr">
        <is>
          <t>jw.doctrine</t>
        </is>
      </c>
      <c r="Q1730" s="7" t="inlineStr">
        <is>
          <t>beliefs_clarified</t>
        </is>
      </c>
      <c r="R1730" s="7" t="n"/>
      <c r="S1730" s="7" t="n"/>
      <c r="T1730" s="7" t="inlineStr">
        <is>
          <t>Ezek. 38, 39</t>
        </is>
      </c>
      <c r="U1730" s="7" t="n"/>
      <c r="V1730" s="7" t="n">
        <v>1</v>
      </c>
      <c r="W1730" s="7" t="inlineStr">
        <is>
          <t>Beliefs Clarified</t>
        </is>
      </c>
      <c r="X1730" s="9" t="inlineStr">
        <is>
          <t>open</t>
        </is>
      </c>
      <c r="Y1730" s="7" t="n"/>
      <c r="Z1730" s="7" t="inlineStr">
        <is>
          <t>https://wol.jw.org/en/wol/d/r1/lp-e/1200277174</t>
        </is>
      </c>
      <c r="AA1730" s="7" t="n">
        <v>0</v>
      </c>
      <c r="AB1730" s="7" t="n"/>
      <c r="AC1730" s="7" t="n">
        <v>0</v>
      </c>
      <c r="AD1730" s="7" t="n"/>
      <c r="AE1730" s="7" t="n"/>
      <c r="AF1730" s="7" t="n"/>
      <c r="AG1730" s="7" t="n"/>
      <c r="AH1730" s="7" t="n"/>
      <c r="AI1730" s="7" t="inlineStr">
        <is>
          <t>Index list entry – app detail</t>
        </is>
      </c>
      <c r="AJ1730" s="7" t="n"/>
      <c r="AK1730" s="7" t="n"/>
      <c r="AL1730" s="7" t="n"/>
      <c r="AM1730" s="7" t="n">
        <v>2015</v>
      </c>
      <c r="AN1730" s="10" t="n"/>
      <c r="AO1730" s="10" t="n"/>
      <c r="AP1730" s="10" t="n"/>
      <c r="AQ1730" s="10" t="n"/>
    </row>
    <row r="1731">
      <c r="A1731" s="7" t="inlineStr">
        <is>
          <t>b9-0332</t>
        </is>
      </c>
      <c r="B1731" s="7" t="inlineStr">
        <is>
          <t>Point</t>
        </is>
      </c>
      <c r="C1731" s="7" t="n"/>
      <c r="D1731" s="7" t="inlineStr">
        <is>
          <t>2015</t>
        </is>
      </c>
      <c r="E1731" s="7" t="n"/>
      <c r="F1731" s="7" t="inlineStr">
        <is>
          <t>2015 CE</t>
        </is>
      </c>
      <c r="G1731" s="7" t="inlineStr">
        <is>
          <t>Exact</t>
        </is>
      </c>
      <c r="H1731" s="7" t="n"/>
      <c r="I1731" s="7" t="n"/>
      <c r="J1731" s="7" t="n"/>
      <c r="K1731" s="2" t="inlineStr">
        <is>
          <t>Understanding clarified: head covering for sister conducting Bible study</t>
        </is>
      </c>
      <c r="L1731" s="2" t="n"/>
      <c r="M1731" s="7" t="inlineStr">
        <is>
          <t>The Watch Tower Publications Index (“Beliefs Clarified,” list by year) records a clarified understanding in 2015 concerning head covering for sister conducting Bible study. Index references: w15 2/15 30.</t>
        </is>
      </c>
      <c r="N1731" s="7" t="n"/>
      <c r="O1731" s="13" t="inlineStr">
        <is>
          <t>Jehovah's Witnesses</t>
        </is>
      </c>
      <c r="P1731" s="7" t="inlineStr">
        <is>
          <t>jw.doctrine</t>
        </is>
      </c>
      <c r="Q1731" s="7" t="inlineStr">
        <is>
          <t>beliefs_clarified</t>
        </is>
      </c>
      <c r="R1731" s="7" t="n"/>
      <c r="S1731" s="7" t="n"/>
      <c r="T1731" s="7" t="n"/>
      <c r="U1731" s="7" t="n"/>
      <c r="V1731" s="7" t="n">
        <v>1</v>
      </c>
      <c r="W1731" s="7" t="inlineStr">
        <is>
          <t>Beliefs Clarified</t>
        </is>
      </c>
      <c r="X1731" s="9" t="inlineStr">
        <is>
          <t>open</t>
        </is>
      </c>
      <c r="Y1731" s="7" t="n"/>
      <c r="Z1731" s="7" t="inlineStr">
        <is>
          <t>https://wol.jw.org/en/wol/d/r1/lp-e/1200277174</t>
        </is>
      </c>
      <c r="AA1731" s="7" t="n">
        <v>0</v>
      </c>
      <c r="AB1731" s="7" t="n"/>
      <c r="AC1731" s="7" t="n">
        <v>0</v>
      </c>
      <c r="AD1731" s="7" t="n"/>
      <c r="AE1731" s="7" t="n"/>
      <c r="AF1731" s="7" t="n"/>
      <c r="AG1731" s="7" t="n"/>
      <c r="AH1731" s="7" t="n"/>
      <c r="AI1731" s="7" t="inlineStr">
        <is>
          <t>Index list entry – app detail</t>
        </is>
      </c>
      <c r="AJ1731" s="7" t="n"/>
      <c r="AK1731" s="7" t="n"/>
      <c r="AL1731" s="7" t="n"/>
      <c r="AM1731" s="7" t="n">
        <v>2015</v>
      </c>
      <c r="AN1731" s="10" t="n"/>
      <c r="AO1731" s="10" t="n"/>
      <c r="AP1731" s="10" t="n"/>
      <c r="AQ1731" s="10" t="n"/>
    </row>
    <row r="1732">
      <c r="A1732" s="7" t="inlineStr">
        <is>
          <t>b9-0333</t>
        </is>
      </c>
      <c r="B1732" s="7" t="inlineStr">
        <is>
          <t>Point</t>
        </is>
      </c>
      <c r="C1732" s="7" t="n"/>
      <c r="D1732" s="7" t="inlineStr">
        <is>
          <t>2015</t>
        </is>
      </c>
      <c r="E1732" s="7" t="n"/>
      <c r="F1732" s="7" t="inlineStr">
        <is>
          <t>2015 CE</t>
        </is>
      </c>
      <c r="G1732" s="7" t="inlineStr">
        <is>
          <t>Exact</t>
        </is>
      </c>
      <c r="H1732" s="7" t="n"/>
      <c r="I1732" s="7" t="n"/>
      <c r="J1732" s="7" t="n"/>
      <c r="K1732" s="2" t="inlineStr">
        <is>
          <t>Understanding clarified: illustration of talents (Matt. 25)</t>
        </is>
      </c>
      <c r="L1732" s="2" t="n"/>
      <c r="M1732" s="7" t="inlineStr">
        <is>
          <t>The Watch Tower Publications Index (“Beliefs Clarified,” list by year) records a clarified understanding in 2015 concerning illustration of talents (Matt. 25). Index references: w15 3/15 20-24.</t>
        </is>
      </c>
      <c r="N1732" s="7" t="n"/>
      <c r="O1732" s="13" t="inlineStr">
        <is>
          <t>Jehovah's Witnesses</t>
        </is>
      </c>
      <c r="P1732" s="7" t="inlineStr">
        <is>
          <t>jw.doctrine</t>
        </is>
      </c>
      <c r="Q1732" s="7" t="inlineStr">
        <is>
          <t>beliefs_clarified</t>
        </is>
      </c>
      <c r="R1732" s="7" t="n"/>
      <c r="S1732" s="7" t="n"/>
      <c r="T1732" s="7" t="inlineStr">
        <is>
          <t>Matt. 25</t>
        </is>
      </c>
      <c r="U1732" s="7" t="n"/>
      <c r="V1732" s="7" t="n">
        <v>1</v>
      </c>
      <c r="W1732" s="7" t="inlineStr">
        <is>
          <t>Beliefs Clarified</t>
        </is>
      </c>
      <c r="X1732" s="9" t="inlineStr">
        <is>
          <t>open</t>
        </is>
      </c>
      <c r="Y1732" s="7" t="n"/>
      <c r="Z1732" s="7" t="inlineStr">
        <is>
          <t>https://wol.jw.org/en/wol/d/r1/lp-e/1200277174</t>
        </is>
      </c>
      <c r="AA1732" s="7" t="n">
        <v>0</v>
      </c>
      <c r="AB1732" s="7" t="n"/>
      <c r="AC1732" s="7" t="n">
        <v>0</v>
      </c>
      <c r="AD1732" s="7" t="n"/>
      <c r="AE1732" s="7" t="n"/>
      <c r="AF1732" s="7" t="n"/>
      <c r="AG1732" s="7" t="n"/>
      <c r="AH1732" s="7" t="n"/>
      <c r="AI1732" s="7" t="inlineStr">
        <is>
          <t>Index list entry – app detail</t>
        </is>
      </c>
      <c r="AJ1732" s="7" t="n"/>
      <c r="AK1732" s="7" t="n"/>
      <c r="AL1732" s="7" t="n"/>
      <c r="AM1732" s="7" t="n">
        <v>2015</v>
      </c>
      <c r="AN1732" s="10" t="n"/>
      <c r="AO1732" s="10" t="n"/>
      <c r="AP1732" s="10" t="n"/>
      <c r="AQ1732" s="10" t="n"/>
    </row>
    <row r="1733">
      <c r="A1733" s="7" t="inlineStr">
        <is>
          <t>b9-0334</t>
        </is>
      </c>
      <c r="B1733" s="7" t="inlineStr">
        <is>
          <t>Point</t>
        </is>
      </c>
      <c r="C1733" s="7" t="n"/>
      <c r="D1733" s="7" t="inlineStr">
        <is>
          <t>2015</t>
        </is>
      </c>
      <c r="E1733" s="7" t="n"/>
      <c r="F1733" s="7" t="inlineStr">
        <is>
          <t>2015 CE</t>
        </is>
      </c>
      <c r="G1733" s="7" t="inlineStr">
        <is>
          <t>Exact</t>
        </is>
      </c>
      <c r="H1733" s="7" t="n"/>
      <c r="I1733" s="7" t="n"/>
      <c r="J1733" s="7" t="n"/>
      <c r="K1733" s="2" t="inlineStr">
        <is>
          <t>Understanding clarified: illustration of ten virgins (Matt. 25)</t>
        </is>
      </c>
      <c r="L1733" s="2" t="n"/>
      <c r="M1733" s="7" t="inlineStr">
        <is>
          <t>The Watch Tower Publications Index (“Beliefs Clarified,” list by year) records a clarified understanding in 2015 concerning illustration of ten virgins (Matt. 25). Index references: w15 3/15 13-16.</t>
        </is>
      </c>
      <c r="N1733" s="7" t="n"/>
      <c r="O1733" s="13" t="inlineStr">
        <is>
          <t>Jehovah's Witnesses</t>
        </is>
      </c>
      <c r="P1733" s="7" t="inlineStr">
        <is>
          <t>jw.doctrine</t>
        </is>
      </c>
      <c r="Q1733" s="7" t="inlineStr">
        <is>
          <t>beliefs_clarified</t>
        </is>
      </c>
      <c r="R1733" s="7" t="n"/>
      <c r="S1733" s="7" t="n"/>
      <c r="T1733" s="7" t="inlineStr">
        <is>
          <t>Matt. 25</t>
        </is>
      </c>
      <c r="U1733" s="7" t="n"/>
      <c r="V1733" s="7" t="n">
        <v>1</v>
      </c>
      <c r="W1733" s="7" t="inlineStr">
        <is>
          <t>Beliefs Clarified</t>
        </is>
      </c>
      <c r="X1733" s="9" t="inlineStr">
        <is>
          <t>open</t>
        </is>
      </c>
      <c r="Y1733" s="7" t="n"/>
      <c r="Z1733" s="7" t="inlineStr">
        <is>
          <t>https://wol.jw.org/en/wol/d/r1/lp-e/1200277174</t>
        </is>
      </c>
      <c r="AA1733" s="7" t="n">
        <v>0</v>
      </c>
      <c r="AB1733" s="7" t="n"/>
      <c r="AC1733" s="7" t="n">
        <v>0</v>
      </c>
      <c r="AD1733" s="7" t="n"/>
      <c r="AE1733" s="7" t="n"/>
      <c r="AF1733" s="7" t="n"/>
      <c r="AG1733" s="7" t="n"/>
      <c r="AH1733" s="7" t="n"/>
      <c r="AI1733" s="7" t="inlineStr">
        <is>
          <t>Index list entry – app detail</t>
        </is>
      </c>
      <c r="AJ1733" s="7" t="n"/>
      <c r="AK1733" s="7" t="n"/>
      <c r="AL1733" s="7" t="n"/>
      <c r="AM1733" s="7" t="n">
        <v>2015</v>
      </c>
      <c r="AN1733" s="10" t="n"/>
      <c r="AO1733" s="10" t="n"/>
      <c r="AP1733" s="10" t="n"/>
      <c r="AQ1733" s="10" t="n"/>
    </row>
    <row r="1734">
      <c r="A1734" s="7" t="inlineStr">
        <is>
          <t>b9-0335</t>
        </is>
      </c>
      <c r="B1734" s="7" t="inlineStr">
        <is>
          <t>Point</t>
        </is>
      </c>
      <c r="C1734" s="7" t="n"/>
      <c r="D1734" s="7" t="inlineStr">
        <is>
          <t>2015</t>
        </is>
      </c>
      <c r="E1734" s="7" t="n"/>
      <c r="F1734" s="7" t="inlineStr">
        <is>
          <t>2015 CE</t>
        </is>
      </c>
      <c r="G1734" s="7" t="inlineStr">
        <is>
          <t>Exact</t>
        </is>
      </c>
      <c r="H1734" s="7" t="n"/>
      <c r="I1734" s="7" t="n"/>
      <c r="J1734" s="7" t="n"/>
      <c r="K1734" s="2" t="inlineStr">
        <is>
          <t>Understanding clarified: paradise Paul saw in vision (2 Cor. 12:1-4)</t>
        </is>
      </c>
      <c r="L1734" s="2" t="n"/>
      <c r="M1734" s="7" t="inlineStr">
        <is>
          <t>The Watch Tower Publications Index (“Beliefs Clarified,” list by year) records a clarified understanding in 2015 concerning paradise Paul saw in vision (2 Cor. 12:1-4). Index references: w15 7/15 8-9.</t>
        </is>
      </c>
      <c r="N1734" s="7" t="n"/>
      <c r="O1734" s="13" t="inlineStr">
        <is>
          <t>Jehovah's Witnesses</t>
        </is>
      </c>
      <c r="P1734" s="7" t="inlineStr">
        <is>
          <t>jw.doctrine</t>
        </is>
      </c>
      <c r="Q1734" s="7" t="inlineStr">
        <is>
          <t>beliefs_clarified</t>
        </is>
      </c>
      <c r="R1734" s="7" t="n"/>
      <c r="S1734" s="7" t="n"/>
      <c r="T1734" s="7" t="inlineStr">
        <is>
          <t>2 Cor. 12:1-4</t>
        </is>
      </c>
      <c r="U1734" s="7" t="n"/>
      <c r="V1734" s="7" t="n">
        <v>1</v>
      </c>
      <c r="W1734" s="7" t="inlineStr">
        <is>
          <t>Beliefs Clarified</t>
        </is>
      </c>
      <c r="X1734" s="9" t="inlineStr">
        <is>
          <t>open</t>
        </is>
      </c>
      <c r="Y1734" s="7" t="n"/>
      <c r="Z1734" s="7" t="inlineStr">
        <is>
          <t>https://wol.jw.org/en/wol/d/r1/lp-e/1200277174</t>
        </is>
      </c>
      <c r="AA1734" s="7" t="n">
        <v>0</v>
      </c>
      <c r="AB1734" s="7" t="n"/>
      <c r="AC1734" s="7" t="n">
        <v>0</v>
      </c>
      <c r="AD1734" s="7" t="n"/>
      <c r="AE1734" s="7" t="n"/>
      <c r="AF1734" s="7" t="n"/>
      <c r="AG1734" s="7" t="n"/>
      <c r="AH1734" s="7" t="n"/>
      <c r="AI1734" s="7" t="inlineStr">
        <is>
          <t>Index list entry – app detail</t>
        </is>
      </c>
      <c r="AJ1734" s="7" t="n"/>
      <c r="AK1734" s="7" t="n"/>
      <c r="AL1734" s="7" t="n"/>
      <c r="AM1734" s="7" t="n">
        <v>2015</v>
      </c>
      <c r="AN1734" s="10" t="n"/>
      <c r="AO1734" s="10" t="n"/>
      <c r="AP1734" s="10" t="n"/>
      <c r="AQ1734" s="10" t="n"/>
    </row>
    <row r="1735">
      <c r="A1735" s="7" t="inlineStr">
        <is>
          <t>b9-0336</t>
        </is>
      </c>
      <c r="B1735" s="7" t="inlineStr">
        <is>
          <t>Point</t>
        </is>
      </c>
      <c r="C1735" s="7" t="n"/>
      <c r="D1735" s="7" t="inlineStr">
        <is>
          <t>2015</t>
        </is>
      </c>
      <c r="E1735" s="7" t="n"/>
      <c r="F1735" s="7" t="inlineStr">
        <is>
          <t>2015 CE</t>
        </is>
      </c>
      <c r="G1735" s="7" t="inlineStr">
        <is>
          <t>Exact</t>
        </is>
      </c>
      <c r="H1735" s="7" t="n"/>
      <c r="I1735" s="7" t="n"/>
      <c r="J1735" s="7" t="n"/>
      <c r="K1735" s="2" t="inlineStr">
        <is>
          <t>Understanding clarified: types and antitypes</t>
        </is>
      </c>
      <c r="L1735" s="2" t="n"/>
      <c r="M1735" s="7" t="inlineStr">
        <is>
          <t>The Watch Tower Publications Index (“Beliefs Clarified,” list by year) records a clarified understanding in 2015 concerning types and antitypes. Index references: w15 3/15 9-11, 17-18; w15 6/15 32.</t>
        </is>
      </c>
      <c r="N1735" s="7" t="n"/>
      <c r="O1735" s="13" t="inlineStr">
        <is>
          <t>Jehovah's Witnesses</t>
        </is>
      </c>
      <c r="P1735" s="7" t="inlineStr">
        <is>
          <t>jw.doctrine</t>
        </is>
      </c>
      <c r="Q1735" s="7" t="inlineStr">
        <is>
          <t>beliefs_clarified</t>
        </is>
      </c>
      <c r="R1735" s="7" t="n"/>
      <c r="S1735" s="7" t="n"/>
      <c r="T1735" s="7" t="n"/>
      <c r="U1735" s="7" t="n"/>
      <c r="V1735" s="7" t="n">
        <v>2</v>
      </c>
      <c r="W1735" s="7" t="inlineStr">
        <is>
          <t>Beliefs Clarified</t>
        </is>
      </c>
      <c r="X1735" s="9" t="inlineStr">
        <is>
          <t>open</t>
        </is>
      </c>
      <c r="Y1735" s="7" t="n"/>
      <c r="Z1735" s="7" t="inlineStr">
        <is>
          <t>https://wol.jw.org/en/wol/d/r1/lp-e/1200277174
https://wol.jw.org/en/wol/d/r1/lp-e/2015202</t>
        </is>
      </c>
      <c r="AA1735" s="7" t="n">
        <v>0</v>
      </c>
      <c r="AB1735" s="7" t="n"/>
      <c r="AC1735" s="7" t="n">
        <v>0</v>
      </c>
      <c r="AD1735" s="7" t="n"/>
      <c r="AE1735" s="7" t="n"/>
      <c r="AF1735" s="7" t="n"/>
      <c r="AG1735" s="7" t="n"/>
      <c r="AH1735" s="7" t="n"/>
      <c r="AI1735" s="7" t="n"/>
      <c r="AJ1735" s="7" t="n"/>
      <c r="AK1735" s="7" t="n"/>
      <c r="AL1735" s="7" t="n"/>
      <c r="AM1735" s="7" t="n">
        <v>2015</v>
      </c>
      <c r="AN1735" s="10" t="n"/>
      <c r="AO1735" s="10" t="n"/>
      <c r="AP1735" s="10" t="n"/>
      <c r="AQ1735" s="10" t="n"/>
    </row>
    <row r="1736">
      <c r="A1736" s="7" t="inlineStr">
        <is>
          <t>b9-0337</t>
        </is>
      </c>
      <c r="B1736" s="7" t="inlineStr">
        <is>
          <t>Point</t>
        </is>
      </c>
      <c r="C1736" s="7" t="n"/>
      <c r="D1736" s="7" t="inlineStr">
        <is>
          <t>2015</t>
        </is>
      </c>
      <c r="E1736" s="7" t="n"/>
      <c r="F1736" s="7" t="inlineStr">
        <is>
          <t>2015 CE</t>
        </is>
      </c>
      <c r="G1736" s="7" t="inlineStr">
        <is>
          <t>Exact</t>
        </is>
      </c>
      <c r="H1736" s="7" t="n"/>
      <c r="I1736" s="7" t="n"/>
      <c r="J1736" s="7" t="n"/>
      <c r="K1736" s="2" t="inlineStr">
        <is>
          <t>2015: “Imitate Jesus!” Conventions</t>
        </is>
      </c>
      <c r="L1736" s="2" t="n"/>
      <c r="M1736" s="7" t="inlineStr">
        <is>
          <t>The Watch Tower Publications Index lists the 2015 conventions of Jehovah’s Witnesses as “Imitate Jesus!” Conventions.</t>
        </is>
      </c>
      <c r="N1736" s="7" t="n"/>
      <c r="O1736" s="13" t="inlineStr">
        <is>
          <t>Jehovah's Witnesses</t>
        </is>
      </c>
      <c r="P1736" s="7" t="inlineStr">
        <is>
          <t>jw.convention</t>
        </is>
      </c>
      <c r="Q1736" s="7" t="inlineStr">
        <is>
          <t>convention</t>
        </is>
      </c>
      <c r="R1736" s="7" t="n"/>
      <c r="S1736" s="7" t="n"/>
      <c r="T1736" s="7" t="n"/>
      <c r="U1736" s="7" t="n"/>
      <c r="V1736" s="7" t="n">
        <v>1</v>
      </c>
      <c r="W1736" s="7" t="inlineStr">
        <is>
          <t>Conventions</t>
        </is>
      </c>
      <c r="X1736" s="9" t="inlineStr">
        <is>
          <t>open</t>
        </is>
      </c>
      <c r="Y1736" s="7" t="n"/>
      <c r="Z1736" s="7" t="inlineStr">
        <is>
          <t>https://wol.jw.org/en/wol/d/r1/lp-e/1200271388</t>
        </is>
      </c>
      <c r="AA1736" s="7" t="n">
        <v>0</v>
      </c>
      <c r="AB1736" s="7" t="n"/>
      <c r="AC1736" s="7" t="n">
        <v>0</v>
      </c>
      <c r="AD1736" s="7" t="n"/>
      <c r="AE1736" s="7" t="n"/>
      <c r="AF1736" s="7" t="n"/>
      <c r="AG1736" s="7" t="n"/>
      <c r="AH1736" s="7" t="n"/>
      <c r="AI1736" s="7" t="inlineStr">
        <is>
          <t>Index list entry – app detail</t>
        </is>
      </c>
      <c r="AJ1736" s="7" t="n"/>
      <c r="AK1736" s="7" t="n"/>
      <c r="AL1736" s="7" t="n"/>
      <c r="AM1736" s="7" t="n">
        <v>2015</v>
      </c>
      <c r="AN1736" s="10" t="n"/>
      <c r="AO1736" s="10" t="n"/>
      <c r="AP1736" s="10" t="n"/>
      <c r="AQ1736" s="10" t="n"/>
    </row>
    <row r="1737">
      <c r="A1737" s="7" t="inlineStr">
        <is>
          <t>b9-0338</t>
        </is>
      </c>
      <c r="B1737" s="7" t="inlineStr">
        <is>
          <t>Point</t>
        </is>
      </c>
      <c r="C1737" s="7" t="n"/>
      <c r="D1737" s="7" t="inlineStr">
        <is>
          <t>2015, January 24</t>
        </is>
      </c>
      <c r="E1737" s="7" t="n"/>
      <c r="F1737" s="7" t="inlineStr">
        <is>
          <t>2015 CE</t>
        </is>
      </c>
      <c r="G1737" s="7" t="inlineStr">
        <is>
          <t>Exact</t>
        </is>
      </c>
      <c r="H1737" s="7" t="n"/>
      <c r="I1737" s="7" t="n"/>
      <c r="J1737" s="7" t="n"/>
      <c r="K1737" s="2" t="inlineStr">
        <is>
          <t>Madagascar branch dedicated</t>
        </is>
      </c>
      <c r="L1737" s="2" t="n"/>
      <c r="M1737" s="7" t="inlineStr">
        <is>
          <t>The Madagascar branch was dedicated on Saturday, January 24, 2015.</t>
        </is>
      </c>
      <c r="N1737" s="7" t="n"/>
      <c r="O1737" s="13" t="inlineStr">
        <is>
          <t>Jehovah's Witnesses</t>
        </is>
      </c>
      <c r="P1737" s="7" t="inlineStr">
        <is>
          <t>jw.construction</t>
        </is>
      </c>
      <c r="Q1737" s="7" t="inlineStr">
        <is>
          <t>dedication</t>
        </is>
      </c>
      <c r="R1737" s="7" t="n"/>
      <c r="S1737" s="7" t="inlineStr">
        <is>
          <t>Madagascar</t>
        </is>
      </c>
      <c r="T1737" s="7" t="n"/>
      <c r="U1737" s="7" t="n"/>
      <c r="V1737" s="7" t="n">
        <v>1</v>
      </c>
      <c r="W1737" s="7" t="inlineStr">
        <is>
          <t>Branch Dedications</t>
        </is>
      </c>
      <c r="X1737" s="9" t="inlineStr">
        <is>
          <t>open</t>
        </is>
      </c>
      <c r="Y1737" s="7" t="n"/>
      <c r="Z1737" s="7" t="inlineStr">
        <is>
          <t>https://wol.jw.org/en/wol/d/r1/lp-e/302016052</t>
        </is>
      </c>
      <c r="AA1737" s="7" t="n">
        <v>0</v>
      </c>
      <c r="AB1737" s="7" t="n"/>
      <c r="AC1737" s="7" t="n">
        <v>0</v>
      </c>
      <c r="AD1737" s="7" t="n"/>
      <c r="AE1737" s="7" t="n"/>
      <c r="AF1737" s="7" t="n"/>
      <c r="AG1737" s="7" t="n"/>
      <c r="AH1737" s="7" t="n"/>
      <c r="AI1737" s="7" t="n"/>
      <c r="AJ1737" s="7" t="n"/>
      <c r="AK1737" s="7" t="n"/>
      <c r="AL1737" s="7" t="n"/>
      <c r="AM1737" s="7" t="n">
        <v>2015.0618</v>
      </c>
      <c r="AN1737" s="10" t="n"/>
      <c r="AO1737" s="10" t="n"/>
      <c r="AP1737" s="10" t="n"/>
      <c r="AQ1737" s="10" t="n"/>
    </row>
    <row r="1738">
      <c r="A1738" s="7" t="inlineStr">
        <is>
          <t>b9-0339</t>
        </is>
      </c>
      <c r="B1738" s="7" t="inlineStr">
        <is>
          <t>Point</t>
        </is>
      </c>
      <c r="C1738" s="7" t="n"/>
      <c r="D1738" s="7" t="inlineStr">
        <is>
          <t>2015, February 14</t>
        </is>
      </c>
      <c r="E1738" s="7" t="n"/>
      <c r="F1738" s="7" t="inlineStr">
        <is>
          <t>2015 CE</t>
        </is>
      </c>
      <c r="G1738" s="7" t="inlineStr">
        <is>
          <t>Exact</t>
        </is>
      </c>
      <c r="H1738" s="7" t="n"/>
      <c r="I1738" s="7" t="n"/>
      <c r="J1738" s="7" t="n"/>
      <c r="K1738" s="2" t="inlineStr">
        <is>
          <t>New branch facilities in Jakarta dedicated</t>
        </is>
      </c>
      <c r="L1738" s="2" t="n"/>
      <c r="M1738" s="7" t="inlineStr">
        <is>
          <t>New branch facilities in Jakarta, Indonesia, were dedicated on February 14, 2015.</t>
        </is>
      </c>
      <c r="N1738" s="7" t="n"/>
      <c r="O1738" s="13" t="inlineStr">
        <is>
          <t>Jehovah's Witnesses</t>
        </is>
      </c>
      <c r="P1738" s="7" t="inlineStr">
        <is>
          <t>jw.construction</t>
        </is>
      </c>
      <c r="Q1738" s="7" t="inlineStr">
        <is>
          <t>dedication</t>
        </is>
      </c>
      <c r="R1738" s="7" t="n"/>
      <c r="S1738" s="7" t="inlineStr">
        <is>
          <t>Jakarta, Indonesia</t>
        </is>
      </c>
      <c r="T1738" s="7" t="n"/>
      <c r="U1738" s="7" t="n"/>
      <c r="V1738" s="7" t="n">
        <v>1</v>
      </c>
      <c r="W1738" s="7" t="inlineStr">
        <is>
          <t>Branch Dedications</t>
        </is>
      </c>
      <c r="X1738" s="9" t="inlineStr">
        <is>
          <t>open</t>
        </is>
      </c>
      <c r="Y1738" s="7" t="n"/>
      <c r="Z1738" s="7" t="inlineStr">
        <is>
          <t>https://wol.jw.org/en/wol/d/r1/lp-e/302016052</t>
        </is>
      </c>
      <c r="AA1738" s="7" t="n">
        <v>0</v>
      </c>
      <c r="AB1738" s="7" t="n"/>
      <c r="AC1738" s="7" t="n">
        <v>0</v>
      </c>
      <c r="AD1738" s="7" t="n"/>
      <c r="AE1738" s="7" t="n"/>
      <c r="AF1738" s="7" t="n"/>
      <c r="AG1738" s="7" t="n"/>
      <c r="AH1738" s="7" t="n"/>
      <c r="AI1738" s="7" t="n"/>
      <c r="AJ1738" s="7" t="n"/>
      <c r="AK1738" s="7" t="n"/>
      <c r="AL1738" s="7" t="n"/>
      <c r="AM1738" s="7" t="n">
        <v>2015.1183</v>
      </c>
      <c r="AN1738" s="10" t="n"/>
      <c r="AO1738" s="10" t="n"/>
      <c r="AP1738" s="10" t="n"/>
      <c r="AQ1738" s="10" t="n"/>
    </row>
    <row r="1739">
      <c r="A1739" s="7" t="inlineStr">
        <is>
          <t>b9-0340</t>
        </is>
      </c>
      <c r="B1739" s="7" t="inlineStr">
        <is>
          <t>Point</t>
        </is>
      </c>
      <c r="C1739" s="7" t="n"/>
      <c r="D1739" s="7" t="inlineStr">
        <is>
          <t>2015, May</t>
        </is>
      </c>
      <c r="E1739" s="7" t="n"/>
      <c r="F1739" s="7" t="inlineStr">
        <is>
          <t>2015 CE</t>
        </is>
      </c>
      <c r="G1739" s="7" t="inlineStr">
        <is>
          <t>Exact</t>
        </is>
      </c>
      <c r="H1739" s="7" t="n"/>
      <c r="I1739" s="7" t="n"/>
      <c r="J1739" s="7" t="n"/>
      <c r="K1739" s="2" t="inlineStr">
        <is>
          <t>JW Broadcasting approved for translation</t>
        </is>
      </c>
      <c r="L1739" s="2" t="n"/>
      <c r="M1739" s="7" t="inlineStr">
        <is>
          <t>In May 2015 the Governing Body approved translating the monthly broadcasts into over 40 languages; by 2019 they were translated into an average of 185 languages.</t>
        </is>
      </c>
      <c r="N1739" s="7" t="n"/>
      <c r="O1739" s="13" t="inlineStr">
        <is>
          <t>Jehovah's Witnesses</t>
        </is>
      </c>
      <c r="P1739" s="7" t="inlineStr">
        <is>
          <t>jw.publication</t>
        </is>
      </c>
      <c r="Q1739" s="7" t="n"/>
      <c r="R1739" s="7" t="n"/>
      <c r="S1739" s="7" t="n"/>
      <c r="T1739" s="7" t="n"/>
      <c r="U1739" s="7" t="n"/>
      <c r="V1739" s="7" t="n">
        <v>1</v>
      </c>
      <c r="W1739" s="7" t="inlineStr">
        <is>
          <t>JW Broadcasting Reaches Five-Year Mark</t>
        </is>
      </c>
      <c r="X1739" s="9" t="inlineStr">
        <is>
          <t>open</t>
        </is>
      </c>
      <c r="Y1739" s="7" t="n"/>
      <c r="Z1739" s="7" t="inlineStr">
        <is>
          <t>https://www.jw.org/en/news/region/global/JW-Broadcasting-Reaches-Five-Year-Mark/</t>
        </is>
      </c>
      <c r="AA1739" s="7" t="n">
        <v>1</v>
      </c>
      <c r="AB1739" s="9" t="inlineStr">
        <is>
          <t>open</t>
        </is>
      </c>
      <c r="AC1739" s="7" t="n">
        <v>0</v>
      </c>
      <c r="AD1739" s="7" t="n"/>
      <c r="AE1739" s="7" t="n"/>
      <c r="AF1739" s="7" t="n"/>
      <c r="AG1739" s="7" t="n"/>
      <c r="AH1739" s="7" t="n"/>
      <c r="AI1739" s="7" t="n"/>
      <c r="AJ1739" s="7" t="n"/>
      <c r="AK1739" s="7" t="n"/>
      <c r="AL1739" s="7" t="n"/>
      <c r="AM1739" s="7" t="n">
        <v>2015.3333</v>
      </c>
      <c r="AN1739" s="10" t="n"/>
      <c r="AO1739" s="10" t="n"/>
      <c r="AP1739" s="10" t="n"/>
      <c r="AQ1739" s="10" t="n"/>
    </row>
    <row r="1740">
      <c r="A1740" s="7" t="inlineStr">
        <is>
          <t>b9-0341</t>
        </is>
      </c>
      <c r="B1740" s="7" t="inlineStr">
        <is>
          <t>Point</t>
        </is>
      </c>
      <c r="C1740" s="7" t="n"/>
      <c r="D1740" s="7" t="inlineStr">
        <is>
          <t>2015, May 27</t>
        </is>
      </c>
      <c r="E1740" s="7" t="n"/>
      <c r="F1740" s="7" t="inlineStr">
        <is>
          <t>2015 CE</t>
        </is>
      </c>
      <c r="G1740" s="7" t="inlineStr">
        <is>
          <t>Exact</t>
        </is>
      </c>
      <c r="H1740" s="7" t="n"/>
      <c r="I1740" s="7" t="n"/>
      <c r="J1740" s="7" t="n"/>
      <c r="K1740" s="2" t="inlineStr">
        <is>
          <t>New Local Religious Organization registered in Moscow</t>
        </is>
      </c>
      <c r="L1740" s="2" t="n"/>
      <c r="M1740" s="7" t="inlineStr">
        <is>
          <t>On May 27, 2015, the Moscow Department of the Russian Ministry of Justice registered a new Local Religious Organization of Jehovah’s Witnesses in Moscow.</t>
        </is>
      </c>
      <c r="N1740" s="7" t="n"/>
      <c r="O1740" s="13" t="inlineStr">
        <is>
          <t>Jehovah's Witnesses</t>
        </is>
      </c>
      <c r="P1740" s="7" t="inlineStr">
        <is>
          <t>jw.legal</t>
        </is>
      </c>
      <c r="Q1740" s="7" t="n"/>
      <c r="R1740" s="7" t="n"/>
      <c r="S1740" s="7" t="inlineStr">
        <is>
          <t>Moscow</t>
        </is>
      </c>
      <c r="T1740" s="7" t="n"/>
      <c r="U1740" s="7" t="n"/>
      <c r="V1740" s="7" t="n">
        <v>1</v>
      </c>
      <c r="W1740" s="7" t="inlineStr">
        <is>
          <t>Legal Report</t>
        </is>
      </c>
      <c r="X1740" s="9" t="inlineStr">
        <is>
          <t>open</t>
        </is>
      </c>
      <c r="Y1740" s="7" t="n"/>
      <c r="Z1740" s="7" t="inlineStr">
        <is>
          <t>https://wol.jw.org/en/wol/d/r1/lp-e/302016053</t>
        </is>
      </c>
      <c r="AA1740" s="7" t="n">
        <v>0</v>
      </c>
      <c r="AB1740" s="7" t="n"/>
      <c r="AC1740" s="7" t="n">
        <v>0</v>
      </c>
      <c r="AD1740" s="7" t="n"/>
      <c r="AE1740" s="7" t="n"/>
      <c r="AF1740" s="7" t="n"/>
      <c r="AG1740" s="7" t="n"/>
      <c r="AH1740" s="7" t="n"/>
      <c r="AI1740" s="7" t="n"/>
      <c r="AJ1740" s="7" t="n"/>
      <c r="AK1740" s="7" t="n"/>
      <c r="AL1740" s="7" t="n"/>
      <c r="AM1740" s="7" t="n">
        <v>2015.4032</v>
      </c>
      <c r="AN1740" s="10" t="n"/>
      <c r="AO1740" s="10" t="n"/>
      <c r="AP1740" s="10" t="n"/>
      <c r="AQ1740" s="10" t="n"/>
    </row>
    <row r="1741">
      <c r="A1741" s="7" t="inlineStr">
        <is>
          <t>b9-0342</t>
        </is>
      </c>
      <c r="B1741" s="7" t="inlineStr">
        <is>
          <t>Point</t>
        </is>
      </c>
      <c r="C1741" s="7" t="n"/>
      <c r="D1741" s="7" t="inlineStr">
        <is>
          <t>2015, June 24</t>
        </is>
      </c>
      <c r="E1741" s="7" t="n"/>
      <c r="F1741" s="7" t="inlineStr">
        <is>
          <t>2015 CE</t>
        </is>
      </c>
      <c r="G1741" s="7" t="inlineStr">
        <is>
          <t>Exact</t>
        </is>
      </c>
      <c r="H1741" s="7" t="n"/>
      <c r="I1741" s="7" t="n"/>
      <c r="J1741" s="7" t="n"/>
      <c r="K1741" s="2" t="inlineStr">
        <is>
          <t>Namibia Supreme Court upholds patient’s right to refuse blood</t>
        </is>
      </c>
      <c r="L1741" s="2" t="n"/>
      <c r="M1741" s="7" t="inlineStr">
        <is>
          <t>On June 24, 2015, the Supreme Court of Namibia upheld Sister Semente’s right to choose what can be done to her body.</t>
        </is>
      </c>
      <c r="N1741" s="7" t="n"/>
      <c r="O1741" s="13" t="inlineStr">
        <is>
          <t>Jehovah's Witnesses</t>
        </is>
      </c>
      <c r="P1741" s="7" t="inlineStr">
        <is>
          <t>jw.legal</t>
        </is>
      </c>
      <c r="Q1741" s="7" t="inlineStr">
        <is>
          <t>court_ruling</t>
        </is>
      </c>
      <c r="R1741" s="7" t="n"/>
      <c r="S1741" s="7" t="inlineStr">
        <is>
          <t>Namibia</t>
        </is>
      </c>
      <c r="T1741" s="7" t="n"/>
      <c r="U1741" s="7" t="n"/>
      <c r="V1741" s="7" t="n">
        <v>1</v>
      </c>
      <c r="W1741" s="7" t="inlineStr">
        <is>
          <t>Legal Report</t>
        </is>
      </c>
      <c r="X1741" s="9" t="inlineStr">
        <is>
          <t>open</t>
        </is>
      </c>
      <c r="Y1741" s="7" t="n"/>
      <c r="Z1741" s="7" t="inlineStr">
        <is>
          <t>https://wol.jw.org/en/wol/d/r1/lp-e/302016053</t>
        </is>
      </c>
      <c r="AA1741" s="7" t="n">
        <v>0</v>
      </c>
      <c r="AB1741" s="7" t="n"/>
      <c r="AC1741" s="7" t="n">
        <v>0</v>
      </c>
      <c r="AD1741" s="7" t="n"/>
      <c r="AE1741" s="7" t="n"/>
      <c r="AF1741" s="7" t="n"/>
      <c r="AG1741" s="7" t="n"/>
      <c r="AH1741" s="7" t="n"/>
      <c r="AI1741" s="7" t="n"/>
      <c r="AJ1741" s="7" t="n"/>
      <c r="AK1741" s="7" t="n"/>
      <c r="AL1741" s="7" t="n"/>
      <c r="AM1741" s="7" t="n">
        <v>2015.4785</v>
      </c>
      <c r="AN1741" s="10" t="n"/>
      <c r="AO1741" s="10" t="n"/>
      <c r="AP1741" s="10" t="n"/>
      <c r="AQ1741" s="10" t="n"/>
    </row>
    <row r="1742">
      <c r="A1742" s="7" t="inlineStr">
        <is>
          <t>b9-0343</t>
        </is>
      </c>
      <c r="B1742" s="7" t="inlineStr">
        <is>
          <t>Point</t>
        </is>
      </c>
      <c r="C1742" s="7" t="n"/>
      <c r="D1742" s="7" t="inlineStr">
        <is>
          <t>2015, September 23</t>
        </is>
      </c>
      <c r="E1742" s="7" t="n"/>
      <c r="F1742" s="7" t="inlineStr">
        <is>
          <t>2015 CE</t>
        </is>
      </c>
      <c r="G1742" s="7" t="inlineStr">
        <is>
          <t>Exact</t>
        </is>
      </c>
      <c r="H1742" s="7" t="n"/>
      <c r="I1742" s="7" t="n"/>
      <c r="J1742" s="7" t="n"/>
      <c r="K1742" s="2" t="inlineStr">
        <is>
          <t>Organizational changes announced to worldwide Bethel family</t>
        </is>
      </c>
      <c r="L1742" s="2" t="n"/>
      <c r="M1742" s="7" t="inlineStr">
        <is>
          <t>On September 23, 2015, the Governing Body informed the worldwide Bethel family of organizational changes to make the best use of dedicated funds, giving priority to the global preaching work.</t>
        </is>
      </c>
      <c r="N1742" s="7" t="n"/>
      <c r="O1742" s="13" t="inlineStr">
        <is>
          <t>Jehovah's Witnesses</t>
        </is>
      </c>
      <c r="P1742" s="7" t="inlineStr">
        <is>
          <t>jw.organization</t>
        </is>
      </c>
      <c r="Q1742" s="7" t="n"/>
      <c r="R1742" s="7" t="n"/>
      <c r="S1742" s="7" t="n"/>
      <c r="T1742" s="7" t="n"/>
      <c r="U1742" s="7" t="n"/>
      <c r="V1742" s="7" t="n">
        <v>1</v>
      </c>
      <c r="W1742" s="7" t="inlineStr">
        <is>
          <t>Giving Priority to the Global Preaching Work</t>
        </is>
      </c>
      <c r="X1742" s="9" t="inlineStr">
        <is>
          <t>open</t>
        </is>
      </c>
      <c r="Y1742" s="7" t="n"/>
      <c r="Z1742" s="7" t="inlineStr">
        <is>
          <t>https://wol.jw.org/en/wol/d/r1/lp-e/302017037</t>
        </is>
      </c>
      <c r="AA1742" s="7" t="n">
        <v>0</v>
      </c>
      <c r="AB1742" s="7" t="n"/>
      <c r="AC1742" s="7" t="n">
        <v>0</v>
      </c>
      <c r="AD1742" s="7" t="n"/>
      <c r="AE1742" s="7" t="n"/>
      <c r="AF1742" s="7" t="n"/>
      <c r="AG1742" s="7" t="n"/>
      <c r="AH1742" s="7" t="n"/>
      <c r="AI1742" s="7" t="n"/>
      <c r="AJ1742" s="7" t="n"/>
      <c r="AK1742" s="7" t="n"/>
      <c r="AL1742" s="7" t="n"/>
      <c r="AM1742" s="7" t="n">
        <v>2015.7258</v>
      </c>
      <c r="AN1742" s="10" t="n"/>
      <c r="AO1742" s="10" t="n"/>
      <c r="AP1742" s="10" t="n"/>
      <c r="AQ1742" s="10" t="n"/>
    </row>
    <row r="1743">
      <c r="A1743" s="7" t="inlineStr">
        <is>
          <t>b9-0344</t>
        </is>
      </c>
      <c r="B1743" s="7" t="inlineStr">
        <is>
          <t>Point</t>
        </is>
      </c>
      <c r="C1743" s="7" t="n"/>
      <c r="D1743" s="7" t="inlineStr">
        <is>
          <t>2015, October 3</t>
        </is>
      </c>
      <c r="E1743" s="7" t="n"/>
      <c r="F1743" s="7" t="inlineStr">
        <is>
          <t>2015 CE</t>
        </is>
      </c>
      <c r="G1743" s="7" t="inlineStr">
        <is>
          <t>Exact</t>
        </is>
      </c>
      <c r="H1743" s="7" t="n"/>
      <c r="I1743" s="7" t="n"/>
      <c r="J1743" s="7" t="n"/>
      <c r="K1743" s="2" t="inlineStr">
        <is>
          <t>New midweek meeting “Our Christian Life and Ministry” announced</t>
        </is>
      </c>
      <c r="L1743" s="2" t="n"/>
      <c r="M1743" s="7" t="inlineStr">
        <is>
          <t>At the annual meeting on October 3, 2015, Anthony Morris announced that the Theocratic Ministry School, Service Meeting, and Congregation Bible Study would be replaced by the meeting Our Christian Life and Ministry, which began in January 2016.</t>
        </is>
      </c>
      <c r="N1743" s="7" t="n"/>
      <c r="O1743" s="13" t="inlineStr">
        <is>
          <t>Jehovah's Witnesses</t>
        </is>
      </c>
      <c r="P1743" s="7" t="inlineStr">
        <is>
          <t>jw.organization</t>
        </is>
      </c>
      <c r="Q1743" s="7" t="n"/>
      <c r="R1743" s="7" t="inlineStr">
        <is>
          <t>Anthony Morris III</t>
        </is>
      </c>
      <c r="S1743" s="7" t="n"/>
      <c r="T1743" s="7" t="n"/>
      <c r="U1743" s="7" t="n"/>
      <c r="V1743" s="7" t="n">
        <v>1</v>
      </c>
      <c r="W1743" s="7" t="inlineStr">
        <is>
          <t>A New Meeting for Our Christian Life and Ministry</t>
        </is>
      </c>
      <c r="X1743" s="9" t="inlineStr">
        <is>
          <t>open</t>
        </is>
      </c>
      <c r="Y1743" s="7" t="n"/>
      <c r="Z1743" s="7" t="inlineStr">
        <is>
          <t>https://wol.jw.org/en/wol/d/r1/lp-e/302017039</t>
        </is>
      </c>
      <c r="AA1743" s="7" t="n">
        <v>0</v>
      </c>
      <c r="AB1743" s="7" t="n"/>
      <c r="AC1743" s="7" t="n">
        <v>0</v>
      </c>
      <c r="AD1743" s="7" t="n"/>
      <c r="AE1743" s="7" t="n"/>
      <c r="AF1743" s="7" t="n"/>
      <c r="AG1743" s="7" t="n"/>
      <c r="AH1743" s="7" t="n"/>
      <c r="AI1743" s="7" t="n"/>
      <c r="AJ1743" s="7" t="n"/>
      <c r="AK1743" s="7" t="n"/>
      <c r="AL1743" s="7" t="n"/>
      <c r="AM1743" s="7" t="n">
        <v>2015.7554</v>
      </c>
      <c r="AN1743" s="10" t="n"/>
      <c r="AO1743" s="10" t="n"/>
      <c r="AP1743" s="10" t="n"/>
      <c r="AQ1743" s="10" t="n"/>
    </row>
    <row r="1744">
      <c r="A1744" s="7" t="inlineStr">
        <is>
          <t>b9-0345</t>
        </is>
      </c>
      <c r="B1744" s="7" t="inlineStr">
        <is>
          <t>Point</t>
        </is>
      </c>
      <c r="C1744" s="7" t="n"/>
      <c r="D1744" s="7" t="inlineStr">
        <is>
          <t>2015, December 21</t>
        </is>
      </c>
      <c r="E1744" s="7" t="n"/>
      <c r="F1744" s="7" t="inlineStr">
        <is>
          <t>2015 CE</t>
        </is>
      </c>
      <c r="G1744" s="7" t="inlineStr">
        <is>
          <t>Exact</t>
        </is>
      </c>
      <c r="H1744" s="7" t="n"/>
      <c r="I1744" s="7" t="n"/>
      <c r="J1744" s="7" t="n"/>
      <c r="K1744" s="2" t="inlineStr">
        <is>
          <t>Bremen grants Witnesses higher legal status</t>
        </is>
      </c>
      <c r="L1744" s="2" t="n"/>
      <c r="M1744" s="7" t="inlineStr">
        <is>
          <t>On December 21, 2015, the German state of Bremen granted the Religious Association of Jehovah’s Witnesses in Germany a higher level of legal status.</t>
        </is>
      </c>
      <c r="N1744" s="7" t="n"/>
      <c r="O1744" s="13" t="inlineStr">
        <is>
          <t>Jehovah's Witnesses</t>
        </is>
      </c>
      <c r="P1744" s="7" t="inlineStr">
        <is>
          <t>jw.legal</t>
        </is>
      </c>
      <c r="Q1744" s="7" t="n"/>
      <c r="R1744" s="7" t="n"/>
      <c r="S1744" s="7" t="inlineStr">
        <is>
          <t>Bremen, Germany</t>
        </is>
      </c>
      <c r="T1744" s="7" t="n"/>
      <c r="U1744" s="7" t="n"/>
      <c r="V1744" s="7" t="n">
        <v>1</v>
      </c>
      <c r="W1744" s="7" t="inlineStr">
        <is>
          <t>Legal Report</t>
        </is>
      </c>
      <c r="X1744" s="9" t="inlineStr">
        <is>
          <t>open</t>
        </is>
      </c>
      <c r="Y1744" s="7" t="n"/>
      <c r="Z1744" s="7" t="inlineStr">
        <is>
          <t>https://wol.jw.org/en/wol/d/r1/lp-e/302017042</t>
        </is>
      </c>
      <c r="AA1744" s="7" t="n">
        <v>0</v>
      </c>
      <c r="AB1744" s="7" t="n"/>
      <c r="AC1744" s="7" t="n">
        <v>0</v>
      </c>
      <c r="AD1744" s="7" t="n"/>
      <c r="AE1744" s="7" t="n"/>
      <c r="AF1744" s="7" t="n"/>
      <c r="AG1744" s="7" t="n"/>
      <c r="AH1744" s="7" t="n"/>
      <c r="AI1744" s="7" t="n"/>
      <c r="AJ1744" s="7" t="n"/>
      <c r="AK1744" s="7" t="n"/>
      <c r="AL1744" s="7" t="n"/>
      <c r="AM1744" s="7" t="n">
        <v>2015.9704</v>
      </c>
      <c r="AN1744" s="10" t="n"/>
      <c r="AO1744" s="10" t="n"/>
      <c r="AP1744" s="10" t="n"/>
      <c r="AQ1744" s="10" t="n"/>
    </row>
    <row r="1745">
      <c r="A1745" s="7" t="inlineStr">
        <is>
          <t>b9-0346</t>
        </is>
      </c>
      <c r="B1745" s="7" t="inlineStr">
        <is>
          <t>Point</t>
        </is>
      </c>
      <c r="C1745" s="7" t="n"/>
      <c r="D1745" s="7" t="inlineStr">
        <is>
          <t>2016</t>
        </is>
      </c>
      <c r="E1745" s="7" t="n"/>
      <c r="F1745" s="7" t="inlineStr">
        <is>
          <t>2016 CE</t>
        </is>
      </c>
      <c r="G1745" s="7" t="inlineStr">
        <is>
          <t>Exact</t>
        </is>
      </c>
      <c r="H1745" s="7" t="n"/>
      <c r="I1745" s="7" t="n"/>
      <c r="J1745" s="7" t="n"/>
      <c r="K1745" s="2" t="inlineStr">
        <is>
          <t>Understanding clarified: anointed zealously active during World War I</t>
        </is>
      </c>
      <c r="L1745" s="2" t="n"/>
      <c r="M1745" s="7" t="inlineStr">
        <is>
          <t>The Watch Tower Publications Index (“Beliefs Clarified,” list by year) records a clarified understanding in 2016 concerning anointed zealously active during World War I. Index references: w16.11 27-29.</t>
        </is>
      </c>
      <c r="N1745" s="7" t="n"/>
      <c r="O1745" s="13" t="inlineStr">
        <is>
          <t>Jehovah's Witnesses</t>
        </is>
      </c>
      <c r="P1745" s="7" t="inlineStr">
        <is>
          <t>jw.doctrine</t>
        </is>
      </c>
      <c r="Q1745" s="7" t="inlineStr">
        <is>
          <t>beliefs_clarified</t>
        </is>
      </c>
      <c r="R1745" s="7" t="n"/>
      <c r="S1745" s="7" t="n"/>
      <c r="T1745" s="7" t="n"/>
      <c r="U1745" s="7" t="n"/>
      <c r="V1745" s="7" t="n">
        <v>1</v>
      </c>
      <c r="W1745" s="7" t="inlineStr">
        <is>
          <t>Beliefs Clarified</t>
        </is>
      </c>
      <c r="X1745" s="9" t="inlineStr">
        <is>
          <t>open</t>
        </is>
      </c>
      <c r="Y1745" s="7" t="n"/>
      <c r="Z1745" s="7" t="inlineStr">
        <is>
          <t>https://wol.jw.org/en/wol/d/r1/lp-e/1200277174</t>
        </is>
      </c>
      <c r="AA1745" s="7" t="n">
        <v>0</v>
      </c>
      <c r="AB1745" s="7" t="n"/>
      <c r="AC1745" s="7" t="n">
        <v>0</v>
      </c>
      <c r="AD1745" s="7" t="n"/>
      <c r="AE1745" s="7" t="n"/>
      <c r="AF1745" s="7" t="n"/>
      <c r="AG1745" s="7" t="n"/>
      <c r="AH1745" s="7" t="n"/>
      <c r="AI1745" s="7" t="inlineStr">
        <is>
          <t>Index list entry – app detail</t>
        </is>
      </c>
      <c r="AJ1745" s="7" t="n"/>
      <c r="AK1745" s="7" t="n"/>
      <c r="AL1745" s="7" t="n"/>
      <c r="AM1745" s="7" t="n">
        <v>2016</v>
      </c>
      <c r="AN1745" s="10" t="n"/>
      <c r="AO1745" s="10" t="n"/>
      <c r="AP1745" s="10" t="n"/>
      <c r="AQ1745" s="10" t="n"/>
    </row>
    <row r="1746">
      <c r="A1746" s="7" t="inlineStr">
        <is>
          <t>b9-0347</t>
        </is>
      </c>
      <c r="B1746" s="7" t="inlineStr">
        <is>
          <t>Point</t>
        </is>
      </c>
      <c r="C1746" s="7" t="n"/>
      <c r="D1746" s="7" t="inlineStr">
        <is>
          <t>2016</t>
        </is>
      </c>
      <c r="E1746" s="7" t="n"/>
      <c r="F1746" s="7" t="inlineStr">
        <is>
          <t>2016 CE</t>
        </is>
      </c>
      <c r="G1746" s="7" t="inlineStr">
        <is>
          <t>Exact</t>
        </is>
      </c>
      <c r="H1746" s="7" t="n"/>
      <c r="I1746" s="7" t="n"/>
      <c r="J1746" s="7" t="n"/>
      <c r="K1746" s="2" t="inlineStr">
        <is>
          <t>Understanding clarified: captivity of anointed to Babylon the Great</t>
        </is>
      </c>
      <c r="L1746" s="2" t="n"/>
      <c r="M1746" s="7" t="inlineStr">
        <is>
          <t>The Watch Tower Publications Index (“Beliefs Clarified,” list by year) records a clarified understanding in 2016 concerning captivity of anointed to Babylon the Great. Index references: w16.03 29-31; w16.11 21-30.</t>
        </is>
      </c>
      <c r="N1746" s="7" t="n"/>
      <c r="O1746" s="13" t="inlineStr">
        <is>
          <t>Jehovah's Witnesses</t>
        </is>
      </c>
      <c r="P1746" s="7" t="inlineStr">
        <is>
          <t>jw.doctrine</t>
        </is>
      </c>
      <c r="Q1746" s="7" t="inlineStr">
        <is>
          <t>beliefs_clarified</t>
        </is>
      </c>
      <c r="R1746" s="7" t="n"/>
      <c r="S1746" s="7" t="n"/>
      <c r="T1746" s="7" t="n"/>
      <c r="U1746" s="7" t="n"/>
      <c r="V1746" s="7" t="n">
        <v>1</v>
      </c>
      <c r="W1746" s="7" t="inlineStr">
        <is>
          <t>Beliefs Clarified</t>
        </is>
      </c>
      <c r="X1746" s="9" t="inlineStr">
        <is>
          <t>open</t>
        </is>
      </c>
      <c r="Y1746" s="7" t="n"/>
      <c r="Z1746" s="7" t="inlineStr">
        <is>
          <t>https://wol.jw.org/en/wol/d/r1/lp-e/1200277174</t>
        </is>
      </c>
      <c r="AA1746" s="7" t="n">
        <v>0</v>
      </c>
      <c r="AB1746" s="7" t="n"/>
      <c r="AC1746" s="7" t="n">
        <v>0</v>
      </c>
      <c r="AD1746" s="7" t="n"/>
      <c r="AE1746" s="7" t="n"/>
      <c r="AF1746" s="7" t="n"/>
      <c r="AG1746" s="7" t="n"/>
      <c r="AH1746" s="7" t="n"/>
      <c r="AI1746" s="7" t="inlineStr">
        <is>
          <t>Index list entry – app detail</t>
        </is>
      </c>
      <c r="AJ1746" s="7" t="n"/>
      <c r="AK1746" s="7" t="n"/>
      <c r="AL1746" s="7" t="n"/>
      <c r="AM1746" s="7" t="n">
        <v>2016</v>
      </c>
      <c r="AN1746" s="10" t="n"/>
      <c r="AO1746" s="10" t="n"/>
      <c r="AP1746" s="10" t="n"/>
      <c r="AQ1746" s="10" t="n"/>
    </row>
    <row r="1747">
      <c r="A1747" s="7" t="inlineStr">
        <is>
          <t>b9-0348</t>
        </is>
      </c>
      <c r="B1747" s="7" t="inlineStr">
        <is>
          <t>Point</t>
        </is>
      </c>
      <c r="C1747" s="7" t="n"/>
      <c r="D1747" s="7" t="inlineStr">
        <is>
          <t>2016</t>
        </is>
      </c>
      <c r="E1747" s="7" t="n"/>
      <c r="F1747" s="7" t="inlineStr">
        <is>
          <t>2016 CE</t>
        </is>
      </c>
      <c r="G1747" s="7" t="inlineStr">
        <is>
          <t>Exact</t>
        </is>
      </c>
      <c r="H1747" s="7" t="n"/>
      <c r="I1747" s="7" t="n"/>
      <c r="J1747" s="7" t="n"/>
      <c r="K1747" s="2" t="inlineStr">
        <is>
          <t>Understanding clarified: congregational expression of joy over reinstatement of someone</t>
        </is>
      </c>
      <c r="L1747" s="2" t="n"/>
      <c r="M1747" s="7" t="inlineStr">
        <is>
          <t>The Watch Tower Publications Index (“Beliefs Clarified,” list by year) records a clarified understanding in 2016 concerning congregational expression of joy over reinstatement of someone. Index references: w16.05 32.</t>
        </is>
      </c>
      <c r="N1747" s="7" t="n"/>
      <c r="O1747" s="13" t="inlineStr">
        <is>
          <t>Jehovah's Witnesses</t>
        </is>
      </c>
      <c r="P1747" s="7" t="inlineStr">
        <is>
          <t>jw.doctrine</t>
        </is>
      </c>
      <c r="Q1747" s="7" t="inlineStr">
        <is>
          <t>beliefs_clarified</t>
        </is>
      </c>
      <c r="R1747" s="7" t="n"/>
      <c r="S1747" s="7" t="n"/>
      <c r="T1747" s="7" t="n"/>
      <c r="U1747" s="7" t="n"/>
      <c r="V1747" s="7" t="n">
        <v>1</v>
      </c>
      <c r="W1747" s="7" t="inlineStr">
        <is>
          <t>Beliefs Clarified</t>
        </is>
      </c>
      <c r="X1747" s="9" t="inlineStr">
        <is>
          <t>open</t>
        </is>
      </c>
      <c r="Y1747" s="7" t="n"/>
      <c r="Z1747" s="7" t="inlineStr">
        <is>
          <t>https://wol.jw.org/en/wol/d/r1/lp-e/1200277174</t>
        </is>
      </c>
      <c r="AA1747" s="7" t="n">
        <v>0</v>
      </c>
      <c r="AB1747" s="7" t="n"/>
      <c r="AC1747" s="7" t="n">
        <v>0</v>
      </c>
      <c r="AD1747" s="7" t="n"/>
      <c r="AE1747" s="7" t="n"/>
      <c r="AF1747" s="7" t="n"/>
      <c r="AG1747" s="7" t="n"/>
      <c r="AH1747" s="7" t="n"/>
      <c r="AI1747" s="7" t="inlineStr">
        <is>
          <t>Index list entry – app detail</t>
        </is>
      </c>
      <c r="AJ1747" s="7" t="n"/>
      <c r="AK1747" s="7" t="n"/>
      <c r="AL1747" s="7" t="n"/>
      <c r="AM1747" s="7" t="n">
        <v>2016</v>
      </c>
      <c r="AN1747" s="10" t="n"/>
      <c r="AO1747" s="10" t="n"/>
      <c r="AP1747" s="10" t="n"/>
      <c r="AQ1747" s="10" t="n"/>
    </row>
    <row r="1748">
      <c r="A1748" s="7" t="inlineStr">
        <is>
          <t>b9-0349</t>
        </is>
      </c>
      <c r="B1748" s="7" t="inlineStr">
        <is>
          <t>Point</t>
        </is>
      </c>
      <c r="C1748" s="7" t="n"/>
      <c r="D1748" s="7" t="inlineStr">
        <is>
          <t>2016</t>
        </is>
      </c>
      <c r="E1748" s="7" t="n"/>
      <c r="F1748" s="7" t="inlineStr">
        <is>
          <t>2016 CE</t>
        </is>
      </c>
      <c r="G1748" s="7" t="inlineStr">
        <is>
          <t>Exact</t>
        </is>
      </c>
      <c r="H1748" s="7" t="n"/>
      <c r="I1748" s="7" t="n"/>
      <c r="J1748" s="7" t="n"/>
      <c r="K1748" s="2" t="inlineStr">
        <is>
          <t>Understanding clarified: Jesus taken by Satan to battlement of temple (Matt. 4:5; Luke 4:9)</t>
        </is>
      </c>
      <c r="L1748" s="2" t="n"/>
      <c r="M1748" s="7" t="inlineStr">
        <is>
          <t>The Watch Tower Publications Index (“Beliefs Clarified,” list by year) records a clarified understanding in 2016 concerning Jesus taken by Satan to battlement of temple (Matt. 4:5; Luke 4:9). Index references: w16.03 31-32; w16.06 32.</t>
        </is>
      </c>
      <c r="N1748" s="7" t="n"/>
      <c r="O1748" s="13" t="inlineStr">
        <is>
          <t>Jehovah's Witnesses</t>
        </is>
      </c>
      <c r="P1748" s="7" t="inlineStr">
        <is>
          <t>jw.doctrine</t>
        </is>
      </c>
      <c r="Q1748" s="7" t="inlineStr">
        <is>
          <t>beliefs_clarified</t>
        </is>
      </c>
      <c r="R1748" s="7" t="n"/>
      <c r="S1748" s="7" t="n"/>
      <c r="T1748" s="7" t="inlineStr">
        <is>
          <t>Matt. 4:5; Luke 4:9</t>
        </is>
      </c>
      <c r="U1748" s="7" t="n"/>
      <c r="V1748" s="7" t="n">
        <v>1</v>
      </c>
      <c r="W1748" s="7" t="inlineStr">
        <is>
          <t>Beliefs Clarified</t>
        </is>
      </c>
      <c r="X1748" s="9" t="inlineStr">
        <is>
          <t>open</t>
        </is>
      </c>
      <c r="Y1748" s="7" t="n"/>
      <c r="Z1748" s="7" t="inlineStr">
        <is>
          <t>https://wol.jw.org/en/wol/d/r1/lp-e/1200277174</t>
        </is>
      </c>
      <c r="AA1748" s="7" t="n">
        <v>0</v>
      </c>
      <c r="AB1748" s="7" t="n"/>
      <c r="AC1748" s="7" t="n">
        <v>0</v>
      </c>
      <c r="AD1748" s="7" t="n"/>
      <c r="AE1748" s="7" t="n"/>
      <c r="AF1748" s="7" t="n"/>
      <c r="AG1748" s="7" t="n"/>
      <c r="AH1748" s="7" t="n"/>
      <c r="AI1748" s="7" t="inlineStr">
        <is>
          <t>Index list entry – app detail</t>
        </is>
      </c>
      <c r="AJ1748" s="7" t="n"/>
      <c r="AK1748" s="7" t="n"/>
      <c r="AL1748" s="7" t="n"/>
      <c r="AM1748" s="7" t="n">
        <v>2016</v>
      </c>
      <c r="AN1748" s="10" t="n"/>
      <c r="AO1748" s="10" t="n"/>
      <c r="AP1748" s="10" t="n"/>
      <c r="AQ1748" s="10" t="n"/>
    </row>
    <row r="1749">
      <c r="A1749" s="7" t="inlineStr">
        <is>
          <t>b9-0350</t>
        </is>
      </c>
      <c r="B1749" s="7" t="inlineStr">
        <is>
          <t>Point</t>
        </is>
      </c>
      <c r="C1749" s="7" t="n"/>
      <c r="D1749" s="7" t="inlineStr">
        <is>
          <t>2016</t>
        </is>
      </c>
      <c r="E1749" s="7" t="n"/>
      <c r="F1749" s="7" t="inlineStr">
        <is>
          <t>2016 CE</t>
        </is>
      </c>
      <c r="G1749" s="7" t="inlineStr">
        <is>
          <t>Exact</t>
        </is>
      </c>
      <c r="H1749" s="7" t="n"/>
      <c r="I1749" s="7" t="n"/>
      <c r="J1749" s="7" t="n"/>
      <c r="K1749" s="2" t="inlineStr">
        <is>
          <t>Understanding clarified: man with secretary’s inkhorn (Ezek. 9)</t>
        </is>
      </c>
      <c r="L1749" s="2" t="n"/>
      <c r="M1749" s="7" t="inlineStr">
        <is>
          <t>The Watch Tower Publications Index (“Beliefs Clarified,” list by year) records a clarified understanding in 2016 concerning man with secretary’s inkhorn (Ezek. 9). Index references: rr 238; w16.06 16-17; w16.12 18.</t>
        </is>
      </c>
      <c r="N1749" s="7" t="n"/>
      <c r="O1749" s="13" t="inlineStr">
        <is>
          <t>Jehovah's Witnesses</t>
        </is>
      </c>
      <c r="P1749" s="7" t="inlineStr">
        <is>
          <t>jw.doctrine</t>
        </is>
      </c>
      <c r="Q1749" s="7" t="inlineStr">
        <is>
          <t>beliefs_clarified</t>
        </is>
      </c>
      <c r="R1749" s="7" t="n"/>
      <c r="S1749" s="7" t="n"/>
      <c r="T1749" s="7" t="inlineStr">
        <is>
          <t>Ezek. 9</t>
        </is>
      </c>
      <c r="U1749" s="7" t="n"/>
      <c r="V1749" s="7" t="n">
        <v>1</v>
      </c>
      <c r="W1749" s="7" t="inlineStr">
        <is>
          <t>Beliefs Clarified</t>
        </is>
      </c>
      <c r="X1749" s="9" t="inlineStr">
        <is>
          <t>open</t>
        </is>
      </c>
      <c r="Y1749" s="7" t="n"/>
      <c r="Z1749" s="7" t="inlineStr">
        <is>
          <t>https://wol.jw.org/en/wol/d/r1/lp-e/1200277174</t>
        </is>
      </c>
      <c r="AA1749" s="7" t="n">
        <v>0</v>
      </c>
      <c r="AB1749" s="7" t="n"/>
      <c r="AC1749" s="7" t="n">
        <v>0</v>
      </c>
      <c r="AD1749" s="7" t="n"/>
      <c r="AE1749" s="7" t="n"/>
      <c r="AF1749" s="7" t="n"/>
      <c r="AG1749" s="7" t="n"/>
      <c r="AH1749" s="7" t="n"/>
      <c r="AI1749" s="7" t="inlineStr">
        <is>
          <t>Index list entry – app detail</t>
        </is>
      </c>
      <c r="AJ1749" s="7" t="n"/>
      <c r="AK1749" s="7" t="n"/>
      <c r="AL1749" s="7" t="n"/>
      <c r="AM1749" s="7" t="n">
        <v>2016</v>
      </c>
      <c r="AN1749" s="10" t="n"/>
      <c r="AO1749" s="10" t="n"/>
      <c r="AP1749" s="10" t="n"/>
      <c r="AQ1749" s="10" t="n"/>
    </row>
    <row r="1750">
      <c r="A1750" s="7" t="inlineStr">
        <is>
          <t>b9-0351</t>
        </is>
      </c>
      <c r="B1750" s="7" t="inlineStr">
        <is>
          <t>Point</t>
        </is>
      </c>
      <c r="C1750" s="7" t="n"/>
      <c r="D1750" s="7" t="inlineStr">
        <is>
          <t>2016</t>
        </is>
      </c>
      <c r="E1750" s="7" t="n"/>
      <c r="F1750" s="7" t="inlineStr">
        <is>
          <t>2016 CE</t>
        </is>
      </c>
      <c r="G1750" s="7" t="inlineStr">
        <is>
          <t>Exact</t>
        </is>
      </c>
      <c r="H1750" s="7" t="n"/>
      <c r="I1750" s="7" t="n"/>
      <c r="J1750" s="7" t="n"/>
      <c r="K1750" s="2" t="inlineStr">
        <is>
          <t>Understanding clarified: meaning of two sticks (Ezek. 37:15-28)</t>
        </is>
      </c>
      <c r="L1750" s="2" t="n"/>
      <c r="M1750" s="7" t="inlineStr">
        <is>
          <t>The Watch Tower Publications Index (“Beliefs Clarified,” list by year) records a clarified understanding in 2016 concerning meaning of two sticks (Ezek. 37:15-28). Index references: rr 240; w16.07 31-32.</t>
        </is>
      </c>
      <c r="N1750" s="7" t="n"/>
      <c r="O1750" s="13" t="inlineStr">
        <is>
          <t>Jehovah's Witnesses</t>
        </is>
      </c>
      <c r="P1750" s="7" t="inlineStr">
        <is>
          <t>jw.doctrine</t>
        </is>
      </c>
      <c r="Q1750" s="7" t="inlineStr">
        <is>
          <t>beliefs_clarified</t>
        </is>
      </c>
      <c r="R1750" s="7" t="n"/>
      <c r="S1750" s="7" t="n"/>
      <c r="T1750" s="7" t="inlineStr">
        <is>
          <t>Ezek. 37:15-28</t>
        </is>
      </c>
      <c r="U1750" s="7" t="n"/>
      <c r="V1750" s="7" t="n">
        <v>1</v>
      </c>
      <c r="W1750" s="7" t="inlineStr">
        <is>
          <t>Beliefs Clarified</t>
        </is>
      </c>
      <c r="X1750" s="9" t="inlineStr">
        <is>
          <t>open</t>
        </is>
      </c>
      <c r="Y1750" s="7" t="n"/>
      <c r="Z1750" s="7" t="inlineStr">
        <is>
          <t>https://wol.jw.org/en/wol/d/r1/lp-e/1200277174</t>
        </is>
      </c>
      <c r="AA1750" s="7" t="n">
        <v>0</v>
      </c>
      <c r="AB1750" s="7" t="n"/>
      <c r="AC1750" s="7" t="n">
        <v>0</v>
      </c>
      <c r="AD1750" s="7" t="n"/>
      <c r="AE1750" s="7" t="n"/>
      <c r="AF1750" s="7" t="n"/>
      <c r="AG1750" s="7" t="n"/>
      <c r="AH1750" s="7" t="n"/>
      <c r="AI1750" s="7" t="inlineStr">
        <is>
          <t>Index list entry – app detail</t>
        </is>
      </c>
      <c r="AJ1750" s="7" t="n"/>
      <c r="AK1750" s="7" t="n"/>
      <c r="AL1750" s="7" t="n"/>
      <c r="AM1750" s="7" t="n">
        <v>2016</v>
      </c>
      <c r="AN1750" s="10" t="n"/>
      <c r="AO1750" s="10" t="n"/>
      <c r="AP1750" s="10" t="n"/>
      <c r="AQ1750" s="10" t="n"/>
    </row>
    <row r="1751">
      <c r="A1751" s="7" t="inlineStr">
        <is>
          <t>b9-0352</t>
        </is>
      </c>
      <c r="B1751" s="7" t="inlineStr">
        <is>
          <t>Point</t>
        </is>
      </c>
      <c r="C1751" s="7" t="n"/>
      <c r="D1751" s="7" t="inlineStr">
        <is>
          <t>2016</t>
        </is>
      </c>
      <c r="E1751" s="7" t="n"/>
      <c r="F1751" s="7" t="inlineStr">
        <is>
          <t>2016 CE</t>
        </is>
      </c>
      <c r="G1751" s="7" t="inlineStr">
        <is>
          <t>Exact</t>
        </is>
      </c>
      <c r="H1751" s="7" t="n"/>
      <c r="I1751" s="7" t="n"/>
      <c r="J1751" s="7" t="n"/>
      <c r="K1751" s="2" t="inlineStr">
        <is>
          <t>Understanding clarified: valley of dry bones (Ezek. 37:1-14)</t>
        </is>
      </c>
      <c r="L1751" s="2" t="n"/>
      <c r="M1751" s="7" t="inlineStr">
        <is>
          <t>The Watch Tower Publications Index (“Beliefs Clarified,” list by year) records a clarified understanding in 2016 concerning valley of dry bones (Ezek. 37:1-14). Index references: rr 239; w16.03 29-31.</t>
        </is>
      </c>
      <c r="N1751" s="7" t="n"/>
      <c r="O1751" s="13" t="inlineStr">
        <is>
          <t>Jehovah's Witnesses</t>
        </is>
      </c>
      <c r="P1751" s="7" t="inlineStr">
        <is>
          <t>jw.doctrine</t>
        </is>
      </c>
      <c r="Q1751" s="7" t="inlineStr">
        <is>
          <t>beliefs_clarified</t>
        </is>
      </c>
      <c r="R1751" s="7" t="n"/>
      <c r="S1751" s="7" t="n"/>
      <c r="T1751" s="7" t="inlineStr">
        <is>
          <t>Ezek. 37:1-14</t>
        </is>
      </c>
      <c r="U1751" s="7" t="n"/>
      <c r="V1751" s="7" t="n">
        <v>1</v>
      </c>
      <c r="W1751" s="7" t="inlineStr">
        <is>
          <t>Beliefs Clarified</t>
        </is>
      </c>
      <c r="X1751" s="9" t="inlineStr">
        <is>
          <t>open</t>
        </is>
      </c>
      <c r="Y1751" s="7" t="n"/>
      <c r="Z1751" s="7" t="inlineStr">
        <is>
          <t>https://wol.jw.org/en/wol/d/r1/lp-e/1200277174</t>
        </is>
      </c>
      <c r="AA1751" s="7" t="n">
        <v>0</v>
      </c>
      <c r="AB1751" s="7" t="n"/>
      <c r="AC1751" s="7" t="n">
        <v>0</v>
      </c>
      <c r="AD1751" s="7" t="n"/>
      <c r="AE1751" s="7" t="n"/>
      <c r="AF1751" s="7" t="n"/>
      <c r="AG1751" s="7" t="n"/>
      <c r="AH1751" s="7" t="n"/>
      <c r="AI1751" s="7" t="inlineStr">
        <is>
          <t>Index list entry – app detail</t>
        </is>
      </c>
      <c r="AJ1751" s="7" t="n"/>
      <c r="AK1751" s="7" t="n"/>
      <c r="AL1751" s="7" t="n"/>
      <c r="AM1751" s="7" t="n">
        <v>2016</v>
      </c>
      <c r="AN1751" s="10" t="n"/>
      <c r="AO1751" s="10" t="n"/>
      <c r="AP1751" s="10" t="n"/>
      <c r="AQ1751" s="10" t="n"/>
    </row>
    <row r="1752">
      <c r="A1752" s="7" t="inlineStr">
        <is>
          <t>b9-0353</t>
        </is>
      </c>
      <c r="B1752" s="7" t="inlineStr">
        <is>
          <t>Point</t>
        </is>
      </c>
      <c r="C1752" s="7" t="n"/>
      <c r="D1752" s="7" t="inlineStr">
        <is>
          <t>2016</t>
        </is>
      </c>
      <c r="E1752" s="7" t="n"/>
      <c r="F1752" s="7" t="inlineStr">
        <is>
          <t>2016 CE</t>
        </is>
      </c>
      <c r="G1752" s="7" t="inlineStr">
        <is>
          <t>Exact</t>
        </is>
      </c>
      <c r="H1752" s="7" t="n"/>
      <c r="I1752" s="7" t="n"/>
      <c r="J1752" s="7" t="n"/>
      <c r="K1752" s="2" t="inlineStr">
        <is>
          <t>2016: “Remain Loyal to Jehovah!” Conventions</t>
        </is>
      </c>
      <c r="L1752" s="2" t="n"/>
      <c r="M1752" s="7" t="inlineStr">
        <is>
          <t>The Watch Tower Publications Index lists the 2016 conventions of Jehovah’s Witnesses as “Remain Loyal to Jehovah!” Conventions.</t>
        </is>
      </c>
      <c r="N1752" s="7" t="n"/>
      <c r="O1752" s="13" t="inlineStr">
        <is>
          <t>Jehovah's Witnesses</t>
        </is>
      </c>
      <c r="P1752" s="7" t="inlineStr">
        <is>
          <t>jw.convention</t>
        </is>
      </c>
      <c r="Q1752" s="7" t="inlineStr">
        <is>
          <t>convention</t>
        </is>
      </c>
      <c r="R1752" s="7" t="n"/>
      <c r="S1752" s="7" t="n"/>
      <c r="T1752" s="7" t="n"/>
      <c r="U1752" s="7" t="n"/>
      <c r="V1752" s="7" t="n">
        <v>1</v>
      </c>
      <c r="W1752" s="7" t="inlineStr">
        <is>
          <t>Conventions</t>
        </is>
      </c>
      <c r="X1752" s="9" t="inlineStr">
        <is>
          <t>open</t>
        </is>
      </c>
      <c r="Y1752" s="7" t="n"/>
      <c r="Z1752" s="7" t="inlineStr">
        <is>
          <t>https://wol.jw.org/en/wol/d/r1/lp-e/1200271388</t>
        </is>
      </c>
      <c r="AA1752" s="7" t="n">
        <v>0</v>
      </c>
      <c r="AB1752" s="7" t="n"/>
      <c r="AC1752" s="7" t="n">
        <v>0</v>
      </c>
      <c r="AD1752" s="7" t="n"/>
      <c r="AE1752" s="7" t="n"/>
      <c r="AF1752" s="7" t="n"/>
      <c r="AG1752" s="7" t="n"/>
      <c r="AH1752" s="7" t="n"/>
      <c r="AI1752" s="7" t="inlineStr">
        <is>
          <t>Index list entry – app detail</t>
        </is>
      </c>
      <c r="AJ1752" s="7" t="n"/>
      <c r="AK1752" s="7" t="n"/>
      <c r="AL1752" s="7" t="n"/>
      <c r="AM1752" s="7" t="n">
        <v>2016</v>
      </c>
      <c r="AN1752" s="10" t="n"/>
      <c r="AO1752" s="10" t="n"/>
      <c r="AP1752" s="10" t="n"/>
      <c r="AQ1752" s="10" t="n"/>
    </row>
    <row r="1753">
      <c r="A1753" s="7" t="inlineStr">
        <is>
          <t>b9-0354</t>
        </is>
      </c>
      <c r="B1753" s="7" t="inlineStr">
        <is>
          <t>Point</t>
        </is>
      </c>
      <c r="C1753" s="7" t="n"/>
      <c r="D1753" s="7" t="inlineStr">
        <is>
          <t>2016, February 1</t>
        </is>
      </c>
      <c r="E1753" s="7" t="n"/>
      <c r="F1753" s="7" t="inlineStr">
        <is>
          <t>2016 CE</t>
        </is>
      </c>
      <c r="G1753" s="7" t="inlineStr">
        <is>
          <t>Exact</t>
        </is>
      </c>
      <c r="H1753" s="7" t="n"/>
      <c r="I1753" s="7" t="n"/>
      <c r="J1753" s="7" t="n"/>
      <c r="K1753" s="2" t="inlineStr">
        <is>
          <t>Wallkill expansion completed; U.S. branch transfers</t>
        </is>
      </c>
      <c r="L1753" s="2" t="n"/>
      <c r="M1753" s="7" t="inlineStr">
        <is>
          <t>The expansion of the Wallkill, New York, facilities was completed on February 1, 2016, allowing the U.S. Branch Committee and Service Department to transfer there.</t>
        </is>
      </c>
      <c r="N1753" s="7" t="n"/>
      <c r="O1753" s="13" t="inlineStr">
        <is>
          <t>Jehovah's Witnesses</t>
        </is>
      </c>
      <c r="P1753" s="7" t="inlineStr">
        <is>
          <t>jw.construction</t>
        </is>
      </c>
      <c r="Q1753" s="7" t="n"/>
      <c r="R1753" s="7" t="n"/>
      <c r="S1753" s="7" t="inlineStr">
        <is>
          <t>Wallkill, New York</t>
        </is>
      </c>
      <c r="T1753" s="7" t="n"/>
      <c r="U1753" s="7" t="n"/>
      <c r="V1753" s="7" t="n">
        <v>1</v>
      </c>
      <c r="W1753" s="7" t="inlineStr">
        <is>
          <t>Highlights of the Past Year</t>
        </is>
      </c>
      <c r="X1753" s="9" t="inlineStr">
        <is>
          <t>open</t>
        </is>
      </c>
      <c r="Y1753" s="7" t="n"/>
      <c r="Z1753" s="7" t="inlineStr">
        <is>
          <t>https://wol.jw.org/en/wol/d/r1/lp-e/302017036</t>
        </is>
      </c>
      <c r="AA1753" s="7" t="n">
        <v>0</v>
      </c>
      <c r="AB1753" s="7" t="n"/>
      <c r="AC1753" s="7" t="n">
        <v>0</v>
      </c>
      <c r="AD1753" s="7" t="n"/>
      <c r="AE1753" s="7" t="n"/>
      <c r="AF1753" s="7" t="n"/>
      <c r="AG1753" s="7" t="n"/>
      <c r="AH1753" s="7" t="n"/>
      <c r="AI1753" s="7" t="n"/>
      <c r="AJ1753" s="7" t="n"/>
      <c r="AK1753" s="7" t="n"/>
      <c r="AL1753" s="7" t="n"/>
      <c r="AM1753" s="7" t="n">
        <v>2016.0833</v>
      </c>
      <c r="AN1753" s="10" t="n"/>
      <c r="AO1753" s="10" t="n"/>
      <c r="AP1753" s="10" t="n"/>
      <c r="AQ1753" s="10" t="n"/>
    </row>
    <row r="1754">
      <c r="A1754" s="7" t="inlineStr">
        <is>
          <t>b9-0355</t>
        </is>
      </c>
      <c r="B1754" s="7" t="inlineStr">
        <is>
          <t>Point</t>
        </is>
      </c>
      <c r="C1754" s="7" t="n"/>
      <c r="D1754" s="7" t="inlineStr">
        <is>
          <t>2016, April 15</t>
        </is>
      </c>
      <c r="E1754" s="7" t="n"/>
      <c r="F1754" s="7" t="inlineStr">
        <is>
          <t>2016 CE</t>
        </is>
      </c>
      <c r="G1754" s="7" t="inlineStr">
        <is>
          <t>Exact</t>
        </is>
      </c>
      <c r="H1754" s="7" t="n"/>
      <c r="I1754" s="7" t="n"/>
      <c r="J1754" s="7" t="n"/>
      <c r="K1754" s="2" t="inlineStr">
        <is>
          <t>Russia Supreme Court reverses Tyumen liquidation</t>
        </is>
      </c>
      <c r="L1754" s="2" t="n"/>
      <c r="M1754" s="7" t="inlineStr">
        <is>
          <t>On April 15, 2016, the Supreme Court of the Russian Federation reversed a lower court, ruling there were no grounds to liquidate the Local Religious Organization in Tyumen.</t>
        </is>
      </c>
      <c r="N1754" s="7" t="n"/>
      <c r="O1754" s="13" t="inlineStr">
        <is>
          <t>Jehovah's Witnesses</t>
        </is>
      </c>
      <c r="P1754" s="7" t="inlineStr">
        <is>
          <t>jw.legal</t>
        </is>
      </c>
      <c r="Q1754" s="7" t="inlineStr">
        <is>
          <t>court_ruling</t>
        </is>
      </c>
      <c r="R1754" s="7" t="n"/>
      <c r="S1754" s="7" t="inlineStr">
        <is>
          <t>Tyumen, Russia</t>
        </is>
      </c>
      <c r="T1754" s="7" t="n"/>
      <c r="U1754" s="7" t="n"/>
      <c r="V1754" s="7" t="n">
        <v>1</v>
      </c>
      <c r="W1754" s="7" t="inlineStr">
        <is>
          <t>Legal Report</t>
        </is>
      </c>
      <c r="X1754" s="9" t="inlineStr">
        <is>
          <t>open</t>
        </is>
      </c>
      <c r="Y1754" s="7" t="n"/>
      <c r="Z1754" s="7" t="inlineStr">
        <is>
          <t>https://wol.jw.org/en/wol/d/r1/lp-e/302017042</t>
        </is>
      </c>
      <c r="AA1754" s="7" t="n">
        <v>0</v>
      </c>
      <c r="AB1754" s="7" t="n"/>
      <c r="AC1754" s="7" t="n">
        <v>0</v>
      </c>
      <c r="AD1754" s="7" t="n"/>
      <c r="AE1754" s="7" t="n"/>
      <c r="AF1754" s="7" t="n"/>
      <c r="AG1754" s="7" t="n"/>
      <c r="AH1754" s="7" t="n"/>
      <c r="AI1754" s="7" t="n"/>
      <c r="AJ1754" s="7" t="n"/>
      <c r="AK1754" s="7" t="n"/>
      <c r="AL1754" s="7" t="n"/>
      <c r="AM1754" s="7" t="n">
        <v>2016.2876</v>
      </c>
      <c r="AN1754" s="10" t="n"/>
      <c r="AO1754" s="10" t="n"/>
      <c r="AP1754" s="10" t="n"/>
      <c r="AQ1754" s="10" t="n"/>
    </row>
    <row r="1755">
      <c r="A1755" s="7" t="inlineStr">
        <is>
          <t>b9-0356</t>
        </is>
      </c>
      <c r="B1755" s="7" t="inlineStr">
        <is>
          <t>Point</t>
        </is>
      </c>
      <c r="C1755" s="7" t="n"/>
      <c r="D1755" s="7" t="inlineStr">
        <is>
          <t>2016, May 14</t>
        </is>
      </c>
      <c r="E1755" s="7" t="n"/>
      <c r="F1755" s="7" t="inlineStr">
        <is>
          <t>2016 CE</t>
        </is>
      </c>
      <c r="G1755" s="7" t="inlineStr">
        <is>
          <t>Exact</t>
        </is>
      </c>
      <c r="H1755" s="7" t="n"/>
      <c r="I1755" s="7" t="n"/>
      <c r="J1755" s="7" t="n"/>
      <c r="K1755" s="2" t="inlineStr">
        <is>
          <t>Armenia branch office dedicated</t>
        </is>
      </c>
      <c r="L1755" s="2" t="n"/>
      <c r="M1755" s="7" t="inlineStr">
        <is>
          <t>On Saturday, May 14, 2016, 6,435 were present for the dedication of the Armenia branch office.</t>
        </is>
      </c>
      <c r="N1755" s="7" t="n"/>
      <c r="O1755" s="13" t="inlineStr">
        <is>
          <t>Jehovah's Witnesses</t>
        </is>
      </c>
      <c r="P1755" s="7" t="inlineStr">
        <is>
          <t>jw.construction</t>
        </is>
      </c>
      <c r="Q1755" s="7" t="inlineStr">
        <is>
          <t>dedication</t>
        </is>
      </c>
      <c r="R1755" s="7" t="n"/>
      <c r="S1755" s="7" t="inlineStr">
        <is>
          <t>Armenia</t>
        </is>
      </c>
      <c r="T1755" s="7" t="n"/>
      <c r="U1755" s="7" t="n"/>
      <c r="V1755" s="7" t="n">
        <v>1</v>
      </c>
      <c r="W1755" s="7" t="inlineStr">
        <is>
          <t>Branch Dedications</t>
        </is>
      </c>
      <c r="X1755" s="9" t="inlineStr">
        <is>
          <t>open</t>
        </is>
      </c>
      <c r="Y1755" s="7" t="n"/>
      <c r="Z1755" s="7" t="inlineStr">
        <is>
          <t>https://wol.jw.org/en/wol/d/r1/lp-e/302017041</t>
        </is>
      </c>
      <c r="AA1755" s="7" t="n">
        <v>0</v>
      </c>
      <c r="AB1755" s="7" t="n"/>
      <c r="AC1755" s="7" t="n">
        <v>0</v>
      </c>
      <c r="AD1755" s="7" t="n"/>
      <c r="AE1755" s="7" t="n"/>
      <c r="AF1755" s="7" t="n"/>
      <c r="AG1755" s="7" t="n"/>
      <c r="AH1755" s="7" t="n"/>
      <c r="AI1755" s="7" t="n"/>
      <c r="AJ1755" s="7" t="n"/>
      <c r="AK1755" s="7" t="n"/>
      <c r="AL1755" s="7" t="n"/>
      <c r="AM1755" s="7" t="n">
        <v>2016.3683</v>
      </c>
      <c r="AN1755" s="10" t="n"/>
      <c r="AO1755" s="10" t="n"/>
      <c r="AP1755" s="10" t="n"/>
      <c r="AQ1755" s="10" t="n"/>
    </row>
    <row r="1756">
      <c r="A1756" s="7" t="inlineStr">
        <is>
          <t>b9-0357</t>
        </is>
      </c>
      <c r="B1756" s="7" t="inlineStr">
        <is>
          <t>Point</t>
        </is>
      </c>
      <c r="C1756" s="7" t="n"/>
      <c r="D1756" s="7" t="inlineStr">
        <is>
          <t>2017</t>
        </is>
      </c>
      <c r="E1756" s="7" t="n"/>
      <c r="F1756" s="7" t="inlineStr">
        <is>
          <t>2017 CE</t>
        </is>
      </c>
      <c r="G1756" s="7" t="inlineStr">
        <is>
          <t>Exact</t>
        </is>
      </c>
      <c r="H1756" s="7" t="n"/>
      <c r="I1756" s="7" t="n"/>
      <c r="J1756" s="7" t="n"/>
      <c r="K1756" s="2" t="inlineStr">
        <is>
          <t>Understanding clarified: intrauterine device (IUD) as birth control</t>
        </is>
      </c>
      <c r="L1756" s="2" t="n"/>
      <c r="M1756" s="7" t="inlineStr">
        <is>
          <t>The Watch Tower Publications Index (“Beliefs Clarified,” list by year) records a clarified understanding in 2017 concerning intrauterine device (IUD) as birth control. Index references: w17.12 16-17.</t>
        </is>
      </c>
      <c r="N1756" s="7" t="n"/>
      <c r="O1756" s="13" t="inlineStr">
        <is>
          <t>Jehovah's Witnesses</t>
        </is>
      </c>
      <c r="P1756" s="7" t="inlineStr">
        <is>
          <t>jw.doctrine</t>
        </is>
      </c>
      <c r="Q1756" s="7" t="inlineStr">
        <is>
          <t>beliefs_clarified</t>
        </is>
      </c>
      <c r="R1756" s="7" t="n"/>
      <c r="S1756" s="7" t="n"/>
      <c r="T1756" s="7" t="n"/>
      <c r="U1756" s="7" t="n"/>
      <c r="V1756" s="7" t="n">
        <v>1</v>
      </c>
      <c r="W1756" s="7" t="inlineStr">
        <is>
          <t>Beliefs Clarified</t>
        </is>
      </c>
      <c r="X1756" s="9" t="inlineStr">
        <is>
          <t>open</t>
        </is>
      </c>
      <c r="Y1756" s="7" t="n"/>
      <c r="Z1756" s="7" t="inlineStr">
        <is>
          <t>https://wol.jw.org/en/wol/d/r1/lp-e/1200277174</t>
        </is>
      </c>
      <c r="AA1756" s="7" t="n">
        <v>0</v>
      </c>
      <c r="AB1756" s="7" t="n"/>
      <c r="AC1756" s="7" t="n">
        <v>0</v>
      </c>
      <c r="AD1756" s="7" t="n"/>
      <c r="AE1756" s="7" t="n"/>
      <c r="AF1756" s="7" t="n"/>
      <c r="AG1756" s="7" t="n"/>
      <c r="AH1756" s="7" t="n"/>
      <c r="AI1756" s="7" t="inlineStr">
        <is>
          <t>Index list entry – app detail</t>
        </is>
      </c>
      <c r="AJ1756" s="7" t="n"/>
      <c r="AK1756" s="7" t="n"/>
      <c r="AL1756" s="7" t="n"/>
      <c r="AM1756" s="7" t="n">
        <v>2017</v>
      </c>
      <c r="AN1756" s="10" t="n"/>
      <c r="AO1756" s="10" t="n"/>
      <c r="AP1756" s="10" t="n"/>
      <c r="AQ1756" s="10" t="n"/>
    </row>
    <row r="1757">
      <c r="A1757" s="7" t="inlineStr">
        <is>
          <t>b9-0358</t>
        </is>
      </c>
      <c r="B1757" s="7" t="inlineStr">
        <is>
          <t>Point</t>
        </is>
      </c>
      <c r="C1757" s="7" t="n"/>
      <c r="D1757" s="7" t="inlineStr">
        <is>
          <t>2017</t>
        </is>
      </c>
      <c r="E1757" s="7" t="n"/>
      <c r="F1757" s="7" t="inlineStr">
        <is>
          <t>2017 CE</t>
        </is>
      </c>
      <c r="G1757" s="7" t="inlineStr">
        <is>
          <t>Exact</t>
        </is>
      </c>
      <c r="H1757" s="7" t="n"/>
      <c r="I1757" s="7" t="n"/>
      <c r="J1757" s="7" t="n"/>
      <c r="K1757" s="2" t="inlineStr">
        <is>
          <t>Understanding clarified: Jehovah “will not let you be tempted beyond what you can bear”—how? (1 Cor. 10:13)</t>
        </is>
      </c>
      <c r="L1757" s="2" t="n"/>
      <c r="M1757" s="7" t="inlineStr">
        <is>
          <t>The Watch Tower Publications Index (“Beliefs Clarified,” list by year) records a clarified understanding in 2017 concerning Jehovah “will not let you be tempted beyond what you can bear”—how? (1 Cor. 10:13). Index references: w17.02 29-30.</t>
        </is>
      </c>
      <c r="N1757" s="7" t="n"/>
      <c r="O1757" s="13" t="inlineStr">
        <is>
          <t>Jehovah's Witnesses</t>
        </is>
      </c>
      <c r="P1757" s="7" t="inlineStr">
        <is>
          <t>jw.doctrine</t>
        </is>
      </c>
      <c r="Q1757" s="7" t="inlineStr">
        <is>
          <t>beliefs_clarified</t>
        </is>
      </c>
      <c r="R1757" s="7" t="n"/>
      <c r="S1757" s="7" t="n"/>
      <c r="T1757" s="7" t="inlineStr">
        <is>
          <t>1 Cor. 10:13</t>
        </is>
      </c>
      <c r="U1757" s="7" t="n"/>
      <c r="V1757" s="7" t="n">
        <v>1</v>
      </c>
      <c r="W1757" s="7" t="inlineStr">
        <is>
          <t>Beliefs Clarified</t>
        </is>
      </c>
      <c r="X1757" s="9" t="inlineStr">
        <is>
          <t>open</t>
        </is>
      </c>
      <c r="Y1757" s="7" t="n"/>
      <c r="Z1757" s="7" t="inlineStr">
        <is>
          <t>https://wol.jw.org/en/wol/d/r1/lp-e/1200277174</t>
        </is>
      </c>
      <c r="AA1757" s="7" t="n">
        <v>0</v>
      </c>
      <c r="AB1757" s="7" t="n"/>
      <c r="AC1757" s="7" t="n">
        <v>0</v>
      </c>
      <c r="AD1757" s="7" t="n"/>
      <c r="AE1757" s="7" t="n"/>
      <c r="AF1757" s="7" t="n"/>
      <c r="AG1757" s="7" t="n"/>
      <c r="AH1757" s="7" t="n"/>
      <c r="AI1757" s="7" t="inlineStr">
        <is>
          <t>Index list entry – app detail</t>
        </is>
      </c>
      <c r="AJ1757" s="7" t="n"/>
      <c r="AK1757" s="7" t="n"/>
      <c r="AL1757" s="7" t="n"/>
      <c r="AM1757" s="7" t="n">
        <v>2017</v>
      </c>
      <c r="AN1757" s="10" t="n"/>
      <c r="AO1757" s="10" t="n"/>
      <c r="AP1757" s="10" t="n"/>
      <c r="AQ1757" s="10" t="n"/>
    </row>
    <row r="1758">
      <c r="A1758" s="7" t="inlineStr">
        <is>
          <t>b9-0359</t>
        </is>
      </c>
      <c r="B1758" s="7" t="inlineStr">
        <is>
          <t>Point</t>
        </is>
      </c>
      <c r="C1758" s="7" t="n"/>
      <c r="D1758" s="7" t="inlineStr">
        <is>
          <t>2017</t>
        </is>
      </c>
      <c r="E1758" s="7" t="n"/>
      <c r="F1758" s="7" t="inlineStr">
        <is>
          <t>2017 CE</t>
        </is>
      </c>
      <c r="G1758" s="7" t="inlineStr">
        <is>
          <t>Exact</t>
        </is>
      </c>
      <c r="H1758" s="7" t="n"/>
      <c r="I1758" s="7" t="n"/>
      <c r="J1758" s="7" t="n"/>
      <c r="K1758" s="2" t="inlineStr">
        <is>
          <t>Understanding clarified: line of descent of Messiah not tied to firstborn</t>
        </is>
      </c>
      <c r="L1758" s="2" t="n"/>
      <c r="M1758" s="7" t="inlineStr">
        <is>
          <t>The Watch Tower Publications Index (“Beliefs Clarified,” list by year) records a clarified understanding in 2017 concerning line of descent of Messiah not tied to firstborn. Index references: w17.12 14-15.</t>
        </is>
      </c>
      <c r="N1758" s="7" t="n"/>
      <c r="O1758" s="13" t="inlineStr">
        <is>
          <t>Jehovah's Witnesses</t>
        </is>
      </c>
      <c r="P1758" s="7" t="inlineStr">
        <is>
          <t>jw.doctrine</t>
        </is>
      </c>
      <c r="Q1758" s="7" t="inlineStr">
        <is>
          <t>beliefs_clarified</t>
        </is>
      </c>
      <c r="R1758" s="7" t="n"/>
      <c r="S1758" s="7" t="n"/>
      <c r="T1758" s="7" t="n"/>
      <c r="U1758" s="7" t="n"/>
      <c r="V1758" s="7" t="n">
        <v>1</v>
      </c>
      <c r="W1758" s="7" t="inlineStr">
        <is>
          <t>Beliefs Clarified</t>
        </is>
      </c>
      <c r="X1758" s="9" t="inlineStr">
        <is>
          <t>open</t>
        </is>
      </c>
      <c r="Y1758" s="7" t="n"/>
      <c r="Z1758" s="7" t="inlineStr">
        <is>
          <t>https://wol.jw.org/en/wol/d/r1/lp-e/1200277174</t>
        </is>
      </c>
      <c r="AA1758" s="7" t="n">
        <v>0</v>
      </c>
      <c r="AB1758" s="7" t="n"/>
      <c r="AC1758" s="7" t="n">
        <v>0</v>
      </c>
      <c r="AD1758" s="7" t="n"/>
      <c r="AE1758" s="7" t="n"/>
      <c r="AF1758" s="7" t="n"/>
      <c r="AG1758" s="7" t="n"/>
      <c r="AH1758" s="7" t="n"/>
      <c r="AI1758" s="7" t="inlineStr">
        <is>
          <t>Index list entry – app detail</t>
        </is>
      </c>
      <c r="AJ1758" s="7" t="n"/>
      <c r="AK1758" s="7" t="n"/>
      <c r="AL1758" s="7" t="n"/>
      <c r="AM1758" s="7" t="n">
        <v>2017</v>
      </c>
      <c r="AN1758" s="10" t="n"/>
      <c r="AO1758" s="10" t="n"/>
      <c r="AP1758" s="10" t="n"/>
      <c r="AQ1758" s="10" t="n"/>
    </row>
    <row r="1759">
      <c r="A1759" s="7" t="inlineStr">
        <is>
          <t>b9-0360</t>
        </is>
      </c>
      <c r="B1759" s="7" t="inlineStr">
        <is>
          <t>Point</t>
        </is>
      </c>
      <c r="C1759" s="7" t="n"/>
      <c r="D1759" s="7" t="inlineStr">
        <is>
          <t>2017</t>
        </is>
      </c>
      <c r="E1759" s="7" t="n"/>
      <c r="F1759" s="7" t="inlineStr">
        <is>
          <t>2017 CE</t>
        </is>
      </c>
      <c r="G1759" s="7" t="inlineStr">
        <is>
          <t>Exact</t>
        </is>
      </c>
      <c r="H1759" s="7" t="n"/>
      <c r="I1759" s="7" t="n"/>
      <c r="J1759" s="7" t="n"/>
      <c r="K1759" s="2" t="inlineStr">
        <is>
          <t>Understanding clarified: vindication of Jehovah’s name</t>
        </is>
      </c>
      <c r="L1759" s="2" t="n"/>
      <c r="M1759" s="7" t="inlineStr">
        <is>
          <t>The Watch Tower Publications Index (“Beliefs Clarified,” list by year) records a clarified understanding in 2017 concerning vindication of Jehovah’s name. Index references: w20.06 7.</t>
        </is>
      </c>
      <c r="N1759" s="7" t="n"/>
      <c r="O1759" s="13" t="inlineStr">
        <is>
          <t>Jehovah's Witnesses</t>
        </is>
      </c>
      <c r="P1759" s="7" t="inlineStr">
        <is>
          <t>jw.doctrine</t>
        </is>
      </c>
      <c r="Q1759" s="7" t="inlineStr">
        <is>
          <t>beliefs_clarified</t>
        </is>
      </c>
      <c r="R1759" s="7" t="n"/>
      <c r="S1759" s="7" t="n"/>
      <c r="T1759" s="7" t="n"/>
      <c r="U1759" s="7" t="n"/>
      <c r="V1759" s="7" t="n">
        <v>1</v>
      </c>
      <c r="W1759" s="7" t="inlineStr">
        <is>
          <t>Beliefs Clarified</t>
        </is>
      </c>
      <c r="X1759" s="9" t="inlineStr">
        <is>
          <t>open</t>
        </is>
      </c>
      <c r="Y1759" s="7" t="n"/>
      <c r="Z1759" s="7" t="inlineStr">
        <is>
          <t>https://wol.jw.org/en/wol/d/r1/lp-e/1200277174</t>
        </is>
      </c>
      <c r="AA1759" s="7" t="n">
        <v>0</v>
      </c>
      <c r="AB1759" s="7" t="n"/>
      <c r="AC1759" s="7" t="n">
        <v>0</v>
      </c>
      <c r="AD1759" s="7" t="n"/>
      <c r="AE1759" s="7" t="n"/>
      <c r="AF1759" s="7" t="n"/>
      <c r="AG1759" s="7" t="n"/>
      <c r="AH1759" s="7" t="n"/>
      <c r="AI1759" s="7" t="inlineStr">
        <is>
          <t>Index list entry – app detail</t>
        </is>
      </c>
      <c r="AJ1759" s="7" t="n"/>
      <c r="AK1759" s="7" t="n"/>
      <c r="AL1759" s="7" t="n"/>
      <c r="AM1759" s="7" t="n">
        <v>2017</v>
      </c>
      <c r="AN1759" s="10" t="n"/>
      <c r="AO1759" s="10" t="n"/>
      <c r="AP1759" s="10" t="n"/>
      <c r="AQ1759" s="10" t="n"/>
    </row>
    <row r="1760">
      <c r="A1760" s="7" t="inlineStr">
        <is>
          <t>b9-0361</t>
        </is>
      </c>
      <c r="B1760" s="7" t="inlineStr">
        <is>
          <t>Point</t>
        </is>
      </c>
      <c r="C1760" s="7" t="n"/>
      <c r="D1760" s="7" t="inlineStr">
        <is>
          <t>2017</t>
        </is>
      </c>
      <c r="E1760" s="7" t="n"/>
      <c r="F1760" s="7" t="inlineStr">
        <is>
          <t>2017 CE</t>
        </is>
      </c>
      <c r="G1760" s="7" t="inlineStr">
        <is>
          <t>Exact</t>
        </is>
      </c>
      <c r="H1760" s="7" t="n"/>
      <c r="I1760" s="7" t="n"/>
      <c r="J1760" s="7" t="n"/>
      <c r="K1760" s="2" t="inlineStr">
        <is>
          <t>2017: “Don’t Give Up!” Conventions</t>
        </is>
      </c>
      <c r="L1760" s="2" t="n"/>
      <c r="M1760" s="7" t="inlineStr">
        <is>
          <t>The Watch Tower Publications Index lists the 2017 conventions of Jehovah’s Witnesses as “Don’t Give Up!” Conventions.</t>
        </is>
      </c>
      <c r="N1760" s="7" t="n"/>
      <c r="O1760" s="13" t="inlineStr">
        <is>
          <t>Jehovah's Witnesses</t>
        </is>
      </c>
      <c r="P1760" s="7" t="inlineStr">
        <is>
          <t>jw.convention</t>
        </is>
      </c>
      <c r="Q1760" s="7" t="inlineStr">
        <is>
          <t>convention</t>
        </is>
      </c>
      <c r="R1760" s="7" t="n"/>
      <c r="S1760" s="7" t="n"/>
      <c r="T1760" s="7" t="n"/>
      <c r="U1760" s="7" t="n"/>
      <c r="V1760" s="7" t="n">
        <v>1</v>
      </c>
      <c r="W1760" s="7" t="inlineStr">
        <is>
          <t>Conventions</t>
        </is>
      </c>
      <c r="X1760" s="9" t="inlineStr">
        <is>
          <t>open</t>
        </is>
      </c>
      <c r="Y1760" s="7" t="n"/>
      <c r="Z1760" s="7" t="inlineStr">
        <is>
          <t>https://wol.jw.org/en/wol/d/r1/lp-e/1200271388</t>
        </is>
      </c>
      <c r="AA1760" s="7" t="n">
        <v>0</v>
      </c>
      <c r="AB1760" s="7" t="n"/>
      <c r="AC1760" s="7" t="n">
        <v>0</v>
      </c>
      <c r="AD1760" s="7" t="n"/>
      <c r="AE1760" s="7" t="n"/>
      <c r="AF1760" s="7" t="n"/>
      <c r="AG1760" s="7" t="n"/>
      <c r="AH1760" s="7" t="n"/>
      <c r="AI1760" s="7" t="inlineStr">
        <is>
          <t>Index list entry – app detail</t>
        </is>
      </c>
      <c r="AJ1760" s="7" t="n"/>
      <c r="AK1760" s="7" t="n"/>
      <c r="AL1760" s="7" t="n"/>
      <c r="AM1760" s="7" t="n">
        <v>2017</v>
      </c>
      <c r="AN1760" s="10" t="n"/>
      <c r="AO1760" s="10" t="n"/>
      <c r="AP1760" s="10" t="n"/>
      <c r="AQ1760" s="10" t="n"/>
    </row>
    <row r="1761">
      <c r="A1761" s="7" t="inlineStr">
        <is>
          <t>b12-0110</t>
        </is>
      </c>
      <c r="B1761" s="11" t="inlineStr">
        <is>
          <t>Span</t>
        </is>
      </c>
      <c r="C1761" s="7" t="inlineStr">
        <is>
          <t>residence</t>
        </is>
      </c>
      <c r="D1761" s="7" t="inlineStr">
        <is>
          <t>2017–</t>
        </is>
      </c>
      <c r="E1761" s="7" t="n"/>
      <c r="F1761" s="7" t="inlineStr">
        <is>
          <t>2017 CE</t>
        </is>
      </c>
      <c r="G1761" s="7" t="inlineStr">
        <is>
          <t>Exact</t>
        </is>
      </c>
      <c r="H1761" s="7" t="n"/>
      <c r="I1761" s="7" t="inlineStr">
        <is>
          <t>Ongoing</t>
        </is>
      </c>
      <c r="J1761" s="7" t="n"/>
      <c r="K1761" s="2" t="inlineStr">
        <is>
          <t>World headquarters at Warwick, New York</t>
        </is>
      </c>
      <c r="L1761" s="2" t="n"/>
      <c r="M1761" s="7" t="inlineStr">
        <is>
          <t>Since the completion of construction in 2017, the world headquarters of Jehovah’s Witnesses has been at Warwick, New York; it opened for tours on April 3, 2017.</t>
        </is>
      </c>
      <c r="N1761" s="7" t="n"/>
      <c r="O1761" s="13" t="inlineStr">
        <is>
          <t>Jehovah's Witnesses</t>
        </is>
      </c>
      <c r="P1761" s="7" t="inlineStr">
        <is>
          <t>jw.organization</t>
        </is>
      </c>
      <c r="Q1761" s="7" t="n"/>
      <c r="R1761" s="7" t="n"/>
      <c r="S1761" s="7" t="inlineStr">
        <is>
          <t>Warwick, New York</t>
        </is>
      </c>
      <c r="T1761" s="7" t="n"/>
      <c r="U1761" s="7" t="n"/>
      <c r="V1761" s="7" t="n">
        <v>3</v>
      </c>
      <c r="W1761" s="7" t="inlineStr">
        <is>
          <t>Dates (Calendar)</t>
        </is>
      </c>
      <c r="X1761" s="9" t="inlineStr">
        <is>
          <t>open</t>
        </is>
      </c>
      <c r="Y1761" s="7" t="n"/>
      <c r="Z1761" s="7" t="inlineStr">
        <is>
          <t>https://wol.jw.org/en/wol/d/r1/lp-e/1200271562
https://wol.jw.org/en/wol/d/r1/lp-e/1200271562
https://wol.jw.org/en/wol/d/r1/lp-e/2019248</t>
        </is>
      </c>
      <c r="AA1761" s="7" t="n">
        <v>0</v>
      </c>
      <c r="AB1761" s="7" t="n"/>
      <c r="AC1761" s="7" t="n">
        <v>0</v>
      </c>
      <c r="AD1761" s="7" t="n"/>
      <c r="AE1761" s="7" t="n"/>
      <c r="AF1761" s="7" t="n"/>
      <c r="AG1761" s="7" t="n"/>
      <c r="AH1761" s="7" t="n"/>
      <c r="AI1761" s="7" t="n"/>
      <c r="AJ1761" s="7" t="n"/>
      <c r="AK1761" s="7" t="n"/>
      <c r="AL1761" s="7" t="n"/>
      <c r="AM1761" s="7" t="n">
        <v>2017</v>
      </c>
      <c r="AN1761" s="10" t="n"/>
      <c r="AO1761" s="10" t="n"/>
      <c r="AP1761" s="10" t="n"/>
      <c r="AQ1761" s="10" t="n"/>
    </row>
    <row r="1762">
      <c r="A1762" s="7" t="inlineStr">
        <is>
          <t>b9-0362</t>
        </is>
      </c>
      <c r="B1762" s="7" t="inlineStr">
        <is>
          <t>Point</t>
        </is>
      </c>
      <c r="C1762" s="7" t="n"/>
      <c r="D1762" s="7" t="inlineStr">
        <is>
          <t>2017, April 3</t>
        </is>
      </c>
      <c r="E1762" s="7" t="n"/>
      <c r="F1762" s="7" t="inlineStr">
        <is>
          <t>2017 CE</t>
        </is>
      </c>
      <c r="G1762" s="7" t="inlineStr">
        <is>
          <t>Exact</t>
        </is>
      </c>
      <c r="H1762" s="7" t="n"/>
      <c r="I1762" s="7" t="n"/>
      <c r="J1762" s="7" t="n"/>
      <c r="K1762" s="2" t="inlineStr">
        <is>
          <t>World headquarters at Warwick opens for tours</t>
        </is>
      </c>
      <c r="L1762" s="2" t="n"/>
      <c r="M1762" s="7" t="inlineStr">
        <is>
          <t>On Monday, April 3, 2017, the world headquarters at Warwick, New York, opened for tours, including three self-guided exhibits and a guided tour.</t>
        </is>
      </c>
      <c r="N1762" s="7" t="n"/>
      <c r="O1762" s="13" t="inlineStr">
        <is>
          <t>Jehovah's Witnesses</t>
        </is>
      </c>
      <c r="P1762" s="7" t="inlineStr">
        <is>
          <t>jw.construction</t>
        </is>
      </c>
      <c r="Q1762" s="7" t="n"/>
      <c r="R1762" s="7" t="n"/>
      <c r="S1762" s="7" t="inlineStr">
        <is>
          <t>Warwick, New York</t>
        </is>
      </c>
      <c r="T1762" s="7" t="n"/>
      <c r="U1762" s="7" t="n"/>
      <c r="V1762" s="7" t="n">
        <v>1</v>
      </c>
      <c r="W1762" s="7" t="inlineStr">
        <is>
          <t>Highlights of the Past Year</t>
        </is>
      </c>
      <c r="X1762" s="9" t="inlineStr">
        <is>
          <t>open</t>
        </is>
      </c>
      <c r="Y1762" s="7" t="n"/>
      <c r="Z1762" s="7" t="inlineStr">
        <is>
          <t>https://wol.jw.org/en/wol/d/r1/lp-e/302017036</t>
        </is>
      </c>
      <c r="AA1762" s="7" t="n">
        <v>0</v>
      </c>
      <c r="AB1762" s="7" t="n"/>
      <c r="AC1762" s="7" t="n">
        <v>0</v>
      </c>
      <c r="AD1762" s="7" t="n"/>
      <c r="AE1762" s="7" t="n"/>
      <c r="AF1762" s="7" t="n"/>
      <c r="AG1762" s="7" t="n"/>
      <c r="AH1762" s="7" t="n"/>
      <c r="AI1762" s="7" t="n"/>
      <c r="AJ1762" s="7" t="n"/>
      <c r="AK1762" s="7" t="n"/>
      <c r="AL1762" s="7" t="n"/>
      <c r="AM1762" s="7" t="n">
        <v>2017.2554</v>
      </c>
      <c r="AN1762" s="10" t="n"/>
      <c r="AO1762" s="10" t="n"/>
      <c r="AP1762" s="10" t="n"/>
      <c r="AQ1762" s="10" t="n"/>
    </row>
    <row r="1763">
      <c r="A1763" s="7" t="inlineStr">
        <is>
          <t>b9-0363</t>
        </is>
      </c>
      <c r="B1763" s="7" t="inlineStr">
        <is>
          <t>Point</t>
        </is>
      </c>
      <c r="C1763" s="7" t="n"/>
      <c r="D1763" s="7" t="inlineStr">
        <is>
          <t>2017, April 20</t>
        </is>
      </c>
      <c r="E1763" s="7" t="n"/>
      <c r="F1763" s="7" t="inlineStr">
        <is>
          <t>2017 CE</t>
        </is>
      </c>
      <c r="G1763" s="7" t="inlineStr">
        <is>
          <t>Exact</t>
        </is>
      </c>
      <c r="H1763" s="7" t="n"/>
      <c r="I1763" s="7" t="n"/>
      <c r="J1763" s="7" t="n"/>
      <c r="K1763" s="2" t="inlineStr">
        <is>
          <t>Russia’s Supreme Court bans Jehovah’s Witnesses</t>
        </is>
      </c>
      <c r="L1763" s="2" t="n"/>
      <c r="M1763" s="7" t="inlineStr">
        <is>
          <t>On April 20, 2017, Russia’s Supreme Court ruled to liquidate the Administrative Center of Jehovah’s Witnesses and the 395 Local Religious Organizations and confiscate their property, effectively banning their worship.</t>
        </is>
      </c>
      <c r="N1763" s="7" t="n"/>
      <c r="O1763" s="13" t="inlineStr">
        <is>
          <t>Jehovah's Witnesses</t>
        </is>
      </c>
      <c r="P1763" s="7" t="inlineStr">
        <is>
          <t>jw.persecution</t>
        </is>
      </c>
      <c r="Q1763" s="7" t="inlineStr">
        <is>
          <t>ban</t>
        </is>
      </c>
      <c r="R1763" s="7" t="n"/>
      <c r="S1763" s="7" t="inlineStr">
        <is>
          <t>Russia</t>
        </is>
      </c>
      <c r="T1763" s="7" t="n"/>
      <c r="U1763" s="7" t="n"/>
      <c r="V1763" s="7" t="n">
        <v>1</v>
      </c>
      <c r="W1763" s="7" t="inlineStr">
        <is>
          <t>Supreme Court Rules to Criminalize the Activity of Jehovah’s Witnesses in Russia</t>
        </is>
      </c>
      <c r="X1763" s="9" t="inlineStr">
        <is>
          <t>open</t>
        </is>
      </c>
      <c r="Y1763" s="7" t="n"/>
      <c r="Z1763" s="7" t="inlineStr">
        <is>
          <t>https://www.jw.org/en/news/region/russia/supreme-court-rules-to-criminalize-jehovahs-witnesses-activity/</t>
        </is>
      </c>
      <c r="AA1763" s="7" t="n">
        <v>1</v>
      </c>
      <c r="AB1763" s="9" t="inlineStr">
        <is>
          <t>open</t>
        </is>
      </c>
      <c r="AC1763" s="7" t="n">
        <v>0</v>
      </c>
      <c r="AD1763" s="7" t="n"/>
      <c r="AE1763" s="7" t="n"/>
      <c r="AF1763" s="7" t="n"/>
      <c r="AG1763" s="7" t="n"/>
      <c r="AH1763" s="7" t="n"/>
      <c r="AI1763" s="7" t="inlineStr">
        <is>
          <t>Span endpoint – keep</t>
        </is>
      </c>
      <c r="AJ1763" s="7" t="inlineStr">
        <is>
          <t>start of Ban on Jehovah’s Witnesses in Russia (b12-0111)</t>
        </is>
      </c>
      <c r="AK1763" s="7" t="inlineStr">
        <is>
          <t>kings-north-and-south #43 (fulfillment)</t>
        </is>
      </c>
      <c r="AL1763" s="7" t="n"/>
      <c r="AM1763" s="7" t="n">
        <v>2017.3011</v>
      </c>
      <c r="AN1763" s="10" t="n"/>
      <c r="AO1763" s="10" t="n"/>
      <c r="AP1763" s="10" t="n"/>
      <c r="AQ1763" s="10" t="n"/>
    </row>
    <row r="1764">
      <c r="A1764" s="7" t="inlineStr">
        <is>
          <t>b12-0111</t>
        </is>
      </c>
      <c r="B1764" s="11" t="inlineStr">
        <is>
          <t>Span</t>
        </is>
      </c>
      <c r="C1764" s="7" t="inlineStr">
        <is>
          <t>ban</t>
        </is>
      </c>
      <c r="D1764" s="7" t="inlineStr">
        <is>
          <t>April 20, 2017–</t>
        </is>
      </c>
      <c r="E1764" s="7" t="n"/>
      <c r="F1764" s="7" t="inlineStr">
        <is>
          <t>2017 CE</t>
        </is>
      </c>
      <c r="G1764" s="7" t="inlineStr">
        <is>
          <t>Exact</t>
        </is>
      </c>
      <c r="H1764" s="7" t="n"/>
      <c r="I1764" s="7" t="inlineStr">
        <is>
          <t>Ongoing</t>
        </is>
      </c>
      <c r="J1764" s="7" t="n"/>
      <c r="K1764" s="2" t="inlineStr">
        <is>
          <t>Ban on Jehovah’s Witnesses in Russia</t>
        </is>
      </c>
      <c r="L1764" s="2" t="n"/>
      <c r="M1764" s="7" t="inlineStr">
        <is>
          <t>Russia’s Supreme Court ruled to liquidate the Witnesses’ Administrative Center and local organizations and to criminalize their activity; the ban remained in force nine years later.</t>
        </is>
      </c>
      <c r="N1764" s="7" t="inlineStr">
        <is>
          <t>இந்த அறிக்கையில், ரஷ்யாவில் தடையுத்தரவு போட்ட சமயத்தில் இருந்து, ஒன்பது வருஷங்களாக நம் சகோதர-சகோதரிகள் எப்படி சகித்திருக்கிறார்கள் என்று பார்ப்போம்.</t>
        </is>
      </c>
      <c r="O1764" s="13" t="inlineStr">
        <is>
          <t>Jehovah's Witnesses</t>
        </is>
      </c>
      <c r="P1764" s="7" t="inlineStr">
        <is>
          <t>jw.persecution</t>
        </is>
      </c>
      <c r="Q1764" s="7" t="n"/>
      <c r="R1764" s="7" t="n"/>
      <c r="S1764" s="7" t="inlineStr">
        <is>
          <t>Russia</t>
        </is>
      </c>
      <c r="T1764" s="7" t="n"/>
      <c r="U1764" s="7" t="n"/>
      <c r="V1764" s="7" t="n">
        <v>2</v>
      </c>
      <c r="W1764" s="7" t="inlineStr">
        <is>
          <t>Supreme Court Rules to Criminalize the Activity of Jehovah’s Witnesses in Russia</t>
        </is>
      </c>
      <c r="X1764" s="9" t="inlineStr">
        <is>
          <t>open</t>
        </is>
      </c>
      <c r="Y1764" s="7" t="n"/>
      <c r="Z1764" s="7" t="inlineStr">
        <is>
          <t>https://www.jw.org/en/news/region/russia/supreme-court-rules-to-criminalize-jehovahs-witnesses-activity/
https://www.jw.org/en/news/region/global/2026-Governing-Body-Update-3/</t>
        </is>
      </c>
      <c r="AA1764" s="7" t="n">
        <v>0</v>
      </c>
      <c r="AB1764" s="7" t="n"/>
      <c r="AC1764" s="7" t="n">
        <v>0</v>
      </c>
      <c r="AD1764" s="7" t="n"/>
      <c r="AE1764" s="7" t="n"/>
      <c r="AF1764" s="7" t="inlineStr">
        <is>
          <t>b9-0363</t>
        </is>
      </c>
      <c r="AG1764" s="7" t="n"/>
      <c r="AH1764" s="7" t="n"/>
      <c r="AI1764" s="7" t="n"/>
      <c r="AJ1764" s="7" t="n"/>
      <c r="AK1764" s="7" t="n"/>
      <c r="AL1764" s="7" t="n"/>
      <c r="AM1764" s="7" t="n">
        <v>2017.3011</v>
      </c>
      <c r="AN1764" s="10" t="n"/>
      <c r="AO1764" s="10" t="n"/>
      <c r="AP1764" s="10" t="n"/>
      <c r="AQ1764" s="10" t="n"/>
    </row>
    <row r="1765">
      <c r="A1765" s="7" t="inlineStr">
        <is>
          <t>b9-0364</t>
        </is>
      </c>
      <c r="B1765" s="7" t="inlineStr">
        <is>
          <t>Point</t>
        </is>
      </c>
      <c r="C1765" s="7" t="n"/>
      <c r="D1765" s="7" t="inlineStr">
        <is>
          <t>2017, April 22</t>
        </is>
      </c>
      <c r="E1765" s="7" t="n"/>
      <c r="F1765" s="7" t="inlineStr">
        <is>
          <t>2017 CE</t>
        </is>
      </c>
      <c r="G1765" s="7" t="inlineStr">
        <is>
          <t>Exact</t>
        </is>
      </c>
      <c r="H1765" s="7" t="n"/>
      <c r="I1765" s="7" t="n"/>
      <c r="J1765" s="7" t="n"/>
      <c r="K1765" s="2" t="inlineStr">
        <is>
          <t>First open house at Warwick headquarters</t>
        </is>
      </c>
      <c r="L1765" s="2" t="n"/>
      <c r="M1765" s="7" t="inlineStr">
        <is>
          <t>On April 22, 2017, Jehovah’s Witnesses hosted the first of two open-house receptions at their new world headquarters in Warwick; 395 attended.</t>
        </is>
      </c>
      <c r="N1765" s="7" t="n"/>
      <c r="O1765" s="13" t="inlineStr">
        <is>
          <t>Jehovah's Witnesses</t>
        </is>
      </c>
      <c r="P1765" s="7" t="inlineStr">
        <is>
          <t>jw.construction</t>
        </is>
      </c>
      <c r="Q1765" s="7" t="n"/>
      <c r="R1765" s="7" t="n"/>
      <c r="S1765" s="7" t="inlineStr">
        <is>
          <t>Warwick, New York</t>
        </is>
      </c>
      <c r="T1765" s="7" t="n"/>
      <c r="U1765" s="7" t="n"/>
      <c r="V1765" s="7" t="n">
        <v>1</v>
      </c>
      <c r="W1765" s="7" t="inlineStr">
        <is>
          <t>Nearly 400 Attend Open House at New World Headquarters of Jehovah’s Witnesses</t>
        </is>
      </c>
      <c r="X1765" s="9" t="inlineStr">
        <is>
          <t>open</t>
        </is>
      </c>
      <c r="Y1765" s="7" t="n"/>
      <c r="Z1765" s="7" t="inlineStr">
        <is>
          <t>https://www.jw.org/en/news/releases/by-region/united-states/open-house-new-world-headquarters-jehovahs-witnesses/</t>
        </is>
      </c>
      <c r="AA1765" s="7" t="n">
        <v>1</v>
      </c>
      <c r="AB1765" s="9" t="inlineStr">
        <is>
          <t>open</t>
        </is>
      </c>
      <c r="AC1765" s="7" t="n">
        <v>0</v>
      </c>
      <c r="AD1765" s="7" t="n"/>
      <c r="AE1765" s="7" t="n"/>
      <c r="AF1765" s="7" t="n"/>
      <c r="AG1765" s="7" t="n"/>
      <c r="AH1765" s="7" t="n"/>
      <c r="AI1765" s="7" t="n"/>
      <c r="AJ1765" s="7" t="n"/>
      <c r="AK1765" s="7" t="n"/>
      <c r="AL1765" s="7" t="inlineStr">
        <is>
          <t>Article dated April 28, 2017 refers to “this past Saturday,” i.e. April 22, 2017; the date April 22 is confirmed by the May 22, 2017 article (“the previous Saturday”).</t>
        </is>
      </c>
      <c r="AM1765" s="7" t="n">
        <v>2017.3065</v>
      </c>
      <c r="AN1765" s="10" t="n"/>
      <c r="AO1765" s="10" t="n"/>
      <c r="AP1765" s="10" t="n"/>
      <c r="AQ1765" s="10" t="n"/>
    </row>
    <row r="1766">
      <c r="A1766" s="7" t="inlineStr">
        <is>
          <t>b9-0365</t>
        </is>
      </c>
      <c r="B1766" s="7" t="inlineStr">
        <is>
          <t>Point</t>
        </is>
      </c>
      <c r="C1766" s="7" t="n"/>
      <c r="D1766" s="7" t="inlineStr">
        <is>
          <t>2017, April 29</t>
        </is>
      </c>
      <c r="E1766" s="7" t="n"/>
      <c r="F1766" s="7" t="inlineStr">
        <is>
          <t>2017 CE</t>
        </is>
      </c>
      <c r="G1766" s="7" t="inlineStr">
        <is>
          <t>Exact</t>
        </is>
      </c>
      <c r="H1766" s="7" t="n"/>
      <c r="I1766" s="7" t="n"/>
      <c r="J1766" s="7" t="n"/>
      <c r="K1766" s="2" t="inlineStr">
        <is>
          <t>Second open house at Warwick headquarters</t>
        </is>
      </c>
      <c r="L1766" s="2" t="n"/>
      <c r="M1766" s="7" t="inlineStr">
        <is>
          <t>On April 29, 2017, the second open-house reception at the Warwick headquarters drew 468 visitors; the two events had a combined attendance of 863.</t>
        </is>
      </c>
      <c r="N1766" s="7" t="n"/>
      <c r="O1766" s="13" t="inlineStr">
        <is>
          <t>Jehovah's Witnesses</t>
        </is>
      </c>
      <c r="P1766" s="7" t="inlineStr">
        <is>
          <t>jw.construction</t>
        </is>
      </c>
      <c r="Q1766" s="7" t="n"/>
      <c r="R1766" s="7" t="n"/>
      <c r="S1766" s="7" t="inlineStr">
        <is>
          <t>Warwick, New York</t>
        </is>
      </c>
      <c r="T1766" s="7" t="n"/>
      <c r="U1766" s="7" t="n"/>
      <c r="V1766" s="7" t="n">
        <v>1</v>
      </c>
      <c r="W1766" s="7" t="inlineStr">
        <is>
          <t>Open House at New World Headquarters Draws Positive Community Response</t>
        </is>
      </c>
      <c r="X1766" s="9" t="inlineStr">
        <is>
          <t>open</t>
        </is>
      </c>
      <c r="Y1766" s="7" t="n"/>
      <c r="Z1766" s="7" t="inlineStr">
        <is>
          <t>https://www.jw.org/en/news/region/united-states/open-house-draws-positive-community-response/</t>
        </is>
      </c>
      <c r="AA1766" s="7" t="n">
        <v>1</v>
      </c>
      <c r="AB1766" s="9" t="inlineStr">
        <is>
          <t>open</t>
        </is>
      </c>
      <c r="AC1766" s="7" t="n">
        <v>0</v>
      </c>
      <c r="AD1766" s="7" t="n"/>
      <c r="AE1766" s="7" t="n"/>
      <c r="AF1766" s="7" t="n"/>
      <c r="AG1766" s="7" t="n"/>
      <c r="AH1766" s="7" t="n"/>
      <c r="AI1766" s="7" t="n"/>
      <c r="AJ1766" s="7" t="n"/>
      <c r="AK1766" s="7" t="n"/>
      <c r="AL1766" s="7" t="n"/>
      <c r="AM1766" s="7" t="n">
        <v>2017.3253</v>
      </c>
      <c r="AN1766" s="10" t="n"/>
      <c r="AO1766" s="10" t="n"/>
      <c r="AP1766" s="10" t="n"/>
      <c r="AQ1766" s="10" t="n"/>
    </row>
    <row r="1767">
      <c r="A1767" s="7" t="inlineStr">
        <is>
          <t>b9-0366</t>
        </is>
      </c>
      <c r="B1767" s="7" t="inlineStr">
        <is>
          <t>Point</t>
        </is>
      </c>
      <c r="C1767" s="7" t="n"/>
      <c r="D1767" s="7" t="inlineStr">
        <is>
          <t>2017, July 17</t>
        </is>
      </c>
      <c r="E1767" s="7" t="n"/>
      <c r="F1767" s="7" t="inlineStr">
        <is>
          <t>2017 CE</t>
        </is>
      </c>
      <c r="G1767" s="7" t="inlineStr">
        <is>
          <t>Exact</t>
        </is>
      </c>
      <c r="H1767" s="7" t="n"/>
      <c r="I1767" s="7" t="n"/>
      <c r="J1767" s="7" t="n"/>
      <c r="K1767" s="2" t="inlineStr">
        <is>
          <t>Russia’s Supreme Court upholds ban on appeal</t>
        </is>
      </c>
      <c r="L1767" s="2" t="n"/>
      <c r="M1767" s="7" t="inlineStr">
        <is>
          <t>On July 17, 2017, the Appellate Chamber of Russia’s Supreme Court rejected the Witnesses’ appeal and upheld the April 20 decision, putting over 175,000 Witnesses at risk.</t>
        </is>
      </c>
      <c r="N1767" s="7" t="n"/>
      <c r="O1767" s="13" t="inlineStr">
        <is>
          <t>Jehovah's Witnesses</t>
        </is>
      </c>
      <c r="P1767" s="7" t="inlineStr">
        <is>
          <t>jw.persecution</t>
        </is>
      </c>
      <c r="Q1767" s="7" t="inlineStr">
        <is>
          <t>court_ruling</t>
        </is>
      </c>
      <c r="R1767" s="7" t="n"/>
      <c r="S1767" s="7" t="inlineStr">
        <is>
          <t>Russia</t>
        </is>
      </c>
      <c r="T1767" s="7" t="n"/>
      <c r="U1767" s="7" t="n"/>
      <c r="V1767" s="7" t="n">
        <v>1</v>
      </c>
      <c r="W1767" s="7" t="inlineStr">
        <is>
          <t>Russia’s Supreme Court Confirms Earlier Ruling to Criminalize Jehovah’s Witnesses</t>
        </is>
      </c>
      <c r="X1767" s="9" t="inlineStr">
        <is>
          <t>open</t>
        </is>
      </c>
      <c r="Y1767" s="7" t="n"/>
      <c r="Z1767" s="7" t="inlineStr">
        <is>
          <t>https://www.jw.org/en/news/region/russia/supreme-court-confirms-earlier-ruling-to-criminalize-jehovahs-witnesses/</t>
        </is>
      </c>
      <c r="AA1767" s="7" t="n">
        <v>1</v>
      </c>
      <c r="AB1767" s="9" t="inlineStr">
        <is>
          <t>open</t>
        </is>
      </c>
      <c r="AC1767" s="7" t="n">
        <v>0</v>
      </c>
      <c r="AD1767" s="7" t="n"/>
      <c r="AE1767" s="7" t="n"/>
      <c r="AF1767" s="7" t="n"/>
      <c r="AG1767" s="7" t="n"/>
      <c r="AH1767" s="7" t="n"/>
      <c r="AI1767" s="7" t="n"/>
      <c r="AJ1767" s="7" t="n"/>
      <c r="AK1767" s="7" t="n"/>
      <c r="AL1767" s="7" t="n"/>
      <c r="AM1767" s="7" t="n">
        <v>2017.543</v>
      </c>
      <c r="AN1767" s="10" t="n"/>
      <c r="AO1767" s="10" t="n"/>
      <c r="AP1767" s="10" t="n"/>
      <c r="AQ1767" s="10" t="n"/>
    </row>
    <row r="1768">
      <c r="A1768" s="7" t="inlineStr">
        <is>
          <t>b9-0367</t>
        </is>
      </c>
      <c r="B1768" s="7" t="inlineStr">
        <is>
          <t>Point</t>
        </is>
      </c>
      <c r="C1768" s="7" t="n"/>
      <c r="D1768" s="7" t="inlineStr">
        <is>
          <t>2018</t>
        </is>
      </c>
      <c r="E1768" s="7" t="n"/>
      <c r="F1768" s="7" t="inlineStr">
        <is>
          <t>2018 CE</t>
        </is>
      </c>
      <c r="G1768" s="7" t="inlineStr">
        <is>
          <t>Exact</t>
        </is>
      </c>
      <c r="H1768" s="7" t="n"/>
      <c r="I1768" s="7" t="n"/>
      <c r="J1768" s="7" t="n"/>
      <c r="K1768" s="2" t="inlineStr">
        <is>
          <t>Understanding clarified: chieftain of Ezekiel’s temple vision (Eze 44-46, 48)</t>
        </is>
      </c>
      <c r="L1768" s="2" t="n"/>
      <c r="M1768" s="7" t="inlineStr">
        <is>
          <t>The Watch Tower Publications Index (“Beliefs Clarified,” list by year) records a clarified understanding in 2018 concerning chieftain of Ezekiel’s temple vision (Eze 44-46, 48). Index references: rr 158-159.</t>
        </is>
      </c>
      <c r="N1768" s="7" t="n"/>
      <c r="O1768" s="13" t="inlineStr">
        <is>
          <t>Jehovah's Witnesses</t>
        </is>
      </c>
      <c r="P1768" s="7" t="inlineStr">
        <is>
          <t>jw.doctrine</t>
        </is>
      </c>
      <c r="Q1768" s="7" t="inlineStr">
        <is>
          <t>beliefs_clarified</t>
        </is>
      </c>
      <c r="R1768" s="7" t="n"/>
      <c r="S1768" s="7" t="n"/>
      <c r="T1768" s="7" t="n"/>
      <c r="U1768" s="7" t="n"/>
      <c r="V1768" s="7" t="n">
        <v>1</v>
      </c>
      <c r="W1768" s="7" t="inlineStr">
        <is>
          <t>Beliefs Clarified</t>
        </is>
      </c>
      <c r="X1768" s="9" t="inlineStr">
        <is>
          <t>open</t>
        </is>
      </c>
      <c r="Y1768" s="7" t="n"/>
      <c r="Z1768" s="7" t="inlineStr">
        <is>
          <t>https://wol.jw.org/en/wol/d/r1/lp-e/1200277174</t>
        </is>
      </c>
      <c r="AA1768" s="7" t="n">
        <v>0</v>
      </c>
      <c r="AB1768" s="7" t="n"/>
      <c r="AC1768" s="7" t="n">
        <v>0</v>
      </c>
      <c r="AD1768" s="7" t="n"/>
      <c r="AE1768" s="7" t="n"/>
      <c r="AF1768" s="7" t="n"/>
      <c r="AG1768" s="7" t="n"/>
      <c r="AH1768" s="7" t="n"/>
      <c r="AI1768" s="7" t="inlineStr">
        <is>
          <t>Index list entry – app detail</t>
        </is>
      </c>
      <c r="AJ1768" s="7" t="n"/>
      <c r="AK1768" s="7" t="n"/>
      <c r="AL1768" s="7" t="n"/>
      <c r="AM1768" s="7" t="n">
        <v>2018</v>
      </c>
      <c r="AN1768" s="10" t="n"/>
      <c r="AO1768" s="10" t="n"/>
      <c r="AP1768" s="10" t="n"/>
      <c r="AQ1768" s="10" t="n"/>
    </row>
    <row r="1769">
      <c r="A1769" s="7" t="inlineStr">
        <is>
          <t>b9-0368</t>
        </is>
      </c>
      <c r="B1769" s="7" t="inlineStr">
        <is>
          <t>Point</t>
        </is>
      </c>
      <c r="C1769" s="7" t="n"/>
      <c r="D1769" s="7" t="inlineStr">
        <is>
          <t>2018</t>
        </is>
      </c>
      <c r="E1769" s="7" t="n"/>
      <c r="F1769" s="7" t="inlineStr">
        <is>
          <t>2018 CE</t>
        </is>
      </c>
      <c r="G1769" s="7" t="inlineStr">
        <is>
          <t>Exact</t>
        </is>
      </c>
      <c r="H1769" s="7" t="n"/>
      <c r="I1769" s="7" t="n"/>
      <c r="J1769" s="7" t="n"/>
      <c r="K1769" s="2" t="inlineStr">
        <is>
          <t>Understanding clarified: Ezekiel’s temple vision (Eze 40-48)</t>
        </is>
      </c>
      <c r="L1769" s="2" t="n"/>
      <c r="M1769" s="7" t="inlineStr">
        <is>
          <t>The Watch Tower Publications Index (“Beliefs Clarified,” list by year) records a clarified understanding in 2018 concerning Ezekiel’s temple vision (Eze 40-48). Index references: rr 138-141, 154, 156-158, 240.</t>
        </is>
      </c>
      <c r="N1769" s="7" t="n"/>
      <c r="O1769" s="13" t="inlineStr">
        <is>
          <t>Jehovah's Witnesses</t>
        </is>
      </c>
      <c r="P1769" s="7" t="inlineStr">
        <is>
          <t>jw.doctrine</t>
        </is>
      </c>
      <c r="Q1769" s="7" t="inlineStr">
        <is>
          <t>beliefs_clarified</t>
        </is>
      </c>
      <c r="R1769" s="7" t="n"/>
      <c r="S1769" s="7" t="n"/>
      <c r="T1769" s="7" t="n"/>
      <c r="U1769" s="7" t="n"/>
      <c r="V1769" s="7" t="n">
        <v>1</v>
      </c>
      <c r="W1769" s="7" t="inlineStr">
        <is>
          <t>Beliefs Clarified</t>
        </is>
      </c>
      <c r="X1769" s="9" t="inlineStr">
        <is>
          <t>open</t>
        </is>
      </c>
      <c r="Y1769" s="7" t="n"/>
      <c r="Z1769" s="7" t="inlineStr">
        <is>
          <t>https://wol.jw.org/en/wol/d/r1/lp-e/1200277174</t>
        </is>
      </c>
      <c r="AA1769" s="7" t="n">
        <v>0</v>
      </c>
      <c r="AB1769" s="7" t="n"/>
      <c r="AC1769" s="7" t="n">
        <v>0</v>
      </c>
      <c r="AD1769" s="7" t="n"/>
      <c r="AE1769" s="7" t="n"/>
      <c r="AF1769" s="7" t="n"/>
      <c r="AG1769" s="7" t="n"/>
      <c r="AH1769" s="7" t="n"/>
      <c r="AI1769" s="7" t="inlineStr">
        <is>
          <t>Index list entry – app detail</t>
        </is>
      </c>
      <c r="AJ1769" s="7" t="n"/>
      <c r="AK1769" s="7" t="n"/>
      <c r="AL1769" s="7" t="n"/>
      <c r="AM1769" s="7" t="n">
        <v>2018</v>
      </c>
      <c r="AN1769" s="10" t="n"/>
      <c r="AO1769" s="10" t="n"/>
      <c r="AP1769" s="10" t="n"/>
      <c r="AQ1769" s="10" t="n"/>
    </row>
    <row r="1770">
      <c r="A1770" s="7" t="inlineStr">
        <is>
          <t>b9-0369</t>
        </is>
      </c>
      <c r="B1770" s="7" t="inlineStr">
        <is>
          <t>Point</t>
        </is>
      </c>
      <c r="C1770" s="7" t="n"/>
      <c r="D1770" s="7" t="inlineStr">
        <is>
          <t>2018</t>
        </is>
      </c>
      <c r="E1770" s="7" t="n"/>
      <c r="F1770" s="7" t="inlineStr">
        <is>
          <t>2018 CE</t>
        </is>
      </c>
      <c r="G1770" s="7" t="inlineStr">
        <is>
          <t>Exact</t>
        </is>
      </c>
      <c r="H1770" s="7" t="n"/>
      <c r="I1770" s="7" t="n"/>
      <c r="J1770" s="7" t="n"/>
      <c r="K1770" s="2" t="inlineStr">
        <is>
          <t>Understanding clarified: four faces of living creatures (Ezek. 1, 10)</t>
        </is>
      </c>
      <c r="L1770" s="2" t="n"/>
      <c r="M1770" s="7" t="inlineStr">
        <is>
          <t>The Watch Tower Publications Index (“Beliefs Clarified,” list by year) records a clarified understanding in 2018 concerning four faces of living creatures (Ezek. 1, 10). Index references: rr 43, 45, 48, 238.</t>
        </is>
      </c>
      <c r="N1770" s="7" t="n"/>
      <c r="O1770" s="13" t="inlineStr">
        <is>
          <t>Jehovah's Witnesses</t>
        </is>
      </c>
      <c r="P1770" s="7" t="inlineStr">
        <is>
          <t>jw.doctrine</t>
        </is>
      </c>
      <c r="Q1770" s="7" t="inlineStr">
        <is>
          <t>beliefs_clarified</t>
        </is>
      </c>
      <c r="R1770" s="7" t="n"/>
      <c r="S1770" s="7" t="n"/>
      <c r="T1770" s="7" t="inlineStr">
        <is>
          <t>Ezek. 1, 10</t>
        </is>
      </c>
      <c r="U1770" s="7" t="n"/>
      <c r="V1770" s="7" t="n">
        <v>1</v>
      </c>
      <c r="W1770" s="7" t="inlineStr">
        <is>
          <t>Beliefs Clarified</t>
        </is>
      </c>
      <c r="X1770" s="9" t="inlineStr">
        <is>
          <t>open</t>
        </is>
      </c>
      <c r="Y1770" s="7" t="n"/>
      <c r="Z1770" s="7" t="inlineStr">
        <is>
          <t>https://wol.jw.org/en/wol/d/r1/lp-e/1200277174</t>
        </is>
      </c>
      <c r="AA1770" s="7" t="n">
        <v>0</v>
      </c>
      <c r="AB1770" s="7" t="n"/>
      <c r="AC1770" s="7" t="n">
        <v>0</v>
      </c>
      <c r="AD1770" s="7" t="n"/>
      <c r="AE1770" s="7" t="n"/>
      <c r="AF1770" s="7" t="n"/>
      <c r="AG1770" s="7" t="n"/>
      <c r="AH1770" s="7" t="n"/>
      <c r="AI1770" s="7" t="inlineStr">
        <is>
          <t>Index list entry – app detail</t>
        </is>
      </c>
      <c r="AJ1770" s="7" t="n"/>
      <c r="AK1770" s="7" t="n"/>
      <c r="AL1770" s="7" t="n"/>
      <c r="AM1770" s="7" t="n">
        <v>2018</v>
      </c>
      <c r="AN1770" s="10" t="n"/>
      <c r="AO1770" s="10" t="n"/>
      <c r="AP1770" s="10" t="n"/>
      <c r="AQ1770" s="10" t="n"/>
    </row>
    <row r="1771">
      <c r="A1771" s="7" t="inlineStr">
        <is>
          <t>b9-0370</t>
        </is>
      </c>
      <c r="B1771" s="7" t="inlineStr">
        <is>
          <t>Point</t>
        </is>
      </c>
      <c r="C1771" s="7" t="n"/>
      <c r="D1771" s="7" t="inlineStr">
        <is>
          <t>2018</t>
        </is>
      </c>
      <c r="E1771" s="7" t="n"/>
      <c r="F1771" s="7" t="inlineStr">
        <is>
          <t>2018 CE</t>
        </is>
      </c>
      <c r="G1771" s="7" t="inlineStr">
        <is>
          <t>Exact</t>
        </is>
      </c>
      <c r="H1771" s="7" t="n"/>
      <c r="I1771" s="7" t="n"/>
      <c r="J1771" s="7" t="n"/>
      <c r="K1771" s="2" t="inlineStr">
        <is>
          <t>Understanding clarified: meaning of term “new world”</t>
        </is>
      </c>
      <c r="L1771" s="2" t="n"/>
      <c r="M1771" s="7" t="inlineStr">
        <is>
          <t>The Watch Tower Publications Index (“Beliefs Clarified,” list by year) records a clarified understanding in 2018 concerning meaning of term “new world”. Index references: w18.12 8.</t>
        </is>
      </c>
      <c r="N1771" s="7" t="n"/>
      <c r="O1771" s="13" t="inlineStr">
        <is>
          <t>Jehovah's Witnesses</t>
        </is>
      </c>
      <c r="P1771" s="7" t="inlineStr">
        <is>
          <t>jw.doctrine</t>
        </is>
      </c>
      <c r="Q1771" s="7" t="inlineStr">
        <is>
          <t>beliefs_clarified</t>
        </is>
      </c>
      <c r="R1771" s="7" t="n"/>
      <c r="S1771" s="7" t="n"/>
      <c r="T1771" s="7" t="n"/>
      <c r="U1771" s="7" t="n"/>
      <c r="V1771" s="7" t="n">
        <v>1</v>
      </c>
      <c r="W1771" s="7" t="inlineStr">
        <is>
          <t>Beliefs Clarified</t>
        </is>
      </c>
      <c r="X1771" s="9" t="inlineStr">
        <is>
          <t>open</t>
        </is>
      </c>
      <c r="Y1771" s="7" t="n"/>
      <c r="Z1771" s="7" t="inlineStr">
        <is>
          <t>https://wol.jw.org/en/wol/d/r1/lp-e/1200277174</t>
        </is>
      </c>
      <c r="AA1771" s="7" t="n">
        <v>0</v>
      </c>
      <c r="AB1771" s="7" t="n"/>
      <c r="AC1771" s="7" t="n">
        <v>0</v>
      </c>
      <c r="AD1771" s="7" t="n"/>
      <c r="AE1771" s="7" t="n"/>
      <c r="AF1771" s="7" t="n"/>
      <c r="AG1771" s="7" t="n"/>
      <c r="AH1771" s="7" t="n"/>
      <c r="AI1771" s="7" t="inlineStr">
        <is>
          <t>Index list entry – app detail</t>
        </is>
      </c>
      <c r="AJ1771" s="7" t="n"/>
      <c r="AK1771" s="7" t="n"/>
      <c r="AL1771" s="7" t="n"/>
      <c r="AM1771" s="7" t="n">
        <v>2018</v>
      </c>
      <c r="AN1771" s="10" t="n"/>
      <c r="AO1771" s="10" t="n"/>
      <c r="AP1771" s="10" t="n"/>
      <c r="AQ1771" s="10" t="n"/>
    </row>
    <row r="1772">
      <c r="A1772" s="7" t="inlineStr">
        <is>
          <t>b9-0371</t>
        </is>
      </c>
      <c r="B1772" s="7" t="inlineStr">
        <is>
          <t>Point</t>
        </is>
      </c>
      <c r="C1772" s="7" t="n"/>
      <c r="D1772" s="7" t="inlineStr">
        <is>
          <t>2018</t>
        </is>
      </c>
      <c r="E1772" s="7" t="n"/>
      <c r="F1772" s="7" t="inlineStr">
        <is>
          <t>2018 CE</t>
        </is>
      </c>
      <c r="G1772" s="7" t="inlineStr">
        <is>
          <t>Exact</t>
        </is>
      </c>
      <c r="H1772" s="7" t="n"/>
      <c r="I1772" s="7" t="n"/>
      <c r="J1772" s="7" t="n"/>
      <c r="K1772" s="2" t="inlineStr">
        <is>
          <t>Understanding clarified: Oholah and Oholibah (Ezek. 23)</t>
        </is>
      </c>
      <c r="L1772" s="2" t="n"/>
      <c r="M1772" s="7" t="inlineStr">
        <is>
          <t>The Watch Tower Publications Index (“Beliefs Clarified,” list by year) records a clarified understanding in 2018 concerning Oholah and Oholibah (Ezek. 23). Index references: rr 166, 239.</t>
        </is>
      </c>
      <c r="N1772" s="7" t="n"/>
      <c r="O1772" s="13" t="inlineStr">
        <is>
          <t>Jehovah's Witnesses</t>
        </is>
      </c>
      <c r="P1772" s="7" t="inlineStr">
        <is>
          <t>jw.doctrine</t>
        </is>
      </c>
      <c r="Q1772" s="7" t="inlineStr">
        <is>
          <t>beliefs_clarified</t>
        </is>
      </c>
      <c r="R1772" s="7" t="n"/>
      <c r="S1772" s="7" t="n"/>
      <c r="T1772" s="7" t="inlineStr">
        <is>
          <t>Ezek. 23</t>
        </is>
      </c>
      <c r="U1772" s="7" t="n"/>
      <c r="V1772" s="7" t="n">
        <v>1</v>
      </c>
      <c r="W1772" s="7" t="inlineStr">
        <is>
          <t>Beliefs Clarified</t>
        </is>
      </c>
      <c r="X1772" s="9" t="inlineStr">
        <is>
          <t>open</t>
        </is>
      </c>
      <c r="Y1772" s="7" t="n"/>
      <c r="Z1772" s="7" t="inlineStr">
        <is>
          <t>https://wol.jw.org/en/wol/d/r1/lp-e/1200277174</t>
        </is>
      </c>
      <c r="AA1772" s="7" t="n">
        <v>0</v>
      </c>
      <c r="AB1772" s="7" t="n"/>
      <c r="AC1772" s="7" t="n">
        <v>0</v>
      </c>
      <c r="AD1772" s="7" t="n"/>
      <c r="AE1772" s="7" t="n"/>
      <c r="AF1772" s="7" t="n"/>
      <c r="AG1772" s="7" t="n"/>
      <c r="AH1772" s="7" t="n"/>
      <c r="AI1772" s="7" t="inlineStr">
        <is>
          <t>Index list entry – app detail</t>
        </is>
      </c>
      <c r="AJ1772" s="7" t="n"/>
      <c r="AK1772" s="7" t="n"/>
      <c r="AL1772" s="7" t="n"/>
      <c r="AM1772" s="7" t="n">
        <v>2018</v>
      </c>
      <c r="AN1772" s="10" t="n"/>
      <c r="AO1772" s="10" t="n"/>
      <c r="AP1772" s="10" t="n"/>
      <c r="AQ1772" s="10" t="n"/>
    </row>
    <row r="1773">
      <c r="A1773" s="7" t="inlineStr">
        <is>
          <t>b9-0372</t>
        </is>
      </c>
      <c r="B1773" s="7" t="inlineStr">
        <is>
          <t>Point</t>
        </is>
      </c>
      <c r="C1773" s="7" t="n"/>
      <c r="D1773" s="7" t="inlineStr">
        <is>
          <t>2018</t>
        </is>
      </c>
      <c r="E1773" s="7" t="n"/>
      <c r="F1773" s="7" t="inlineStr">
        <is>
          <t>2018 CE</t>
        </is>
      </c>
      <c r="G1773" s="7" t="inlineStr">
        <is>
          <t>Exact</t>
        </is>
      </c>
      <c r="H1773" s="7" t="n"/>
      <c r="I1773" s="7" t="n"/>
      <c r="J1773" s="7" t="n"/>
      <c r="K1773" s="2" t="inlineStr">
        <is>
          <t>Understanding clarified: Paul caught away to “third heaven” and “paradise” (2 Cor. 12:2-4)</t>
        </is>
      </c>
      <c r="L1773" s="2" t="n"/>
      <c r="M1773" s="7" t="inlineStr">
        <is>
          <t>The Watch Tower Publications Index (“Beliefs Clarified,” list by year) records a clarified understanding in 2018 concerning Paul caught away to “third heaven” and “paradise” (2 Cor. 12:2-4). Index references: w18.12 8.</t>
        </is>
      </c>
      <c r="N1773" s="7" t="n"/>
      <c r="O1773" s="13" t="inlineStr">
        <is>
          <t>Jehovah's Witnesses</t>
        </is>
      </c>
      <c r="P1773" s="7" t="inlineStr">
        <is>
          <t>jw.doctrine</t>
        </is>
      </c>
      <c r="Q1773" s="7" t="inlineStr">
        <is>
          <t>beliefs_clarified</t>
        </is>
      </c>
      <c r="R1773" s="7" t="n"/>
      <c r="S1773" s="7" t="n"/>
      <c r="T1773" s="7" t="inlineStr">
        <is>
          <t>2 Cor. 12:2-4</t>
        </is>
      </c>
      <c r="U1773" s="7" t="n"/>
      <c r="V1773" s="7" t="n">
        <v>1</v>
      </c>
      <c r="W1773" s="7" t="inlineStr">
        <is>
          <t>Beliefs Clarified</t>
        </is>
      </c>
      <c r="X1773" s="9" t="inlineStr">
        <is>
          <t>open</t>
        </is>
      </c>
      <c r="Y1773" s="7" t="n"/>
      <c r="Z1773" s="7" t="inlineStr">
        <is>
          <t>https://wol.jw.org/en/wol/d/r1/lp-e/1200277174</t>
        </is>
      </c>
      <c r="AA1773" s="7" t="n">
        <v>0</v>
      </c>
      <c r="AB1773" s="7" t="n"/>
      <c r="AC1773" s="7" t="n">
        <v>0</v>
      </c>
      <c r="AD1773" s="7" t="n"/>
      <c r="AE1773" s="7" t="n"/>
      <c r="AF1773" s="7" t="n"/>
      <c r="AG1773" s="7" t="n"/>
      <c r="AH1773" s="7" t="n"/>
      <c r="AI1773" s="7" t="inlineStr">
        <is>
          <t>Index list entry – app detail</t>
        </is>
      </c>
      <c r="AJ1773" s="7" t="n"/>
      <c r="AK1773" s="7" t="n"/>
      <c r="AL1773" s="7" t="n"/>
      <c r="AM1773" s="7" t="n">
        <v>2018</v>
      </c>
      <c r="AN1773" s="10" t="n"/>
      <c r="AO1773" s="10" t="n"/>
      <c r="AP1773" s="10" t="n"/>
      <c r="AQ1773" s="10" t="n"/>
    </row>
    <row r="1774">
      <c r="A1774" s="7" t="inlineStr">
        <is>
          <t>b9-0373</t>
        </is>
      </c>
      <c r="B1774" s="7" t="inlineStr">
        <is>
          <t>Point</t>
        </is>
      </c>
      <c r="C1774" s="7" t="n"/>
      <c r="D1774" s="7" t="inlineStr">
        <is>
          <t>2018</t>
        </is>
      </c>
      <c r="E1774" s="7" t="n"/>
      <c r="F1774" s="7" t="inlineStr">
        <is>
          <t>2018 CE</t>
        </is>
      </c>
      <c r="G1774" s="7" t="inlineStr">
        <is>
          <t>Exact</t>
        </is>
      </c>
      <c r="H1774" s="7" t="n"/>
      <c r="I1774" s="7" t="n"/>
      <c r="J1774" s="7" t="n"/>
      <c r="K1774" s="2" t="inlineStr">
        <is>
          <t>Understanding clarified: “river” embraces worship in addition to rulership (Ps. 46:4)</t>
        </is>
      </c>
      <c r="L1774" s="2" t="n"/>
      <c r="M1774" s="7" t="inlineStr">
        <is>
          <t>The Watch Tower Publications Index (“Beliefs Clarified,” list by year) records a clarified understanding in 2018 concerning “river” embraces worship in addition to rulership (Ps. 46:4). Index references: rr 204.</t>
        </is>
      </c>
      <c r="N1774" s="7" t="n"/>
      <c r="O1774" s="13" t="inlineStr">
        <is>
          <t>Jehovah's Witnesses</t>
        </is>
      </c>
      <c r="P1774" s="7" t="inlineStr">
        <is>
          <t>jw.doctrine</t>
        </is>
      </c>
      <c r="Q1774" s="7" t="inlineStr">
        <is>
          <t>beliefs_clarified</t>
        </is>
      </c>
      <c r="R1774" s="7" t="n"/>
      <c r="S1774" s="7" t="n"/>
      <c r="T1774" s="7" t="inlineStr">
        <is>
          <t>Ps. 46:4</t>
        </is>
      </c>
      <c r="U1774" s="7" t="n"/>
      <c r="V1774" s="7" t="n">
        <v>1</v>
      </c>
      <c r="W1774" s="7" t="inlineStr">
        <is>
          <t>Beliefs Clarified</t>
        </is>
      </c>
      <c r="X1774" s="9" t="inlineStr">
        <is>
          <t>open</t>
        </is>
      </c>
      <c r="Y1774" s="7" t="n"/>
      <c r="Z1774" s="7" t="inlineStr">
        <is>
          <t>https://wol.jw.org/en/wol/d/r1/lp-e/1200277174</t>
        </is>
      </c>
      <c r="AA1774" s="7" t="n">
        <v>0</v>
      </c>
      <c r="AB1774" s="7" t="n"/>
      <c r="AC1774" s="7" t="n">
        <v>0</v>
      </c>
      <c r="AD1774" s="7" t="n"/>
      <c r="AE1774" s="7" t="n"/>
      <c r="AF1774" s="7" t="n"/>
      <c r="AG1774" s="7" t="n"/>
      <c r="AH1774" s="7" t="n"/>
      <c r="AI1774" s="7" t="inlineStr">
        <is>
          <t>Index list entry – app detail</t>
        </is>
      </c>
      <c r="AJ1774" s="7" t="n"/>
      <c r="AK1774" s="7" t="n"/>
      <c r="AL1774" s="7" t="n"/>
      <c r="AM1774" s="7" t="n">
        <v>2018</v>
      </c>
      <c r="AN1774" s="10" t="n"/>
      <c r="AO1774" s="10" t="n"/>
      <c r="AP1774" s="10" t="n"/>
      <c r="AQ1774" s="10" t="n"/>
    </row>
    <row r="1775">
      <c r="A1775" s="7" t="inlineStr">
        <is>
          <t>b9-0374</t>
        </is>
      </c>
      <c r="B1775" s="7" t="inlineStr">
        <is>
          <t>Point</t>
        </is>
      </c>
      <c r="C1775" s="7" t="n"/>
      <c r="D1775" s="7" t="inlineStr">
        <is>
          <t>2018</t>
        </is>
      </c>
      <c r="E1775" s="7" t="n"/>
      <c r="F1775" s="7" t="inlineStr">
        <is>
          <t>2018 CE</t>
        </is>
      </c>
      <c r="G1775" s="7" t="inlineStr">
        <is>
          <t>Exact</t>
        </is>
      </c>
      <c r="H1775" s="7" t="n"/>
      <c r="I1775" s="7" t="n"/>
      <c r="J1775" s="7" t="n"/>
      <c r="K1775" s="2" t="inlineStr">
        <is>
          <t>Understanding clarified: to whom Psalm 144:12-15 applies</t>
        </is>
      </c>
      <c r="L1775" s="2" t="n"/>
      <c r="M1775" s="7" t="inlineStr">
        <is>
          <t>The Watch Tower Publications Index (“Beliefs Clarified,” list by year) records a clarified understanding in 2018 concerning to whom Psalm 144:12-15 applies. Index references: w18.04 32.</t>
        </is>
      </c>
      <c r="N1775" s="7" t="n"/>
      <c r="O1775" s="13" t="inlineStr">
        <is>
          <t>Jehovah's Witnesses</t>
        </is>
      </c>
      <c r="P1775" s="7" t="inlineStr">
        <is>
          <t>jw.doctrine</t>
        </is>
      </c>
      <c r="Q1775" s="7" t="inlineStr">
        <is>
          <t>beliefs_clarified</t>
        </is>
      </c>
      <c r="R1775" s="7" t="n"/>
      <c r="S1775" s="7" t="n"/>
      <c r="T1775" s="7" t="n"/>
      <c r="U1775" s="7" t="n"/>
      <c r="V1775" s="7" t="n">
        <v>1</v>
      </c>
      <c r="W1775" s="7" t="inlineStr">
        <is>
          <t>Beliefs Clarified</t>
        </is>
      </c>
      <c r="X1775" s="9" t="inlineStr">
        <is>
          <t>open</t>
        </is>
      </c>
      <c r="Y1775" s="7" t="n"/>
      <c r="Z1775" s="7" t="inlineStr">
        <is>
          <t>https://wol.jw.org/en/wol/d/r1/lp-e/1200277174</t>
        </is>
      </c>
      <c r="AA1775" s="7" t="n">
        <v>0</v>
      </c>
      <c r="AB1775" s="7" t="n"/>
      <c r="AC1775" s="7" t="n">
        <v>0</v>
      </c>
      <c r="AD1775" s="7" t="n"/>
      <c r="AE1775" s="7" t="n"/>
      <c r="AF1775" s="7" t="n"/>
      <c r="AG1775" s="7" t="n"/>
      <c r="AH1775" s="7" t="n"/>
      <c r="AI1775" s="7" t="inlineStr">
        <is>
          <t>Index list entry – app detail</t>
        </is>
      </c>
      <c r="AJ1775" s="7" t="n"/>
      <c r="AK1775" s="7" t="n"/>
      <c r="AL1775" s="7" t="n"/>
      <c r="AM1775" s="7" t="n">
        <v>2018</v>
      </c>
      <c r="AN1775" s="10" t="n"/>
      <c r="AO1775" s="10" t="n"/>
      <c r="AP1775" s="10" t="n"/>
      <c r="AQ1775" s="10" t="n"/>
    </row>
    <row r="1776">
      <c r="A1776" s="7" t="inlineStr">
        <is>
          <t>b9-0375</t>
        </is>
      </c>
      <c r="B1776" s="7" t="inlineStr">
        <is>
          <t>Point</t>
        </is>
      </c>
      <c r="C1776" s="7" t="n"/>
      <c r="D1776" s="7" t="inlineStr">
        <is>
          <t>2018</t>
        </is>
      </c>
      <c r="E1776" s="7" t="n"/>
      <c r="F1776" s="7" t="inlineStr">
        <is>
          <t>2018 CE</t>
        </is>
      </c>
      <c r="G1776" s="7" t="inlineStr">
        <is>
          <t>Exact</t>
        </is>
      </c>
      <c r="H1776" s="7" t="n"/>
      <c r="I1776" s="7" t="n"/>
      <c r="J1776" s="7" t="n"/>
      <c r="K1776" s="2" t="inlineStr">
        <is>
          <t>Understanding clarified: whether Christendom is antitypical Jerusalem</t>
        </is>
      </c>
      <c r="L1776" s="2" t="n"/>
      <c r="M1776" s="7" t="inlineStr">
        <is>
          <t>The Watch Tower Publications Index (“Beliefs Clarified,” list by year) records a clarified understanding in 2018 concerning whether Christendom is antitypical Jerusalem. Index references: rr 174, 239.</t>
        </is>
      </c>
      <c r="N1776" s="7" t="n"/>
      <c r="O1776" s="13" t="inlineStr">
        <is>
          <t>Jehovah's Witnesses</t>
        </is>
      </c>
      <c r="P1776" s="7" t="inlineStr">
        <is>
          <t>jw.doctrine</t>
        </is>
      </c>
      <c r="Q1776" s="7" t="inlineStr">
        <is>
          <t>beliefs_clarified</t>
        </is>
      </c>
      <c r="R1776" s="7" t="n"/>
      <c r="S1776" s="7" t="n"/>
      <c r="T1776" s="7" t="n"/>
      <c r="U1776" s="7" t="n"/>
      <c r="V1776" s="7" t="n">
        <v>1</v>
      </c>
      <c r="W1776" s="7" t="inlineStr">
        <is>
          <t>Beliefs Clarified</t>
        </is>
      </c>
      <c r="X1776" s="9" t="inlineStr">
        <is>
          <t>open</t>
        </is>
      </c>
      <c r="Y1776" s="7" t="n"/>
      <c r="Z1776" s="7" t="inlineStr">
        <is>
          <t>https://wol.jw.org/en/wol/d/r1/lp-e/1200277174</t>
        </is>
      </c>
      <c r="AA1776" s="7" t="n">
        <v>0</v>
      </c>
      <c r="AB1776" s="7" t="n"/>
      <c r="AC1776" s="7" t="n">
        <v>0</v>
      </c>
      <c r="AD1776" s="7" t="n"/>
      <c r="AE1776" s="7" t="n"/>
      <c r="AF1776" s="7" t="n"/>
      <c r="AG1776" s="7" t="n"/>
      <c r="AH1776" s="7" t="n"/>
      <c r="AI1776" s="7" t="inlineStr">
        <is>
          <t>Index list entry – app detail</t>
        </is>
      </c>
      <c r="AJ1776" s="7" t="n"/>
      <c r="AK1776" s="7" t="n"/>
      <c r="AL1776" s="7" t="n"/>
      <c r="AM1776" s="7" t="n">
        <v>2018</v>
      </c>
      <c r="AN1776" s="10" t="n"/>
      <c r="AO1776" s="10" t="n"/>
      <c r="AP1776" s="10" t="n"/>
      <c r="AQ1776" s="10" t="n"/>
    </row>
    <row r="1777">
      <c r="A1777" s="7" t="inlineStr">
        <is>
          <t>b9-0376</t>
        </is>
      </c>
      <c r="B1777" s="7" t="inlineStr">
        <is>
          <t>Point</t>
        </is>
      </c>
      <c r="C1777" s="7" t="n"/>
      <c r="D1777" s="7" t="inlineStr">
        <is>
          <t>2018</t>
        </is>
      </c>
      <c r="E1777" s="7" t="n"/>
      <c r="F1777" s="7" t="inlineStr">
        <is>
          <t>2018 CE</t>
        </is>
      </c>
      <c r="G1777" s="7" t="inlineStr">
        <is>
          <t>Exact</t>
        </is>
      </c>
      <c r="H1777" s="7" t="n"/>
      <c r="I1777" s="7" t="n"/>
      <c r="J1777" s="7" t="n"/>
      <c r="K1777" s="2" t="inlineStr">
        <is>
          <t>2018: “Be Courageous!” Conventions</t>
        </is>
      </c>
      <c r="L1777" s="2" t="n"/>
      <c r="M1777" s="7" t="inlineStr">
        <is>
          <t>The Watch Tower Publications Index lists the 2018 conventions of Jehovah’s Witnesses as “Be Courageous!” Conventions.</t>
        </is>
      </c>
      <c r="N1777" s="7" t="n"/>
      <c r="O1777" s="13" t="inlineStr">
        <is>
          <t>Jehovah's Witnesses</t>
        </is>
      </c>
      <c r="P1777" s="7" t="inlineStr">
        <is>
          <t>jw.convention</t>
        </is>
      </c>
      <c r="Q1777" s="7" t="inlineStr">
        <is>
          <t>convention</t>
        </is>
      </c>
      <c r="R1777" s="7" t="n"/>
      <c r="S1777" s="7" t="n"/>
      <c r="T1777" s="7" t="n"/>
      <c r="U1777" s="7" t="n"/>
      <c r="V1777" s="7" t="n">
        <v>1</v>
      </c>
      <c r="W1777" s="7" t="inlineStr">
        <is>
          <t>Conventions</t>
        </is>
      </c>
      <c r="X1777" s="9" t="inlineStr">
        <is>
          <t>open</t>
        </is>
      </c>
      <c r="Y1777" s="7" t="n"/>
      <c r="Z1777" s="7" t="inlineStr">
        <is>
          <t>https://wol.jw.org/en/wol/d/r1/lp-e/1200271388</t>
        </is>
      </c>
      <c r="AA1777" s="7" t="n">
        <v>0</v>
      </c>
      <c r="AB1777" s="7" t="n"/>
      <c r="AC1777" s="7" t="n">
        <v>0</v>
      </c>
      <c r="AD1777" s="7" t="n"/>
      <c r="AE1777" s="7" t="n"/>
      <c r="AF1777" s="7" t="n"/>
      <c r="AG1777" s="7" t="n"/>
      <c r="AH1777" s="7" t="n"/>
      <c r="AI1777" s="7" t="inlineStr">
        <is>
          <t>Index list entry – app detail</t>
        </is>
      </c>
      <c r="AJ1777" s="7" t="n"/>
      <c r="AK1777" s="7" t="n"/>
      <c r="AL1777" s="7" t="n"/>
      <c r="AM1777" s="7" t="n">
        <v>2018</v>
      </c>
      <c r="AN1777" s="10" t="n"/>
      <c r="AO1777" s="10" t="n"/>
      <c r="AP1777" s="10" t="n"/>
      <c r="AQ1777" s="10" t="n"/>
    </row>
    <row r="1778">
      <c r="A1778" s="7" t="inlineStr">
        <is>
          <t>b9-0377</t>
        </is>
      </c>
      <c r="B1778" s="7" t="inlineStr">
        <is>
          <t>Point</t>
        </is>
      </c>
      <c r="C1778" s="7" t="n"/>
      <c r="D1778" s="7" t="inlineStr">
        <is>
          <t>2018, January 24</t>
        </is>
      </c>
      <c r="E1778" s="7" t="inlineStr">
        <is>
          <t>ஜனவரி 24, 2018</t>
        </is>
      </c>
      <c r="F1778" s="7" t="inlineStr">
        <is>
          <t>2018 CE</t>
        </is>
      </c>
      <c r="G1778" s="7" t="inlineStr">
        <is>
          <t>Exact</t>
        </is>
      </c>
      <c r="H1778" s="7" t="n"/>
      <c r="I1778" s="7" t="n"/>
      <c r="J1778" s="7" t="n"/>
      <c r="K1778" s="2" t="inlineStr">
        <is>
          <t>Kenneth Cook, Jr., appointed to the Governing Body</t>
        </is>
      </c>
      <c r="L1778" s="2" t="inlineStr">
        <is>
          <t>ஜனவரி 24, 2018, புதன்கிழமை காலையில் அமெரிக்கா மற்றும் கனடாவில் இருக்கிற பெத்தேல் குடும்பத்தாருக்கு ஒரு விசேஷ அறிவிப்பு செய்யப்பட்டது.</t>
        </is>
      </c>
      <c r="M1778" s="7" t="inlineStr">
        <is>
          <t>On January 24, 2018, it was announced to the U.S. and Canada Bethel families that Kenneth Cook, Jr., had been appointed to the Governing Body, which then had eight members.</t>
        </is>
      </c>
      <c r="N1778" s="7" t="inlineStr">
        <is>
          <t>ஜனவரி 24, 2018, புதன்கிழமை காலையில் அமெரிக்கா மற்றும் கனடாவில் இருக்கிற பெத்தேல் குடும்பத்தாருக்கு ஒரு விசேஷ அறிவிப்பு செய்யப்பட்டது.</t>
        </is>
      </c>
      <c r="O1778" s="13" t="inlineStr">
        <is>
          <t>Jehovah's Witnesses</t>
        </is>
      </c>
      <c r="P1778" s="7" t="inlineStr">
        <is>
          <t>jw.leadership</t>
        </is>
      </c>
      <c r="Q1778" s="7" t="inlineStr">
        <is>
          <t>appointment</t>
        </is>
      </c>
      <c r="R1778" s="7" t="inlineStr">
        <is>
          <t>Kenneth Cook, Jr.</t>
        </is>
      </c>
      <c r="S1778" s="7" t="n"/>
      <c r="T1778" s="7" t="n"/>
      <c r="U1778" s="7" t="n"/>
      <c r="V1778" s="7" t="n">
        <v>2</v>
      </c>
      <c r="W1778" s="7" t="inlineStr">
        <is>
          <t>A New Member of the Governing Body</t>
        </is>
      </c>
      <c r="X1778" s="9" t="inlineStr">
        <is>
          <t>open</t>
        </is>
      </c>
      <c r="Y1778" s="9" t="inlineStr">
        <is>
          <t>open</t>
        </is>
      </c>
      <c r="Z1778" s="7" t="inlineStr">
        <is>
          <t>https://wol.jw.org/en/wol/d/r1/lp-e/2019248
https://www.jw.org/en/news/releases/by-region/world/kenneth-cook-governing-body/</t>
        </is>
      </c>
      <c r="AA1778" s="7" t="n">
        <v>0</v>
      </c>
      <c r="AB1778" s="7" t="n"/>
      <c r="AC1778" s="7" t="n">
        <v>0</v>
      </c>
      <c r="AD1778" s="7" t="n"/>
      <c r="AE1778" s="7" t="n"/>
      <c r="AF1778" s="7" t="n"/>
      <c r="AG1778" s="7" t="n"/>
      <c r="AH1778" s="7" t="n"/>
      <c r="AI1778" s="7" t="inlineStr">
        <is>
          <t>Covered by span – hide on chart</t>
        </is>
      </c>
      <c r="AJ1778" s="7" t="inlineStr">
        <is>
          <t>start of Kenneth Cook, Jr. serves on the Governing Body (b12-0112)</t>
        </is>
      </c>
      <c r="AK1778" s="7" t="n"/>
      <c r="AL1778" s="7" t="n"/>
      <c r="AM1778" s="7" t="n">
        <v>2018.0618</v>
      </c>
      <c r="AN1778" s="10" t="n"/>
      <c r="AO1778" s="10" t="n"/>
      <c r="AP1778" s="10" t="n"/>
      <c r="AQ1778" s="10" t="n"/>
    </row>
    <row r="1779">
      <c r="A1779" s="7" t="inlineStr">
        <is>
          <t>b12-0112</t>
        </is>
      </c>
      <c r="B1779" s="11" t="inlineStr">
        <is>
          <t>Span</t>
        </is>
      </c>
      <c r="C1779" s="7" t="inlineStr">
        <is>
          <t>office</t>
        </is>
      </c>
      <c r="D1779" s="7" t="inlineStr">
        <is>
          <t>January 24, 2018–</t>
        </is>
      </c>
      <c r="E1779" s="7" t="n"/>
      <c r="F1779" s="7" t="inlineStr">
        <is>
          <t>2018 CE</t>
        </is>
      </c>
      <c r="G1779" s="7" t="inlineStr">
        <is>
          <t>Exact</t>
        </is>
      </c>
      <c r="H1779" s="7" t="n"/>
      <c r="I1779" s="7" t="inlineStr">
        <is>
          <t>Ongoing</t>
        </is>
      </c>
      <c r="J1779" s="7" t="n"/>
      <c r="K1779" s="2" t="inlineStr">
        <is>
          <t>Kenneth Cook, Jr. serves on the Governing Body</t>
        </is>
      </c>
      <c r="L1779" s="2" t="n"/>
      <c r="M1779" s="7" t="inlineStr">
        <is>
          <t>Kenneth Cook, Jr., was announced as a member of the Governing Body on January 24, 2018, and was still serving according to The Watchtower of October 2025.</t>
        </is>
      </c>
      <c r="N1779" s="7" t="inlineStr">
        <is>
          <t>சகோதரர் கென்னத் குக், யெகோவாவின் சாட்சிகளுடைய ஆளும் குழுவில் சேர்க்கப்பட்டிருக்கிறார் என்பதுதான் அந்த அறிவிப்பு.</t>
        </is>
      </c>
      <c r="O1779" s="13" t="inlineStr">
        <is>
          <t>Jehovah's Witnesses</t>
        </is>
      </c>
      <c r="P1779" s="7" t="inlineStr">
        <is>
          <t>jw.leadership</t>
        </is>
      </c>
      <c r="Q1779" s="7" t="n"/>
      <c r="R1779" s="7" t="inlineStr">
        <is>
          <t>Kenneth Cook, Jr.</t>
        </is>
      </c>
      <c r="S1779" s="7" t="n"/>
      <c r="T1779" s="7" t="n"/>
      <c r="U1779" s="7" t="n"/>
      <c r="V1779" s="7" t="n">
        <v>2</v>
      </c>
      <c r="W1779" s="7" t="inlineStr">
        <is>
          <t>A New Member of the Governing Body</t>
        </is>
      </c>
      <c r="X1779" s="9" t="inlineStr">
        <is>
          <t>open</t>
        </is>
      </c>
      <c r="Y1779" s="9" t="inlineStr">
        <is>
          <t>open</t>
        </is>
      </c>
      <c r="Z1779" s="7" t="inlineStr">
        <is>
          <t>https://wol.jw.org/en/wol/d/r1/lp-e/2019248
https://wol.jw.org/en/wol/d/r1/lp-e/2025605</t>
        </is>
      </c>
      <c r="AA1779" s="7" t="n">
        <v>0</v>
      </c>
      <c r="AB1779" s="7" t="n"/>
      <c r="AC1779" s="7" t="n">
        <v>0</v>
      </c>
      <c r="AD1779" s="7" t="n"/>
      <c r="AE1779" s="7" t="n"/>
      <c r="AF1779" s="7" t="inlineStr">
        <is>
          <t>b9-0377</t>
        </is>
      </c>
      <c r="AG1779" s="7" t="n"/>
      <c r="AH1779" s="7" t="n"/>
      <c r="AI1779" s="7" t="n"/>
      <c r="AJ1779" s="7" t="n"/>
      <c r="AK1779" s="7" t="inlineStr">
        <is>
          <t>governing-body #12 (ruler)</t>
        </is>
      </c>
      <c r="AL1779" s="7" t="n"/>
      <c r="AM1779" s="7" t="n">
        <v>2018.0618</v>
      </c>
      <c r="AN1779" s="10" t="n"/>
      <c r="AO1779" s="10" t="n"/>
      <c r="AP1779" s="10" t="n"/>
      <c r="AQ1779" s="10" t="n"/>
    </row>
    <row r="1780">
      <c r="A1780" s="7" t="inlineStr">
        <is>
          <t>b14-0015</t>
        </is>
      </c>
      <c r="B1780" s="7" t="inlineStr">
        <is>
          <t>Point</t>
        </is>
      </c>
      <c r="C1780" s="7" t="n"/>
      <c r="D1780" s="7" t="inlineStr">
        <is>
          <t>2018</t>
        </is>
      </c>
      <c r="E1780" s="7" t="inlineStr">
        <is>
          <t>2018</t>
        </is>
      </c>
      <c r="F1780" s="7" t="inlineStr">
        <is>
          <t>2018 CE</t>
        </is>
      </c>
      <c r="G1780" s="7" t="inlineStr">
        <is>
          <t>Exact</t>
        </is>
      </c>
      <c r="H1780" s="7" t="n"/>
      <c r="I1780" s="7" t="n"/>
      <c r="J1780" s="7" t="n"/>
      <c r="K1780" s="2" t="inlineStr">
        <is>
          <t>Governing Body identifies Russia and its allies as “the king of the north”</t>
        </is>
      </c>
      <c r="L1780" s="2" t="inlineStr">
        <is>
          <t>இந்த நடவடிக்கைகளைப் பார்த்த பிறகு, ரஷ்யாவும் அதன் கூட்டணி நாடுகளும்தான் வடதிசை ராஜா என்பதை, 2018-ல் ஆளும் குழு உறுதி செய்தது.</t>
        </is>
      </c>
      <c r="M1780" s="7" t="inlineStr">
        <is>
          <t>After Russia banned the work of Jehovah’s Witnesses in 2017, imprisoned some of them and confiscated the branch office and Kingdom Halls, the Governing Body in 2018 identified Russia and its allies as the king of the north.</t>
        </is>
      </c>
      <c r="N1780" s="7" t="inlineStr">
        <is>
          <t>இந்த நடவடிக்கைகளைப் பார்த்த பிறகு, ரஷ்யாவும் அதன் கூட்டணி நாடுகளும்தான் வடதிசை ராஜா என்பதை, 2018-ல் ஆளும் குழு உறுதி செய்தது.</t>
        </is>
      </c>
      <c r="O1780" s="13" t="inlineStr">
        <is>
          <t>Jehovah's Witnesses</t>
        </is>
      </c>
      <c r="P1780" s="7" t="inlineStr">
        <is>
          <t>jw.doctrine</t>
        </is>
      </c>
      <c r="Q1780" s="7" t="inlineStr">
        <is>
          <t>understanding_clarified</t>
        </is>
      </c>
      <c r="R1780" s="7" t="n"/>
      <c r="S1780" s="7" t="inlineStr">
        <is>
          <t>Russia</t>
        </is>
      </c>
      <c r="T1780" s="7" t="inlineStr">
        <is>
          <t>Dan. 11:41</t>
        </is>
      </c>
      <c r="U1780" s="7" t="inlineStr">
        <is>
          <t>தானி. 11:41</t>
        </is>
      </c>
      <c r="V1780" s="7" t="n">
        <v>1</v>
      </c>
      <c r="W1780" s="7" t="inlineStr">
        <is>
          <t>Who Is “the King of the North” Today?</t>
        </is>
      </c>
      <c r="X1780" s="9" t="inlineStr">
        <is>
          <t>open</t>
        </is>
      </c>
      <c r="Y1780" s="9" t="inlineStr">
        <is>
          <t>open</t>
        </is>
      </c>
      <c r="Z1780" s="7" t="inlineStr">
        <is>
          <t>https://wol.jw.org/en/wol/d/r1/lp-e/2020401</t>
        </is>
      </c>
      <c r="AA1780" s="7" t="n">
        <v>0</v>
      </c>
      <c r="AB1780" s="7" t="n"/>
      <c r="AC1780" s="7" t="n">
        <v>0</v>
      </c>
      <c r="AD1780" s="7" t="n"/>
      <c r="AE1780" s="7" t="n"/>
      <c r="AF1780" s="7" t="n"/>
      <c r="AG1780" s="7" t="n"/>
      <c r="AH1780" s="7" t="n"/>
      <c r="AI1780" s="7" t="n"/>
      <c r="AJ1780" s="7" t="n"/>
      <c r="AK1780" s="7" t="inlineStr">
        <is>
          <t>kings-north-and-south #44 (step)</t>
        </is>
      </c>
      <c r="AL1780" s="7" t="n"/>
      <c r="AM1780" s="7" t="n">
        <v>2018.5</v>
      </c>
      <c r="AN1780" s="10" t="n"/>
      <c r="AO1780" s="10" t="n"/>
      <c r="AP1780" s="10" t="n"/>
      <c r="AQ1780" s="10" t="n"/>
    </row>
    <row r="1781">
      <c r="A1781" s="7" t="inlineStr">
        <is>
          <t>b9-0378</t>
        </is>
      </c>
      <c r="B1781" s="7" t="inlineStr">
        <is>
          <t>Point</t>
        </is>
      </c>
      <c r="C1781" s="7" t="n"/>
      <c r="D1781" s="7" t="inlineStr">
        <is>
          <t>2018, November 1</t>
        </is>
      </c>
      <c r="E1781" s="7" t="n"/>
      <c r="F1781" s="7" t="inlineStr">
        <is>
          <t>2018 CE</t>
        </is>
      </c>
      <c r="G1781" s="7" t="inlineStr">
        <is>
          <t>Exact</t>
        </is>
      </c>
      <c r="H1781" s="7" t="n"/>
      <c r="I1781" s="7" t="n"/>
      <c r="J1781" s="7" t="n"/>
      <c r="K1781" s="2" t="inlineStr">
        <is>
          <t>South Korea Supreme Court: conscientious objection not a crime</t>
        </is>
      </c>
      <c r="L1781" s="2" t="n"/>
      <c r="M1781" s="7" t="inlineStr">
        <is>
          <t>On November 1, 2018, South Korea’s Supreme Court decided 9-4 that conscientious objection does not constitute a crime. Earlier that year the Constitutional Court required alternative service options by December 2019.</t>
        </is>
      </c>
      <c r="N1781" s="7" t="n"/>
      <c r="O1781" s="13" t="inlineStr">
        <is>
          <t>Jehovah's Witnesses</t>
        </is>
      </c>
      <c r="P1781" s="7" t="inlineStr">
        <is>
          <t>jw.legal</t>
        </is>
      </c>
      <c r="Q1781" s="7" t="inlineStr">
        <is>
          <t>court_ruling</t>
        </is>
      </c>
      <c r="R1781" s="7" t="n"/>
      <c r="S1781" s="7" t="inlineStr">
        <is>
          <t>South Korea</t>
        </is>
      </c>
      <c r="T1781" s="7" t="n"/>
      <c r="U1781" s="7" t="n"/>
      <c r="V1781" s="7" t="n">
        <v>1</v>
      </c>
      <c r="W1781" s="7" t="inlineStr">
        <is>
          <t>Historic Supreme Court Decision in South Korea | JW.ORG News</t>
        </is>
      </c>
      <c r="X1781" s="9" t="inlineStr">
        <is>
          <t>open</t>
        </is>
      </c>
      <c r="Y1781" s="7" t="n"/>
      <c r="Z1781" s="7" t="inlineStr">
        <is>
          <t>https://www.jw.org/en/news/region/south-korea/historic-supreme-court-decision-20181101/</t>
        </is>
      </c>
      <c r="AA1781" s="7" t="n">
        <v>0</v>
      </c>
      <c r="AB1781" s="7" t="n"/>
      <c r="AC1781" s="7" t="n">
        <v>0</v>
      </c>
      <c r="AD1781" s="7" t="n"/>
      <c r="AE1781" s="7" t="n"/>
      <c r="AF1781" s="7" t="n"/>
      <c r="AG1781" s="7" t="n"/>
      <c r="AH1781" s="7" t="n"/>
      <c r="AI1781" s="7" t="n"/>
      <c r="AJ1781" s="7" t="n"/>
      <c r="AK1781" s="7" t="n"/>
      <c r="AL1781" s="7" t="n"/>
      <c r="AM1781" s="7" t="n">
        <v>2018.8333</v>
      </c>
      <c r="AN1781" s="10" t="n"/>
      <c r="AO1781" s="10" t="n"/>
      <c r="AP1781" s="10" t="n"/>
      <c r="AQ1781" s="10" t="n"/>
    </row>
    <row r="1782">
      <c r="A1782" s="7" t="inlineStr">
        <is>
          <t>b9-0379</t>
        </is>
      </c>
      <c r="B1782" s="7" t="inlineStr">
        <is>
          <t>Point</t>
        </is>
      </c>
      <c r="C1782" s="7" t="n"/>
      <c r="D1782" s="7" t="inlineStr">
        <is>
          <t>2019</t>
        </is>
      </c>
      <c r="E1782" s="7" t="n"/>
      <c r="F1782" s="7" t="inlineStr">
        <is>
          <t>2019 CE</t>
        </is>
      </c>
      <c r="G1782" s="7" t="inlineStr">
        <is>
          <t>Exact</t>
        </is>
      </c>
      <c r="H1782" s="7" t="n"/>
      <c r="I1782" s="7" t="n"/>
      <c r="J1782" s="7" t="n"/>
      <c r="K1782" s="2" t="inlineStr">
        <is>
          <t>2019: “Love Never Fails!” Conventions</t>
        </is>
      </c>
      <c r="L1782" s="2" t="n"/>
      <c r="M1782" s="7" t="inlineStr">
        <is>
          <t>The Watch Tower Publications Index lists the 2019 conventions of Jehovah’s Witnesses as “Love Never Fails!” Conventions.</t>
        </is>
      </c>
      <c r="N1782" s="7" t="n"/>
      <c r="O1782" s="13" t="inlineStr">
        <is>
          <t>Jehovah's Witnesses</t>
        </is>
      </c>
      <c r="P1782" s="7" t="inlineStr">
        <is>
          <t>jw.convention</t>
        </is>
      </c>
      <c r="Q1782" s="7" t="inlineStr">
        <is>
          <t>convention</t>
        </is>
      </c>
      <c r="R1782" s="7" t="n"/>
      <c r="S1782" s="7" t="n"/>
      <c r="T1782" s="7" t="n"/>
      <c r="U1782" s="7" t="n"/>
      <c r="V1782" s="7" t="n">
        <v>1</v>
      </c>
      <c r="W1782" s="7" t="inlineStr">
        <is>
          <t>Conventions</t>
        </is>
      </c>
      <c r="X1782" s="9" t="inlineStr">
        <is>
          <t>open</t>
        </is>
      </c>
      <c r="Y1782" s="7" t="n"/>
      <c r="Z1782" s="7" t="inlineStr">
        <is>
          <t>https://wol.jw.org/en/wol/d/r1/lp-e/1200271388</t>
        </is>
      </c>
      <c r="AA1782" s="7" t="n">
        <v>0</v>
      </c>
      <c r="AB1782" s="7" t="n"/>
      <c r="AC1782" s="7" t="n">
        <v>0</v>
      </c>
      <c r="AD1782" s="7" t="n"/>
      <c r="AE1782" s="7" t="n"/>
      <c r="AF1782" s="7" t="n"/>
      <c r="AG1782" s="7" t="n"/>
      <c r="AH1782" s="7" t="n"/>
      <c r="AI1782" s="7" t="inlineStr">
        <is>
          <t>Index list entry – app detail</t>
        </is>
      </c>
      <c r="AJ1782" s="7" t="n"/>
      <c r="AK1782" s="7" t="n"/>
      <c r="AL1782" s="7" t="n"/>
      <c r="AM1782" s="7" t="n">
        <v>2019</v>
      </c>
      <c r="AN1782" s="10" t="n"/>
      <c r="AO1782" s="10" t="n"/>
      <c r="AP1782" s="10" t="n"/>
      <c r="AQ1782" s="10" t="n"/>
    </row>
    <row r="1783">
      <c r="A1783" s="7" t="inlineStr">
        <is>
          <t>b9-0380</t>
        </is>
      </c>
      <c r="B1783" s="7" t="inlineStr">
        <is>
          <t>Point</t>
        </is>
      </c>
      <c r="C1783" s="7" t="n"/>
      <c r="D1783" s="7" t="inlineStr">
        <is>
          <t>2019, February 28</t>
        </is>
      </c>
      <c r="E1783" s="7" t="n"/>
      <c r="F1783" s="7" t="inlineStr">
        <is>
          <t>2019 CE</t>
        </is>
      </c>
      <c r="G1783" s="7" t="inlineStr">
        <is>
          <t>Exact</t>
        </is>
      </c>
      <c r="H1783" s="7" t="n"/>
      <c r="I1783" s="7" t="n"/>
      <c r="J1783" s="7" t="n"/>
      <c r="K1783" s="2" t="inlineStr">
        <is>
          <t>Last imprisoned Korean conscientious objector released</t>
        </is>
      </c>
      <c r="L1783" s="2" t="n"/>
      <c r="M1783" s="7" t="inlineStr">
        <is>
          <t>On February 28, 2019, the last Witness imprisoned in South Korea for neutrality was released; 65 had been freed since the November 2018 decision, ending a 65-year practice.</t>
        </is>
      </c>
      <c r="N1783" s="7" t="n"/>
      <c r="O1783" s="13" t="inlineStr">
        <is>
          <t>Jehovah's Witnesses</t>
        </is>
      </c>
      <c r="P1783" s="7" t="inlineStr">
        <is>
          <t>jw.legal</t>
        </is>
      </c>
      <c r="Q1783" s="7" t="n"/>
      <c r="R1783" s="7" t="n"/>
      <c r="S1783" s="7" t="inlineStr">
        <is>
          <t>South Korea</t>
        </is>
      </c>
      <c r="T1783" s="7" t="n"/>
      <c r="U1783" s="7" t="n"/>
      <c r="V1783" s="7" t="n">
        <v>1</v>
      </c>
      <c r="W1783" s="7" t="inlineStr">
        <is>
          <t>All Witnesses Imprisoned for Conscientious Objection in South Korea Now Free</t>
        </is>
      </c>
      <c r="X1783" s="9" t="inlineStr">
        <is>
          <t>open</t>
        </is>
      </c>
      <c r="Y1783" s="7" t="n"/>
      <c r="Z1783" s="7" t="inlineStr">
        <is>
          <t>https://www.jw.org/en/news/region/south-korea/All-Witnesses-Imprisoned-for-Conscientious-Objection-in-South-Korea-Now-Free/</t>
        </is>
      </c>
      <c r="AA1783" s="7" t="n">
        <v>1</v>
      </c>
      <c r="AB1783" s="9" t="inlineStr">
        <is>
          <t>open</t>
        </is>
      </c>
      <c r="AC1783" s="7" t="n">
        <v>0</v>
      </c>
      <c r="AD1783" s="7" t="n"/>
      <c r="AE1783" s="7" t="n"/>
      <c r="AF1783" s="7" t="n"/>
      <c r="AG1783" s="7" t="n"/>
      <c r="AH1783" s="7" t="n"/>
      <c r="AI1783" s="7" t="n"/>
      <c r="AJ1783" s="7" t="n"/>
      <c r="AK1783" s="7" t="n"/>
      <c r="AL1783" s="7" t="n"/>
      <c r="AM1783" s="7" t="n">
        <v>2019.1559</v>
      </c>
      <c r="AN1783" s="10" t="n"/>
      <c r="AO1783" s="10" t="n"/>
      <c r="AP1783" s="10" t="n"/>
      <c r="AQ1783" s="10" t="n"/>
    </row>
    <row r="1784">
      <c r="A1784" s="7" t="inlineStr">
        <is>
          <t>b9-0381</t>
        </is>
      </c>
      <c r="B1784" s="7" t="inlineStr">
        <is>
          <t>Point</t>
        </is>
      </c>
      <c r="C1784" s="7" t="n"/>
      <c r="D1784" s="7" t="inlineStr">
        <is>
          <t>2019, October 5</t>
        </is>
      </c>
      <c r="E1784" s="7" t="n"/>
      <c r="F1784" s="7" t="inlineStr">
        <is>
          <t>2019 CE</t>
        </is>
      </c>
      <c r="G1784" s="7" t="inlineStr">
        <is>
          <t>Exact</t>
        </is>
      </c>
      <c r="H1784" s="7" t="n"/>
      <c r="I1784" s="7" t="n"/>
      <c r="J1784" s="7" t="n"/>
      <c r="K1784" s="2" t="inlineStr">
        <is>
          <t>Ramapo media production facility announced</t>
        </is>
      </c>
      <c r="L1784" s="2" t="n"/>
      <c r="M1784" s="7" t="inlineStr">
        <is>
          <t>At the annual meeting on October 5, 2019, a video announced plans to consolidate media production into a new facility in Ramapo, New York, about two miles from Warwick, targeting completion by December 2026.</t>
        </is>
      </c>
      <c r="N1784" s="7" t="n"/>
      <c r="O1784" s="13" t="inlineStr">
        <is>
          <t>Jehovah's Witnesses</t>
        </is>
      </c>
      <c r="P1784" s="7" t="inlineStr">
        <is>
          <t>jw.construction</t>
        </is>
      </c>
      <c r="Q1784" s="7" t="n"/>
      <c r="R1784" s="7" t="n"/>
      <c r="S1784" s="7" t="inlineStr">
        <is>
          <t>Ramapo, New York</t>
        </is>
      </c>
      <c r="T1784" s="7" t="n"/>
      <c r="U1784" s="7" t="n"/>
      <c r="V1784" s="7" t="n">
        <v>2</v>
      </c>
      <c r="W1784" s="7" t="inlineStr">
        <is>
          <t>2019 Annual Meeting Summary</t>
        </is>
      </c>
      <c r="X1784" s="9" t="inlineStr">
        <is>
          <t>open</t>
        </is>
      </c>
      <c r="Y1784" s="7" t="n"/>
      <c r="Z1784" s="7" t="inlineStr">
        <is>
          <t>https://www.jw.org/en/news/region/global/2019-Annual-Meeting-Summary/
https://www.jw.org/en/news/region/global/Town-Board-of-Ramapo-Approves-Special-Permit/</t>
        </is>
      </c>
      <c r="AA1784" s="7" t="n">
        <v>1</v>
      </c>
      <c r="AB1784" s="9" t="inlineStr">
        <is>
          <t>open</t>
        </is>
      </c>
      <c r="AC1784" s="7" t="n">
        <v>0</v>
      </c>
      <c r="AD1784" s="7" t="n"/>
      <c r="AE1784" s="7" t="n"/>
      <c r="AF1784" s="7" t="n"/>
      <c r="AG1784" s="7" t="n"/>
      <c r="AH1784" s="7" t="n"/>
      <c r="AI1784" s="7" t="n"/>
      <c r="AJ1784" s="7" t="n"/>
      <c r="AK1784" s="7" t="n"/>
      <c r="AL1784" s="7" t="n"/>
      <c r="AM1784" s="7" t="n">
        <v>2019.7608</v>
      </c>
      <c r="AN1784" s="10" t="n"/>
      <c r="AO1784" s="10" t="n"/>
      <c r="AP1784" s="10" t="n"/>
      <c r="AQ1784" s="10" t="n"/>
    </row>
    <row r="1785">
      <c r="A1785" s="7" t="inlineStr">
        <is>
          <t>b9-0382</t>
        </is>
      </c>
      <c r="B1785" s="7" t="inlineStr">
        <is>
          <t>Point</t>
        </is>
      </c>
      <c r="C1785" s="7" t="n"/>
      <c r="D1785" s="7" t="inlineStr">
        <is>
          <t>2020</t>
        </is>
      </c>
      <c r="E1785" s="7" t="n"/>
      <c r="F1785" s="7" t="inlineStr">
        <is>
          <t>2020 CE</t>
        </is>
      </c>
      <c r="G1785" s="7" t="inlineStr">
        <is>
          <t>Exact</t>
        </is>
      </c>
      <c r="H1785" s="7" t="n"/>
      <c r="I1785" s="7" t="n"/>
      <c r="J1785" s="7" t="n"/>
      <c r="K1785" s="2" t="inlineStr">
        <is>
          <t>Understanding clarified: fishermen and hunters (Jer. 16:16, 18)</t>
        </is>
      </c>
      <c r="L1785" s="2" t="n"/>
      <c r="M1785" s="7" t="inlineStr">
        <is>
          <t>The Watch Tower Publications Index (“Beliefs Clarified,” list by year) records a clarified understanding in 2020 concerning fishermen and hunters (Jer. 16:16, 18). Index references: w20.04 5.</t>
        </is>
      </c>
      <c r="N1785" s="7" t="n"/>
      <c r="O1785" s="13" t="inlineStr">
        <is>
          <t>Jehovah's Witnesses</t>
        </is>
      </c>
      <c r="P1785" s="7" t="inlineStr">
        <is>
          <t>jw.doctrine</t>
        </is>
      </c>
      <c r="Q1785" s="7" t="inlineStr">
        <is>
          <t>beliefs_clarified</t>
        </is>
      </c>
      <c r="R1785" s="7" t="n"/>
      <c r="S1785" s="7" t="n"/>
      <c r="T1785" s="7" t="inlineStr">
        <is>
          <t>Jer. 16:16, 18</t>
        </is>
      </c>
      <c r="U1785" s="7" t="n"/>
      <c r="V1785" s="7" t="n">
        <v>1</v>
      </c>
      <c r="W1785" s="7" t="inlineStr">
        <is>
          <t>Beliefs Clarified</t>
        </is>
      </c>
      <c r="X1785" s="9" t="inlineStr">
        <is>
          <t>open</t>
        </is>
      </c>
      <c r="Y1785" s="7" t="n"/>
      <c r="Z1785" s="7" t="inlineStr">
        <is>
          <t>https://wol.jw.org/en/wol/d/r1/lp-e/1200277174</t>
        </is>
      </c>
      <c r="AA1785" s="7" t="n">
        <v>0</v>
      </c>
      <c r="AB1785" s="7" t="n"/>
      <c r="AC1785" s="7" t="n">
        <v>0</v>
      </c>
      <c r="AD1785" s="7" t="n"/>
      <c r="AE1785" s="7" t="n"/>
      <c r="AF1785" s="7" t="n"/>
      <c r="AG1785" s="7" t="n"/>
      <c r="AH1785" s="7" t="n"/>
      <c r="AI1785" s="7" t="inlineStr">
        <is>
          <t>Index list entry – app detail</t>
        </is>
      </c>
      <c r="AJ1785" s="7" t="n"/>
      <c r="AK1785" s="7" t="n"/>
      <c r="AL1785" s="7" t="n"/>
      <c r="AM1785" s="7" t="n">
        <v>2020</v>
      </c>
      <c r="AN1785" s="10" t="n"/>
      <c r="AO1785" s="10" t="n"/>
      <c r="AP1785" s="10" t="n"/>
      <c r="AQ1785" s="10" t="n"/>
    </row>
    <row r="1786">
      <c r="A1786" s="7" t="inlineStr">
        <is>
          <t>b9-0383</t>
        </is>
      </c>
      <c r="B1786" s="7" t="inlineStr">
        <is>
          <t>Point</t>
        </is>
      </c>
      <c r="C1786" s="7" t="n"/>
      <c r="D1786" s="7" t="inlineStr">
        <is>
          <t>2020</t>
        </is>
      </c>
      <c r="E1786" s="7" t="n"/>
      <c r="F1786" s="7" t="inlineStr">
        <is>
          <t>2020 CE</t>
        </is>
      </c>
      <c r="G1786" s="7" t="inlineStr">
        <is>
          <t>Exact</t>
        </is>
      </c>
      <c r="H1786" s="7" t="n"/>
      <c r="I1786" s="7" t="n"/>
      <c r="J1786" s="7" t="n"/>
      <c r="K1786" s="2" t="inlineStr">
        <is>
          <t>Understanding clarified: fruitage of God’s spirit (Gal. 5:22, 23)</t>
        </is>
      </c>
      <c r="L1786" s="2" t="n"/>
      <c r="M1786" s="7" t="inlineStr">
        <is>
          <t>The Watch Tower Publications Index (“Beliefs Clarified,” list by year) records a clarified understanding in 2020 concerning fruitage of God’s spirit (Gal. 5:22, 23). Index references: w20.06 17.</t>
        </is>
      </c>
      <c r="N1786" s="7" t="n"/>
      <c r="O1786" s="13" t="inlineStr">
        <is>
          <t>Jehovah's Witnesses</t>
        </is>
      </c>
      <c r="P1786" s="7" t="inlineStr">
        <is>
          <t>jw.doctrine</t>
        </is>
      </c>
      <c r="Q1786" s="7" t="inlineStr">
        <is>
          <t>beliefs_clarified</t>
        </is>
      </c>
      <c r="R1786" s="7" t="n"/>
      <c r="S1786" s="7" t="n"/>
      <c r="T1786" s="7" t="inlineStr">
        <is>
          <t>Gal. 5:22, 23</t>
        </is>
      </c>
      <c r="U1786" s="7" t="n"/>
      <c r="V1786" s="7" t="n">
        <v>1</v>
      </c>
      <c r="W1786" s="7" t="inlineStr">
        <is>
          <t>Beliefs Clarified</t>
        </is>
      </c>
      <c r="X1786" s="9" t="inlineStr">
        <is>
          <t>open</t>
        </is>
      </c>
      <c r="Y1786" s="7" t="n"/>
      <c r="Z1786" s="7" t="inlineStr">
        <is>
          <t>https://wol.jw.org/en/wol/d/r1/lp-e/1200277174</t>
        </is>
      </c>
      <c r="AA1786" s="7" t="n">
        <v>0</v>
      </c>
      <c r="AB1786" s="7" t="n"/>
      <c r="AC1786" s="7" t="n">
        <v>0</v>
      </c>
      <c r="AD1786" s="7" t="n"/>
      <c r="AE1786" s="7" t="n"/>
      <c r="AF1786" s="7" t="n"/>
      <c r="AG1786" s="7" t="n"/>
      <c r="AH1786" s="7" t="n"/>
      <c r="AI1786" s="7" t="inlineStr">
        <is>
          <t>Index list entry – app detail</t>
        </is>
      </c>
      <c r="AJ1786" s="7" t="n"/>
      <c r="AK1786" s="7" t="n"/>
      <c r="AL1786" s="7" t="n"/>
      <c r="AM1786" s="7" t="n">
        <v>2020</v>
      </c>
      <c r="AN1786" s="10" t="n"/>
      <c r="AO1786" s="10" t="n"/>
      <c r="AP1786" s="10" t="n"/>
      <c r="AQ1786" s="10" t="n"/>
    </row>
    <row r="1787">
      <c r="A1787" s="7" t="inlineStr">
        <is>
          <t>b9-0384</t>
        </is>
      </c>
      <c r="B1787" s="7" t="inlineStr">
        <is>
          <t>Point</t>
        </is>
      </c>
      <c r="C1787" s="7" t="n"/>
      <c r="D1787" s="7" t="inlineStr">
        <is>
          <t>2020</t>
        </is>
      </c>
      <c r="E1787" s="7" t="n"/>
      <c r="F1787" s="7" t="inlineStr">
        <is>
          <t>2020 CE</t>
        </is>
      </c>
      <c r="G1787" s="7" t="inlineStr">
        <is>
          <t>Exact</t>
        </is>
      </c>
      <c r="H1787" s="7" t="n"/>
      <c r="I1787" s="7" t="n"/>
      <c r="J1787" s="7" t="n"/>
      <c r="K1787" s="2" t="inlineStr">
        <is>
          <t>Understanding clarified: how righteous may “fall” (Prov. 24:16)</t>
        </is>
      </c>
      <c r="L1787" s="2" t="n"/>
      <c r="M1787" s="7" t="inlineStr">
        <is>
          <t>The Watch Tower Publications Index (“Beliefs Clarified,” list by year) records a clarified understanding in 2020 concerning how righteous may “fall” (Prov. 24:16). Index references: w20.12 15.</t>
        </is>
      </c>
      <c r="N1787" s="7" t="n"/>
      <c r="O1787" s="13" t="inlineStr">
        <is>
          <t>Jehovah's Witnesses</t>
        </is>
      </c>
      <c r="P1787" s="7" t="inlineStr">
        <is>
          <t>jw.doctrine</t>
        </is>
      </c>
      <c r="Q1787" s="7" t="inlineStr">
        <is>
          <t>beliefs_clarified</t>
        </is>
      </c>
      <c r="R1787" s="7" t="n"/>
      <c r="S1787" s="7" t="n"/>
      <c r="T1787" s="7" t="inlineStr">
        <is>
          <t>Prov. 24:16</t>
        </is>
      </c>
      <c r="U1787" s="7" t="n"/>
      <c r="V1787" s="7" t="n">
        <v>1</v>
      </c>
      <c r="W1787" s="7" t="inlineStr">
        <is>
          <t>Beliefs Clarified</t>
        </is>
      </c>
      <c r="X1787" s="9" t="inlineStr">
        <is>
          <t>open</t>
        </is>
      </c>
      <c r="Y1787" s="7" t="n"/>
      <c r="Z1787" s="7" t="inlineStr">
        <is>
          <t>https://wol.jw.org/en/wol/d/r1/lp-e/1200277174</t>
        </is>
      </c>
      <c r="AA1787" s="7" t="n">
        <v>0</v>
      </c>
      <c r="AB1787" s="7" t="n"/>
      <c r="AC1787" s="7" t="n">
        <v>0</v>
      </c>
      <c r="AD1787" s="7" t="n"/>
      <c r="AE1787" s="7" t="n"/>
      <c r="AF1787" s="7" t="n"/>
      <c r="AG1787" s="7" t="n"/>
      <c r="AH1787" s="7" t="n"/>
      <c r="AI1787" s="7" t="inlineStr">
        <is>
          <t>Index list entry – app detail</t>
        </is>
      </c>
      <c r="AJ1787" s="7" t="n"/>
      <c r="AK1787" s="7" t="n"/>
      <c r="AL1787" s="7" t="n"/>
      <c r="AM1787" s="7" t="n">
        <v>2020</v>
      </c>
      <c r="AN1787" s="10" t="n"/>
      <c r="AO1787" s="10" t="n"/>
      <c r="AP1787" s="10" t="n"/>
      <c r="AQ1787" s="10" t="n"/>
    </row>
    <row r="1788">
      <c r="A1788" s="7" t="inlineStr">
        <is>
          <t>b9-0385</t>
        </is>
      </c>
      <c r="B1788" s="7" t="inlineStr">
        <is>
          <t>Point</t>
        </is>
      </c>
      <c r="C1788" s="7" t="n"/>
      <c r="D1788" s="7" t="inlineStr">
        <is>
          <t>2020</t>
        </is>
      </c>
      <c r="E1788" s="7" t="n"/>
      <c r="F1788" s="7" t="inlineStr">
        <is>
          <t>2020 CE</t>
        </is>
      </c>
      <c r="G1788" s="7" t="inlineStr">
        <is>
          <t>Exact</t>
        </is>
      </c>
      <c r="H1788" s="7" t="n"/>
      <c r="I1788" s="7" t="n"/>
      <c r="J1788" s="7" t="n"/>
      <c r="K1788" s="2" t="inlineStr">
        <is>
          <t>Understanding clarified: kings of north and south (Dan. 11, 12)</t>
        </is>
      </c>
      <c r="L1788" s="2" t="n"/>
      <c r="M1788" s="7" t="inlineStr">
        <is>
          <t>The Watch Tower Publications Index (“Beliefs Clarified,” list by year) records a clarified understanding in 2020 concerning kings of north and south (Dan. 11, 12). Index references: w20.05 2-5, 12-16.</t>
        </is>
      </c>
      <c r="N1788" s="7" t="n"/>
      <c r="O1788" s="13" t="inlineStr">
        <is>
          <t>Jehovah's Witnesses</t>
        </is>
      </c>
      <c r="P1788" s="7" t="inlineStr">
        <is>
          <t>jw.doctrine</t>
        </is>
      </c>
      <c r="Q1788" s="7" t="inlineStr">
        <is>
          <t>beliefs_clarified</t>
        </is>
      </c>
      <c r="R1788" s="7" t="n"/>
      <c r="S1788" s="7" t="n"/>
      <c r="T1788" s="7" t="inlineStr">
        <is>
          <t>Dan. 11, 12</t>
        </is>
      </c>
      <c r="U1788" s="7" t="n"/>
      <c r="V1788" s="7" t="n">
        <v>1</v>
      </c>
      <c r="W1788" s="7" t="inlineStr">
        <is>
          <t>Beliefs Clarified</t>
        </is>
      </c>
      <c r="X1788" s="9" t="inlineStr">
        <is>
          <t>open</t>
        </is>
      </c>
      <c r="Y1788" s="7" t="n"/>
      <c r="Z1788" s="7" t="inlineStr">
        <is>
          <t>https://wol.jw.org/en/wol/d/r1/lp-e/1200277174</t>
        </is>
      </c>
      <c r="AA1788" s="7" t="n">
        <v>0</v>
      </c>
      <c r="AB1788" s="7" t="n"/>
      <c r="AC1788" s="7" t="n">
        <v>0</v>
      </c>
      <c r="AD1788" s="7" t="n"/>
      <c r="AE1788" s="7" t="n"/>
      <c r="AF1788" s="7" t="n"/>
      <c r="AG1788" s="7" t="n"/>
      <c r="AH1788" s="7" t="n"/>
      <c r="AI1788" s="7" t="inlineStr">
        <is>
          <t>Index list entry – app detail</t>
        </is>
      </c>
      <c r="AJ1788" s="7" t="n"/>
      <c r="AK1788" s="7" t="inlineStr">
        <is>
          <t>kings-north-and-south #45 (context)</t>
        </is>
      </c>
      <c r="AL1788" s="7" t="n"/>
      <c r="AM1788" s="7" t="n">
        <v>2020</v>
      </c>
      <c r="AN1788" s="10" t="n"/>
      <c r="AO1788" s="10" t="n"/>
      <c r="AP1788" s="10" t="n"/>
      <c r="AQ1788" s="10" t="n"/>
    </row>
    <row r="1789">
      <c r="A1789" s="7" t="inlineStr">
        <is>
          <t>b9-0386</t>
        </is>
      </c>
      <c r="B1789" s="7" t="inlineStr">
        <is>
          <t>Point</t>
        </is>
      </c>
      <c r="C1789" s="7" t="n"/>
      <c r="D1789" s="7" t="inlineStr">
        <is>
          <t>2020</t>
        </is>
      </c>
      <c r="E1789" s="7" t="n"/>
      <c r="F1789" s="7" t="inlineStr">
        <is>
          <t>2020 CE</t>
        </is>
      </c>
      <c r="G1789" s="7" t="inlineStr">
        <is>
          <t>Exact</t>
        </is>
      </c>
      <c r="H1789" s="7" t="n"/>
      <c r="I1789" s="7" t="n"/>
      <c r="J1789" s="7" t="n"/>
      <c r="K1789" s="2" t="inlineStr">
        <is>
          <t>Understanding clarified: locust plague (Joel 1, 2)</t>
        </is>
      </c>
      <c r="L1789" s="2" t="n"/>
      <c r="M1789" s="7" t="inlineStr">
        <is>
          <t>The Watch Tower Publications Index (“Beliefs Clarified,” list by year) records a clarified understanding in 2020 concerning locust plague (Joel 1, 2). Index references: w20.04 2-7.</t>
        </is>
      </c>
      <c r="N1789" s="7" t="n"/>
      <c r="O1789" s="13" t="inlineStr">
        <is>
          <t>Jehovah's Witnesses</t>
        </is>
      </c>
      <c r="P1789" s="7" t="inlineStr">
        <is>
          <t>jw.doctrine</t>
        </is>
      </c>
      <c r="Q1789" s="7" t="inlineStr">
        <is>
          <t>beliefs_clarified</t>
        </is>
      </c>
      <c r="R1789" s="7" t="n"/>
      <c r="S1789" s="7" t="n"/>
      <c r="T1789" s="7" t="inlineStr">
        <is>
          <t>Joel 1, 2</t>
        </is>
      </c>
      <c r="U1789" s="7" t="n"/>
      <c r="V1789" s="7" t="n">
        <v>1</v>
      </c>
      <c r="W1789" s="7" t="inlineStr">
        <is>
          <t>Beliefs Clarified</t>
        </is>
      </c>
      <c r="X1789" s="9" t="inlineStr">
        <is>
          <t>open</t>
        </is>
      </c>
      <c r="Y1789" s="7" t="n"/>
      <c r="Z1789" s="7" t="inlineStr">
        <is>
          <t>https://wol.jw.org/en/wol/d/r1/lp-e/1200277174</t>
        </is>
      </c>
      <c r="AA1789" s="7" t="n">
        <v>0</v>
      </c>
      <c r="AB1789" s="7" t="n"/>
      <c r="AC1789" s="7" t="n">
        <v>0</v>
      </c>
      <c r="AD1789" s="7" t="n"/>
      <c r="AE1789" s="7" t="n"/>
      <c r="AF1789" s="7" t="n"/>
      <c r="AG1789" s="7" t="n"/>
      <c r="AH1789" s="7" t="n"/>
      <c r="AI1789" s="7" t="inlineStr">
        <is>
          <t>Index list entry – app detail</t>
        </is>
      </c>
      <c r="AJ1789" s="7" t="n"/>
      <c r="AK1789" s="7" t="n"/>
      <c r="AL1789" s="7" t="n"/>
      <c r="AM1789" s="7" t="n">
        <v>2020</v>
      </c>
      <c r="AN1789" s="10" t="n"/>
      <c r="AO1789" s="10" t="n"/>
      <c r="AP1789" s="10" t="n"/>
      <c r="AQ1789" s="10" t="n"/>
    </row>
    <row r="1790">
      <c r="A1790" s="7" t="inlineStr">
        <is>
          <t>b9-0387</t>
        </is>
      </c>
      <c r="B1790" s="7" t="inlineStr">
        <is>
          <t>Point</t>
        </is>
      </c>
      <c r="C1790" s="7" t="n"/>
      <c r="D1790" s="7" t="inlineStr">
        <is>
          <t>2020</t>
        </is>
      </c>
      <c r="E1790" s="7" t="n"/>
      <c r="F1790" s="7" t="inlineStr">
        <is>
          <t>2020 CE</t>
        </is>
      </c>
      <c r="G1790" s="7" t="inlineStr">
        <is>
          <t>Exact</t>
        </is>
      </c>
      <c r="H1790" s="7" t="n"/>
      <c r="I1790" s="7" t="n"/>
      <c r="J1790" s="7" t="n"/>
      <c r="K1790" s="2" t="inlineStr">
        <is>
          <t>Understanding clarified: sanctification of Jehovah’s name</t>
        </is>
      </c>
      <c r="L1790" s="2" t="n"/>
      <c r="M1790" s="7" t="inlineStr">
        <is>
          <t>The Watch Tower Publications Index (“Beliefs Clarified,” list by year) records a clarified understanding in 2020 concerning sanctification of Jehovah’s name. Index references: w23.08 18-19; w20.06 3.</t>
        </is>
      </c>
      <c r="N1790" s="7" t="n"/>
      <c r="O1790" s="13" t="inlineStr">
        <is>
          <t>Jehovah's Witnesses</t>
        </is>
      </c>
      <c r="P1790" s="7" t="inlineStr">
        <is>
          <t>jw.doctrine</t>
        </is>
      </c>
      <c r="Q1790" s="7" t="inlineStr">
        <is>
          <t>beliefs_clarified</t>
        </is>
      </c>
      <c r="R1790" s="7" t="n"/>
      <c r="S1790" s="7" t="n"/>
      <c r="T1790" s="7" t="n"/>
      <c r="U1790" s="7" t="n"/>
      <c r="V1790" s="7" t="n">
        <v>1</v>
      </c>
      <c r="W1790" s="7" t="inlineStr">
        <is>
          <t>Beliefs Clarified</t>
        </is>
      </c>
      <c r="X1790" s="9" t="inlineStr">
        <is>
          <t>open</t>
        </is>
      </c>
      <c r="Y1790" s="7" t="n"/>
      <c r="Z1790" s="7" t="inlineStr">
        <is>
          <t>https://wol.jw.org/en/wol/d/r1/lp-e/1200277174</t>
        </is>
      </c>
      <c r="AA1790" s="7" t="n">
        <v>0</v>
      </c>
      <c r="AB1790" s="7" t="n"/>
      <c r="AC1790" s="7" t="n">
        <v>0</v>
      </c>
      <c r="AD1790" s="7" t="n"/>
      <c r="AE1790" s="7" t="n"/>
      <c r="AF1790" s="7" t="n"/>
      <c r="AG1790" s="7" t="n"/>
      <c r="AH1790" s="7" t="n"/>
      <c r="AI1790" s="7" t="inlineStr">
        <is>
          <t>Index list entry – app detail</t>
        </is>
      </c>
      <c r="AJ1790" s="7" t="n"/>
      <c r="AK1790" s="7" t="n"/>
      <c r="AL1790" s="7" t="n"/>
      <c r="AM1790" s="7" t="n">
        <v>2020</v>
      </c>
      <c r="AN1790" s="10" t="n"/>
      <c r="AO1790" s="10" t="n"/>
      <c r="AP1790" s="10" t="n"/>
      <c r="AQ1790" s="10" t="n"/>
    </row>
    <row r="1791">
      <c r="A1791" s="7" t="inlineStr">
        <is>
          <t>b9-0388</t>
        </is>
      </c>
      <c r="B1791" s="7" t="inlineStr">
        <is>
          <t>Point</t>
        </is>
      </c>
      <c r="C1791" s="7" t="n"/>
      <c r="D1791" s="7" t="inlineStr">
        <is>
          <t>2020</t>
        </is>
      </c>
      <c r="E1791" s="7" t="n"/>
      <c r="F1791" s="7" t="inlineStr">
        <is>
          <t>2020 CE</t>
        </is>
      </c>
      <c r="G1791" s="7" t="inlineStr">
        <is>
          <t>Exact</t>
        </is>
      </c>
      <c r="H1791" s="7" t="n"/>
      <c r="I1791" s="7" t="n"/>
      <c r="J1791" s="7" t="n"/>
      <c r="K1791" s="2" t="inlineStr">
        <is>
          <t>Understanding clarified: validation and inauguration of new covenant</t>
        </is>
      </c>
      <c r="L1791" s="2" t="n"/>
      <c r="M1791" s="7" t="inlineStr">
        <is>
          <t>The Watch Tower Publications Index (“Beliefs Clarified,” list by year) records a clarified understanding in 2020 concerning validation and inauguration of new covenant. Index references: w20.07 31.</t>
        </is>
      </c>
      <c r="N1791" s="7" t="n"/>
      <c r="O1791" s="13" t="inlineStr">
        <is>
          <t>Jehovah's Witnesses</t>
        </is>
      </c>
      <c r="P1791" s="7" t="inlineStr">
        <is>
          <t>jw.doctrine</t>
        </is>
      </c>
      <c r="Q1791" s="7" t="inlineStr">
        <is>
          <t>beliefs_clarified</t>
        </is>
      </c>
      <c r="R1791" s="7" t="n"/>
      <c r="S1791" s="7" t="n"/>
      <c r="T1791" s="7" t="n"/>
      <c r="U1791" s="7" t="n"/>
      <c r="V1791" s="7" t="n">
        <v>1</v>
      </c>
      <c r="W1791" s="7" t="inlineStr">
        <is>
          <t>Beliefs Clarified</t>
        </is>
      </c>
      <c r="X1791" s="9" t="inlineStr">
        <is>
          <t>open</t>
        </is>
      </c>
      <c r="Y1791" s="7" t="n"/>
      <c r="Z1791" s="7" t="inlineStr">
        <is>
          <t>https://wol.jw.org/en/wol/d/r1/lp-e/1200277174</t>
        </is>
      </c>
      <c r="AA1791" s="7" t="n">
        <v>0</v>
      </c>
      <c r="AB1791" s="7" t="n"/>
      <c r="AC1791" s="7" t="n">
        <v>0</v>
      </c>
      <c r="AD1791" s="7" t="n"/>
      <c r="AE1791" s="7" t="n"/>
      <c r="AF1791" s="7" t="n"/>
      <c r="AG1791" s="7" t="n"/>
      <c r="AH1791" s="7" t="n"/>
      <c r="AI1791" s="7" t="inlineStr">
        <is>
          <t>Index list entry – app detail</t>
        </is>
      </c>
      <c r="AJ1791" s="7" t="n"/>
      <c r="AK1791" s="7" t="inlineStr">
        <is>
          <t>covenants #22 (context)</t>
        </is>
      </c>
      <c r="AL1791" s="7" t="n"/>
      <c r="AM1791" s="7" t="n">
        <v>2020</v>
      </c>
      <c r="AN1791" s="10" t="n"/>
      <c r="AO1791" s="10" t="n"/>
      <c r="AP1791" s="10" t="n"/>
      <c r="AQ1791" s="10" t="n"/>
    </row>
    <row r="1792">
      <c r="A1792" s="7" t="inlineStr">
        <is>
          <t>b9-0389</t>
        </is>
      </c>
      <c r="B1792" s="7" t="inlineStr">
        <is>
          <t>Point</t>
        </is>
      </c>
      <c r="C1792" s="7" t="n"/>
      <c r="D1792" s="7" t="inlineStr">
        <is>
          <t>2020</t>
        </is>
      </c>
      <c r="E1792" s="7" t="n"/>
      <c r="F1792" s="7" t="inlineStr">
        <is>
          <t>2020 CE</t>
        </is>
      </c>
      <c r="G1792" s="7" t="inlineStr">
        <is>
          <t>Exact</t>
        </is>
      </c>
      <c r="H1792" s="7" t="n"/>
      <c r="I1792" s="7" t="n"/>
      <c r="J1792" s="7" t="n"/>
      <c r="K1792" s="2" t="inlineStr">
        <is>
          <t>2020: “Always Rejoice!” Conventions</t>
        </is>
      </c>
      <c r="L1792" s="2" t="n"/>
      <c r="M1792" s="7" t="inlineStr">
        <is>
          <t>The Watch Tower Publications Index lists the 2020 conventions of Jehovah’s Witnesses as “Always Rejoice!” Conventions.</t>
        </is>
      </c>
      <c r="N1792" s="7" t="n"/>
      <c r="O1792" s="13" t="inlineStr">
        <is>
          <t>Jehovah's Witnesses</t>
        </is>
      </c>
      <c r="P1792" s="7" t="inlineStr">
        <is>
          <t>jw.convention</t>
        </is>
      </c>
      <c r="Q1792" s="7" t="inlineStr">
        <is>
          <t>convention</t>
        </is>
      </c>
      <c r="R1792" s="7" t="n"/>
      <c r="S1792" s="7" t="n"/>
      <c r="T1792" s="7" t="n"/>
      <c r="U1792" s="7" t="n"/>
      <c r="V1792" s="7" t="n">
        <v>1</v>
      </c>
      <c r="W1792" s="7" t="inlineStr">
        <is>
          <t>Conventions</t>
        </is>
      </c>
      <c r="X1792" s="9" t="inlineStr">
        <is>
          <t>open</t>
        </is>
      </c>
      <c r="Y1792" s="7" t="n"/>
      <c r="Z1792" s="7" t="inlineStr">
        <is>
          <t>https://wol.jw.org/en/wol/d/r1/lp-e/1200271388</t>
        </is>
      </c>
      <c r="AA1792" s="7" t="n">
        <v>0</v>
      </c>
      <c r="AB1792" s="7" t="n"/>
      <c r="AC1792" s="7" t="n">
        <v>0</v>
      </c>
      <c r="AD1792" s="7" t="n"/>
      <c r="AE1792" s="7" t="n"/>
      <c r="AF1792" s="7" t="n"/>
      <c r="AG1792" s="7" t="n"/>
      <c r="AH1792" s="7" t="n"/>
      <c r="AI1792" s="7" t="inlineStr">
        <is>
          <t>Index list entry – app detail</t>
        </is>
      </c>
      <c r="AJ1792" s="7" t="n"/>
      <c r="AK1792" s="7" t="n"/>
      <c r="AL1792" s="7" t="n"/>
      <c r="AM1792" s="7" t="n">
        <v>2020</v>
      </c>
      <c r="AN1792" s="10" t="n"/>
      <c r="AO1792" s="10" t="n"/>
      <c r="AP1792" s="10" t="n"/>
      <c r="AQ1792" s="10" t="n"/>
    </row>
    <row r="1793">
      <c r="A1793" s="7" t="inlineStr">
        <is>
          <t>b9-0390</t>
        </is>
      </c>
      <c r="B1793" s="7" t="inlineStr">
        <is>
          <t>Point</t>
        </is>
      </c>
      <c r="C1793" s="7" t="n"/>
      <c r="D1793" s="7" t="inlineStr">
        <is>
          <t>2020, March</t>
        </is>
      </c>
      <c r="E1793" s="7" t="n"/>
      <c r="F1793" s="7" t="inlineStr">
        <is>
          <t>2020 CE</t>
        </is>
      </c>
      <c r="G1793" s="7" t="inlineStr">
        <is>
          <t>Exact</t>
        </is>
      </c>
      <c r="H1793" s="7" t="n"/>
      <c r="I1793" s="7" t="n"/>
      <c r="J1793" s="7" t="n"/>
      <c r="K1793" s="2" t="inlineStr">
        <is>
          <t>Congregations begin meeting by videoconference</t>
        </is>
      </c>
      <c r="L1793" s="2" t="n"/>
      <c r="M1793" s="7" t="inlineStr">
        <is>
          <t>After the global outbreak of COVID-19 in March 2020, Jehovah’s Witnesses began meeting via videoconferencing.</t>
        </is>
      </c>
      <c r="N1793" s="7" t="n"/>
      <c r="O1793" s="13" t="inlineStr">
        <is>
          <t>Jehovah's Witnesses</t>
        </is>
      </c>
      <c r="P1793" s="7" t="inlineStr">
        <is>
          <t>jw.organization</t>
        </is>
      </c>
      <c r="Q1793" s="7" t="n"/>
      <c r="R1793" s="7" t="n"/>
      <c r="S1793" s="7" t="n"/>
      <c r="T1793" s="7" t="n"/>
      <c r="U1793" s="7" t="n"/>
      <c r="V1793" s="7" t="n">
        <v>1</v>
      </c>
      <c r="W1793" s="7" t="inlineStr">
        <is>
          <t>Jehovah’s Witnesses Return to Meeting in Person</t>
        </is>
      </c>
      <c r="X1793" s="9" t="inlineStr">
        <is>
          <t>open</t>
        </is>
      </c>
      <c r="Y1793" s="7" t="n"/>
      <c r="Z1793" s="7" t="inlineStr">
        <is>
          <t>https://www.jw.org/en/news/region/global/Jehovahs-Witnesses-Return-to-Meeting-in-Person/</t>
        </is>
      </c>
      <c r="AA1793" s="7" t="n">
        <v>1</v>
      </c>
      <c r="AB1793" s="9" t="inlineStr">
        <is>
          <t>open</t>
        </is>
      </c>
      <c r="AC1793" s="7" t="n">
        <v>0</v>
      </c>
      <c r="AD1793" s="7" t="n"/>
      <c r="AE1793" s="7" t="n"/>
      <c r="AF1793" s="7" t="n"/>
      <c r="AG1793" s="7" t="n"/>
      <c r="AH1793" s="7" t="n"/>
      <c r="AI1793" s="7" t="inlineStr">
        <is>
          <t>Span endpoint – keep</t>
        </is>
      </c>
      <c r="AJ1793" s="7" t="inlineStr">
        <is>
          <t>start of Congregation meetings held by videoconference during the COVID-19 pandemic (b12-0113)</t>
        </is>
      </c>
      <c r="AK1793" s="7" t="n"/>
      <c r="AL1793" s="7" t="n"/>
      <c r="AM1793" s="7" t="n">
        <v>2020.1667</v>
      </c>
      <c r="AN1793" s="10" t="n"/>
      <c r="AO1793" s="10" t="n"/>
      <c r="AP1793" s="10" t="n"/>
      <c r="AQ1793" s="10" t="n"/>
    </row>
    <row r="1794">
      <c r="A1794" s="7" t="inlineStr">
        <is>
          <t>b12-0113</t>
        </is>
      </c>
      <c r="B1794" s="11" t="inlineStr">
        <is>
          <t>Span</t>
        </is>
      </c>
      <c r="C1794" s="7" t="inlineStr">
        <is>
          <t>other</t>
        </is>
      </c>
      <c r="D1794" s="7" t="inlineStr">
        <is>
          <t>March 2020–April 1, 2022</t>
        </is>
      </c>
      <c r="E1794" s="7" t="n"/>
      <c r="F1794" s="7" t="inlineStr">
        <is>
          <t>2020 CE</t>
        </is>
      </c>
      <c r="G1794" s="7" t="inlineStr">
        <is>
          <t>Exact</t>
        </is>
      </c>
      <c r="H1794" s="7" t="inlineStr">
        <is>
          <t>2022 CE</t>
        </is>
      </c>
      <c r="I1794" s="7" t="inlineStr">
        <is>
          <t>Exact</t>
        </is>
      </c>
      <c r="J1794" s="7" t="inlineStr">
        <is>
          <t>two years</t>
        </is>
      </c>
      <c r="K1794" s="2" t="inlineStr">
        <is>
          <t>Congregation meetings held by videoconference during the COVID-19 pandemic</t>
        </is>
      </c>
      <c r="L1794" s="2" t="n"/>
      <c r="M1794" s="7" t="inlineStr">
        <is>
          <t>After the global outbreak of COVID-19 in March 2020, Jehovah’s Witnesses met by videoconference instead of in person until in-person meetings resumed on April 1, 2022.</t>
        </is>
      </c>
      <c r="N1794" s="7" t="n"/>
      <c r="O1794" s="13" t="inlineStr">
        <is>
          <t>Jehovah's Witnesses</t>
        </is>
      </c>
      <c r="P1794" s="7" t="inlineStr">
        <is>
          <t>jw.organization</t>
        </is>
      </c>
      <c r="Q1794" s="7" t="n"/>
      <c r="R1794" s="7" t="n"/>
      <c r="S1794" s="7" t="n"/>
      <c r="T1794" s="7" t="n"/>
      <c r="U1794" s="7" t="n"/>
      <c r="V1794" s="7" t="n">
        <v>3</v>
      </c>
      <c r="W1794" s="7" t="inlineStr">
        <is>
          <t>Jehovah’s Witnesses Return to Meeting in Person</t>
        </is>
      </c>
      <c r="X1794" s="9" t="inlineStr">
        <is>
          <t>open</t>
        </is>
      </c>
      <c r="Y1794" s="7" t="n"/>
      <c r="Z1794" s="7" t="inlineStr">
        <is>
          <t>https://www.jw.org/en/news/region/global/Jehovahs-Witnesses-Return-to-Meeting-in-Person/
https://www.jw.org/en/news/region/global/Jehovahs-Witnesses-Return-to-Meeting-in-Person/
https://www.jw.org/en/news/region/global/Jehovahs-Witnesses-Return-to-Meeting-in-Person/</t>
        </is>
      </c>
      <c r="AA1794" s="7" t="n">
        <v>0</v>
      </c>
      <c r="AB1794" s="7" t="n"/>
      <c r="AC1794" s="7" t="n">
        <v>0</v>
      </c>
      <c r="AD1794" s="7" t="n"/>
      <c r="AE1794" s="7" t="n"/>
      <c r="AF1794" s="7" t="inlineStr">
        <is>
          <t>b9-0390</t>
        </is>
      </c>
      <c r="AG1794" s="7" t="inlineStr">
        <is>
          <t>b9-0407</t>
        </is>
      </c>
      <c r="AH1794" s="7" t="n"/>
      <c r="AI1794" s="7" t="n"/>
      <c r="AJ1794" s="7" t="n"/>
      <c r="AK1794" s="7" t="n"/>
      <c r="AL1794" s="7" t="n"/>
      <c r="AM1794" s="7" t="n">
        <v>2020.1667</v>
      </c>
      <c r="AN1794" s="10" t="n"/>
      <c r="AO1794" s="10" t="n"/>
      <c r="AP1794" s="10" t="n"/>
      <c r="AQ1794" s="10" t="n"/>
    </row>
    <row r="1795">
      <c r="A1795" s="7" t="inlineStr">
        <is>
          <t>b9-0391</t>
        </is>
      </c>
      <c r="B1795" s="7" t="inlineStr">
        <is>
          <t>Point</t>
        </is>
      </c>
      <c r="C1795" s="7" t="n"/>
      <c r="D1795" s="7" t="inlineStr">
        <is>
          <t>2020, March 3</t>
        </is>
      </c>
      <c r="E1795" s="7" t="n"/>
      <c r="F1795" s="7" t="inlineStr">
        <is>
          <t>2020 CE</t>
        </is>
      </c>
      <c r="G1795" s="7" t="inlineStr">
        <is>
          <t>Exact</t>
        </is>
      </c>
      <c r="H1795" s="7" t="n"/>
      <c r="I1795" s="7" t="n"/>
      <c r="J1795" s="7" t="n"/>
      <c r="K1795" s="2" t="inlineStr">
        <is>
          <t>Headquarters issues coronavirus guidance</t>
        </is>
      </c>
      <c r="L1795" s="2" t="n"/>
      <c r="M1795" s="7" t="inlineStr">
        <is>
          <t>On March 3, 2020, jw.org reported that world headquarters was monitoring COVID-19, which had affected branches and congregations in Italy, Japan, South Korea, and elsewhere, and gave Bible-based guidance.</t>
        </is>
      </c>
      <c r="N1795" s="7" t="n"/>
      <c r="O1795" s="13" t="inlineStr">
        <is>
          <t>Jehovah's Witnesses</t>
        </is>
      </c>
      <c r="P1795" s="7" t="inlineStr">
        <is>
          <t>jw.organization</t>
        </is>
      </c>
      <c r="Q1795" s="7" t="n"/>
      <c r="R1795" s="7" t="n"/>
      <c r="S1795" s="7" t="n"/>
      <c r="T1795" s="7" t="n"/>
      <c r="U1795" s="7" t="n"/>
      <c r="V1795" s="7" t="n">
        <v>1</v>
      </c>
      <c r="W1795" s="7" t="inlineStr">
        <is>
          <t>Jehovah’s Witnesses—Coronavirus Update and Response</t>
        </is>
      </c>
      <c r="X1795" s="9" t="inlineStr">
        <is>
          <t>open</t>
        </is>
      </c>
      <c r="Y1795" s="7" t="n"/>
      <c r="Z1795" s="7" t="inlineStr">
        <is>
          <t>https://www.jw.org/en/news/region/global/jw-coronavirus-update-and-response/</t>
        </is>
      </c>
      <c r="AA1795" s="7" t="n">
        <v>1</v>
      </c>
      <c r="AB1795" s="9" t="inlineStr">
        <is>
          <t>open</t>
        </is>
      </c>
      <c r="AC1795" s="7" t="n">
        <v>0</v>
      </c>
      <c r="AD1795" s="7" t="n"/>
      <c r="AE1795" s="7" t="n"/>
      <c r="AF1795" s="7" t="n"/>
      <c r="AG1795" s="7" t="n"/>
      <c r="AH1795" s="7" t="n"/>
      <c r="AI1795" s="7" t="n"/>
      <c r="AJ1795" s="7" t="n"/>
      <c r="AK1795" s="7" t="n"/>
      <c r="AL1795" s="7" t="n"/>
      <c r="AM1795" s="7" t="n">
        <v>2020.172</v>
      </c>
      <c r="AN1795" s="10" t="n"/>
      <c r="AO1795" s="10" t="n"/>
      <c r="AP1795" s="10" t="n"/>
      <c r="AQ1795" s="10" t="n"/>
    </row>
    <row r="1796">
      <c r="A1796" s="7" t="inlineStr">
        <is>
          <t>b9-0392</t>
        </is>
      </c>
      <c r="B1796" s="7" t="inlineStr">
        <is>
          <t>Point</t>
        </is>
      </c>
      <c r="C1796" s="7" t="n"/>
      <c r="D1796" s="7" t="inlineStr">
        <is>
          <t>2020, March 18</t>
        </is>
      </c>
      <c r="E1796" s="7" t="n"/>
      <c r="F1796" s="7" t="inlineStr">
        <is>
          <t>2020 CE</t>
        </is>
      </c>
      <c r="G1796" s="7" t="inlineStr">
        <is>
          <t>Exact</t>
        </is>
      </c>
      <c r="H1796" s="7" t="n"/>
      <c r="I1796" s="7" t="n"/>
      <c r="J1796" s="7" t="n"/>
      <c r="K1796" s="2" t="inlineStr">
        <is>
          <t>First Governing Body Update on the pandemic</t>
        </is>
      </c>
      <c r="L1796" s="2" t="n"/>
      <c r="M1796" s="7" t="inlineStr">
        <is>
          <t>The first 2020 Governing Body Update featured interviews with brothers in South Korea, Italy, and the United States on dealing with the spread of the pandemic.</t>
        </is>
      </c>
      <c r="N1796" s="7" t="n"/>
      <c r="O1796" s="13" t="inlineStr">
        <is>
          <t>Jehovah's Witnesses</t>
        </is>
      </c>
      <c r="P1796" s="7" t="inlineStr">
        <is>
          <t>jw.organization</t>
        </is>
      </c>
      <c r="Q1796" s="7" t="inlineStr">
        <is>
          <t>video_update</t>
        </is>
      </c>
      <c r="R1796" s="7" t="n"/>
      <c r="S1796" s="7" t="n"/>
      <c r="T1796" s="7" t="n"/>
      <c r="U1796" s="7" t="n"/>
      <c r="V1796" s="7" t="n">
        <v>1</v>
      </c>
      <c r="W1796" s="7" t="inlineStr">
        <is>
          <t>2020 Governing Body Update #1</t>
        </is>
      </c>
      <c r="X1796" s="9" t="inlineStr">
        <is>
          <t>open</t>
        </is>
      </c>
      <c r="Y1796" s="7" t="n"/>
      <c r="Z1796" s="7" t="inlineStr">
        <is>
          <t>https://www.jw.org/en/news/region/global/2020-Governing-Body-Update-1/</t>
        </is>
      </c>
      <c r="AA1796" s="7" t="n">
        <v>1</v>
      </c>
      <c r="AB1796" s="9" t="inlineStr">
        <is>
          <t>open</t>
        </is>
      </c>
      <c r="AC1796" s="7" t="n">
        <v>0</v>
      </c>
      <c r="AD1796" s="7" t="n"/>
      <c r="AE1796" s="7" t="n"/>
      <c r="AF1796" s="7" t="n"/>
      <c r="AG1796" s="7" t="n"/>
      <c r="AH1796" s="7" t="n"/>
      <c r="AI1796" s="7" t="n"/>
      <c r="AJ1796" s="7" t="n"/>
      <c r="AK1796" s="7" t="n"/>
      <c r="AL1796" s="7" t="inlineStr">
        <is>
          <t>Date is the first-published date of this Governing Body Update video on jw.org (jw.org media metadata).</t>
        </is>
      </c>
      <c r="AM1796" s="7" t="n">
        <v>2020.2124</v>
      </c>
      <c r="AN1796" s="10" t="n"/>
      <c r="AO1796" s="10" t="n"/>
      <c r="AP1796" s="10" t="n"/>
      <c r="AQ1796" s="10" t="n"/>
    </row>
    <row r="1797">
      <c r="A1797" s="7" t="inlineStr">
        <is>
          <t>b9-0393</t>
        </is>
      </c>
      <c r="B1797" s="7" t="inlineStr">
        <is>
          <t>Point</t>
        </is>
      </c>
      <c r="C1797" s="7" t="n"/>
      <c r="D1797" s="7" t="inlineStr">
        <is>
          <t>2021</t>
        </is>
      </c>
      <c r="E1797" s="7" t="n"/>
      <c r="F1797" s="7" t="inlineStr">
        <is>
          <t>2021 CE</t>
        </is>
      </c>
      <c r="G1797" s="7" t="inlineStr">
        <is>
          <t>Exact</t>
        </is>
      </c>
      <c r="H1797" s="7" t="n"/>
      <c r="I1797" s="7" t="n"/>
      <c r="J1797" s="7" t="n"/>
      <c r="K1797" s="2" t="inlineStr">
        <is>
          <t>Understanding clarified: King Ahab not repentant (1 Ki. 21:19-29; 2 Chron. 19:1, 2)</t>
        </is>
      </c>
      <c r="L1797" s="2" t="n"/>
      <c r="M1797" s="7" t="inlineStr">
        <is>
          <t>The Watch Tower Publications Index (“Beliefs Clarified,” list by year) records a clarified understanding in 2021 concerning King Ahab not repentant (1 Ki. 21:19-29; 2 Chron. 19:1, 2). Index references: w21.10 3.</t>
        </is>
      </c>
      <c r="N1797" s="7" t="n"/>
      <c r="O1797" s="13" t="inlineStr">
        <is>
          <t>Jehovah's Witnesses</t>
        </is>
      </c>
      <c r="P1797" s="7" t="inlineStr">
        <is>
          <t>jw.doctrine</t>
        </is>
      </c>
      <c r="Q1797" s="7" t="inlineStr">
        <is>
          <t>beliefs_clarified</t>
        </is>
      </c>
      <c r="R1797" s="7" t="n"/>
      <c r="S1797" s="7" t="n"/>
      <c r="T1797" s="7" t="inlineStr">
        <is>
          <t>1 Ki. 21:19-29; 2 Chron. 19:1, 2</t>
        </is>
      </c>
      <c r="U1797" s="7" t="n"/>
      <c r="V1797" s="7" t="n">
        <v>1</v>
      </c>
      <c r="W1797" s="7" t="inlineStr">
        <is>
          <t>Beliefs Clarified</t>
        </is>
      </c>
      <c r="X1797" s="9" t="inlineStr">
        <is>
          <t>open</t>
        </is>
      </c>
      <c r="Y1797" s="7" t="n"/>
      <c r="Z1797" s="7" t="inlineStr">
        <is>
          <t>https://wol.jw.org/en/wol/d/r1/lp-e/1200277174</t>
        </is>
      </c>
      <c r="AA1797" s="7" t="n">
        <v>0</v>
      </c>
      <c r="AB1797" s="7" t="n"/>
      <c r="AC1797" s="7" t="n">
        <v>0</v>
      </c>
      <c r="AD1797" s="7" t="n"/>
      <c r="AE1797" s="7" t="n"/>
      <c r="AF1797" s="7" t="n"/>
      <c r="AG1797" s="7" t="n"/>
      <c r="AH1797" s="7" t="n"/>
      <c r="AI1797" s="7" t="inlineStr">
        <is>
          <t>Index list entry – app detail</t>
        </is>
      </c>
      <c r="AJ1797" s="7" t="n"/>
      <c r="AK1797" s="7" t="n"/>
      <c r="AL1797" s="7" t="n"/>
      <c r="AM1797" s="7" t="n">
        <v>2021</v>
      </c>
      <c r="AN1797" s="10" t="n"/>
      <c r="AO1797" s="10" t="n"/>
      <c r="AP1797" s="10" t="n"/>
      <c r="AQ1797" s="10" t="n"/>
    </row>
    <row r="1798">
      <c r="A1798" s="7" t="inlineStr">
        <is>
          <t>b9-0394</t>
        </is>
      </c>
      <c r="B1798" s="7" t="inlineStr">
        <is>
          <t>Point</t>
        </is>
      </c>
      <c r="C1798" s="7" t="n"/>
      <c r="D1798" s="7" t="inlineStr">
        <is>
          <t>2021</t>
        </is>
      </c>
      <c r="E1798" s="7" t="n"/>
      <c r="F1798" s="7" t="inlineStr">
        <is>
          <t>2021 CE</t>
        </is>
      </c>
      <c r="G1798" s="7" t="inlineStr">
        <is>
          <t>Exact</t>
        </is>
      </c>
      <c r="H1798" s="7" t="n"/>
      <c r="I1798" s="7" t="n"/>
      <c r="J1798" s="7" t="n"/>
      <c r="K1798" s="2" t="inlineStr">
        <is>
          <t>Understanding clarified: Paul’s statement, “through law I died toward law” (Gal. 2:19)</t>
        </is>
      </c>
      <c r="L1798" s="2" t="n"/>
      <c r="M1798" s="7" t="inlineStr">
        <is>
          <t>The Watch Tower Publications Index (“Beliefs Clarified,” list by year) records a clarified understanding in 2021 concerning Paul’s statement, “through law I died toward law” (Gal. 2:19). Index references: w21.06 31.</t>
        </is>
      </c>
      <c r="N1798" s="7" t="n"/>
      <c r="O1798" s="13" t="inlineStr">
        <is>
          <t>Jehovah's Witnesses</t>
        </is>
      </c>
      <c r="P1798" s="7" t="inlineStr">
        <is>
          <t>jw.doctrine</t>
        </is>
      </c>
      <c r="Q1798" s="7" t="inlineStr">
        <is>
          <t>beliefs_clarified</t>
        </is>
      </c>
      <c r="R1798" s="7" t="n"/>
      <c r="S1798" s="7" t="n"/>
      <c r="T1798" s="7" t="inlineStr">
        <is>
          <t>Gal. 2:19</t>
        </is>
      </c>
      <c r="U1798" s="7" t="n"/>
      <c r="V1798" s="7" t="n">
        <v>1</v>
      </c>
      <c r="W1798" s="7" t="inlineStr">
        <is>
          <t>Beliefs Clarified</t>
        </is>
      </c>
      <c r="X1798" s="9" t="inlineStr">
        <is>
          <t>open</t>
        </is>
      </c>
      <c r="Y1798" s="7" t="n"/>
      <c r="Z1798" s="7" t="inlineStr">
        <is>
          <t>https://wol.jw.org/en/wol/d/r1/lp-e/1200277174</t>
        </is>
      </c>
      <c r="AA1798" s="7" t="n">
        <v>0</v>
      </c>
      <c r="AB1798" s="7" t="n"/>
      <c r="AC1798" s="7" t="n">
        <v>0</v>
      </c>
      <c r="AD1798" s="7" t="n"/>
      <c r="AE1798" s="7" t="n"/>
      <c r="AF1798" s="7" t="n"/>
      <c r="AG1798" s="7" t="n"/>
      <c r="AH1798" s="7" t="n"/>
      <c r="AI1798" s="7" t="inlineStr">
        <is>
          <t>Index list entry – app detail</t>
        </is>
      </c>
      <c r="AJ1798" s="7" t="n"/>
      <c r="AK1798" s="7" t="n"/>
      <c r="AL1798" s="7" t="n"/>
      <c r="AM1798" s="7" t="n">
        <v>2021</v>
      </c>
      <c r="AN1798" s="10" t="n"/>
      <c r="AO1798" s="10" t="n"/>
      <c r="AP1798" s="10" t="n"/>
      <c r="AQ1798" s="10" t="n"/>
    </row>
    <row r="1799">
      <c r="A1799" s="7" t="inlineStr">
        <is>
          <t>b9-0395</t>
        </is>
      </c>
      <c r="B1799" s="7" t="inlineStr">
        <is>
          <t>Point</t>
        </is>
      </c>
      <c r="C1799" s="7" t="n"/>
      <c r="D1799" s="7" t="inlineStr">
        <is>
          <t>2021</t>
        </is>
      </c>
      <c r="E1799" s="7" t="n"/>
      <c r="F1799" s="7" t="inlineStr">
        <is>
          <t>2021 CE</t>
        </is>
      </c>
      <c r="G1799" s="7" t="inlineStr">
        <is>
          <t>Exact</t>
        </is>
      </c>
      <c r="H1799" s="7" t="n"/>
      <c r="I1799" s="7" t="n"/>
      <c r="J1799" s="7" t="n"/>
      <c r="K1799" s="2" t="inlineStr">
        <is>
          <t>Understanding clarified: ‘shaking of the nations’ causes ‘precious things to come in’ (Hag. 2:7)</t>
        </is>
      </c>
      <c r="L1799" s="2" t="n"/>
      <c r="M1799" s="7" t="inlineStr">
        <is>
          <t>The Watch Tower Publications Index (“Beliefs Clarified,” list by year) records a clarified understanding in 2021 concerning ‘shaking of the nations’ causes ‘precious things to come in’ (Hag. 2:7). Index references: w21.09 14-16; w21.12 15.</t>
        </is>
      </c>
      <c r="N1799" s="7" t="n"/>
      <c r="O1799" s="13" t="inlineStr">
        <is>
          <t>Jehovah's Witnesses</t>
        </is>
      </c>
      <c r="P1799" s="7" t="inlineStr">
        <is>
          <t>jw.doctrine</t>
        </is>
      </c>
      <c r="Q1799" s="7" t="inlineStr">
        <is>
          <t>beliefs_clarified</t>
        </is>
      </c>
      <c r="R1799" s="7" t="n"/>
      <c r="S1799" s="7" t="n"/>
      <c r="T1799" s="7" t="inlineStr">
        <is>
          <t>Hag. 2:7</t>
        </is>
      </c>
      <c r="U1799" s="7" t="n"/>
      <c r="V1799" s="7" t="n">
        <v>1</v>
      </c>
      <c r="W1799" s="7" t="inlineStr">
        <is>
          <t>Beliefs Clarified</t>
        </is>
      </c>
      <c r="X1799" s="9" t="inlineStr">
        <is>
          <t>open</t>
        </is>
      </c>
      <c r="Y1799" s="7" t="n"/>
      <c r="Z1799" s="7" t="inlineStr">
        <is>
          <t>https://wol.jw.org/en/wol/d/r1/lp-e/1200277174</t>
        </is>
      </c>
      <c r="AA1799" s="7" t="n">
        <v>0</v>
      </c>
      <c r="AB1799" s="7" t="n"/>
      <c r="AC1799" s="7" t="n">
        <v>0</v>
      </c>
      <c r="AD1799" s="7" t="n"/>
      <c r="AE1799" s="7" t="n"/>
      <c r="AF1799" s="7" t="n"/>
      <c r="AG1799" s="7" t="n"/>
      <c r="AH1799" s="7" t="n"/>
      <c r="AI1799" s="7" t="inlineStr">
        <is>
          <t>Index list entry – app detail</t>
        </is>
      </c>
      <c r="AJ1799" s="7" t="n"/>
      <c r="AK1799" s="7" t="n"/>
      <c r="AL1799" s="7" t="n"/>
      <c r="AM1799" s="7" t="n">
        <v>2021</v>
      </c>
      <c r="AN1799" s="10" t="n"/>
      <c r="AO1799" s="10" t="n"/>
      <c r="AP1799" s="10" t="n"/>
      <c r="AQ1799" s="10" t="n"/>
    </row>
    <row r="1800">
      <c r="A1800" s="7" t="inlineStr">
        <is>
          <t>b9-0396</t>
        </is>
      </c>
      <c r="B1800" s="7" t="inlineStr">
        <is>
          <t>Point</t>
        </is>
      </c>
      <c r="C1800" s="7" t="n"/>
      <c r="D1800" s="7" t="inlineStr">
        <is>
          <t>2021</t>
        </is>
      </c>
      <c r="E1800" s="7" t="n"/>
      <c r="F1800" s="7" t="inlineStr">
        <is>
          <t>2021 CE</t>
        </is>
      </c>
      <c r="G1800" s="7" t="inlineStr">
        <is>
          <t>Exact</t>
        </is>
      </c>
      <c r="H1800" s="7" t="n"/>
      <c r="I1800" s="7" t="n"/>
      <c r="J1800" s="7" t="n"/>
      <c r="K1800" s="2" t="inlineStr">
        <is>
          <t>2021: “Powerful by Faith!” Conventions</t>
        </is>
      </c>
      <c r="L1800" s="2" t="n"/>
      <c r="M1800" s="7" t="inlineStr">
        <is>
          <t>The Watch Tower Publications Index lists the 2021 conventions of Jehovah’s Witnesses as “Powerful by Faith!” Conventions.</t>
        </is>
      </c>
      <c r="N1800" s="7" t="n"/>
      <c r="O1800" s="13" t="inlineStr">
        <is>
          <t>Jehovah's Witnesses</t>
        </is>
      </c>
      <c r="P1800" s="7" t="inlineStr">
        <is>
          <t>jw.convention</t>
        </is>
      </c>
      <c r="Q1800" s="7" t="inlineStr">
        <is>
          <t>convention</t>
        </is>
      </c>
      <c r="R1800" s="7" t="n"/>
      <c r="S1800" s="7" t="n"/>
      <c r="T1800" s="7" t="n"/>
      <c r="U1800" s="7" t="n"/>
      <c r="V1800" s="7" t="n">
        <v>1</v>
      </c>
      <c r="W1800" s="7" t="inlineStr">
        <is>
          <t>Conventions</t>
        </is>
      </c>
      <c r="X1800" s="9" t="inlineStr">
        <is>
          <t>open</t>
        </is>
      </c>
      <c r="Y1800" s="7" t="n"/>
      <c r="Z1800" s="7" t="inlineStr">
        <is>
          <t>https://wol.jw.org/en/wol/d/r1/lp-e/1200271388</t>
        </is>
      </c>
      <c r="AA1800" s="7" t="n">
        <v>0</v>
      </c>
      <c r="AB1800" s="7" t="n"/>
      <c r="AC1800" s="7" t="n">
        <v>0</v>
      </c>
      <c r="AD1800" s="7" t="n"/>
      <c r="AE1800" s="7" t="n"/>
      <c r="AF1800" s="7" t="n"/>
      <c r="AG1800" s="7" t="n"/>
      <c r="AH1800" s="7" t="n"/>
      <c r="AI1800" s="7" t="inlineStr">
        <is>
          <t>Index list entry – app detail</t>
        </is>
      </c>
      <c r="AJ1800" s="7" t="n"/>
      <c r="AK1800" s="7" t="n"/>
      <c r="AL1800" s="7" t="n"/>
      <c r="AM1800" s="7" t="n">
        <v>2021</v>
      </c>
      <c r="AN1800" s="10" t="n"/>
      <c r="AO1800" s="10" t="n"/>
      <c r="AP1800" s="10" t="n"/>
      <c r="AQ1800" s="10" t="n"/>
    </row>
    <row r="1801">
      <c r="A1801" s="7" t="inlineStr">
        <is>
          <t>b9-0397</t>
        </is>
      </c>
      <c r="B1801" s="7" t="inlineStr">
        <is>
          <t>Point</t>
        </is>
      </c>
      <c r="C1801" s="7" t="n"/>
      <c r="D1801" s="7" t="inlineStr">
        <is>
          <t>2021, October 1</t>
        </is>
      </c>
      <c r="E1801" s="7" t="n"/>
      <c r="F1801" s="7" t="inlineStr">
        <is>
          <t>2021 CE</t>
        </is>
      </c>
      <c r="G1801" s="7" t="inlineStr">
        <is>
          <t>Exact</t>
        </is>
      </c>
      <c r="H1801" s="7" t="n"/>
      <c r="I1801" s="7" t="n"/>
      <c r="J1801" s="7" t="n"/>
      <c r="K1801" s="2" t="inlineStr">
        <is>
          <t>Governing Body Update announces 2022 yeartext</t>
        </is>
      </c>
      <c r="L1801" s="2" t="inlineStr">
        <is>
          <t>ஆளும் குழு சகோதரர் ஒருவர், சமீபத்தில் நடந்த இயற்கை பேரழிவுகளை பற்றிய அறிக்கைகளை சொல்வார்.</t>
        </is>
      </c>
      <c r="M1801" s="7" t="inlineStr">
        <is>
          <t>2021 Governing Body Update #8 gave reports on recent natural disasters and announced the yeartext for 2022.</t>
        </is>
      </c>
      <c r="N1801" s="7" t="inlineStr">
        <is>
          <t>ஆளும் குழு சகோதரர் ஒருவர், சமீபத்தில் நடந்த இயற்கை பேரழிவுகளை பற்றிய அறிக்கைகளை சொல்வார்.</t>
        </is>
      </c>
      <c r="O1801" s="13" t="inlineStr">
        <is>
          <t>Jehovah's Witnesses</t>
        </is>
      </c>
      <c r="P1801" s="7" t="inlineStr">
        <is>
          <t>jw.organization</t>
        </is>
      </c>
      <c r="Q1801" s="7" t="inlineStr">
        <is>
          <t>video_update</t>
        </is>
      </c>
      <c r="R1801" s="7" t="n"/>
      <c r="S1801" s="7" t="n"/>
      <c r="T1801" s="7" t="n"/>
      <c r="U1801" s="7" t="n"/>
      <c r="V1801" s="7" t="n">
        <v>1</v>
      </c>
      <c r="W1801" s="7" t="inlineStr">
        <is>
          <t>2021 Governing Body Update #8</t>
        </is>
      </c>
      <c r="X1801" s="9" t="inlineStr">
        <is>
          <t>open</t>
        </is>
      </c>
      <c r="Y1801" s="9" t="inlineStr">
        <is>
          <t>open</t>
        </is>
      </c>
      <c r="Z1801" s="7" t="inlineStr">
        <is>
          <t>https://www.jw.org/en/news/region/global/2021-Governing-Body-Update-8/</t>
        </is>
      </c>
      <c r="AA1801" s="7" t="n">
        <v>1</v>
      </c>
      <c r="AB1801" s="9" t="inlineStr">
        <is>
          <t>open</t>
        </is>
      </c>
      <c r="AC1801" s="7" t="n">
        <v>0</v>
      </c>
      <c r="AD1801" s="7" t="n"/>
      <c r="AE1801" s="7" t="n"/>
      <c r="AF1801" s="7" t="n"/>
      <c r="AG1801" s="7" t="n"/>
      <c r="AH1801" s="7" t="n"/>
      <c r="AI1801" s="7" t="n"/>
      <c r="AJ1801" s="7" t="n"/>
      <c r="AK1801" s="7" t="n"/>
      <c r="AL1801" s="7" t="inlineStr">
        <is>
          <t>Date is the first-published date of this Governing Body Update video on jw.org (jw.org media metadata).</t>
        </is>
      </c>
      <c r="AM1801" s="7" t="n">
        <v>2021.75</v>
      </c>
      <c r="AN1801" s="10" t="n"/>
      <c r="AO1801" s="10" t="n"/>
      <c r="AP1801" s="10" t="n"/>
      <c r="AQ1801" s="10" t="n"/>
    </row>
    <row r="1802">
      <c r="A1802" s="7" t="inlineStr">
        <is>
          <t>b9-0398</t>
        </is>
      </c>
      <c r="B1802" s="7" t="inlineStr">
        <is>
          <t>Point</t>
        </is>
      </c>
      <c r="C1802" s="7" t="n"/>
      <c r="D1802" s="7" t="inlineStr">
        <is>
          <t>2021, October</t>
        </is>
      </c>
      <c r="E1802" s="7" t="n"/>
      <c r="F1802" s="7" t="inlineStr">
        <is>
          <t>2021 CE</t>
        </is>
      </c>
      <c r="G1802" s="7" t="inlineStr">
        <is>
          <t>Exact</t>
        </is>
      </c>
      <c r="H1802" s="7" t="n"/>
      <c r="I1802" s="7" t="n"/>
      <c r="J1802" s="7" t="n"/>
      <c r="K1802" s="2" t="inlineStr">
        <is>
          <t>Pilot program to resume some in-person meetings</t>
        </is>
      </c>
      <c r="L1802" s="2" t="n"/>
      <c r="M1802" s="7" t="inlineStr">
        <is>
          <t>In October 2021 the Governing Body invited selected branches to a pilot program to resume some in-person meetings; other in-person activities remained suspended until at least January 1, 2022.</t>
        </is>
      </c>
      <c r="N1802" s="7" t="n"/>
      <c r="O1802" s="13" t="inlineStr">
        <is>
          <t>Jehovah's Witnesses</t>
        </is>
      </c>
      <c r="P1802" s="7" t="inlineStr">
        <is>
          <t>jw.organization</t>
        </is>
      </c>
      <c r="Q1802" s="7" t="n"/>
      <c r="R1802" s="7" t="n"/>
      <c r="S1802" s="7" t="n"/>
      <c r="T1802" s="7" t="n"/>
      <c r="U1802" s="7" t="n"/>
      <c r="V1802" s="7" t="n">
        <v>1</v>
      </c>
      <c r="W1802" s="7" t="inlineStr">
        <is>
          <t>The Governing Body Announces That Some In-Person Meetings Will Resume in Select Areas</t>
        </is>
      </c>
      <c r="X1802" s="9" t="inlineStr">
        <is>
          <t>open</t>
        </is>
      </c>
      <c r="Y1802" s="7" t="n"/>
      <c r="Z1802" s="7" t="inlineStr">
        <is>
          <t>https://www.jw.org/en/news/region/global/The-Governing-Body-Announces-That-Some-In-Person-Meetings-Will-Resume-in-Select-Areas/</t>
        </is>
      </c>
      <c r="AA1802" s="7" t="n">
        <v>1</v>
      </c>
      <c r="AB1802" s="9" t="inlineStr">
        <is>
          <t>open</t>
        </is>
      </c>
      <c r="AC1802" s="7" t="n">
        <v>0</v>
      </c>
      <c r="AD1802" s="7" t="n"/>
      <c r="AE1802" s="7" t="n"/>
      <c r="AF1802" s="7" t="n"/>
      <c r="AG1802" s="7" t="n"/>
      <c r="AH1802" s="7" t="n"/>
      <c r="AI1802" s="7" t="n"/>
      <c r="AJ1802" s="7" t="n"/>
      <c r="AK1802" s="7" t="n"/>
      <c r="AL1802" s="7" t="n"/>
      <c r="AM1802" s="7" t="n">
        <v>2021.75</v>
      </c>
      <c r="AN1802" s="10" t="n"/>
      <c r="AO1802" s="10" t="n"/>
      <c r="AP1802" s="10" t="n"/>
      <c r="AQ1802" s="10" t="n"/>
    </row>
    <row r="1803">
      <c r="A1803" s="7" t="inlineStr">
        <is>
          <t>b9-0399</t>
        </is>
      </c>
      <c r="B1803" s="7" t="inlineStr">
        <is>
          <t>Point</t>
        </is>
      </c>
      <c r="C1803" s="7" t="n"/>
      <c r="D1803" s="7" t="inlineStr">
        <is>
          <t>2021, November 12</t>
        </is>
      </c>
      <c r="E1803" s="7" t="n"/>
      <c r="F1803" s="7" t="inlineStr">
        <is>
          <t>2021 CE</t>
        </is>
      </c>
      <c r="G1803" s="7" t="inlineStr">
        <is>
          <t>Exact</t>
        </is>
      </c>
      <c r="H1803" s="7" t="n"/>
      <c r="I1803" s="7" t="n"/>
      <c r="J1803" s="7" t="n"/>
      <c r="K1803" s="2" t="inlineStr">
        <is>
          <t>Governing Body Update reports pilot in-person meetings</t>
        </is>
      </c>
      <c r="L1803" s="2" t="inlineStr">
        <is>
          <t>பெருந்தொற்று சமயம் முழுவதும் யெகோவா அவருடைய அமைப்பை எப்படி வழிநடத்தி வந்திருக்கிறார் என்பதை பற்றி ஆளும் குழு சகோதரர் ஒருவர் சொல்வார்.</t>
        </is>
      </c>
      <c r="M1803" s="7" t="inlineStr">
        <is>
          <t>2021 Governing Body Update #9 reflected on Jehovah’s direction during the pandemic and reported encouraging results from the pilot program to resume in-person meetings.</t>
        </is>
      </c>
      <c r="N1803" s="7" t="inlineStr">
        <is>
          <t>பெருந்தொற்று சமயம் முழுவதும் யெகோவா அவருடைய அமைப்பை எப்படி வழிநடத்தி வந்திருக்கிறார் என்பதை பற்றி ஆளும் குழு சகோதரர் ஒருவர் சொல்வார்.</t>
        </is>
      </c>
      <c r="O1803" s="13" t="inlineStr">
        <is>
          <t>Jehovah's Witnesses</t>
        </is>
      </c>
      <c r="P1803" s="7" t="inlineStr">
        <is>
          <t>jw.organization</t>
        </is>
      </c>
      <c r="Q1803" s="7" t="inlineStr">
        <is>
          <t>video_update</t>
        </is>
      </c>
      <c r="R1803" s="7" t="n"/>
      <c r="S1803" s="7" t="n"/>
      <c r="T1803" s="7" t="n"/>
      <c r="U1803" s="7" t="n"/>
      <c r="V1803" s="7" t="n">
        <v>1</v>
      </c>
      <c r="W1803" s="7" t="inlineStr">
        <is>
          <t>2021 Governing Body Update #9</t>
        </is>
      </c>
      <c r="X1803" s="9" t="inlineStr">
        <is>
          <t>open</t>
        </is>
      </c>
      <c r="Y1803" s="9" t="inlineStr">
        <is>
          <t>open</t>
        </is>
      </c>
      <c r="Z1803" s="7" t="inlineStr">
        <is>
          <t>https://www.jw.org/en/news/region/global/2021-Governing-Body-Update-9/</t>
        </is>
      </c>
      <c r="AA1803" s="7" t="n">
        <v>1</v>
      </c>
      <c r="AB1803" s="9" t="inlineStr">
        <is>
          <t>open</t>
        </is>
      </c>
      <c r="AC1803" s="7" t="n">
        <v>0</v>
      </c>
      <c r="AD1803" s="7" t="n"/>
      <c r="AE1803" s="7" t="n"/>
      <c r="AF1803" s="7" t="n"/>
      <c r="AG1803" s="7" t="n"/>
      <c r="AH1803" s="7" t="n"/>
      <c r="AI1803" s="7" t="n"/>
      <c r="AJ1803" s="7" t="n"/>
      <c r="AK1803" s="7" t="n"/>
      <c r="AL1803" s="7" t="inlineStr">
        <is>
          <t>Date is the first-published date of this Governing Body Update video on jw.org (jw.org media metadata).</t>
        </is>
      </c>
      <c r="AM1803" s="7" t="n">
        <v>2021.8629</v>
      </c>
      <c r="AN1803" s="10" t="n"/>
      <c r="AO1803" s="10" t="n"/>
      <c r="AP1803" s="10" t="n"/>
      <c r="AQ1803" s="10" t="n"/>
    </row>
    <row r="1804">
      <c r="A1804" s="7" t="inlineStr">
        <is>
          <t>b9-0400</t>
        </is>
      </c>
      <c r="B1804" s="7" t="inlineStr">
        <is>
          <t>Point</t>
        </is>
      </c>
      <c r="C1804" s="7" t="n"/>
      <c r="D1804" s="7" t="inlineStr">
        <is>
          <t>2022</t>
        </is>
      </c>
      <c r="E1804" s="7" t="n"/>
      <c r="F1804" s="7" t="inlineStr">
        <is>
          <t>2022 CE</t>
        </is>
      </c>
      <c r="G1804" s="7" t="inlineStr">
        <is>
          <t>Exact</t>
        </is>
      </c>
      <c r="H1804" s="7" t="n"/>
      <c r="I1804" s="7" t="n"/>
      <c r="J1804" s="7" t="n"/>
      <c r="K1804" s="2" t="inlineStr">
        <is>
          <t>Understanding clarified: “bringing the many to righteousness” (Dan. 12:3)</t>
        </is>
      </c>
      <c r="L1804" s="2" t="n"/>
      <c r="M1804" s="7" t="inlineStr">
        <is>
          <t>The Watch Tower Publications Index (“Beliefs Clarified,” list by year) records a clarified understanding in 2022 concerning “bringing the many to righteousness” (Dan. 12:3). Index references: w22.09 22.</t>
        </is>
      </c>
      <c r="N1804" s="7" t="n"/>
      <c r="O1804" s="13" t="inlineStr">
        <is>
          <t>Jehovah's Witnesses</t>
        </is>
      </c>
      <c r="P1804" s="7" t="inlineStr">
        <is>
          <t>jw.doctrine</t>
        </is>
      </c>
      <c r="Q1804" s="7" t="inlineStr">
        <is>
          <t>beliefs_clarified</t>
        </is>
      </c>
      <c r="R1804" s="7" t="n"/>
      <c r="S1804" s="7" t="n"/>
      <c r="T1804" s="7" t="inlineStr">
        <is>
          <t>Dan. 12:3</t>
        </is>
      </c>
      <c r="U1804" s="7" t="n"/>
      <c r="V1804" s="7" t="n">
        <v>1</v>
      </c>
      <c r="W1804" s="7" t="inlineStr">
        <is>
          <t>Beliefs Clarified</t>
        </is>
      </c>
      <c r="X1804" s="9" t="inlineStr">
        <is>
          <t>open</t>
        </is>
      </c>
      <c r="Y1804" s="7" t="n"/>
      <c r="Z1804" s="7" t="inlineStr">
        <is>
          <t>https://wol.jw.org/en/wol/d/r1/lp-e/1200277174</t>
        </is>
      </c>
      <c r="AA1804" s="7" t="n">
        <v>0</v>
      </c>
      <c r="AB1804" s="7" t="n"/>
      <c r="AC1804" s="7" t="n">
        <v>0</v>
      </c>
      <c r="AD1804" s="7" t="n"/>
      <c r="AE1804" s="7" t="n"/>
      <c r="AF1804" s="7" t="n"/>
      <c r="AG1804" s="7" t="n"/>
      <c r="AH1804" s="7" t="n"/>
      <c r="AI1804" s="7" t="inlineStr">
        <is>
          <t>Index list entry – app detail</t>
        </is>
      </c>
      <c r="AJ1804" s="7" t="n"/>
      <c r="AK1804" s="7" t="n"/>
      <c r="AL1804" s="7" t="n"/>
      <c r="AM1804" s="7" t="n">
        <v>2022</v>
      </c>
      <c r="AN1804" s="10" t="n"/>
      <c r="AO1804" s="10" t="n"/>
      <c r="AP1804" s="10" t="n"/>
      <c r="AQ1804" s="10" t="n"/>
    </row>
    <row r="1805">
      <c r="A1805" s="7" t="inlineStr">
        <is>
          <t>b9-0401</t>
        </is>
      </c>
      <c r="B1805" s="7" t="inlineStr">
        <is>
          <t>Point</t>
        </is>
      </c>
      <c r="C1805" s="7" t="n"/>
      <c r="D1805" s="7" t="inlineStr">
        <is>
          <t>2022</t>
        </is>
      </c>
      <c r="E1805" s="7" t="n"/>
      <c r="F1805" s="7" t="inlineStr">
        <is>
          <t>2022 CE</t>
        </is>
      </c>
      <c r="G1805" s="7" t="inlineStr">
        <is>
          <t>Exact</t>
        </is>
      </c>
      <c r="H1805" s="7" t="n"/>
      <c r="I1805" s="7" t="n"/>
      <c r="J1805" s="7" t="n"/>
      <c r="K1805" s="2" t="inlineStr">
        <is>
          <t>Understanding clarified: effect of remarriage after unscriptural divorce</t>
        </is>
      </c>
      <c r="L1805" s="2" t="n"/>
      <c r="M1805" s="7" t="inlineStr">
        <is>
          <t>The Watch Tower Publications Index (“Beliefs Clarified,” list by year) records a clarified understanding in 2022 concerning effect of remarriage after unscriptural divorce. Index references: w22.04 30-31.</t>
        </is>
      </c>
      <c r="N1805" s="7" t="n"/>
      <c r="O1805" s="13" t="inlineStr">
        <is>
          <t>Jehovah's Witnesses</t>
        </is>
      </c>
      <c r="P1805" s="7" t="inlineStr">
        <is>
          <t>jw.doctrine</t>
        </is>
      </c>
      <c r="Q1805" s="7" t="inlineStr">
        <is>
          <t>beliefs_clarified</t>
        </is>
      </c>
      <c r="R1805" s="7" t="n"/>
      <c r="S1805" s="7" t="n"/>
      <c r="T1805" s="7" t="n"/>
      <c r="U1805" s="7" t="n"/>
      <c r="V1805" s="7" t="n">
        <v>1</v>
      </c>
      <c r="W1805" s="7" t="inlineStr">
        <is>
          <t>Beliefs Clarified</t>
        </is>
      </c>
      <c r="X1805" s="9" t="inlineStr">
        <is>
          <t>open</t>
        </is>
      </c>
      <c r="Y1805" s="7" t="n"/>
      <c r="Z1805" s="7" t="inlineStr">
        <is>
          <t>https://wol.jw.org/en/wol/d/r1/lp-e/1200277174</t>
        </is>
      </c>
      <c r="AA1805" s="7" t="n">
        <v>0</v>
      </c>
      <c r="AB1805" s="7" t="n"/>
      <c r="AC1805" s="7" t="n">
        <v>0</v>
      </c>
      <c r="AD1805" s="7" t="n"/>
      <c r="AE1805" s="7" t="n"/>
      <c r="AF1805" s="7" t="n"/>
      <c r="AG1805" s="7" t="n"/>
      <c r="AH1805" s="7" t="n"/>
      <c r="AI1805" s="7" t="inlineStr">
        <is>
          <t>Index list entry – app detail</t>
        </is>
      </c>
      <c r="AJ1805" s="7" t="n"/>
      <c r="AK1805" s="7" t="n"/>
      <c r="AL1805" s="7" t="n"/>
      <c r="AM1805" s="7" t="n">
        <v>2022</v>
      </c>
      <c r="AN1805" s="10" t="n"/>
      <c r="AO1805" s="10" t="n"/>
      <c r="AP1805" s="10" t="n"/>
      <c r="AQ1805" s="10" t="n"/>
    </row>
    <row r="1806">
      <c r="A1806" s="7" t="inlineStr">
        <is>
          <t>b9-0402</t>
        </is>
      </c>
      <c r="B1806" s="7" t="inlineStr">
        <is>
          <t>Point</t>
        </is>
      </c>
      <c r="C1806" s="7" t="n"/>
      <c r="D1806" s="7" t="inlineStr">
        <is>
          <t>2022</t>
        </is>
      </c>
      <c r="E1806" s="7" t="n"/>
      <c r="F1806" s="7" t="inlineStr">
        <is>
          <t>2022 CE</t>
        </is>
      </c>
      <c r="G1806" s="7" t="inlineStr">
        <is>
          <t>Exact</t>
        </is>
      </c>
      <c r="H1806" s="7" t="n"/>
      <c r="I1806" s="7" t="n"/>
      <c r="J1806" s="7" t="n"/>
      <c r="K1806" s="2" t="inlineStr">
        <is>
          <t>Understanding clarified: Paul “born prematurely” (1 Cor. 15:8)</t>
        </is>
      </c>
      <c r="L1806" s="2" t="n"/>
      <c r="M1806" s="7" t="inlineStr">
        <is>
          <t>The Watch Tower Publications Index (“Beliefs Clarified,” list by year) records a clarified understanding in 2022 concerning Paul “born prematurely” (1 Cor. 15:8). Index references: w22.09 27.</t>
        </is>
      </c>
      <c r="N1806" s="7" t="n"/>
      <c r="O1806" s="13" t="inlineStr">
        <is>
          <t>Jehovah's Witnesses</t>
        </is>
      </c>
      <c r="P1806" s="7" t="inlineStr">
        <is>
          <t>jw.doctrine</t>
        </is>
      </c>
      <c r="Q1806" s="7" t="inlineStr">
        <is>
          <t>beliefs_clarified</t>
        </is>
      </c>
      <c r="R1806" s="7" t="n"/>
      <c r="S1806" s="7" t="n"/>
      <c r="T1806" s="7" t="inlineStr">
        <is>
          <t>1 Cor. 15:8</t>
        </is>
      </c>
      <c r="U1806" s="7" t="n"/>
      <c r="V1806" s="7" t="n">
        <v>1</v>
      </c>
      <c r="W1806" s="7" t="inlineStr">
        <is>
          <t>Beliefs Clarified</t>
        </is>
      </c>
      <c r="X1806" s="9" t="inlineStr">
        <is>
          <t>open</t>
        </is>
      </c>
      <c r="Y1806" s="7" t="n"/>
      <c r="Z1806" s="7" t="inlineStr">
        <is>
          <t>https://wol.jw.org/en/wol/d/r1/lp-e/1200277174</t>
        </is>
      </c>
      <c r="AA1806" s="7" t="n">
        <v>0</v>
      </c>
      <c r="AB1806" s="7" t="n"/>
      <c r="AC1806" s="7" t="n">
        <v>0</v>
      </c>
      <c r="AD1806" s="7" t="n"/>
      <c r="AE1806" s="7" t="n"/>
      <c r="AF1806" s="7" t="n"/>
      <c r="AG1806" s="7" t="n"/>
      <c r="AH1806" s="7" t="n"/>
      <c r="AI1806" s="7" t="inlineStr">
        <is>
          <t>Index list entry – app detail</t>
        </is>
      </c>
      <c r="AJ1806" s="7" t="n"/>
      <c r="AK1806" s="7" t="n"/>
      <c r="AL1806" s="7" t="n"/>
      <c r="AM1806" s="7" t="n">
        <v>2022</v>
      </c>
      <c r="AN1806" s="10" t="n"/>
      <c r="AO1806" s="10" t="n"/>
      <c r="AP1806" s="10" t="n"/>
      <c r="AQ1806" s="10" t="n"/>
    </row>
    <row r="1807">
      <c r="A1807" s="7" t="inlineStr">
        <is>
          <t>b9-0403</t>
        </is>
      </c>
      <c r="B1807" s="7" t="inlineStr">
        <is>
          <t>Point</t>
        </is>
      </c>
      <c r="C1807" s="7" t="n"/>
      <c r="D1807" s="7" t="inlineStr">
        <is>
          <t>2022</t>
        </is>
      </c>
      <c r="E1807" s="7" t="n"/>
      <c r="F1807" s="7" t="inlineStr">
        <is>
          <t>2022 CE</t>
        </is>
      </c>
      <c r="G1807" s="7" t="inlineStr">
        <is>
          <t>Exact</t>
        </is>
      </c>
      <c r="H1807" s="7" t="n"/>
      <c r="I1807" s="7" t="n"/>
      <c r="J1807" s="7" t="n"/>
      <c r="K1807" s="2" t="inlineStr">
        <is>
          <t>Understanding clarified: resurrection of “those asleep in the dust of the earth” (Dan. 12:2)</t>
        </is>
      </c>
      <c r="L1807" s="2" t="n"/>
      <c r="M1807" s="7" t="inlineStr">
        <is>
          <t>The Watch Tower Publications Index (“Beliefs Clarified,” list by year) records a clarified understanding in 2022 concerning resurrection of “those asleep in the dust of the earth” (Dan. 12:2). Index references: w22.09 21-22.</t>
        </is>
      </c>
      <c r="N1807" s="7" t="n"/>
      <c r="O1807" s="13" t="inlineStr">
        <is>
          <t>Jehovah's Witnesses</t>
        </is>
      </c>
      <c r="P1807" s="7" t="inlineStr">
        <is>
          <t>jw.doctrine</t>
        </is>
      </c>
      <c r="Q1807" s="7" t="inlineStr">
        <is>
          <t>beliefs_clarified</t>
        </is>
      </c>
      <c r="R1807" s="7" t="n"/>
      <c r="S1807" s="7" t="n"/>
      <c r="T1807" s="7" t="inlineStr">
        <is>
          <t>Dan. 12:2</t>
        </is>
      </c>
      <c r="U1807" s="7" t="n"/>
      <c r="V1807" s="7" t="n">
        <v>1</v>
      </c>
      <c r="W1807" s="7" t="inlineStr">
        <is>
          <t>Beliefs Clarified</t>
        </is>
      </c>
      <c r="X1807" s="9" t="inlineStr">
        <is>
          <t>open</t>
        </is>
      </c>
      <c r="Y1807" s="7" t="n"/>
      <c r="Z1807" s="7" t="inlineStr">
        <is>
          <t>https://wol.jw.org/en/wol/d/r1/lp-e/1200277174</t>
        </is>
      </c>
      <c r="AA1807" s="7" t="n">
        <v>0</v>
      </c>
      <c r="AB1807" s="7" t="n"/>
      <c r="AC1807" s="7" t="n">
        <v>0</v>
      </c>
      <c r="AD1807" s="7" t="n"/>
      <c r="AE1807" s="7" t="n"/>
      <c r="AF1807" s="7" t="n"/>
      <c r="AG1807" s="7" t="n"/>
      <c r="AH1807" s="7" t="n"/>
      <c r="AI1807" s="7" t="inlineStr">
        <is>
          <t>Index list entry – app detail</t>
        </is>
      </c>
      <c r="AJ1807" s="7" t="n"/>
      <c r="AK1807" s="7" t="n"/>
      <c r="AL1807" s="7" t="n"/>
      <c r="AM1807" s="7" t="n">
        <v>2022</v>
      </c>
      <c r="AN1807" s="10" t="n"/>
      <c r="AO1807" s="10" t="n"/>
      <c r="AP1807" s="10" t="n"/>
      <c r="AQ1807" s="10" t="n"/>
    </row>
    <row r="1808">
      <c r="A1808" s="7" t="inlineStr">
        <is>
          <t>b9-0404</t>
        </is>
      </c>
      <c r="B1808" s="7" t="inlineStr">
        <is>
          <t>Point</t>
        </is>
      </c>
      <c r="C1808" s="7" t="n"/>
      <c r="D1808" s="7" t="inlineStr">
        <is>
          <t>2022</t>
        </is>
      </c>
      <c r="E1808" s="7" t="n"/>
      <c r="F1808" s="7" t="inlineStr">
        <is>
          <t>2022 CE</t>
        </is>
      </c>
      <c r="G1808" s="7" t="inlineStr">
        <is>
          <t>Exact</t>
        </is>
      </c>
      <c r="H1808" s="7" t="n"/>
      <c r="I1808" s="7" t="n"/>
      <c r="J1808" s="7" t="n"/>
      <c r="K1808" s="2" t="inlineStr">
        <is>
          <t>Understanding clarified: resurrection to life, judgment (John 5:29)</t>
        </is>
      </c>
      <c r="L1808" s="2" t="n"/>
      <c r="M1808" s="7" t="inlineStr">
        <is>
          <t>The Watch Tower Publications Index (“Beliefs Clarified,” list by year) records a clarified understanding in 2022 concerning resurrection to life, judgment (John 5:29). Index references: w22.09 14, 18-19, 26.</t>
        </is>
      </c>
      <c r="N1808" s="7" t="n"/>
      <c r="O1808" s="13" t="inlineStr">
        <is>
          <t>Jehovah's Witnesses</t>
        </is>
      </c>
      <c r="P1808" s="7" t="inlineStr">
        <is>
          <t>jw.doctrine</t>
        </is>
      </c>
      <c r="Q1808" s="7" t="inlineStr">
        <is>
          <t>beliefs_clarified</t>
        </is>
      </c>
      <c r="R1808" s="7" t="n"/>
      <c r="S1808" s="7" t="n"/>
      <c r="T1808" s="7" t="inlineStr">
        <is>
          <t>John 5:29</t>
        </is>
      </c>
      <c r="U1808" s="7" t="n"/>
      <c r="V1808" s="7" t="n">
        <v>1</v>
      </c>
      <c r="W1808" s="7" t="inlineStr">
        <is>
          <t>Beliefs Clarified</t>
        </is>
      </c>
      <c r="X1808" s="9" t="inlineStr">
        <is>
          <t>open</t>
        </is>
      </c>
      <c r="Y1808" s="7" t="n"/>
      <c r="Z1808" s="7" t="inlineStr">
        <is>
          <t>https://wol.jw.org/en/wol/d/r1/lp-e/1200277174</t>
        </is>
      </c>
      <c r="AA1808" s="7" t="n">
        <v>0</v>
      </c>
      <c r="AB1808" s="7" t="n"/>
      <c r="AC1808" s="7" t="n">
        <v>0</v>
      </c>
      <c r="AD1808" s="7" t="n"/>
      <c r="AE1808" s="7" t="n"/>
      <c r="AF1808" s="7" t="n"/>
      <c r="AG1808" s="7" t="n"/>
      <c r="AH1808" s="7" t="n"/>
      <c r="AI1808" s="7" t="inlineStr">
        <is>
          <t>Index list entry – app detail</t>
        </is>
      </c>
      <c r="AJ1808" s="7" t="n"/>
      <c r="AK1808" s="7" t="n"/>
      <c r="AL1808" s="7" t="n"/>
      <c r="AM1808" s="7" t="n">
        <v>2022</v>
      </c>
      <c r="AN1808" s="10" t="n"/>
      <c r="AO1808" s="10" t="n"/>
      <c r="AP1808" s="10" t="n"/>
      <c r="AQ1808" s="10" t="n"/>
    </row>
    <row r="1809">
      <c r="A1809" s="7" t="inlineStr">
        <is>
          <t>b9-0405</t>
        </is>
      </c>
      <c r="B1809" s="7" t="inlineStr">
        <is>
          <t>Point</t>
        </is>
      </c>
      <c r="C1809" s="7" t="n"/>
      <c r="D1809" s="7" t="inlineStr">
        <is>
          <t>2022</t>
        </is>
      </c>
      <c r="E1809" s="7" t="n"/>
      <c r="F1809" s="7" t="inlineStr">
        <is>
          <t>2022 CE</t>
        </is>
      </c>
      <c r="G1809" s="7" t="inlineStr">
        <is>
          <t>Exact</t>
        </is>
      </c>
      <c r="H1809" s="7" t="n"/>
      <c r="I1809" s="7" t="n"/>
      <c r="J1809" s="7" t="n"/>
      <c r="K1809" s="2" t="inlineStr">
        <is>
          <t>Understanding clarified: two-horned beast makes “fire come down out of heaven” (Rev. 13:13)</t>
        </is>
      </c>
      <c r="L1809" s="2" t="n"/>
      <c r="M1809" s="7" t="inlineStr">
        <is>
          <t>The Watch Tower Publications Index (“Beliefs Clarified,” list by year) records a clarified understanding in 2022 concerning two-horned beast makes “fire come down out of heaven” (Rev. 13:13). Index references: w22.05 10.</t>
        </is>
      </c>
      <c r="N1809" s="7" t="n"/>
      <c r="O1809" s="13" t="inlineStr">
        <is>
          <t>Jehovah's Witnesses</t>
        </is>
      </c>
      <c r="P1809" s="7" t="inlineStr">
        <is>
          <t>jw.doctrine</t>
        </is>
      </c>
      <c r="Q1809" s="7" t="inlineStr">
        <is>
          <t>beliefs_clarified</t>
        </is>
      </c>
      <c r="R1809" s="7" t="n"/>
      <c r="S1809" s="7" t="n"/>
      <c r="T1809" s="7" t="inlineStr">
        <is>
          <t>Rev. 13:13</t>
        </is>
      </c>
      <c r="U1809" s="7" t="n"/>
      <c r="V1809" s="7" t="n">
        <v>1</v>
      </c>
      <c r="W1809" s="7" t="inlineStr">
        <is>
          <t>Beliefs Clarified</t>
        </is>
      </c>
      <c r="X1809" s="9" t="inlineStr">
        <is>
          <t>open</t>
        </is>
      </c>
      <c r="Y1809" s="7" t="n"/>
      <c r="Z1809" s="7" t="inlineStr">
        <is>
          <t>https://wol.jw.org/en/wol/d/r1/lp-e/1200277174</t>
        </is>
      </c>
      <c r="AA1809" s="7" t="n">
        <v>0</v>
      </c>
      <c r="AB1809" s="7" t="n"/>
      <c r="AC1809" s="7" t="n">
        <v>0</v>
      </c>
      <c r="AD1809" s="7" t="n"/>
      <c r="AE1809" s="7" t="n"/>
      <c r="AF1809" s="7" t="n"/>
      <c r="AG1809" s="7" t="n"/>
      <c r="AH1809" s="7" t="n"/>
      <c r="AI1809" s="7" t="inlineStr">
        <is>
          <t>Index list entry – app detail</t>
        </is>
      </c>
      <c r="AJ1809" s="7" t="n"/>
      <c r="AK1809" s="7" t="n"/>
      <c r="AL1809" s="7" t="n"/>
      <c r="AM1809" s="7" t="n">
        <v>2022</v>
      </c>
      <c r="AN1809" s="10" t="n"/>
      <c r="AO1809" s="10" t="n"/>
      <c r="AP1809" s="10" t="n"/>
      <c r="AQ1809" s="10" t="n"/>
    </row>
    <row r="1810">
      <c r="A1810" s="7" t="inlineStr">
        <is>
          <t>b9-0406</t>
        </is>
      </c>
      <c r="B1810" s="7" t="inlineStr">
        <is>
          <t>Point</t>
        </is>
      </c>
      <c r="C1810" s="7" t="n"/>
      <c r="D1810" s="7" t="inlineStr">
        <is>
          <t>2022</t>
        </is>
      </c>
      <c r="E1810" s="7" t="n"/>
      <c r="F1810" s="7" t="inlineStr">
        <is>
          <t>2022 CE</t>
        </is>
      </c>
      <c r="G1810" s="7" t="inlineStr">
        <is>
          <t>Exact</t>
        </is>
      </c>
      <c r="H1810" s="7" t="n"/>
      <c r="I1810" s="7" t="n"/>
      <c r="J1810" s="7" t="n"/>
      <c r="K1810" s="2" t="inlineStr">
        <is>
          <t>2022: “Pursue Peace!” Conventions</t>
        </is>
      </c>
      <c r="L1810" s="2" t="n"/>
      <c r="M1810" s="7" t="inlineStr">
        <is>
          <t>The Watch Tower Publications Index lists the 2022 conventions of Jehovah’s Witnesses as “Pursue Peace!” Conventions.</t>
        </is>
      </c>
      <c r="N1810" s="7" t="n"/>
      <c r="O1810" s="13" t="inlineStr">
        <is>
          <t>Jehovah's Witnesses</t>
        </is>
      </c>
      <c r="P1810" s="7" t="inlineStr">
        <is>
          <t>jw.convention</t>
        </is>
      </c>
      <c r="Q1810" s="7" t="inlineStr">
        <is>
          <t>convention</t>
        </is>
      </c>
      <c r="R1810" s="7" t="n"/>
      <c r="S1810" s="7" t="n"/>
      <c r="T1810" s="7" t="n"/>
      <c r="U1810" s="7" t="n"/>
      <c r="V1810" s="7" t="n">
        <v>1</v>
      </c>
      <c r="W1810" s="7" t="inlineStr">
        <is>
          <t>Conventions</t>
        </is>
      </c>
      <c r="X1810" s="9" t="inlineStr">
        <is>
          <t>open</t>
        </is>
      </c>
      <c r="Y1810" s="7" t="n"/>
      <c r="Z1810" s="7" t="inlineStr">
        <is>
          <t>https://wol.jw.org/en/wol/d/r1/lp-e/1200271388</t>
        </is>
      </c>
      <c r="AA1810" s="7" t="n">
        <v>0</v>
      </c>
      <c r="AB1810" s="7" t="n"/>
      <c r="AC1810" s="7" t="n">
        <v>0</v>
      </c>
      <c r="AD1810" s="7" t="n"/>
      <c r="AE1810" s="7" t="n"/>
      <c r="AF1810" s="7" t="n"/>
      <c r="AG1810" s="7" t="n"/>
      <c r="AH1810" s="7" t="n"/>
      <c r="AI1810" s="7" t="inlineStr">
        <is>
          <t>Index list entry – app detail</t>
        </is>
      </c>
      <c r="AJ1810" s="7" t="n"/>
      <c r="AK1810" s="7" t="n"/>
      <c r="AL1810" s="7" t="n"/>
      <c r="AM1810" s="7" t="n">
        <v>2022</v>
      </c>
      <c r="AN1810" s="10" t="n"/>
      <c r="AO1810" s="10" t="n"/>
      <c r="AP1810" s="10" t="n"/>
      <c r="AQ1810" s="10" t="n"/>
    </row>
    <row r="1811">
      <c r="A1811" s="7" t="inlineStr">
        <is>
          <t>b9-0407</t>
        </is>
      </c>
      <c r="B1811" s="7" t="inlineStr">
        <is>
          <t>Point</t>
        </is>
      </c>
      <c r="C1811" s="7" t="n"/>
      <c r="D1811" s="7" t="inlineStr">
        <is>
          <t>2022, April 1</t>
        </is>
      </c>
      <c r="E1811" s="7" t="n"/>
      <c r="F1811" s="7" t="inlineStr">
        <is>
          <t>2022 CE</t>
        </is>
      </c>
      <c r="G1811" s="7" t="inlineStr">
        <is>
          <t>Exact</t>
        </is>
      </c>
      <c r="H1811" s="7" t="n"/>
      <c r="I1811" s="7" t="n"/>
      <c r="J1811" s="7" t="n"/>
      <c r="K1811" s="2" t="inlineStr">
        <is>
          <t>In-person congregation meetings resume</t>
        </is>
      </c>
      <c r="L1811" s="2" t="inlineStr">
        <is>
          <t>மீண்டும் நேரில் கூட்டங்களை நடத்த ஆரம்பித்ததைப் பற்றி ஆளும் குழு சகோதரர் ஒருவர் சொல்வார்.</t>
        </is>
      </c>
      <c r="M1811" s="7" t="inlineStr">
        <is>
          <t>Beginning on April 1, 2022, Jehovah’s Witnesses returned to in-person meetings, with videoconferencing remaining an option for those unable to attend.</t>
        </is>
      </c>
      <c r="N1811" s="7" t="inlineStr">
        <is>
          <t>மீண்டும் நேரில் கூட்டங்களை நடத்த ஆரம்பித்ததைப் பற்றி ஆளும் குழு சகோதரர் ஒருவர் சொல்வார்.</t>
        </is>
      </c>
      <c r="O1811" s="13" t="inlineStr">
        <is>
          <t>Jehovah's Witnesses</t>
        </is>
      </c>
      <c r="P1811" s="7" t="inlineStr">
        <is>
          <t>jw.organization</t>
        </is>
      </c>
      <c r="Q1811" s="7" t="n"/>
      <c r="R1811" s="7" t="n"/>
      <c r="S1811" s="7" t="n"/>
      <c r="T1811" s="7" t="n"/>
      <c r="U1811" s="7" t="n"/>
      <c r="V1811" s="7" t="n">
        <v>2</v>
      </c>
      <c r="W1811" s="7" t="inlineStr">
        <is>
          <t>Jehovah’s Witnesses Return to Meeting in Person</t>
        </is>
      </c>
      <c r="X1811" s="9" t="inlineStr">
        <is>
          <t>open</t>
        </is>
      </c>
      <c r="Y1811" s="7" t="n"/>
      <c r="Z1811" s="7" t="inlineStr">
        <is>
          <t>https://www.jw.org/en/news/region/global/Jehovahs-Witnesses-Return-to-Meeting-in-Person/
https://www.jw.org/en/news/region/global/2022-Governing-Body-Update-3/</t>
        </is>
      </c>
      <c r="AA1811" s="7" t="n">
        <v>1</v>
      </c>
      <c r="AB1811" s="9" t="inlineStr">
        <is>
          <t>open</t>
        </is>
      </c>
      <c r="AC1811" s="7" t="n">
        <v>0</v>
      </c>
      <c r="AD1811" s="7" t="n"/>
      <c r="AE1811" s="7" t="n"/>
      <c r="AF1811" s="7" t="n"/>
      <c r="AG1811" s="7" t="n"/>
      <c r="AH1811" s="7" t="n"/>
      <c r="AI1811" s="7" t="inlineStr">
        <is>
          <t>Span endpoint – keep</t>
        </is>
      </c>
      <c r="AJ1811" s="7" t="inlineStr">
        <is>
          <t>end of Congregation meetings held by videoconference during the COVID-19 pandemic (b12-0113)</t>
        </is>
      </c>
      <c r="AK1811" s="7" t="n"/>
      <c r="AL1811" s="7" t="n"/>
      <c r="AM1811" s="7" t="n">
        <v>2022.25</v>
      </c>
      <c r="AN1811" s="10" t="n"/>
      <c r="AO1811" s="10" t="n"/>
      <c r="AP1811" s="10" t="n"/>
      <c r="AQ1811" s="10" t="n"/>
    </row>
    <row r="1812">
      <c r="A1812" s="7" t="inlineStr">
        <is>
          <t>b9-0408</t>
        </is>
      </c>
      <c r="B1812" s="7" t="inlineStr">
        <is>
          <t>Point</t>
        </is>
      </c>
      <c r="C1812" s="7" t="n"/>
      <c r="D1812" s="7" t="inlineStr">
        <is>
          <t>2022, May 31</t>
        </is>
      </c>
      <c r="E1812" s="7" t="inlineStr">
        <is>
          <t>மே 31, 2022</t>
        </is>
      </c>
      <c r="F1812" s="7" t="inlineStr">
        <is>
          <t>2022 CE</t>
        </is>
      </c>
      <c r="G1812" s="7" t="inlineStr">
        <is>
          <t>Exact</t>
        </is>
      </c>
      <c r="H1812" s="7" t="n"/>
      <c r="I1812" s="7" t="n"/>
      <c r="J1812" s="7" t="n"/>
      <c r="K1812" s="2" t="inlineStr">
        <is>
          <t>Public witnessing resumes (except door-to-door)</t>
        </is>
      </c>
      <c r="L1812" s="2" t="inlineStr">
        <is>
          <t>வீட்டுக்கு வீடு ஊழியத்தைத் தவிர எல்லா விதமான பொது ஊழியத்தையும் மறுபடியும் செய்ய ஆரம்பிக்கலாம் என்று ஆளும் குழு எல்லா கிளை அலுவலக…</t>
        </is>
      </c>
      <c r="M1812" s="7" t="inlineStr">
        <is>
          <t>On May 31, 2022, the Governing Body informed Branch Committees that all forms of public witnessing could resume except the door-to-door ministry.</t>
        </is>
      </c>
      <c r="N1812" s="7" t="inlineStr">
        <is>
          <t>வீட்டுக்கு வீடு ஊழியத்தைத் தவிர எல்லா விதமான பொது ஊழியத்தையும் மறுபடியும் செய்ய ஆரம்பிக்கலாம் என்று ஆளும் குழு எல்லா கிளை அலுவலக குழுக்களுக்கும் மே 31, 2022 அன்று தெரிவித்தது.</t>
        </is>
      </c>
      <c r="O1812" s="13" t="inlineStr">
        <is>
          <t>Jehovah's Witnesses</t>
        </is>
      </c>
      <c r="P1812" s="7" t="inlineStr">
        <is>
          <t>jw.preaching</t>
        </is>
      </c>
      <c r="Q1812" s="7" t="n"/>
      <c r="R1812" s="7" t="n"/>
      <c r="S1812" s="7" t="n"/>
      <c r="T1812" s="7" t="n"/>
      <c r="U1812" s="7" t="n"/>
      <c r="V1812" s="7" t="n">
        <v>1</v>
      </c>
      <c r="W1812" s="7" t="inlineStr">
        <is>
          <t>Resuming Public Witnessing</t>
        </is>
      </c>
      <c r="X1812" s="9" t="inlineStr">
        <is>
          <t>open</t>
        </is>
      </c>
      <c r="Y1812" s="9" t="inlineStr">
        <is>
          <t>open</t>
        </is>
      </c>
      <c r="Z1812" s="7" t="inlineStr">
        <is>
          <t>https://www.jw.org/en/news/region/global/Resuming-Public-Witnessing/</t>
        </is>
      </c>
      <c r="AA1812" s="7" t="n">
        <v>0</v>
      </c>
      <c r="AB1812" s="7" t="n"/>
      <c r="AC1812" s="7" t="n">
        <v>0</v>
      </c>
      <c r="AD1812" s="7" t="n"/>
      <c r="AE1812" s="7" t="n"/>
      <c r="AF1812" s="7" t="n"/>
      <c r="AG1812" s="7" t="n"/>
      <c r="AH1812" s="7" t="n"/>
      <c r="AI1812" s="7" t="n"/>
      <c r="AJ1812" s="7" t="n"/>
      <c r="AK1812" s="7" t="n"/>
      <c r="AL1812" s="7" t="n"/>
      <c r="AM1812" s="7" t="n">
        <v>2022.414</v>
      </c>
      <c r="AN1812" s="10" t="n"/>
      <c r="AO1812" s="10" t="n"/>
      <c r="AP1812" s="10" t="n"/>
      <c r="AQ1812" s="10" t="n"/>
    </row>
    <row r="1813">
      <c r="A1813" s="7" t="inlineStr">
        <is>
          <t>b9-0409</t>
        </is>
      </c>
      <c r="B1813" s="7" t="inlineStr">
        <is>
          <t>Point</t>
        </is>
      </c>
      <c r="C1813" s="7" t="n"/>
      <c r="D1813" s="7" t="inlineStr">
        <is>
          <t>2022, June 7</t>
        </is>
      </c>
      <c r="E1813" s="7" t="n"/>
      <c r="F1813" s="7" t="inlineStr">
        <is>
          <t>2022 CE</t>
        </is>
      </c>
      <c r="G1813" s="7" t="inlineStr">
        <is>
          <t>Exact</t>
        </is>
      </c>
      <c r="H1813" s="7" t="n"/>
      <c r="I1813" s="7" t="n"/>
      <c r="J1813" s="7" t="n"/>
      <c r="K1813" s="2" t="inlineStr">
        <is>
          <t>ECHR: Russia’s 2017 ban unlawful (Taganrog LRO and Others)</t>
        </is>
      </c>
      <c r="L1813" s="2" t="n"/>
      <c r="M1813" s="7" t="inlineStr">
        <is>
          <t>On June 7, 2022, the European Court of Human Rights declared Russia’s 2017 ban on Jehovah’s Witnesses unlawful, ordered criminal cases ended and prisoners released, and ordered property returned or compensated.</t>
        </is>
      </c>
      <c r="N1813" s="7" t="n"/>
      <c r="O1813" s="13" t="inlineStr">
        <is>
          <t>Jehovah's Witnesses</t>
        </is>
      </c>
      <c r="P1813" s="7" t="inlineStr">
        <is>
          <t>jw.legal</t>
        </is>
      </c>
      <c r="Q1813" s="7" t="inlineStr">
        <is>
          <t>court_ruling</t>
        </is>
      </c>
      <c r="R1813" s="7" t="n"/>
      <c r="S1813" s="7" t="inlineStr">
        <is>
          <t>Russia</t>
        </is>
      </c>
      <c r="T1813" s="7" t="n"/>
      <c r="U1813" s="7" t="n"/>
      <c r="V1813" s="7" t="n">
        <v>1</v>
      </c>
      <c r="W1813" s="7" t="inlineStr">
        <is>
          <t>European Court Issues Landmark Judgment Against Russia for Persecuting Jehovah’s Witnesses</t>
        </is>
      </c>
      <c r="X1813" s="9" t="inlineStr">
        <is>
          <t>open</t>
        </is>
      </c>
      <c r="Y1813" s="7" t="n"/>
      <c r="Z1813" s="7" t="inlineStr">
        <is>
          <t>https://www.jw.org/en/news/region/russia/European-Court-Issues-Landmark-Judgment-Against-Russia-for-Persecuting-Jehovahs-Witnesses/</t>
        </is>
      </c>
      <c r="AA1813" s="7" t="n">
        <v>1</v>
      </c>
      <c r="AB1813" s="9" t="inlineStr">
        <is>
          <t>open</t>
        </is>
      </c>
      <c r="AC1813" s="7" t="n">
        <v>0</v>
      </c>
      <c r="AD1813" s="7" t="n"/>
      <c r="AE1813" s="7" t="n"/>
      <c r="AF1813" s="7" t="n"/>
      <c r="AG1813" s="7" t="n"/>
      <c r="AH1813" s="7" t="n"/>
      <c r="AI1813" s="7" t="n"/>
      <c r="AJ1813" s="7" t="n"/>
      <c r="AK1813" s="7" t="n"/>
      <c r="AL1813" s="7" t="n"/>
      <c r="AM1813" s="7" t="n">
        <v>2022.4328</v>
      </c>
      <c r="AN1813" s="10" t="n"/>
      <c r="AO1813" s="10" t="n"/>
      <c r="AP1813" s="10" t="n"/>
      <c r="AQ1813" s="10" t="n"/>
    </row>
    <row r="1814">
      <c r="A1814" s="7" t="inlineStr">
        <is>
          <t>b9-0410</t>
        </is>
      </c>
      <c r="B1814" s="7" t="inlineStr">
        <is>
          <t>Point</t>
        </is>
      </c>
      <c r="C1814" s="7" t="n"/>
      <c r="D1814" s="7" t="inlineStr">
        <is>
          <t>2022, August 26</t>
        </is>
      </c>
      <c r="E1814" s="7" t="n"/>
      <c r="F1814" s="7" t="inlineStr">
        <is>
          <t>2022 CE</t>
        </is>
      </c>
      <c r="G1814" s="7" t="inlineStr">
        <is>
          <t>Exact</t>
        </is>
      </c>
      <c r="H1814" s="7" t="n"/>
      <c r="I1814" s="7" t="n"/>
      <c r="J1814" s="7" t="n"/>
      <c r="K1814" s="2" t="inlineStr">
        <is>
          <t>Governing Body Update announces 2023 yeartext</t>
        </is>
      </c>
      <c r="L1814" s="2" t="inlineStr">
        <is>
          <t>இப்போது வந்த சில அறிக்கைகளையும் 2023-க்கான வருடாந்தர வசனத்தையும் ஆளும் குழு சகோதரர் ஒருவர் சொல்வார்.</t>
        </is>
      </c>
      <c r="M1814" s="7" t="inlineStr">
        <is>
          <t>2022 Governing Body Update #6 shared recent updates and announced the yeartext for 2023.</t>
        </is>
      </c>
      <c r="N1814" s="7" t="inlineStr">
        <is>
          <t>இப்போது வந்த சில அறிக்கைகளையும் 2023-க்கான வருடாந்தர வசனத்தையும் ஆளும் குழு சகோதரர் ஒருவர் சொல்வார்.</t>
        </is>
      </c>
      <c r="O1814" s="13" t="inlineStr">
        <is>
          <t>Jehovah's Witnesses</t>
        </is>
      </c>
      <c r="P1814" s="7" t="inlineStr">
        <is>
          <t>jw.organization</t>
        </is>
      </c>
      <c r="Q1814" s="7" t="inlineStr">
        <is>
          <t>video_update</t>
        </is>
      </c>
      <c r="R1814" s="7" t="n"/>
      <c r="S1814" s="7" t="n"/>
      <c r="T1814" s="7" t="n"/>
      <c r="U1814" s="7" t="n"/>
      <c r="V1814" s="7" t="n">
        <v>1</v>
      </c>
      <c r="W1814" s="7" t="inlineStr">
        <is>
          <t>2022 Governing Body Update #6</t>
        </is>
      </c>
      <c r="X1814" s="9" t="inlineStr">
        <is>
          <t>open</t>
        </is>
      </c>
      <c r="Y1814" s="9" t="inlineStr">
        <is>
          <t>open</t>
        </is>
      </c>
      <c r="Z1814" s="7" t="inlineStr">
        <is>
          <t>https://www.jw.org/en/news/region/global/2022-Governing-Body-Update-6/</t>
        </is>
      </c>
      <c r="AA1814" s="7" t="n">
        <v>1</v>
      </c>
      <c r="AB1814" s="9" t="inlineStr">
        <is>
          <t>open</t>
        </is>
      </c>
      <c r="AC1814" s="7" t="n">
        <v>0</v>
      </c>
      <c r="AD1814" s="7" t="n"/>
      <c r="AE1814" s="7" t="n"/>
      <c r="AF1814" s="7" t="n"/>
      <c r="AG1814" s="7" t="n"/>
      <c r="AH1814" s="7" t="n"/>
      <c r="AI1814" s="7" t="n"/>
      <c r="AJ1814" s="7" t="n"/>
      <c r="AK1814" s="7" t="n"/>
      <c r="AL1814" s="7" t="inlineStr">
        <is>
          <t>Date is the first-published date of this Governing Body Update video on jw.org (jw.org media metadata).</t>
        </is>
      </c>
      <c r="AM1814" s="7" t="n">
        <v>2022.6505</v>
      </c>
      <c r="AN1814" s="10" t="n"/>
      <c r="AO1814" s="10" t="n"/>
      <c r="AP1814" s="10" t="n"/>
      <c r="AQ1814" s="10" t="n"/>
    </row>
    <row r="1815">
      <c r="A1815" s="7" t="inlineStr">
        <is>
          <t>b9-0411</t>
        </is>
      </c>
      <c r="B1815" s="7" t="inlineStr">
        <is>
          <t>Point</t>
        </is>
      </c>
      <c r="C1815" s="7" t="n"/>
      <c r="D1815" s="7" t="inlineStr">
        <is>
          <t>2022, September 1</t>
        </is>
      </c>
      <c r="E1815" s="7" t="n"/>
      <c r="F1815" s="7" t="inlineStr">
        <is>
          <t>2022 CE</t>
        </is>
      </c>
      <c r="G1815" s="7" t="inlineStr">
        <is>
          <t>Exact</t>
        </is>
      </c>
      <c r="H1815" s="7" t="n"/>
      <c r="I1815" s="7" t="n"/>
      <c r="J1815" s="7" t="n"/>
      <c r="K1815" s="2" t="inlineStr">
        <is>
          <t>House-to-house ministry resumes worldwide</t>
        </is>
      </c>
      <c r="L1815" s="2" t="n"/>
      <c r="M1815" s="7" t="inlineStr">
        <is>
          <t>On September 1, 2022, Jehovah’s Witnesses around the world resumed their house-to-house ministry, with a special campaign to offer Bible studies.</t>
        </is>
      </c>
      <c r="N1815" s="7" t="n"/>
      <c r="O1815" s="13" t="inlineStr">
        <is>
          <t>Jehovah's Witnesses</t>
        </is>
      </c>
      <c r="P1815" s="7" t="inlineStr">
        <is>
          <t>jw.preaching</t>
        </is>
      </c>
      <c r="Q1815" s="7" t="n"/>
      <c r="R1815" s="7" t="n"/>
      <c r="S1815" s="7" t="n"/>
      <c r="T1815" s="7" t="n"/>
      <c r="U1815" s="7" t="n"/>
      <c r="V1815" s="7" t="n">
        <v>1</v>
      </c>
      <c r="W1815" s="7" t="inlineStr">
        <is>
          <t>Jehovah’s Witnesses Resume House-to-House Ministry</t>
        </is>
      </c>
      <c r="X1815" s="9" t="inlineStr">
        <is>
          <t>open</t>
        </is>
      </c>
      <c r="Y1815" s="7" t="n"/>
      <c r="Z1815" s="7" t="inlineStr">
        <is>
          <t>https://www.jw.org/en/news/region/global/Jehovahs-Witnesses-Resume-House-to-House-Ministry/</t>
        </is>
      </c>
      <c r="AA1815" s="7" t="n">
        <v>1</v>
      </c>
      <c r="AB1815" s="9" t="inlineStr">
        <is>
          <t>open</t>
        </is>
      </c>
      <c r="AC1815" s="7" t="n">
        <v>0</v>
      </c>
      <c r="AD1815" s="7" t="n"/>
      <c r="AE1815" s="7" t="n"/>
      <c r="AF1815" s="7" t="n"/>
      <c r="AG1815" s="7" t="n"/>
      <c r="AH1815" s="7" t="n"/>
      <c r="AI1815" s="7" t="n"/>
      <c r="AJ1815" s="7" t="n"/>
      <c r="AK1815" s="7" t="n"/>
      <c r="AL1815" s="7" t="n"/>
      <c r="AM1815" s="7" t="n">
        <v>2022.6667</v>
      </c>
      <c r="AN1815" s="10" t="n"/>
      <c r="AO1815" s="10" t="n"/>
      <c r="AP1815" s="10" t="n"/>
      <c r="AQ1815" s="10" t="n"/>
    </row>
    <row r="1816">
      <c r="A1816" s="7" t="inlineStr">
        <is>
          <t>b9-0412</t>
        </is>
      </c>
      <c r="B1816" s="7" t="inlineStr">
        <is>
          <t>Point</t>
        </is>
      </c>
      <c r="C1816" s="7" t="n"/>
      <c r="D1816" s="7" t="inlineStr">
        <is>
          <t>2022, December 28</t>
        </is>
      </c>
      <c r="E1816" s="7" t="n"/>
      <c r="F1816" s="7" t="inlineStr">
        <is>
          <t>2022 CE</t>
        </is>
      </c>
      <c r="G1816" s="7" t="inlineStr">
        <is>
          <t>Exact</t>
        </is>
      </c>
      <c r="H1816" s="7" t="n"/>
      <c r="I1816" s="7" t="n"/>
      <c r="J1816" s="7" t="n"/>
      <c r="K1816" s="2" t="inlineStr">
        <is>
          <t>Ramapo Town Board approves special permit</t>
        </is>
      </c>
      <c r="L1816" s="2" t="n"/>
      <c r="M1816" s="7" t="inlineStr">
        <is>
          <t>On December 28, 2022, the Town Board of Ramapo approved a special permit granting zoning for the facility and enabling site clearing.</t>
        </is>
      </c>
      <c r="N1816" s="7" t="n"/>
      <c r="O1816" s="13" t="inlineStr">
        <is>
          <t>Jehovah's Witnesses</t>
        </is>
      </c>
      <c r="P1816" s="7" t="inlineStr">
        <is>
          <t>jw.construction</t>
        </is>
      </c>
      <c r="Q1816" s="7" t="n"/>
      <c r="R1816" s="7" t="n"/>
      <c r="S1816" s="7" t="inlineStr">
        <is>
          <t>Ramapo, New York</t>
        </is>
      </c>
      <c r="T1816" s="7" t="n"/>
      <c r="U1816" s="7" t="n"/>
      <c r="V1816" s="7" t="n">
        <v>1</v>
      </c>
      <c r="W1816" s="7" t="inlineStr">
        <is>
          <t>Town Board of Ramapo Approves Special Permit</t>
        </is>
      </c>
      <c r="X1816" s="9" t="inlineStr">
        <is>
          <t>open</t>
        </is>
      </c>
      <c r="Y1816" s="7" t="n"/>
      <c r="Z1816" s="7" t="inlineStr">
        <is>
          <t>https://www.jw.org/en/news/region/global/Town-Board-of-Ramapo-Approves-Special-Permit/</t>
        </is>
      </c>
      <c r="AA1816" s="7" t="n">
        <v>1</v>
      </c>
      <c r="AB1816" s="9" t="inlineStr">
        <is>
          <t>open</t>
        </is>
      </c>
      <c r="AC1816" s="7" t="n">
        <v>0</v>
      </c>
      <c r="AD1816" s="7" t="n"/>
      <c r="AE1816" s="7" t="n"/>
      <c r="AF1816" s="7" t="n"/>
      <c r="AG1816" s="7" t="n"/>
      <c r="AH1816" s="7" t="n"/>
      <c r="AI1816" s="7" t="n"/>
      <c r="AJ1816" s="7" t="n"/>
      <c r="AK1816" s="7" t="n"/>
      <c r="AL1816" s="7" t="n"/>
      <c r="AM1816" s="7" t="n">
        <v>2022.9892</v>
      </c>
      <c r="AN1816" s="10" t="n"/>
      <c r="AO1816" s="10" t="n"/>
      <c r="AP1816" s="10" t="n"/>
      <c r="AQ1816" s="10" t="n"/>
    </row>
    <row r="1817">
      <c r="A1817" s="7" t="inlineStr">
        <is>
          <t>b9-0413</t>
        </is>
      </c>
      <c r="B1817" s="7" t="inlineStr">
        <is>
          <t>Point</t>
        </is>
      </c>
      <c r="C1817" s="7" t="n"/>
      <c r="D1817" s="7" t="inlineStr">
        <is>
          <t>2023, January</t>
        </is>
      </c>
      <c r="E1817" s="7" t="n"/>
      <c r="F1817" s="7" t="inlineStr">
        <is>
          <t>2023 CE</t>
        </is>
      </c>
      <c r="G1817" s="7" t="inlineStr">
        <is>
          <t>Exact</t>
        </is>
      </c>
      <c r="H1817" s="7" t="n"/>
      <c r="I1817" s="7" t="n"/>
      <c r="J1817" s="7" t="n"/>
      <c r="K1817" s="2" t="inlineStr">
        <is>
          <t>In-person circuit assemblies and theocratic schools resume</t>
        </is>
      </c>
      <c r="L1817" s="2" t="n"/>
      <c r="M1817" s="7" t="inlineStr">
        <is>
          <t>After a pause of almost three years, in-person circuit assemblies resumed worldwide in January 2023, and in-person theocratic schools resumed in many countries.</t>
        </is>
      </c>
      <c r="N1817" s="7" t="n"/>
      <c r="O1817" s="13" t="inlineStr">
        <is>
          <t>Jehovah's Witnesses</t>
        </is>
      </c>
      <c r="P1817" s="7" t="inlineStr">
        <is>
          <t>jw.convention</t>
        </is>
      </c>
      <c r="Q1817" s="7" t="n"/>
      <c r="R1817" s="7" t="n"/>
      <c r="S1817" s="7" t="n"/>
      <c r="T1817" s="7" t="n"/>
      <c r="U1817" s="7" t="n"/>
      <c r="V1817" s="7" t="n">
        <v>1</v>
      </c>
      <c r="W1817" s="7" t="inlineStr">
        <is>
          <t>In-Person Circuit Assemblies and Theocratic Schools Resume</t>
        </is>
      </c>
      <c r="X1817" s="9" t="inlineStr">
        <is>
          <t>open</t>
        </is>
      </c>
      <c r="Y1817" s="7" t="n"/>
      <c r="Z1817" s="7" t="inlineStr">
        <is>
          <t>https://www.jw.org/en/news/region/global/In-Person-Circuit-Assemblies-and-Theocratic-Schools-Resume/</t>
        </is>
      </c>
      <c r="AA1817" s="7" t="n">
        <v>1</v>
      </c>
      <c r="AB1817" s="9" t="inlineStr">
        <is>
          <t>open</t>
        </is>
      </c>
      <c r="AC1817" s="7" t="n">
        <v>0</v>
      </c>
      <c r="AD1817" s="7" t="n"/>
      <c r="AE1817" s="7" t="n"/>
      <c r="AF1817" s="7" t="n"/>
      <c r="AG1817" s="7" t="n"/>
      <c r="AH1817" s="7" t="n"/>
      <c r="AI1817" s="7" t="n"/>
      <c r="AJ1817" s="7" t="n"/>
      <c r="AK1817" s="7" t="n"/>
      <c r="AL1817" s="7" t="n"/>
      <c r="AM1817" s="7" t="n">
        <v>2023</v>
      </c>
      <c r="AN1817" s="10" t="n"/>
      <c r="AO1817" s="10" t="n"/>
      <c r="AP1817" s="10" t="n"/>
      <c r="AQ1817" s="10" t="n"/>
    </row>
    <row r="1818">
      <c r="A1818" s="7" t="inlineStr">
        <is>
          <t>b9-0414</t>
        </is>
      </c>
      <c r="B1818" s="7" t="inlineStr">
        <is>
          <t>Point</t>
        </is>
      </c>
      <c r="C1818" s="7" t="n"/>
      <c r="D1818" s="7" t="inlineStr">
        <is>
          <t>2023</t>
        </is>
      </c>
      <c r="E1818" s="7" t="n"/>
      <c r="F1818" s="7" t="inlineStr">
        <is>
          <t>2023 CE</t>
        </is>
      </c>
      <c r="G1818" s="7" t="inlineStr">
        <is>
          <t>Exact</t>
        </is>
      </c>
      <c r="H1818" s="7" t="n"/>
      <c r="I1818" s="7" t="n"/>
      <c r="J1818" s="7" t="n"/>
      <c r="K1818" s="2" t="inlineStr">
        <is>
          <t>2023: “Exercise Patience!” Conventions</t>
        </is>
      </c>
      <c r="L1818" s="2" t="n"/>
      <c r="M1818" s="7" t="inlineStr">
        <is>
          <t>The Watch Tower Publications Index lists the 2023 conventions of Jehovah’s Witnesses as “Exercise Patience!” Conventions.</t>
        </is>
      </c>
      <c r="N1818" s="7" t="n"/>
      <c r="O1818" s="13" t="inlineStr">
        <is>
          <t>Jehovah's Witnesses</t>
        </is>
      </c>
      <c r="P1818" s="7" t="inlineStr">
        <is>
          <t>jw.convention</t>
        </is>
      </c>
      <c r="Q1818" s="7" t="inlineStr">
        <is>
          <t>convention</t>
        </is>
      </c>
      <c r="R1818" s="7" t="n"/>
      <c r="S1818" s="7" t="n"/>
      <c r="T1818" s="7" t="n"/>
      <c r="U1818" s="7" t="n"/>
      <c r="V1818" s="7" t="n">
        <v>1</v>
      </c>
      <c r="W1818" s="7" t="inlineStr">
        <is>
          <t>Conventions</t>
        </is>
      </c>
      <c r="X1818" s="9" t="inlineStr">
        <is>
          <t>open</t>
        </is>
      </c>
      <c r="Y1818" s="7" t="n"/>
      <c r="Z1818" s="7" t="inlineStr">
        <is>
          <t>https://wol.jw.org/en/wol/d/r1/lp-e/1200271388</t>
        </is>
      </c>
      <c r="AA1818" s="7" t="n">
        <v>0</v>
      </c>
      <c r="AB1818" s="7" t="n"/>
      <c r="AC1818" s="7" t="n">
        <v>0</v>
      </c>
      <c r="AD1818" s="7" t="n"/>
      <c r="AE1818" s="7" t="n"/>
      <c r="AF1818" s="7" t="n"/>
      <c r="AG1818" s="7" t="n"/>
      <c r="AH1818" s="7" t="n"/>
      <c r="AI1818" s="7" t="inlineStr">
        <is>
          <t>Index list entry – app detail</t>
        </is>
      </c>
      <c r="AJ1818" s="7" t="n"/>
      <c r="AK1818" s="7" t="n"/>
      <c r="AL1818" s="7" t="n"/>
      <c r="AM1818" s="7" t="n">
        <v>2023</v>
      </c>
      <c r="AN1818" s="10" t="n"/>
      <c r="AO1818" s="10" t="n"/>
      <c r="AP1818" s="10" t="n"/>
      <c r="AQ1818" s="10" t="n"/>
    </row>
    <row r="1819">
      <c r="A1819" s="7" t="inlineStr">
        <is>
          <t>b9-0415</t>
        </is>
      </c>
      <c r="B1819" s="7" t="inlineStr">
        <is>
          <t>Point</t>
        </is>
      </c>
      <c r="C1819" s="7" t="n"/>
      <c r="D1819" s="7" t="inlineStr">
        <is>
          <t>2023</t>
        </is>
      </c>
      <c r="E1819" s="7" t="n"/>
      <c r="F1819" s="7" t="inlineStr">
        <is>
          <t>2023 CE</t>
        </is>
      </c>
      <c r="G1819" s="7" t="inlineStr">
        <is>
          <t>Exact</t>
        </is>
      </c>
      <c r="H1819" s="7" t="n"/>
      <c r="I1819" s="7" t="n"/>
      <c r="J1819" s="7" t="n"/>
      <c r="K1819" s="2" t="inlineStr">
        <is>
          <t>2023 Service Year Report: 118,177 congregations</t>
        </is>
      </c>
      <c r="L1819" s="2" t="inlineStr">
        <is>
          <t>யெகோவாவின் சாட்சிகளுடைய கிளை அலுவலகங்கள்: 85</t>
        </is>
      </c>
      <c r="M1819" s="7" t="inlineStr">
        <is>
          <t>The 2023 Service Year Report listed 85 branches, 239 lands reporting, 118,177 congregations, and Memorial attendance of 20,461,767.</t>
        </is>
      </c>
      <c r="N1819" s="7" t="inlineStr">
        <is>
          <t>யெகோவாவின் சாட்சிகளுடைய கிளை அலுவலகங்கள்: 85</t>
        </is>
      </c>
      <c r="O1819" s="13" t="inlineStr">
        <is>
          <t>Jehovah's Witnesses</t>
        </is>
      </c>
      <c r="P1819" s="7" t="inlineStr">
        <is>
          <t>jw.preaching</t>
        </is>
      </c>
      <c r="Q1819" s="7" t="inlineStr">
        <is>
          <t>statistic</t>
        </is>
      </c>
      <c r="R1819" s="7" t="n"/>
      <c r="S1819" s="7" t="n"/>
      <c r="T1819" s="7" t="n"/>
      <c r="U1819" s="7" t="n"/>
      <c r="V1819" s="7" t="n">
        <v>1</v>
      </c>
      <c r="W1819" s="7" t="inlineStr">
        <is>
          <t>2023 Grand Totals</t>
        </is>
      </c>
      <c r="X1819" s="9" t="inlineStr">
        <is>
          <t>open</t>
        </is>
      </c>
      <c r="Y1819" s="9" t="inlineStr">
        <is>
          <t>open</t>
        </is>
      </c>
      <c r="Z1819" s="7" t="inlineStr">
        <is>
          <t>https://www.jw.org/en/library/books/2023-Service-Year-Report-of-Jehovahs-Witnesses-Worldwide/2023-Grand-Totals/</t>
        </is>
      </c>
      <c r="AA1819" s="7" t="n">
        <v>0</v>
      </c>
      <c r="AB1819" s="7" t="n"/>
      <c r="AC1819" s="7" t="n">
        <v>0</v>
      </c>
      <c r="AD1819" s="7" t="n"/>
      <c r="AE1819" s="7" t="n"/>
      <c r="AF1819" s="7" t="n"/>
      <c r="AG1819" s="7" t="n"/>
      <c r="AH1819" s="7" t="n"/>
      <c r="AI1819" s="7" t="n"/>
      <c r="AJ1819" s="7" t="n"/>
      <c r="AK1819" s="7" t="n"/>
      <c r="AL1819" s="7" t="n"/>
      <c r="AM1819" s="7" t="n">
        <v>2023</v>
      </c>
      <c r="AN1819" s="10" t="n"/>
      <c r="AO1819" s="10" t="n"/>
      <c r="AP1819" s="10" t="n"/>
      <c r="AQ1819" s="10" t="n"/>
    </row>
    <row r="1820">
      <c r="A1820" s="7" t="inlineStr">
        <is>
          <t>b9-0416</t>
        </is>
      </c>
      <c r="B1820" s="7" t="inlineStr">
        <is>
          <t>Point</t>
        </is>
      </c>
      <c r="C1820" s="7" t="n"/>
      <c r="D1820" s="7" t="inlineStr">
        <is>
          <t>2023, January 6</t>
        </is>
      </c>
      <c r="E1820" s="7" t="n"/>
      <c r="F1820" s="7" t="inlineStr">
        <is>
          <t>2023 CE</t>
        </is>
      </c>
      <c r="G1820" s="7" t="inlineStr">
        <is>
          <t>Exact</t>
        </is>
      </c>
      <c r="H1820" s="7" t="n"/>
      <c r="I1820" s="7" t="n"/>
      <c r="J1820" s="7" t="n"/>
      <c r="K1820" s="2" t="inlineStr">
        <is>
          <t>Governing Body Update: Ramapo and pioneer announcements</t>
        </is>
      </c>
      <c r="L1820" s="2" t="inlineStr">
        <is>
          <t>ராமபோவில் நடக்கும் வேலைகளைப் பற்றியும் பயனியர்களுக்கு உற்சாகமான ஒரு அறிவிப்பை பற்றியும் தெரிந்துகொள்ள இந்த வீடியோவை மறக்காமல் பாருங்கள்.</t>
        </is>
      </c>
      <c r="M1820" s="7" t="inlineStr">
        <is>
          <t>2023 Governing Body Update #1 contained announcements concerning the Ramapo project and the activity of pioneers.</t>
        </is>
      </c>
      <c r="N1820" s="7" t="inlineStr">
        <is>
          <t>ராமபோவில் நடக்கும் வேலைகளைப் பற்றியும் பயனியர்களுக்கு உற்சாகமான ஒரு அறிவிப்பை பற்றியும் தெரிந்துகொள்ள இந்த வீடியோவை மறக்காமல் பாருங்கள்.</t>
        </is>
      </c>
      <c r="O1820" s="13" t="inlineStr">
        <is>
          <t>Jehovah's Witnesses</t>
        </is>
      </c>
      <c r="P1820" s="7" t="inlineStr">
        <is>
          <t>jw.organization</t>
        </is>
      </c>
      <c r="Q1820" s="7" t="inlineStr">
        <is>
          <t>video_update</t>
        </is>
      </c>
      <c r="R1820" s="7" t="n"/>
      <c r="S1820" s="7" t="n"/>
      <c r="T1820" s="7" t="n"/>
      <c r="U1820" s="7" t="n"/>
      <c r="V1820" s="7" t="n">
        <v>1</v>
      </c>
      <c r="W1820" s="7" t="inlineStr">
        <is>
          <t>2023 Governing Body Update #1</t>
        </is>
      </c>
      <c r="X1820" s="9" t="inlineStr">
        <is>
          <t>open</t>
        </is>
      </c>
      <c r="Y1820" s="9" t="inlineStr">
        <is>
          <t>open</t>
        </is>
      </c>
      <c r="Z1820" s="7" t="inlineStr">
        <is>
          <t>https://www.jw.org/en/news/region/global/2023-Governing-Body-Update-1/</t>
        </is>
      </c>
      <c r="AA1820" s="7" t="n">
        <v>1</v>
      </c>
      <c r="AB1820" s="9" t="inlineStr">
        <is>
          <t>open</t>
        </is>
      </c>
      <c r="AC1820" s="7" t="n">
        <v>0</v>
      </c>
      <c r="AD1820" s="7" t="n"/>
      <c r="AE1820" s="7" t="n"/>
      <c r="AF1820" s="7" t="n"/>
      <c r="AG1820" s="7" t="n"/>
      <c r="AH1820" s="7" t="n"/>
      <c r="AI1820" s="7" t="n"/>
      <c r="AJ1820" s="7" t="n"/>
      <c r="AK1820" s="7" t="n"/>
      <c r="AL1820" s="7" t="inlineStr">
        <is>
          <t>Date is the first-published date of this Governing Body Update video on jw.org (jw.org media metadata).</t>
        </is>
      </c>
      <c r="AM1820" s="7" t="n">
        <v>2023.0134</v>
      </c>
      <c r="AN1820" s="10" t="n"/>
      <c r="AO1820" s="10" t="n"/>
      <c r="AP1820" s="10" t="n"/>
      <c r="AQ1820" s="10" t="n"/>
    </row>
    <row r="1821">
      <c r="A1821" s="7" t="inlineStr">
        <is>
          <t>b9-0417</t>
        </is>
      </c>
      <c r="B1821" s="7" t="inlineStr">
        <is>
          <t>Point</t>
        </is>
      </c>
      <c r="C1821" s="7" t="n"/>
      <c r="D1821" s="7" t="inlineStr">
        <is>
          <t>2023, January 18</t>
        </is>
      </c>
      <c r="E1821" s="7" t="inlineStr">
        <is>
          <t>ஜனவரி 18, 2023</t>
        </is>
      </c>
      <c r="F1821" s="7" t="inlineStr">
        <is>
          <t>2023 CE</t>
        </is>
      </c>
      <c r="G1821" s="7" t="inlineStr">
        <is>
          <t>Exact</t>
        </is>
      </c>
      <c r="H1821" s="7" t="n"/>
      <c r="I1821" s="7" t="n"/>
      <c r="J1821" s="7" t="n"/>
      <c r="K1821" s="2" t="inlineStr">
        <is>
          <t>Gage Fleegle and Jeffrey Winder appointed to Governing Body</t>
        </is>
      </c>
      <c r="L1821" s="2" t="inlineStr">
        <is>
          <t>ஜனவரி 18, 2023 புதன்கிழமை அன்று, jw.org வெப்சைட்டில் ஒரு விசேஷ அறிவிப்பு வந்தது.</t>
        </is>
      </c>
      <c r="M1821" s="7" t="inlineStr">
        <is>
          <t>On January 18, 2023, an announcement on jw.org stated that Gage Fleegle and Jeffrey Winder had been appointed members of the Governing Body.</t>
        </is>
      </c>
      <c r="N1821" s="7" t="inlineStr">
        <is>
          <t>ஜனவரி 18, 2023 புதன்கிழமை அன்று, jw.org வெப்சைட்டில் ஒரு விசேஷ அறிவிப்பு வந்தது.</t>
        </is>
      </c>
      <c r="O1821" s="13" t="inlineStr">
        <is>
          <t>Jehovah's Witnesses</t>
        </is>
      </c>
      <c r="P1821" s="7" t="inlineStr">
        <is>
          <t>jw.leadership</t>
        </is>
      </c>
      <c r="Q1821" s="7" t="inlineStr">
        <is>
          <t>appointment</t>
        </is>
      </c>
      <c r="R1821" s="7" t="inlineStr">
        <is>
          <t>Gage Fleegle; Jeffrey Winder</t>
        </is>
      </c>
      <c r="S1821" s="7" t="n"/>
      <c r="T1821" s="7" t="n"/>
      <c r="U1821" s="7" t="n"/>
      <c r="V1821" s="7" t="n">
        <v>2</v>
      </c>
      <c r="W1821" s="7" t="inlineStr">
        <is>
          <t>Two New Members of the Governing Body</t>
        </is>
      </c>
      <c r="X1821" s="9" t="inlineStr">
        <is>
          <t>open</t>
        </is>
      </c>
      <c r="Y1821" s="9" t="inlineStr">
        <is>
          <t>open</t>
        </is>
      </c>
      <c r="Z1821" s="7" t="inlineStr">
        <is>
          <t>https://wol.jw.org/en/wol/d/r1/lp-e/2024287
https://www.jw.org/en/news/region/global/2023-Governing-Body-Update-2/</t>
        </is>
      </c>
      <c r="AA1821" s="7" t="n">
        <v>1</v>
      </c>
      <c r="AB1821" s="9" t="inlineStr">
        <is>
          <t>open</t>
        </is>
      </c>
      <c r="AC1821" s="7" t="n">
        <v>0</v>
      </c>
      <c r="AD1821" s="7" t="n"/>
      <c r="AE1821" s="7" t="n"/>
      <c r="AF1821" s="7" t="n"/>
      <c r="AG1821" s="7" t="n"/>
      <c r="AH1821" s="7" t="n"/>
      <c r="AI1821" s="7" t="inlineStr">
        <is>
          <t>Covered by span – hide on chart</t>
        </is>
      </c>
      <c r="AJ1821" s="7" t="inlineStr">
        <is>
          <t>start of Gage Fleegle serves on the Governing Body (b12-0114); start of Jeffrey Winder serves on the Governing Body (b12-0115)</t>
        </is>
      </c>
      <c r="AK1821" s="7" t="n"/>
      <c r="AL1821" s="7" t="n"/>
      <c r="AM1821" s="7" t="n">
        <v>2023.0457</v>
      </c>
      <c r="AN1821" s="10" t="n"/>
      <c r="AO1821" s="10" t="n"/>
      <c r="AP1821" s="10" t="n"/>
      <c r="AQ1821" s="10" t="n"/>
    </row>
    <row r="1822">
      <c r="A1822" s="7" t="inlineStr">
        <is>
          <t>b12-0114</t>
        </is>
      </c>
      <c r="B1822" s="11" t="inlineStr">
        <is>
          <t>Span</t>
        </is>
      </c>
      <c r="C1822" s="7" t="inlineStr">
        <is>
          <t>office</t>
        </is>
      </c>
      <c r="D1822" s="7" t="inlineStr">
        <is>
          <t>January 18, 2023–</t>
        </is>
      </c>
      <c r="E1822" s="7" t="n"/>
      <c r="F1822" s="7" t="inlineStr">
        <is>
          <t>2023 CE</t>
        </is>
      </c>
      <c r="G1822" s="7" t="inlineStr">
        <is>
          <t>Exact</t>
        </is>
      </c>
      <c r="H1822" s="7" t="n"/>
      <c r="I1822" s="7" t="inlineStr">
        <is>
          <t>Ongoing</t>
        </is>
      </c>
      <c r="J1822" s="7" t="n"/>
      <c r="K1822" s="2" t="inlineStr">
        <is>
          <t>Gage Fleegle serves on the Governing Body</t>
        </is>
      </c>
      <c r="L1822" s="2" t="n"/>
      <c r="M1822" s="7" t="inlineStr">
        <is>
          <t>Gage Fleegle’s appointment to the Governing Body was announced on jw.org on January 18, 2023; he was still serving according to The Watchtower of October 2025.</t>
        </is>
      </c>
      <c r="N1822" s="7" t="inlineStr">
        <is>
          <t>சகோதரர்கள் கேஜ் ஃப்லீகல் மற்றும் ஜெஃப்ரி வின்டர், யெகோவாவின் சாட்சிகளுடைய ஆளும் குழுவின் புதிய அங்கத்தினர்களாக சேர்க்கப்பட்டிருப்பதாக அதில் சொல்லியிருந்தது.</t>
        </is>
      </c>
      <c r="O1822" s="13" t="inlineStr">
        <is>
          <t>Jehovah's Witnesses</t>
        </is>
      </c>
      <c r="P1822" s="7" t="inlineStr">
        <is>
          <t>jw.leadership</t>
        </is>
      </c>
      <c r="Q1822" s="7" t="n"/>
      <c r="R1822" s="7" t="inlineStr">
        <is>
          <t>Gage Fleegle</t>
        </is>
      </c>
      <c r="S1822" s="7" t="n"/>
      <c r="T1822" s="7" t="n"/>
      <c r="U1822" s="7" t="n"/>
      <c r="V1822" s="7" t="n">
        <v>2</v>
      </c>
      <c r="W1822" s="7" t="inlineStr">
        <is>
          <t>Two New Members of the Governing Body</t>
        </is>
      </c>
      <c r="X1822" s="9" t="inlineStr">
        <is>
          <t>open</t>
        </is>
      </c>
      <c r="Y1822" s="9" t="inlineStr">
        <is>
          <t>open</t>
        </is>
      </c>
      <c r="Z1822" s="7" t="inlineStr">
        <is>
          <t>https://wol.jw.org/en/wol/d/r1/lp-e/2024287
https://wol.jw.org/en/wol/d/r1/lp-e/2025605</t>
        </is>
      </c>
      <c r="AA1822" s="7" t="n">
        <v>0</v>
      </c>
      <c r="AB1822" s="7" t="n"/>
      <c r="AC1822" s="7" t="n">
        <v>0</v>
      </c>
      <c r="AD1822" s="7" t="n"/>
      <c r="AE1822" s="7" t="n"/>
      <c r="AF1822" s="7" t="inlineStr">
        <is>
          <t>b9-0417</t>
        </is>
      </c>
      <c r="AG1822" s="7" t="n"/>
      <c r="AH1822" s="7" t="n"/>
      <c r="AI1822" s="7" t="n"/>
      <c r="AJ1822" s="7" t="n"/>
      <c r="AK1822" s="7" t="inlineStr">
        <is>
          <t>governing-body #13 (ruler)</t>
        </is>
      </c>
      <c r="AL1822" s="7" t="n"/>
      <c r="AM1822" s="7" t="n">
        <v>2023.0457</v>
      </c>
      <c r="AN1822" s="10" t="n"/>
      <c r="AO1822" s="10" t="n"/>
      <c r="AP1822" s="10" t="n"/>
      <c r="AQ1822" s="10" t="n"/>
    </row>
    <row r="1823">
      <c r="A1823" s="7" t="inlineStr">
        <is>
          <t>b12-0115</t>
        </is>
      </c>
      <c r="B1823" s="11" t="inlineStr">
        <is>
          <t>Span</t>
        </is>
      </c>
      <c r="C1823" s="7" t="inlineStr">
        <is>
          <t>office</t>
        </is>
      </c>
      <c r="D1823" s="7" t="inlineStr">
        <is>
          <t>January 18, 2023–</t>
        </is>
      </c>
      <c r="E1823" s="7" t="n"/>
      <c r="F1823" s="7" t="inlineStr">
        <is>
          <t>2023 CE</t>
        </is>
      </c>
      <c r="G1823" s="7" t="inlineStr">
        <is>
          <t>Exact</t>
        </is>
      </c>
      <c r="H1823" s="7" t="n"/>
      <c r="I1823" s="7" t="inlineStr">
        <is>
          <t>Ongoing</t>
        </is>
      </c>
      <c r="J1823" s="7" t="n"/>
      <c r="K1823" s="2" t="inlineStr">
        <is>
          <t>Jeffrey Winder serves on the Governing Body</t>
        </is>
      </c>
      <c r="L1823" s="2" t="n"/>
      <c r="M1823" s="7" t="inlineStr">
        <is>
          <t>Jeffrey Winder’s appointment to the Governing Body was announced on jw.org on January 18, 2023; he was still serving according to The Watchtower of October 2025.</t>
        </is>
      </c>
      <c r="N1823" s="7" t="inlineStr">
        <is>
          <t>சகோதரர்கள் கேஜ் ஃப்லீகல் மற்றும் ஜெஃப்ரி வின்டர், யெகோவாவின் சாட்சிகளுடைய ஆளும் குழுவின் புதிய அங்கத்தினர்களாக சேர்க்கப்பட்டிருப்பதாக அதில் சொல்லியிருந்தது.</t>
        </is>
      </c>
      <c r="O1823" s="13" t="inlineStr">
        <is>
          <t>Jehovah's Witnesses</t>
        </is>
      </c>
      <c r="P1823" s="7" t="inlineStr">
        <is>
          <t>jw.leadership</t>
        </is>
      </c>
      <c r="Q1823" s="7" t="n"/>
      <c r="R1823" s="7" t="inlineStr">
        <is>
          <t>Jeffrey Winder</t>
        </is>
      </c>
      <c r="S1823" s="7" t="n"/>
      <c r="T1823" s="7" t="n"/>
      <c r="U1823" s="7" t="n"/>
      <c r="V1823" s="7" t="n">
        <v>2</v>
      </c>
      <c r="W1823" s="7" t="inlineStr">
        <is>
          <t>Two New Members of the Governing Body</t>
        </is>
      </c>
      <c r="X1823" s="9" t="inlineStr">
        <is>
          <t>open</t>
        </is>
      </c>
      <c r="Y1823" s="9" t="inlineStr">
        <is>
          <t>open</t>
        </is>
      </c>
      <c r="Z1823" s="7" t="inlineStr">
        <is>
          <t>https://wol.jw.org/en/wol/d/r1/lp-e/2024287
https://wol.jw.org/en/wol/d/r1/lp-e/2025605</t>
        </is>
      </c>
      <c r="AA1823" s="7" t="n">
        <v>0</v>
      </c>
      <c r="AB1823" s="7" t="n"/>
      <c r="AC1823" s="7" t="n">
        <v>0</v>
      </c>
      <c r="AD1823" s="7" t="n"/>
      <c r="AE1823" s="7" t="n"/>
      <c r="AF1823" s="7" t="inlineStr">
        <is>
          <t>b9-0417</t>
        </is>
      </c>
      <c r="AG1823" s="7" t="n"/>
      <c r="AH1823" s="7" t="n"/>
      <c r="AI1823" s="7" t="n"/>
      <c r="AJ1823" s="7" t="n"/>
      <c r="AK1823" s="7" t="inlineStr">
        <is>
          <t>governing-body #14 (ruler)</t>
        </is>
      </c>
      <c r="AL1823" s="7" t="n"/>
      <c r="AM1823" s="7" t="n">
        <v>2023.0457</v>
      </c>
      <c r="AN1823" s="10" t="n"/>
      <c r="AO1823" s="10" t="n"/>
      <c r="AP1823" s="10" t="n"/>
      <c r="AQ1823" s="10" t="n"/>
    </row>
    <row r="1824">
      <c r="A1824" s="7" t="inlineStr">
        <is>
          <t>b9-0418</t>
        </is>
      </c>
      <c r="B1824" s="7" t="inlineStr">
        <is>
          <t>Point</t>
        </is>
      </c>
      <c r="C1824" s="7" t="n"/>
      <c r="D1824" s="7" t="inlineStr">
        <is>
          <t>2023, June 28</t>
        </is>
      </c>
      <c r="E1824" s="7" t="n"/>
      <c r="F1824" s="7" t="inlineStr">
        <is>
          <t>2023 CE</t>
        </is>
      </c>
      <c r="G1824" s="7" t="inlineStr">
        <is>
          <t>Exact</t>
        </is>
      </c>
      <c r="H1824" s="7" t="n"/>
      <c r="I1824" s="7" t="n"/>
      <c r="J1824" s="7" t="n"/>
      <c r="K1824" s="2" t="inlineStr">
        <is>
          <t>Ramapo Planning Board approves site plan</t>
        </is>
      </c>
      <c r="L1824" s="2" t="n"/>
      <c r="M1824" s="7" t="inlineStr">
        <is>
          <t>On June 28, 2023, the Town of Ramapo Planning Board unanimously approved the site plan for the Ramapo construction project.</t>
        </is>
      </c>
      <c r="N1824" s="7" t="n"/>
      <c r="O1824" s="13" t="inlineStr">
        <is>
          <t>Jehovah's Witnesses</t>
        </is>
      </c>
      <c r="P1824" s="7" t="inlineStr">
        <is>
          <t>jw.construction</t>
        </is>
      </c>
      <c r="Q1824" s="7" t="n"/>
      <c r="R1824" s="7" t="n"/>
      <c r="S1824" s="7" t="inlineStr">
        <is>
          <t>Ramapo, New York</t>
        </is>
      </c>
      <c r="T1824" s="7" t="n"/>
      <c r="U1824" s="7" t="n"/>
      <c r="V1824" s="7" t="n">
        <v>1</v>
      </c>
      <c r="W1824" s="7" t="inlineStr">
        <is>
          <t>Ramapo Construction Project Receives Major Approval to Proceed</t>
        </is>
      </c>
      <c r="X1824" s="9" t="inlineStr">
        <is>
          <t>open</t>
        </is>
      </c>
      <c r="Y1824" s="7" t="n"/>
      <c r="Z1824" s="7" t="inlineStr">
        <is>
          <t>https://www.jw.org/en/news/region/global/Ramapo-Construction-Project-Receives-Major-Approval-to-Proceed/</t>
        </is>
      </c>
      <c r="AA1824" s="7" t="n">
        <v>1</v>
      </c>
      <c r="AB1824" s="9" t="inlineStr">
        <is>
          <t>open</t>
        </is>
      </c>
      <c r="AC1824" s="7" t="n">
        <v>0</v>
      </c>
      <c r="AD1824" s="7" t="n"/>
      <c r="AE1824" s="7" t="n"/>
      <c r="AF1824" s="7" t="n"/>
      <c r="AG1824" s="7" t="n"/>
      <c r="AH1824" s="7" t="n"/>
      <c r="AI1824" s="7" t="n"/>
      <c r="AJ1824" s="7" t="n"/>
      <c r="AK1824" s="7" t="n"/>
      <c r="AL1824" s="7" t="n"/>
      <c r="AM1824" s="7" t="n">
        <v>2023.4892</v>
      </c>
      <c r="AN1824" s="10" t="n"/>
      <c r="AO1824" s="10" t="n"/>
      <c r="AP1824" s="10" t="n"/>
      <c r="AQ1824" s="10" t="n"/>
    </row>
    <row r="1825">
      <c r="A1825" s="7" t="inlineStr">
        <is>
          <t>b9-0419</t>
        </is>
      </c>
      <c r="B1825" s="7" t="inlineStr">
        <is>
          <t>Point</t>
        </is>
      </c>
      <c r="C1825" s="7" t="n"/>
      <c r="D1825" s="7" t="inlineStr">
        <is>
          <t>2023, October 7</t>
        </is>
      </c>
      <c r="E1825" s="7" t="n"/>
      <c r="F1825" s="7" t="inlineStr">
        <is>
          <t>2023 CE</t>
        </is>
      </c>
      <c r="G1825" s="7" t="inlineStr">
        <is>
          <t>Exact</t>
        </is>
      </c>
      <c r="H1825" s="7" t="n"/>
      <c r="I1825" s="7" t="n"/>
      <c r="J1825" s="7" t="n"/>
      <c r="K1825" s="2" t="inlineStr">
        <is>
          <t>2023 annual meeting: clarifications and reporting change</t>
        </is>
      </c>
      <c r="L1825" s="2" t="inlineStr">
        <is>
          <t>2023-ல் நடந்த வருடாந்தரக் கூட்டத்தில்,a நம்முடைய நம்பிக்கைகளில் செய்யப்பட்ட சில மாற்றங்களைப் பற்றித் தெரிந்துகொண்டோம்.</t>
        </is>
      </c>
      <c r="M1825" s="7" t="inlineStr">
        <is>
          <t>At the annual meeting on October 7, 2023, some beliefs were clarified, including that some may side with Jehovah’s people after Babylon the Great is destroyed, and it was announced that from November 2023 publishers would no longer be asked to report all their ministry activity.</t>
        </is>
      </c>
      <c r="N1825" s="7" t="inlineStr">
        <is>
          <t>2023-ல் நடந்த வருடாந்தரக் கூட்டத்தில்,a நம்முடைய நம்பிக்கைகளில் செய்யப்பட்ட சில மாற்றங்களைப் பற்றித் தெரிந்துகொண்டோம்.</t>
        </is>
      </c>
      <c r="O1825" s="13" t="inlineStr">
        <is>
          <t>Jehovah's Witnesses</t>
        </is>
      </c>
      <c r="P1825" s="7" t="inlineStr">
        <is>
          <t>jw.organization</t>
        </is>
      </c>
      <c r="Q1825" s="7" t="n"/>
      <c r="R1825" s="7" t="n"/>
      <c r="S1825" s="7" t="n"/>
      <c r="T1825" s="7" t="n"/>
      <c r="U1825" s="7" t="n"/>
      <c r="V1825" s="7" t="n">
        <v>2</v>
      </c>
      <c r="W1825" s="7" t="inlineStr">
        <is>
          <t>Let Love Motivate You to Keep Preaching!</t>
        </is>
      </c>
      <c r="X1825" s="9" t="inlineStr">
        <is>
          <t>open</t>
        </is>
      </c>
      <c r="Y1825" s="9" t="inlineStr">
        <is>
          <t>open</t>
        </is>
      </c>
      <c r="Z1825" s="7" t="inlineStr">
        <is>
          <t>https://wol.jw.org/en/wol/d/r1/lp-e/2024406
https://wol.jw.org/en/wol/d/r1/lp-e/1200277174</t>
        </is>
      </c>
      <c r="AA1825" s="7" t="n">
        <v>0</v>
      </c>
      <c r="AB1825" s="7" t="n"/>
      <c r="AC1825" s="7" t="n">
        <v>0</v>
      </c>
      <c r="AD1825" s="7" t="n"/>
      <c r="AE1825" s="7" t="n"/>
      <c r="AF1825" s="7" t="n"/>
      <c r="AG1825" s="7" t="n"/>
      <c r="AH1825" s="7" t="n"/>
      <c r="AI1825" s="7" t="n"/>
      <c r="AJ1825" s="7" t="n"/>
      <c r="AK1825" s="7" t="n"/>
      <c r="AL1825" s="7" t="n"/>
      <c r="AM1825" s="7" t="n">
        <v>2023.7661</v>
      </c>
      <c r="AN1825" s="10" t="n"/>
      <c r="AO1825" s="10" t="n"/>
      <c r="AP1825" s="10" t="n"/>
      <c r="AQ1825" s="10" t="n"/>
    </row>
    <row r="1826">
      <c r="A1826" s="7" t="inlineStr">
        <is>
          <t>b9-0420</t>
        </is>
      </c>
      <c r="B1826" s="7" t="inlineStr">
        <is>
          <t>Point</t>
        </is>
      </c>
      <c r="C1826" s="7" t="n"/>
      <c r="D1826" s="7" t="inlineStr">
        <is>
          <t>2023, October 20</t>
        </is>
      </c>
      <c r="E1826" s="7" t="n"/>
      <c r="F1826" s="7" t="inlineStr">
        <is>
          <t>2023 CE</t>
        </is>
      </c>
      <c r="G1826" s="7" t="inlineStr">
        <is>
          <t>Exact</t>
        </is>
      </c>
      <c r="H1826" s="7" t="n"/>
      <c r="I1826" s="7" t="n"/>
      <c r="J1826" s="7" t="n"/>
      <c r="K1826" s="2" t="inlineStr">
        <is>
          <t>New publication Scriptures for Christian Living; 2024 yeartext</t>
        </is>
      </c>
      <c r="L1826" s="2" t="inlineStr">
        <is>
          <t>வாழ்க்கைக்கு வழிகாட்டும் வசனங்கள் என்ற புதிய புத்தகத்தை பற்றியும் 2024-ன் வருடாந்தர வசனத்தை பற்றியும் தெரிந்துகொள்ளுங்கள்.</t>
        </is>
      </c>
      <c r="M1826" s="7" t="inlineStr">
        <is>
          <t>2023 Governing Body Update #7 announced a new publication entitled Scriptures for Christian Living and the 2024 yeartext.</t>
        </is>
      </c>
      <c r="N1826" s="7" t="inlineStr">
        <is>
          <t>வாழ்க்கைக்கு வழிகாட்டும் வசனங்கள் என்ற புதிய புத்தகத்தை பற்றியும் 2024-ன் வருடாந்தர வசனத்தை பற்றியும் தெரிந்துகொள்ளுங்கள்.</t>
        </is>
      </c>
      <c r="O1826" s="13" t="inlineStr">
        <is>
          <t>Jehovah's Witnesses</t>
        </is>
      </c>
      <c r="P1826" s="7" t="inlineStr">
        <is>
          <t>jw.publication</t>
        </is>
      </c>
      <c r="Q1826" s="7" t="inlineStr">
        <is>
          <t>video_update</t>
        </is>
      </c>
      <c r="R1826" s="7" t="n"/>
      <c r="S1826" s="7" t="n"/>
      <c r="T1826" s="7" t="n"/>
      <c r="U1826" s="7" t="n"/>
      <c r="V1826" s="7" t="n">
        <v>1</v>
      </c>
      <c r="W1826" s="7" t="inlineStr">
        <is>
          <t>2023 Governing Body Update #7</t>
        </is>
      </c>
      <c r="X1826" s="9" t="inlineStr">
        <is>
          <t>open</t>
        </is>
      </c>
      <c r="Y1826" s="9" t="inlineStr">
        <is>
          <t>open</t>
        </is>
      </c>
      <c r="Z1826" s="7" t="inlineStr">
        <is>
          <t>https://www.jw.org/en/news/region/global/2023-Governing-Body-Update-7/</t>
        </is>
      </c>
      <c r="AA1826" s="7" t="n">
        <v>1</v>
      </c>
      <c r="AB1826" s="9" t="inlineStr">
        <is>
          <t>open</t>
        </is>
      </c>
      <c r="AC1826" s="7" t="n">
        <v>0</v>
      </c>
      <c r="AD1826" s="7" t="n"/>
      <c r="AE1826" s="7" t="n"/>
      <c r="AF1826" s="7" t="n"/>
      <c r="AG1826" s="7" t="n"/>
      <c r="AH1826" s="7" t="n"/>
      <c r="AI1826" s="7" t="n"/>
      <c r="AJ1826" s="7" t="n"/>
      <c r="AK1826" s="7" t="n"/>
      <c r="AL1826" s="7" t="inlineStr">
        <is>
          <t>Date is the first-published date of this Governing Body Update video on jw.org (jw.org media metadata).</t>
        </is>
      </c>
      <c r="AM1826" s="7" t="n">
        <v>2023.8011</v>
      </c>
      <c r="AN1826" s="10" t="n"/>
      <c r="AO1826" s="10" t="n"/>
      <c r="AP1826" s="10" t="n"/>
      <c r="AQ1826" s="10" t="n"/>
    </row>
    <row r="1827">
      <c r="A1827" s="7" t="inlineStr">
        <is>
          <t>b9-0421</t>
        </is>
      </c>
      <c r="B1827" s="7" t="inlineStr">
        <is>
          <t>Point</t>
        </is>
      </c>
      <c r="C1827" s="7" t="n"/>
      <c r="D1827" s="7" t="inlineStr">
        <is>
          <t>2023, November</t>
        </is>
      </c>
      <c r="E1827" s="7" t="n"/>
      <c r="F1827" s="7" t="inlineStr">
        <is>
          <t>2023 CE</t>
        </is>
      </c>
      <c r="G1827" s="7" t="inlineStr">
        <is>
          <t>Exact</t>
        </is>
      </c>
      <c r="H1827" s="7" t="n"/>
      <c r="I1827" s="7" t="n"/>
      <c r="J1827" s="7" t="n"/>
      <c r="K1827" s="2" t="inlineStr">
        <is>
          <t>Publishers no longer report all ministry activity</t>
        </is>
      </c>
      <c r="L1827" s="2" t="inlineStr">
        <is>
          <t>2023-ல் நடந்த வருடாந்தரக் கூட்டத்தில்,a நம்முடைய நம்பிக்கைகளில் செய்யப்பட்ட சில மாற்றங்களைப் பற்றித் தெரிந்துகொண்டோம்.</t>
        </is>
      </c>
      <c r="M1827" s="7" t="inlineStr">
        <is>
          <t>As of November 2023, Kingdom publishers were no longer asked to report all their activity in the ministry.</t>
        </is>
      </c>
      <c r="N1827" s="7" t="inlineStr">
        <is>
          <t>2023-ல் நடந்த வருடாந்தரக் கூட்டத்தில்,a நம்முடைய நம்பிக்கைகளில் செய்யப்பட்ட சில மாற்றங்களைப் பற்றித் தெரிந்துகொண்டோம்.</t>
        </is>
      </c>
      <c r="O1827" s="13" t="inlineStr">
        <is>
          <t>Jehovah's Witnesses</t>
        </is>
      </c>
      <c r="P1827" s="7" t="inlineStr">
        <is>
          <t>jw.organization</t>
        </is>
      </c>
      <c r="Q1827" s="7" t="n"/>
      <c r="R1827" s="7" t="n"/>
      <c r="S1827" s="7" t="n"/>
      <c r="T1827" s="7" t="n"/>
      <c r="U1827" s="7" t="n"/>
      <c r="V1827" s="7" t="n">
        <v>1</v>
      </c>
      <c r="W1827" s="7" t="inlineStr">
        <is>
          <t>Let Love Motivate You to Keep Preaching!</t>
        </is>
      </c>
      <c r="X1827" s="9" t="inlineStr">
        <is>
          <t>open</t>
        </is>
      </c>
      <c r="Y1827" s="9" t="inlineStr">
        <is>
          <t>open</t>
        </is>
      </c>
      <c r="Z1827" s="7" t="inlineStr">
        <is>
          <t>https://wol.jw.org/en/wol/d/r1/lp-e/2024406</t>
        </is>
      </c>
      <c r="AA1827" s="7" t="n">
        <v>0</v>
      </c>
      <c r="AB1827" s="7" t="n"/>
      <c r="AC1827" s="7" t="n">
        <v>0</v>
      </c>
      <c r="AD1827" s="7" t="n"/>
      <c r="AE1827" s="7" t="n"/>
      <c r="AF1827" s="7" t="n"/>
      <c r="AG1827" s="7" t="n"/>
      <c r="AH1827" s="7" t="n"/>
      <c r="AI1827" s="7" t="n"/>
      <c r="AJ1827" s="7" t="n"/>
      <c r="AK1827" s="7" t="n"/>
      <c r="AL1827" s="7" t="n"/>
      <c r="AM1827" s="7" t="n">
        <v>2023.8333</v>
      </c>
      <c r="AN1827" s="10" t="n"/>
      <c r="AO1827" s="10" t="n"/>
      <c r="AP1827" s="10" t="n"/>
      <c r="AQ1827" s="10" t="n"/>
    </row>
    <row r="1828">
      <c r="A1828" s="7" t="inlineStr">
        <is>
          <t>b9-0422</t>
        </is>
      </c>
      <c r="B1828" s="7" t="inlineStr">
        <is>
          <t>Point</t>
        </is>
      </c>
      <c r="C1828" s="7" t="n"/>
      <c r="D1828" s="7" t="inlineStr">
        <is>
          <t>2023, December 15</t>
        </is>
      </c>
      <c r="E1828" s="7" t="n"/>
      <c r="F1828" s="7" t="inlineStr">
        <is>
          <t>2023 CE</t>
        </is>
      </c>
      <c r="G1828" s="7" t="inlineStr">
        <is>
          <t>Exact</t>
        </is>
      </c>
      <c r="H1828" s="7" t="n"/>
      <c r="I1828" s="7" t="n"/>
      <c r="J1828" s="7" t="n"/>
      <c r="K1828" s="2" t="inlineStr">
        <is>
          <t>Governing Body Update on dress and grooming of brothers</t>
        </is>
      </c>
      <c r="L1828" s="2" t="inlineStr">
        <is>
          <t>உடை உடுத்தும் விதத்திலும் அலங்காரம் செய்யும் விதத்திலும் நம்மை கடவுளுடைய ஊழியர்களாக எப்படி சிபாரிசு செய்யலாம்?</t>
        </is>
      </c>
      <c r="M1828" s="7" t="inlineStr">
        <is>
          <t>2023 Governing Body Update #8 discussed how brothers recommend themselves as God’s ministers by their choices in dress and grooming and how to promote congregation unity.</t>
        </is>
      </c>
      <c r="N1828" s="7" t="inlineStr">
        <is>
          <t>உடை உடுத்தும் விதத்திலும் அலங்காரம் செய்யும் விதத்திலும் நம்மை கடவுளுடைய ஊழியர்களாக எப்படி சிபாரிசு செய்யலாம்?</t>
        </is>
      </c>
      <c r="O1828" s="13" t="inlineStr">
        <is>
          <t>Jehovah's Witnesses</t>
        </is>
      </c>
      <c r="P1828" s="7" t="inlineStr">
        <is>
          <t>jw.organization</t>
        </is>
      </c>
      <c r="Q1828" s="7" t="inlineStr">
        <is>
          <t>video_update</t>
        </is>
      </c>
      <c r="R1828" s="7" t="n"/>
      <c r="S1828" s="7" t="n"/>
      <c r="T1828" s="7" t="n"/>
      <c r="U1828" s="7" t="n"/>
      <c r="V1828" s="7" t="n">
        <v>1</v>
      </c>
      <c r="W1828" s="7" t="inlineStr">
        <is>
          <t>2023 Governing Body Update #8</t>
        </is>
      </c>
      <c r="X1828" s="9" t="inlineStr">
        <is>
          <t>open</t>
        </is>
      </c>
      <c r="Y1828" s="9" t="inlineStr">
        <is>
          <t>open</t>
        </is>
      </c>
      <c r="Z1828" s="7" t="inlineStr">
        <is>
          <t>https://www.jw.org/en/news/region/global/2023-Governing-Body-Update-8/</t>
        </is>
      </c>
      <c r="AA1828" s="7" t="n">
        <v>1</v>
      </c>
      <c r="AB1828" s="9" t="inlineStr">
        <is>
          <t>open</t>
        </is>
      </c>
      <c r="AC1828" s="7" t="n">
        <v>0</v>
      </c>
      <c r="AD1828" s="7" t="n"/>
      <c r="AE1828" s="7" t="n"/>
      <c r="AF1828" s="7" t="n"/>
      <c r="AG1828" s="7" t="n"/>
      <c r="AH1828" s="7" t="n"/>
      <c r="AI1828" s="7" t="n"/>
      <c r="AJ1828" s="7" t="n"/>
      <c r="AK1828" s="7" t="n"/>
      <c r="AL1828" s="7" t="inlineStr">
        <is>
          <t>Date is the first-published date of this Governing Body Update video on jw.org (jw.org media metadata).</t>
        </is>
      </c>
      <c r="AM1828" s="7" t="n">
        <v>2023.9543</v>
      </c>
      <c r="AN1828" s="10" t="n"/>
      <c r="AO1828" s="10" t="n"/>
      <c r="AP1828" s="10" t="n"/>
      <c r="AQ1828" s="10" t="n"/>
    </row>
    <row r="1829">
      <c r="A1829" s="7" t="inlineStr">
        <is>
          <t>b9-0423</t>
        </is>
      </c>
      <c r="B1829" s="7" t="inlineStr">
        <is>
          <t>Point</t>
        </is>
      </c>
      <c r="C1829" s="7" t="n"/>
      <c r="D1829" s="7" t="inlineStr">
        <is>
          <t>2024</t>
        </is>
      </c>
      <c r="E1829" s="7" t="n"/>
      <c r="F1829" s="7" t="inlineStr">
        <is>
          <t>2024 CE</t>
        </is>
      </c>
      <c r="G1829" s="7" t="inlineStr">
        <is>
          <t>Exact</t>
        </is>
      </c>
      <c r="H1829" s="7" t="n"/>
      <c r="I1829" s="7" t="n"/>
      <c r="J1829" s="7" t="n"/>
      <c r="K1829" s="2" t="inlineStr">
        <is>
          <t>Understanding clarified: application of 2 John 9-11</t>
        </is>
      </c>
      <c r="L1829" s="2" t="n"/>
      <c r="M1829" s="7" t="inlineStr">
        <is>
          <t>The Watch Tower Publications Index (“Beliefs Clarified,” list by year) records a clarified understanding in 2024 concerning application of 2 John 9-11. Index references: w24.08 31.</t>
        </is>
      </c>
      <c r="N1829" s="7" t="n"/>
      <c r="O1829" s="13" t="inlineStr">
        <is>
          <t>Jehovah's Witnesses</t>
        </is>
      </c>
      <c r="P1829" s="7" t="inlineStr">
        <is>
          <t>jw.doctrine</t>
        </is>
      </c>
      <c r="Q1829" s="7" t="inlineStr">
        <is>
          <t>beliefs_clarified</t>
        </is>
      </c>
      <c r="R1829" s="7" t="n"/>
      <c r="S1829" s="7" t="n"/>
      <c r="T1829" s="7" t="inlineStr">
        <is>
          <t>2 John 9-11</t>
        </is>
      </c>
      <c r="U1829" s="7" t="n"/>
      <c r="V1829" s="7" t="n">
        <v>1</v>
      </c>
      <c r="W1829" s="7" t="inlineStr">
        <is>
          <t>Beliefs Clarified</t>
        </is>
      </c>
      <c r="X1829" s="9" t="inlineStr">
        <is>
          <t>open</t>
        </is>
      </c>
      <c r="Y1829" s="7" t="n"/>
      <c r="Z1829" s="7" t="inlineStr">
        <is>
          <t>https://wol.jw.org/en/wol/d/r1/lp-e/1200277174</t>
        </is>
      </c>
      <c r="AA1829" s="7" t="n">
        <v>0</v>
      </c>
      <c r="AB1829" s="7" t="n"/>
      <c r="AC1829" s="7" t="n">
        <v>0</v>
      </c>
      <c r="AD1829" s="7" t="n"/>
      <c r="AE1829" s="7" t="n"/>
      <c r="AF1829" s="7" t="n"/>
      <c r="AG1829" s="7" t="n"/>
      <c r="AH1829" s="7" t="n"/>
      <c r="AI1829" s="7" t="inlineStr">
        <is>
          <t>Index list entry – app detail</t>
        </is>
      </c>
      <c r="AJ1829" s="7" t="n"/>
      <c r="AK1829" s="7" t="n"/>
      <c r="AL1829" s="7" t="n"/>
      <c r="AM1829" s="7" t="n">
        <v>2024</v>
      </c>
      <c r="AN1829" s="10" t="n"/>
      <c r="AO1829" s="10" t="n"/>
      <c r="AP1829" s="10" t="n"/>
      <c r="AQ1829" s="10" t="n"/>
    </row>
    <row r="1830">
      <c r="A1830" s="7" t="inlineStr">
        <is>
          <t>b9-0424</t>
        </is>
      </c>
      <c r="B1830" s="7" t="inlineStr">
        <is>
          <t>Point</t>
        </is>
      </c>
      <c r="C1830" s="7" t="n"/>
      <c r="D1830" s="7" t="inlineStr">
        <is>
          <t>2024</t>
        </is>
      </c>
      <c r="E1830" s="7" t="n"/>
      <c r="F1830" s="7" t="inlineStr">
        <is>
          <t>2024 CE</t>
        </is>
      </c>
      <c r="G1830" s="7" t="inlineStr">
        <is>
          <t>Exact</t>
        </is>
      </c>
      <c r="H1830" s="7" t="n"/>
      <c r="I1830" s="7" t="n"/>
      <c r="J1830" s="7" t="n"/>
      <c r="K1830" s="2" t="inlineStr">
        <is>
          <t>Understanding clarified: Christian can become spiritually immature</t>
        </is>
      </c>
      <c r="L1830" s="2" t="n"/>
      <c r="M1830" s="7" t="inlineStr">
        <is>
          <t>The Watch Tower Publications Index (“Beliefs Clarified,” list by year) records a clarified understanding in 2024 concerning Christian can become spiritually immature. Index references: w24.04 6-7.</t>
        </is>
      </c>
      <c r="N1830" s="7" t="n"/>
      <c r="O1830" s="13" t="inlineStr">
        <is>
          <t>Jehovah's Witnesses</t>
        </is>
      </c>
      <c r="P1830" s="7" t="inlineStr">
        <is>
          <t>jw.doctrine</t>
        </is>
      </c>
      <c r="Q1830" s="7" t="inlineStr">
        <is>
          <t>beliefs_clarified</t>
        </is>
      </c>
      <c r="R1830" s="7" t="n"/>
      <c r="S1830" s="7" t="n"/>
      <c r="T1830" s="7" t="n"/>
      <c r="U1830" s="7" t="n"/>
      <c r="V1830" s="7" t="n">
        <v>1</v>
      </c>
      <c r="W1830" s="7" t="inlineStr">
        <is>
          <t>Beliefs Clarified</t>
        </is>
      </c>
      <c r="X1830" s="9" t="inlineStr">
        <is>
          <t>open</t>
        </is>
      </c>
      <c r="Y1830" s="7" t="n"/>
      <c r="Z1830" s="7" t="inlineStr">
        <is>
          <t>https://wol.jw.org/en/wol/d/r1/lp-e/1200277174</t>
        </is>
      </c>
      <c r="AA1830" s="7" t="n">
        <v>0</v>
      </c>
      <c r="AB1830" s="7" t="n"/>
      <c r="AC1830" s="7" t="n">
        <v>0</v>
      </c>
      <c r="AD1830" s="7" t="n"/>
      <c r="AE1830" s="7" t="n"/>
      <c r="AF1830" s="7" t="n"/>
      <c r="AG1830" s="7" t="n"/>
      <c r="AH1830" s="7" t="n"/>
      <c r="AI1830" s="7" t="inlineStr">
        <is>
          <t>Index list entry – app detail</t>
        </is>
      </c>
      <c r="AJ1830" s="7" t="n"/>
      <c r="AK1830" s="7" t="n"/>
      <c r="AL1830" s="7" t="n"/>
      <c r="AM1830" s="7" t="n">
        <v>2024</v>
      </c>
      <c r="AN1830" s="10" t="n"/>
      <c r="AO1830" s="10" t="n"/>
      <c r="AP1830" s="10" t="n"/>
      <c r="AQ1830" s="10" t="n"/>
    </row>
    <row r="1831">
      <c r="A1831" s="7" t="inlineStr">
        <is>
          <t>b9-0425</t>
        </is>
      </c>
      <c r="B1831" s="7" t="inlineStr">
        <is>
          <t>Point</t>
        </is>
      </c>
      <c r="C1831" s="7" t="n"/>
      <c r="D1831" s="7" t="inlineStr">
        <is>
          <t>2024</t>
        </is>
      </c>
      <c r="E1831" s="7" t="n"/>
      <c r="F1831" s="7" t="inlineStr">
        <is>
          <t>2024 CE</t>
        </is>
      </c>
      <c r="G1831" s="7" t="inlineStr">
        <is>
          <t>Exact</t>
        </is>
      </c>
      <c r="H1831" s="7" t="n"/>
      <c r="I1831" s="7" t="n"/>
      <c r="J1831" s="7" t="n"/>
      <c r="K1831" s="2" t="inlineStr">
        <is>
          <t>Understanding clarified: denarius paid to 11th-hour workers (Matt. 20:1-16)</t>
        </is>
      </c>
      <c r="L1831" s="2" t="n"/>
      <c r="M1831" s="7" t="inlineStr">
        <is>
          <t>The Watch Tower Publications Index (“Beliefs Clarified,” list by year) records a clarified understanding in 2024 concerning denarius paid to 11th-hour workers (Matt. 20:1-16). Index references: w24.09 24.</t>
        </is>
      </c>
      <c r="N1831" s="7" t="n"/>
      <c r="O1831" s="13" t="inlineStr">
        <is>
          <t>Jehovah's Witnesses</t>
        </is>
      </c>
      <c r="P1831" s="7" t="inlineStr">
        <is>
          <t>jw.doctrine</t>
        </is>
      </c>
      <c r="Q1831" s="7" t="inlineStr">
        <is>
          <t>beliefs_clarified</t>
        </is>
      </c>
      <c r="R1831" s="7" t="n"/>
      <c r="S1831" s="7" t="n"/>
      <c r="T1831" s="7" t="inlineStr">
        <is>
          <t>Matt. 20:1-16</t>
        </is>
      </c>
      <c r="U1831" s="7" t="n"/>
      <c r="V1831" s="7" t="n">
        <v>1</v>
      </c>
      <c r="W1831" s="7" t="inlineStr">
        <is>
          <t>Beliefs Clarified</t>
        </is>
      </c>
      <c r="X1831" s="9" t="inlineStr">
        <is>
          <t>open</t>
        </is>
      </c>
      <c r="Y1831" s="7" t="n"/>
      <c r="Z1831" s="7" t="inlineStr">
        <is>
          <t>https://wol.jw.org/en/wol/d/r1/lp-e/1200277174</t>
        </is>
      </c>
      <c r="AA1831" s="7" t="n">
        <v>0</v>
      </c>
      <c r="AB1831" s="7" t="n"/>
      <c r="AC1831" s="7" t="n">
        <v>0</v>
      </c>
      <c r="AD1831" s="7" t="n"/>
      <c r="AE1831" s="7" t="n"/>
      <c r="AF1831" s="7" t="n"/>
      <c r="AG1831" s="7" t="n"/>
      <c r="AH1831" s="7" t="n"/>
      <c r="AI1831" s="7" t="inlineStr">
        <is>
          <t>Index list entry – app detail</t>
        </is>
      </c>
      <c r="AJ1831" s="7" t="n"/>
      <c r="AK1831" s="7" t="n"/>
      <c r="AL1831" s="7" t="n"/>
      <c r="AM1831" s="7" t="n">
        <v>2024</v>
      </c>
      <c r="AN1831" s="10" t="n"/>
      <c r="AO1831" s="10" t="n"/>
      <c r="AP1831" s="10" t="n"/>
      <c r="AQ1831" s="10" t="n"/>
    </row>
    <row r="1832">
      <c r="A1832" s="7" t="inlineStr">
        <is>
          <t>b9-0426</t>
        </is>
      </c>
      <c r="B1832" s="7" t="inlineStr">
        <is>
          <t>Point</t>
        </is>
      </c>
      <c r="C1832" s="7" t="n"/>
      <c r="D1832" s="7" t="inlineStr">
        <is>
          <t>2024</t>
        </is>
      </c>
      <c r="E1832" s="7" t="n"/>
      <c r="F1832" s="7" t="inlineStr">
        <is>
          <t>2024 CE</t>
        </is>
      </c>
      <c r="G1832" s="7" t="inlineStr">
        <is>
          <t>Exact</t>
        </is>
      </c>
      <c r="H1832" s="7" t="n"/>
      <c r="I1832" s="7" t="n"/>
      <c r="J1832" s="7" t="n"/>
      <c r="K1832" s="2" t="inlineStr">
        <is>
          <t>Understanding clarified: disfellowshipping to be referred to as removal from the congregation (1 Cor. 5:13)</t>
        </is>
      </c>
      <c r="L1832" s="2" t="n"/>
      <c r="M1832" s="7" t="inlineStr">
        <is>
          <t>The Watch Tower Publications Index (“Beliefs Clarified,” list by year) records a clarified understanding in 2024 concerning disfellowshipping to be referred to as removal from the congregation (1 Cor. 5:13). Index references: w24.08 27.</t>
        </is>
      </c>
      <c r="N1832" s="7" t="n"/>
      <c r="O1832" s="13" t="inlineStr">
        <is>
          <t>Jehovah's Witnesses</t>
        </is>
      </c>
      <c r="P1832" s="7" t="inlineStr">
        <is>
          <t>jw.doctrine</t>
        </is>
      </c>
      <c r="Q1832" s="7" t="inlineStr">
        <is>
          <t>beliefs_clarified</t>
        </is>
      </c>
      <c r="R1832" s="7" t="n"/>
      <c r="S1832" s="7" t="n"/>
      <c r="T1832" s="7" t="inlineStr">
        <is>
          <t>1 Cor. 5:13</t>
        </is>
      </c>
      <c r="U1832" s="7" t="n"/>
      <c r="V1832" s="7" t="n">
        <v>1</v>
      </c>
      <c r="W1832" s="7" t="inlineStr">
        <is>
          <t>Beliefs Clarified</t>
        </is>
      </c>
      <c r="X1832" s="9" t="inlineStr">
        <is>
          <t>open</t>
        </is>
      </c>
      <c r="Y1832" s="7" t="n"/>
      <c r="Z1832" s="7" t="inlineStr">
        <is>
          <t>https://wol.jw.org/en/wol/d/r1/lp-e/1200277174</t>
        </is>
      </c>
      <c r="AA1832" s="7" t="n">
        <v>0</v>
      </c>
      <c r="AB1832" s="7" t="n"/>
      <c r="AC1832" s="7" t="n">
        <v>0</v>
      </c>
      <c r="AD1832" s="7" t="n"/>
      <c r="AE1832" s="7" t="n"/>
      <c r="AF1832" s="7" t="n"/>
      <c r="AG1832" s="7" t="n"/>
      <c r="AH1832" s="7" t="n"/>
      <c r="AI1832" s="7" t="inlineStr">
        <is>
          <t>Index list entry – app detail</t>
        </is>
      </c>
      <c r="AJ1832" s="7" t="n"/>
      <c r="AK1832" s="7" t="n"/>
      <c r="AL1832" s="7" t="n"/>
      <c r="AM1832" s="7" t="n">
        <v>2024</v>
      </c>
      <c r="AN1832" s="10" t="n"/>
      <c r="AO1832" s="10" t="n"/>
      <c r="AP1832" s="10" t="n"/>
      <c r="AQ1832" s="10" t="n"/>
    </row>
    <row r="1833">
      <c r="A1833" s="7" t="inlineStr">
        <is>
          <t>b9-0427</t>
        </is>
      </c>
      <c r="B1833" s="7" t="inlineStr">
        <is>
          <t>Point</t>
        </is>
      </c>
      <c r="C1833" s="7" t="n"/>
      <c r="D1833" s="7" t="inlineStr">
        <is>
          <t>2024</t>
        </is>
      </c>
      <c r="E1833" s="7" t="n"/>
      <c r="F1833" s="7" t="inlineStr">
        <is>
          <t>2024 CE</t>
        </is>
      </c>
      <c r="G1833" s="7" t="inlineStr">
        <is>
          <t>Exact</t>
        </is>
      </c>
      <c r="H1833" s="7" t="n"/>
      <c r="I1833" s="7" t="n"/>
      <c r="J1833" s="7" t="n"/>
      <c r="K1833" s="2" t="inlineStr">
        <is>
          <t>Understanding clarified: height of the porch of Solomon’s temple</t>
        </is>
      </c>
      <c r="L1833" s="2" t="n"/>
      <c r="M1833" s="7" t="inlineStr">
        <is>
          <t>The Watch Tower Publications Index (“Beliefs Clarified,” list by year) records a clarified understanding in 2024 concerning height of the porch of Solomon’s temple. Index references: w24.10 31; w24.12 31.</t>
        </is>
      </c>
      <c r="N1833" s="7" t="n"/>
      <c r="O1833" s="13" t="inlineStr">
        <is>
          <t>Jehovah's Witnesses</t>
        </is>
      </c>
      <c r="P1833" s="7" t="inlineStr">
        <is>
          <t>jw.doctrine</t>
        </is>
      </c>
      <c r="Q1833" s="7" t="inlineStr">
        <is>
          <t>beliefs_clarified</t>
        </is>
      </c>
      <c r="R1833" s="7" t="n"/>
      <c r="S1833" s="7" t="n"/>
      <c r="T1833" s="7" t="n"/>
      <c r="U1833" s="7" t="n"/>
      <c r="V1833" s="7" t="n">
        <v>1</v>
      </c>
      <c r="W1833" s="7" t="inlineStr">
        <is>
          <t>Beliefs Clarified</t>
        </is>
      </c>
      <c r="X1833" s="9" t="inlineStr">
        <is>
          <t>open</t>
        </is>
      </c>
      <c r="Y1833" s="7" t="n"/>
      <c r="Z1833" s="7" t="inlineStr">
        <is>
          <t>https://wol.jw.org/en/wol/d/r1/lp-e/1200277174</t>
        </is>
      </c>
      <c r="AA1833" s="7" t="n">
        <v>0</v>
      </c>
      <c r="AB1833" s="7" t="n"/>
      <c r="AC1833" s="7" t="n">
        <v>0</v>
      </c>
      <c r="AD1833" s="7" t="n"/>
      <c r="AE1833" s="7" t="n"/>
      <c r="AF1833" s="7" t="n"/>
      <c r="AG1833" s="7" t="n"/>
      <c r="AH1833" s="7" t="n"/>
      <c r="AI1833" s="7" t="inlineStr">
        <is>
          <t>Index list entry – app detail</t>
        </is>
      </c>
      <c r="AJ1833" s="7" t="n"/>
      <c r="AK1833" s="7" t="n"/>
      <c r="AL1833" s="7" t="n"/>
      <c r="AM1833" s="7" t="n">
        <v>2024</v>
      </c>
      <c r="AN1833" s="10" t="n"/>
      <c r="AO1833" s="10" t="n"/>
      <c r="AP1833" s="10" t="n"/>
      <c r="AQ1833" s="10" t="n"/>
    </row>
    <row r="1834">
      <c r="A1834" s="7" t="inlineStr">
        <is>
          <t>b9-0428</t>
        </is>
      </c>
      <c r="B1834" s="7" t="inlineStr">
        <is>
          <t>Point</t>
        </is>
      </c>
      <c r="C1834" s="7" t="n"/>
      <c r="D1834" s="7" t="inlineStr">
        <is>
          <t>2024</t>
        </is>
      </c>
      <c r="E1834" s="7" t="n"/>
      <c r="F1834" s="7" t="inlineStr">
        <is>
          <t>2024 CE</t>
        </is>
      </c>
      <c r="G1834" s="7" t="inlineStr">
        <is>
          <t>Exact</t>
        </is>
      </c>
      <c r="H1834" s="7" t="n"/>
      <c r="I1834" s="7" t="n"/>
      <c r="J1834" s="7" t="n"/>
      <c r="K1834" s="2" t="inlineStr">
        <is>
          <t>Understanding clarified: help for ones removed from the congregation</t>
        </is>
      </c>
      <c r="L1834" s="2" t="n"/>
      <c r="M1834" s="7" t="inlineStr">
        <is>
          <t>The Watch Tower Publications Index (“Beliefs Clarified,” list by year) records a clarified understanding in 2024 concerning help for ones removed from the congregation. Index references: w24.08 27-28.</t>
        </is>
      </c>
      <c r="N1834" s="7" t="n"/>
      <c r="O1834" s="13" t="inlineStr">
        <is>
          <t>Jehovah's Witnesses</t>
        </is>
      </c>
      <c r="P1834" s="7" t="inlineStr">
        <is>
          <t>jw.doctrine</t>
        </is>
      </c>
      <c r="Q1834" s="7" t="inlineStr">
        <is>
          <t>beliefs_clarified</t>
        </is>
      </c>
      <c r="R1834" s="7" t="n"/>
      <c r="S1834" s="7" t="n"/>
      <c r="T1834" s="7" t="n"/>
      <c r="U1834" s="7" t="n"/>
      <c r="V1834" s="7" t="n">
        <v>1</v>
      </c>
      <c r="W1834" s="7" t="inlineStr">
        <is>
          <t>Beliefs Clarified</t>
        </is>
      </c>
      <c r="X1834" s="9" t="inlineStr">
        <is>
          <t>open</t>
        </is>
      </c>
      <c r="Y1834" s="7" t="n"/>
      <c r="Z1834" s="7" t="inlineStr">
        <is>
          <t>https://wol.jw.org/en/wol/d/r1/lp-e/1200277174</t>
        </is>
      </c>
      <c r="AA1834" s="7" t="n">
        <v>0</v>
      </c>
      <c r="AB1834" s="7" t="n"/>
      <c r="AC1834" s="7" t="n">
        <v>0</v>
      </c>
      <c r="AD1834" s="7" t="n"/>
      <c r="AE1834" s="7" t="n"/>
      <c r="AF1834" s="7" t="n"/>
      <c r="AG1834" s="7" t="n"/>
      <c r="AH1834" s="7" t="n"/>
      <c r="AI1834" s="7" t="inlineStr">
        <is>
          <t>Index list entry – app detail</t>
        </is>
      </c>
      <c r="AJ1834" s="7" t="n"/>
      <c r="AK1834" s="7" t="n"/>
      <c r="AL1834" s="7" t="n"/>
      <c r="AM1834" s="7" t="n">
        <v>2024</v>
      </c>
      <c r="AN1834" s="10" t="n"/>
      <c r="AO1834" s="10" t="n"/>
      <c r="AP1834" s="10" t="n"/>
      <c r="AQ1834" s="10" t="n"/>
    </row>
    <row r="1835">
      <c r="A1835" s="7" t="inlineStr">
        <is>
          <t>b9-0429</t>
        </is>
      </c>
      <c r="B1835" s="7" t="inlineStr">
        <is>
          <t>Point</t>
        </is>
      </c>
      <c r="C1835" s="7" t="n"/>
      <c r="D1835" s="7" t="inlineStr">
        <is>
          <t>2024</t>
        </is>
      </c>
      <c r="E1835" s="7" t="n"/>
      <c r="F1835" s="7" t="inlineStr">
        <is>
          <t>2024 CE</t>
        </is>
      </c>
      <c r="G1835" s="7" t="inlineStr">
        <is>
          <t>Exact</t>
        </is>
      </c>
      <c r="H1835" s="7" t="n"/>
      <c r="I1835" s="7" t="n"/>
      <c r="J1835" s="7" t="n"/>
      <c r="K1835" s="2" t="inlineStr">
        <is>
          <t>Understanding clarified: Jehovah’s foreknowledge</t>
        </is>
      </c>
      <c r="L1835" s="2" t="n"/>
      <c r="M1835" s="7" t="inlineStr">
        <is>
          <t>The Watch Tower Publications Index (“Beliefs Clarified,” list by year) records a clarified understanding in 2024 concerning Jehovah’s foreknowledge. Index references: w24.02 30.</t>
        </is>
      </c>
      <c r="N1835" s="7" t="n"/>
      <c r="O1835" s="13" t="inlineStr">
        <is>
          <t>Jehovah's Witnesses</t>
        </is>
      </c>
      <c r="P1835" s="7" t="inlineStr">
        <is>
          <t>jw.doctrine</t>
        </is>
      </c>
      <c r="Q1835" s="7" t="inlineStr">
        <is>
          <t>beliefs_clarified</t>
        </is>
      </c>
      <c r="R1835" s="7" t="n"/>
      <c r="S1835" s="7" t="n"/>
      <c r="T1835" s="7" t="n"/>
      <c r="U1835" s="7" t="n"/>
      <c r="V1835" s="7" t="n">
        <v>1</v>
      </c>
      <c r="W1835" s="7" t="inlineStr">
        <is>
          <t>Beliefs Clarified</t>
        </is>
      </c>
      <c r="X1835" s="9" t="inlineStr">
        <is>
          <t>open</t>
        </is>
      </c>
      <c r="Y1835" s="7" t="n"/>
      <c r="Z1835" s="7" t="inlineStr">
        <is>
          <t>https://wol.jw.org/en/wol/d/r1/lp-e/1200277174</t>
        </is>
      </c>
      <c r="AA1835" s="7" t="n">
        <v>0</v>
      </c>
      <c r="AB1835" s="7" t="n"/>
      <c r="AC1835" s="7" t="n">
        <v>0</v>
      </c>
      <c r="AD1835" s="7" t="n"/>
      <c r="AE1835" s="7" t="n"/>
      <c r="AF1835" s="7" t="n"/>
      <c r="AG1835" s="7" t="n"/>
      <c r="AH1835" s="7" t="n"/>
      <c r="AI1835" s="7" t="inlineStr">
        <is>
          <t>Index list entry – app detail</t>
        </is>
      </c>
      <c r="AJ1835" s="7" t="n"/>
      <c r="AK1835" s="7" t="n"/>
      <c r="AL1835" s="7" t="n"/>
      <c r="AM1835" s="7" t="n">
        <v>2024</v>
      </c>
      <c r="AN1835" s="10" t="n"/>
      <c r="AO1835" s="10" t="n"/>
      <c r="AP1835" s="10" t="n"/>
      <c r="AQ1835" s="10" t="n"/>
    </row>
    <row r="1836">
      <c r="A1836" s="7" t="inlineStr">
        <is>
          <t>b9-0430</t>
        </is>
      </c>
      <c r="B1836" s="7" t="inlineStr">
        <is>
          <t>Point</t>
        </is>
      </c>
      <c r="C1836" s="7" t="n"/>
      <c r="D1836" s="7" t="inlineStr">
        <is>
          <t>2024</t>
        </is>
      </c>
      <c r="E1836" s="7" t="n"/>
      <c r="F1836" s="7" t="inlineStr">
        <is>
          <t>2024 CE</t>
        </is>
      </c>
      <c r="G1836" s="7" t="inlineStr">
        <is>
          <t>Exact</t>
        </is>
      </c>
      <c r="H1836" s="7" t="n"/>
      <c r="I1836" s="7" t="n"/>
      <c r="J1836" s="7" t="n"/>
      <c r="K1836" s="2" t="inlineStr">
        <is>
          <t>Understanding clarified: ‘marking’ an individual (2 Thess. 3:14)</t>
        </is>
      </c>
      <c r="L1836" s="2" t="n"/>
      <c r="M1836" s="7" t="inlineStr">
        <is>
          <t>The Watch Tower Publications Index (“Beliefs Clarified,” list by year) records a clarified understanding in 2024 concerning ‘marking’ an individual (2 Thess. 3:14). Index references: w24.08 7.</t>
        </is>
      </c>
      <c r="N1836" s="7" t="n"/>
      <c r="O1836" s="13" t="inlineStr">
        <is>
          <t>Jehovah's Witnesses</t>
        </is>
      </c>
      <c r="P1836" s="7" t="inlineStr">
        <is>
          <t>jw.doctrine</t>
        </is>
      </c>
      <c r="Q1836" s="7" t="inlineStr">
        <is>
          <t>beliefs_clarified</t>
        </is>
      </c>
      <c r="R1836" s="7" t="n"/>
      <c r="S1836" s="7" t="n"/>
      <c r="T1836" s="7" t="inlineStr">
        <is>
          <t>2 Thess. 3:14</t>
        </is>
      </c>
      <c r="U1836" s="7" t="n"/>
      <c r="V1836" s="7" t="n">
        <v>1</v>
      </c>
      <c r="W1836" s="7" t="inlineStr">
        <is>
          <t>Beliefs Clarified</t>
        </is>
      </c>
      <c r="X1836" s="9" t="inlineStr">
        <is>
          <t>open</t>
        </is>
      </c>
      <c r="Y1836" s="7" t="n"/>
      <c r="Z1836" s="7" t="inlineStr">
        <is>
          <t>https://wol.jw.org/en/wol/d/r1/lp-e/1200277174</t>
        </is>
      </c>
      <c r="AA1836" s="7" t="n">
        <v>0</v>
      </c>
      <c r="AB1836" s="7" t="n"/>
      <c r="AC1836" s="7" t="n">
        <v>0</v>
      </c>
      <c r="AD1836" s="7" t="n"/>
      <c r="AE1836" s="7" t="n"/>
      <c r="AF1836" s="7" t="n"/>
      <c r="AG1836" s="7" t="n"/>
      <c r="AH1836" s="7" t="n"/>
      <c r="AI1836" s="7" t="inlineStr">
        <is>
          <t>Index list entry – app detail</t>
        </is>
      </c>
      <c r="AJ1836" s="7" t="n"/>
      <c r="AK1836" s="7" t="n"/>
      <c r="AL1836" s="7" t="n"/>
      <c r="AM1836" s="7" t="n">
        <v>2024</v>
      </c>
      <c r="AN1836" s="10" t="n"/>
      <c r="AO1836" s="10" t="n"/>
      <c r="AP1836" s="10" t="n"/>
      <c r="AQ1836" s="10" t="n"/>
    </row>
    <row r="1837">
      <c r="A1837" s="7" t="inlineStr">
        <is>
          <t>b9-0431</t>
        </is>
      </c>
      <c r="B1837" s="7" t="inlineStr">
        <is>
          <t>Point</t>
        </is>
      </c>
      <c r="C1837" s="7" t="n"/>
      <c r="D1837" s="7" t="inlineStr">
        <is>
          <t>2024</t>
        </is>
      </c>
      <c r="E1837" s="7" t="n"/>
      <c r="F1837" s="7" t="inlineStr">
        <is>
          <t>2024 CE</t>
        </is>
      </c>
      <c r="G1837" s="7" t="inlineStr">
        <is>
          <t>Exact</t>
        </is>
      </c>
      <c r="H1837" s="7" t="n"/>
      <c r="I1837" s="7" t="n"/>
      <c r="J1837" s="7" t="n"/>
      <c r="K1837" s="2" t="inlineStr">
        <is>
          <t>Understanding clarified: ones taken along, ones abandoned (Matt. 24:40, 41)</t>
        </is>
      </c>
      <c r="L1837" s="2" t="n"/>
      <c r="M1837" s="7" t="inlineStr">
        <is>
          <t>The Watch Tower Publications Index (“Beliefs Clarified,” list by year) records a clarified understanding in 2024 concerning ones taken along, ones abandoned (Matt. 24:40, 41). Index references: w24.09 24.</t>
        </is>
      </c>
      <c r="N1837" s="7" t="n"/>
      <c r="O1837" s="13" t="inlineStr">
        <is>
          <t>Jehovah's Witnesses</t>
        </is>
      </c>
      <c r="P1837" s="7" t="inlineStr">
        <is>
          <t>jw.doctrine</t>
        </is>
      </c>
      <c r="Q1837" s="7" t="inlineStr">
        <is>
          <t>beliefs_clarified</t>
        </is>
      </c>
      <c r="R1837" s="7" t="n"/>
      <c r="S1837" s="7" t="n"/>
      <c r="T1837" s="7" t="inlineStr">
        <is>
          <t>Matt. 24:40, 41</t>
        </is>
      </c>
      <c r="U1837" s="7" t="n"/>
      <c r="V1837" s="7" t="n">
        <v>1</v>
      </c>
      <c r="W1837" s="7" t="inlineStr">
        <is>
          <t>Beliefs Clarified</t>
        </is>
      </c>
      <c r="X1837" s="9" t="inlineStr">
        <is>
          <t>open</t>
        </is>
      </c>
      <c r="Y1837" s="7" t="n"/>
      <c r="Z1837" s="7" t="inlineStr">
        <is>
          <t>https://wol.jw.org/en/wol/d/r1/lp-e/1200277174</t>
        </is>
      </c>
      <c r="AA1837" s="7" t="n">
        <v>0</v>
      </c>
      <c r="AB1837" s="7" t="n"/>
      <c r="AC1837" s="7" t="n">
        <v>0</v>
      </c>
      <c r="AD1837" s="7" t="n"/>
      <c r="AE1837" s="7" t="n"/>
      <c r="AF1837" s="7" t="n"/>
      <c r="AG1837" s="7" t="n"/>
      <c r="AH1837" s="7" t="n"/>
      <c r="AI1837" s="7" t="inlineStr">
        <is>
          <t>Index list entry – app detail</t>
        </is>
      </c>
      <c r="AJ1837" s="7" t="n"/>
      <c r="AK1837" s="7" t="n"/>
      <c r="AL1837" s="7" t="n"/>
      <c r="AM1837" s="7" t="n">
        <v>2024</v>
      </c>
      <c r="AN1837" s="10" t="n"/>
      <c r="AO1837" s="10" t="n"/>
      <c r="AP1837" s="10" t="n"/>
      <c r="AQ1837" s="10" t="n"/>
    </row>
    <row r="1838">
      <c r="A1838" s="7" t="inlineStr">
        <is>
          <t>b9-0432</t>
        </is>
      </c>
      <c r="B1838" s="7" t="inlineStr">
        <is>
          <t>Point</t>
        </is>
      </c>
      <c r="C1838" s="7" t="n"/>
      <c r="D1838" s="7" t="inlineStr">
        <is>
          <t>2024</t>
        </is>
      </c>
      <c r="E1838" s="7" t="n"/>
      <c r="F1838" s="7" t="inlineStr">
        <is>
          <t>2024 CE</t>
        </is>
      </c>
      <c r="G1838" s="7" t="inlineStr">
        <is>
          <t>Exact</t>
        </is>
      </c>
      <c r="H1838" s="7" t="n"/>
      <c r="I1838" s="7" t="n"/>
      <c r="J1838" s="7" t="n"/>
      <c r="K1838" s="2" t="inlineStr">
        <is>
          <t>Understanding clarified: resurrection of individuals from Sodom and Gomorrah</t>
        </is>
      </c>
      <c r="L1838" s="2" t="n"/>
      <c r="M1838" s="7" t="inlineStr">
        <is>
          <t>The Watch Tower Publications Index (“Beliefs Clarified,” list by year) records a clarified understanding in 2024 concerning resurrection of individuals from Sodom and Gomorrah. Index references: w24.05 2-3, 5-6.</t>
        </is>
      </c>
      <c r="N1838" s="7" t="n"/>
      <c r="O1838" s="13" t="inlineStr">
        <is>
          <t>Jehovah's Witnesses</t>
        </is>
      </c>
      <c r="P1838" s="7" t="inlineStr">
        <is>
          <t>jw.doctrine</t>
        </is>
      </c>
      <c r="Q1838" s="7" t="inlineStr">
        <is>
          <t>beliefs_clarified</t>
        </is>
      </c>
      <c r="R1838" s="7" t="n"/>
      <c r="S1838" s="7" t="n"/>
      <c r="T1838" s="7" t="n"/>
      <c r="U1838" s="7" t="n"/>
      <c r="V1838" s="7" t="n">
        <v>1</v>
      </c>
      <c r="W1838" s="7" t="inlineStr">
        <is>
          <t>Beliefs Clarified</t>
        </is>
      </c>
      <c r="X1838" s="9" t="inlineStr">
        <is>
          <t>open</t>
        </is>
      </c>
      <c r="Y1838" s="7" t="n"/>
      <c r="Z1838" s="7" t="inlineStr">
        <is>
          <t>https://wol.jw.org/en/wol/d/r1/lp-e/1200277174</t>
        </is>
      </c>
      <c r="AA1838" s="7" t="n">
        <v>0</v>
      </c>
      <c r="AB1838" s="7" t="n"/>
      <c r="AC1838" s="7" t="n">
        <v>0</v>
      </c>
      <c r="AD1838" s="7" t="n"/>
      <c r="AE1838" s="7" t="n"/>
      <c r="AF1838" s="7" t="n"/>
      <c r="AG1838" s="7" t="n"/>
      <c r="AH1838" s="7" t="n"/>
      <c r="AI1838" s="7" t="inlineStr">
        <is>
          <t>Index list entry – app detail</t>
        </is>
      </c>
      <c r="AJ1838" s="7" t="n"/>
      <c r="AK1838" s="7" t="n"/>
      <c r="AL1838" s="7" t="n"/>
      <c r="AM1838" s="7" t="n">
        <v>2024</v>
      </c>
      <c r="AN1838" s="10" t="n"/>
      <c r="AO1838" s="10" t="n"/>
      <c r="AP1838" s="10" t="n"/>
      <c r="AQ1838" s="10" t="n"/>
    </row>
    <row r="1839">
      <c r="A1839" s="7" t="inlineStr">
        <is>
          <t>b9-0433</t>
        </is>
      </c>
      <c r="B1839" s="7" t="inlineStr">
        <is>
          <t>Point</t>
        </is>
      </c>
      <c r="C1839" s="7" t="n"/>
      <c r="D1839" s="7" t="inlineStr">
        <is>
          <t>2024</t>
        </is>
      </c>
      <c r="E1839" s="7" t="n"/>
      <c r="F1839" s="7" t="inlineStr">
        <is>
          <t>2024 CE</t>
        </is>
      </c>
      <c r="G1839" s="7" t="inlineStr">
        <is>
          <t>Exact</t>
        </is>
      </c>
      <c r="H1839" s="7" t="n"/>
      <c r="I1839" s="7" t="n"/>
      <c r="J1839" s="7" t="n"/>
      <c r="K1839" s="2" t="inlineStr">
        <is>
          <t>Understanding clarified: resurrection of individuals who died in the Flood, from seven Canaanite nations, among 185,000 Assyrian soldiers</t>
        </is>
      </c>
      <c r="L1839" s="2" t="n"/>
      <c r="M1839" s="7" t="inlineStr">
        <is>
          <t>The Watch Tower Publications Index (“Beliefs Clarified,” list by year) records a clarified understanding in 2024 concerning resurrection of individuals who died in the Flood, from seven Canaanite nations, among 185,000 Assyrian soldiers. Index references: w24.05 3.</t>
        </is>
      </c>
      <c r="N1839" s="7" t="n"/>
      <c r="O1839" s="13" t="inlineStr">
        <is>
          <t>Jehovah's Witnesses</t>
        </is>
      </c>
      <c r="P1839" s="7" t="inlineStr">
        <is>
          <t>jw.doctrine</t>
        </is>
      </c>
      <c r="Q1839" s="7" t="inlineStr">
        <is>
          <t>beliefs_clarified</t>
        </is>
      </c>
      <c r="R1839" s="7" t="n"/>
      <c r="S1839" s="7" t="n"/>
      <c r="T1839" s="7" t="n"/>
      <c r="U1839" s="7" t="n"/>
      <c r="V1839" s="7" t="n">
        <v>1</v>
      </c>
      <c r="W1839" s="7" t="inlineStr">
        <is>
          <t>Beliefs Clarified</t>
        </is>
      </c>
      <c r="X1839" s="9" t="inlineStr">
        <is>
          <t>open</t>
        </is>
      </c>
      <c r="Y1839" s="7" t="n"/>
      <c r="Z1839" s="7" t="inlineStr">
        <is>
          <t>https://wol.jw.org/en/wol/d/r1/lp-e/1200277174</t>
        </is>
      </c>
      <c r="AA1839" s="7" t="n">
        <v>0</v>
      </c>
      <c r="AB1839" s="7" t="n"/>
      <c r="AC1839" s="7" t="n">
        <v>0</v>
      </c>
      <c r="AD1839" s="7" t="n"/>
      <c r="AE1839" s="7" t="n"/>
      <c r="AF1839" s="7" t="n"/>
      <c r="AG1839" s="7" t="n"/>
      <c r="AH1839" s="7" t="n"/>
      <c r="AI1839" s="7" t="inlineStr">
        <is>
          <t>Index list entry – app detail</t>
        </is>
      </c>
      <c r="AJ1839" s="7" t="n"/>
      <c r="AK1839" s="7" t="n"/>
      <c r="AL1839" s="7" t="n"/>
      <c r="AM1839" s="7" t="n">
        <v>2024</v>
      </c>
      <c r="AN1839" s="10" t="n"/>
      <c r="AO1839" s="10" t="n"/>
      <c r="AP1839" s="10" t="n"/>
      <c r="AQ1839" s="10" t="n"/>
    </row>
    <row r="1840">
      <c r="A1840" s="7" t="inlineStr">
        <is>
          <t>b9-0434</t>
        </is>
      </c>
      <c r="B1840" s="7" t="inlineStr">
        <is>
          <t>Point</t>
        </is>
      </c>
      <c r="C1840" s="7" t="n"/>
      <c r="D1840" s="7" t="inlineStr">
        <is>
          <t>2024</t>
        </is>
      </c>
      <c r="E1840" s="7" t="n"/>
      <c r="F1840" s="7" t="inlineStr">
        <is>
          <t>2024 CE</t>
        </is>
      </c>
      <c r="G1840" s="7" t="inlineStr">
        <is>
          <t>Exact</t>
        </is>
      </c>
      <c r="H1840" s="7" t="n"/>
      <c r="I1840" s="7" t="n"/>
      <c r="J1840" s="7" t="n"/>
      <c r="K1840" s="2" t="inlineStr">
        <is>
          <t>Understanding clarified: resurrection of Solomon</t>
        </is>
      </c>
      <c r="L1840" s="2" t="n"/>
      <c r="M1840" s="7" t="inlineStr">
        <is>
          <t>The Watch Tower Publications Index (“Beliefs Clarified,” list by year) records a clarified understanding in 2024 concerning resurrection of Solomon. Index references: w24.05 4; w24.12 31.</t>
        </is>
      </c>
      <c r="N1840" s="7" t="n"/>
      <c r="O1840" s="13" t="inlineStr">
        <is>
          <t>Jehovah's Witnesses</t>
        </is>
      </c>
      <c r="P1840" s="7" t="inlineStr">
        <is>
          <t>jw.doctrine</t>
        </is>
      </c>
      <c r="Q1840" s="7" t="inlineStr">
        <is>
          <t>beliefs_clarified</t>
        </is>
      </c>
      <c r="R1840" s="7" t="n"/>
      <c r="S1840" s="7" t="n"/>
      <c r="T1840" s="7" t="n"/>
      <c r="U1840" s="7" t="n"/>
      <c r="V1840" s="7" t="n">
        <v>1</v>
      </c>
      <c r="W1840" s="7" t="inlineStr">
        <is>
          <t>Beliefs Clarified</t>
        </is>
      </c>
      <c r="X1840" s="9" t="inlineStr">
        <is>
          <t>open</t>
        </is>
      </c>
      <c r="Y1840" s="7" t="n"/>
      <c r="Z1840" s="7" t="inlineStr">
        <is>
          <t>https://wol.jw.org/en/wol/d/r1/lp-e/1200277174</t>
        </is>
      </c>
      <c r="AA1840" s="7" t="n">
        <v>0</v>
      </c>
      <c r="AB1840" s="7" t="n"/>
      <c r="AC1840" s="7" t="n">
        <v>0</v>
      </c>
      <c r="AD1840" s="7" t="n"/>
      <c r="AE1840" s="7" t="n"/>
      <c r="AF1840" s="7" t="n"/>
      <c r="AG1840" s="7" t="n"/>
      <c r="AH1840" s="7" t="n"/>
      <c r="AI1840" s="7" t="inlineStr">
        <is>
          <t>Index list entry – app detail</t>
        </is>
      </c>
      <c r="AJ1840" s="7" t="n"/>
      <c r="AK1840" s="7" t="n"/>
      <c r="AL1840" s="7" t="n"/>
      <c r="AM1840" s="7" t="n">
        <v>2024</v>
      </c>
      <c r="AN1840" s="10" t="n"/>
      <c r="AO1840" s="10" t="n"/>
      <c r="AP1840" s="10" t="n"/>
      <c r="AQ1840" s="10" t="n"/>
    </row>
    <row r="1841">
      <c r="A1841" s="7" t="inlineStr">
        <is>
          <t>b9-0435</t>
        </is>
      </c>
      <c r="B1841" s="7" t="inlineStr">
        <is>
          <t>Point</t>
        </is>
      </c>
      <c r="C1841" s="7" t="n"/>
      <c r="D1841" s="7" t="inlineStr">
        <is>
          <t>2024</t>
        </is>
      </c>
      <c r="E1841" s="7" t="n"/>
      <c r="F1841" s="7" t="inlineStr">
        <is>
          <t>2024 CE</t>
        </is>
      </c>
      <c r="G1841" s="7" t="inlineStr">
        <is>
          <t>Exact</t>
        </is>
      </c>
      <c r="H1841" s="7" t="n"/>
      <c r="I1841" s="7" t="n"/>
      <c r="J1841" s="7" t="n"/>
      <c r="K1841" s="2" t="inlineStr">
        <is>
          <t>Understanding clarified: resurrection of unrighteous (Acts 24:15)</t>
        </is>
      </c>
      <c r="L1841" s="2" t="n"/>
      <c r="M1841" s="7" t="inlineStr">
        <is>
          <t>The Watch Tower Publications Index (“Beliefs Clarified,” list by year) records a clarified understanding in 2024 concerning resurrection of unrighteous (Acts 24:15). Index references: w24.05 2-7, 10-11.</t>
        </is>
      </c>
      <c r="N1841" s="7" t="n"/>
      <c r="O1841" s="13" t="inlineStr">
        <is>
          <t>Jehovah's Witnesses</t>
        </is>
      </c>
      <c r="P1841" s="7" t="inlineStr">
        <is>
          <t>jw.doctrine</t>
        </is>
      </c>
      <c r="Q1841" s="7" t="inlineStr">
        <is>
          <t>beliefs_clarified</t>
        </is>
      </c>
      <c r="R1841" s="7" t="n"/>
      <c r="S1841" s="7" t="n"/>
      <c r="T1841" s="7" t="inlineStr">
        <is>
          <t>Acts 24:15</t>
        </is>
      </c>
      <c r="U1841" s="7" t="n"/>
      <c r="V1841" s="7" t="n">
        <v>1</v>
      </c>
      <c r="W1841" s="7" t="inlineStr">
        <is>
          <t>Beliefs Clarified</t>
        </is>
      </c>
      <c r="X1841" s="9" t="inlineStr">
        <is>
          <t>open</t>
        </is>
      </c>
      <c r="Y1841" s="7" t="n"/>
      <c r="Z1841" s="7" t="inlineStr">
        <is>
          <t>https://wol.jw.org/en/wol/d/r1/lp-e/1200277174</t>
        </is>
      </c>
      <c r="AA1841" s="7" t="n">
        <v>0</v>
      </c>
      <c r="AB1841" s="7" t="n"/>
      <c r="AC1841" s="7" t="n">
        <v>0</v>
      </c>
      <c r="AD1841" s="7" t="n"/>
      <c r="AE1841" s="7" t="n"/>
      <c r="AF1841" s="7" t="n"/>
      <c r="AG1841" s="7" t="n"/>
      <c r="AH1841" s="7" t="n"/>
      <c r="AI1841" s="7" t="inlineStr">
        <is>
          <t>Index list entry – app detail</t>
        </is>
      </c>
      <c r="AJ1841" s="7" t="n"/>
      <c r="AK1841" s="7" t="n"/>
      <c r="AL1841" s="7" t="n"/>
      <c r="AM1841" s="7" t="n">
        <v>2024</v>
      </c>
      <c r="AN1841" s="10" t="n"/>
      <c r="AO1841" s="10" t="n"/>
      <c r="AP1841" s="10" t="n"/>
      <c r="AQ1841" s="10" t="n"/>
    </row>
    <row r="1842">
      <c r="A1842" s="7" t="inlineStr">
        <is>
          <t>b9-0436</t>
        </is>
      </c>
      <c r="B1842" s="7" t="inlineStr">
        <is>
          <t>Point</t>
        </is>
      </c>
      <c r="C1842" s="7" t="n"/>
      <c r="D1842" s="7" t="inlineStr">
        <is>
          <t>2024</t>
        </is>
      </c>
      <c r="E1842" s="7" t="n"/>
      <c r="F1842" s="7" t="inlineStr">
        <is>
          <t>2024 CE</t>
        </is>
      </c>
      <c r="G1842" s="7" t="inlineStr">
        <is>
          <t>Exact</t>
        </is>
      </c>
      <c r="H1842" s="7" t="n"/>
      <c r="I1842" s="7" t="n"/>
      <c r="J1842" s="7" t="n"/>
      <c r="K1842" s="2" t="inlineStr">
        <is>
          <t>Understanding clarified: status of individuals during great tribulation</t>
        </is>
      </c>
      <c r="L1842" s="2" t="n"/>
      <c r="M1842" s="7" t="inlineStr">
        <is>
          <t>The Watch Tower Publications Index (“Beliefs Clarified,” list by year) records a clarified understanding in 2024 concerning status of individuals during great tribulation. Index references: w24.05 8-13.</t>
        </is>
      </c>
      <c r="N1842" s="7" t="n"/>
      <c r="O1842" s="13" t="inlineStr">
        <is>
          <t>Jehovah's Witnesses</t>
        </is>
      </c>
      <c r="P1842" s="7" t="inlineStr">
        <is>
          <t>jw.doctrine</t>
        </is>
      </c>
      <c r="Q1842" s="7" t="inlineStr">
        <is>
          <t>beliefs_clarified</t>
        </is>
      </c>
      <c r="R1842" s="7" t="n"/>
      <c r="S1842" s="7" t="n"/>
      <c r="T1842" s="7" t="n"/>
      <c r="U1842" s="7" t="n"/>
      <c r="V1842" s="7" t="n">
        <v>1</v>
      </c>
      <c r="W1842" s="7" t="inlineStr">
        <is>
          <t>Beliefs Clarified</t>
        </is>
      </c>
      <c r="X1842" s="9" t="inlineStr">
        <is>
          <t>open</t>
        </is>
      </c>
      <c r="Y1842" s="7" t="n"/>
      <c r="Z1842" s="7" t="inlineStr">
        <is>
          <t>https://wol.jw.org/en/wol/d/r1/lp-e/1200277174</t>
        </is>
      </c>
      <c r="AA1842" s="7" t="n">
        <v>0</v>
      </c>
      <c r="AB1842" s="7" t="n"/>
      <c r="AC1842" s="7" t="n">
        <v>0</v>
      </c>
      <c r="AD1842" s="7" t="n"/>
      <c r="AE1842" s="7" t="n"/>
      <c r="AF1842" s="7" t="n"/>
      <c r="AG1842" s="7" t="n"/>
      <c r="AH1842" s="7" t="n"/>
      <c r="AI1842" s="7" t="inlineStr">
        <is>
          <t>Index list entry – app detail</t>
        </is>
      </c>
      <c r="AJ1842" s="7" t="n"/>
      <c r="AK1842" s="7" t="n"/>
      <c r="AL1842" s="7" t="n"/>
      <c r="AM1842" s="7" t="n">
        <v>2024</v>
      </c>
      <c r="AN1842" s="10" t="n"/>
      <c r="AO1842" s="10" t="n"/>
      <c r="AP1842" s="10" t="n"/>
      <c r="AQ1842" s="10" t="n"/>
    </row>
    <row r="1843">
      <c r="A1843" s="7" t="inlineStr">
        <is>
          <t>b9-0437</t>
        </is>
      </c>
      <c r="B1843" s="7" t="inlineStr">
        <is>
          <t>Point</t>
        </is>
      </c>
      <c r="C1843" s="7" t="n"/>
      <c r="D1843" s="7" t="inlineStr">
        <is>
          <t>2024</t>
        </is>
      </c>
      <c r="E1843" s="7" t="n"/>
      <c r="F1843" s="7" t="inlineStr">
        <is>
          <t>2024 CE</t>
        </is>
      </c>
      <c r="G1843" s="7" t="inlineStr">
        <is>
          <t>Exact</t>
        </is>
      </c>
      <c r="H1843" s="7" t="n"/>
      <c r="I1843" s="7" t="n"/>
      <c r="J1843" s="7" t="n"/>
      <c r="K1843" s="2" t="inlineStr">
        <is>
          <t>2024: “Declare the Good News!” Conventions</t>
        </is>
      </c>
      <c r="L1843" s="2" t="n"/>
      <c r="M1843" s="7" t="inlineStr">
        <is>
          <t>The Watch Tower Publications Index lists the 2024 conventions of Jehovah’s Witnesses as “Declare the Good News!” Conventions.</t>
        </is>
      </c>
      <c r="N1843" s="7" t="n"/>
      <c r="O1843" s="13" t="inlineStr">
        <is>
          <t>Jehovah's Witnesses</t>
        </is>
      </c>
      <c r="P1843" s="7" t="inlineStr">
        <is>
          <t>jw.convention</t>
        </is>
      </c>
      <c r="Q1843" s="7" t="inlineStr">
        <is>
          <t>convention</t>
        </is>
      </c>
      <c r="R1843" s="7" t="n"/>
      <c r="S1843" s="7" t="n"/>
      <c r="T1843" s="7" t="n"/>
      <c r="U1843" s="7" t="n"/>
      <c r="V1843" s="7" t="n">
        <v>1</v>
      </c>
      <c r="W1843" s="7" t="inlineStr">
        <is>
          <t>Conventions</t>
        </is>
      </c>
      <c r="X1843" s="9" t="inlineStr">
        <is>
          <t>open</t>
        </is>
      </c>
      <c r="Y1843" s="7" t="n"/>
      <c r="Z1843" s="7" t="inlineStr">
        <is>
          <t>https://wol.jw.org/en/wol/d/r1/lp-e/1200271388</t>
        </is>
      </c>
      <c r="AA1843" s="7" t="n">
        <v>0</v>
      </c>
      <c r="AB1843" s="7" t="n"/>
      <c r="AC1843" s="7" t="n">
        <v>0</v>
      </c>
      <c r="AD1843" s="7" t="n"/>
      <c r="AE1843" s="7" t="n"/>
      <c r="AF1843" s="7" t="n"/>
      <c r="AG1843" s="7" t="n"/>
      <c r="AH1843" s="7" t="n"/>
      <c r="AI1843" s="7" t="inlineStr">
        <is>
          <t>Index list entry – app detail</t>
        </is>
      </c>
      <c r="AJ1843" s="7" t="n"/>
      <c r="AK1843" s="7" t="n"/>
      <c r="AL1843" s="7" t="n"/>
      <c r="AM1843" s="7" t="n">
        <v>2024</v>
      </c>
      <c r="AN1843" s="10" t="n"/>
      <c r="AO1843" s="10" t="n"/>
      <c r="AP1843" s="10" t="n"/>
      <c r="AQ1843" s="10" t="n"/>
    </row>
    <row r="1844">
      <c r="A1844" s="7" t="inlineStr">
        <is>
          <t>b9-0438</t>
        </is>
      </c>
      <c r="B1844" s="7" t="inlineStr">
        <is>
          <t>Point</t>
        </is>
      </c>
      <c r="C1844" s="7" t="n"/>
      <c r="D1844" s="7" t="inlineStr">
        <is>
          <t>2024, March 15</t>
        </is>
      </c>
      <c r="E1844" s="7" t="n"/>
      <c r="F1844" s="7" t="inlineStr">
        <is>
          <t>2024 CE</t>
        </is>
      </c>
      <c r="G1844" s="7" t="inlineStr">
        <is>
          <t>Exact</t>
        </is>
      </c>
      <c r="H1844" s="7" t="n"/>
      <c r="I1844" s="7" t="n"/>
      <c r="J1844" s="7" t="n"/>
      <c r="K1844" s="2" t="inlineStr">
        <is>
          <t>Adjustments to dress standard at theocratic events</t>
        </is>
      </c>
      <c r="L1844" s="2" t="inlineStr">
        <is>
          <t>‘எல்லாரும் மனம் திருந்த வேண்டும் என்று விரும்புவதை’ நம்முடைய பாசமான அப்பா யெகோவா எப்படி நிரூபித்துக் காட்டியிருக்கிறார் என்பதைப் பற்றி…</t>
        </is>
      </c>
      <c r="M1844" s="7" t="inlineStr">
        <is>
          <t>2024 Governing Body Update #2 considered how Jehovah desires all to attain to repentance and announced adjustments to the standard of dress at theocratic events.</t>
        </is>
      </c>
      <c r="N1844" s="7" t="inlineStr">
        <is>
          <t>‘எல்லாரும் மனம் திருந்த வேண்டும் என்று விரும்புவதை’ நம்முடைய பாசமான அப்பா யெகோவா எப்படி நிரூபித்துக் காட்டியிருக்கிறார் என்பதைப் பற்றி இந்த அறிக்கையில் நாம் பார்ப்போம்.</t>
        </is>
      </c>
      <c r="O1844" s="13" t="inlineStr">
        <is>
          <t>Jehovah's Witnesses</t>
        </is>
      </c>
      <c r="P1844" s="7" t="inlineStr">
        <is>
          <t>jw.organization</t>
        </is>
      </c>
      <c r="Q1844" s="7" t="inlineStr">
        <is>
          <t>video_update</t>
        </is>
      </c>
      <c r="R1844" s="7" t="n"/>
      <c r="S1844" s="7" t="n"/>
      <c r="T1844" s="7" t="n"/>
      <c r="U1844" s="7" t="n"/>
      <c r="V1844" s="7" t="n">
        <v>1</v>
      </c>
      <c r="W1844" s="7" t="inlineStr">
        <is>
          <t>2024 Governing Body Update #2</t>
        </is>
      </c>
      <c r="X1844" s="9" t="inlineStr">
        <is>
          <t>open</t>
        </is>
      </c>
      <c r="Y1844" s="9" t="inlineStr">
        <is>
          <t>open</t>
        </is>
      </c>
      <c r="Z1844" s="7" t="inlineStr">
        <is>
          <t>https://www.jw.org/en/news/region/global/2024-Governing-Body-Update-2/</t>
        </is>
      </c>
      <c r="AA1844" s="7" t="n">
        <v>1</v>
      </c>
      <c r="AB1844" s="9" t="inlineStr">
        <is>
          <t>open</t>
        </is>
      </c>
      <c r="AC1844" s="7" t="n">
        <v>0</v>
      </c>
      <c r="AD1844" s="7" t="n"/>
      <c r="AE1844" s="7" t="n"/>
      <c r="AF1844" s="7" t="n"/>
      <c r="AG1844" s="7" t="n"/>
      <c r="AH1844" s="7" t="n"/>
      <c r="AI1844" s="7" t="n"/>
      <c r="AJ1844" s="7" t="n"/>
      <c r="AK1844" s="7" t="n"/>
      <c r="AL1844" s="7" t="inlineStr">
        <is>
          <t>Date is the first-published date of this Governing Body Update video on jw.org (jw.org media metadata).</t>
        </is>
      </c>
      <c r="AM1844" s="7" t="n">
        <v>2024.2043</v>
      </c>
      <c r="AN1844" s="10" t="n"/>
      <c r="AO1844" s="10" t="n"/>
      <c r="AP1844" s="10" t="n"/>
      <c r="AQ1844" s="10" t="n"/>
    </row>
    <row r="1845">
      <c r="A1845" s="7" t="inlineStr">
        <is>
          <t>b9-0439</t>
        </is>
      </c>
      <c r="B1845" s="7" t="inlineStr">
        <is>
          <t>Point</t>
        </is>
      </c>
      <c r="C1845" s="7" t="n"/>
      <c r="D1845" s="7" t="inlineStr">
        <is>
          <t>2024, May 3</t>
        </is>
      </c>
      <c r="E1845" s="7" t="n"/>
      <c r="F1845" s="7" t="inlineStr">
        <is>
          <t>2024 CE</t>
        </is>
      </c>
      <c r="G1845" s="7" t="inlineStr">
        <is>
          <t>Exact</t>
        </is>
      </c>
      <c r="H1845" s="7" t="n"/>
      <c r="I1845" s="7" t="n"/>
      <c r="J1845" s="7" t="n"/>
      <c r="K1845" s="2" t="inlineStr">
        <is>
          <t>Bible principles for decisions on dress and grooming</t>
        </is>
      </c>
      <c r="L1845" s="2" t="inlineStr">
        <is>
          <t>இந்த அறிக்கையில், உடை மற்றும் அலங்காரத்தை பற்றி முடிவு எடுக்க நமக்கு உதவும் பைபிள் நியமங்களை பார்க்கலாம்.</t>
        </is>
      </c>
      <c r="M1845" s="7" t="inlineStr">
        <is>
          <t>2024 Governing Body Update #3 considered Bible principles that guide decisions about dress and grooming.</t>
        </is>
      </c>
      <c r="N1845" s="7" t="inlineStr">
        <is>
          <t>இந்த அறிக்கையில், உடை மற்றும் அலங்காரத்தை பற்றி முடிவு எடுக்க நமக்கு உதவும் பைபிள் நியமங்களை பார்க்கலாம்.</t>
        </is>
      </c>
      <c r="O1845" s="13" t="inlineStr">
        <is>
          <t>Jehovah's Witnesses</t>
        </is>
      </c>
      <c r="P1845" s="7" t="inlineStr">
        <is>
          <t>jw.organization</t>
        </is>
      </c>
      <c r="Q1845" s="7" t="inlineStr">
        <is>
          <t>video_update</t>
        </is>
      </c>
      <c r="R1845" s="7" t="n"/>
      <c r="S1845" s="7" t="n"/>
      <c r="T1845" s="7" t="n"/>
      <c r="U1845" s="7" t="n"/>
      <c r="V1845" s="7" t="n">
        <v>1</v>
      </c>
      <c r="W1845" s="7" t="inlineStr">
        <is>
          <t>2024 Governing Body Update #3</t>
        </is>
      </c>
      <c r="X1845" s="9" t="inlineStr">
        <is>
          <t>open</t>
        </is>
      </c>
      <c r="Y1845" s="9" t="inlineStr">
        <is>
          <t>open</t>
        </is>
      </c>
      <c r="Z1845" s="7" t="inlineStr">
        <is>
          <t>https://www.jw.org/en/news/region/global/2024-Governing-Body-Update-3/</t>
        </is>
      </c>
      <c r="AA1845" s="7" t="n">
        <v>1</v>
      </c>
      <c r="AB1845" s="9" t="inlineStr">
        <is>
          <t>open</t>
        </is>
      </c>
      <c r="AC1845" s="7" t="n">
        <v>0</v>
      </c>
      <c r="AD1845" s="7" t="n"/>
      <c r="AE1845" s="7" t="n"/>
      <c r="AF1845" s="7" t="n"/>
      <c r="AG1845" s="7" t="n"/>
      <c r="AH1845" s="7" t="n"/>
      <c r="AI1845" s="7" t="n"/>
      <c r="AJ1845" s="7" t="n"/>
      <c r="AK1845" s="7" t="n"/>
      <c r="AL1845" s="7" t="inlineStr">
        <is>
          <t>Date is the first-published date of this Governing Body Update video on jw.org (jw.org media metadata).</t>
        </is>
      </c>
      <c r="AM1845" s="7" t="n">
        <v>2024.3387</v>
      </c>
      <c r="AN1845" s="10" t="n"/>
      <c r="AO1845" s="10" t="n"/>
      <c r="AP1845" s="10" t="n"/>
      <c r="AQ1845" s="10" t="n"/>
    </row>
    <row r="1846">
      <c r="A1846" s="7" t="inlineStr">
        <is>
          <t>b9-0440</t>
        </is>
      </c>
      <c r="B1846" s="7" t="inlineStr">
        <is>
          <t>Point</t>
        </is>
      </c>
      <c r="C1846" s="7" t="n"/>
      <c r="D1846" s="7" t="inlineStr">
        <is>
          <t>2024, October 5</t>
        </is>
      </c>
      <c r="E1846" s="7" t="inlineStr">
        <is>
          <t>அக்டோபர் 5, 2024</t>
        </is>
      </c>
      <c r="F1846" s="7" t="inlineStr">
        <is>
          <t>2024 CE</t>
        </is>
      </c>
      <c r="G1846" s="7" t="inlineStr">
        <is>
          <t>Exact</t>
        </is>
      </c>
      <c r="H1846" s="7" t="n"/>
      <c r="I1846" s="7" t="n"/>
      <c r="J1846" s="7" t="n"/>
      <c r="K1846" s="2" t="inlineStr">
        <is>
          <t>Jody Jedele and Jacob Rumph appointed to Governing Body</t>
        </is>
      </c>
      <c r="L1846" s="2" t="inlineStr">
        <is>
          <t>அக்டோபர் 5, 2024 அன்று நடந்த வருடாந்தரக் கூட்டத்தில் ஒரு விசேஷ அறிவிப்பு செய்யப்பட்டது.</t>
        </is>
      </c>
      <c r="M1846" s="7" t="inlineStr">
        <is>
          <t>At the annual meeting on October 5, 2024, it was announced that Jody Jedele and Jacob Rumph had been appointed members of the Governing Body.</t>
        </is>
      </c>
      <c r="N1846" s="7" t="inlineStr">
        <is>
          <t>அக்டோபர் 5, 2024 அன்று நடந்த வருடாந்தரக் கூட்டத்தில் ஒரு விசேஷ அறிவிப்பு செய்யப்பட்டது.</t>
        </is>
      </c>
      <c r="O1846" s="13" t="inlineStr">
        <is>
          <t>Jehovah's Witnesses</t>
        </is>
      </c>
      <c r="P1846" s="7" t="inlineStr">
        <is>
          <t>jw.leadership</t>
        </is>
      </c>
      <c r="Q1846" s="7" t="inlineStr">
        <is>
          <t>appointment</t>
        </is>
      </c>
      <c r="R1846" s="7" t="inlineStr">
        <is>
          <t>Jody Jedele; Jacob Rumph</t>
        </is>
      </c>
      <c r="S1846" s="7" t="n"/>
      <c r="T1846" s="7" t="n"/>
      <c r="U1846" s="7" t="n"/>
      <c r="V1846" s="7" t="n">
        <v>3</v>
      </c>
      <c r="W1846" s="7" t="inlineStr">
        <is>
          <t>Two New Members of the Governing Body</t>
        </is>
      </c>
      <c r="X1846" s="9" t="inlineStr">
        <is>
          <t>open</t>
        </is>
      </c>
      <c r="Y1846" s="9" t="inlineStr">
        <is>
          <t>open</t>
        </is>
      </c>
      <c r="Z1846" s="7" t="inlineStr">
        <is>
          <t>https://wol.jw.org/en/wol/d/r1/lp-e/2025605
https://www.jw.org/en/library/magazines/watchtower-study-october-2025/Two-New-Members-of-the-Governing-Body/
https://www.jw.org/en/news/region/global/2024-Governing-Body-Update-7/</t>
        </is>
      </c>
      <c r="AA1846" s="7" t="n">
        <v>1</v>
      </c>
      <c r="AB1846" s="9" t="inlineStr">
        <is>
          <t>open</t>
        </is>
      </c>
      <c r="AC1846" s="7" t="n">
        <v>0</v>
      </c>
      <c r="AD1846" s="7" t="n"/>
      <c r="AE1846" s="7" t="n"/>
      <c r="AF1846" s="7" t="n"/>
      <c r="AG1846" s="7" t="n"/>
      <c r="AH1846" s="7" t="n"/>
      <c r="AI1846" s="7" t="inlineStr">
        <is>
          <t>Covered by span – hide on chart</t>
        </is>
      </c>
      <c r="AJ1846" s="7" t="inlineStr">
        <is>
          <t>start of Jody Jedele serves on the Governing Body (b12-0116); start of Jacob Rumph serves on the Governing Body (b12-0117)</t>
        </is>
      </c>
      <c r="AK1846" s="7" t="n"/>
      <c r="AL1846" s="7" t="n"/>
      <c r="AM1846" s="7" t="n">
        <v>2024.7608</v>
      </c>
      <c r="AN1846" s="10" t="n"/>
      <c r="AO1846" s="10" t="n"/>
      <c r="AP1846" s="10" t="n"/>
      <c r="AQ1846" s="10" t="n"/>
    </row>
    <row r="1847">
      <c r="A1847" s="7" t="inlineStr">
        <is>
          <t>b12-0116</t>
        </is>
      </c>
      <c r="B1847" s="11" t="inlineStr">
        <is>
          <t>Span</t>
        </is>
      </c>
      <c r="C1847" s="7" t="inlineStr">
        <is>
          <t>office</t>
        </is>
      </c>
      <c r="D1847" s="7" t="inlineStr">
        <is>
          <t>October 5, 2024–</t>
        </is>
      </c>
      <c r="E1847" s="7" t="n"/>
      <c r="F1847" s="7" t="inlineStr">
        <is>
          <t>2024 CE</t>
        </is>
      </c>
      <c r="G1847" s="7" t="inlineStr">
        <is>
          <t>Exact</t>
        </is>
      </c>
      <c r="H1847" s="7" t="n"/>
      <c r="I1847" s="7" t="inlineStr">
        <is>
          <t>Ongoing</t>
        </is>
      </c>
      <c r="J1847" s="7" t="n"/>
      <c r="K1847" s="2" t="inlineStr">
        <is>
          <t>Jody Jedele serves on the Governing Body</t>
        </is>
      </c>
      <c r="L1847" s="2" t="n"/>
      <c r="M1847" s="7" t="inlineStr">
        <is>
          <t>Jody Jedele’s appointment to the Governing Body was announced at the annual meeting of October 5, 2024; he was serving according to The Watchtower of October 2025.</t>
        </is>
      </c>
      <c r="N1847" s="7" t="inlineStr">
        <is>
          <t>சகோதரர் ஜோடி ஜெட்லியும் சகோதரர் ஜேக்கப் ரம்ஃபும் யெகோவாவின் சாட்சிகளுடைய ஆளும் குழுவின் அங்கத்தினர்களாக நியமிக்கப்பட்டிருக்கிறார்கள் என்று அறிவிக்கப்பட்டது.</t>
        </is>
      </c>
      <c r="O1847" s="13" t="inlineStr">
        <is>
          <t>Jehovah's Witnesses</t>
        </is>
      </c>
      <c r="P1847" s="7" t="inlineStr">
        <is>
          <t>jw.leadership</t>
        </is>
      </c>
      <c r="Q1847" s="7" t="n"/>
      <c r="R1847" s="7" t="inlineStr">
        <is>
          <t>Jody Jedele</t>
        </is>
      </c>
      <c r="S1847" s="7" t="n"/>
      <c r="T1847" s="7" t="n"/>
      <c r="U1847" s="7" t="n"/>
      <c r="V1847" s="7" t="n">
        <v>2</v>
      </c>
      <c r="W1847" s="7" t="inlineStr">
        <is>
          <t>Two New Members of the Governing Body</t>
        </is>
      </c>
      <c r="X1847" s="9" t="inlineStr">
        <is>
          <t>open</t>
        </is>
      </c>
      <c r="Y1847" s="9" t="inlineStr">
        <is>
          <t>open</t>
        </is>
      </c>
      <c r="Z1847" s="7" t="inlineStr">
        <is>
          <t>https://wol.jw.org/en/wol/d/r1/lp-e/2025605
https://wol.jw.org/en/wol/d/r1/lp-e/2025605</t>
        </is>
      </c>
      <c r="AA1847" s="7" t="n">
        <v>0</v>
      </c>
      <c r="AB1847" s="7" t="n"/>
      <c r="AC1847" s="7" t="n">
        <v>0</v>
      </c>
      <c r="AD1847" s="7" t="n"/>
      <c r="AE1847" s="7" t="n"/>
      <c r="AF1847" s="7" t="inlineStr">
        <is>
          <t>b9-0440</t>
        </is>
      </c>
      <c r="AG1847" s="7" t="n"/>
      <c r="AH1847" s="7" t="n"/>
      <c r="AI1847" s="7" t="n"/>
      <c r="AJ1847" s="7" t="n"/>
      <c r="AK1847" s="7" t="inlineStr">
        <is>
          <t>governing-body #15 (ruler)</t>
        </is>
      </c>
      <c r="AL1847" s="7" t="n"/>
      <c r="AM1847" s="7" t="n">
        <v>2024.7608</v>
      </c>
      <c r="AN1847" s="10" t="n"/>
      <c r="AO1847" s="10" t="n"/>
      <c r="AP1847" s="10" t="n"/>
      <c r="AQ1847" s="10" t="n"/>
    </row>
    <row r="1848">
      <c r="A1848" s="7" t="inlineStr">
        <is>
          <t>b12-0117</t>
        </is>
      </c>
      <c r="B1848" s="11" t="inlineStr">
        <is>
          <t>Span</t>
        </is>
      </c>
      <c r="C1848" s="7" t="inlineStr">
        <is>
          <t>office</t>
        </is>
      </c>
      <c r="D1848" s="7" t="inlineStr">
        <is>
          <t>October 5, 2024–</t>
        </is>
      </c>
      <c r="E1848" s="7" t="n"/>
      <c r="F1848" s="7" t="inlineStr">
        <is>
          <t>2024 CE</t>
        </is>
      </c>
      <c r="G1848" s="7" t="inlineStr">
        <is>
          <t>Exact</t>
        </is>
      </c>
      <c r="H1848" s="7" t="n"/>
      <c r="I1848" s="7" t="inlineStr">
        <is>
          <t>Ongoing</t>
        </is>
      </c>
      <c r="J1848" s="7" t="n"/>
      <c r="K1848" s="2" t="inlineStr">
        <is>
          <t>Jacob Rumph serves on the Governing Body</t>
        </is>
      </c>
      <c r="L1848" s="2" t="n"/>
      <c r="M1848" s="7" t="inlineStr">
        <is>
          <t>Jacob Rumph’s appointment to the Governing Body was announced at the annual meeting of October 5, 2024; he was serving according to The Watchtower of October 2025.</t>
        </is>
      </c>
      <c r="N1848" s="7" t="inlineStr">
        <is>
          <t>சகோதரர் ஜோடி ஜெட்லியும் சகோதரர் ஜேக்கப் ரம்ஃபும் யெகோவாவின் சாட்சிகளுடைய ஆளும் குழுவின் அங்கத்தினர்களாக நியமிக்கப்பட்டிருக்கிறார்கள் என்று அறிவிக்கப்பட்டது.</t>
        </is>
      </c>
      <c r="O1848" s="13" t="inlineStr">
        <is>
          <t>Jehovah's Witnesses</t>
        </is>
      </c>
      <c r="P1848" s="7" t="inlineStr">
        <is>
          <t>jw.leadership</t>
        </is>
      </c>
      <c r="Q1848" s="7" t="n"/>
      <c r="R1848" s="7" t="inlineStr">
        <is>
          <t>Jacob Rumph</t>
        </is>
      </c>
      <c r="S1848" s="7" t="n"/>
      <c r="T1848" s="7" t="n"/>
      <c r="U1848" s="7" t="n"/>
      <c r="V1848" s="7" t="n">
        <v>2</v>
      </c>
      <c r="W1848" s="7" t="inlineStr">
        <is>
          <t>Two New Members of the Governing Body</t>
        </is>
      </c>
      <c r="X1848" s="9" t="inlineStr">
        <is>
          <t>open</t>
        </is>
      </c>
      <c r="Y1848" s="9" t="inlineStr">
        <is>
          <t>open</t>
        </is>
      </c>
      <c r="Z1848" s="7" t="inlineStr">
        <is>
          <t>https://wol.jw.org/en/wol/d/r1/lp-e/2025605
https://wol.jw.org/en/wol/d/r1/lp-e/2025605</t>
        </is>
      </c>
      <c r="AA1848" s="7" t="n">
        <v>0</v>
      </c>
      <c r="AB1848" s="7" t="n"/>
      <c r="AC1848" s="7" t="n">
        <v>0</v>
      </c>
      <c r="AD1848" s="7" t="n"/>
      <c r="AE1848" s="7" t="n"/>
      <c r="AF1848" s="7" t="inlineStr">
        <is>
          <t>b9-0440</t>
        </is>
      </c>
      <c r="AG1848" s="7" t="n"/>
      <c r="AH1848" s="7" t="n"/>
      <c r="AI1848" s="7" t="n"/>
      <c r="AJ1848" s="7" t="n"/>
      <c r="AK1848" s="7" t="inlineStr">
        <is>
          <t>governing-body #16 (ruler)</t>
        </is>
      </c>
      <c r="AL1848" s="7" t="n"/>
      <c r="AM1848" s="7" t="n">
        <v>2024.7608</v>
      </c>
      <c r="AN1848" s="10" t="n"/>
      <c r="AO1848" s="10" t="n"/>
      <c r="AP1848" s="10" t="n"/>
      <c r="AQ1848" s="10" t="n"/>
    </row>
    <row r="1849">
      <c r="A1849" s="7" t="inlineStr">
        <is>
          <t>b9-0441</t>
        </is>
      </c>
      <c r="B1849" s="7" t="inlineStr">
        <is>
          <t>Point</t>
        </is>
      </c>
      <c r="C1849" s="7" t="n"/>
      <c r="D1849" s="7" t="inlineStr">
        <is>
          <t>2024, November 6</t>
        </is>
      </c>
      <c r="E1849" s="7" t="n"/>
      <c r="F1849" s="7" t="inlineStr">
        <is>
          <t>2024 CE</t>
        </is>
      </c>
      <c r="G1849" s="7" t="inlineStr">
        <is>
          <t>Exact</t>
        </is>
      </c>
      <c r="H1849" s="7" t="n"/>
      <c r="I1849" s="7" t="n"/>
      <c r="J1849" s="7" t="n"/>
      <c r="K1849" s="2" t="inlineStr">
        <is>
          <t>Ramapo final site plan signed; major construction may begin</t>
        </is>
      </c>
      <c r="L1849" s="2" t="n"/>
      <c r="M1849" s="7" t="inlineStr">
        <is>
          <t>On November 6, 2024, the Town of Ramapo Planning Board signed the site plan approval, allowing major construction to begin; site works then commenced.</t>
        </is>
      </c>
      <c r="N1849" s="7" t="n"/>
      <c r="O1849" s="13" t="inlineStr">
        <is>
          <t>Jehovah's Witnesses</t>
        </is>
      </c>
      <c r="P1849" s="7" t="inlineStr">
        <is>
          <t>jw.construction</t>
        </is>
      </c>
      <c r="Q1849" s="7" t="n"/>
      <c r="R1849" s="7" t="n"/>
      <c r="S1849" s="7" t="inlineStr">
        <is>
          <t>Ramapo, New York</t>
        </is>
      </c>
      <c r="T1849" s="7" t="n"/>
      <c r="U1849" s="7" t="n"/>
      <c r="V1849" s="7" t="n">
        <v>2</v>
      </c>
      <c r="W1849" s="7" t="inlineStr">
        <is>
          <t>Approval to Begin Major Construction at Ramapo Received</t>
        </is>
      </c>
      <c r="X1849" s="9" t="inlineStr">
        <is>
          <t>open</t>
        </is>
      </c>
      <c r="Y1849" s="7" t="n"/>
      <c r="Z1849" s="7" t="inlineStr">
        <is>
          <t>https://www.jw.org/en/news/region/global/Approval-to-Begin-Major-Construction-at-Ramapo-Received/
https://www.jw.org/en/news/region/global/Ramapo-Construction-Update-1/</t>
        </is>
      </c>
      <c r="AA1849" s="7" t="n">
        <v>1</v>
      </c>
      <c r="AB1849" s="9" t="inlineStr">
        <is>
          <t>open</t>
        </is>
      </c>
      <c r="AC1849" s="7" t="n">
        <v>0</v>
      </c>
      <c r="AD1849" s="7" t="n"/>
      <c r="AE1849" s="7" t="n"/>
      <c r="AF1849" s="7" t="n"/>
      <c r="AG1849" s="7" t="n"/>
      <c r="AH1849" s="7" t="n"/>
      <c r="AI1849" s="7" t="inlineStr">
        <is>
          <t>Span endpoint – keep</t>
        </is>
      </c>
      <c r="AJ1849" s="7" t="inlineStr">
        <is>
          <t>start of Construction of the Ramapo media production facility (b12-0118)</t>
        </is>
      </c>
      <c r="AK1849" s="7" t="n"/>
      <c r="AL1849" s="7" t="n"/>
      <c r="AM1849" s="7" t="n">
        <v>2024.8468</v>
      </c>
      <c r="AN1849" s="10" t="n"/>
      <c r="AO1849" s="10" t="n"/>
      <c r="AP1849" s="10" t="n"/>
      <c r="AQ1849" s="10" t="n"/>
    </row>
    <row r="1850">
      <c r="A1850" s="7" t="inlineStr">
        <is>
          <t>b12-0118</t>
        </is>
      </c>
      <c r="B1850" s="11" t="inlineStr">
        <is>
          <t>Span</t>
        </is>
      </c>
      <c r="C1850" s="7" t="inlineStr">
        <is>
          <t>construction</t>
        </is>
      </c>
      <c r="D1850" s="7" t="inlineStr">
        <is>
          <t>November 6, 2024–</t>
        </is>
      </c>
      <c r="E1850" s="7" t="n"/>
      <c r="F1850" s="7" t="inlineStr">
        <is>
          <t>2024 CE</t>
        </is>
      </c>
      <c r="G1850" s="7" t="inlineStr">
        <is>
          <t>Exact</t>
        </is>
      </c>
      <c r="H1850" s="7" t="n"/>
      <c r="I1850" s="7" t="inlineStr">
        <is>
          <t>Ongoing</t>
        </is>
      </c>
      <c r="J1850" s="7" t="n"/>
      <c r="K1850" s="2" t="inlineStr">
        <is>
          <t>Construction of the Ramapo media production facility</t>
        </is>
      </c>
      <c r="L1850" s="2" t="n"/>
      <c r="M1850" s="7" t="inlineStr">
        <is>
          <t>When the Town of Ramapo Planning Board signed the site-plan approval, major construction could begin on the headquarters media production facility in Ramapo, New York; by August 2026 about 1,000 workers were on site daily.</t>
        </is>
      </c>
      <c r="N1850" s="7" t="n"/>
      <c r="O1850" s="13" t="inlineStr">
        <is>
          <t>Jehovah's Witnesses</t>
        </is>
      </c>
      <c r="P1850" s="7" t="inlineStr">
        <is>
          <t>jw.construction</t>
        </is>
      </c>
      <c r="Q1850" s="7" t="n"/>
      <c r="R1850" s="7" t="n"/>
      <c r="S1850" s="7" t="inlineStr">
        <is>
          <t>Ramapo, New York</t>
        </is>
      </c>
      <c r="T1850" s="7" t="n"/>
      <c r="U1850" s="7" t="n"/>
      <c r="V1850" s="7" t="n">
        <v>2</v>
      </c>
      <c r="W1850" s="7" t="inlineStr">
        <is>
          <t>Approval to Begin Major Construction at Ramapo Received</t>
        </is>
      </c>
      <c r="X1850" s="9" t="inlineStr">
        <is>
          <t>open</t>
        </is>
      </c>
      <c r="Y1850" s="7" t="n"/>
      <c r="Z1850" s="7" t="inlineStr">
        <is>
          <t>https://www.jw.org/en/news/region/global/Approval-to-Begin-Major-Construction-at-Ramapo-Received/
https://www.jw.org/en/news/region/global/Ramapo-Construction-Update-3/</t>
        </is>
      </c>
      <c r="AA1850" s="7" t="n">
        <v>0</v>
      </c>
      <c r="AB1850" s="7" t="n"/>
      <c r="AC1850" s="7" t="n">
        <v>0</v>
      </c>
      <c r="AD1850" s="7" t="n"/>
      <c r="AE1850" s="7" t="n"/>
      <c r="AF1850" s="7" t="inlineStr">
        <is>
          <t>b9-0441</t>
        </is>
      </c>
      <c r="AG1850" s="7" t="n"/>
      <c r="AH1850" s="7" t="n"/>
      <c r="AI1850" s="7" t="n"/>
      <c r="AJ1850" s="7" t="n"/>
      <c r="AK1850" s="7" t="n"/>
      <c r="AL1850" s="7" t="n"/>
      <c r="AM1850" s="7" t="n">
        <v>2024.8468</v>
      </c>
      <c r="AN1850" s="10" t="n"/>
      <c r="AO1850" s="10" t="n"/>
      <c r="AP1850" s="10" t="n"/>
      <c r="AQ1850" s="10" t="n"/>
    </row>
    <row r="1851">
      <c r="A1851" s="7" t="inlineStr">
        <is>
          <t>b9-0442</t>
        </is>
      </c>
      <c r="B1851" s="7" t="inlineStr">
        <is>
          <t>Point</t>
        </is>
      </c>
      <c r="C1851" s="7" t="n"/>
      <c r="D1851" s="7" t="inlineStr">
        <is>
          <t>2024, December 27</t>
        </is>
      </c>
      <c r="E1851" s="7" t="n"/>
      <c r="F1851" s="7" t="inlineStr">
        <is>
          <t>2024 CE</t>
        </is>
      </c>
      <c r="G1851" s="7" t="inlineStr">
        <is>
          <t>Exact</t>
        </is>
      </c>
      <c r="H1851" s="7" t="n"/>
      <c r="I1851" s="7" t="n"/>
      <c r="J1851" s="7" t="n"/>
      <c r="K1851" s="2" t="inlineStr">
        <is>
          <t>Balanced view of those who appear in videos</t>
        </is>
      </c>
      <c r="L1851" s="2" t="inlineStr">
        <is>
          <t>இந்த அறிக்கையில், நம் வீடியோக்களில் வரும் சகோதர சகோதரிகளை நாம் எப்படி சரியான விதத்தில் பார்க்க வேண்டும் என்று தெரிந்துகொள்வோம்.</t>
        </is>
      </c>
      <c r="M1851" s="7" t="inlineStr">
        <is>
          <t>2024 Governing Body Update #8 considered how to maintain a balanced view of those who appear in the organization’s videos.</t>
        </is>
      </c>
      <c r="N1851" s="7" t="inlineStr">
        <is>
          <t>இந்த அறிக்கையில், நம் வீடியோக்களில் வரும் சகோதர சகோதரிகளை நாம் எப்படி சரியான விதத்தில் பார்க்க வேண்டும் என்று தெரிந்துகொள்வோம்.</t>
        </is>
      </c>
      <c r="O1851" s="13" t="inlineStr">
        <is>
          <t>Jehovah's Witnesses</t>
        </is>
      </c>
      <c r="P1851" s="7" t="inlineStr">
        <is>
          <t>jw.organization</t>
        </is>
      </c>
      <c r="Q1851" s="7" t="inlineStr">
        <is>
          <t>video_update</t>
        </is>
      </c>
      <c r="R1851" s="7" t="n"/>
      <c r="S1851" s="7" t="n"/>
      <c r="T1851" s="7" t="n"/>
      <c r="U1851" s="7" t="n"/>
      <c r="V1851" s="7" t="n">
        <v>1</v>
      </c>
      <c r="W1851" s="7" t="inlineStr">
        <is>
          <t>2024 Governing Body Update #8</t>
        </is>
      </c>
      <c r="X1851" s="9" t="inlineStr">
        <is>
          <t>open</t>
        </is>
      </c>
      <c r="Y1851" s="9" t="inlineStr">
        <is>
          <t>open</t>
        </is>
      </c>
      <c r="Z1851" s="7" t="inlineStr">
        <is>
          <t>https://www.jw.org/en/news/region/global/2024-Governing-Body-Update-8/</t>
        </is>
      </c>
      <c r="AA1851" s="7" t="n">
        <v>1</v>
      </c>
      <c r="AB1851" s="9" t="inlineStr">
        <is>
          <t>open</t>
        </is>
      </c>
      <c r="AC1851" s="7" t="n">
        <v>0</v>
      </c>
      <c r="AD1851" s="7" t="n"/>
      <c r="AE1851" s="7" t="n"/>
      <c r="AF1851" s="7" t="n"/>
      <c r="AG1851" s="7" t="n"/>
      <c r="AH1851" s="7" t="n"/>
      <c r="AI1851" s="7" t="n"/>
      <c r="AJ1851" s="7" t="n"/>
      <c r="AK1851" s="7" t="n"/>
      <c r="AL1851" s="7" t="inlineStr">
        <is>
          <t>Date is the first-published date of this Governing Body Update video on jw.org (jw.org media metadata).</t>
        </is>
      </c>
      <c r="AM1851" s="7" t="n">
        <v>2024.9866</v>
      </c>
      <c r="AN1851" s="10" t="n"/>
      <c r="AO1851" s="10" t="n"/>
      <c r="AP1851" s="10" t="n"/>
      <c r="AQ1851" s="10" t="n"/>
    </row>
    <row r="1852">
      <c r="A1852" s="7" t="inlineStr">
        <is>
          <t>b9-0443</t>
        </is>
      </c>
      <c r="B1852" s="7" t="inlineStr">
        <is>
          <t>Point</t>
        </is>
      </c>
      <c r="C1852" s="7" t="n"/>
      <c r="D1852" s="7" t="inlineStr">
        <is>
          <t>2025</t>
        </is>
      </c>
      <c r="E1852" s="7" t="n"/>
      <c r="F1852" s="7" t="inlineStr">
        <is>
          <t>2025 CE</t>
        </is>
      </c>
      <c r="G1852" s="7" t="inlineStr">
        <is>
          <t>Exact</t>
        </is>
      </c>
      <c r="H1852" s="7" t="n"/>
      <c r="I1852" s="7" t="n"/>
      <c r="J1852" s="7" t="n"/>
      <c r="K1852" s="2" t="inlineStr">
        <is>
          <t>Understanding clarified: marital intimacies</t>
        </is>
      </c>
      <c r="L1852" s="2" t="n"/>
      <c r="M1852" s="7" t="inlineStr">
        <is>
          <t>The Watch Tower Publications Index (“Beliefs Clarified,” list by year) records a clarified understanding in 2025 concerning marital intimacies. Index references: w25.01 13.</t>
        </is>
      </c>
      <c r="N1852" s="7" t="n"/>
      <c r="O1852" s="13" t="inlineStr">
        <is>
          <t>Jehovah's Witnesses</t>
        </is>
      </c>
      <c r="P1852" s="7" t="inlineStr">
        <is>
          <t>jw.doctrine</t>
        </is>
      </c>
      <c r="Q1852" s="7" t="inlineStr">
        <is>
          <t>beliefs_clarified</t>
        </is>
      </c>
      <c r="R1852" s="7" t="n"/>
      <c r="S1852" s="7" t="n"/>
      <c r="T1852" s="7" t="n"/>
      <c r="U1852" s="7" t="n"/>
      <c r="V1852" s="7" t="n">
        <v>1</v>
      </c>
      <c r="W1852" s="7" t="inlineStr">
        <is>
          <t>Beliefs Clarified</t>
        </is>
      </c>
      <c r="X1852" s="9" t="inlineStr">
        <is>
          <t>open</t>
        </is>
      </c>
      <c r="Y1852" s="7" t="n"/>
      <c r="Z1852" s="7" t="inlineStr">
        <is>
          <t>https://wol.jw.org/en/wol/d/r1/lp-e/1200277174</t>
        </is>
      </c>
      <c r="AA1852" s="7" t="n">
        <v>0</v>
      </c>
      <c r="AB1852" s="7" t="n"/>
      <c r="AC1852" s="7" t="n">
        <v>0</v>
      </c>
      <c r="AD1852" s="7" t="n"/>
      <c r="AE1852" s="7" t="n"/>
      <c r="AF1852" s="7" t="n"/>
      <c r="AG1852" s="7" t="n"/>
      <c r="AH1852" s="7" t="n"/>
      <c r="AI1852" s="7" t="inlineStr">
        <is>
          <t>Index list entry – app detail</t>
        </is>
      </c>
      <c r="AJ1852" s="7" t="n"/>
      <c r="AK1852" s="7" t="n"/>
      <c r="AL1852" s="7" t="n"/>
      <c r="AM1852" s="7" t="n">
        <v>2025</v>
      </c>
      <c r="AN1852" s="10" t="n"/>
      <c r="AO1852" s="10" t="n"/>
      <c r="AP1852" s="10" t="n"/>
      <c r="AQ1852" s="10" t="n"/>
    </row>
    <row r="1853">
      <c r="A1853" s="7" t="inlineStr">
        <is>
          <t>b9-0444</t>
        </is>
      </c>
      <c r="B1853" s="7" t="inlineStr">
        <is>
          <t>Point</t>
        </is>
      </c>
      <c r="C1853" s="7" t="n"/>
      <c r="D1853" s="7" t="inlineStr">
        <is>
          <t>2025</t>
        </is>
      </c>
      <c r="E1853" s="7" t="n"/>
      <c r="F1853" s="7" t="inlineStr">
        <is>
          <t>2025 CE</t>
        </is>
      </c>
      <c r="G1853" s="7" t="inlineStr">
        <is>
          <t>Exact</t>
        </is>
      </c>
      <c r="H1853" s="7" t="n"/>
      <c r="I1853" s="7" t="n"/>
      <c r="J1853" s="7" t="n"/>
      <c r="K1853" s="2" t="inlineStr">
        <is>
          <t>Understanding clarified: relationship between hailstonelike message (Rev. 16:21) and preaching good news of Kingdom (Mt 24:14)</t>
        </is>
      </c>
      <c r="L1853" s="2" t="n"/>
      <c r="M1853" s="7" t="inlineStr">
        <is>
          <t>The Watch Tower Publications Index (“Beliefs Clarified,” list by year) records a clarified understanding in 2025 concerning relationship between hailstonelike message (Rev. 16:21) and preaching good news of Kingdom (Mt 24:14). Index references: w25.08 31.</t>
        </is>
      </c>
      <c r="N1853" s="7" t="n"/>
      <c r="O1853" s="13" t="inlineStr">
        <is>
          <t>Jehovah's Witnesses</t>
        </is>
      </c>
      <c r="P1853" s="7" t="inlineStr">
        <is>
          <t>jw.doctrine</t>
        </is>
      </c>
      <c r="Q1853" s="7" t="inlineStr">
        <is>
          <t>beliefs_clarified</t>
        </is>
      </c>
      <c r="R1853" s="7" t="n"/>
      <c r="S1853" s="7" t="n"/>
      <c r="T1853" s="7" t="inlineStr">
        <is>
          <t>Rev. 16:21</t>
        </is>
      </c>
      <c r="U1853" s="7" t="n"/>
      <c r="V1853" s="7" t="n">
        <v>1</v>
      </c>
      <c r="W1853" s="7" t="inlineStr">
        <is>
          <t>Beliefs Clarified</t>
        </is>
      </c>
      <c r="X1853" s="9" t="inlineStr">
        <is>
          <t>open</t>
        </is>
      </c>
      <c r="Y1853" s="7" t="n"/>
      <c r="Z1853" s="7" t="inlineStr">
        <is>
          <t>https://wol.jw.org/en/wol/d/r1/lp-e/1200277174</t>
        </is>
      </c>
      <c r="AA1853" s="7" t="n">
        <v>0</v>
      </c>
      <c r="AB1853" s="7" t="n"/>
      <c r="AC1853" s="7" t="n">
        <v>0</v>
      </c>
      <c r="AD1853" s="7" t="n"/>
      <c r="AE1853" s="7" t="n"/>
      <c r="AF1853" s="7" t="n"/>
      <c r="AG1853" s="7" t="n"/>
      <c r="AH1853" s="7" t="n"/>
      <c r="AI1853" s="7" t="inlineStr">
        <is>
          <t>Index list entry – app detail</t>
        </is>
      </c>
      <c r="AJ1853" s="7" t="n"/>
      <c r="AK1853" s="7" t="n"/>
      <c r="AL1853" s="7" t="n"/>
      <c r="AM1853" s="7" t="n">
        <v>2025</v>
      </c>
      <c r="AN1853" s="10" t="n"/>
      <c r="AO1853" s="10" t="n"/>
      <c r="AP1853" s="10" t="n"/>
      <c r="AQ1853" s="10" t="n"/>
    </row>
    <row r="1854">
      <c r="A1854" s="7" t="inlineStr">
        <is>
          <t>b9-0445</t>
        </is>
      </c>
      <c r="B1854" s="7" t="inlineStr">
        <is>
          <t>Point</t>
        </is>
      </c>
      <c r="C1854" s="7" t="n"/>
      <c r="D1854" s="7" t="inlineStr">
        <is>
          <t>2025</t>
        </is>
      </c>
      <c r="E1854" s="7" t="n"/>
      <c r="F1854" s="7" t="inlineStr">
        <is>
          <t>2025 CE</t>
        </is>
      </c>
      <c r="G1854" s="7" t="inlineStr">
        <is>
          <t>Exact</t>
        </is>
      </c>
      <c r="H1854" s="7" t="n"/>
      <c r="I1854" s="7" t="n"/>
      <c r="J1854" s="7" t="n"/>
      <c r="K1854" s="2" t="inlineStr">
        <is>
          <t>Understanding clarified: “thought” that God puts into hearts of nations (Rev. 17:16, 17)</t>
        </is>
      </c>
      <c r="L1854" s="2" t="n"/>
      <c r="M1854" s="7" t="inlineStr">
        <is>
          <t>The Watch Tower Publications Index (“Beliefs Clarified,” list by year) records a clarified understanding in 2025 concerning “thought” that God puts into hearts of nations (Rev. 17:16, 17). Index references: w25.11 31.</t>
        </is>
      </c>
      <c r="N1854" s="7" t="n"/>
      <c r="O1854" s="13" t="inlineStr">
        <is>
          <t>Jehovah's Witnesses</t>
        </is>
      </c>
      <c r="P1854" s="7" t="inlineStr">
        <is>
          <t>jw.doctrine</t>
        </is>
      </c>
      <c r="Q1854" s="7" t="inlineStr">
        <is>
          <t>beliefs_clarified</t>
        </is>
      </c>
      <c r="R1854" s="7" t="n"/>
      <c r="S1854" s="7" t="n"/>
      <c r="T1854" s="7" t="inlineStr">
        <is>
          <t>Rev. 17:16, 17</t>
        </is>
      </c>
      <c r="U1854" s="7" t="n"/>
      <c r="V1854" s="7" t="n">
        <v>1</v>
      </c>
      <c r="W1854" s="7" t="inlineStr">
        <is>
          <t>Beliefs Clarified</t>
        </is>
      </c>
      <c r="X1854" s="9" t="inlineStr">
        <is>
          <t>open</t>
        </is>
      </c>
      <c r="Y1854" s="7" t="n"/>
      <c r="Z1854" s="7" t="inlineStr">
        <is>
          <t>https://wol.jw.org/en/wol/d/r1/lp-e/1200277174</t>
        </is>
      </c>
      <c r="AA1854" s="7" t="n">
        <v>0</v>
      </c>
      <c r="AB1854" s="7" t="n"/>
      <c r="AC1854" s="7" t="n">
        <v>0</v>
      </c>
      <c r="AD1854" s="7" t="n"/>
      <c r="AE1854" s="7" t="n"/>
      <c r="AF1854" s="7" t="n"/>
      <c r="AG1854" s="7" t="n"/>
      <c r="AH1854" s="7" t="n"/>
      <c r="AI1854" s="7" t="inlineStr">
        <is>
          <t>Index list entry – app detail</t>
        </is>
      </c>
      <c r="AJ1854" s="7" t="n"/>
      <c r="AK1854" s="7" t="n"/>
      <c r="AL1854" s="7" t="n"/>
      <c r="AM1854" s="7" t="n">
        <v>2025</v>
      </c>
      <c r="AN1854" s="10" t="n"/>
      <c r="AO1854" s="10" t="n"/>
      <c r="AP1854" s="10" t="n"/>
      <c r="AQ1854" s="10" t="n"/>
    </row>
    <row r="1855">
      <c r="A1855" s="7" t="inlineStr">
        <is>
          <t>b9-0446</t>
        </is>
      </c>
      <c r="B1855" s="7" t="inlineStr">
        <is>
          <t>Point</t>
        </is>
      </c>
      <c r="C1855" s="7" t="n"/>
      <c r="D1855" s="7" t="inlineStr">
        <is>
          <t>2025</t>
        </is>
      </c>
      <c r="E1855" s="7" t="n"/>
      <c r="F1855" s="7" t="inlineStr">
        <is>
          <t>2025 CE</t>
        </is>
      </c>
      <c r="G1855" s="7" t="inlineStr">
        <is>
          <t>Exact</t>
        </is>
      </c>
      <c r="H1855" s="7" t="n"/>
      <c r="I1855" s="7" t="n"/>
      <c r="J1855" s="7" t="n"/>
      <c r="K1855" s="2" t="inlineStr">
        <is>
          <t>Understanding clarified: “way of a man with a young woman” (Prov. 30:18, 19)</t>
        </is>
      </c>
      <c r="L1855" s="2" t="n"/>
      <c r="M1855" s="7" t="inlineStr">
        <is>
          <t>The Watch Tower Publications Index (“Beliefs Clarified,” list by year) records a clarified understanding in 2025 concerning “way of a man with a young woman” (Prov. 30:18, 19). Index references: w25.09 31.</t>
        </is>
      </c>
      <c r="N1855" s="7" t="n"/>
      <c r="O1855" s="13" t="inlineStr">
        <is>
          <t>Jehovah's Witnesses</t>
        </is>
      </c>
      <c r="P1855" s="7" t="inlineStr">
        <is>
          <t>jw.doctrine</t>
        </is>
      </c>
      <c r="Q1855" s="7" t="inlineStr">
        <is>
          <t>beliefs_clarified</t>
        </is>
      </c>
      <c r="R1855" s="7" t="n"/>
      <c r="S1855" s="7" t="n"/>
      <c r="T1855" s="7" t="inlineStr">
        <is>
          <t>Prov. 30:18, 19</t>
        </is>
      </c>
      <c r="U1855" s="7" t="n"/>
      <c r="V1855" s="7" t="n">
        <v>1</v>
      </c>
      <c r="W1855" s="7" t="inlineStr">
        <is>
          <t>Beliefs Clarified</t>
        </is>
      </c>
      <c r="X1855" s="9" t="inlineStr">
        <is>
          <t>open</t>
        </is>
      </c>
      <c r="Y1855" s="7" t="n"/>
      <c r="Z1855" s="7" t="inlineStr">
        <is>
          <t>https://wol.jw.org/en/wol/d/r1/lp-e/1200277174</t>
        </is>
      </c>
      <c r="AA1855" s="7" t="n">
        <v>0</v>
      </c>
      <c r="AB1855" s="7" t="n"/>
      <c r="AC1855" s="7" t="n">
        <v>0</v>
      </c>
      <c r="AD1855" s="7" t="n"/>
      <c r="AE1855" s="7" t="n"/>
      <c r="AF1855" s="7" t="n"/>
      <c r="AG1855" s="7" t="n"/>
      <c r="AH1855" s="7" t="n"/>
      <c r="AI1855" s="7" t="inlineStr">
        <is>
          <t>Index list entry – app detail</t>
        </is>
      </c>
      <c r="AJ1855" s="7" t="n"/>
      <c r="AK1855" s="7" t="n"/>
      <c r="AL1855" s="7" t="n"/>
      <c r="AM1855" s="7" t="n">
        <v>2025</v>
      </c>
      <c r="AN1855" s="10" t="n"/>
      <c r="AO1855" s="10" t="n"/>
      <c r="AP1855" s="10" t="n"/>
      <c r="AQ1855" s="10" t="n"/>
    </row>
    <row r="1856">
      <c r="A1856" s="7" t="inlineStr">
        <is>
          <t>b9-0447</t>
        </is>
      </c>
      <c r="B1856" s="7" t="inlineStr">
        <is>
          <t>Point</t>
        </is>
      </c>
      <c r="C1856" s="7" t="n"/>
      <c r="D1856" s="7" t="inlineStr">
        <is>
          <t>2025</t>
        </is>
      </c>
      <c r="E1856" s="7" t="n"/>
      <c r="F1856" s="7" t="inlineStr">
        <is>
          <t>2025 CE</t>
        </is>
      </c>
      <c r="G1856" s="7" t="inlineStr">
        <is>
          <t>Exact</t>
        </is>
      </c>
      <c r="H1856" s="7" t="n"/>
      <c r="I1856" s="7" t="n"/>
      <c r="J1856" s="7" t="n"/>
      <c r="K1856" s="2" t="inlineStr">
        <is>
          <t>Understanding clarified: when preaching “good news of the Kingdom” will end (Matt. 24:14)</t>
        </is>
      </c>
      <c r="L1856" s="2" t="n"/>
      <c r="M1856" s="7" t="inlineStr">
        <is>
          <t>The Watch Tower Publications Index (“Beliefs Clarified,” list by year) records a clarified understanding in 2025 concerning when preaching “good news of the Kingdom” will end (Matt. 24:14). Index references: w25.08 31.</t>
        </is>
      </c>
      <c r="N1856" s="7" t="n"/>
      <c r="O1856" s="13" t="inlineStr">
        <is>
          <t>Jehovah's Witnesses</t>
        </is>
      </c>
      <c r="P1856" s="7" t="inlineStr">
        <is>
          <t>jw.doctrine</t>
        </is>
      </c>
      <c r="Q1856" s="7" t="inlineStr">
        <is>
          <t>beliefs_clarified</t>
        </is>
      </c>
      <c r="R1856" s="7" t="n"/>
      <c r="S1856" s="7" t="n"/>
      <c r="T1856" s="7" t="inlineStr">
        <is>
          <t>Matt. 24:14</t>
        </is>
      </c>
      <c r="U1856" s="7" t="n"/>
      <c r="V1856" s="7" t="n">
        <v>1</v>
      </c>
      <c r="W1856" s="7" t="inlineStr">
        <is>
          <t>Beliefs Clarified</t>
        </is>
      </c>
      <c r="X1856" s="9" t="inlineStr">
        <is>
          <t>open</t>
        </is>
      </c>
      <c r="Y1856" s="7" t="n"/>
      <c r="Z1856" s="7" t="inlineStr">
        <is>
          <t>https://wol.jw.org/en/wol/d/r1/lp-e/1200277174</t>
        </is>
      </c>
      <c r="AA1856" s="7" t="n">
        <v>0</v>
      </c>
      <c r="AB1856" s="7" t="n"/>
      <c r="AC1856" s="7" t="n">
        <v>0</v>
      </c>
      <c r="AD1856" s="7" t="n"/>
      <c r="AE1856" s="7" t="n"/>
      <c r="AF1856" s="7" t="n"/>
      <c r="AG1856" s="7" t="n"/>
      <c r="AH1856" s="7" t="n"/>
      <c r="AI1856" s="7" t="inlineStr">
        <is>
          <t>Index list entry – app detail</t>
        </is>
      </c>
      <c r="AJ1856" s="7" t="n"/>
      <c r="AK1856" s="7" t="n"/>
      <c r="AL1856" s="7" t="n"/>
      <c r="AM1856" s="7" t="n">
        <v>2025</v>
      </c>
      <c r="AN1856" s="10" t="n"/>
      <c r="AO1856" s="10" t="n"/>
      <c r="AP1856" s="10" t="n"/>
      <c r="AQ1856" s="10" t="n"/>
    </row>
    <row r="1857">
      <c r="A1857" s="7" t="inlineStr">
        <is>
          <t>b9-0448</t>
        </is>
      </c>
      <c r="B1857" s="7" t="inlineStr">
        <is>
          <t>Point</t>
        </is>
      </c>
      <c r="C1857" s="7" t="n"/>
      <c r="D1857" s="7" t="inlineStr">
        <is>
          <t>2025</t>
        </is>
      </c>
      <c r="E1857" s="7" t="n"/>
      <c r="F1857" s="7" t="inlineStr">
        <is>
          <t>2025 CE</t>
        </is>
      </c>
      <c r="G1857" s="7" t="inlineStr">
        <is>
          <t>Exact</t>
        </is>
      </c>
      <c r="H1857" s="7" t="n"/>
      <c r="I1857" s="7" t="n"/>
      <c r="J1857" s="7" t="n"/>
      <c r="K1857" s="2" t="inlineStr">
        <is>
          <t>2025: “Pure Worship” Conventions</t>
        </is>
      </c>
      <c r="L1857" s="2" t="n"/>
      <c r="M1857" s="7" t="inlineStr">
        <is>
          <t>The Watch Tower Publications Index lists the 2025 conventions of Jehovah’s Witnesses as “Pure Worship” Conventions.</t>
        </is>
      </c>
      <c r="N1857" s="7" t="n"/>
      <c r="O1857" s="13" t="inlineStr">
        <is>
          <t>Jehovah's Witnesses</t>
        </is>
      </c>
      <c r="P1857" s="7" t="inlineStr">
        <is>
          <t>jw.convention</t>
        </is>
      </c>
      <c r="Q1857" s="7" t="inlineStr">
        <is>
          <t>convention</t>
        </is>
      </c>
      <c r="R1857" s="7" t="n"/>
      <c r="S1857" s="7" t="n"/>
      <c r="T1857" s="7" t="n"/>
      <c r="U1857" s="7" t="n"/>
      <c r="V1857" s="7" t="n">
        <v>1</v>
      </c>
      <c r="W1857" s="7" t="inlineStr">
        <is>
          <t>Conventions</t>
        </is>
      </c>
      <c r="X1857" s="9" t="inlineStr">
        <is>
          <t>open</t>
        </is>
      </c>
      <c r="Y1857" s="7" t="n"/>
      <c r="Z1857" s="7" t="inlineStr">
        <is>
          <t>https://wol.jw.org/en/wol/d/r1/lp-e/1200271388</t>
        </is>
      </c>
      <c r="AA1857" s="7" t="n">
        <v>0</v>
      </c>
      <c r="AB1857" s="7" t="n"/>
      <c r="AC1857" s="7" t="n">
        <v>0</v>
      </c>
      <c r="AD1857" s="7" t="n"/>
      <c r="AE1857" s="7" t="n"/>
      <c r="AF1857" s="7" t="n"/>
      <c r="AG1857" s="7" t="n"/>
      <c r="AH1857" s="7" t="n"/>
      <c r="AI1857" s="7" t="inlineStr">
        <is>
          <t>Index list entry – app detail</t>
        </is>
      </c>
      <c r="AJ1857" s="7" t="n"/>
      <c r="AK1857" s="7" t="n"/>
      <c r="AL1857" s="7" t="n"/>
      <c r="AM1857" s="7" t="n">
        <v>2025</v>
      </c>
      <c r="AN1857" s="10" t="n"/>
      <c r="AO1857" s="10" t="n"/>
      <c r="AP1857" s="10" t="n"/>
      <c r="AQ1857" s="10" t="n"/>
    </row>
    <row r="1858">
      <c r="A1858" s="7" t="inlineStr">
        <is>
          <t>b9-0449</t>
        </is>
      </c>
      <c r="B1858" s="7" t="inlineStr">
        <is>
          <t>Point</t>
        </is>
      </c>
      <c r="C1858" s="7" t="n"/>
      <c r="D1858" s="7" t="inlineStr">
        <is>
          <t>2025</t>
        </is>
      </c>
      <c r="E1858" s="7" t="n"/>
      <c r="F1858" s="7" t="inlineStr">
        <is>
          <t>2025 CE</t>
        </is>
      </c>
      <c r="G1858" s="7" t="inlineStr">
        <is>
          <t>Exact</t>
        </is>
      </c>
      <c r="H1858" s="7" t="n"/>
      <c r="I1858" s="7" t="n"/>
      <c r="J1858" s="7" t="n"/>
      <c r="K1858" s="2" t="inlineStr">
        <is>
          <t>2025 Service Year Report: Memorial attendance 20,635,015</t>
        </is>
      </c>
      <c r="L1858" s="2" t="inlineStr">
        <is>
          <t>யெகோவாவின் சாட்சிகளுடைய கிளை அலுவலகங்கள்: 84</t>
        </is>
      </c>
      <c r="M1858" s="7" t="inlineStr">
        <is>
          <t>The 2025 Service Year Report listed 84 branches, 241 lands reporting, 119,652 congregations, and Memorial attendance of 20,635,015.</t>
        </is>
      </c>
      <c r="N1858" s="7" t="inlineStr">
        <is>
          <t>யெகோவாவின் சாட்சிகளுடைய கிளை அலுவலகங்கள்: 84</t>
        </is>
      </c>
      <c r="O1858" s="13" t="inlineStr">
        <is>
          <t>Jehovah's Witnesses</t>
        </is>
      </c>
      <c r="P1858" s="7" t="inlineStr">
        <is>
          <t>jw.preaching</t>
        </is>
      </c>
      <c r="Q1858" s="7" t="inlineStr">
        <is>
          <t>statistic</t>
        </is>
      </c>
      <c r="R1858" s="7" t="n"/>
      <c r="S1858" s="7" t="n"/>
      <c r="T1858" s="7" t="n"/>
      <c r="U1858" s="7" t="n"/>
      <c r="V1858" s="7" t="n">
        <v>2</v>
      </c>
      <c r="W1858" s="7" t="inlineStr">
        <is>
          <t>2025 Grand Totals</t>
        </is>
      </c>
      <c r="X1858" s="9" t="inlineStr">
        <is>
          <t>open</t>
        </is>
      </c>
      <c r="Y1858" s="9" t="inlineStr">
        <is>
          <t>open</t>
        </is>
      </c>
      <c r="Z1858" s="7" t="inlineStr">
        <is>
          <t>https://www.jw.org/en/library/books/2025-Service-Year-Report-of-Jehovahs-Witnesses-Worldwide/2025-Grand-Totals/
https://www.jw.org/en/news/region/global/2025-Governing-Body-Update-7/</t>
        </is>
      </c>
      <c r="AA1858" s="7" t="n">
        <v>1</v>
      </c>
      <c r="AB1858" s="9" t="inlineStr">
        <is>
          <t>open</t>
        </is>
      </c>
      <c r="AC1858" s="7" t="n">
        <v>0</v>
      </c>
      <c r="AD1858" s="7" t="n"/>
      <c r="AE1858" s="7" t="n"/>
      <c r="AF1858" s="7" t="n"/>
      <c r="AG1858" s="7" t="n"/>
      <c r="AH1858" s="7" t="n"/>
      <c r="AI1858" s="7" t="n"/>
      <c r="AJ1858" s="7" t="n"/>
      <c r="AK1858" s="7" t="n"/>
      <c r="AL1858" s="7" t="n"/>
      <c r="AM1858" s="7" t="n">
        <v>2025</v>
      </c>
      <c r="AN1858" s="10" t="n"/>
      <c r="AO1858" s="10" t="n"/>
      <c r="AP1858" s="10" t="n"/>
      <c r="AQ1858" s="10" t="n"/>
    </row>
    <row r="1859">
      <c r="A1859" s="7" t="inlineStr">
        <is>
          <t>b9-0450</t>
        </is>
      </c>
      <c r="B1859" s="7" t="inlineStr">
        <is>
          <t>Point</t>
        </is>
      </c>
      <c r="C1859" s="7" t="n"/>
      <c r="D1859" s="7" t="inlineStr">
        <is>
          <t>2025, January 31</t>
        </is>
      </c>
      <c r="E1859" s="7" t="n"/>
      <c r="F1859" s="7" t="inlineStr">
        <is>
          <t>2025 CE</t>
        </is>
      </c>
      <c r="G1859" s="7" t="inlineStr">
        <is>
          <t>Exact</t>
        </is>
      </c>
      <c r="H1859" s="7" t="n"/>
      <c r="I1859" s="7" t="n"/>
      <c r="J1859" s="7" t="n"/>
      <c r="K1859" s="2" t="inlineStr">
        <is>
          <t>“Truths We Love to Teach” in Love People—Make Disciples</t>
        </is>
      </c>
      <c r="L1859" s="2" t="inlineStr">
        <is>
          <t>அன்பு காட்டுங்கள்—சீஷராக்குங்கள் சிற்றேட்டின் இணைப்பு A-ல் இருக்கும் “நாம் சொல்லித்தர விரும்பும் உண்மைகள்”</t>
        </is>
      </c>
      <c r="M1859" s="7" t="inlineStr">
        <is>
          <t>2025 Governing Body Update #1 showed how to use “Truths We Love to Teach” in appendix A of the brochure Love People—Make Disciples.</t>
        </is>
      </c>
      <c r="N1859" s="7" t="inlineStr">
        <is>
          <t>அன்பு காட்டுங்கள்—சீஷராக்குங்கள் சிற்றேட்டின் இணைப்பு A-ல் இருக்கும் “நாம் சொல்லித்தர விரும்பும் உண்மைகள்”</t>
        </is>
      </c>
      <c r="O1859" s="13" t="inlineStr">
        <is>
          <t>Jehovah's Witnesses</t>
        </is>
      </c>
      <c r="P1859" s="7" t="inlineStr">
        <is>
          <t>jw.preaching</t>
        </is>
      </c>
      <c r="Q1859" s="7" t="inlineStr">
        <is>
          <t>video_update</t>
        </is>
      </c>
      <c r="R1859" s="7" t="n"/>
      <c r="S1859" s="7" t="n"/>
      <c r="T1859" s="7" t="n"/>
      <c r="U1859" s="7" t="n"/>
      <c r="V1859" s="7" t="n">
        <v>1</v>
      </c>
      <c r="W1859" s="7" t="inlineStr">
        <is>
          <t>2025 Governing Body Update #1</t>
        </is>
      </c>
      <c r="X1859" s="9" t="inlineStr">
        <is>
          <t>open</t>
        </is>
      </c>
      <c r="Y1859" s="9" t="inlineStr">
        <is>
          <t>open</t>
        </is>
      </c>
      <c r="Z1859" s="7" t="inlineStr">
        <is>
          <t>https://www.jw.org/en/news/region/global/2025-Governing-Body-Update-1/</t>
        </is>
      </c>
      <c r="AA1859" s="7" t="n">
        <v>1</v>
      </c>
      <c r="AB1859" s="9" t="inlineStr">
        <is>
          <t>open</t>
        </is>
      </c>
      <c r="AC1859" s="7" t="n">
        <v>0</v>
      </c>
      <c r="AD1859" s="7" t="n"/>
      <c r="AE1859" s="7" t="n"/>
      <c r="AF1859" s="7" t="n"/>
      <c r="AG1859" s="7" t="n"/>
      <c r="AH1859" s="7" t="n"/>
      <c r="AI1859" s="7" t="n"/>
      <c r="AJ1859" s="7" t="n"/>
      <c r="AK1859" s="7" t="n"/>
      <c r="AL1859" s="7" t="inlineStr">
        <is>
          <t>Date is the first-published date of this Governing Body Update video on jw.org (jw.org media metadata).</t>
        </is>
      </c>
      <c r="AM1859" s="7" t="n">
        <v>2025.0806</v>
      </c>
      <c r="AN1859" s="10" t="n"/>
      <c r="AO1859" s="10" t="n"/>
      <c r="AP1859" s="10" t="n"/>
      <c r="AQ1859" s="10" t="n"/>
    </row>
    <row r="1860">
      <c r="A1860" s="7" t="inlineStr">
        <is>
          <t>b9-0451</t>
        </is>
      </c>
      <c r="B1860" s="7" t="inlineStr">
        <is>
          <t>Point</t>
        </is>
      </c>
      <c r="C1860" s="7" t="n"/>
      <c r="D1860" s="7" t="inlineStr">
        <is>
          <t>2025, March 21</t>
        </is>
      </c>
      <c r="E1860" s="7" t="n"/>
      <c r="F1860" s="7" t="inlineStr">
        <is>
          <t>2025 CE</t>
        </is>
      </c>
      <c r="G1860" s="7" t="inlineStr">
        <is>
          <t>Exact</t>
        </is>
      </c>
      <c r="H1860" s="7" t="n"/>
      <c r="I1860" s="7" t="n"/>
      <c r="J1860" s="7" t="n"/>
      <c r="K1860" s="2" t="inlineStr">
        <is>
          <t>Literacy efforts and new convention song announced</t>
        </is>
      </c>
      <c r="L1860" s="2" t="inlineStr">
        <is>
          <t>இந்த அறிக்கையில், எழுத-படிக்க கற்றுக்கொடுக்க சமீபத்தில் அமைப்பு எடுத்த முயற்சிகளை பற்றியும், இயேசுவின் மீட்புவிலையால் நமக்கு கிடைக்கும்…</t>
        </is>
      </c>
      <c r="M1860" s="7" t="inlineStr">
        <is>
          <t>2025 Governing Body Update #2 considered recent literacy efforts and announced a new song for the 2025 convention.</t>
        </is>
      </c>
      <c r="N1860" s="7" t="inlineStr">
        <is>
          <t>இந்த அறிக்கையில், எழுத-படிக்க கற்றுக்கொடுக்க சமீபத்தில் அமைப்பு எடுத்த முயற்சிகளை பற்றியும், இயேசுவின் மீட்புவிலையால் நமக்கு கிடைக்கும் சமாதானத்தை பற்றியும் தெரிந்துகொள்வோம்.</t>
        </is>
      </c>
      <c r="O1860" s="13" t="inlineStr">
        <is>
          <t>Jehovah's Witnesses</t>
        </is>
      </c>
      <c r="P1860" s="7" t="inlineStr">
        <is>
          <t>jw.organization</t>
        </is>
      </c>
      <c r="Q1860" s="7" t="inlineStr">
        <is>
          <t>video_update</t>
        </is>
      </c>
      <c r="R1860" s="7" t="n"/>
      <c r="S1860" s="7" t="n"/>
      <c r="T1860" s="7" t="n"/>
      <c r="U1860" s="7" t="n"/>
      <c r="V1860" s="7" t="n">
        <v>1</v>
      </c>
      <c r="W1860" s="7" t="inlineStr">
        <is>
          <t>2025 Governing Body Update #2</t>
        </is>
      </c>
      <c r="X1860" s="9" t="inlineStr">
        <is>
          <t>open</t>
        </is>
      </c>
      <c r="Y1860" s="9" t="inlineStr">
        <is>
          <t>open</t>
        </is>
      </c>
      <c r="Z1860" s="7" t="inlineStr">
        <is>
          <t>https://www.jw.org/en/news/region/global/2025-Governing-Body-Update-2/</t>
        </is>
      </c>
      <c r="AA1860" s="7" t="n">
        <v>1</v>
      </c>
      <c r="AB1860" s="9" t="inlineStr">
        <is>
          <t>open</t>
        </is>
      </c>
      <c r="AC1860" s="7" t="n">
        <v>0</v>
      </c>
      <c r="AD1860" s="7" t="n"/>
      <c r="AE1860" s="7" t="n"/>
      <c r="AF1860" s="7" t="n"/>
      <c r="AG1860" s="7" t="n"/>
      <c r="AH1860" s="7" t="n"/>
      <c r="AI1860" s="7" t="n"/>
      <c r="AJ1860" s="7" t="n"/>
      <c r="AK1860" s="7" t="n"/>
      <c r="AL1860" s="7" t="inlineStr">
        <is>
          <t>Date is the first-published date of this Governing Body Update video on jw.org (jw.org media metadata).</t>
        </is>
      </c>
      <c r="AM1860" s="7" t="n">
        <v>2025.2204</v>
      </c>
      <c r="AN1860" s="10" t="n"/>
      <c r="AO1860" s="10" t="n"/>
      <c r="AP1860" s="10" t="n"/>
      <c r="AQ1860" s="10" t="n"/>
    </row>
    <row r="1861">
      <c r="A1861" s="7" t="inlineStr">
        <is>
          <t>b9-0452</t>
        </is>
      </c>
      <c r="B1861" s="7" t="inlineStr">
        <is>
          <t>Point</t>
        </is>
      </c>
      <c r="C1861" s="7" t="n"/>
      <c r="D1861" s="7" t="inlineStr">
        <is>
          <t>2025, July 4</t>
        </is>
      </c>
      <c r="E1861" s="7" t="n"/>
      <c r="F1861" s="7" t="inlineStr">
        <is>
          <t>2025 CE</t>
        </is>
      </c>
      <c r="G1861" s="7" t="inlineStr">
        <is>
          <t>Exact</t>
        </is>
      </c>
      <c r="H1861" s="7" t="n"/>
      <c r="I1861" s="7" t="n"/>
      <c r="J1861" s="7" t="n"/>
      <c r="K1861" s="2" t="inlineStr">
        <is>
          <t>Bible principles on symbols and customs</t>
        </is>
      </c>
      <c r="L1861" s="2" t="inlineStr">
        <is>
          <t>இந்த அறிக்கையில், சின்னங்கள் அல்லது வடிவங்களை பயன்படுத்துவது சம்பந்தமாகவும் பழக்கவழக்கங்கள் சம்பந்தமாகவும் ஞானமான முடிவுகள் எடுக்க உதவும்…</t>
        </is>
      </c>
      <c r="M1861" s="7" t="inlineStr">
        <is>
          <t>2025 Governing Body Update #4 considered Bible principles for making wise decisions about the use of symbols and customs.</t>
        </is>
      </c>
      <c r="N1861" s="7" t="inlineStr">
        <is>
          <t>இந்த அறிக்கையில், சின்னங்கள் அல்லது வடிவங்களை பயன்படுத்துவது சம்பந்தமாகவும் பழக்கவழக்கங்கள் சம்பந்தமாகவும் ஞானமான முடிவுகள் எடுக்க உதவும் பைபிள் நியமங்களை பார்ப்போம்.</t>
        </is>
      </c>
      <c r="O1861" s="13" t="inlineStr">
        <is>
          <t>Jehovah's Witnesses</t>
        </is>
      </c>
      <c r="P1861" s="7" t="inlineStr">
        <is>
          <t>jw.organization</t>
        </is>
      </c>
      <c r="Q1861" s="7" t="inlineStr">
        <is>
          <t>video_update</t>
        </is>
      </c>
      <c r="R1861" s="7" t="n"/>
      <c r="S1861" s="7" t="n"/>
      <c r="T1861" s="7" t="n"/>
      <c r="U1861" s="7" t="n"/>
      <c r="V1861" s="7" t="n">
        <v>1</v>
      </c>
      <c r="W1861" s="7" t="inlineStr">
        <is>
          <t>2025 Governing Body Update #4</t>
        </is>
      </c>
      <c r="X1861" s="9" t="inlineStr">
        <is>
          <t>open</t>
        </is>
      </c>
      <c r="Y1861" s="9" t="inlineStr">
        <is>
          <t>open</t>
        </is>
      </c>
      <c r="Z1861" s="7" t="inlineStr">
        <is>
          <t>https://www.jw.org/en/news/region/global/2025-Governing-Body-Update-4/</t>
        </is>
      </c>
      <c r="AA1861" s="7" t="n">
        <v>1</v>
      </c>
      <c r="AB1861" s="9" t="inlineStr">
        <is>
          <t>open</t>
        </is>
      </c>
      <c r="AC1861" s="7" t="n">
        <v>0</v>
      </c>
      <c r="AD1861" s="7" t="n"/>
      <c r="AE1861" s="7" t="n"/>
      <c r="AF1861" s="7" t="n"/>
      <c r="AG1861" s="7" t="n"/>
      <c r="AH1861" s="7" t="n"/>
      <c r="AI1861" s="7" t="n"/>
      <c r="AJ1861" s="7" t="n"/>
      <c r="AK1861" s="7" t="n"/>
      <c r="AL1861" s="7" t="inlineStr">
        <is>
          <t>Date is the first-published date of this Governing Body Update video on jw.org (jw.org media metadata).</t>
        </is>
      </c>
      <c r="AM1861" s="7" t="n">
        <v>2025.5081</v>
      </c>
      <c r="AN1861" s="10" t="n"/>
      <c r="AO1861" s="10" t="n"/>
      <c r="AP1861" s="10" t="n"/>
      <c r="AQ1861" s="10" t="n"/>
    </row>
    <row r="1862">
      <c r="A1862" s="7" t="inlineStr">
        <is>
          <t>b9-0453</t>
        </is>
      </c>
      <c r="B1862" s="7" t="inlineStr">
        <is>
          <t>Point</t>
        </is>
      </c>
      <c r="C1862" s="7" t="n"/>
      <c r="D1862" s="7" t="inlineStr">
        <is>
          <t>2025, August 1</t>
        </is>
      </c>
      <c r="E1862" s="7" t="n"/>
      <c r="F1862" s="7" t="inlineStr">
        <is>
          <t>2025 CE</t>
        </is>
      </c>
      <c r="G1862" s="7" t="inlineStr">
        <is>
          <t>Exact</t>
        </is>
      </c>
      <c r="H1862" s="7" t="n"/>
      <c r="I1862" s="7" t="n"/>
      <c r="J1862" s="7" t="n"/>
      <c r="K1862" s="2" t="inlineStr">
        <is>
          <t>NWT Christian Greek Scriptures marks 75 years; in over 320 languages</t>
        </is>
      </c>
      <c r="L1862" s="2" t="n"/>
      <c r="M1862" s="7" t="inlineStr">
        <is>
          <t>On August 1, 2025, jw.org marked 75 years since the 1950 release of the New World Translation of the Christian Greek Scriptures, noting it is available in over 320 languages.</t>
        </is>
      </c>
      <c r="N1862" s="7" t="n"/>
      <c r="O1862" s="12" t="inlineStr">
        <is>
          <t>Bible &amp; church history</t>
        </is>
      </c>
      <c r="P1862" s="7" t="inlineStr">
        <is>
          <t>history.bible_translation</t>
        </is>
      </c>
      <c r="Q1862" s="7" t="n"/>
      <c r="R1862" s="7" t="n"/>
      <c r="S1862" s="7" t="n"/>
      <c r="T1862" s="7" t="n"/>
      <c r="U1862" s="7" t="n"/>
      <c r="V1862" s="7" t="n">
        <v>1</v>
      </c>
      <c r="W1862" s="7" t="inlineStr">
        <is>
          <t>New World Translation of the Christian Greek Scriptures First Released 75 Years Ago</t>
        </is>
      </c>
      <c r="X1862" s="9" t="inlineStr">
        <is>
          <t>open</t>
        </is>
      </c>
      <c r="Y1862" s="7" t="n"/>
      <c r="Z1862" s="7" t="inlineStr">
        <is>
          <t>https://www.jw.org/en/news/region/global/New-World-Translation-of-the-Christian-Greek-Scriptures-First-Released-75-Years-Ago/</t>
        </is>
      </c>
      <c r="AA1862" s="7" t="n">
        <v>1</v>
      </c>
      <c r="AB1862" s="9" t="inlineStr">
        <is>
          <t>open</t>
        </is>
      </c>
      <c r="AC1862" s="7" t="n">
        <v>0</v>
      </c>
      <c r="AD1862" s="7" t="n"/>
      <c r="AE1862" s="7" t="n"/>
      <c r="AF1862" s="7" t="n"/>
      <c r="AG1862" s="7" t="n"/>
      <c r="AH1862" s="7" t="n"/>
      <c r="AI1862" s="7" t="n"/>
      <c r="AJ1862" s="7" t="n"/>
      <c r="AK1862" s="7" t="n"/>
      <c r="AL1862" s="7" t="n"/>
      <c r="AM1862" s="7" t="n">
        <v>2025.5833</v>
      </c>
      <c r="AN1862" s="10" t="n"/>
      <c r="AO1862" s="10" t="n"/>
      <c r="AP1862" s="10" t="n"/>
      <c r="AQ1862" s="10" t="n"/>
    </row>
    <row r="1863">
      <c r="A1863" s="7" t="inlineStr">
        <is>
          <t>b9-0454</t>
        </is>
      </c>
      <c r="B1863" s="7" t="inlineStr">
        <is>
          <t>Point</t>
        </is>
      </c>
      <c r="C1863" s="7" t="n"/>
      <c r="D1863" s="7" t="inlineStr">
        <is>
          <t>2025, August 22</t>
        </is>
      </c>
      <c r="E1863" s="7" t="n"/>
      <c r="F1863" s="7" t="inlineStr">
        <is>
          <t>2025 CE</t>
        </is>
      </c>
      <c r="G1863" s="7" t="inlineStr">
        <is>
          <t>Exact</t>
        </is>
      </c>
      <c r="H1863" s="7" t="n"/>
      <c r="I1863" s="7" t="n"/>
      <c r="J1863" s="7" t="n"/>
      <c r="K1863" s="2" t="inlineStr">
        <is>
          <t>Bible principles on additional secular education</t>
        </is>
      </c>
      <c r="L1863" s="2" t="inlineStr">
        <is>
          <t>இந்த அறிக்கையில், கூடுதலாக படிப்பது சம்பந்தமாக நல்ல முடிவுகளை எடுக்க உதவும் பைபிள் நியமங்களை பார்ப்போம்.</t>
        </is>
      </c>
      <c r="M1863" s="7" t="inlineStr">
        <is>
          <t>2025 Governing Body Update #5 considered Bible principles for making wise decisions about additional secular education.</t>
        </is>
      </c>
      <c r="N1863" s="7" t="inlineStr">
        <is>
          <t>இந்த அறிக்கையில், கூடுதலாக படிப்பது சம்பந்தமாக நல்ல முடிவுகளை எடுக்க உதவும் பைபிள் நியமங்களை பார்ப்போம்.</t>
        </is>
      </c>
      <c r="O1863" s="13" t="inlineStr">
        <is>
          <t>Jehovah's Witnesses</t>
        </is>
      </c>
      <c r="P1863" s="7" t="inlineStr">
        <is>
          <t>jw.organization</t>
        </is>
      </c>
      <c r="Q1863" s="7" t="inlineStr">
        <is>
          <t>video_update</t>
        </is>
      </c>
      <c r="R1863" s="7" t="n"/>
      <c r="S1863" s="7" t="n"/>
      <c r="T1863" s="7" t="n"/>
      <c r="U1863" s="7" t="n"/>
      <c r="V1863" s="7" t="n">
        <v>1</v>
      </c>
      <c r="W1863" s="7" t="inlineStr">
        <is>
          <t>2025 Governing Body Update #5</t>
        </is>
      </c>
      <c r="X1863" s="9" t="inlineStr">
        <is>
          <t>open</t>
        </is>
      </c>
      <c r="Y1863" s="9" t="inlineStr">
        <is>
          <t>open</t>
        </is>
      </c>
      <c r="Z1863" s="7" t="inlineStr">
        <is>
          <t>https://www.jw.org/en/news/region/global/2025-Governing-Body-Update-5/</t>
        </is>
      </c>
      <c r="AA1863" s="7" t="n">
        <v>1</v>
      </c>
      <c r="AB1863" s="9" t="inlineStr">
        <is>
          <t>open</t>
        </is>
      </c>
      <c r="AC1863" s="7" t="n">
        <v>0</v>
      </c>
      <c r="AD1863" s="7" t="n"/>
      <c r="AE1863" s="7" t="n"/>
      <c r="AF1863" s="7" t="n"/>
      <c r="AG1863" s="7" t="n"/>
      <c r="AH1863" s="7" t="n"/>
      <c r="AI1863" s="7" t="n"/>
      <c r="AJ1863" s="7" t="n"/>
      <c r="AK1863" s="7" t="n"/>
      <c r="AL1863" s="7" t="inlineStr">
        <is>
          <t>Date is the first-published date of this Governing Body Update video on jw.org (jw.org media metadata).</t>
        </is>
      </c>
      <c r="AM1863" s="7" t="n">
        <v>2025.6398</v>
      </c>
      <c r="AN1863" s="10" t="n"/>
      <c r="AO1863" s="10" t="n"/>
      <c r="AP1863" s="10" t="n"/>
      <c r="AQ1863" s="10" t="n"/>
    </row>
    <row r="1864">
      <c r="A1864" s="7" t="inlineStr">
        <is>
          <t>b9-0455</t>
        </is>
      </c>
      <c r="B1864" s="7" t="inlineStr">
        <is>
          <t>Point</t>
        </is>
      </c>
      <c r="C1864" s="7" t="n"/>
      <c r="D1864" s="7" t="inlineStr">
        <is>
          <t>2025, September 26</t>
        </is>
      </c>
      <c r="E1864" s="7" t="n"/>
      <c r="F1864" s="7" t="inlineStr">
        <is>
          <t>2025 CE</t>
        </is>
      </c>
      <c r="G1864" s="7" t="inlineStr">
        <is>
          <t>Exact</t>
        </is>
      </c>
      <c r="H1864" s="7" t="n"/>
      <c r="I1864" s="7" t="n"/>
      <c r="J1864" s="7" t="n"/>
      <c r="K1864" s="2" t="inlineStr">
        <is>
          <t>Governing Body Update announces 2026 yeartext</t>
        </is>
      </c>
      <c r="L1864" s="2" t="inlineStr">
        <is>
          <t>இந்த அறிக்கையில், 2026-க்கான வருடாந்திர வசனத்தையும் ஒரு புதிய பாடலையும் பற்றித் தெரிந்துகொள்வோம்.</t>
        </is>
      </c>
      <c r="M1864" s="7" t="inlineStr">
        <is>
          <t>2025 Governing Body Update #6 announced the 2026 yeartext and a new original song.</t>
        </is>
      </c>
      <c r="N1864" s="7" t="inlineStr">
        <is>
          <t>இந்த அறிக்கையில், 2026-க்கான வருடாந்திர வசனத்தையும் ஒரு புதிய பாடலையும் பற்றித் தெரிந்துகொள்வோம்.</t>
        </is>
      </c>
      <c r="O1864" s="13" t="inlineStr">
        <is>
          <t>Jehovah's Witnesses</t>
        </is>
      </c>
      <c r="P1864" s="7" t="inlineStr">
        <is>
          <t>jw.organization</t>
        </is>
      </c>
      <c r="Q1864" s="7" t="inlineStr">
        <is>
          <t>video_update</t>
        </is>
      </c>
      <c r="R1864" s="7" t="n"/>
      <c r="S1864" s="7" t="n"/>
      <c r="T1864" s="7" t="n"/>
      <c r="U1864" s="7" t="n"/>
      <c r="V1864" s="7" t="n">
        <v>1</v>
      </c>
      <c r="W1864" s="7" t="inlineStr">
        <is>
          <t>2025 Governing Body Update #6</t>
        </is>
      </c>
      <c r="X1864" s="9" t="inlineStr">
        <is>
          <t>open</t>
        </is>
      </c>
      <c r="Y1864" s="9" t="inlineStr">
        <is>
          <t>open</t>
        </is>
      </c>
      <c r="Z1864" s="7" t="inlineStr">
        <is>
          <t>https://www.jw.org/en/news/region/global/2025-Governing-Body-Update-6/</t>
        </is>
      </c>
      <c r="AA1864" s="7" t="n">
        <v>1</v>
      </c>
      <c r="AB1864" s="9" t="inlineStr">
        <is>
          <t>open</t>
        </is>
      </c>
      <c r="AC1864" s="7" t="n">
        <v>0</v>
      </c>
      <c r="AD1864" s="7" t="n"/>
      <c r="AE1864" s="7" t="n"/>
      <c r="AF1864" s="7" t="n"/>
      <c r="AG1864" s="7" t="n"/>
      <c r="AH1864" s="7" t="n"/>
      <c r="AI1864" s="7" t="n"/>
      <c r="AJ1864" s="7" t="n"/>
      <c r="AK1864" s="7" t="n"/>
      <c r="AL1864" s="7" t="inlineStr">
        <is>
          <t>Date is the first-published date of this Governing Body Update video on jw.org (jw.org media metadata).</t>
        </is>
      </c>
      <c r="AM1864" s="7" t="n">
        <v>2025.7339</v>
      </c>
      <c r="AN1864" s="10" t="n"/>
      <c r="AO1864" s="10" t="n"/>
      <c r="AP1864" s="10" t="n"/>
      <c r="AQ1864" s="10" t="n"/>
    </row>
    <row r="1865">
      <c r="A1865" s="7" t="inlineStr">
        <is>
          <t>b9-0456</t>
        </is>
      </c>
      <c r="B1865" s="7" t="inlineStr">
        <is>
          <t>Point</t>
        </is>
      </c>
      <c r="C1865" s="7" t="n"/>
      <c r="D1865" s="7" t="inlineStr">
        <is>
          <t>2025, November 21</t>
        </is>
      </c>
      <c r="E1865" s="7" t="n"/>
      <c r="F1865" s="7" t="inlineStr">
        <is>
          <t>2025 CE</t>
        </is>
      </c>
      <c r="G1865" s="7" t="inlineStr">
        <is>
          <t>Exact</t>
        </is>
      </c>
      <c r="H1865" s="7" t="n"/>
      <c r="I1865" s="7" t="n"/>
      <c r="J1865" s="7" t="n"/>
      <c r="K1865" s="2" t="inlineStr">
        <is>
          <t>Ramapo: foundations of first permanent structure poured</t>
        </is>
      </c>
      <c r="L1865" s="2" t="n"/>
      <c r="M1865" s="7" t="inlineStr">
        <is>
          <t>On November 21, 2025, workers began pouring the foundations for the residential parking garage, the first permanent structure at Ramapo; foundations for the first of ten residence buildings began on December 18, 2025.</t>
        </is>
      </c>
      <c r="N1865" s="7" t="n"/>
      <c r="O1865" s="13" t="inlineStr">
        <is>
          <t>Jehovah's Witnesses</t>
        </is>
      </c>
      <c r="P1865" s="7" t="inlineStr">
        <is>
          <t>jw.construction</t>
        </is>
      </c>
      <c r="Q1865" s="7" t="n"/>
      <c r="R1865" s="7" t="n"/>
      <c r="S1865" s="7" t="inlineStr">
        <is>
          <t>Ramapo, New York</t>
        </is>
      </c>
      <c r="T1865" s="7" t="n"/>
      <c r="U1865" s="7" t="n"/>
      <c r="V1865" s="7" t="n">
        <v>1</v>
      </c>
      <c r="W1865" s="7" t="inlineStr">
        <is>
          <t>Ramapo Construction Update #2</t>
        </is>
      </c>
      <c r="X1865" s="9" t="inlineStr">
        <is>
          <t>open</t>
        </is>
      </c>
      <c r="Y1865" s="7" t="n"/>
      <c r="Z1865" s="7" t="inlineStr">
        <is>
          <t>https://www.jw.org/en/news/region/global/Ramapo-Construction-Update-2/</t>
        </is>
      </c>
      <c r="AA1865" s="7" t="n">
        <v>1</v>
      </c>
      <c r="AB1865" s="9" t="inlineStr">
        <is>
          <t>open</t>
        </is>
      </c>
      <c r="AC1865" s="7" t="n">
        <v>0</v>
      </c>
      <c r="AD1865" s="7" t="n"/>
      <c r="AE1865" s="7" t="n"/>
      <c r="AF1865" s="7" t="n"/>
      <c r="AG1865" s="7" t="n"/>
      <c r="AH1865" s="7" t="n"/>
      <c r="AI1865" s="7" t="n"/>
      <c r="AJ1865" s="7" t="n"/>
      <c r="AK1865" s="7" t="n"/>
      <c r="AL1865" s="7" t="n"/>
      <c r="AM1865" s="7" t="n">
        <v>2025.8871</v>
      </c>
      <c r="AN1865" s="10" t="n"/>
      <c r="AO1865" s="10" t="n"/>
      <c r="AP1865" s="10" t="n"/>
      <c r="AQ1865" s="10" t="n"/>
    </row>
    <row r="1866">
      <c r="A1866" s="7" t="inlineStr">
        <is>
          <t>b9-0457</t>
        </is>
      </c>
      <c r="B1866" s="7" t="inlineStr">
        <is>
          <t>Point</t>
        </is>
      </c>
      <c r="C1866" s="7" t="n"/>
      <c r="D1866" s="7" t="inlineStr">
        <is>
          <t>2025, December 19</t>
        </is>
      </c>
      <c r="E1866" s="7" t="n"/>
      <c r="F1866" s="7" t="inlineStr">
        <is>
          <t>2025 CE</t>
        </is>
      </c>
      <c r="G1866" s="7" t="inlineStr">
        <is>
          <t>Exact</t>
        </is>
      </c>
      <c r="H1866" s="7" t="n"/>
      <c r="I1866" s="7" t="n"/>
      <c r="J1866" s="7" t="n"/>
      <c r="K1866" s="2" t="inlineStr">
        <is>
          <t>Impact of video series The Good News According to Jesus</t>
        </is>
      </c>
      <c r="L1866" s="2" t="inlineStr">
        <is>
          <t>இந்த அறிக்கையில், இயேசுவின் வாழ்க்கை ஒரு வரலாறு வீடியோ தொடரை பார்த்து சகோதர சகோதரிகள் எப்படியெல்லாம் சந்தோஷப்படுகிறார்கள் என்று…</t>
        </is>
      </c>
      <c r="M1866" s="7" t="inlineStr">
        <is>
          <t>2025 Governing Body Update #8 reported the positive impact of the video series The Good News According to Jesus.</t>
        </is>
      </c>
      <c r="N1866" s="7" t="inlineStr">
        <is>
          <t>இந்த அறிக்கையில், இயேசுவின் வாழ்க்கை ஒரு வரலாறு வீடியோ தொடரை பார்த்து சகோதர சகோதரிகள் எப்படியெல்லாம் சந்தோஷப்படுகிறார்கள் என்று தெரிந்துகொள்வோம்.</t>
        </is>
      </c>
      <c r="O1866" s="13" t="inlineStr">
        <is>
          <t>Jehovah's Witnesses</t>
        </is>
      </c>
      <c r="P1866" s="7" t="inlineStr">
        <is>
          <t>jw.publication</t>
        </is>
      </c>
      <c r="Q1866" s="7" t="inlineStr">
        <is>
          <t>video_update</t>
        </is>
      </c>
      <c r="R1866" s="7" t="n"/>
      <c r="S1866" s="7" t="n"/>
      <c r="T1866" s="7" t="n"/>
      <c r="U1866" s="7" t="n"/>
      <c r="V1866" s="7" t="n">
        <v>1</v>
      </c>
      <c r="W1866" s="7" t="inlineStr">
        <is>
          <t>2025 Governing Body Update #8</t>
        </is>
      </c>
      <c r="X1866" s="9" t="inlineStr">
        <is>
          <t>open</t>
        </is>
      </c>
      <c r="Y1866" s="9" t="inlineStr">
        <is>
          <t>open</t>
        </is>
      </c>
      <c r="Z1866" s="7" t="inlineStr">
        <is>
          <t>https://www.jw.org/en/news/region/global/2025-Governing-Body-Update-8/</t>
        </is>
      </c>
      <c r="AA1866" s="7" t="n">
        <v>1</v>
      </c>
      <c r="AB1866" s="9" t="inlineStr">
        <is>
          <t>open</t>
        </is>
      </c>
      <c r="AC1866" s="7" t="n">
        <v>0</v>
      </c>
      <c r="AD1866" s="7" t="n"/>
      <c r="AE1866" s="7" t="n"/>
      <c r="AF1866" s="7" t="n"/>
      <c r="AG1866" s="7" t="n"/>
      <c r="AH1866" s="7" t="n"/>
      <c r="AI1866" s="7" t="n"/>
      <c r="AJ1866" s="7" t="n"/>
      <c r="AK1866" s="7" t="n"/>
      <c r="AL1866" s="7" t="inlineStr">
        <is>
          <t>Date is the first-published date of this Governing Body Update video on jw.org (jw.org media metadata).</t>
        </is>
      </c>
      <c r="AM1866" s="7" t="n">
        <v>2025.9651</v>
      </c>
      <c r="AN1866" s="10" t="n"/>
      <c r="AO1866" s="10" t="n"/>
      <c r="AP1866" s="10" t="n"/>
      <c r="AQ1866" s="10" t="n"/>
    </row>
    <row r="1867">
      <c r="A1867" s="7" t="inlineStr">
        <is>
          <t>b9-0458</t>
        </is>
      </c>
      <c r="B1867" s="7" t="inlineStr">
        <is>
          <t>Point</t>
        </is>
      </c>
      <c r="C1867" s="7" t="n"/>
      <c r="D1867" s="7" t="inlineStr">
        <is>
          <t>2026</t>
        </is>
      </c>
      <c r="E1867" s="7" t="n"/>
      <c r="F1867" s="7" t="inlineStr">
        <is>
          <t>2026 CE</t>
        </is>
      </c>
      <c r="G1867" s="7" t="inlineStr">
        <is>
          <t>Exact</t>
        </is>
      </c>
      <c r="H1867" s="7" t="n"/>
      <c r="I1867" s="7" t="n"/>
      <c r="J1867" s="7" t="n"/>
      <c r="K1867" s="2" t="inlineStr">
        <is>
          <t>Understanding clarified: additional education</t>
        </is>
      </c>
      <c r="L1867" s="2" t="n"/>
      <c r="M1867" s="7" t="inlineStr">
        <is>
          <t>The Watch Tower Publications Index (“Beliefs Clarified,” list by year) records a clarified understanding in 2026 concerning additional education. Index references: w26.05 15.</t>
        </is>
      </c>
      <c r="N1867" s="7" t="n"/>
      <c r="O1867" s="13" t="inlineStr">
        <is>
          <t>Jehovah's Witnesses</t>
        </is>
      </c>
      <c r="P1867" s="7" t="inlineStr">
        <is>
          <t>jw.doctrine</t>
        </is>
      </c>
      <c r="Q1867" s="7" t="inlineStr">
        <is>
          <t>beliefs_clarified</t>
        </is>
      </c>
      <c r="R1867" s="7" t="n"/>
      <c r="S1867" s="7" t="n"/>
      <c r="T1867" s="7" t="n"/>
      <c r="U1867" s="7" t="n"/>
      <c r="V1867" s="7" t="n">
        <v>1</v>
      </c>
      <c r="W1867" s="7" t="inlineStr">
        <is>
          <t>Beliefs Clarified</t>
        </is>
      </c>
      <c r="X1867" s="9" t="inlineStr">
        <is>
          <t>open</t>
        </is>
      </c>
      <c r="Y1867" s="7" t="n"/>
      <c r="Z1867" s="7" t="inlineStr">
        <is>
          <t>https://wol.jw.org/en/wol/d/r1/lp-e/1200277174</t>
        </is>
      </c>
      <c r="AA1867" s="7" t="n">
        <v>0</v>
      </c>
      <c r="AB1867" s="7" t="n"/>
      <c r="AC1867" s="7" t="n">
        <v>0</v>
      </c>
      <c r="AD1867" s="7" t="n"/>
      <c r="AE1867" s="7" t="n"/>
      <c r="AF1867" s="7" t="n"/>
      <c r="AG1867" s="7" t="n"/>
      <c r="AH1867" s="7" t="n"/>
      <c r="AI1867" s="7" t="inlineStr">
        <is>
          <t>Index list entry – app detail</t>
        </is>
      </c>
      <c r="AJ1867" s="7" t="n"/>
      <c r="AK1867" s="7" t="n"/>
      <c r="AL1867" s="7" t="n"/>
      <c r="AM1867" s="7" t="n">
        <v>2026</v>
      </c>
      <c r="AN1867" s="10" t="n"/>
      <c r="AO1867" s="10" t="n"/>
      <c r="AP1867" s="10" t="n"/>
      <c r="AQ1867" s="10" t="n"/>
    </row>
    <row r="1868">
      <c r="A1868" s="7" t="inlineStr">
        <is>
          <t>b9-0459</t>
        </is>
      </c>
      <c r="B1868" s="7" t="inlineStr">
        <is>
          <t>Point</t>
        </is>
      </c>
      <c r="C1868" s="7" t="n"/>
      <c r="D1868" s="7" t="inlineStr">
        <is>
          <t>2026</t>
        </is>
      </c>
      <c r="E1868" s="7" t="n"/>
      <c r="F1868" s="7" t="inlineStr">
        <is>
          <t>2026 CE</t>
        </is>
      </c>
      <c r="G1868" s="7" t="inlineStr">
        <is>
          <t>Exact</t>
        </is>
      </c>
      <c r="H1868" s="7" t="n"/>
      <c r="I1868" s="7" t="n"/>
      <c r="J1868" s="7" t="n"/>
      <c r="K1868" s="2" t="inlineStr">
        <is>
          <t>Understanding clarified: declaration of “peace and security” (1 Thess. 5:3) may come before or after destruction of false religion</t>
        </is>
      </c>
      <c r="L1868" s="2" t="n"/>
      <c r="M1868" s="7" t="inlineStr">
        <is>
          <t>The Watch Tower Publications Index (“Beliefs Clarified,” list by year) records a clarified understanding in 2026 concerning declaration of “peace and security” (1 Thess. 5:3) may come before or after destruction of false religion. Index references: w26.02 30-31; w26.12 27.</t>
        </is>
      </c>
      <c r="N1868" s="7" t="n"/>
      <c r="O1868" s="13" t="inlineStr">
        <is>
          <t>Jehovah's Witnesses</t>
        </is>
      </c>
      <c r="P1868" s="7" t="inlineStr">
        <is>
          <t>jw.doctrine</t>
        </is>
      </c>
      <c r="Q1868" s="7" t="inlineStr">
        <is>
          <t>beliefs_clarified</t>
        </is>
      </c>
      <c r="R1868" s="7" t="n"/>
      <c r="S1868" s="7" t="n"/>
      <c r="T1868" s="7" t="inlineStr">
        <is>
          <t>1 Thess. 5:3</t>
        </is>
      </c>
      <c r="U1868" s="7" t="n"/>
      <c r="V1868" s="7" t="n">
        <v>1</v>
      </c>
      <c r="W1868" s="7" t="inlineStr">
        <is>
          <t>Beliefs Clarified</t>
        </is>
      </c>
      <c r="X1868" s="9" t="inlineStr">
        <is>
          <t>open</t>
        </is>
      </c>
      <c r="Y1868" s="7" t="n"/>
      <c r="Z1868" s="7" t="inlineStr">
        <is>
          <t>https://wol.jw.org/en/wol/d/r1/lp-e/1200277174</t>
        </is>
      </c>
      <c r="AA1868" s="7" t="n">
        <v>0</v>
      </c>
      <c r="AB1868" s="7" t="n"/>
      <c r="AC1868" s="7" t="n">
        <v>0</v>
      </c>
      <c r="AD1868" s="7" t="n"/>
      <c r="AE1868" s="7" t="n"/>
      <c r="AF1868" s="7" t="n"/>
      <c r="AG1868" s="7" t="n"/>
      <c r="AH1868" s="7" t="n"/>
      <c r="AI1868" s="7" t="inlineStr">
        <is>
          <t>Index list entry – app detail</t>
        </is>
      </c>
      <c r="AJ1868" s="7" t="n"/>
      <c r="AK1868" s="7" t="n"/>
      <c r="AL1868" s="7" t="n"/>
      <c r="AM1868" s="7" t="n">
        <v>2026</v>
      </c>
      <c r="AN1868" s="10" t="n"/>
      <c r="AO1868" s="10" t="n"/>
      <c r="AP1868" s="10" t="n"/>
      <c r="AQ1868" s="10" t="n"/>
    </row>
    <row r="1869">
      <c r="A1869" s="7" t="inlineStr">
        <is>
          <t>b9-0460</t>
        </is>
      </c>
      <c r="B1869" s="7" t="inlineStr">
        <is>
          <t>Point</t>
        </is>
      </c>
      <c r="C1869" s="7" t="n"/>
      <c r="D1869" s="7" t="inlineStr">
        <is>
          <t>2026</t>
        </is>
      </c>
      <c r="E1869" s="7" t="n"/>
      <c r="F1869" s="7" t="inlineStr">
        <is>
          <t>2026 CE</t>
        </is>
      </c>
      <c r="G1869" s="7" t="inlineStr">
        <is>
          <t>Exact</t>
        </is>
      </c>
      <c r="H1869" s="7" t="n"/>
      <c r="I1869" s="7" t="n"/>
      <c r="J1869" s="7" t="n"/>
      <c r="K1869" s="2" t="inlineStr">
        <is>
          <t>Understanding clarified: Psalm 91 promises spiritual, physical, and emotional protection</t>
        </is>
      </c>
      <c r="L1869" s="2" t="n"/>
      <c r="M1869" s="7" t="inlineStr">
        <is>
          <t>The Watch Tower Publications Index (“Beliefs Clarified,” list by year) records a clarified understanding in 2026 concerning Psalm 91 promises spiritual, physical, and emotional protection. Index references: w26.09 4.</t>
        </is>
      </c>
      <c r="N1869" s="7" t="n"/>
      <c r="O1869" s="13" t="inlineStr">
        <is>
          <t>Jehovah's Witnesses</t>
        </is>
      </c>
      <c r="P1869" s="7" t="inlineStr">
        <is>
          <t>jw.doctrine</t>
        </is>
      </c>
      <c r="Q1869" s="7" t="inlineStr">
        <is>
          <t>beliefs_clarified</t>
        </is>
      </c>
      <c r="R1869" s="7" t="n"/>
      <c r="S1869" s="7" t="n"/>
      <c r="T1869" s="7" t="n"/>
      <c r="U1869" s="7" t="n"/>
      <c r="V1869" s="7" t="n">
        <v>1</v>
      </c>
      <c r="W1869" s="7" t="inlineStr">
        <is>
          <t>Beliefs Clarified</t>
        </is>
      </c>
      <c r="X1869" s="9" t="inlineStr">
        <is>
          <t>open</t>
        </is>
      </c>
      <c r="Y1869" s="7" t="n"/>
      <c r="Z1869" s="7" t="inlineStr">
        <is>
          <t>https://wol.jw.org/en/wol/d/r1/lp-e/1200277174</t>
        </is>
      </c>
      <c r="AA1869" s="7" t="n">
        <v>0</v>
      </c>
      <c r="AB1869" s="7" t="n"/>
      <c r="AC1869" s="7" t="n">
        <v>0</v>
      </c>
      <c r="AD1869" s="7" t="n"/>
      <c r="AE1869" s="7" t="n"/>
      <c r="AF1869" s="7" t="n"/>
      <c r="AG1869" s="7" t="n"/>
      <c r="AH1869" s="7" t="n"/>
      <c r="AI1869" s="7" t="inlineStr">
        <is>
          <t>Index list entry – app detail</t>
        </is>
      </c>
      <c r="AJ1869" s="7" t="n"/>
      <c r="AK1869" s="7" t="n"/>
      <c r="AL1869" s="7" t="n"/>
      <c r="AM1869" s="7" t="n">
        <v>2026</v>
      </c>
      <c r="AN1869" s="10" t="n"/>
      <c r="AO1869" s="10" t="n"/>
      <c r="AP1869" s="10" t="n"/>
      <c r="AQ1869" s="10" t="n"/>
    </row>
    <row r="1870">
      <c r="A1870" s="7" t="inlineStr">
        <is>
          <t>b9-0461</t>
        </is>
      </c>
      <c r="B1870" s="7" t="inlineStr">
        <is>
          <t>Point</t>
        </is>
      </c>
      <c r="C1870" s="7" t="n"/>
      <c r="D1870" s="7" t="inlineStr">
        <is>
          <t>2026</t>
        </is>
      </c>
      <c r="E1870" s="7" t="n"/>
      <c r="F1870" s="7" t="inlineStr">
        <is>
          <t>2026 CE</t>
        </is>
      </c>
      <c r="G1870" s="7" t="inlineStr">
        <is>
          <t>Exact</t>
        </is>
      </c>
      <c r="H1870" s="7" t="n"/>
      <c r="I1870" s="7" t="n"/>
      <c r="J1870" s="7" t="n"/>
      <c r="K1870" s="2" t="inlineStr">
        <is>
          <t>Understanding clarified: two covenants (Gal. 4:24) were Law covenant and Abrahamic covenant</t>
        </is>
      </c>
      <c r="L1870" s="2" t="n"/>
      <c r="M1870" s="7" t="inlineStr">
        <is>
          <t>The Watch Tower Publications Index (“Beliefs Clarified,” list by year) records a clarified understanding in 2026 concerning two covenants (Gal. 4:24) were Law covenant and Abrahamic covenant. Index references: w26.06 31.</t>
        </is>
      </c>
      <c r="N1870" s="7" t="n"/>
      <c r="O1870" s="13" t="inlineStr">
        <is>
          <t>Jehovah's Witnesses</t>
        </is>
      </c>
      <c r="P1870" s="7" t="inlineStr">
        <is>
          <t>jw.doctrine</t>
        </is>
      </c>
      <c r="Q1870" s="7" t="inlineStr">
        <is>
          <t>beliefs_clarified</t>
        </is>
      </c>
      <c r="R1870" s="7" t="n"/>
      <c r="S1870" s="7" t="n"/>
      <c r="T1870" s="7" t="inlineStr">
        <is>
          <t>Gal. 4:24</t>
        </is>
      </c>
      <c r="U1870" s="7" t="n"/>
      <c r="V1870" s="7" t="n">
        <v>1</v>
      </c>
      <c r="W1870" s="7" t="inlineStr">
        <is>
          <t>Beliefs Clarified</t>
        </is>
      </c>
      <c r="X1870" s="9" t="inlineStr">
        <is>
          <t>open</t>
        </is>
      </c>
      <c r="Y1870" s="7" t="n"/>
      <c r="Z1870" s="7" t="inlineStr">
        <is>
          <t>https://wol.jw.org/en/wol/d/r1/lp-e/1200277174</t>
        </is>
      </c>
      <c r="AA1870" s="7" t="n">
        <v>0</v>
      </c>
      <c r="AB1870" s="7" t="n"/>
      <c r="AC1870" s="7" t="n">
        <v>0</v>
      </c>
      <c r="AD1870" s="7" t="n"/>
      <c r="AE1870" s="7" t="n"/>
      <c r="AF1870" s="7" t="n"/>
      <c r="AG1870" s="7" t="n"/>
      <c r="AH1870" s="7" t="n"/>
      <c r="AI1870" s="7" t="inlineStr">
        <is>
          <t>Index list entry – app detail</t>
        </is>
      </c>
      <c r="AJ1870" s="7" t="n"/>
      <c r="AK1870" s="7" t="inlineStr">
        <is>
          <t>covenants #5 (context)</t>
        </is>
      </c>
      <c r="AL1870" s="7" t="n"/>
      <c r="AM1870" s="7" t="n">
        <v>2026</v>
      </c>
      <c r="AN1870" s="10" t="n"/>
      <c r="AO1870" s="10" t="n"/>
      <c r="AP1870" s="10" t="n"/>
      <c r="AQ1870" s="10" t="n"/>
    </row>
    <row r="1871">
      <c r="A1871" s="7" t="inlineStr">
        <is>
          <t>b9-0462</t>
        </is>
      </c>
      <c r="B1871" s="7" t="inlineStr">
        <is>
          <t>Point</t>
        </is>
      </c>
      <c r="C1871" s="7" t="n"/>
      <c r="D1871" s="7" t="inlineStr">
        <is>
          <t>2026, January 12</t>
        </is>
      </c>
      <c r="E1871" s="7" t="n"/>
      <c r="F1871" s="7" t="inlineStr">
        <is>
          <t>2026 CE</t>
        </is>
      </c>
      <c r="G1871" s="7" t="inlineStr">
        <is>
          <t>Exact</t>
        </is>
      </c>
      <c r="H1871" s="7" t="n"/>
      <c r="I1871" s="7" t="n"/>
      <c r="J1871" s="7" t="n"/>
      <c r="K1871" s="2" t="inlineStr">
        <is>
          <t>First family Watchtower Study at Ramapo site</t>
        </is>
      </c>
      <c r="L1871" s="2" t="n"/>
      <c r="M1871" s="7" t="inlineStr">
        <is>
          <t>On January 12, 2026, nearly 300 gathered in person for the first family Watchtower Study held at the Ramapo construction site.</t>
        </is>
      </c>
      <c r="N1871" s="7" t="n"/>
      <c r="O1871" s="13" t="inlineStr">
        <is>
          <t>Jehovah's Witnesses</t>
        </is>
      </c>
      <c r="P1871" s="7" t="inlineStr">
        <is>
          <t>jw.construction</t>
        </is>
      </c>
      <c r="Q1871" s="7" t="n"/>
      <c r="R1871" s="7" t="n"/>
      <c r="S1871" s="7" t="inlineStr">
        <is>
          <t>Ramapo, New York</t>
        </is>
      </c>
      <c r="T1871" s="7" t="n"/>
      <c r="U1871" s="7" t="n"/>
      <c r="V1871" s="7" t="n">
        <v>1</v>
      </c>
      <c r="W1871" s="7" t="inlineStr">
        <is>
          <t>Ramapo Construction Update #2</t>
        </is>
      </c>
      <c r="X1871" s="9" t="inlineStr">
        <is>
          <t>open</t>
        </is>
      </c>
      <c r="Y1871" s="7" t="n"/>
      <c r="Z1871" s="7" t="inlineStr">
        <is>
          <t>https://www.jw.org/en/news/region/global/Ramapo-Construction-Update-2/</t>
        </is>
      </c>
      <c r="AA1871" s="7" t="n">
        <v>1</v>
      </c>
      <c r="AB1871" s="9" t="inlineStr">
        <is>
          <t>open</t>
        </is>
      </c>
      <c r="AC1871" s="7" t="n">
        <v>0</v>
      </c>
      <c r="AD1871" s="7" t="n"/>
      <c r="AE1871" s="7" t="n"/>
      <c r="AF1871" s="7" t="n"/>
      <c r="AG1871" s="7" t="n"/>
      <c r="AH1871" s="7" t="n"/>
      <c r="AI1871" s="7" t="n"/>
      <c r="AJ1871" s="7" t="n"/>
      <c r="AK1871" s="7" t="n"/>
      <c r="AL1871" s="7" t="n"/>
      <c r="AM1871" s="7" t="n">
        <v>2026.0296</v>
      </c>
      <c r="AN1871" s="10" t="n"/>
      <c r="AO1871" s="10" t="n"/>
      <c r="AP1871" s="10" t="n"/>
      <c r="AQ1871" s="10" t="n"/>
    </row>
    <row r="1872">
      <c r="A1872" s="7" t="inlineStr">
        <is>
          <t>b9-0463</t>
        </is>
      </c>
      <c r="B1872" s="7" t="inlineStr">
        <is>
          <t>Point</t>
        </is>
      </c>
      <c r="C1872" s="7" t="n"/>
      <c r="D1872" s="7" t="inlineStr">
        <is>
          <t>2026, January 30</t>
        </is>
      </c>
      <c r="E1872" s="7" t="n"/>
      <c r="F1872" s="7" t="inlineStr">
        <is>
          <t>2026 CE</t>
        </is>
      </c>
      <c r="G1872" s="7" t="inlineStr">
        <is>
          <t>Exact</t>
        </is>
      </c>
      <c r="H1872" s="7" t="n"/>
      <c r="I1872" s="7" t="n"/>
      <c r="J1872" s="7" t="n"/>
      <c r="K1872" s="2" t="inlineStr">
        <is>
          <t>Updated direction for Bible studies with Enjoy Life Forever!</t>
        </is>
      </c>
      <c r="L1872" s="2" t="inlineStr">
        <is>
          <t>இந்த அறிக்கையில், நல்லவிதமாக பைபிள் படிப்பு நடத்த, இன்றும் என்றும் சந்தோஷம்!</t>
        </is>
      </c>
      <c r="M1872" s="7" t="inlineStr">
        <is>
          <t>2026 Governing Body Update #1 gave updated direction for conducting effective Bible studies using the Enjoy Life Forever! book.</t>
        </is>
      </c>
      <c r="N1872" s="7" t="inlineStr">
        <is>
          <t>இந்த அறிக்கையில், நல்லவிதமாக பைபிள் படிப்பு நடத்த, இன்றும் என்றும் சந்தோஷம்!</t>
        </is>
      </c>
      <c r="O1872" s="13" t="inlineStr">
        <is>
          <t>Jehovah's Witnesses</t>
        </is>
      </c>
      <c r="P1872" s="7" t="inlineStr">
        <is>
          <t>jw.preaching</t>
        </is>
      </c>
      <c r="Q1872" s="7" t="inlineStr">
        <is>
          <t>video_update</t>
        </is>
      </c>
      <c r="R1872" s="7" t="n"/>
      <c r="S1872" s="7" t="n"/>
      <c r="T1872" s="7" t="n"/>
      <c r="U1872" s="7" t="n"/>
      <c r="V1872" s="7" t="n">
        <v>1</v>
      </c>
      <c r="W1872" s="7" t="inlineStr">
        <is>
          <t>2026 Governing Body Update #1</t>
        </is>
      </c>
      <c r="X1872" s="9" t="inlineStr">
        <is>
          <t>open</t>
        </is>
      </c>
      <c r="Y1872" s="9" t="inlineStr">
        <is>
          <t>open</t>
        </is>
      </c>
      <c r="Z1872" s="7" t="inlineStr">
        <is>
          <t>https://www.jw.org/en/news/region/global/2026-Governing-Body-Update-1/</t>
        </is>
      </c>
      <c r="AA1872" s="7" t="n">
        <v>1</v>
      </c>
      <c r="AB1872" s="9" t="inlineStr">
        <is>
          <t>open</t>
        </is>
      </c>
      <c r="AC1872" s="7" t="n">
        <v>0</v>
      </c>
      <c r="AD1872" s="7" t="n"/>
      <c r="AE1872" s="7" t="n"/>
      <c r="AF1872" s="7" t="n"/>
      <c r="AG1872" s="7" t="n"/>
      <c r="AH1872" s="7" t="n"/>
      <c r="AI1872" s="7" t="n"/>
      <c r="AJ1872" s="7" t="n"/>
      <c r="AK1872" s="7" t="n"/>
      <c r="AL1872" s="7" t="inlineStr">
        <is>
          <t>Date is the first-published date of this Governing Body Update video on jw.org (jw.org media metadata).</t>
        </is>
      </c>
      <c r="AM1872" s="7" t="n">
        <v>2026.078</v>
      </c>
      <c r="AN1872" s="10" t="n"/>
      <c r="AO1872" s="10" t="n"/>
      <c r="AP1872" s="10" t="n"/>
      <c r="AQ1872" s="10" t="n"/>
    </row>
    <row r="1873">
      <c r="A1873" s="7" t="inlineStr">
        <is>
          <t>b9-0464</t>
        </is>
      </c>
      <c r="B1873" s="7" t="inlineStr">
        <is>
          <t>Point</t>
        </is>
      </c>
      <c r="C1873" s="7" t="n"/>
      <c r="D1873" s="7" t="inlineStr">
        <is>
          <t>2026, March 20</t>
        </is>
      </c>
      <c r="E1873" s="7" t="n"/>
      <c r="F1873" s="7" t="inlineStr">
        <is>
          <t>2026 CE</t>
        </is>
      </c>
      <c r="G1873" s="7" t="inlineStr">
        <is>
          <t>Exact</t>
        </is>
      </c>
      <c r="H1873" s="7" t="n"/>
      <c r="I1873" s="7" t="n"/>
      <c r="J1873" s="7" t="n"/>
      <c r="K1873" s="2" t="inlineStr">
        <is>
          <t>Position clarified on use of a patient’s own blood</t>
        </is>
      </c>
      <c r="L1873" s="2" t="inlineStr">
        <is>
          <t>இந்த அறிக்கையில், ஒருவர் தன்னுடைய சொந்த இரத்தத்தை மருத்துவ மற்றும் அறுவை சிகிச்சைக்காக பயன்படுத்துவது பற்றிய புதிய புரிந்துகொள்ளுதலை…</t>
        </is>
      </c>
      <c r="M1873" s="7" t="inlineStr">
        <is>
          <t>2026 Governing Body Update #2 clarified the Witnesses’ position on the use of a patient’s own blood in medical and surgical care.</t>
        </is>
      </c>
      <c r="N1873" s="7" t="inlineStr">
        <is>
          <t>இந்த அறிக்கையில், ஒருவர் தன்னுடைய சொந்த இரத்தத்தை மருத்துவ மற்றும் அறுவை சிகிச்சைக்காக பயன்படுத்துவது பற்றிய புதிய புரிந்துகொள்ளுதலை தெரிந்துகொள்வோம்.</t>
        </is>
      </c>
      <c r="O1873" s="13" t="inlineStr">
        <is>
          <t>Jehovah's Witnesses</t>
        </is>
      </c>
      <c r="P1873" s="7" t="inlineStr">
        <is>
          <t>jw.doctrine</t>
        </is>
      </c>
      <c r="Q1873" s="7" t="inlineStr">
        <is>
          <t>video_update</t>
        </is>
      </c>
      <c r="R1873" s="7" t="n"/>
      <c r="S1873" s="7" t="n"/>
      <c r="T1873" s="7" t="n"/>
      <c r="U1873" s="7" t="n"/>
      <c r="V1873" s="7" t="n">
        <v>1</v>
      </c>
      <c r="W1873" s="7" t="inlineStr">
        <is>
          <t>2026 Governing Body Update #2</t>
        </is>
      </c>
      <c r="X1873" s="9" t="inlineStr">
        <is>
          <t>open</t>
        </is>
      </c>
      <c r="Y1873" s="9" t="inlineStr">
        <is>
          <t>open</t>
        </is>
      </c>
      <c r="Z1873" s="7" t="inlineStr">
        <is>
          <t>https://www.jw.org/en/news/region/global/2026-Governing-Body-Update-2/</t>
        </is>
      </c>
      <c r="AA1873" s="7" t="n">
        <v>1</v>
      </c>
      <c r="AB1873" s="9" t="inlineStr">
        <is>
          <t>open</t>
        </is>
      </c>
      <c r="AC1873" s="7" t="n">
        <v>0</v>
      </c>
      <c r="AD1873" s="7" t="n"/>
      <c r="AE1873" s="7" t="n"/>
      <c r="AF1873" s="7" t="n"/>
      <c r="AG1873" s="7" t="n"/>
      <c r="AH1873" s="7" t="n"/>
      <c r="AI1873" s="7" t="n"/>
      <c r="AJ1873" s="7" t="n"/>
      <c r="AK1873" s="7" t="n"/>
      <c r="AL1873" s="7" t="inlineStr">
        <is>
          <t>Date is the first-published date of this Governing Body Update video on jw.org (jw.org media metadata).</t>
        </is>
      </c>
      <c r="AM1873" s="7" t="n">
        <v>2026.2177</v>
      </c>
      <c r="AN1873" s="10" t="n"/>
      <c r="AO1873" s="10" t="n"/>
      <c r="AP1873" s="10" t="n"/>
      <c r="AQ1873" s="10" t="n"/>
    </row>
    <row r="1874">
      <c r="A1874" s="7" t="inlineStr">
        <is>
          <t>b9-0465</t>
        </is>
      </c>
      <c r="B1874" s="7" t="inlineStr">
        <is>
          <t>Point</t>
        </is>
      </c>
      <c r="C1874" s="7" t="n"/>
      <c r="D1874" s="7" t="inlineStr">
        <is>
          <t>2026, May 1</t>
        </is>
      </c>
      <c r="E1874" s="7" t="n"/>
      <c r="F1874" s="7" t="inlineStr">
        <is>
          <t>2026 CE</t>
        </is>
      </c>
      <c r="G1874" s="7" t="inlineStr">
        <is>
          <t>Exact</t>
        </is>
      </c>
      <c r="H1874" s="7" t="n"/>
      <c r="I1874" s="7" t="n"/>
      <c r="J1874" s="7" t="n"/>
      <c r="K1874" s="2" t="inlineStr">
        <is>
          <t>Nine years since Russia ban; new Good News According to Jesus episodes</t>
        </is>
      </c>
      <c r="L1874" s="2" t="inlineStr">
        <is>
          <t>இந்த அறிக்கையில், ரஷ்யாவில் தடையுத்தரவு போட்ட சமயத்தில் இருந்து, ஒன்பது வருஷங்களாக நம் சகோதர-சகோதரிகள் எப்படி சகித்திருக்கிறார்கள் என்று…</t>
        </is>
      </c>
      <c r="M1874" s="7" t="inlineStr">
        <is>
          <t>2026 Governing Body Update #3 considered the endurance of Witnesses in Russia since the ban nine years earlier and announced Episodes 4, 5, and 6 of The Good News According to Jesus.</t>
        </is>
      </c>
      <c r="N1874" s="7" t="inlineStr">
        <is>
          <t>இந்த அறிக்கையில், ரஷ்யாவில் தடையுத்தரவு போட்ட சமயத்தில் இருந்து, ஒன்பது வருஷங்களாக நம் சகோதர-சகோதரிகள் எப்படி சகித்திருக்கிறார்கள் என்று பார்ப்போம்.</t>
        </is>
      </c>
      <c r="O1874" s="13" t="inlineStr">
        <is>
          <t>Jehovah's Witnesses</t>
        </is>
      </c>
      <c r="P1874" s="7" t="inlineStr">
        <is>
          <t>jw.persecution</t>
        </is>
      </c>
      <c r="Q1874" s="7" t="inlineStr">
        <is>
          <t>video_update</t>
        </is>
      </c>
      <c r="R1874" s="7" t="n"/>
      <c r="S1874" s="7" t="n"/>
      <c r="T1874" s="7" t="n"/>
      <c r="U1874" s="7" t="n"/>
      <c r="V1874" s="7" t="n">
        <v>1</v>
      </c>
      <c r="W1874" s="7" t="inlineStr">
        <is>
          <t>2026 Governing Body Update #3</t>
        </is>
      </c>
      <c r="X1874" s="9" t="inlineStr">
        <is>
          <t>open</t>
        </is>
      </c>
      <c r="Y1874" s="9" t="inlineStr">
        <is>
          <t>open</t>
        </is>
      </c>
      <c r="Z1874" s="7" t="inlineStr">
        <is>
          <t>https://www.jw.org/en/news/region/global/2026-Governing-Body-Update-3/</t>
        </is>
      </c>
      <c r="AA1874" s="7" t="n">
        <v>1</v>
      </c>
      <c r="AB1874" s="9" t="inlineStr">
        <is>
          <t>open</t>
        </is>
      </c>
      <c r="AC1874" s="7" t="n">
        <v>0</v>
      </c>
      <c r="AD1874" s="7" t="n"/>
      <c r="AE1874" s="7" t="n"/>
      <c r="AF1874" s="7" t="n"/>
      <c r="AG1874" s="7" t="n"/>
      <c r="AH1874" s="7" t="n"/>
      <c r="AI1874" s="7" t="n"/>
      <c r="AJ1874" s="7" t="n"/>
      <c r="AK1874" s="7" t="n"/>
      <c r="AL1874" s="7" t="inlineStr">
        <is>
          <t>Date is the first-published date of this Governing Body Update video on jw.org (jw.org media metadata).</t>
        </is>
      </c>
      <c r="AM1874" s="7" t="n">
        <v>2026.3333</v>
      </c>
      <c r="AN1874" s="10" t="n"/>
      <c r="AO1874" s="10" t="n"/>
      <c r="AP1874" s="10" t="n"/>
      <c r="AQ1874" s="10" t="n"/>
    </row>
    <row r="1875">
      <c r="A1875" s="7" t="inlineStr">
        <is>
          <t>b9-0466</t>
        </is>
      </c>
      <c r="B1875" s="7" t="inlineStr">
        <is>
          <t>Point</t>
        </is>
      </c>
      <c r="C1875" s="7" t="n"/>
      <c r="D1875" s="7" t="inlineStr">
        <is>
          <t>2026, June 9</t>
        </is>
      </c>
      <c r="E1875" s="7" t="n"/>
      <c r="F1875" s="7" t="inlineStr">
        <is>
          <t>2026 CE</t>
        </is>
      </c>
      <c r="G1875" s="7" t="inlineStr">
        <is>
          <t>Exact</t>
        </is>
      </c>
      <c r="H1875" s="7" t="n"/>
      <c r="I1875" s="7" t="n"/>
      <c r="J1875" s="7" t="n"/>
      <c r="K1875" s="2" t="inlineStr">
        <is>
          <t>ECHR judgments for Witnesses in Bulgaria and Italy</t>
        </is>
      </c>
      <c r="L1875" s="2" t="n"/>
      <c r="M1875" s="7" t="inlineStr">
        <is>
          <t>On June 9 and 11, 2026, the European Court of Human Rights issued unanimous judgments for Jehovah’s Witnesses in Bulgaria and Italy, affirming that door-to-door preaching is an essential manifestation of their religion.</t>
        </is>
      </c>
      <c r="N1875" s="7" t="n"/>
      <c r="O1875" s="13" t="inlineStr">
        <is>
          <t>Jehovah's Witnesses</t>
        </is>
      </c>
      <c r="P1875" s="7" t="inlineStr">
        <is>
          <t>jw.legal</t>
        </is>
      </c>
      <c r="Q1875" s="7" t="inlineStr">
        <is>
          <t>court_ruling</t>
        </is>
      </c>
      <c r="R1875" s="7" t="n"/>
      <c r="S1875" s="7" t="inlineStr">
        <is>
          <t>Bulgaria; Italy</t>
        </is>
      </c>
      <c r="T1875" s="7" t="n"/>
      <c r="U1875" s="7" t="n"/>
      <c r="V1875" s="7" t="n">
        <v>1</v>
      </c>
      <c r="W1875" s="7" t="inlineStr">
        <is>
          <t>“Door-to-Door Preaching Constitutes, for Jehovah’s Witnesses, an Essential Manifestation of Their Religion”</t>
        </is>
      </c>
      <c r="X1875" s="9" t="inlineStr">
        <is>
          <t>open</t>
        </is>
      </c>
      <c r="Y1875" s="7" t="n"/>
      <c r="Z1875" s="7" t="inlineStr">
        <is>
          <t>https://www.jw.org/en/news/region/global/Door-to-Door-Preaching-Constitutes-for-Jehovahs-Witnesses-an-Essential-Manifestation-of-Their-Religion/</t>
        </is>
      </c>
      <c r="AA1875" s="7" t="n">
        <v>1</v>
      </c>
      <c r="AB1875" s="9" t="inlineStr">
        <is>
          <t>open</t>
        </is>
      </c>
      <c r="AC1875" s="7" t="n">
        <v>0</v>
      </c>
      <c r="AD1875" s="7" t="n"/>
      <c r="AE1875" s="7" t="n"/>
      <c r="AF1875" s="7" t="n"/>
      <c r="AG1875" s="7" t="n"/>
      <c r="AH1875" s="7" t="n"/>
      <c r="AI1875" s="7" t="n"/>
      <c r="AJ1875" s="7" t="n"/>
      <c r="AK1875" s="7" t="n"/>
      <c r="AL1875" s="7" t="n"/>
      <c r="AM1875" s="7" t="n">
        <v>2026.4382</v>
      </c>
      <c r="AN1875" s="10" t="n"/>
      <c r="AO1875" s="10" t="n"/>
      <c r="AP1875" s="10" t="n"/>
      <c r="AQ1875" s="10" t="n"/>
    </row>
    <row r="1876">
      <c r="A1876" s="7" t="inlineStr">
        <is>
          <t>b9-0467</t>
        </is>
      </c>
      <c r="B1876" s="7" t="inlineStr">
        <is>
          <t>Point</t>
        </is>
      </c>
      <c r="C1876" s="7" t="n"/>
      <c r="D1876" s="7" t="inlineStr">
        <is>
          <t>2026, June 12</t>
        </is>
      </c>
      <c r="E1876" s="7" t="n"/>
      <c r="F1876" s="7" t="inlineStr">
        <is>
          <t>2026 CE</t>
        </is>
      </c>
      <c r="G1876" s="7" t="inlineStr">
        <is>
          <t>Exact</t>
        </is>
      </c>
      <c r="H1876" s="7" t="n"/>
      <c r="I1876" s="7" t="n"/>
      <c r="J1876" s="7" t="n"/>
      <c r="K1876" s="2" t="inlineStr">
        <is>
          <t>Legal developments in Norway and Sweden</t>
        </is>
      </c>
      <c r="L1876" s="2" t="inlineStr">
        <is>
          <t>இந்த வீடியோவில், சமீபத்தில் கிளை அலுவலகங்களில் நடந்த மேய்ப்பு சந்திப்புகளைப் பற்றிய உற்சாகமான அறிக்கைகளைப் பார்ப்போம்.</t>
        </is>
      </c>
      <c r="M1876" s="7" t="inlineStr">
        <is>
          <t>2026 Governing Body Update #4 shared reports of branch and shepherding visits and considered legal developments affecting freedom of worship in Norway and Sweden.</t>
        </is>
      </c>
      <c r="N1876" s="7" t="inlineStr">
        <is>
          <t>இந்த வீடியோவில், சமீபத்தில் கிளை அலுவலகங்களில் நடந்த மேய்ப்பு சந்திப்புகளைப் பற்றிய உற்சாகமான அறிக்கைகளைப் பார்ப்போம்.</t>
        </is>
      </c>
      <c r="O1876" s="13" t="inlineStr">
        <is>
          <t>Jehovah's Witnesses</t>
        </is>
      </c>
      <c r="P1876" s="7" t="inlineStr">
        <is>
          <t>jw.legal</t>
        </is>
      </c>
      <c r="Q1876" s="7" t="inlineStr">
        <is>
          <t>video_update</t>
        </is>
      </c>
      <c r="R1876" s="7" t="n"/>
      <c r="S1876" s="7" t="n"/>
      <c r="T1876" s="7" t="n"/>
      <c r="U1876" s="7" t="n"/>
      <c r="V1876" s="7" t="n">
        <v>1</v>
      </c>
      <c r="W1876" s="7" t="inlineStr">
        <is>
          <t>2026 Governing Body Update #4</t>
        </is>
      </c>
      <c r="X1876" s="9" t="inlineStr">
        <is>
          <t>open</t>
        </is>
      </c>
      <c r="Y1876" s="9" t="inlineStr">
        <is>
          <t>open</t>
        </is>
      </c>
      <c r="Z1876" s="7" t="inlineStr">
        <is>
          <t>https://www.jw.org/en/news/region/global/2026-Governing-Body-Update-4/</t>
        </is>
      </c>
      <c r="AA1876" s="7" t="n">
        <v>1</v>
      </c>
      <c r="AB1876" s="9" t="inlineStr">
        <is>
          <t>open</t>
        </is>
      </c>
      <c r="AC1876" s="7" t="n">
        <v>0</v>
      </c>
      <c r="AD1876" s="7" t="n"/>
      <c r="AE1876" s="7" t="n"/>
      <c r="AF1876" s="7" t="n"/>
      <c r="AG1876" s="7" t="n"/>
      <c r="AH1876" s="7" t="n"/>
      <c r="AI1876" s="7" t="n"/>
      <c r="AJ1876" s="7" t="n"/>
      <c r="AK1876" s="7" t="n"/>
      <c r="AL1876" s="7" t="inlineStr">
        <is>
          <t>Date is the first-published date of this Governing Body Update video on jw.org (jw.org media metadata).</t>
        </is>
      </c>
      <c r="AM1876" s="7" t="n">
        <v>2026.4462</v>
      </c>
      <c r="AN1876" s="10" t="n"/>
      <c r="AO1876" s="10" t="n"/>
      <c r="AP1876" s="10" t="n"/>
      <c r="AQ1876" s="10" t="n"/>
    </row>
    <row r="1877">
      <c r="A1877" s="7" t="inlineStr">
        <is>
          <t>b9-0468</t>
        </is>
      </c>
      <c r="B1877" s="7" t="inlineStr">
        <is>
          <t>Point</t>
        </is>
      </c>
      <c r="C1877" s="7" t="n"/>
      <c r="D1877" s="7" t="inlineStr">
        <is>
          <t>2026, June 19</t>
        </is>
      </c>
      <c r="E1877" s="7" t="n"/>
      <c r="F1877" s="7" t="inlineStr">
        <is>
          <t>2026 CE</t>
        </is>
      </c>
      <c r="G1877" s="7" t="inlineStr">
        <is>
          <t>Exact</t>
        </is>
      </c>
      <c r="H1877" s="7" t="n"/>
      <c r="I1877" s="7" t="n"/>
      <c r="J1877" s="7" t="n"/>
      <c r="K1877" s="2" t="inlineStr">
        <is>
          <t>“Eternal Happiness” International Conventions begin</t>
        </is>
      </c>
      <c r="L1877" s="2" t="n"/>
      <c r="M1877" s="7" t="inlineStr">
        <is>
          <t>The first 2026 “Eternal Happiness” International Conventions were held in Douala, Cameroon, and Bucharest, Romania, from June 19 to 21, 2026, out of 19 international conventions planned for the year.</t>
        </is>
      </c>
      <c r="N1877" s="7" t="n"/>
      <c r="O1877" s="13" t="inlineStr">
        <is>
          <t>Jehovah's Witnesses</t>
        </is>
      </c>
      <c r="P1877" s="7" t="inlineStr">
        <is>
          <t>jw.convention</t>
        </is>
      </c>
      <c r="Q1877" s="7" t="inlineStr">
        <is>
          <t>convention</t>
        </is>
      </c>
      <c r="R1877" s="7" t="n"/>
      <c r="S1877" s="7" t="inlineStr">
        <is>
          <t>Douala, Cameroon; Bucharest, Romania</t>
        </is>
      </c>
      <c r="T1877" s="7" t="n"/>
      <c r="U1877" s="7" t="n"/>
      <c r="V1877" s="7" t="n">
        <v>1</v>
      </c>
      <c r="W1877" s="7" t="inlineStr">
        <is>
          <t>2026 “Eternal Happiness” International Conventions Get Underway in Cameroon and Romania</t>
        </is>
      </c>
      <c r="X1877" s="9" t="inlineStr">
        <is>
          <t>open</t>
        </is>
      </c>
      <c r="Y1877" s="7" t="n"/>
      <c r="Z1877" s="7" t="inlineStr">
        <is>
          <t>https://www.jw.org/en/news/region/global/2026-Eternal-Happiness-International-Conventions-Get-Underway-in-Cameroon-and-Romania/</t>
        </is>
      </c>
      <c r="AA1877" s="7" t="n">
        <v>1</v>
      </c>
      <c r="AB1877" s="9" t="inlineStr">
        <is>
          <t>open</t>
        </is>
      </c>
      <c r="AC1877" s="7" t="n">
        <v>0</v>
      </c>
      <c r="AD1877" s="7" t="n"/>
      <c r="AE1877" s="7" t="n"/>
      <c r="AF1877" s="7" t="n"/>
      <c r="AG1877" s="7" t="n"/>
      <c r="AH1877" s="7" t="n"/>
      <c r="AI1877" s="7" t="n"/>
      <c r="AJ1877" s="7" t="n"/>
      <c r="AK1877" s="7" t="n"/>
      <c r="AL1877" s="7" t="n"/>
      <c r="AM1877" s="7" t="n">
        <v>2026.4651</v>
      </c>
      <c r="AN1877" s="10" t="n"/>
      <c r="AO1877" s="10" t="n"/>
      <c r="AP1877" s="10" t="n"/>
      <c r="AQ1877" s="10" t="n"/>
    </row>
    <row r="1878">
      <c r="A1878" s="7" t="inlineStr">
        <is>
          <t>b9-0469</t>
        </is>
      </c>
      <c r="B1878" s="7" t="inlineStr">
        <is>
          <t>Point</t>
        </is>
      </c>
      <c r="C1878" s="7" t="n"/>
      <c r="D1878" s="7" t="inlineStr">
        <is>
          <t>2026, June 26</t>
        </is>
      </c>
      <c r="E1878" s="7" t="n"/>
      <c r="F1878" s="7" t="inlineStr">
        <is>
          <t>2026 CE</t>
        </is>
      </c>
      <c r="G1878" s="7" t="inlineStr">
        <is>
          <t>Exact</t>
        </is>
      </c>
      <c r="H1878" s="7" t="n"/>
      <c r="I1878" s="7" t="n"/>
      <c r="J1878" s="7" t="n"/>
      <c r="K1878" s="2" t="inlineStr">
        <is>
          <t>Blue Lake property purchased near Warwick</t>
        </is>
      </c>
      <c r="L1878" s="2" t="inlineStr">
        <is>
          <t>அமெரிக்கா, நியு யார்க், வார்விக்கில் உள்ள யெகோவாவின் சாட்சிகளுடைய உலகத் தலைமை அலுவலகத்துக்கு (பின்பக்கம் இடதுபுறம்) அருகில் புதிதாக…</t>
        </is>
      </c>
      <c r="M1878" s="7" t="inlineStr">
        <is>
          <t>On June 26, 2026, Jehovah’s Witnesses purchased a 28-hectare property with a large office building and data center across the lake from the Warwick headquarters, to be called the Blue Lake facility.</t>
        </is>
      </c>
      <c r="N1878" s="7" t="inlineStr">
        <is>
          <t>அமெரிக்கா, நியு யார்க், வார்விக்கில் உள்ள யெகோவாவின் சாட்சிகளுடைய உலகத் தலைமை அலுவலகத்துக்கு (பின்பக்கம் இடதுபுறம்) அருகில் புதிதாக வாங்கப்பட்ட இடத்தில் ஒரு பெரிய அலுவலகக் கட்டடம் (முன்பக்கம்) அமைந்திருக்கிறது.</t>
        </is>
      </c>
      <c r="O1878" s="13" t="inlineStr">
        <is>
          <t>Jehovah's Witnesses</t>
        </is>
      </c>
      <c r="P1878" s="7" t="inlineStr">
        <is>
          <t>jw.construction</t>
        </is>
      </c>
      <c r="Q1878" s="7" t="n"/>
      <c r="R1878" s="7" t="n"/>
      <c r="S1878" s="7" t="inlineStr">
        <is>
          <t>Warwick, New York</t>
        </is>
      </c>
      <c r="T1878" s="7" t="n"/>
      <c r="U1878" s="7" t="n"/>
      <c r="V1878" s="7" t="n">
        <v>1</v>
      </c>
      <c r="W1878" s="7" t="inlineStr">
        <is>
          <t>Witnesses Purchase Property Near World Headquarters in Warwick, New York, U.S.A.</t>
        </is>
      </c>
      <c r="X1878" s="9" t="inlineStr">
        <is>
          <t>open</t>
        </is>
      </c>
      <c r="Y1878" s="9" t="inlineStr">
        <is>
          <t>open</t>
        </is>
      </c>
      <c r="Z1878" s="7" t="inlineStr">
        <is>
          <t>https://www.jw.org/en/news/region/united-states/Witnesses-Purchase-Property-Near-World-Headquarters-in-Warwick-New-York-USA/</t>
        </is>
      </c>
      <c r="AA1878" s="7" t="n">
        <v>1</v>
      </c>
      <c r="AB1878" s="9" t="inlineStr">
        <is>
          <t>open</t>
        </is>
      </c>
      <c r="AC1878" s="7" t="n">
        <v>0</v>
      </c>
      <c r="AD1878" s="7" t="n"/>
      <c r="AE1878" s="7" t="n"/>
      <c r="AF1878" s="7" t="n"/>
      <c r="AG1878" s="7" t="n"/>
      <c r="AH1878" s="7" t="n"/>
      <c r="AI1878" s="7" t="n"/>
      <c r="AJ1878" s="7" t="n"/>
      <c r="AK1878" s="7" t="n"/>
      <c r="AL1878" s="7" t="n"/>
      <c r="AM1878" s="7" t="n">
        <v>2026.4839</v>
      </c>
      <c r="AN1878" s="10" t="n"/>
      <c r="AO1878" s="10" t="n"/>
      <c r="AP1878" s="10" t="n"/>
      <c r="AQ1878" s="10" t="n"/>
    </row>
    <row r="1879">
      <c r="A1879" s="7" t="inlineStr">
        <is>
          <t>b9-0470</t>
        </is>
      </c>
      <c r="B1879" s="7" t="inlineStr">
        <is>
          <t>Point</t>
        </is>
      </c>
      <c r="C1879" s="7" t="n"/>
      <c r="D1879" s="7" t="inlineStr">
        <is>
          <t>2026, July 9</t>
        </is>
      </c>
      <c r="E1879" s="7" t="n"/>
      <c r="F1879" s="7" t="inlineStr">
        <is>
          <t>2026 CE</t>
        </is>
      </c>
      <c r="G1879" s="7" t="inlineStr">
        <is>
          <t>Exact</t>
        </is>
      </c>
      <c r="H1879" s="7" t="n"/>
      <c r="I1879" s="7" t="n"/>
      <c r="J1879" s="7" t="n"/>
      <c r="K1879" s="2" t="inlineStr">
        <is>
          <t>ECHR rules in Barsuk and Gyl v. Ukraine</t>
        </is>
      </c>
      <c r="L1879" s="2" t="n"/>
      <c r="M1879" s="7" t="inlineStr">
        <is>
          <t>On July 9, 2026, the European Court of Human Rights ruled in Barsuk and Gyl v. Ukraine, reaffirming door-to-door preaching as protected religious expression; the two sisters had been beaten in Chuhuiv in March 2016.</t>
        </is>
      </c>
      <c r="N1879" s="7" t="n"/>
      <c r="O1879" s="13" t="inlineStr">
        <is>
          <t>Jehovah's Witnesses</t>
        </is>
      </c>
      <c r="P1879" s="7" t="inlineStr">
        <is>
          <t>jw.legal</t>
        </is>
      </c>
      <c r="Q1879" s="7" t="inlineStr">
        <is>
          <t>court_ruling</t>
        </is>
      </c>
      <c r="R1879" s="7" t="n"/>
      <c r="S1879" s="7" t="inlineStr">
        <is>
          <t>Ukraine</t>
        </is>
      </c>
      <c r="T1879" s="7" t="n"/>
      <c r="U1879" s="7" t="n"/>
      <c r="V1879" s="7" t="n">
        <v>1</v>
      </c>
      <c r="W1879" s="7" t="inlineStr">
        <is>
          <t>European Court of Human Rights Rules in Favor of Religious Tolerance in Ukraine</t>
        </is>
      </c>
      <c r="X1879" s="9" t="inlineStr">
        <is>
          <t>open</t>
        </is>
      </c>
      <c r="Y1879" s="7" t="n"/>
      <c r="Z1879" s="7" t="inlineStr">
        <is>
          <t>https://www.jw.org/en/news/region/ukraine/European-Court-of-Human-Rights-Rules-in-Favor-of-Religious-Tolerance-in-Ukraine/</t>
        </is>
      </c>
      <c r="AA1879" s="7" t="n">
        <v>1</v>
      </c>
      <c r="AB1879" s="9" t="inlineStr">
        <is>
          <t>open</t>
        </is>
      </c>
      <c r="AC1879" s="7" t="n">
        <v>0</v>
      </c>
      <c r="AD1879" s="7" t="n"/>
      <c r="AE1879" s="7" t="n"/>
      <c r="AF1879" s="7" t="n"/>
      <c r="AG1879" s="7" t="n"/>
      <c r="AH1879" s="7" t="n"/>
      <c r="AI1879" s="7" t="n"/>
      <c r="AJ1879" s="7" t="n"/>
      <c r="AK1879" s="7" t="n"/>
      <c r="AL1879" s="7" t="n"/>
      <c r="AM1879" s="7" t="n">
        <v>2026.5215</v>
      </c>
      <c r="AN1879" s="10" t="n"/>
      <c r="AO1879" s="10" t="n"/>
      <c r="AP1879" s="10" t="n"/>
      <c r="AQ1879" s="10" t="n"/>
    </row>
    <row r="1880">
      <c r="A1880" s="7" t="inlineStr">
        <is>
          <t>b9-0471</t>
        </is>
      </c>
      <c r="B1880" s="7" t="inlineStr">
        <is>
          <t>Point</t>
        </is>
      </c>
      <c r="C1880" s="7" t="n"/>
      <c r="D1880" s="7" t="inlineStr">
        <is>
          <t>2026, July 31</t>
        </is>
      </c>
      <c r="E1880" s="7" t="n"/>
      <c r="F1880" s="7" t="inlineStr">
        <is>
          <t>2026 CE</t>
        </is>
      </c>
      <c r="G1880" s="7" t="inlineStr">
        <is>
          <t>Exact</t>
        </is>
      </c>
      <c r="H1880" s="7" t="n"/>
      <c r="I1880" s="7" t="n"/>
      <c r="J1880" s="7" t="n"/>
      <c r="K1880" s="2" t="inlineStr">
        <is>
          <t>Feeding ourselves spiritually every day</t>
        </is>
      </c>
      <c r="L1880" s="2" t="inlineStr">
        <is>
          <t>இந்த அறிக்கையில், நாம் ஏன் தினமும் ஆன்மீக உணவை சாப்பிட வேண்டும் என்று பார்ப்போம்.</t>
        </is>
      </c>
      <c r="M1880" s="7" t="inlineStr">
        <is>
          <t>2026 Governing Body Update #5 discussed daily personal spiritual feeding and encouraging initiatives in the field ministry.</t>
        </is>
      </c>
      <c r="N1880" s="7" t="inlineStr">
        <is>
          <t>இந்த அறிக்கையில், நாம் ஏன் தினமும் ஆன்மீக உணவை சாப்பிட வேண்டும் என்று பார்ப்போம்.</t>
        </is>
      </c>
      <c r="O1880" s="13" t="inlineStr">
        <is>
          <t>Jehovah's Witnesses</t>
        </is>
      </c>
      <c r="P1880" s="7" t="inlineStr">
        <is>
          <t>jw.organization</t>
        </is>
      </c>
      <c r="Q1880" s="7" t="inlineStr">
        <is>
          <t>video_update</t>
        </is>
      </c>
      <c r="R1880" s="7" t="n"/>
      <c r="S1880" s="7" t="n"/>
      <c r="T1880" s="7" t="n"/>
      <c r="U1880" s="7" t="n"/>
      <c r="V1880" s="7" t="n">
        <v>1</v>
      </c>
      <c r="W1880" s="7" t="inlineStr">
        <is>
          <t>2026 Governing Body Update #5</t>
        </is>
      </c>
      <c r="X1880" s="9" t="inlineStr">
        <is>
          <t>open</t>
        </is>
      </c>
      <c r="Y1880" s="9" t="inlineStr">
        <is>
          <t>open</t>
        </is>
      </c>
      <c r="Z1880" s="7" t="inlineStr">
        <is>
          <t>https://www.jw.org/en/news/region/global/2026-Governing-Body-Update-5/</t>
        </is>
      </c>
      <c r="AA1880" s="7" t="n">
        <v>1</v>
      </c>
      <c r="AB1880" s="9" t="inlineStr">
        <is>
          <t>open</t>
        </is>
      </c>
      <c r="AC1880" s="7" t="n">
        <v>0</v>
      </c>
      <c r="AD1880" s="7" t="n"/>
      <c r="AE1880" s="7" t="n"/>
      <c r="AF1880" s="7" t="n"/>
      <c r="AG1880" s="7" t="n"/>
      <c r="AH1880" s="7" t="n"/>
      <c r="AI1880" s="7" t="n"/>
      <c r="AJ1880" s="7" t="n"/>
      <c r="AK1880" s="7" t="n"/>
      <c r="AL1880" s="7" t="inlineStr">
        <is>
          <t>Date is the first-published date of this Governing Body Update video on jw.org (jw.org media metadata).</t>
        </is>
      </c>
      <c r="AM1880" s="7" t="n">
        <v>2026.5806</v>
      </c>
      <c r="AN1880" s="10" t="n"/>
      <c r="AO1880" s="10" t="n"/>
      <c r="AP1880" s="10" t="n"/>
      <c r="AQ1880" s="10" t="n"/>
    </row>
    <row r="1881">
      <c r="A1881" s="7" t="inlineStr">
        <is>
          <t>b9-0472</t>
        </is>
      </c>
      <c r="B1881" s="7" t="inlineStr">
        <is>
          <t>Point</t>
        </is>
      </c>
      <c r="C1881" s="7" t="n"/>
      <c r="D1881" s="7" t="inlineStr">
        <is>
          <t>2026, August</t>
        </is>
      </c>
      <c r="E1881" s="7" t="n"/>
      <c r="F1881" s="7" t="inlineStr">
        <is>
          <t>2026 CE</t>
        </is>
      </c>
      <c r="G1881" s="7" t="inlineStr">
        <is>
          <t>Exact</t>
        </is>
      </c>
      <c r="H1881" s="7" t="n"/>
      <c r="I1881" s="7" t="n"/>
      <c r="J1881" s="7" t="n"/>
      <c r="K1881" s="2" t="inlineStr">
        <is>
          <t>Ramapo project reaches 1,000 daily workers</t>
        </is>
      </c>
      <c r="L1881" s="2" t="n"/>
      <c r="M1881" s="7" t="inlineStr">
        <is>
          <t>In August 2026 the Ramapo project reached a new peak, with more than 1,000 brothers and sisters working each day.</t>
        </is>
      </c>
      <c r="N1881" s="7" t="n"/>
      <c r="O1881" s="13" t="inlineStr">
        <is>
          <t>Jehovah's Witnesses</t>
        </is>
      </c>
      <c r="P1881" s="7" t="inlineStr">
        <is>
          <t>jw.construction</t>
        </is>
      </c>
      <c r="Q1881" s="7" t="n"/>
      <c r="R1881" s="7" t="n"/>
      <c r="S1881" s="7" t="inlineStr">
        <is>
          <t>Ramapo, New York</t>
        </is>
      </c>
      <c r="T1881" s="7" t="n"/>
      <c r="U1881" s="7" t="n"/>
      <c r="V1881" s="7" t="n">
        <v>1</v>
      </c>
      <c r="W1881" s="7" t="inlineStr">
        <is>
          <t>Ramapo Construction Update #3</t>
        </is>
      </c>
      <c r="X1881" s="9" t="inlineStr">
        <is>
          <t>open</t>
        </is>
      </c>
      <c r="Y1881" s="7" t="n"/>
      <c r="Z1881" s="7" t="inlineStr">
        <is>
          <t>https://www.jw.org/en/news/region/global/Ramapo-Construction-Update-3/</t>
        </is>
      </c>
      <c r="AA1881" s="7" t="n">
        <v>1</v>
      </c>
      <c r="AB1881" s="9" t="inlineStr">
        <is>
          <t>open</t>
        </is>
      </c>
      <c r="AC1881" s="7" t="n">
        <v>0</v>
      </c>
      <c r="AD1881" s="7" t="n"/>
      <c r="AE1881" s="7" t="n"/>
      <c r="AF1881" s="7" t="n"/>
      <c r="AG1881" s="7" t="n"/>
      <c r="AH1881" s="7" t="n"/>
      <c r="AI1881" s="7" t="n"/>
      <c r="AJ1881" s="7" t="n"/>
      <c r="AK1881" s="7" t="n"/>
      <c r="AL1881" s="7" t="n"/>
      <c r="AM1881" s="7" t="n">
        <v>2026.5833</v>
      </c>
      <c r="AN1881" s="10" t="n"/>
      <c r="AO1881" s="10" t="n"/>
      <c r="AP1881" s="10" t="n"/>
      <c r="AQ1881" s="10" t="n"/>
    </row>
    <row r="1882">
      <c r="A1882" s="7" t="inlineStr">
        <is>
          <t>b9-0473</t>
        </is>
      </c>
      <c r="B1882" s="11" t="inlineStr">
        <is>
          <t>Span</t>
        </is>
      </c>
      <c r="C1882" s="7" t="inlineStr">
        <is>
          <t>campaign</t>
        </is>
      </c>
      <c r="D1882" s="7" t="inlineStr">
        <is>
          <t>2026, August 8-26</t>
        </is>
      </c>
      <c r="E1882" s="7" t="n"/>
      <c r="F1882" s="7" t="inlineStr">
        <is>
          <t>2026 CE</t>
        </is>
      </c>
      <c r="G1882" s="7" t="inlineStr">
        <is>
          <t>Exact</t>
        </is>
      </c>
      <c r="H1882" s="7" t="inlineStr">
        <is>
          <t>2026 CE</t>
        </is>
      </c>
      <c r="I1882" s="7" t="inlineStr">
        <is>
          <t>Exact</t>
        </is>
      </c>
      <c r="J1882" s="7" t="inlineStr">
        <is>
          <t>19 days</t>
        </is>
      </c>
      <c r="K1882" s="2" t="inlineStr">
        <is>
          <t>First special preaching campaign in Moldova</t>
        </is>
      </c>
      <c r="L1882" s="2" t="n"/>
      <c r="M1882" s="7" t="inlineStr">
        <is>
          <t>From August 8 to 26, 2026, Jehovah’s Witnesses held the first special preaching campaign ever conducted in Moldova, in four Romanian-speaking regions.</t>
        </is>
      </c>
      <c r="N1882" s="7" t="n"/>
      <c r="O1882" s="13" t="inlineStr">
        <is>
          <t>Jehovah's Witnesses</t>
        </is>
      </c>
      <c r="P1882" s="7" t="inlineStr">
        <is>
          <t>jw.preaching</t>
        </is>
      </c>
      <c r="Q1882" s="7" t="n"/>
      <c r="R1882" s="7" t="n"/>
      <c r="S1882" s="7" t="inlineStr">
        <is>
          <t>Moldova</t>
        </is>
      </c>
      <c r="T1882" s="7" t="n"/>
      <c r="U1882" s="7" t="n"/>
      <c r="V1882" s="7" t="n">
        <v>1</v>
      </c>
      <c r="W1882" s="7" t="inlineStr">
        <is>
          <t>Jehovah’s Witnesses Conduct First-Ever Special Preaching Campaign in Moldova</t>
        </is>
      </c>
      <c r="X1882" s="9" t="inlineStr">
        <is>
          <t>open</t>
        </is>
      </c>
      <c r="Y1882" s="7" t="n"/>
      <c r="Z1882" s="7" t="inlineStr">
        <is>
          <t>https://www.jw.org/en/news/region/moldova/Jehovahs-Witnesses-Conduct-First-Ever-Special-Preaching-Campaign-in-Moldova/</t>
        </is>
      </c>
      <c r="AA1882" s="7" t="n">
        <v>1</v>
      </c>
      <c r="AB1882" s="9" t="inlineStr">
        <is>
          <t>open</t>
        </is>
      </c>
      <c r="AC1882" s="7" t="n">
        <v>0</v>
      </c>
      <c r="AD1882" s="7" t="n"/>
      <c r="AE1882" s="7" t="n"/>
      <c r="AF1882" s="7" t="n"/>
      <c r="AG1882" s="7" t="n"/>
      <c r="AH1882" s="7" t="n"/>
      <c r="AI1882" s="7" t="n"/>
      <c r="AJ1882" s="7" t="n"/>
      <c r="AK1882" s="7" t="n"/>
      <c r="AL1882" s="7" t="n"/>
      <c r="AM1882" s="7" t="n">
        <v>2026.6022</v>
      </c>
      <c r="AN1882" s="10" t="n"/>
      <c r="AO1882" s="10" t="n"/>
      <c r="AP1882" s="10" t="n"/>
      <c r="AQ1882" s="10" t="n"/>
    </row>
    <row r="1883">
      <c r="A1883" s="7" t="inlineStr">
        <is>
          <t>b9-0474</t>
        </is>
      </c>
      <c r="B1883" s="7" t="inlineStr">
        <is>
          <t>Point</t>
        </is>
      </c>
      <c r="C1883" s="7" t="n"/>
      <c r="D1883" s="7" t="inlineStr">
        <is>
          <t>2026, September 18</t>
        </is>
      </c>
      <c r="E1883" s="7" t="n"/>
      <c r="F1883" s="7" t="inlineStr">
        <is>
          <t>2026 CE</t>
        </is>
      </c>
      <c r="G1883" s="7" t="inlineStr">
        <is>
          <t>Exact</t>
        </is>
      </c>
      <c r="H1883" s="7" t="n"/>
      <c r="I1883" s="7" t="n"/>
      <c r="J1883" s="7" t="n"/>
      <c r="K1883" s="2" t="inlineStr">
        <is>
          <t>Adjustment to position on blood components</t>
        </is>
      </c>
      <c r="L1883" s="2" t="inlineStr">
        <is>
          <t>இரத்தத்தின் முக்கியப் பாகங்களைப் பயன்படுத்துவது சம்பந்தமாக நாம் செய்திருக்கும் மாற்றங்களைப் பற்றி இந்த அறிக்கையில் பார்ப்போம்.</t>
        </is>
      </c>
      <c r="M1883" s="7" t="inlineStr">
        <is>
          <t>2026 Governing Body Update #6 discussed an adjustment to the Witnesses’ position on blood components, with a related “Questions From Readers” article and chart released in English.</t>
        </is>
      </c>
      <c r="N1883" s="7" t="inlineStr">
        <is>
          <t>இரத்தத்தின் முக்கியப் பாகங்களைப் பயன்படுத்துவது சம்பந்தமாக நாம் செய்திருக்கும் மாற்றங்களைப் பற்றி இந்த அறிக்கையில் பார்ப்போம்.</t>
        </is>
      </c>
      <c r="O1883" s="13" t="inlineStr">
        <is>
          <t>Jehovah's Witnesses</t>
        </is>
      </c>
      <c r="P1883" s="7" t="inlineStr">
        <is>
          <t>jw.doctrine</t>
        </is>
      </c>
      <c r="Q1883" s="7" t="inlineStr">
        <is>
          <t>video_update</t>
        </is>
      </c>
      <c r="R1883" s="7" t="n"/>
      <c r="S1883" s="7" t="n"/>
      <c r="T1883" s="7" t="n"/>
      <c r="U1883" s="7" t="n"/>
      <c r="V1883" s="7" t="n">
        <v>1</v>
      </c>
      <c r="W1883" s="7" t="inlineStr">
        <is>
          <t>2026 Governing Body Update #6</t>
        </is>
      </c>
      <c r="X1883" s="9" t="inlineStr">
        <is>
          <t>open</t>
        </is>
      </c>
      <c r="Y1883" s="9" t="inlineStr">
        <is>
          <t>open</t>
        </is>
      </c>
      <c r="Z1883" s="7" t="inlineStr">
        <is>
          <t>https://www.jw.org/en/news/region/global/2026-Governing-Body-Update-6/</t>
        </is>
      </c>
      <c r="AA1883" s="7" t="n">
        <v>1</v>
      </c>
      <c r="AB1883" s="9" t="inlineStr">
        <is>
          <t>open</t>
        </is>
      </c>
      <c r="AC1883" s="7" t="n">
        <v>0</v>
      </c>
      <c r="AD1883" s="7" t="n"/>
      <c r="AE1883" s="7" t="n"/>
      <c r="AF1883" s="7" t="n"/>
      <c r="AG1883" s="7" t="n"/>
      <c r="AH1883" s="7" t="n"/>
      <c r="AI1883" s="7" t="n"/>
      <c r="AJ1883" s="7" t="n"/>
      <c r="AK1883" s="7" t="n"/>
      <c r="AL1883" s="7" t="inlineStr">
        <is>
          <t>Date is the first-published date of this Governing Body Update video on jw.org (jw.org media metadata).</t>
        </is>
      </c>
      <c r="AM1883" s="7" t="n">
        <v>2026.7124</v>
      </c>
      <c r="AN1883" s="10" t="n"/>
      <c r="AO1883" s="10" t="n"/>
      <c r="AP1883" s="10" t="n"/>
      <c r="AQ1883" s="10" t="n"/>
    </row>
    <row r="1884">
      <c r="A1884" s="7" t="inlineStr">
        <is>
          <t>b10-0009</t>
        </is>
      </c>
      <c r="B1884" s="7" t="inlineStr">
        <is>
          <t>Point</t>
        </is>
      </c>
      <c r="C1884" s="7" t="n"/>
      <c r="D1884" s="7" t="inlineStr">
        <is>
          <t>Future (undated)</t>
        </is>
      </c>
      <c r="E1884" s="7" t="n"/>
      <c r="F1884" s="7" t="n"/>
      <c r="G1884" s="7" t="inlineStr">
        <is>
          <t>Future (undated)</t>
        </is>
      </c>
      <c r="H1884" s="7" t="n"/>
      <c r="I1884" s="7" t="n"/>
      <c r="J1884" s="7" t="n"/>
      <c r="K1884" s="2" t="inlineStr">
        <is>
          <t>Proclamation of “Peace and security!”</t>
        </is>
      </c>
      <c r="L1884" s="2" t="inlineStr">
        <is>
          <t>சமாதானம், பாதுகாப்பு பற்றிய அறிவிப்பு</t>
        </is>
      </c>
      <c r="M1884" s="7" t="inlineStr">
        <is>
          <t>Just before Jehovah's day begins, the nations will proclaim 'Peace and security!', possibly a single pronouncement or a series of notable statements, perhaps joined by religious leaders. It signals that sudden destruction is about to come.</t>
        </is>
      </c>
      <c r="N1884" s="7" t="inlineStr">
        <is>
          <t>யெகோவாவின் நாள் ஆரம்பிப்பதற்குச் சற்று முன்பு அரசியல் தலைவர்கள், “சமாதானம், பாதுகாப்பு!” என்று அறிவிப்பு செய்வார்கள். அது ஒரேவொரு அறிவிப்பாக இருக்கலாம், அல்லது தொடர்ச்சியாகச் செய்யப்படும் குறிப்பிடத்தக்க அறிவிப்புகளாக இருக்கலாம்.</t>
        </is>
      </c>
      <c r="O1884" s="14" t="inlineStr">
        <is>
          <t>Future</t>
        </is>
      </c>
      <c r="P1884" s="7" t="inlineStr">
        <is>
          <t>future.prophecy</t>
        </is>
      </c>
      <c r="Q1884" s="7" t="inlineStr">
        <is>
          <t>prophecy</t>
        </is>
      </c>
      <c r="R1884" s="7" t="n"/>
      <c r="S1884" s="7" t="n"/>
      <c r="T1884" s="7" t="inlineStr">
        <is>
          <t>1 Thess. 5:2, 3; 1 Thess. 5:4-6; Jer. 6:14; Jer. 23:16, 17; Rev. 17:1, 2; Zeph. 3:8</t>
        </is>
      </c>
      <c r="U1884" s="7" t="inlineStr">
        <is>
          <t>1 தெ. 5:2, 3; எரே. 6:14; வெளி. 17:1, 2; செப். 3:8</t>
        </is>
      </c>
      <c r="V1884" s="7" t="n">
        <v>2</v>
      </c>
      <c r="W1884" s="7" t="inlineStr">
        <is>
          <t>God’s Kingdom Removes Its Enemies</t>
        </is>
      </c>
      <c r="X1884" s="9" t="inlineStr">
        <is>
          <t>open</t>
        </is>
      </c>
      <c r="Y1884" s="9" t="inlineStr">
        <is>
          <t>open</t>
        </is>
      </c>
      <c r="Z1884" s="7" t="inlineStr">
        <is>
          <t>https://wol.jw.org/en/wol/d/r1/lp-e/1102014263
https://wol.jw.org/en/wol/d/r1/lp-e/2012681</t>
        </is>
      </c>
      <c r="AA1884" s="7" t="n">
        <v>2</v>
      </c>
      <c r="AB1884" s="9" t="inlineStr">
        <is>
          <t>open</t>
        </is>
      </c>
      <c r="AC1884" s="7" t="n">
        <v>0</v>
      </c>
      <c r="AD1884" s="7" t="n"/>
      <c r="AE1884" s="7" t="n"/>
      <c r="AF1884" s="7" t="n"/>
      <c r="AG1884" s="7" t="n"/>
      <c r="AH1884" s="7" t="n"/>
      <c r="AI1884" s="7" t="n"/>
      <c r="AJ1884" s="7" t="n"/>
      <c r="AK1884" s="7" t="n"/>
      <c r="AL1884" s="7" t="inlineStr">
        <is>
          <t>Sequence follows the chart 'What the Near Future Holds' in kr chap. 21; w15 7/15 par. 11 and kr par. 11 caution that the Bible does not reveal the exact time order and some events may overlap.</t>
        </is>
      </c>
      <c r="AM1884" s="7" t="n">
        <v>100001</v>
      </c>
      <c r="AN1884" s="10" t="n"/>
      <c r="AO1884" s="10" t="n"/>
      <c r="AP1884" s="10" t="n"/>
      <c r="AQ1884" s="10" t="n"/>
    </row>
    <row r="1885">
      <c r="A1885" s="7" t="inlineStr">
        <is>
          <t>b10-0010</t>
        </is>
      </c>
      <c r="B1885" s="7" t="inlineStr">
        <is>
          <t>Point</t>
        </is>
      </c>
      <c r="C1885" s="7" t="n"/>
      <c r="D1885" s="7" t="inlineStr">
        <is>
          <t>Future (undated)</t>
        </is>
      </c>
      <c r="E1885" s="7" t="n"/>
      <c r="F1885" s="7" t="n"/>
      <c r="G1885" s="7" t="inlineStr">
        <is>
          <t>Future (undated)</t>
        </is>
      </c>
      <c r="H1885" s="7" t="n"/>
      <c r="I1885" s="7" t="n"/>
      <c r="J1885" s="7" t="n"/>
      <c r="K1885" s="2" t="inlineStr">
        <is>
          <t>Final sealing of the remnant of anointed Christians completed</t>
        </is>
      </c>
      <c r="L1885" s="2" t="inlineStr">
        <is>
          <t>பரலோக நம்பிக்கையுள்ள கிறிஸ்தவர்களில் மீதியானோர் கடைசி முத்திரை பெறுவது</t>
        </is>
      </c>
      <c r="M1885" s="7" t="inlineStr">
        <is>
          <t>The remaining anointed Christians receive their final sealing either before they die or just before the great tribulation breaks out; as anointed ones they do not need to be marked for survival through Armageddon.</t>
        </is>
      </c>
      <c r="N1885" s="7" t="inlineStr">
        <is>
          <t>அவர்கள் இறப்பதற்கு முன்பு அல்லது மிகுந்த உபத்திரவம் ஆரம்பிப்பதற்கு முன்பு, தங்களுடைய கடைசி முத்திரையைப் பெறுவார்கள்.</t>
        </is>
      </c>
      <c r="O1885" s="14" t="inlineStr">
        <is>
          <t>Future</t>
        </is>
      </c>
      <c r="P1885" s="7" t="inlineStr">
        <is>
          <t>future.prophecy</t>
        </is>
      </c>
      <c r="Q1885" s="7" t="inlineStr">
        <is>
          <t>prophecy</t>
        </is>
      </c>
      <c r="R1885" s="7" t="n"/>
      <c r="S1885" s="7" t="n"/>
      <c r="T1885" s="7" t="inlineStr">
        <is>
          <t>Rev. 7:1-3; Rev. 7:1-4</t>
        </is>
      </c>
      <c r="U1885" s="7" t="inlineStr">
        <is>
          <t>வெளி. 7:1-3; வெளி. 7:1-4</t>
        </is>
      </c>
      <c r="V1885" s="7" t="n">
        <v>3</v>
      </c>
      <c r="W1885" s="7" t="inlineStr">
        <is>
          <t>God’s Kingdom Removes Its Enemies</t>
        </is>
      </c>
      <c r="X1885" s="9" t="inlineStr">
        <is>
          <t>open</t>
        </is>
      </c>
      <c r="Y1885" s="9" t="inlineStr">
        <is>
          <t>open</t>
        </is>
      </c>
      <c r="Z1885" s="7" t="inlineStr">
        <is>
          <t>https://wol.jw.org/en/wol/d/r1/lp-e/1102014263
https://wol.jw.org/en/wol/d/r1/lp-e/2015523
https://wol.jw.org/en/wol/d/r1/lp-e/1102017176</t>
        </is>
      </c>
      <c r="AA1885" s="7" t="n">
        <v>0</v>
      </c>
      <c r="AB1885" s="7" t="n"/>
      <c r="AC1885" s="7" t="n">
        <v>0</v>
      </c>
      <c r="AD1885" s="7" t="n"/>
      <c r="AE1885" s="7" t="n"/>
      <c r="AF1885" s="7" t="n"/>
      <c r="AG1885" s="7" t="n"/>
      <c r="AH1885" s="7" t="n"/>
      <c r="AI1885" s="7" t="n"/>
      <c r="AJ1885" s="7" t="n"/>
      <c r="AK1885" s="7" t="inlineStr">
        <is>
          <t>promised-offspring #9 (future_fulfillment); wheat-and-weeds #23 (future_fulfillment)</t>
        </is>
      </c>
      <c r="AL1885" s="7" t="inlineStr">
        <is>
          <t>The batch request listed this after the attack on Babylon the Great; all three sources place the final sealing before the great tribulation begins, so it is ordered here right after the 'Peace and security' proclamation, as in the kr chap. 21 chart.</t>
        </is>
      </c>
      <c r="AM1885" s="7" t="n">
        <v>100002</v>
      </c>
      <c r="AN1885" s="10" t="n"/>
      <c r="AO1885" s="10" t="n"/>
      <c r="AP1885" s="10" t="n"/>
      <c r="AQ1885" s="10" t="n"/>
    </row>
    <row r="1886">
      <c r="A1886" s="7" t="inlineStr">
        <is>
          <t>b10-0011</t>
        </is>
      </c>
      <c r="B1886" s="7" t="inlineStr">
        <is>
          <t>Point</t>
        </is>
      </c>
      <c r="C1886" s="7" t="n"/>
      <c r="D1886" s="7" t="inlineStr">
        <is>
          <t>Future (undated)</t>
        </is>
      </c>
      <c r="E1886" s="7" t="n"/>
      <c r="F1886" s="7" t="n"/>
      <c r="G1886" s="7" t="inlineStr">
        <is>
          <t>Future (undated)</t>
        </is>
      </c>
      <c r="H1886" s="7" t="n"/>
      <c r="I1886" s="7" t="n"/>
      <c r="J1886" s="7" t="n"/>
      <c r="K1886" s="2" t="inlineStr">
        <is>
          <t>Attack on Babylon the Great: the great tribulation begins</t>
        </is>
      </c>
      <c r="L1886" s="2" t="inlineStr">
        <is>
          <t>மதங்கள்மேல் தாக்குதல்</t>
        </is>
      </c>
      <c r="M1886" s="7" t="inlineStr">
        <is>
          <t>Immediately after the cry of 'Peace and security!', the political powers ('ten horns') supporting the 'scarlet-colored wild beast' (the United Nations) will turn on Babylon the Great, the world empire of false religion, and destroy it as if in one day. This destruction of Christendom and all other false religious organizations opens the great tribulation; former adherents are apparently not all killed.</t>
        </is>
      </c>
      <c r="N1886" s="7" t="inlineStr">
        <is>
          <t>கிறிஸ்தவமண்டலமும் மற்ற எல்லா பொய் மத அமைப்புகளும் அழிக்கப்படும்போது “மிகுந்த உபத்திரவம்” ஆரம்பமாகும். (மத். 24:21; 2 தெ. 2:8)</t>
        </is>
      </c>
      <c r="O1886" s="14" t="inlineStr">
        <is>
          <t>Future</t>
        </is>
      </c>
      <c r="P1886" s="7" t="inlineStr">
        <is>
          <t>future.prophecy</t>
        </is>
      </c>
      <c r="Q1886" s="7" t="inlineStr">
        <is>
          <t>prophecy</t>
        </is>
      </c>
      <c r="R1886" s="7" t="n"/>
      <c r="S1886" s="7" t="n"/>
      <c r="T1886" s="7" t="inlineStr">
        <is>
          <t>Rev. 17:3; Rev. 17:5, 6; Rev. 17:16-18; Rev. 18:7, 8; Rev. 18:21; Matt. 24:21; 2 Thess. 2:8; Zech. 13:4-6</t>
        </is>
      </c>
      <c r="U1886" s="7" t="inlineStr">
        <is>
          <t>வெளி. 17:3; வெளி. 17:5, 6; வெளி. 17:16-18; வெளி. 18:7, 8; வெளி. 18:21; மத். 24:21; 2 தெ. 2:8; சக. 13:4-6</t>
        </is>
      </c>
      <c r="V1886" s="7" t="n">
        <v>4</v>
      </c>
      <c r="W1886" s="7" t="inlineStr">
        <is>
          <t>God’s Kingdom Removes Its Enemies</t>
        </is>
      </c>
      <c r="X1886" s="9" t="inlineStr">
        <is>
          <t>open</t>
        </is>
      </c>
      <c r="Y1886" s="9" t="inlineStr">
        <is>
          <t>open</t>
        </is>
      </c>
      <c r="Z1886" s="7" t="inlineStr">
        <is>
          <t>https://wol.jw.org/en/wol/d/r1/lp-e/1102014263
https://wol.jw.org/en/wol/d/r1/lp-e/2015523
https://wol.jw.org/en/wol/d/r1/lp-e/1102017175
https://wol.jw.org/en/wol/d/r1/lp-e/2012681</t>
        </is>
      </c>
      <c r="AA1886" s="7" t="n">
        <v>5</v>
      </c>
      <c r="AB1886" s="9" t="inlineStr">
        <is>
          <t>open</t>
        </is>
      </c>
      <c r="AC1886" s="7" t="n">
        <v>0</v>
      </c>
      <c r="AD1886" s="7" t="n"/>
      <c r="AE1886" s="7" t="n"/>
      <c r="AF1886" s="7" t="n"/>
      <c r="AG1886" s="7" t="n"/>
      <c r="AH1886" s="7" t="n"/>
      <c r="AI1886" s="7" t="inlineStr">
        <is>
          <t>Span endpoint – keep</t>
        </is>
      </c>
      <c r="AJ1886" s="7" t="inlineStr">
        <is>
          <t>start of The great tribulation (b12-0119)</t>
        </is>
      </c>
      <c r="AK1886" s="7" t="inlineStr">
        <is>
          <t>seven-heads-of-the-beast #26 (future_fulfillment); wheat-and-weeds #24 (context)</t>
        </is>
      </c>
      <c r="AL1886" s="7" t="inlineStr">
        <is>
          <t>Sequence follows the chart 'What the Near Future Holds' in kr chap. 21; w15 7/15 par. 11 and kr par. 11 caution that the Bible does not reveal the exact time order and some events may overlap.</t>
        </is>
      </c>
      <c r="AM1886" s="7" t="n">
        <v>100003</v>
      </c>
      <c r="AN1886" s="10" t="n"/>
      <c r="AO1886" s="10" t="n"/>
      <c r="AP1886" s="10" t="n"/>
      <c r="AQ1886" s="10" t="n"/>
    </row>
    <row r="1887">
      <c r="A1887" s="7" t="inlineStr">
        <is>
          <t>b12-0119</t>
        </is>
      </c>
      <c r="B1887" s="11" t="inlineStr">
        <is>
          <t>Span</t>
        </is>
      </c>
      <c r="C1887" s="7" t="inlineStr">
        <is>
          <t>prophetic period</t>
        </is>
      </c>
      <c r="D1887" s="7" t="inlineStr">
        <is>
          <t>Future (undated)</t>
        </is>
      </c>
      <c r="E1887" s="7" t="n"/>
      <c r="F1887" s="7" t="n"/>
      <c r="G1887" s="7" t="inlineStr">
        <is>
          <t>Future (undated)</t>
        </is>
      </c>
      <c r="H1887" s="7" t="n"/>
      <c r="I1887" s="7" t="inlineStr">
        <is>
          <t>Future (undated)</t>
        </is>
      </c>
      <c r="J1887" s="7" t="n"/>
      <c r="K1887" s="2" t="inlineStr">
        <is>
          <t>The great tribulation</t>
        </is>
      </c>
      <c r="L1887" s="2" t="n"/>
      <c r="M1887" s="7" t="inlineStr">
        <is>
          <t>The great tribulation begins with the attack on Babylon the Great, false religion, and climaxes in the war of Armageddon; its date is not revealed.</t>
        </is>
      </c>
      <c r="N1887" s="7" t="inlineStr">
        <is>
          <t>அர்மகெதோன் போர், மிகுந்த உபத்திரவத்தின் உச்சக்கட்டமாக இருக்கும்.</t>
        </is>
      </c>
      <c r="O1887" s="14" t="inlineStr">
        <is>
          <t>Future</t>
        </is>
      </c>
      <c r="P1887" s="7" t="inlineStr">
        <is>
          <t>future.prophecy</t>
        </is>
      </c>
      <c r="Q1887" s="7" t="n"/>
      <c r="R1887" s="7" t="n"/>
      <c r="S1887" s="7" t="n"/>
      <c r="T1887" s="7" t="inlineStr">
        <is>
          <t>Matt. 24:21, 22; Rev. 7:14</t>
        </is>
      </c>
      <c r="U1887" s="7" t="inlineStr">
        <is>
          <t>மத். 24:21, 22; வெளி. 7:14</t>
        </is>
      </c>
      <c r="V1887" s="7" t="n">
        <v>3</v>
      </c>
      <c r="W1887" s="7" t="inlineStr">
        <is>
          <t>God’s Kingdom Removes Its Enemies</t>
        </is>
      </c>
      <c r="X1887" s="9" t="inlineStr">
        <is>
          <t>open</t>
        </is>
      </c>
      <c r="Y1887" s="9" t="inlineStr">
        <is>
          <t>open</t>
        </is>
      </c>
      <c r="Z1887" s="7" t="inlineStr">
        <is>
          <t>https://wol.jw.org/en/wol/d/r1/lp-e/1102014263
https://wol.jw.org/en/wol/d/r1/lp-e/1102014263
https://wol.jw.org/en/wol/d/r1/lp-e/2019603</t>
        </is>
      </c>
      <c r="AA1887" s="7" t="n">
        <v>0</v>
      </c>
      <c r="AB1887" s="7" t="n"/>
      <c r="AC1887" s="7" t="n">
        <v>0</v>
      </c>
      <c r="AD1887" s="7" t="n"/>
      <c r="AE1887" s="7" t="n"/>
      <c r="AF1887" s="7" t="inlineStr">
        <is>
          <t>b10-0011</t>
        </is>
      </c>
      <c r="AG1887" s="7" t="inlineStr">
        <is>
          <t>b10-0017</t>
        </is>
      </c>
      <c r="AH1887" s="7" t="n"/>
      <c r="AI1887" s="7" t="n"/>
      <c r="AJ1887" s="7" t="n"/>
      <c r="AK1887" s="7" t="n"/>
      <c r="AL1887" s="7" t="n"/>
      <c r="AM1887" s="7" t="n">
        <v>100003</v>
      </c>
      <c r="AN1887" s="10" t="n"/>
      <c r="AO1887" s="10" t="n"/>
      <c r="AP1887" s="10" t="n"/>
      <c r="AQ1887" s="10" t="n"/>
    </row>
    <row r="1888">
      <c r="A1888" s="7" t="inlineStr">
        <is>
          <t>b10-0012</t>
        </is>
      </c>
      <c r="B1888" s="7" t="inlineStr">
        <is>
          <t>Point</t>
        </is>
      </c>
      <c r="C1888" s="7" t="n"/>
      <c r="D1888" s="7" t="inlineStr">
        <is>
          <t>Future (undated)</t>
        </is>
      </c>
      <c r="E1888" s="7" t="n"/>
      <c r="F1888" s="7" t="n"/>
      <c r="G1888" s="7" t="inlineStr">
        <is>
          <t>Future (undated)</t>
        </is>
      </c>
      <c r="H1888" s="7" t="n"/>
      <c r="I1888" s="7" t="n"/>
      <c r="J1888" s="7" t="n"/>
      <c r="K1888" s="2" t="inlineStr">
        <is>
          <t>Attack on religion 'cut short' for the sake of the chosen ones</t>
        </is>
      </c>
      <c r="L1888" s="2" t="inlineStr">
        <is>
          <t>தாக்குதல் குறைக்கப்படுவது</t>
        </is>
      </c>
      <c r="M1888" s="7" t="inlineStr">
        <is>
          <t>As in 66 C.E., when the Roman attack on Jerusalem was cut short, Jehovah through Christ will cut short the nations' attack on religion so that true religion is not destroyed with the false. A brief respite follows, a time of testing in which true worshippers prove their loyalty.</t>
        </is>
      </c>
      <c r="N1888" s="7" t="inlineStr">
        <is>
          <t>மதங்கள்மீது ஐக்கிய நாடுகள் நடத்தும் தாக்குதலை, நம் ராஜா மூலமாக யெகோவா ‘குறைப்பார்,’ அதாவது நிறுத்துவார். அதனால், பொய் மதத்தோடு சேர்ந்து உண்மை மதம் அழிக்கப்படாது.</t>
        </is>
      </c>
      <c r="O1888" s="14" t="inlineStr">
        <is>
          <t>Future</t>
        </is>
      </c>
      <c r="P1888" s="7" t="inlineStr">
        <is>
          <t>future.prophecy</t>
        </is>
      </c>
      <c r="Q1888" s="7" t="inlineStr">
        <is>
          <t>prophecy</t>
        </is>
      </c>
      <c r="R1888" s="7" t="n"/>
      <c r="S1888" s="7" t="n"/>
      <c r="T1888" s="7" t="inlineStr">
        <is>
          <t>Matt. 24:21, 22; Mark 13:20; Ps. 96:5; Rev. 6:15-17</t>
        </is>
      </c>
      <c r="U1888" s="7" t="inlineStr">
        <is>
          <t>மத். 24:21, 22; மாற். 13:20; சங். 96:5; வெளி. 6:15-17</t>
        </is>
      </c>
      <c r="V1888" s="7" t="n">
        <v>2</v>
      </c>
      <c r="W1888" s="7" t="inlineStr">
        <is>
          <t>God’s Kingdom Removes Its Enemies</t>
        </is>
      </c>
      <c r="X1888" s="9" t="inlineStr">
        <is>
          <t>open</t>
        </is>
      </c>
      <c r="Y1888" s="9" t="inlineStr">
        <is>
          <t>open</t>
        </is>
      </c>
      <c r="Z1888" s="7" t="inlineStr">
        <is>
          <t>https://wol.jw.org/en/wol/d/r1/lp-e/1102014263
https://wol.jw.org/en/wol/d/r1/lp-e/2015523</t>
        </is>
      </c>
      <c r="AA1888" s="7" t="n">
        <v>0</v>
      </c>
      <c r="AB1888" s="7" t="n"/>
      <c r="AC1888" s="7" t="n">
        <v>0</v>
      </c>
      <c r="AD1888" s="7" t="n"/>
      <c r="AE1888" s="7" t="n"/>
      <c r="AF1888" s="7" t="n"/>
      <c r="AG1888" s="7" t="n"/>
      <c r="AH1888" s="7" t="n"/>
      <c r="AI1888" s="7" t="n"/>
      <c r="AJ1888" s="7" t="n"/>
      <c r="AK1888" s="7" t="n"/>
      <c r="AL1888" s="7" t="inlineStr">
        <is>
          <t>Sequence follows the chart 'What the Near Future Holds' in kr chap. 21; w15 7/15 par. 11 and kr par. 11 caution that the Bible does not reveal the exact time order and some events may overlap.</t>
        </is>
      </c>
      <c r="AM1888" s="7" t="n">
        <v>100004</v>
      </c>
      <c r="AN1888" s="10" t="n"/>
      <c r="AO1888" s="10" t="n"/>
      <c r="AP1888" s="10" t="n"/>
      <c r="AQ1888" s="10" t="n"/>
    </row>
    <row r="1889">
      <c r="A1889" s="7" t="inlineStr">
        <is>
          <t>b10-0013</t>
        </is>
      </c>
      <c r="B1889" s="7" t="inlineStr">
        <is>
          <t>Point</t>
        </is>
      </c>
      <c r="C1889" s="7" t="n"/>
      <c r="D1889" s="7" t="inlineStr">
        <is>
          <t>Future (undated)</t>
        </is>
      </c>
      <c r="E1889" s="7" t="n"/>
      <c r="F1889" s="7" t="n"/>
      <c r="G1889" s="7" t="inlineStr">
        <is>
          <t>Future (undated)</t>
        </is>
      </c>
      <c r="H1889" s="7" t="n"/>
      <c r="I1889" s="7" t="n"/>
      <c r="J1889" s="7" t="n"/>
      <c r="K1889" s="2" t="inlineStr">
        <is>
          <t>Celestial phenomena: signs in sun, moon and stars</t>
        </is>
      </c>
      <c r="L1889" s="2" t="inlineStr">
        <is>
          <t>வானத்தில் நடக்கும் அற்புதமான நிகழ்வுகள்</t>
        </is>
      </c>
      <c r="M1889" s="7" t="inlineStr">
        <is>
          <t>Jesus foretold that the sun would be darkened, the moon would not give its light and the stars would fall; religious leaders will no longer be looked to for light, and there may also be supernatural manifestations in the heavens. Enemies of the Kingdom will be in anguish and seek hiding places in vain.</t>
        </is>
      </c>
      <c r="N1889" s="7" t="inlineStr">
        <is>
          <t>“சூரியன் இருண்டுவிடும், சந்திரன் ஒளி கொடுக்காது, வானத்திலிருந்து நட்சத்திரங்கள் விழும்” என்று இயேசு முன்னறிவித்தார்.</t>
        </is>
      </c>
      <c r="O1889" s="14" t="inlineStr">
        <is>
          <t>Future</t>
        </is>
      </c>
      <c r="P1889" s="7" t="inlineStr">
        <is>
          <t>future.prophecy</t>
        </is>
      </c>
      <c r="Q1889" s="7" t="inlineStr">
        <is>
          <t>prophecy</t>
        </is>
      </c>
      <c r="R1889" s="7" t="n"/>
      <c r="S1889" s="7" t="n"/>
      <c r="T1889" s="7" t="inlineStr">
        <is>
          <t>Matt. 24:29; Mark 13:24, 25; Luke 21:25, 26; Isa. 13:9-11; Joel 2:1, 30, 31; Rev. 6:15-17</t>
        </is>
      </c>
      <c r="U1889" s="7" t="inlineStr">
        <is>
          <t>மத். 24:29; ஏசா. 13:9-11; யோவே. 2:1, 30, 31; வெளி. 6:15-17</t>
        </is>
      </c>
      <c r="V1889" s="7" t="n">
        <v>3</v>
      </c>
      <c r="W1889" s="7" t="inlineStr">
        <is>
          <t>God’s Kingdom Removes Its Enemies</t>
        </is>
      </c>
      <c r="X1889" s="9" t="inlineStr">
        <is>
          <t>open</t>
        </is>
      </c>
      <c r="Y1889" s="9" t="inlineStr">
        <is>
          <t>open</t>
        </is>
      </c>
      <c r="Z1889" s="7" t="inlineStr">
        <is>
          <t>https://wol.jw.org/en/wol/d/r1/lp-e/1102014263
https://wol.jw.org/en/wol/d/r1/lp-e/2015523
https://wol.jw.org/en/wol/d/r1/lp-e/1200004476</t>
        </is>
      </c>
      <c r="AA1889" s="7" t="n">
        <v>1</v>
      </c>
      <c r="AB1889" s="9" t="inlineStr">
        <is>
          <t>open</t>
        </is>
      </c>
      <c r="AC1889" s="7" t="n">
        <v>0</v>
      </c>
      <c r="AD1889" s="7" t="n"/>
      <c r="AE1889" s="7" t="n"/>
      <c r="AF1889" s="7" t="n"/>
      <c r="AG1889" s="7" t="n"/>
      <c r="AH1889" s="7" t="n"/>
      <c r="AI1889" s="7" t="n"/>
      <c r="AJ1889" s="7" t="n"/>
      <c r="AK1889" s="7" t="n"/>
      <c r="AL1889" s="7" t="inlineStr">
        <is>
          <t>Sequence follows the chart 'What the Near Future Holds' in kr chap. 21; w15 7/15 par. 11 and kr par. 11 caution that the Bible does not reveal the exact time order and some events may overlap.</t>
        </is>
      </c>
      <c r="AM1889" s="7" t="n">
        <v>100005</v>
      </c>
      <c r="AN1889" s="10" t="n"/>
      <c r="AO1889" s="10" t="n"/>
      <c r="AP1889" s="10" t="n"/>
      <c r="AQ1889" s="10" t="n"/>
    </row>
    <row r="1890">
      <c r="A1890" s="7" t="inlineStr">
        <is>
          <t>b10-0014</t>
        </is>
      </c>
      <c r="B1890" s="7" t="inlineStr">
        <is>
          <t>Point</t>
        </is>
      </c>
      <c r="C1890" s="7" t="n"/>
      <c r="D1890" s="7" t="inlineStr">
        <is>
          <t>Future (undated)</t>
        </is>
      </c>
      <c r="E1890" s="7" t="n"/>
      <c r="F1890" s="7" t="n"/>
      <c r="G1890" s="7" t="inlineStr">
        <is>
          <t>Future (undated)</t>
        </is>
      </c>
      <c r="H1890" s="7" t="n"/>
      <c r="I1890" s="7" t="n"/>
      <c r="J1890" s="7" t="n"/>
      <c r="K1890" s="2" t="inlineStr">
        <is>
          <t>Sign of the Son of man; Jesus comes in glory and judges the sheep and the goats</t>
        </is>
      </c>
      <c r="L1890" s="2" t="inlineStr">
        <is>
          <t>செம்மறியாடுகளையும் வெள்ளாடுகளையும் பிரிப்பது</t>
        </is>
      </c>
      <c r="M1890" s="7" t="inlineStr">
        <is>
          <t>People will see 'the sign of the Son of man' as Jesus comes in the clouds with power and great glory to pronounce judgment. Loyal Kingdom supporters are judged as 'sheep' (the great crowd marked for survival) and lift up their heads, while opposers are judged as 'goats' and beat themselves in grief.</t>
        </is>
      </c>
      <c r="N1890" s="7" t="inlineStr">
        <is>
          <t>“மனிதகுமாரன் மிகுந்த வல்லமையோடும் மகிமையோடும் மேகங்களில் வருவதை அவர்கள் பார்ப்பார்கள்” என்று இயேசு சொன்னார். (மாற். 13:26) அந்தக் காட்சி, இயேசு தீர்ப்பளிக்க வந்திருக்கிறார் என்பதற்கு அடையாளமாக இருக்கும்.</t>
        </is>
      </c>
      <c r="O1890" s="14" t="inlineStr">
        <is>
          <t>Future</t>
        </is>
      </c>
      <c r="P1890" s="7" t="inlineStr">
        <is>
          <t>future.prophecy</t>
        </is>
      </c>
      <c r="Q1890" s="7" t="inlineStr">
        <is>
          <t>prophecy</t>
        </is>
      </c>
      <c r="R1890" s="7" t="inlineStr">
        <is>
          <t>Jesus Christ</t>
        </is>
      </c>
      <c r="S1890" s="7" t="n"/>
      <c r="T1890" s="7" t="inlineStr">
        <is>
          <t>Matt. 24:30; Mark 13:26; Luke 21:27, 28; Matt. 25:31-33; Matt. 25:46; Rev. 1:7; Ezek. 9:4</t>
        </is>
      </c>
      <c r="U1890" s="7" t="inlineStr">
        <is>
          <t>மத். 24:30; மாற். 13:26; மத். 25:31-33; மத். 25:46; வெளி. 1:7; எசே. 9:4</t>
        </is>
      </c>
      <c r="V1890" s="7" t="n">
        <v>3</v>
      </c>
      <c r="W1890" s="7" t="inlineStr">
        <is>
          <t>God’s Kingdom Removes Its Enemies</t>
        </is>
      </c>
      <c r="X1890" s="9" t="inlineStr">
        <is>
          <t>open</t>
        </is>
      </c>
      <c r="Y1890" s="9" t="inlineStr">
        <is>
          <t>open</t>
        </is>
      </c>
      <c r="Z1890" s="7" t="inlineStr">
        <is>
          <t>https://wol.jw.org/en/wol/d/r1/lp-e/1102014263
https://wol.jw.org/en/wol/d/r1/lp-e/2015523
https://wol.jw.org/en/wol/d/r1/lp-e/1102017176</t>
        </is>
      </c>
      <c r="AA1890" s="7" t="n">
        <v>3</v>
      </c>
      <c r="AB1890" s="9" t="inlineStr">
        <is>
          <t>open</t>
        </is>
      </c>
      <c r="AC1890" s="7" t="n">
        <v>0</v>
      </c>
      <c r="AD1890" s="7" t="n"/>
      <c r="AE1890" s="7" t="n"/>
      <c r="AF1890" s="7" t="n"/>
      <c r="AG1890" s="7" t="n"/>
      <c r="AH1890" s="7" t="n"/>
      <c r="AI1890" s="7" t="n"/>
      <c r="AJ1890" s="7" t="n"/>
      <c r="AK1890" s="7" t="inlineStr">
        <is>
          <t>wheat-and-weeds #25 (future_fulfillment)</t>
        </is>
      </c>
      <c r="AL1890" s="7" t="inlineStr">
        <is>
          <t>Sequence follows the chart 'What the Near Future Holds' in kr chap. 21; w15 7/15 par. 11 and kr par. 11 caution that the Bible does not reveal the exact time order and some events may overlap.</t>
        </is>
      </c>
      <c r="AM1890" s="7" t="n">
        <v>100006</v>
      </c>
      <c r="AN1890" s="10" t="n"/>
      <c r="AO1890" s="10" t="n"/>
      <c r="AP1890" s="10" t="n"/>
      <c r="AQ1890" s="10" t="n"/>
    </row>
    <row r="1891">
      <c r="A1891" s="7" t="inlineStr">
        <is>
          <t>b10-0015</t>
        </is>
      </c>
      <c r="B1891" s="7" t="inlineStr">
        <is>
          <t>Point</t>
        </is>
      </c>
      <c r="C1891" s="7" t="n"/>
      <c r="D1891" s="7" t="inlineStr">
        <is>
          <t>Future (undated)</t>
        </is>
      </c>
      <c r="E1891" s="7" t="n"/>
      <c r="F1891" s="7" t="n"/>
      <c r="G1891" s="7" t="inlineStr">
        <is>
          <t>Future (undated)</t>
        </is>
      </c>
      <c r="H1891" s="7" t="n"/>
      <c r="I1891" s="7" t="n"/>
      <c r="J1891" s="7" t="n"/>
      <c r="K1891" s="2" t="inlineStr">
        <is>
          <t>Attack by Gog of Magog on God's people</t>
        </is>
      </c>
      <c r="L1891" s="2" t="inlineStr">
        <is>
          <t>மாகோகு தேசத்தின் கோகு நடத்தும் தாக்குதல்</t>
        </is>
      </c>
      <c r="M1891" s="7" t="inlineStr">
        <is>
          <t>With false religion gone and God's people seemingly living without walls, Gog of Magog, a coalition of nations incited by Satan, will launch an all-out attack on the anointed remnant and their other sheep companions. This attack provokes Jehovah's 'great rage.'</t>
        </is>
      </c>
      <c r="N1891" s="7" t="inlineStr">
        <is>
          <t>பொய் மத அமைப்புகள் அழிக்கப்பட்ட பின்பு, அதேசமயத்தில், அர்மகெதோன் போர் ஆரம்பமாவதற்கு முன்பு, உண்மை வணக்கத்தார்மீது கோகு முழு வீச்சோடு தன்னுடைய கடைசித் தாக்குதலை நடத்துவான்.</t>
        </is>
      </c>
      <c r="O1891" s="14" t="inlineStr">
        <is>
          <t>Future</t>
        </is>
      </c>
      <c r="P1891" s="7" t="inlineStr">
        <is>
          <t>future.prophecy</t>
        </is>
      </c>
      <c r="Q1891" s="7" t="inlineStr">
        <is>
          <t>prophecy</t>
        </is>
      </c>
      <c r="R1891" s="7" t="inlineStr">
        <is>
          <t>Satan</t>
        </is>
      </c>
      <c r="S1891" s="7" t="n"/>
      <c r="T1891" s="7" t="inlineStr">
        <is>
          <t>Ezek. 38:2; Ezek. 38:8; Ezek. 38:10-12; Ezek. 38:15, 16; Rev. 12:17; Zech. 2:8</t>
        </is>
      </c>
      <c r="U1891" s="7" t="inlineStr">
        <is>
          <t>எசே. 38:2; எசே. 38:10-12; எசே. 38:15, 16; வெளி. 12:17; சக. 2:8</t>
        </is>
      </c>
      <c r="V1891" s="7" t="n">
        <v>4</v>
      </c>
      <c r="W1891" s="7" t="inlineStr">
        <is>
          <t>God’s Kingdom Removes Its Enemies</t>
        </is>
      </c>
      <c r="X1891" s="9" t="inlineStr">
        <is>
          <t>open</t>
        </is>
      </c>
      <c r="Y1891" s="9" t="inlineStr">
        <is>
          <t>open</t>
        </is>
      </c>
      <c r="Z1891" s="7" t="inlineStr">
        <is>
          <t>https://wol.jw.org/en/wol/d/r1/lp-e/1102014263
https://wol.jw.org/en/wol/d/r1/lp-e/2015523
https://wol.jw.org/en/wol/d/r1/lp-e/1102017177
https://wol.jw.org/en/wol/d/r1/lp-e/2012681</t>
        </is>
      </c>
      <c r="AA1891" s="7" t="n">
        <v>4</v>
      </c>
      <c r="AB1891" s="9" t="inlineStr">
        <is>
          <t>open</t>
        </is>
      </c>
      <c r="AC1891" s="7" t="n">
        <v>1</v>
      </c>
      <c r="AD1891" s="7" t="inlineStr">
        <is>
          <t>rr chap. 17 par. 4 notes that for many decades publications identified Gog as Satan; the adjusted understanding is that Gog is a coalition of earthly nations, with Satan as mastermind.</t>
        </is>
      </c>
      <c r="AE1891" s="7" t="n"/>
      <c r="AF1891" s="7" t="n"/>
      <c r="AG1891" s="7" t="n"/>
      <c r="AH1891" s="7" t="n"/>
      <c r="AI1891" s="7" t="n"/>
      <c r="AJ1891" s="7" t="n"/>
      <c r="AK1891" s="7" t="inlineStr">
        <is>
          <t>kings-north-and-south #46 (future_fulfillment)</t>
        </is>
      </c>
      <c r="AL1891" s="7" t="inlineStr">
        <is>
          <t>Sequence follows the chart 'What the Near Future Holds' in kr chap. 21; w15 7/15 par. 11 and kr par. 11 caution that the Bible does not reveal the exact time order and some events may overlap.</t>
        </is>
      </c>
      <c r="AM1891" s="7" t="n">
        <v>100007</v>
      </c>
      <c r="AN1891" s="10" t="n"/>
      <c r="AO1891" s="10" t="n"/>
      <c r="AP1891" s="10" t="n"/>
      <c r="AQ1891" s="10" t="n"/>
    </row>
    <row r="1892">
      <c r="A1892" s="7" t="inlineStr">
        <is>
          <t>b10-0016</t>
        </is>
      </c>
      <c r="B1892" s="7" t="inlineStr">
        <is>
          <t>Point</t>
        </is>
      </c>
      <c r="C1892" s="7" t="n"/>
      <c r="D1892" s="7" t="inlineStr">
        <is>
          <t>Future (undated)</t>
        </is>
      </c>
      <c r="E1892" s="7" t="n"/>
      <c r="F1892" s="7" t="n"/>
      <c r="G1892" s="7" t="inlineStr">
        <is>
          <t>Future (undated)</t>
        </is>
      </c>
      <c r="H1892" s="7" t="n"/>
      <c r="I1892" s="7" t="n"/>
      <c r="J1892" s="7" t="n"/>
      <c r="K1892" s="2" t="inlineStr">
        <is>
          <t>Remaining anointed ones gathered to heaven</t>
        </is>
      </c>
      <c r="L1892" s="2" t="inlineStr">
        <is>
          <t>பரலோக நம்பிக்கையுள்ளவர்களில் மீதியானோர் பரலோகத்தில் கூட்டிச்சேர்க்கப்படுவது</t>
        </is>
      </c>
      <c r="M1892" s="7" t="inlineStr">
        <is>
          <t>At some point after Gog's attack begins and before Armageddon, the angels will gather the remaining anointed ones on earth, changed 'in the blink of an eye,' to receive their heavenly reward, so that all 144,000 can share with Christ in the war.</t>
        </is>
      </c>
      <c r="N1892" s="7" t="inlineStr">
        <is>
          <t>கடவுளுடைய மக்கள்மீது சாத்தான் முழுவீச்சோடு தாக்குதலை ஆரம்பித்த பிறகு ஒரு கட்டத்தில் பரலோக நம்பிக்கையுள்ளவர்களில் மீதியானோர் பரலோகத்தில் கூட்டிச்சேர்க்கப்படுவார்கள்.</t>
        </is>
      </c>
      <c r="O1892" s="14" t="inlineStr">
        <is>
          <t>Future</t>
        </is>
      </c>
      <c r="P1892" s="7" t="inlineStr">
        <is>
          <t>future.prophecy</t>
        </is>
      </c>
      <c r="Q1892" s="7" t="inlineStr">
        <is>
          <t>prophecy</t>
        </is>
      </c>
      <c r="R1892" s="7" t="n"/>
      <c r="S1892" s="7" t="n"/>
      <c r="T1892" s="7" t="inlineStr">
        <is>
          <t>Matt. 24:31; Mark 13:27; 1 Thess. 4:15-17; Rev. 14:1; 1 Cor. 15:50-53; Matt. 13:43; Rev. 17:14</t>
        </is>
      </c>
      <c r="U1892" s="7" t="inlineStr">
        <is>
          <t>மத். 24:31; மாற். 13:27; 1 தெ. 4:15-17; வெளி. 14:1; மத். 13:43; வெளி. 17:14</t>
        </is>
      </c>
      <c r="V1892" s="7" t="n">
        <v>3</v>
      </c>
      <c r="W1892" s="7" t="inlineStr">
        <is>
          <t>God’s Kingdom Removes Its Enemies</t>
        </is>
      </c>
      <c r="X1892" s="9" t="inlineStr">
        <is>
          <t>open</t>
        </is>
      </c>
      <c r="Y1892" s="9" t="inlineStr">
        <is>
          <t>open</t>
        </is>
      </c>
      <c r="Z1892" s="7" t="inlineStr">
        <is>
          <t>https://wol.jw.org/en/wol/d/r1/lp-e/1102014263
https://wol.jw.org/en/wol/d/r1/lp-e/2015523
https://wol.jw.org/en/wol/d/r1/lp-e/1102017178</t>
        </is>
      </c>
      <c r="AA1892" s="7" t="n">
        <v>1</v>
      </c>
      <c r="AB1892" s="9" t="inlineStr">
        <is>
          <t>open</t>
        </is>
      </c>
      <c r="AC1892" s="7" t="n">
        <v>0</v>
      </c>
      <c r="AD1892" s="7" t="n"/>
      <c r="AE1892" s="7" t="n"/>
      <c r="AF1892" s="7" t="n"/>
      <c r="AG1892" s="7" t="n"/>
      <c r="AH1892" s="7" t="n"/>
      <c r="AI1892" s="7" t="n"/>
      <c r="AJ1892" s="7" t="n"/>
      <c r="AK1892" s="7" t="inlineStr">
        <is>
          <t>wheat-and-weeds #26 (future_fulfillment)</t>
        </is>
      </c>
      <c r="AL1892" s="7" t="inlineStr">
        <is>
          <t>Sequence follows the chart 'What the Near Future Holds' in kr chap. 21; w15 7/15 par. 11 and kr par. 11 caution that the Bible does not reveal the exact time order and some events may overlap.</t>
        </is>
      </c>
      <c r="AM1892" s="7" t="n">
        <v>100008</v>
      </c>
      <c r="AN1892" s="10" t="n"/>
      <c r="AO1892" s="10" t="n"/>
      <c r="AP1892" s="10" t="n"/>
      <c r="AQ1892" s="10" t="n"/>
    </row>
    <row r="1893">
      <c r="A1893" s="7" t="inlineStr">
        <is>
          <t>b10-0017</t>
        </is>
      </c>
      <c r="B1893" s="7" t="inlineStr">
        <is>
          <t>Point</t>
        </is>
      </c>
      <c r="C1893" s="7" t="n"/>
      <c r="D1893" s="7" t="inlineStr">
        <is>
          <t>Future (undated)</t>
        </is>
      </c>
      <c r="E1893" s="7" t="n"/>
      <c r="F1893" s="7" t="n"/>
      <c r="G1893" s="7" t="inlineStr">
        <is>
          <t>Future (undated)</t>
        </is>
      </c>
      <c r="H1893" s="7" t="n"/>
      <c r="I1893" s="7" t="n"/>
      <c r="J1893" s="7" t="n"/>
      <c r="K1893" s="2" t="inlineStr">
        <is>
          <t>War of Armageddon: the finale of the great tribulation</t>
        </is>
      </c>
      <c r="L1893" s="2" t="inlineStr">
        <is>
          <t>அர்மகெதோன் போர் ஆரம்பிக்கிறது!</t>
        </is>
      </c>
      <c r="M1893" s="7" t="inlineStr">
        <is>
          <t>Jehovah's rage flares up and he sends his King, Jesus Christ, with the angels and the 144,000, to defend his people. In 'the war of the great day of God the Almighty,' all judged as goats are destroyed, God's people on earth do not fight, and the great crowd comes out of the great tribulation alive.</t>
        </is>
      </c>
      <c r="N1893" s="7" t="inlineStr">
        <is>
          <t>அர்மகெதோன் போர், மிகுந்த உபத்திரவத்தின் உச்சக்கட்டமாக இருக்கும்.</t>
        </is>
      </c>
      <c r="O1893" s="14" t="inlineStr">
        <is>
          <t>Future</t>
        </is>
      </c>
      <c r="P1893" s="7" t="inlineStr">
        <is>
          <t>future.prophecy</t>
        </is>
      </c>
      <c r="Q1893" s="7" t="inlineStr">
        <is>
          <t>battle</t>
        </is>
      </c>
      <c r="R1893" s="7" t="inlineStr">
        <is>
          <t>Jehovah; Jesus Christ</t>
        </is>
      </c>
      <c r="S1893" s="7" t="n"/>
      <c r="T1893" s="7" t="inlineStr">
        <is>
          <t>Ezek. 38:18; Ezek. 38:21; Rev. 16:14, 16; Rev. 17:14; Rev. 19:11-21; Matt. 25:46; Rev. 7:9, 14; Dan. 2:44; 2 Chron. 20:17</t>
        </is>
      </c>
      <c r="U1893" s="7" t="inlineStr">
        <is>
          <t>எசே. 38:18; எசே. 38:21; வெளி. 16:14, 16; வெளி. 17:14; மத். 25:46; வெளி. 7:9, 14; தானி. 2:44; 2 நா. 20:17</t>
        </is>
      </c>
      <c r="V1893" s="7" t="n">
        <v>6</v>
      </c>
      <c r="W1893" s="7" t="inlineStr">
        <is>
          <t>God’s Kingdom Removes Its Enemies</t>
        </is>
      </c>
      <c r="X1893" s="9" t="inlineStr">
        <is>
          <t>open</t>
        </is>
      </c>
      <c r="Y1893" s="9" t="inlineStr">
        <is>
          <t>open</t>
        </is>
      </c>
      <c r="Z1893" s="7" t="inlineStr">
        <is>
          <t>https://wol.jw.org/en/wol/d/r1/lp-e/1102014263
https://wol.jw.org/en/wol/d/r1/lp-e/2015523
https://wol.jw.org/en/wol/d/r1/lp-e/1102017178
https://wol.jw.org/en/wol/d/r1/lp-e/1200001884
https://wol.jw.org/en/wol/d/r1/lp-e/2019603
https://wol.jw.org/en/wol/d/r1/lp-e/2012681</t>
        </is>
      </c>
      <c r="AA1893" s="7" t="n">
        <v>6</v>
      </c>
      <c r="AB1893" s="9" t="inlineStr">
        <is>
          <t>open</t>
        </is>
      </c>
      <c r="AC1893" s="7" t="n">
        <v>0</v>
      </c>
      <c r="AD1893" s="7" t="n"/>
      <c r="AE1893" s="7" t="n"/>
      <c r="AF1893" s="7" t="n"/>
      <c r="AG1893" s="7" t="n"/>
      <c r="AH1893" s="7" t="n"/>
      <c r="AI1893" s="7" t="inlineStr">
        <is>
          <t>Span endpoint – keep</t>
        </is>
      </c>
      <c r="AJ1893" s="7" t="inlineStr">
        <is>
          <t>end of The great tribulation (b12-0119)</t>
        </is>
      </c>
      <c r="AK1893" s="7" t="inlineStr">
        <is>
          <t>kings-north-and-south #47 (future_fulfillment); seven-heads-of-the-beast #27 (future_fulfillment); wheat-and-weeds #27 (future_fulfillment); world-powers-daniel #22 (future_fulfillment)</t>
        </is>
      </c>
      <c r="AL1893" s="7" t="inlineStr">
        <is>
          <t>Sequence follows the chart 'What the Near Future Holds' in kr chap. 21; w15 7/15 par. 11 and kr par. 11 caution that the Bible does not reveal the exact time order and some events may overlap.</t>
        </is>
      </c>
      <c r="AM1893" s="7" t="n">
        <v>100009</v>
      </c>
      <c r="AN1893" s="10" t="n"/>
      <c r="AO1893" s="10" t="n"/>
      <c r="AP1893" s="10" t="n"/>
      <c r="AQ1893" s="10" t="n"/>
    </row>
    <row r="1894">
      <c r="A1894" s="7" t="inlineStr">
        <is>
          <t>b10-0018</t>
        </is>
      </c>
      <c r="B1894" s="7" t="inlineStr">
        <is>
          <t>Point</t>
        </is>
      </c>
      <c r="C1894" s="7" t="n"/>
      <c r="D1894" s="7" t="inlineStr">
        <is>
          <t>Future (undated)</t>
        </is>
      </c>
      <c r="E1894" s="7" t="n"/>
      <c r="F1894" s="7" t="n"/>
      <c r="G1894" s="7" t="inlineStr">
        <is>
          <t>Future (undated)</t>
        </is>
      </c>
      <c r="H1894" s="7" t="n"/>
      <c r="I1894" s="7" t="n"/>
      <c r="J1894" s="7" t="n"/>
      <c r="K1894" s="2" t="inlineStr">
        <is>
          <t>Marriage of the Lamb takes place in heaven</t>
        </is>
      </c>
      <c r="L1894" s="2" t="n"/>
      <c r="M1894" s="7" t="inlineStr">
        <is>
          <t>Once all the 144,000 are in heaven and the earth has been cleansed at Armageddon, the marriage of the Lamb, the climax of Revelation, takes place; Psalm 45 likewise shows the King fighting first and the marriage following.</t>
        </is>
      </c>
      <c r="N1894" s="7" t="inlineStr">
        <is>
          <t>கடைசியாக, வெளிப்படுத்துதல் புத்தகத்தில் சொல்லப்பட்டு இருப்பதுபோல் ஆட்டுக்குட்டியானவரின் திருமணம் நடக்கும்!</t>
        </is>
      </c>
      <c r="O1894" s="14" t="inlineStr">
        <is>
          <t>Future</t>
        </is>
      </c>
      <c r="P1894" s="7" t="inlineStr">
        <is>
          <t>future.prophecy</t>
        </is>
      </c>
      <c r="Q1894" s="7" t="inlineStr">
        <is>
          <t>prophecy</t>
        </is>
      </c>
      <c r="R1894" s="7" t="n"/>
      <c r="S1894" s="7" t="n"/>
      <c r="T1894" s="7" t="inlineStr">
        <is>
          <t>Rev. 19:9; Rev. 21:1-4; Ps. 45:1-17</t>
        </is>
      </c>
      <c r="U1894" s="7" t="inlineStr">
        <is>
          <t>வெளி. 19:9; வெளி. 21:1-4</t>
        </is>
      </c>
      <c r="V1894" s="7" t="n">
        <v>1</v>
      </c>
      <c r="W1894" s="7" t="inlineStr">
        <is>
          <t>“Your Deliverance Is Getting Near”!</t>
        </is>
      </c>
      <c r="X1894" s="9" t="inlineStr">
        <is>
          <t>open</t>
        </is>
      </c>
      <c r="Y1894" s="9" t="inlineStr">
        <is>
          <t>open</t>
        </is>
      </c>
      <c r="Z1894" s="7" t="inlineStr">
        <is>
          <t>https://wol.jw.org/en/wol/d/r1/lp-e/2015523</t>
        </is>
      </c>
      <c r="AA1894" s="7" t="n">
        <v>0</v>
      </c>
      <c r="AB1894" s="7" t="n"/>
      <c r="AC1894" s="7" t="n">
        <v>0</v>
      </c>
      <c r="AD1894" s="7" t="n"/>
      <c r="AE1894" s="7" t="n"/>
      <c r="AF1894" s="7" t="n"/>
      <c r="AG1894" s="7" t="n"/>
      <c r="AH1894" s="7" t="n"/>
      <c r="AI1894" s="7" t="n"/>
      <c r="AJ1894" s="7" t="n"/>
      <c r="AK1894" s="7" t="inlineStr">
        <is>
          <t>wheat-and-weeds #28 (context)</t>
        </is>
      </c>
      <c r="AL1894" s="7" t="inlineStr">
        <is>
          <t>Single source (w15 7/15 par. 16-17 and footnote d); not in the batch request list but explicitly sequenced by the source.</t>
        </is>
      </c>
      <c r="AM1894" s="7" t="n">
        <v>100010</v>
      </c>
      <c r="AN1894" s="10" t="n"/>
      <c r="AO1894" s="10" t="n"/>
      <c r="AP1894" s="10" t="n"/>
      <c r="AQ1894" s="10" t="n"/>
    </row>
    <row r="1895">
      <c r="A1895" s="7" t="inlineStr">
        <is>
          <t>b10-0019</t>
        </is>
      </c>
      <c r="B1895" s="7" t="inlineStr">
        <is>
          <t>Point</t>
        </is>
      </c>
      <c r="C1895" s="7" t="n"/>
      <c r="D1895" s="7" t="inlineStr">
        <is>
          <t>Future (undated)</t>
        </is>
      </c>
      <c r="E1895" s="7" t="n"/>
      <c r="F1895" s="7" t="n"/>
      <c r="G1895" s="7" t="inlineStr">
        <is>
          <t>Future (undated)</t>
        </is>
      </c>
      <c r="H1895" s="7" t="n"/>
      <c r="I1895" s="7" t="n"/>
      <c r="J1895" s="7" t="n"/>
      <c r="K1895" s="2" t="inlineStr">
        <is>
          <t>Satan and the demons hurled into the abyss for a thousand years</t>
        </is>
      </c>
      <c r="L1895" s="2" t="n"/>
      <c r="M1895" s="7" t="inlineStr">
        <is>
          <t>After Satan's whole earthly organization is wiped out, Jesus Christ, the angel with the key of the abyss, will seize Satan and his demons and hurl them into the abyss, a deathlike, inactive state, for a thousand years, the initial stage of bruising the serpent's head.</t>
        </is>
      </c>
      <c r="N1895" s="7" t="inlineStr">
        <is>
          <t>‘அதலபாதாளத்தின் சாவியை . . . தன் கையில்’ வைத்திருக்கும் ‘தேவதூதர்,’ அதாவது இயேசு கிறிஸ்து, சாத்தானையும் அவனுடைய பேய்களையும் பிடித்து, அதலபாதாளத்தில் தள்ளி, ஆயிரம் வருடங்களுக்குக் கட்டிப்போடுவார்.</t>
        </is>
      </c>
      <c r="O1895" s="14" t="inlineStr">
        <is>
          <t>Future</t>
        </is>
      </c>
      <c r="P1895" s="7" t="inlineStr">
        <is>
          <t>future.prophecy</t>
        </is>
      </c>
      <c r="Q1895" s="7" t="inlineStr">
        <is>
          <t>prophecy</t>
        </is>
      </c>
      <c r="R1895" s="7" t="inlineStr">
        <is>
          <t>Satan; Jesus Christ</t>
        </is>
      </c>
      <c r="S1895" s="7" t="n"/>
      <c r="T1895" s="7" t="inlineStr">
        <is>
          <t>Rev. 20:1-3; Rev. 6:2; Luke 8:30, 31; 1 John 3:8; Gen. 3:15</t>
        </is>
      </c>
      <c r="U1895" s="7" t="inlineStr">
        <is>
          <t>வெளி. 20:1-3; வெளி. 6:2; லூக். 8:30, 31; 1 யோ. 3:8; ஆதி. 3:15</t>
        </is>
      </c>
      <c r="V1895" s="7" t="n">
        <v>4</v>
      </c>
      <c r="W1895" s="7" t="inlineStr">
        <is>
          <t>God’s Kingdom Removes Its Enemies</t>
        </is>
      </c>
      <c r="X1895" s="9" t="inlineStr">
        <is>
          <t>open</t>
        </is>
      </c>
      <c r="Y1895" s="9" t="inlineStr">
        <is>
          <t>open</t>
        </is>
      </c>
      <c r="Z1895" s="7" t="inlineStr">
        <is>
          <t>https://wol.jw.org/en/wol/d/r1/lp-e/1102014263
https://wol.jw.org/en/wol/d/r1/lp-e/2012681
https://wol.jw.org/en/wol/d/r1/lp-e/2022401
https://wol.jw.org/en/wol/d/r1/lp-e/1200000065</t>
        </is>
      </c>
      <c r="AA1895" s="7" t="n">
        <v>1</v>
      </c>
      <c r="AB1895" s="9" t="inlineStr">
        <is>
          <t>open</t>
        </is>
      </c>
      <c r="AC1895" s="7" t="n">
        <v>0</v>
      </c>
      <c r="AD1895" s="7" t="n"/>
      <c r="AE1895" s="7" t="n"/>
      <c r="AF1895" s="7" t="n"/>
      <c r="AG1895" s="7" t="n"/>
      <c r="AH1895" s="7" t="n"/>
      <c r="AI1895" s="7" t="inlineStr">
        <is>
          <t>Span endpoint – keep</t>
        </is>
      </c>
      <c r="AJ1895" s="7" t="inlineStr">
        <is>
          <t>start of Satan and the demons abyssed for a thousand years (b12-0120)</t>
        </is>
      </c>
      <c r="AK1895" s="7" t="n"/>
      <c r="AL1895" s="7" t="n"/>
      <c r="AM1895" s="7" t="n">
        <v>100011</v>
      </c>
      <c r="AN1895" s="10" t="n"/>
      <c r="AO1895" s="10" t="n"/>
      <c r="AP1895" s="10" t="n"/>
      <c r="AQ1895" s="10" t="n"/>
    </row>
    <row r="1896">
      <c r="A1896" s="7" t="inlineStr">
        <is>
          <t>b12-0120</t>
        </is>
      </c>
      <c r="B1896" s="11" t="inlineStr">
        <is>
          <t>Span</t>
        </is>
      </c>
      <c r="C1896" s="7" t="inlineStr">
        <is>
          <t>prophetic period</t>
        </is>
      </c>
      <c r="D1896" s="7" t="inlineStr">
        <is>
          <t>Future (undated)</t>
        </is>
      </c>
      <c r="E1896" s="7" t="n"/>
      <c r="F1896" s="7" t="n"/>
      <c r="G1896" s="7" t="inlineStr">
        <is>
          <t>Future (undated)</t>
        </is>
      </c>
      <c r="H1896" s="7" t="n"/>
      <c r="I1896" s="7" t="inlineStr">
        <is>
          <t>Future (undated)</t>
        </is>
      </c>
      <c r="J1896" s="7" t="inlineStr">
        <is>
          <t>1,000 years</t>
        </is>
      </c>
      <c r="K1896" s="2" t="inlineStr">
        <is>
          <t>Satan and the demons abyssed for a thousand years</t>
        </is>
      </c>
      <c r="L1896" s="2" t="n"/>
      <c r="M1896" s="7" t="inlineStr">
        <is>
          <t>After Armageddon, Satan and his demons will be hurled into the abyss for a thousand years, unable to influence mankind; afterward they will be released for a little while.</t>
        </is>
      </c>
      <c r="N1896" s="7" t="inlineStr">
        <is>
          <t>அங்கே அவர்கள் ஆயிரம் வருஷங்களுக்கு செத்த நிலையில், அதாவது செயலற்ற நிலையில் இருப்பார்கள்.—வெளிப்படுத்துதல் 6:2; 20:1-3-ஐ வாசியுங்கள்.</t>
        </is>
      </c>
      <c r="O1896" s="14" t="inlineStr">
        <is>
          <t>Future</t>
        </is>
      </c>
      <c r="P1896" s="7" t="inlineStr">
        <is>
          <t>future.prophecy</t>
        </is>
      </c>
      <c r="Q1896" s="7" t="n"/>
      <c r="R1896" s="7" t="n"/>
      <c r="S1896" s="7" t="n"/>
      <c r="T1896" s="7" t="inlineStr">
        <is>
          <t>Rev. 20:1-3, 7</t>
        </is>
      </c>
      <c r="U1896" s="7" t="inlineStr">
        <is>
          <t>வெளி. 20:1-3, 7</t>
        </is>
      </c>
      <c r="V1896" s="7" t="n">
        <v>4</v>
      </c>
      <c r="W1896" s="7" t="inlineStr">
        <is>
          <t>God’s Kingdom Removes Its Enemies</t>
        </is>
      </c>
      <c r="X1896" s="9" t="inlineStr">
        <is>
          <t>open</t>
        </is>
      </c>
      <c r="Y1896" s="9" t="inlineStr">
        <is>
          <t>open</t>
        </is>
      </c>
      <c r="Z1896" s="7" t="inlineStr">
        <is>
          <t>https://wol.jw.org/en/wol/d/r1/lp-e/1102014263
https://wol.jw.org/en/wol/d/r1/lp-e/1102017192
https://wol.jw.org/en/wol/d/r1/lp-e/1200000065
https://wol.jw.org/en/wol/d/r1/lp-e/2022401</t>
        </is>
      </c>
      <c r="AA1896" s="7" t="n">
        <v>0</v>
      </c>
      <c r="AB1896" s="7" t="n"/>
      <c r="AC1896" s="7" t="n">
        <v>0</v>
      </c>
      <c r="AD1896" s="7" t="n"/>
      <c r="AE1896" s="7" t="n"/>
      <c r="AF1896" s="7" t="inlineStr">
        <is>
          <t>b10-0019</t>
        </is>
      </c>
      <c r="AG1896" s="7" t="inlineStr">
        <is>
          <t>b10-0024</t>
        </is>
      </c>
      <c r="AH1896" s="7" t="n"/>
      <c r="AI1896" s="7" t="n"/>
      <c r="AJ1896" s="7" t="n"/>
      <c r="AK1896" s="7" t="inlineStr">
        <is>
          <t>promised-offspring #10 (future_fulfillment)</t>
        </is>
      </c>
      <c r="AL1896" s="7" t="n"/>
      <c r="AM1896" s="7" t="n">
        <v>100011</v>
      </c>
      <c r="AN1896" s="10" t="n"/>
      <c r="AO1896" s="10" t="n"/>
      <c r="AP1896" s="10" t="n"/>
      <c r="AQ1896" s="10" t="n"/>
    </row>
    <row r="1897">
      <c r="A1897" s="7" t="inlineStr">
        <is>
          <t>b10-0020</t>
        </is>
      </c>
      <c r="B1897" s="7" t="inlineStr">
        <is>
          <t>Point</t>
        </is>
      </c>
      <c r="C1897" s="7" t="n"/>
      <c r="D1897" s="7" t="inlineStr">
        <is>
          <t>Future (undated)</t>
        </is>
      </c>
      <c r="E1897" s="7" t="n"/>
      <c r="F1897" s="7" t="n"/>
      <c r="G1897" s="7" t="inlineStr">
        <is>
          <t>Future (undated)</t>
        </is>
      </c>
      <c r="H1897" s="7" t="n"/>
      <c r="I1897" s="7" t="n"/>
      <c r="J1897" s="7" t="n"/>
      <c r="K1897" s="2" t="inlineStr">
        <is>
          <t>Christ's Thousand Year Reign begins</t>
        </is>
      </c>
      <c r="L1897" s="2" t="n"/>
      <c r="M1897" s="7" t="inlineStr">
        <is>
          <t>With all wickedness gone, mankind enters Christ's Millennial Reign. Jesus and his 144,000 corulers will progressively undo the damage done to humans and the earth, fulfilling the promise of 'new heavens and a new earth.'</t>
        </is>
      </c>
      <c r="N1897" s="7" t="inlineStr">
        <is>
          <t>இந்தச் சம்பவங்களெல்லாம் நடந்தேறிய பிறகு, பொல்லாதவர்கள் முற்றிலும் அகற்றப்பட்டிருப்பார்கள்; புதிய சகாப்தத்தில், கிறிஸ்துவின் ஆயிர வருட ஆட்சியில், நாம் அடியெடுத்து வைப்போம்</t>
        </is>
      </c>
      <c r="O1897" s="14" t="inlineStr">
        <is>
          <t>Future</t>
        </is>
      </c>
      <c r="P1897" s="7" t="inlineStr">
        <is>
          <t>future.prophecy</t>
        </is>
      </c>
      <c r="Q1897" s="7" t="inlineStr">
        <is>
          <t>prophecy</t>
        </is>
      </c>
      <c r="R1897" s="7" t="inlineStr">
        <is>
          <t>Jesus Christ</t>
        </is>
      </c>
      <c r="S1897" s="7" t="n"/>
      <c r="T1897" s="7" t="inlineStr">
        <is>
          <t>Rev. 20:4, 6; Ps. 37:10, 11; Isa. 65:17; Isa. 65:21; Isa. 11:6-9; Rev. 21:4</t>
        </is>
      </c>
      <c r="U1897" s="7" t="inlineStr">
        <is>
          <t>வெளி. 20:4, 6; சங். 37:10, 11; ஏசா. 65:17; ஏசா. 65:21; ஏசா. 11:6-9; வெளி. 21:4</t>
        </is>
      </c>
      <c r="V1897" s="7" t="n">
        <v>3</v>
      </c>
      <c r="W1897" s="7" t="inlineStr">
        <is>
          <t>How This World Will Come to an End</t>
        </is>
      </c>
      <c r="X1897" s="9" t="inlineStr">
        <is>
          <t>open</t>
        </is>
      </c>
      <c r="Y1897" s="9" t="inlineStr">
        <is>
          <t>open</t>
        </is>
      </c>
      <c r="Z1897" s="7" t="inlineStr">
        <is>
          <t>https://wol.jw.org/en/wol/d/r1/lp-e/2012681
https://wol.jw.org/en/wol/d/r1/lp-e/2012682
https://wol.jw.org/en/wol/d/r1/lp-e/2022402</t>
        </is>
      </c>
      <c r="AA1897" s="7" t="n">
        <v>3</v>
      </c>
      <c r="AB1897" s="9" t="inlineStr">
        <is>
          <t>open</t>
        </is>
      </c>
      <c r="AC1897" s="7" t="n">
        <v>0</v>
      </c>
      <c r="AD1897" s="7" t="n"/>
      <c r="AE1897" s="7" t="n"/>
      <c r="AF1897" s="7" t="n"/>
      <c r="AG1897" s="7" t="n"/>
      <c r="AH1897" s="7" t="n"/>
      <c r="AI1897" s="7" t="inlineStr">
        <is>
          <t>Span endpoint – keep</t>
        </is>
      </c>
      <c r="AJ1897" s="7" t="inlineStr">
        <is>
          <t>start of Christ’s Thousand Year Reign (b12-0121)</t>
        </is>
      </c>
      <c r="AK1897" s="7" t="n"/>
      <c r="AL1897" s="7" t="n"/>
      <c r="AM1897" s="7" t="n">
        <v>100012</v>
      </c>
      <c r="AN1897" s="10" t="n"/>
      <c r="AO1897" s="10" t="n"/>
      <c r="AP1897" s="10" t="n"/>
      <c r="AQ1897" s="10" t="n"/>
    </row>
    <row r="1898">
      <c r="A1898" s="7" t="inlineStr">
        <is>
          <t>b12-0121</t>
        </is>
      </c>
      <c r="B1898" s="11" t="inlineStr">
        <is>
          <t>Span</t>
        </is>
      </c>
      <c r="C1898" s="7" t="inlineStr">
        <is>
          <t>prophetic period</t>
        </is>
      </c>
      <c r="D1898" s="7" t="inlineStr">
        <is>
          <t>Future (undated)</t>
        </is>
      </c>
      <c r="E1898" s="7" t="n"/>
      <c r="F1898" s="7" t="n"/>
      <c r="G1898" s="7" t="inlineStr">
        <is>
          <t>Future (undated)</t>
        </is>
      </c>
      <c r="H1898" s="7" t="n"/>
      <c r="I1898" s="7" t="inlineStr">
        <is>
          <t>Future (undated)</t>
        </is>
      </c>
      <c r="J1898" s="7" t="inlineStr">
        <is>
          <t>1,000 years</t>
        </is>
      </c>
      <c r="K1898" s="2" t="inlineStr">
        <is>
          <t>Christ’s Thousand Year Reign</t>
        </is>
      </c>
      <c r="L1898" s="2" t="n"/>
      <c r="M1898" s="7" t="inlineStr">
        <is>
          <t>Jesus Christ and his 144,000 corulers will rule over the earth for a thousand years, raising the dead and bringing obedient mankind to perfection, after which Christ hands the Kingdom back to his Father.</t>
        </is>
      </c>
      <c r="N1898" s="7" t="inlineStr">
        <is>
          <t>நீ தியான, கனிவான ஒரு ராஜா ஆட்சி செய்யப்போகிறார்! தனது பலம்படைத்த அரசாங்கத்தின் மூலம் ஆயிரம் வருடங்களுக்கு நல்ல நல்ல காரியங்களைச் செய்யப்போகிறார்! அப்படிப்பட்ட இனிய எதிர்பார்ப்புகள் ‘திரள் கூட்டமான மக்களுக்கு’ காத்திருக்கின்றன.</t>
        </is>
      </c>
      <c r="O1898" s="14" t="inlineStr">
        <is>
          <t>Future</t>
        </is>
      </c>
      <c r="P1898" s="7" t="inlineStr">
        <is>
          <t>future.prophecy</t>
        </is>
      </c>
      <c r="Q1898" s="7" t="n"/>
      <c r="R1898" s="7" t="n"/>
      <c r="S1898" s="7" t="n"/>
      <c r="T1898" s="7" t="inlineStr">
        <is>
          <t>Rev. 20:4-6; 1 Cor. 15:24-28</t>
        </is>
      </c>
      <c r="U1898" s="7" t="inlineStr">
        <is>
          <t>வெளி. 20:4-6; 1 கொ. 15:24-28</t>
        </is>
      </c>
      <c r="V1898" s="7" t="n">
        <v>4</v>
      </c>
      <c r="W1898" s="7" t="inlineStr">
        <is>
          <t>How This World Will Come to an End</t>
        </is>
      </c>
      <c r="X1898" s="9" t="inlineStr">
        <is>
          <t>open</t>
        </is>
      </c>
      <c r="Y1898" s="9" t="inlineStr">
        <is>
          <t>open</t>
        </is>
      </c>
      <c r="Z1898" s="7" t="inlineStr">
        <is>
          <t>https://wol.jw.org/en/wol/d/r1/lp-e/2012681
https://wol.jw.org/en/wol/d/r1/lp-e/2012682
https://wol.jw.org/en/wol/d/r1/lp-e/2012682
https://wol.jw.org/en/wol/d/r1/lp-e/1102017192</t>
        </is>
      </c>
      <c r="AA1898" s="7" t="n">
        <v>0</v>
      </c>
      <c r="AB1898" s="7" t="n"/>
      <c r="AC1898" s="7" t="n">
        <v>0</v>
      </c>
      <c r="AD1898" s="7" t="n"/>
      <c r="AE1898" s="7" t="n"/>
      <c r="AF1898" s="7" t="inlineStr">
        <is>
          <t>b10-0020</t>
        </is>
      </c>
      <c r="AG1898" s="7" t="inlineStr">
        <is>
          <t>b10-0023</t>
        </is>
      </c>
      <c r="AH1898" s="7" t="n"/>
      <c r="AI1898" s="7" t="n"/>
      <c r="AJ1898" s="7" t="n"/>
      <c r="AK1898" s="7" t="n"/>
      <c r="AL1898" s="7" t="n"/>
      <c r="AM1898" s="7" t="n">
        <v>100012</v>
      </c>
      <c r="AN1898" s="10" t="n"/>
      <c r="AO1898" s="10" t="n"/>
      <c r="AP1898" s="10" t="n"/>
      <c r="AQ1898" s="10" t="n"/>
    </row>
    <row r="1899">
      <c r="A1899" s="7" t="inlineStr">
        <is>
          <t>b10-0021</t>
        </is>
      </c>
      <c r="B1899" s="7" t="inlineStr">
        <is>
          <t>Point</t>
        </is>
      </c>
      <c r="C1899" s="7" t="n"/>
      <c r="D1899" s="7" t="inlineStr">
        <is>
          <t>Future (undated)</t>
        </is>
      </c>
      <c r="E1899" s="7" t="n"/>
      <c r="F1899" s="7" t="n"/>
      <c r="G1899" s="7" t="inlineStr">
        <is>
          <t>Future (undated)</t>
        </is>
      </c>
      <c r="H1899" s="7" t="n"/>
      <c r="I1899" s="7" t="n"/>
      <c r="J1899" s="7" t="n"/>
      <c r="K1899" s="2" t="inlineStr">
        <is>
          <t>Earthly resurrection of the righteous and the unrighteous</t>
        </is>
      </c>
      <c r="L1899" s="2" t="n"/>
      <c r="M1899" s="7" t="inlineStr">
        <is>
          <t>During the Thousand Year Reign, billions will be raised to life on earth: 'the righteous,' whose names are already in the book of life ('a resurrection of life'), and 'the unrighteous' ('a resurrection of judgment'), who will be taught Jehovah's standards in a vast educational program.</t>
        </is>
      </c>
      <c r="N1899" s="7" t="inlineStr">
        <is>
          <t>இறந்துபோன கோடிக்கணக்கான மக்களை இயேசு தன்னுடைய ஆயிர வருஷ ஆட்சியின்போது உயிர்த்தெழுப்புவார்.</t>
        </is>
      </c>
      <c r="O1899" s="14" t="inlineStr">
        <is>
          <t>Future</t>
        </is>
      </c>
      <c r="P1899" s="7" t="inlineStr">
        <is>
          <t>future.prophecy</t>
        </is>
      </c>
      <c r="Q1899" s="7" t="inlineStr">
        <is>
          <t>resurrection</t>
        </is>
      </c>
      <c r="R1899" s="7" t="n"/>
      <c r="S1899" s="7" t="n"/>
      <c r="T1899" s="7" t="inlineStr">
        <is>
          <t>Acts 24:15; John 5:28, 29; 1 Cor. 15:26; Mark 5:38-42; Luke 7:11-17; Luke 23:43; Rev. 20:13</t>
        </is>
      </c>
      <c r="U1899" s="7" t="inlineStr">
        <is>
          <t>அப். 24:15; யோவா. 5:28, 29; 1 கொ. 15:26; மாற். 5:38-42; லூக். 23:43</t>
        </is>
      </c>
      <c r="V1899" s="7" t="n">
        <v>4</v>
      </c>
      <c r="W1899" s="7" t="inlineStr">
        <is>
          <t>Is Your Name in “the Book of Life”?</t>
        </is>
      </c>
      <c r="X1899" s="9" t="inlineStr">
        <is>
          <t>open</t>
        </is>
      </c>
      <c r="Y1899" s="9" t="inlineStr">
        <is>
          <t>open</t>
        </is>
      </c>
      <c r="Z1899" s="7" t="inlineStr">
        <is>
          <t>https://wol.jw.org/en/wol/d/r1/lp-e/2022567
https://wol.jw.org/en/wol/d/r1/lp-e/1102017192
https://wol.jw.org/en/wol/d/r1/lp-e/2012682
https://wol.jw.org/en/wol/d/r1/lp-e/1200003709</t>
        </is>
      </c>
      <c r="AA1899" s="7" t="n">
        <v>2</v>
      </c>
      <c r="AB1899" s="9" t="inlineStr">
        <is>
          <t>open</t>
        </is>
      </c>
      <c r="AC1899" s="7" t="n">
        <v>1</v>
      </c>
      <c r="AD1899" s="7" t="inlineStr">
        <is>
          <t>Insight 'Resurrection' explains John 5:29 as referring to deeds done during the judgment period after resurrection; the newer w22 September (par. 14-16) clarifies that the deeds were done before death: 'resurrection of life' = the righteous, 'resurrection of judgment' = the unrighteous. Newer publication followed.</t>
        </is>
      </c>
      <c r="AE1899" s="7" t="n"/>
      <c r="AF1899" s="7" t="n"/>
      <c r="AG1899" s="7" t="n"/>
      <c r="AH1899" s="7" t="n"/>
      <c r="AI1899" s="7" t="n"/>
      <c r="AJ1899" s="7" t="n"/>
      <c r="AK1899" s="7" t="n"/>
      <c r="AL1899" s="7" t="n"/>
      <c r="AM1899" s="7" t="n">
        <v>100013</v>
      </c>
      <c r="AN1899" s="10" t="n"/>
      <c r="AO1899" s="10" t="n"/>
      <c r="AP1899" s="10" t="n"/>
      <c r="AQ1899" s="10" t="n"/>
    </row>
    <row r="1900">
      <c r="A1900" s="7" t="inlineStr">
        <is>
          <t>b10-0022</t>
        </is>
      </c>
      <c r="B1900" s="7" t="inlineStr">
        <is>
          <t>Point</t>
        </is>
      </c>
      <c r="C1900" s="7" t="n"/>
      <c r="D1900" s="7" t="inlineStr">
        <is>
          <t>Future (undated)</t>
        </is>
      </c>
      <c r="E1900" s="7" t="n"/>
      <c r="F1900" s="7" t="n"/>
      <c r="G1900" s="7" t="inlineStr">
        <is>
          <t>Future (undated)</t>
        </is>
      </c>
      <c r="H1900" s="7" t="n"/>
      <c r="I1900" s="7" t="n"/>
      <c r="J1900" s="7" t="n"/>
      <c r="K1900" s="2" t="inlineStr">
        <is>
          <t>New scrolls opened; the resurrected judged by their deeds</t>
        </is>
      </c>
      <c r="L1900" s="2" t="n"/>
      <c r="M1900" s="7" t="inlineStr">
        <is>
          <t>During the 1,000 years new scrolls will be opened, and all resurrected ones, righteous and unrighteous, must obey the laws written in them. They are judged according to their deeds in response to this new-world training, not by deeds done before death.</t>
        </is>
      </c>
      <c r="N1900" s="7" t="inlineStr">
        <is>
          <t>ஆயிர வருஷ ஆட்சியில் புதிய சுருள்கள் திறக்கப்படும். உயிர்த்தெழுந்து வருபவர்கள் நீதிமான்களாக இருந்தாலும் சரி, அநீதிமான்களாக இருந்தாலும் சரி, அந்தச் சுருள்களில் இருக்கிற சட்டங்களுக்குக் கீழ்ப்படிய வேண்டும்.</t>
        </is>
      </c>
      <c r="O1900" s="14" t="inlineStr">
        <is>
          <t>Future</t>
        </is>
      </c>
      <c r="P1900" s="7" t="inlineStr">
        <is>
          <t>future.prophecy</t>
        </is>
      </c>
      <c r="Q1900" s="7" t="inlineStr">
        <is>
          <t>judgment</t>
        </is>
      </c>
      <c r="R1900" s="7" t="n"/>
      <c r="S1900" s="7" t="n"/>
      <c r="T1900" s="7" t="inlineStr">
        <is>
          <t>Rev. 20:12, 13; Rom. 6:7</t>
        </is>
      </c>
      <c r="U1900" s="7" t="inlineStr">
        <is>
          <t>வெளி. 20:12, 13</t>
        </is>
      </c>
      <c r="V1900" s="7" t="n">
        <v>3</v>
      </c>
      <c r="W1900" s="7" t="inlineStr">
        <is>
          <t>Is Your Name in “the Book of Life”?</t>
        </is>
      </c>
      <c r="X1900" s="9" t="inlineStr">
        <is>
          <t>open</t>
        </is>
      </c>
      <c r="Y1900" s="9" t="inlineStr">
        <is>
          <t>open</t>
        </is>
      </c>
      <c r="Z1900" s="7" t="inlineStr">
        <is>
          <t>https://wol.jw.org/en/wol/d/r1/lp-e/2022567
https://wol.jw.org/en/wol/d/r1/lp-e/1200003709
https://wol.jw.org/en/wol/d/r1/lp-e/1200002547</t>
        </is>
      </c>
      <c r="AA1900" s="7" t="n">
        <v>1</v>
      </c>
      <c r="AB1900" s="9" t="inlineStr">
        <is>
          <t>open</t>
        </is>
      </c>
      <c r="AC1900" s="7" t="n">
        <v>0</v>
      </c>
      <c r="AD1900" s="7" t="n"/>
      <c r="AE1900" s="7" t="n"/>
      <c r="AF1900" s="7" t="n"/>
      <c r="AG1900" s="7" t="n"/>
      <c r="AH1900" s="7" t="n"/>
      <c r="AI1900" s="7" t="n"/>
      <c r="AJ1900" s="7" t="n"/>
      <c r="AK1900" s="7" t="n"/>
      <c r="AL1900" s="7" t="n"/>
      <c r="AM1900" s="7" t="n">
        <v>100014</v>
      </c>
      <c r="AN1900" s="10" t="n"/>
      <c r="AO1900" s="10" t="n"/>
      <c r="AP1900" s="10" t="n"/>
      <c r="AQ1900" s="10" t="n"/>
    </row>
    <row r="1901">
      <c r="A1901" s="7" t="inlineStr">
        <is>
          <t>b10-0023</t>
        </is>
      </c>
      <c r="B1901" s="7" t="inlineStr">
        <is>
          <t>Point</t>
        </is>
      </c>
      <c r="C1901" s="7" t="n"/>
      <c r="D1901" s="7" t="inlineStr">
        <is>
          <t>Future (undated)</t>
        </is>
      </c>
      <c r="E1901" s="7" t="n"/>
      <c r="F1901" s="7" t="n"/>
      <c r="G1901" s="7" t="inlineStr">
        <is>
          <t>Future (undated)</t>
        </is>
      </c>
      <c r="H1901" s="7" t="n"/>
      <c r="I1901" s="7" t="n"/>
      <c r="J1901" s="7" t="n"/>
      <c r="K1901" s="2" t="inlineStr">
        <is>
          <t>Christ hands the Kingdom back to his God and Father</t>
        </is>
      </c>
      <c r="L1901" s="2" t="n"/>
      <c r="M1901" s="7" t="inlineStr">
        <is>
          <t>At the end of the thousand years, when mankind is perfect and the earth a Paradise, Jesus and his 144,000 corulers will humbly hand over the Kingdom to Jehovah, so that God may be 'all things to everyone.'</t>
        </is>
      </c>
      <c r="N1901" s="7" t="inlineStr">
        <is>
          <t>இயேசுவும் அவரோடு சேர்ந்து ஆட்சி செய்யும் 1,44,000 பேரும் மிகச் சிறந்த விதத்தில் மனத்தாழ்மையைக் காட்டுவார்கள். ஆம், அவர்கள் அரசாங்கத்தை யெகோவாவிடம் ஒப்படைப்பார்கள்.</t>
        </is>
      </c>
      <c r="O1901" s="14" t="inlineStr">
        <is>
          <t>Future</t>
        </is>
      </c>
      <c r="P1901" s="7" t="inlineStr">
        <is>
          <t>future.prophecy</t>
        </is>
      </c>
      <c r="Q1901" s="7" t="inlineStr">
        <is>
          <t>prophecy</t>
        </is>
      </c>
      <c r="R1901" s="7" t="inlineStr">
        <is>
          <t>Jesus Christ; Jehovah</t>
        </is>
      </c>
      <c r="S1901" s="7" t="n"/>
      <c r="T1901" s="7" t="inlineStr">
        <is>
          <t>1 Cor. 15:24-28; Matt. 28:18; Phil. 2:9-11</t>
        </is>
      </c>
      <c r="U1901" s="7" t="inlineStr">
        <is>
          <t>மத். 28:18; பிலி. 2:9-11</t>
        </is>
      </c>
      <c r="V1901" s="7" t="n">
        <v>2</v>
      </c>
      <c r="W1901" s="7" t="inlineStr">
        <is>
          <t>“Worship God”</t>
        </is>
      </c>
      <c r="X1901" s="9" t="inlineStr">
        <is>
          <t>open</t>
        </is>
      </c>
      <c r="Y1901" s="9" t="inlineStr">
        <is>
          <t>open</t>
        </is>
      </c>
      <c r="Z1901" s="7" t="inlineStr">
        <is>
          <t>https://wol.jw.org/en/wol/d/r1/lp-e/1102017192
https://wol.jw.org/en/wol/d/r1/lp-e/2012682</t>
        </is>
      </c>
      <c r="AA1901" s="7" t="n">
        <v>2</v>
      </c>
      <c r="AB1901" s="9" t="inlineStr">
        <is>
          <t>open</t>
        </is>
      </c>
      <c r="AC1901" s="7" t="n">
        <v>0</v>
      </c>
      <c r="AD1901" s="7" t="n"/>
      <c r="AE1901" s="7" t="n"/>
      <c r="AF1901" s="7" t="n"/>
      <c r="AG1901" s="7" t="n"/>
      <c r="AH1901" s="7" t="n"/>
      <c r="AI1901" s="7" t="inlineStr">
        <is>
          <t>Span endpoint – keep</t>
        </is>
      </c>
      <c r="AJ1901" s="7" t="inlineStr">
        <is>
          <t>end of Christ’s Thousand Year Reign (b12-0121)</t>
        </is>
      </c>
      <c r="AK1901" s="7" t="n"/>
      <c r="AL1901" s="7" t="inlineStr">
        <is>
          <t>The batch request listed this last; rr chap. 22 (par. 20-21) and w12 9/15 (par. 18-19) both place the handing over of the Kingdom at the end of the Millennium, before Satan's release and the final test, so the source order is kept.</t>
        </is>
      </c>
      <c r="AM1901" s="7" t="n">
        <v>100015</v>
      </c>
      <c r="AN1901" s="10" t="n"/>
      <c r="AO1901" s="10" t="n"/>
      <c r="AP1901" s="10" t="n"/>
      <c r="AQ1901" s="10" t="n"/>
    </row>
    <row r="1902">
      <c r="A1902" s="7" t="inlineStr">
        <is>
          <t>b10-0024</t>
        </is>
      </c>
      <c r="B1902" s="7" t="inlineStr">
        <is>
          <t>Point</t>
        </is>
      </c>
      <c r="C1902" s="7" t="n"/>
      <c r="D1902" s="7" t="inlineStr">
        <is>
          <t>Future (undated)</t>
        </is>
      </c>
      <c r="E1902" s="7" t="n"/>
      <c r="F1902" s="7" t="n"/>
      <c r="G1902" s="7" t="inlineStr">
        <is>
          <t>Future (undated)</t>
        </is>
      </c>
      <c r="H1902" s="7" t="n"/>
      <c r="I1902" s="7" t="n"/>
      <c r="J1902" s="7" t="n"/>
      <c r="K1902" s="2" t="inlineStr">
        <is>
          <t>Satan released from the abyss; the final test</t>
        </is>
      </c>
      <c r="L1902" s="2" t="n"/>
      <c r="M1902" s="7" t="inlineStr">
        <is>
          <t>After the thousand years, Satan and the demons are released for a brief period to test perfected mankind, most of whom have never had their loyalty tested. Those who rebel are called 'Gog and Magog'; their number, 'as the sand of the sea,' need not be a large proportion of mankind.</t>
        </is>
      </c>
      <c r="N1902" s="7" t="inlineStr">
        <is>
          <t>ஆயிரம் வருஷங்களாகக் கட்டி வைக்கப்பட்டிருந்த சாத்தானையும் பேய்களையும் அதலபாதாளத்திலிருந்து விடுதலை செய்யும்படி அவர் கட்டளையிடுவார்.</t>
        </is>
      </c>
      <c r="O1902" s="14" t="inlineStr">
        <is>
          <t>Future</t>
        </is>
      </c>
      <c r="P1902" s="7" t="inlineStr">
        <is>
          <t>future.prophecy</t>
        </is>
      </c>
      <c r="Q1902" s="7" t="inlineStr">
        <is>
          <t>prophecy</t>
        </is>
      </c>
      <c r="R1902" s="7" t="inlineStr">
        <is>
          <t>Satan</t>
        </is>
      </c>
      <c r="S1902" s="7" t="n"/>
      <c r="T1902" s="7" t="inlineStr">
        <is>
          <t>Rev. 20:3; Rev. 20:7-9; Job 1:9, 10; Gen. 22:17, 18</t>
        </is>
      </c>
      <c r="U1902" s="7" t="inlineStr">
        <is>
          <t>யோபு 1:9, 10; ஆதி. 22:17, 18</t>
        </is>
      </c>
      <c r="V1902" s="7" t="n">
        <v>2</v>
      </c>
      <c r="W1902" s="7" t="inlineStr">
        <is>
          <t>“Worship God”</t>
        </is>
      </c>
      <c r="X1902" s="9" t="inlineStr">
        <is>
          <t>open</t>
        </is>
      </c>
      <c r="Y1902" s="9" t="inlineStr">
        <is>
          <t>open</t>
        </is>
      </c>
      <c r="Z1902" s="7" t="inlineStr">
        <is>
          <t>https://wol.jw.org/en/wol/d/r1/lp-e/1102017192
https://wol.jw.org/en/wol/d/r1/lp-e/2012682</t>
        </is>
      </c>
      <c r="AA1902" s="7" t="n">
        <v>2</v>
      </c>
      <c r="AB1902" s="9" t="inlineStr">
        <is>
          <t>open</t>
        </is>
      </c>
      <c r="AC1902" s="7" t="n">
        <v>0</v>
      </c>
      <c r="AD1902" s="7" t="n"/>
      <c r="AE1902" s="7" t="n"/>
      <c r="AF1902" s="7" t="n"/>
      <c r="AG1902" s="7" t="n"/>
      <c r="AH1902" s="7" t="n"/>
      <c r="AI1902" s="7" t="inlineStr">
        <is>
          <t>Span endpoint – keep</t>
        </is>
      </c>
      <c r="AJ1902" s="7" t="inlineStr">
        <is>
          <t>end of Satan and the demons abyssed for a thousand years (b12-0120)</t>
        </is>
      </c>
      <c r="AK1902" s="7" t="n"/>
      <c r="AL1902" s="7" t="n"/>
      <c r="AM1902" s="7" t="n">
        <v>100016</v>
      </c>
      <c r="AN1902" s="10" t="n"/>
      <c r="AO1902" s="10" t="n"/>
      <c r="AP1902" s="10" t="n"/>
      <c r="AQ1902" s="10" t="n"/>
    </row>
    <row r="1903">
      <c r="A1903" s="7" t="inlineStr">
        <is>
          <t>b10-0025</t>
        </is>
      </c>
      <c r="B1903" s="7" t="inlineStr">
        <is>
          <t>Point</t>
        </is>
      </c>
      <c r="C1903" s="7" t="n"/>
      <c r="D1903" s="7" t="inlineStr">
        <is>
          <t>Future (undated)</t>
        </is>
      </c>
      <c r="E1903" s="7" t="n"/>
      <c r="F1903" s="7" t="n"/>
      <c r="G1903" s="7" t="inlineStr">
        <is>
          <t>Future (undated)</t>
        </is>
      </c>
      <c r="H1903" s="7" t="n"/>
      <c r="I1903" s="7" t="n"/>
      <c r="J1903" s="7" t="n"/>
      <c r="K1903" s="2" t="inlineStr">
        <is>
          <t>Satan, the demons and all rebels destroyed forever</t>
        </is>
      </c>
      <c r="L1903" s="2" t="n"/>
      <c r="M1903" s="7" t="inlineStr">
        <is>
          <t>Those who join the rebellion are quickly wiped out together with Satan and the demons, hurled into 'the lake of fire and sulfur' with no prospect of resurrection. Those who pass the final test have their names permanently written in the book of life, and all creation is united in pure worship.</t>
        </is>
      </c>
      <c r="N1903" s="7" t="inlineStr">
        <is>
          <t>கடைசியில், சாத்தானும் அவனோடு சேர்ந்த பேய்களும் “நெருப்பும் கந்தகமும் எரிகிற ஏரியில்” தள்ளப்படுவார்கள், அதாவது முழுமையாக அழிக்கப்படுவார்கள்.</t>
        </is>
      </c>
      <c r="O1903" s="14" t="inlineStr">
        <is>
          <t>Future</t>
        </is>
      </c>
      <c r="P1903" s="7" t="inlineStr">
        <is>
          <t>future.prophecy</t>
        </is>
      </c>
      <c r="Q1903" s="7" t="inlineStr">
        <is>
          <t>prophecy</t>
        </is>
      </c>
      <c r="R1903" s="7" t="inlineStr">
        <is>
          <t>Satan</t>
        </is>
      </c>
      <c r="S1903" s="7" t="n"/>
      <c r="T1903" s="7" t="inlineStr">
        <is>
          <t>Rev. 20:10; Rev. 20:15; Ps. 99:1-3</t>
        </is>
      </c>
      <c r="U1903" s="7" t="inlineStr">
        <is>
          <t>வெளி. 20:10; வெளி. 20:15</t>
        </is>
      </c>
      <c r="V1903" s="7" t="n">
        <v>3</v>
      </c>
      <c r="W1903" s="7" t="inlineStr">
        <is>
          <t>“Worship God”</t>
        </is>
      </c>
      <c r="X1903" s="9" t="inlineStr">
        <is>
          <t>open</t>
        </is>
      </c>
      <c r="Y1903" s="9" t="inlineStr">
        <is>
          <t>open</t>
        </is>
      </c>
      <c r="Z1903" s="7" t="inlineStr">
        <is>
          <t>https://wol.jw.org/en/wol/d/r1/lp-e/1102017192
https://wol.jw.org/en/wol/d/r1/lp-e/2022401
https://wol.jw.org/en/wol/d/r1/lp-e/2012682</t>
        </is>
      </c>
      <c r="AA1903" s="7" t="n">
        <v>2</v>
      </c>
      <c r="AB1903" s="9" t="inlineStr">
        <is>
          <t>open</t>
        </is>
      </c>
      <c r="AC1903" s="7" t="n">
        <v>0</v>
      </c>
      <c r="AD1903" s="7" t="n"/>
      <c r="AE1903" s="7" t="n"/>
      <c r="AF1903" s="7" t="n"/>
      <c r="AG1903" s="7" t="n"/>
      <c r="AH1903" s="7" t="n"/>
      <c r="AI1903" s="7" t="n"/>
      <c r="AJ1903" s="7" t="n"/>
      <c r="AK1903" s="7" t="inlineStr">
        <is>
          <t>promised-offspring #11 (future_fulfillment)</t>
        </is>
      </c>
      <c r="AL1903" s="7" t="n"/>
      <c r="AM1903" s="7" t="n">
        <v>100017</v>
      </c>
      <c r="AN1903" s="10" t="n"/>
      <c r="AO1903" s="10" t="n"/>
      <c r="AP1903" s="10" t="n"/>
      <c r="AQ1903" s="10" t="n"/>
    </row>
  </sheetData>
  <autoFilter ref="A1:AQ1903"/>
  <dataValidations count="3">
    <dataValidation sqref="AN2:AN1903" showDropDown="0" showInputMessage="0" showErrorMessage="0" allowBlank="1" type="list">
      <formula1>"OK,Fix,Remove,Add Tamil,Duplicate"</formula1>
    </dataValidation>
    <dataValidation sqref="AO2:AO1903" showDropDown="0" showInputMessage="0" showErrorMessage="0" allowBlank="1" type="list">
      <formula1>"1,2,3"</formula1>
    </dataValidation>
    <dataValidation sqref="AP2:AP1903" showDropDown="0" showInputMessage="0" showErrorMessage="0" allowBlank="1" type="list">
      <formula1>"Yes,No"</formula1>
    </dataValidation>
  </dataValidations>
  <hyperlinks>
    <hyperlink xmlns:r="http://schemas.openxmlformats.org/officeDocument/2006/relationships" ref="X2" r:id="rId1"/>
    <hyperlink xmlns:r="http://schemas.openxmlformats.org/officeDocument/2006/relationships" ref="Y2" r:id="rId2"/>
    <hyperlink xmlns:r="http://schemas.openxmlformats.org/officeDocument/2006/relationships" ref="X3" r:id="rId3"/>
    <hyperlink xmlns:r="http://schemas.openxmlformats.org/officeDocument/2006/relationships" ref="Y3" r:id="rId4"/>
    <hyperlink xmlns:r="http://schemas.openxmlformats.org/officeDocument/2006/relationships" ref="X4" r:id="rId5"/>
    <hyperlink xmlns:r="http://schemas.openxmlformats.org/officeDocument/2006/relationships" ref="Y4" r:id="rId6"/>
    <hyperlink xmlns:r="http://schemas.openxmlformats.org/officeDocument/2006/relationships" ref="X5" r:id="rId7"/>
    <hyperlink xmlns:r="http://schemas.openxmlformats.org/officeDocument/2006/relationships" ref="Y5" r:id="rId8"/>
    <hyperlink xmlns:r="http://schemas.openxmlformats.org/officeDocument/2006/relationships" ref="X6" r:id="rId9"/>
    <hyperlink xmlns:r="http://schemas.openxmlformats.org/officeDocument/2006/relationships" ref="Y6" r:id="rId10"/>
    <hyperlink xmlns:r="http://schemas.openxmlformats.org/officeDocument/2006/relationships" ref="X7" r:id="rId11"/>
    <hyperlink xmlns:r="http://schemas.openxmlformats.org/officeDocument/2006/relationships" ref="Y7" r:id="rId12"/>
    <hyperlink xmlns:r="http://schemas.openxmlformats.org/officeDocument/2006/relationships" ref="X8" r:id="rId13"/>
    <hyperlink xmlns:r="http://schemas.openxmlformats.org/officeDocument/2006/relationships" ref="X9" r:id="rId14"/>
    <hyperlink xmlns:r="http://schemas.openxmlformats.org/officeDocument/2006/relationships" ref="X10" r:id="rId15"/>
    <hyperlink xmlns:r="http://schemas.openxmlformats.org/officeDocument/2006/relationships" ref="Y10" r:id="rId16"/>
    <hyperlink xmlns:r="http://schemas.openxmlformats.org/officeDocument/2006/relationships" ref="X11" r:id="rId17"/>
    <hyperlink xmlns:r="http://schemas.openxmlformats.org/officeDocument/2006/relationships" ref="Y11" r:id="rId18"/>
    <hyperlink xmlns:r="http://schemas.openxmlformats.org/officeDocument/2006/relationships" ref="X12" r:id="rId19"/>
    <hyperlink xmlns:r="http://schemas.openxmlformats.org/officeDocument/2006/relationships" ref="Y12" r:id="rId20"/>
    <hyperlink xmlns:r="http://schemas.openxmlformats.org/officeDocument/2006/relationships" ref="X13" r:id="rId21"/>
    <hyperlink xmlns:r="http://schemas.openxmlformats.org/officeDocument/2006/relationships" ref="Y13" r:id="rId22"/>
    <hyperlink xmlns:r="http://schemas.openxmlformats.org/officeDocument/2006/relationships" ref="X14" r:id="rId23"/>
    <hyperlink xmlns:r="http://schemas.openxmlformats.org/officeDocument/2006/relationships" ref="Y14" r:id="rId24"/>
    <hyperlink xmlns:r="http://schemas.openxmlformats.org/officeDocument/2006/relationships" ref="X15" r:id="rId25"/>
    <hyperlink xmlns:r="http://schemas.openxmlformats.org/officeDocument/2006/relationships" ref="Y15" r:id="rId26"/>
    <hyperlink xmlns:r="http://schemas.openxmlformats.org/officeDocument/2006/relationships" ref="X16" r:id="rId27"/>
    <hyperlink xmlns:r="http://schemas.openxmlformats.org/officeDocument/2006/relationships" ref="Y16" r:id="rId28"/>
    <hyperlink xmlns:r="http://schemas.openxmlformats.org/officeDocument/2006/relationships" ref="X17" r:id="rId29"/>
    <hyperlink xmlns:r="http://schemas.openxmlformats.org/officeDocument/2006/relationships" ref="X18" r:id="rId30"/>
    <hyperlink xmlns:r="http://schemas.openxmlformats.org/officeDocument/2006/relationships" ref="Y18" r:id="rId31"/>
    <hyperlink xmlns:r="http://schemas.openxmlformats.org/officeDocument/2006/relationships" ref="X19" r:id="rId32"/>
    <hyperlink xmlns:r="http://schemas.openxmlformats.org/officeDocument/2006/relationships" ref="Y19" r:id="rId33"/>
    <hyperlink xmlns:r="http://schemas.openxmlformats.org/officeDocument/2006/relationships" ref="X20" r:id="rId34"/>
    <hyperlink xmlns:r="http://schemas.openxmlformats.org/officeDocument/2006/relationships" ref="X21" r:id="rId35"/>
    <hyperlink xmlns:r="http://schemas.openxmlformats.org/officeDocument/2006/relationships" ref="Y21" r:id="rId36"/>
    <hyperlink xmlns:r="http://schemas.openxmlformats.org/officeDocument/2006/relationships" ref="X22" r:id="rId37"/>
    <hyperlink xmlns:r="http://schemas.openxmlformats.org/officeDocument/2006/relationships" ref="Y22" r:id="rId38"/>
    <hyperlink xmlns:r="http://schemas.openxmlformats.org/officeDocument/2006/relationships" ref="X23" r:id="rId39"/>
    <hyperlink xmlns:r="http://schemas.openxmlformats.org/officeDocument/2006/relationships" ref="X24" r:id="rId40"/>
    <hyperlink xmlns:r="http://schemas.openxmlformats.org/officeDocument/2006/relationships" ref="Y24" r:id="rId41"/>
    <hyperlink xmlns:r="http://schemas.openxmlformats.org/officeDocument/2006/relationships" ref="X25" r:id="rId42"/>
    <hyperlink xmlns:r="http://schemas.openxmlformats.org/officeDocument/2006/relationships" ref="Y25" r:id="rId43"/>
    <hyperlink xmlns:r="http://schemas.openxmlformats.org/officeDocument/2006/relationships" ref="X26" r:id="rId44"/>
    <hyperlink xmlns:r="http://schemas.openxmlformats.org/officeDocument/2006/relationships" ref="Y26" r:id="rId45"/>
    <hyperlink xmlns:r="http://schemas.openxmlformats.org/officeDocument/2006/relationships" ref="X27" r:id="rId46"/>
    <hyperlink xmlns:r="http://schemas.openxmlformats.org/officeDocument/2006/relationships" ref="Y27" r:id="rId47"/>
    <hyperlink xmlns:r="http://schemas.openxmlformats.org/officeDocument/2006/relationships" ref="X28" r:id="rId48"/>
    <hyperlink xmlns:r="http://schemas.openxmlformats.org/officeDocument/2006/relationships" ref="X29" r:id="rId49"/>
    <hyperlink xmlns:r="http://schemas.openxmlformats.org/officeDocument/2006/relationships" ref="X30" r:id="rId50"/>
    <hyperlink xmlns:r="http://schemas.openxmlformats.org/officeDocument/2006/relationships" ref="Y30" r:id="rId51"/>
    <hyperlink xmlns:r="http://schemas.openxmlformats.org/officeDocument/2006/relationships" ref="X31" r:id="rId52"/>
    <hyperlink xmlns:r="http://schemas.openxmlformats.org/officeDocument/2006/relationships" ref="Y31" r:id="rId53"/>
    <hyperlink xmlns:r="http://schemas.openxmlformats.org/officeDocument/2006/relationships" ref="X32" r:id="rId54"/>
    <hyperlink xmlns:r="http://schemas.openxmlformats.org/officeDocument/2006/relationships" ref="X33" r:id="rId55"/>
    <hyperlink xmlns:r="http://schemas.openxmlformats.org/officeDocument/2006/relationships" ref="X34" r:id="rId56"/>
    <hyperlink xmlns:r="http://schemas.openxmlformats.org/officeDocument/2006/relationships" ref="X35" r:id="rId57"/>
    <hyperlink xmlns:r="http://schemas.openxmlformats.org/officeDocument/2006/relationships" ref="X36" r:id="rId58"/>
    <hyperlink xmlns:r="http://schemas.openxmlformats.org/officeDocument/2006/relationships" ref="Y36" r:id="rId59"/>
    <hyperlink xmlns:r="http://schemas.openxmlformats.org/officeDocument/2006/relationships" ref="X37" r:id="rId60"/>
    <hyperlink xmlns:r="http://schemas.openxmlformats.org/officeDocument/2006/relationships" ref="X38" r:id="rId61"/>
    <hyperlink xmlns:r="http://schemas.openxmlformats.org/officeDocument/2006/relationships" ref="X39" r:id="rId62"/>
    <hyperlink xmlns:r="http://schemas.openxmlformats.org/officeDocument/2006/relationships" ref="X40" r:id="rId63"/>
    <hyperlink xmlns:r="http://schemas.openxmlformats.org/officeDocument/2006/relationships" ref="X41" r:id="rId64"/>
    <hyperlink xmlns:r="http://schemas.openxmlformats.org/officeDocument/2006/relationships" ref="X42" r:id="rId65"/>
    <hyperlink xmlns:r="http://schemas.openxmlformats.org/officeDocument/2006/relationships" ref="X43" r:id="rId66"/>
    <hyperlink xmlns:r="http://schemas.openxmlformats.org/officeDocument/2006/relationships" ref="X44" r:id="rId67"/>
    <hyperlink xmlns:r="http://schemas.openxmlformats.org/officeDocument/2006/relationships" ref="X45" r:id="rId68"/>
    <hyperlink xmlns:r="http://schemas.openxmlformats.org/officeDocument/2006/relationships" ref="Y45" r:id="rId69"/>
    <hyperlink xmlns:r="http://schemas.openxmlformats.org/officeDocument/2006/relationships" ref="X46" r:id="rId70"/>
    <hyperlink xmlns:r="http://schemas.openxmlformats.org/officeDocument/2006/relationships" ref="Y46" r:id="rId71"/>
    <hyperlink xmlns:r="http://schemas.openxmlformats.org/officeDocument/2006/relationships" ref="AB46" r:id="rId72"/>
    <hyperlink xmlns:r="http://schemas.openxmlformats.org/officeDocument/2006/relationships" ref="X47" r:id="rId73"/>
    <hyperlink xmlns:r="http://schemas.openxmlformats.org/officeDocument/2006/relationships" ref="Y47" r:id="rId74"/>
    <hyperlink xmlns:r="http://schemas.openxmlformats.org/officeDocument/2006/relationships" ref="X48" r:id="rId75"/>
    <hyperlink xmlns:r="http://schemas.openxmlformats.org/officeDocument/2006/relationships" ref="X49" r:id="rId76"/>
    <hyperlink xmlns:r="http://schemas.openxmlformats.org/officeDocument/2006/relationships" ref="X50" r:id="rId77"/>
    <hyperlink xmlns:r="http://schemas.openxmlformats.org/officeDocument/2006/relationships" ref="X51" r:id="rId78"/>
    <hyperlink xmlns:r="http://schemas.openxmlformats.org/officeDocument/2006/relationships" ref="Y51" r:id="rId79"/>
    <hyperlink xmlns:r="http://schemas.openxmlformats.org/officeDocument/2006/relationships" ref="X52" r:id="rId80"/>
    <hyperlink xmlns:r="http://schemas.openxmlformats.org/officeDocument/2006/relationships" ref="Y52" r:id="rId81"/>
    <hyperlink xmlns:r="http://schemas.openxmlformats.org/officeDocument/2006/relationships" ref="X53" r:id="rId82"/>
    <hyperlink xmlns:r="http://schemas.openxmlformats.org/officeDocument/2006/relationships" ref="Y53" r:id="rId83"/>
    <hyperlink xmlns:r="http://schemas.openxmlformats.org/officeDocument/2006/relationships" ref="X54" r:id="rId84"/>
    <hyperlink xmlns:r="http://schemas.openxmlformats.org/officeDocument/2006/relationships" ref="Y54" r:id="rId85"/>
    <hyperlink xmlns:r="http://schemas.openxmlformats.org/officeDocument/2006/relationships" ref="X55" r:id="rId86"/>
    <hyperlink xmlns:r="http://schemas.openxmlformats.org/officeDocument/2006/relationships" ref="Y55" r:id="rId87"/>
    <hyperlink xmlns:r="http://schemas.openxmlformats.org/officeDocument/2006/relationships" ref="X56" r:id="rId88"/>
    <hyperlink xmlns:r="http://schemas.openxmlformats.org/officeDocument/2006/relationships" ref="Y56" r:id="rId89"/>
    <hyperlink xmlns:r="http://schemas.openxmlformats.org/officeDocument/2006/relationships" ref="X57" r:id="rId90"/>
    <hyperlink xmlns:r="http://schemas.openxmlformats.org/officeDocument/2006/relationships" ref="Y57" r:id="rId91"/>
    <hyperlink xmlns:r="http://schemas.openxmlformats.org/officeDocument/2006/relationships" ref="X58" r:id="rId92"/>
    <hyperlink xmlns:r="http://schemas.openxmlformats.org/officeDocument/2006/relationships" ref="Y58" r:id="rId93"/>
    <hyperlink xmlns:r="http://schemas.openxmlformats.org/officeDocument/2006/relationships" ref="X59" r:id="rId94"/>
    <hyperlink xmlns:r="http://schemas.openxmlformats.org/officeDocument/2006/relationships" ref="Y59" r:id="rId95"/>
    <hyperlink xmlns:r="http://schemas.openxmlformats.org/officeDocument/2006/relationships" ref="X60" r:id="rId96"/>
    <hyperlink xmlns:r="http://schemas.openxmlformats.org/officeDocument/2006/relationships" ref="Y60" r:id="rId97"/>
    <hyperlink xmlns:r="http://schemas.openxmlformats.org/officeDocument/2006/relationships" ref="X61" r:id="rId98"/>
    <hyperlink xmlns:r="http://schemas.openxmlformats.org/officeDocument/2006/relationships" ref="Y61" r:id="rId99"/>
    <hyperlink xmlns:r="http://schemas.openxmlformats.org/officeDocument/2006/relationships" ref="X62" r:id="rId100"/>
    <hyperlink xmlns:r="http://schemas.openxmlformats.org/officeDocument/2006/relationships" ref="Y62" r:id="rId101"/>
    <hyperlink xmlns:r="http://schemas.openxmlformats.org/officeDocument/2006/relationships" ref="X63" r:id="rId102"/>
    <hyperlink xmlns:r="http://schemas.openxmlformats.org/officeDocument/2006/relationships" ref="X64" r:id="rId103"/>
    <hyperlink xmlns:r="http://schemas.openxmlformats.org/officeDocument/2006/relationships" ref="Y64" r:id="rId104"/>
    <hyperlink xmlns:r="http://schemas.openxmlformats.org/officeDocument/2006/relationships" ref="X65" r:id="rId105"/>
    <hyperlink xmlns:r="http://schemas.openxmlformats.org/officeDocument/2006/relationships" ref="Y65" r:id="rId106"/>
    <hyperlink xmlns:r="http://schemas.openxmlformats.org/officeDocument/2006/relationships" ref="X66" r:id="rId107"/>
    <hyperlink xmlns:r="http://schemas.openxmlformats.org/officeDocument/2006/relationships" ref="Y66" r:id="rId108"/>
    <hyperlink xmlns:r="http://schemas.openxmlformats.org/officeDocument/2006/relationships" ref="X67" r:id="rId109"/>
    <hyperlink xmlns:r="http://schemas.openxmlformats.org/officeDocument/2006/relationships" ref="Y67" r:id="rId110"/>
    <hyperlink xmlns:r="http://schemas.openxmlformats.org/officeDocument/2006/relationships" ref="X68" r:id="rId111"/>
    <hyperlink xmlns:r="http://schemas.openxmlformats.org/officeDocument/2006/relationships" ref="X69" r:id="rId112"/>
    <hyperlink xmlns:r="http://schemas.openxmlformats.org/officeDocument/2006/relationships" ref="Y69" r:id="rId113"/>
    <hyperlink xmlns:r="http://schemas.openxmlformats.org/officeDocument/2006/relationships" ref="X70" r:id="rId114"/>
    <hyperlink xmlns:r="http://schemas.openxmlformats.org/officeDocument/2006/relationships" ref="Y70" r:id="rId115"/>
    <hyperlink xmlns:r="http://schemas.openxmlformats.org/officeDocument/2006/relationships" ref="AB70" r:id="rId116"/>
    <hyperlink xmlns:r="http://schemas.openxmlformats.org/officeDocument/2006/relationships" ref="X71" r:id="rId117"/>
    <hyperlink xmlns:r="http://schemas.openxmlformats.org/officeDocument/2006/relationships" ref="Y71" r:id="rId118"/>
    <hyperlink xmlns:r="http://schemas.openxmlformats.org/officeDocument/2006/relationships" ref="X72" r:id="rId119"/>
    <hyperlink xmlns:r="http://schemas.openxmlformats.org/officeDocument/2006/relationships" ref="Y72" r:id="rId120"/>
    <hyperlink xmlns:r="http://schemas.openxmlformats.org/officeDocument/2006/relationships" ref="X73" r:id="rId121"/>
    <hyperlink xmlns:r="http://schemas.openxmlformats.org/officeDocument/2006/relationships" ref="Y73" r:id="rId122"/>
    <hyperlink xmlns:r="http://schemas.openxmlformats.org/officeDocument/2006/relationships" ref="X74" r:id="rId123"/>
    <hyperlink xmlns:r="http://schemas.openxmlformats.org/officeDocument/2006/relationships" ref="Y74" r:id="rId124"/>
    <hyperlink xmlns:r="http://schemas.openxmlformats.org/officeDocument/2006/relationships" ref="X75" r:id="rId125"/>
    <hyperlink xmlns:r="http://schemas.openxmlformats.org/officeDocument/2006/relationships" ref="Y75" r:id="rId126"/>
    <hyperlink xmlns:r="http://schemas.openxmlformats.org/officeDocument/2006/relationships" ref="X76" r:id="rId127"/>
    <hyperlink xmlns:r="http://schemas.openxmlformats.org/officeDocument/2006/relationships" ref="Y76" r:id="rId128"/>
    <hyperlink xmlns:r="http://schemas.openxmlformats.org/officeDocument/2006/relationships" ref="X77" r:id="rId129"/>
    <hyperlink xmlns:r="http://schemas.openxmlformats.org/officeDocument/2006/relationships" ref="Y77" r:id="rId130"/>
    <hyperlink xmlns:r="http://schemas.openxmlformats.org/officeDocument/2006/relationships" ref="X78" r:id="rId131"/>
    <hyperlink xmlns:r="http://schemas.openxmlformats.org/officeDocument/2006/relationships" ref="Y78" r:id="rId132"/>
    <hyperlink xmlns:r="http://schemas.openxmlformats.org/officeDocument/2006/relationships" ref="X79" r:id="rId133"/>
    <hyperlink xmlns:r="http://schemas.openxmlformats.org/officeDocument/2006/relationships" ref="Y79" r:id="rId134"/>
    <hyperlink xmlns:r="http://schemas.openxmlformats.org/officeDocument/2006/relationships" ref="X80" r:id="rId135"/>
    <hyperlink xmlns:r="http://schemas.openxmlformats.org/officeDocument/2006/relationships" ref="Y80" r:id="rId136"/>
    <hyperlink xmlns:r="http://schemas.openxmlformats.org/officeDocument/2006/relationships" ref="X81" r:id="rId137"/>
    <hyperlink xmlns:r="http://schemas.openxmlformats.org/officeDocument/2006/relationships" ref="Y81" r:id="rId138"/>
    <hyperlink xmlns:r="http://schemas.openxmlformats.org/officeDocument/2006/relationships" ref="X82" r:id="rId139"/>
    <hyperlink xmlns:r="http://schemas.openxmlformats.org/officeDocument/2006/relationships" ref="Y82" r:id="rId140"/>
    <hyperlink xmlns:r="http://schemas.openxmlformats.org/officeDocument/2006/relationships" ref="X83" r:id="rId141"/>
    <hyperlink xmlns:r="http://schemas.openxmlformats.org/officeDocument/2006/relationships" ref="Y83" r:id="rId142"/>
    <hyperlink xmlns:r="http://schemas.openxmlformats.org/officeDocument/2006/relationships" ref="AB83" r:id="rId143"/>
    <hyperlink xmlns:r="http://schemas.openxmlformats.org/officeDocument/2006/relationships" ref="X84" r:id="rId144"/>
    <hyperlink xmlns:r="http://schemas.openxmlformats.org/officeDocument/2006/relationships" ref="AB84" r:id="rId145"/>
    <hyperlink xmlns:r="http://schemas.openxmlformats.org/officeDocument/2006/relationships" ref="X85" r:id="rId146"/>
    <hyperlink xmlns:r="http://schemas.openxmlformats.org/officeDocument/2006/relationships" ref="Y85" r:id="rId147"/>
    <hyperlink xmlns:r="http://schemas.openxmlformats.org/officeDocument/2006/relationships" ref="X86" r:id="rId148"/>
    <hyperlink xmlns:r="http://schemas.openxmlformats.org/officeDocument/2006/relationships" ref="Y86" r:id="rId149"/>
    <hyperlink xmlns:r="http://schemas.openxmlformats.org/officeDocument/2006/relationships" ref="AB86" r:id="rId150"/>
    <hyperlink xmlns:r="http://schemas.openxmlformats.org/officeDocument/2006/relationships" ref="X87" r:id="rId151"/>
    <hyperlink xmlns:r="http://schemas.openxmlformats.org/officeDocument/2006/relationships" ref="Y87" r:id="rId152"/>
    <hyperlink xmlns:r="http://schemas.openxmlformats.org/officeDocument/2006/relationships" ref="AB87" r:id="rId153"/>
    <hyperlink xmlns:r="http://schemas.openxmlformats.org/officeDocument/2006/relationships" ref="X88" r:id="rId154"/>
    <hyperlink xmlns:r="http://schemas.openxmlformats.org/officeDocument/2006/relationships" ref="X89" r:id="rId155"/>
    <hyperlink xmlns:r="http://schemas.openxmlformats.org/officeDocument/2006/relationships" ref="Y89" r:id="rId156"/>
    <hyperlink xmlns:r="http://schemas.openxmlformats.org/officeDocument/2006/relationships" ref="X90" r:id="rId157"/>
    <hyperlink xmlns:r="http://schemas.openxmlformats.org/officeDocument/2006/relationships" ref="Y90" r:id="rId158"/>
    <hyperlink xmlns:r="http://schemas.openxmlformats.org/officeDocument/2006/relationships" ref="X91" r:id="rId159"/>
    <hyperlink xmlns:r="http://schemas.openxmlformats.org/officeDocument/2006/relationships" ref="X92" r:id="rId160"/>
    <hyperlink xmlns:r="http://schemas.openxmlformats.org/officeDocument/2006/relationships" ref="Y92" r:id="rId161"/>
    <hyperlink xmlns:r="http://schemas.openxmlformats.org/officeDocument/2006/relationships" ref="X93" r:id="rId162"/>
    <hyperlink xmlns:r="http://schemas.openxmlformats.org/officeDocument/2006/relationships" ref="Y93" r:id="rId163"/>
    <hyperlink xmlns:r="http://schemas.openxmlformats.org/officeDocument/2006/relationships" ref="X94" r:id="rId164"/>
    <hyperlink xmlns:r="http://schemas.openxmlformats.org/officeDocument/2006/relationships" ref="X95" r:id="rId165"/>
    <hyperlink xmlns:r="http://schemas.openxmlformats.org/officeDocument/2006/relationships" ref="X96" r:id="rId166"/>
    <hyperlink xmlns:r="http://schemas.openxmlformats.org/officeDocument/2006/relationships" ref="Y96" r:id="rId167"/>
    <hyperlink xmlns:r="http://schemas.openxmlformats.org/officeDocument/2006/relationships" ref="X97" r:id="rId168"/>
    <hyperlink xmlns:r="http://schemas.openxmlformats.org/officeDocument/2006/relationships" ref="Y97" r:id="rId169"/>
    <hyperlink xmlns:r="http://schemas.openxmlformats.org/officeDocument/2006/relationships" ref="X98" r:id="rId170"/>
    <hyperlink xmlns:r="http://schemas.openxmlformats.org/officeDocument/2006/relationships" ref="Y98" r:id="rId171"/>
    <hyperlink xmlns:r="http://schemas.openxmlformats.org/officeDocument/2006/relationships" ref="X99" r:id="rId172"/>
    <hyperlink xmlns:r="http://schemas.openxmlformats.org/officeDocument/2006/relationships" ref="Y99" r:id="rId173"/>
    <hyperlink xmlns:r="http://schemas.openxmlformats.org/officeDocument/2006/relationships" ref="X100" r:id="rId174"/>
    <hyperlink xmlns:r="http://schemas.openxmlformats.org/officeDocument/2006/relationships" ref="Y100" r:id="rId175"/>
    <hyperlink xmlns:r="http://schemas.openxmlformats.org/officeDocument/2006/relationships" ref="X101" r:id="rId176"/>
    <hyperlink xmlns:r="http://schemas.openxmlformats.org/officeDocument/2006/relationships" ref="Y101" r:id="rId177"/>
    <hyperlink xmlns:r="http://schemas.openxmlformats.org/officeDocument/2006/relationships" ref="X102" r:id="rId178"/>
    <hyperlink xmlns:r="http://schemas.openxmlformats.org/officeDocument/2006/relationships" ref="Y102" r:id="rId179"/>
    <hyperlink xmlns:r="http://schemas.openxmlformats.org/officeDocument/2006/relationships" ref="X103" r:id="rId180"/>
    <hyperlink xmlns:r="http://schemas.openxmlformats.org/officeDocument/2006/relationships" ref="Y103" r:id="rId181"/>
    <hyperlink xmlns:r="http://schemas.openxmlformats.org/officeDocument/2006/relationships" ref="X104" r:id="rId182"/>
    <hyperlink xmlns:r="http://schemas.openxmlformats.org/officeDocument/2006/relationships" ref="Y104" r:id="rId183"/>
    <hyperlink xmlns:r="http://schemas.openxmlformats.org/officeDocument/2006/relationships" ref="X105" r:id="rId184"/>
    <hyperlink xmlns:r="http://schemas.openxmlformats.org/officeDocument/2006/relationships" ref="X106" r:id="rId185"/>
    <hyperlink xmlns:r="http://schemas.openxmlformats.org/officeDocument/2006/relationships" ref="Y106" r:id="rId186"/>
    <hyperlink xmlns:r="http://schemas.openxmlformats.org/officeDocument/2006/relationships" ref="AB106" r:id="rId187"/>
    <hyperlink xmlns:r="http://schemas.openxmlformats.org/officeDocument/2006/relationships" ref="X107" r:id="rId188"/>
    <hyperlink xmlns:r="http://schemas.openxmlformats.org/officeDocument/2006/relationships" ref="X108" r:id="rId189"/>
    <hyperlink xmlns:r="http://schemas.openxmlformats.org/officeDocument/2006/relationships" ref="X109" r:id="rId190"/>
    <hyperlink xmlns:r="http://schemas.openxmlformats.org/officeDocument/2006/relationships" ref="Y109" r:id="rId191"/>
    <hyperlink xmlns:r="http://schemas.openxmlformats.org/officeDocument/2006/relationships" ref="AB109" r:id="rId192"/>
    <hyperlink xmlns:r="http://schemas.openxmlformats.org/officeDocument/2006/relationships" ref="X110" r:id="rId193"/>
    <hyperlink xmlns:r="http://schemas.openxmlformats.org/officeDocument/2006/relationships" ref="X111" r:id="rId194"/>
    <hyperlink xmlns:r="http://schemas.openxmlformats.org/officeDocument/2006/relationships" ref="X112" r:id="rId195"/>
    <hyperlink xmlns:r="http://schemas.openxmlformats.org/officeDocument/2006/relationships" ref="Y112" r:id="rId196"/>
    <hyperlink xmlns:r="http://schemas.openxmlformats.org/officeDocument/2006/relationships" ref="X113" r:id="rId197"/>
    <hyperlink xmlns:r="http://schemas.openxmlformats.org/officeDocument/2006/relationships" ref="X114" r:id="rId198"/>
    <hyperlink xmlns:r="http://schemas.openxmlformats.org/officeDocument/2006/relationships" ref="Y114" r:id="rId199"/>
    <hyperlink xmlns:r="http://schemas.openxmlformats.org/officeDocument/2006/relationships" ref="X115" r:id="rId200"/>
    <hyperlink xmlns:r="http://schemas.openxmlformats.org/officeDocument/2006/relationships" ref="Y115" r:id="rId201"/>
    <hyperlink xmlns:r="http://schemas.openxmlformats.org/officeDocument/2006/relationships" ref="X116" r:id="rId202"/>
    <hyperlink xmlns:r="http://schemas.openxmlformats.org/officeDocument/2006/relationships" ref="Y116" r:id="rId203"/>
    <hyperlink xmlns:r="http://schemas.openxmlformats.org/officeDocument/2006/relationships" ref="X117" r:id="rId204"/>
    <hyperlink xmlns:r="http://schemas.openxmlformats.org/officeDocument/2006/relationships" ref="Y117" r:id="rId205"/>
    <hyperlink xmlns:r="http://schemas.openxmlformats.org/officeDocument/2006/relationships" ref="AB117" r:id="rId206"/>
    <hyperlink xmlns:r="http://schemas.openxmlformats.org/officeDocument/2006/relationships" ref="X118" r:id="rId207"/>
    <hyperlink xmlns:r="http://schemas.openxmlformats.org/officeDocument/2006/relationships" ref="Y118" r:id="rId208"/>
    <hyperlink xmlns:r="http://schemas.openxmlformats.org/officeDocument/2006/relationships" ref="X119" r:id="rId209"/>
    <hyperlink xmlns:r="http://schemas.openxmlformats.org/officeDocument/2006/relationships" ref="X120" r:id="rId210"/>
    <hyperlink xmlns:r="http://schemas.openxmlformats.org/officeDocument/2006/relationships" ref="X121" r:id="rId211"/>
    <hyperlink xmlns:r="http://schemas.openxmlformats.org/officeDocument/2006/relationships" ref="X122" r:id="rId212"/>
    <hyperlink xmlns:r="http://schemas.openxmlformats.org/officeDocument/2006/relationships" ref="Y122" r:id="rId213"/>
    <hyperlink xmlns:r="http://schemas.openxmlformats.org/officeDocument/2006/relationships" ref="X123" r:id="rId214"/>
    <hyperlink xmlns:r="http://schemas.openxmlformats.org/officeDocument/2006/relationships" ref="Y123" r:id="rId215"/>
    <hyperlink xmlns:r="http://schemas.openxmlformats.org/officeDocument/2006/relationships" ref="X124" r:id="rId216"/>
    <hyperlink xmlns:r="http://schemas.openxmlformats.org/officeDocument/2006/relationships" ref="X125" r:id="rId217"/>
    <hyperlink xmlns:r="http://schemas.openxmlformats.org/officeDocument/2006/relationships" ref="X126" r:id="rId218"/>
    <hyperlink xmlns:r="http://schemas.openxmlformats.org/officeDocument/2006/relationships" ref="X127" r:id="rId219"/>
    <hyperlink xmlns:r="http://schemas.openxmlformats.org/officeDocument/2006/relationships" ref="X128" r:id="rId220"/>
    <hyperlink xmlns:r="http://schemas.openxmlformats.org/officeDocument/2006/relationships" ref="X129" r:id="rId221"/>
    <hyperlink xmlns:r="http://schemas.openxmlformats.org/officeDocument/2006/relationships" ref="Y129" r:id="rId222"/>
    <hyperlink xmlns:r="http://schemas.openxmlformats.org/officeDocument/2006/relationships" ref="X130" r:id="rId223"/>
    <hyperlink xmlns:r="http://schemas.openxmlformats.org/officeDocument/2006/relationships" ref="Y130" r:id="rId224"/>
    <hyperlink xmlns:r="http://schemas.openxmlformats.org/officeDocument/2006/relationships" ref="X131" r:id="rId225"/>
    <hyperlink xmlns:r="http://schemas.openxmlformats.org/officeDocument/2006/relationships" ref="Y131" r:id="rId226"/>
    <hyperlink xmlns:r="http://schemas.openxmlformats.org/officeDocument/2006/relationships" ref="X132" r:id="rId227"/>
    <hyperlink xmlns:r="http://schemas.openxmlformats.org/officeDocument/2006/relationships" ref="Y132" r:id="rId228"/>
    <hyperlink xmlns:r="http://schemas.openxmlformats.org/officeDocument/2006/relationships" ref="X133" r:id="rId229"/>
    <hyperlink xmlns:r="http://schemas.openxmlformats.org/officeDocument/2006/relationships" ref="X134" r:id="rId230"/>
    <hyperlink xmlns:r="http://schemas.openxmlformats.org/officeDocument/2006/relationships" ref="Y134" r:id="rId231"/>
    <hyperlink xmlns:r="http://schemas.openxmlformats.org/officeDocument/2006/relationships" ref="X135" r:id="rId232"/>
    <hyperlink xmlns:r="http://schemas.openxmlformats.org/officeDocument/2006/relationships" ref="X136" r:id="rId233"/>
    <hyperlink xmlns:r="http://schemas.openxmlformats.org/officeDocument/2006/relationships" ref="Y136" r:id="rId234"/>
    <hyperlink xmlns:r="http://schemas.openxmlformats.org/officeDocument/2006/relationships" ref="AB136" r:id="rId235"/>
    <hyperlink xmlns:r="http://schemas.openxmlformats.org/officeDocument/2006/relationships" ref="X137" r:id="rId236"/>
    <hyperlink xmlns:r="http://schemas.openxmlformats.org/officeDocument/2006/relationships" ref="Y137" r:id="rId237"/>
    <hyperlink xmlns:r="http://schemas.openxmlformats.org/officeDocument/2006/relationships" ref="X138" r:id="rId238"/>
    <hyperlink xmlns:r="http://schemas.openxmlformats.org/officeDocument/2006/relationships" ref="X139" r:id="rId239"/>
    <hyperlink xmlns:r="http://schemas.openxmlformats.org/officeDocument/2006/relationships" ref="X140" r:id="rId240"/>
    <hyperlink xmlns:r="http://schemas.openxmlformats.org/officeDocument/2006/relationships" ref="X141" r:id="rId241"/>
    <hyperlink xmlns:r="http://schemas.openxmlformats.org/officeDocument/2006/relationships" ref="AB141" r:id="rId242"/>
    <hyperlink xmlns:r="http://schemas.openxmlformats.org/officeDocument/2006/relationships" ref="X142" r:id="rId243"/>
    <hyperlink xmlns:r="http://schemas.openxmlformats.org/officeDocument/2006/relationships" ref="X143" r:id="rId244"/>
    <hyperlink xmlns:r="http://schemas.openxmlformats.org/officeDocument/2006/relationships" ref="Y143" r:id="rId245"/>
    <hyperlink xmlns:r="http://schemas.openxmlformats.org/officeDocument/2006/relationships" ref="X144" r:id="rId246"/>
    <hyperlink xmlns:r="http://schemas.openxmlformats.org/officeDocument/2006/relationships" ref="Y144" r:id="rId247"/>
    <hyperlink xmlns:r="http://schemas.openxmlformats.org/officeDocument/2006/relationships" ref="AB144" r:id="rId248"/>
    <hyperlink xmlns:r="http://schemas.openxmlformats.org/officeDocument/2006/relationships" ref="X145" r:id="rId249"/>
    <hyperlink xmlns:r="http://schemas.openxmlformats.org/officeDocument/2006/relationships" ref="X146" r:id="rId250"/>
    <hyperlink xmlns:r="http://schemas.openxmlformats.org/officeDocument/2006/relationships" ref="Y146" r:id="rId251"/>
    <hyperlink xmlns:r="http://schemas.openxmlformats.org/officeDocument/2006/relationships" ref="X147" r:id="rId252"/>
    <hyperlink xmlns:r="http://schemas.openxmlformats.org/officeDocument/2006/relationships" ref="Y147" r:id="rId253"/>
    <hyperlink xmlns:r="http://schemas.openxmlformats.org/officeDocument/2006/relationships" ref="X148" r:id="rId254"/>
    <hyperlink xmlns:r="http://schemas.openxmlformats.org/officeDocument/2006/relationships" ref="Y148" r:id="rId255"/>
    <hyperlink xmlns:r="http://schemas.openxmlformats.org/officeDocument/2006/relationships" ref="X149" r:id="rId256"/>
    <hyperlink xmlns:r="http://schemas.openxmlformats.org/officeDocument/2006/relationships" ref="Y149" r:id="rId257"/>
    <hyperlink xmlns:r="http://schemas.openxmlformats.org/officeDocument/2006/relationships" ref="X150" r:id="rId258"/>
    <hyperlink xmlns:r="http://schemas.openxmlformats.org/officeDocument/2006/relationships" ref="X151" r:id="rId259"/>
    <hyperlink xmlns:r="http://schemas.openxmlformats.org/officeDocument/2006/relationships" ref="X152" r:id="rId260"/>
    <hyperlink xmlns:r="http://schemas.openxmlformats.org/officeDocument/2006/relationships" ref="X153" r:id="rId261"/>
    <hyperlink xmlns:r="http://schemas.openxmlformats.org/officeDocument/2006/relationships" ref="Y153" r:id="rId262"/>
    <hyperlink xmlns:r="http://schemas.openxmlformats.org/officeDocument/2006/relationships" ref="X154" r:id="rId263"/>
    <hyperlink xmlns:r="http://schemas.openxmlformats.org/officeDocument/2006/relationships" ref="X155" r:id="rId264"/>
    <hyperlink xmlns:r="http://schemas.openxmlformats.org/officeDocument/2006/relationships" ref="X156" r:id="rId265"/>
    <hyperlink xmlns:r="http://schemas.openxmlformats.org/officeDocument/2006/relationships" ref="X157" r:id="rId266"/>
    <hyperlink xmlns:r="http://schemas.openxmlformats.org/officeDocument/2006/relationships" ref="X158" r:id="rId267"/>
    <hyperlink xmlns:r="http://schemas.openxmlformats.org/officeDocument/2006/relationships" ref="X159" r:id="rId268"/>
    <hyperlink xmlns:r="http://schemas.openxmlformats.org/officeDocument/2006/relationships" ref="X160" r:id="rId269"/>
    <hyperlink xmlns:r="http://schemas.openxmlformats.org/officeDocument/2006/relationships" ref="X161" r:id="rId270"/>
    <hyperlink xmlns:r="http://schemas.openxmlformats.org/officeDocument/2006/relationships" ref="Y161" r:id="rId271"/>
    <hyperlink xmlns:r="http://schemas.openxmlformats.org/officeDocument/2006/relationships" ref="X162" r:id="rId272"/>
    <hyperlink xmlns:r="http://schemas.openxmlformats.org/officeDocument/2006/relationships" ref="X163" r:id="rId273"/>
    <hyperlink xmlns:r="http://schemas.openxmlformats.org/officeDocument/2006/relationships" ref="X164" r:id="rId274"/>
    <hyperlink xmlns:r="http://schemas.openxmlformats.org/officeDocument/2006/relationships" ref="X165" r:id="rId275"/>
    <hyperlink xmlns:r="http://schemas.openxmlformats.org/officeDocument/2006/relationships" ref="X166" r:id="rId276"/>
    <hyperlink xmlns:r="http://schemas.openxmlformats.org/officeDocument/2006/relationships" ref="X167" r:id="rId277"/>
    <hyperlink xmlns:r="http://schemas.openxmlformats.org/officeDocument/2006/relationships" ref="X168" r:id="rId278"/>
    <hyperlink xmlns:r="http://schemas.openxmlformats.org/officeDocument/2006/relationships" ref="X169" r:id="rId279"/>
    <hyperlink xmlns:r="http://schemas.openxmlformats.org/officeDocument/2006/relationships" ref="X170" r:id="rId280"/>
    <hyperlink xmlns:r="http://schemas.openxmlformats.org/officeDocument/2006/relationships" ref="X171" r:id="rId281"/>
    <hyperlink xmlns:r="http://schemas.openxmlformats.org/officeDocument/2006/relationships" ref="Y171" r:id="rId282"/>
    <hyperlink xmlns:r="http://schemas.openxmlformats.org/officeDocument/2006/relationships" ref="X172" r:id="rId283"/>
    <hyperlink xmlns:r="http://schemas.openxmlformats.org/officeDocument/2006/relationships" ref="X173" r:id="rId284"/>
    <hyperlink xmlns:r="http://schemas.openxmlformats.org/officeDocument/2006/relationships" ref="X174" r:id="rId285"/>
    <hyperlink xmlns:r="http://schemas.openxmlformats.org/officeDocument/2006/relationships" ref="Y174" r:id="rId286"/>
    <hyperlink xmlns:r="http://schemas.openxmlformats.org/officeDocument/2006/relationships" ref="X175" r:id="rId287"/>
    <hyperlink xmlns:r="http://schemas.openxmlformats.org/officeDocument/2006/relationships" ref="Y175" r:id="rId288"/>
    <hyperlink xmlns:r="http://schemas.openxmlformats.org/officeDocument/2006/relationships" ref="X176" r:id="rId289"/>
    <hyperlink xmlns:r="http://schemas.openxmlformats.org/officeDocument/2006/relationships" ref="Y176" r:id="rId290"/>
    <hyperlink xmlns:r="http://schemas.openxmlformats.org/officeDocument/2006/relationships" ref="X177" r:id="rId291"/>
    <hyperlink xmlns:r="http://schemas.openxmlformats.org/officeDocument/2006/relationships" ref="Y177" r:id="rId292"/>
    <hyperlink xmlns:r="http://schemas.openxmlformats.org/officeDocument/2006/relationships" ref="X178" r:id="rId293"/>
    <hyperlink xmlns:r="http://schemas.openxmlformats.org/officeDocument/2006/relationships" ref="Y178" r:id="rId294"/>
    <hyperlink xmlns:r="http://schemas.openxmlformats.org/officeDocument/2006/relationships" ref="X179" r:id="rId295"/>
    <hyperlink xmlns:r="http://schemas.openxmlformats.org/officeDocument/2006/relationships" ref="Y179" r:id="rId296"/>
    <hyperlink xmlns:r="http://schemas.openxmlformats.org/officeDocument/2006/relationships" ref="AB179" r:id="rId297"/>
    <hyperlink xmlns:r="http://schemas.openxmlformats.org/officeDocument/2006/relationships" ref="X180" r:id="rId298"/>
    <hyperlink xmlns:r="http://schemas.openxmlformats.org/officeDocument/2006/relationships" ref="Y180" r:id="rId299"/>
    <hyperlink xmlns:r="http://schemas.openxmlformats.org/officeDocument/2006/relationships" ref="X181" r:id="rId300"/>
    <hyperlink xmlns:r="http://schemas.openxmlformats.org/officeDocument/2006/relationships" ref="Y181" r:id="rId301"/>
    <hyperlink xmlns:r="http://schemas.openxmlformats.org/officeDocument/2006/relationships" ref="X182" r:id="rId302"/>
    <hyperlink xmlns:r="http://schemas.openxmlformats.org/officeDocument/2006/relationships" ref="Y182" r:id="rId303"/>
    <hyperlink xmlns:r="http://schemas.openxmlformats.org/officeDocument/2006/relationships" ref="X183" r:id="rId304"/>
    <hyperlink xmlns:r="http://schemas.openxmlformats.org/officeDocument/2006/relationships" ref="Y183" r:id="rId305"/>
    <hyperlink xmlns:r="http://schemas.openxmlformats.org/officeDocument/2006/relationships" ref="X184" r:id="rId306"/>
    <hyperlink xmlns:r="http://schemas.openxmlformats.org/officeDocument/2006/relationships" ref="Y184" r:id="rId307"/>
    <hyperlink xmlns:r="http://schemas.openxmlformats.org/officeDocument/2006/relationships" ref="X185" r:id="rId308"/>
    <hyperlink xmlns:r="http://schemas.openxmlformats.org/officeDocument/2006/relationships" ref="Y185" r:id="rId309"/>
    <hyperlink xmlns:r="http://schemas.openxmlformats.org/officeDocument/2006/relationships" ref="X186" r:id="rId310"/>
    <hyperlink xmlns:r="http://schemas.openxmlformats.org/officeDocument/2006/relationships" ref="Y186" r:id="rId311"/>
    <hyperlink xmlns:r="http://schemas.openxmlformats.org/officeDocument/2006/relationships" ref="X187" r:id="rId312"/>
    <hyperlink xmlns:r="http://schemas.openxmlformats.org/officeDocument/2006/relationships" ref="Y187" r:id="rId313"/>
    <hyperlink xmlns:r="http://schemas.openxmlformats.org/officeDocument/2006/relationships" ref="X188" r:id="rId314"/>
    <hyperlink xmlns:r="http://schemas.openxmlformats.org/officeDocument/2006/relationships" ref="Y188" r:id="rId315"/>
    <hyperlink xmlns:r="http://schemas.openxmlformats.org/officeDocument/2006/relationships" ref="X189" r:id="rId316"/>
    <hyperlink xmlns:r="http://schemas.openxmlformats.org/officeDocument/2006/relationships" ref="X190" r:id="rId317"/>
    <hyperlink xmlns:r="http://schemas.openxmlformats.org/officeDocument/2006/relationships" ref="Y190" r:id="rId318"/>
    <hyperlink xmlns:r="http://schemas.openxmlformats.org/officeDocument/2006/relationships" ref="X191" r:id="rId319"/>
    <hyperlink xmlns:r="http://schemas.openxmlformats.org/officeDocument/2006/relationships" ref="X192" r:id="rId320"/>
    <hyperlink xmlns:r="http://schemas.openxmlformats.org/officeDocument/2006/relationships" ref="X193" r:id="rId321"/>
    <hyperlink xmlns:r="http://schemas.openxmlformats.org/officeDocument/2006/relationships" ref="Y193" r:id="rId322"/>
    <hyperlink xmlns:r="http://schemas.openxmlformats.org/officeDocument/2006/relationships" ref="X194" r:id="rId323"/>
    <hyperlink xmlns:r="http://schemas.openxmlformats.org/officeDocument/2006/relationships" ref="Y194" r:id="rId324"/>
    <hyperlink xmlns:r="http://schemas.openxmlformats.org/officeDocument/2006/relationships" ref="X195" r:id="rId325"/>
    <hyperlink xmlns:r="http://schemas.openxmlformats.org/officeDocument/2006/relationships" ref="Y195" r:id="rId326"/>
    <hyperlink xmlns:r="http://schemas.openxmlformats.org/officeDocument/2006/relationships" ref="AB195" r:id="rId327"/>
    <hyperlink xmlns:r="http://schemas.openxmlformats.org/officeDocument/2006/relationships" ref="X196" r:id="rId328"/>
    <hyperlink xmlns:r="http://schemas.openxmlformats.org/officeDocument/2006/relationships" ref="Y196" r:id="rId329"/>
    <hyperlink xmlns:r="http://schemas.openxmlformats.org/officeDocument/2006/relationships" ref="X197" r:id="rId330"/>
    <hyperlink xmlns:r="http://schemas.openxmlformats.org/officeDocument/2006/relationships" ref="Y197" r:id="rId331"/>
    <hyperlink xmlns:r="http://schemas.openxmlformats.org/officeDocument/2006/relationships" ref="AB197" r:id="rId332"/>
    <hyperlink xmlns:r="http://schemas.openxmlformats.org/officeDocument/2006/relationships" ref="X198" r:id="rId333"/>
    <hyperlink xmlns:r="http://schemas.openxmlformats.org/officeDocument/2006/relationships" ref="Y198" r:id="rId334"/>
    <hyperlink xmlns:r="http://schemas.openxmlformats.org/officeDocument/2006/relationships" ref="X199" r:id="rId335"/>
    <hyperlink xmlns:r="http://schemas.openxmlformats.org/officeDocument/2006/relationships" ref="Y199" r:id="rId336"/>
    <hyperlink xmlns:r="http://schemas.openxmlformats.org/officeDocument/2006/relationships" ref="AB199" r:id="rId337"/>
    <hyperlink xmlns:r="http://schemas.openxmlformats.org/officeDocument/2006/relationships" ref="X200" r:id="rId338"/>
    <hyperlink xmlns:r="http://schemas.openxmlformats.org/officeDocument/2006/relationships" ref="X201" r:id="rId339"/>
    <hyperlink xmlns:r="http://schemas.openxmlformats.org/officeDocument/2006/relationships" ref="X202" r:id="rId340"/>
    <hyperlink xmlns:r="http://schemas.openxmlformats.org/officeDocument/2006/relationships" ref="Y202" r:id="rId341"/>
    <hyperlink xmlns:r="http://schemas.openxmlformats.org/officeDocument/2006/relationships" ref="X203" r:id="rId342"/>
    <hyperlink xmlns:r="http://schemas.openxmlformats.org/officeDocument/2006/relationships" ref="Y203" r:id="rId343"/>
    <hyperlink xmlns:r="http://schemas.openxmlformats.org/officeDocument/2006/relationships" ref="X204" r:id="rId344"/>
    <hyperlink xmlns:r="http://schemas.openxmlformats.org/officeDocument/2006/relationships" ref="Y204" r:id="rId345"/>
    <hyperlink xmlns:r="http://schemas.openxmlformats.org/officeDocument/2006/relationships" ref="AB204" r:id="rId346"/>
    <hyperlink xmlns:r="http://schemas.openxmlformats.org/officeDocument/2006/relationships" ref="X205" r:id="rId347"/>
    <hyperlink xmlns:r="http://schemas.openxmlformats.org/officeDocument/2006/relationships" ref="Y205" r:id="rId348"/>
    <hyperlink xmlns:r="http://schemas.openxmlformats.org/officeDocument/2006/relationships" ref="X206" r:id="rId349"/>
    <hyperlink xmlns:r="http://schemas.openxmlformats.org/officeDocument/2006/relationships" ref="Y206" r:id="rId350"/>
    <hyperlink xmlns:r="http://schemas.openxmlformats.org/officeDocument/2006/relationships" ref="AB206" r:id="rId351"/>
    <hyperlink xmlns:r="http://schemas.openxmlformats.org/officeDocument/2006/relationships" ref="X207" r:id="rId352"/>
    <hyperlink xmlns:r="http://schemas.openxmlformats.org/officeDocument/2006/relationships" ref="Y207" r:id="rId353"/>
    <hyperlink xmlns:r="http://schemas.openxmlformats.org/officeDocument/2006/relationships" ref="X208" r:id="rId354"/>
    <hyperlink xmlns:r="http://schemas.openxmlformats.org/officeDocument/2006/relationships" ref="Y208" r:id="rId355"/>
    <hyperlink xmlns:r="http://schemas.openxmlformats.org/officeDocument/2006/relationships" ref="AB208" r:id="rId356"/>
    <hyperlink xmlns:r="http://schemas.openxmlformats.org/officeDocument/2006/relationships" ref="X209" r:id="rId357"/>
    <hyperlink xmlns:r="http://schemas.openxmlformats.org/officeDocument/2006/relationships" ref="Y209" r:id="rId358"/>
    <hyperlink xmlns:r="http://schemas.openxmlformats.org/officeDocument/2006/relationships" ref="X210" r:id="rId359"/>
    <hyperlink xmlns:r="http://schemas.openxmlformats.org/officeDocument/2006/relationships" ref="Y210" r:id="rId360"/>
    <hyperlink xmlns:r="http://schemas.openxmlformats.org/officeDocument/2006/relationships" ref="AB210" r:id="rId361"/>
    <hyperlink xmlns:r="http://schemas.openxmlformats.org/officeDocument/2006/relationships" ref="X211" r:id="rId362"/>
    <hyperlink xmlns:r="http://schemas.openxmlformats.org/officeDocument/2006/relationships" ref="Y211" r:id="rId363"/>
    <hyperlink xmlns:r="http://schemas.openxmlformats.org/officeDocument/2006/relationships" ref="X212" r:id="rId364"/>
    <hyperlink xmlns:r="http://schemas.openxmlformats.org/officeDocument/2006/relationships" ref="X213" r:id="rId365"/>
    <hyperlink xmlns:r="http://schemas.openxmlformats.org/officeDocument/2006/relationships" ref="X214" r:id="rId366"/>
    <hyperlink xmlns:r="http://schemas.openxmlformats.org/officeDocument/2006/relationships" ref="Y214" r:id="rId367"/>
    <hyperlink xmlns:r="http://schemas.openxmlformats.org/officeDocument/2006/relationships" ref="AB214" r:id="rId368"/>
    <hyperlink xmlns:r="http://schemas.openxmlformats.org/officeDocument/2006/relationships" ref="X215" r:id="rId369"/>
    <hyperlink xmlns:r="http://schemas.openxmlformats.org/officeDocument/2006/relationships" ref="Y215" r:id="rId370"/>
    <hyperlink xmlns:r="http://schemas.openxmlformats.org/officeDocument/2006/relationships" ref="X216" r:id="rId371"/>
    <hyperlink xmlns:r="http://schemas.openxmlformats.org/officeDocument/2006/relationships" ref="Y216" r:id="rId372"/>
    <hyperlink xmlns:r="http://schemas.openxmlformats.org/officeDocument/2006/relationships" ref="AB216" r:id="rId373"/>
    <hyperlink xmlns:r="http://schemas.openxmlformats.org/officeDocument/2006/relationships" ref="X217" r:id="rId374"/>
    <hyperlink xmlns:r="http://schemas.openxmlformats.org/officeDocument/2006/relationships" ref="Y217" r:id="rId375"/>
    <hyperlink xmlns:r="http://schemas.openxmlformats.org/officeDocument/2006/relationships" ref="X218" r:id="rId376"/>
    <hyperlink xmlns:r="http://schemas.openxmlformats.org/officeDocument/2006/relationships" ref="Y218" r:id="rId377"/>
    <hyperlink xmlns:r="http://schemas.openxmlformats.org/officeDocument/2006/relationships" ref="AB218" r:id="rId378"/>
    <hyperlink xmlns:r="http://schemas.openxmlformats.org/officeDocument/2006/relationships" ref="X219" r:id="rId379"/>
    <hyperlink xmlns:r="http://schemas.openxmlformats.org/officeDocument/2006/relationships" ref="Y219" r:id="rId380"/>
    <hyperlink xmlns:r="http://schemas.openxmlformats.org/officeDocument/2006/relationships" ref="X220" r:id="rId381"/>
    <hyperlink xmlns:r="http://schemas.openxmlformats.org/officeDocument/2006/relationships" ref="Y220" r:id="rId382"/>
    <hyperlink xmlns:r="http://schemas.openxmlformats.org/officeDocument/2006/relationships" ref="AB220" r:id="rId383"/>
    <hyperlink xmlns:r="http://schemas.openxmlformats.org/officeDocument/2006/relationships" ref="X221" r:id="rId384"/>
    <hyperlink xmlns:r="http://schemas.openxmlformats.org/officeDocument/2006/relationships" ref="X222" r:id="rId385"/>
    <hyperlink xmlns:r="http://schemas.openxmlformats.org/officeDocument/2006/relationships" ref="Y222" r:id="rId386"/>
    <hyperlink xmlns:r="http://schemas.openxmlformats.org/officeDocument/2006/relationships" ref="AB222" r:id="rId387"/>
    <hyperlink xmlns:r="http://schemas.openxmlformats.org/officeDocument/2006/relationships" ref="X223" r:id="rId388"/>
    <hyperlink xmlns:r="http://schemas.openxmlformats.org/officeDocument/2006/relationships" ref="Y223" r:id="rId389"/>
    <hyperlink xmlns:r="http://schemas.openxmlformats.org/officeDocument/2006/relationships" ref="AB223" r:id="rId390"/>
    <hyperlink xmlns:r="http://schemas.openxmlformats.org/officeDocument/2006/relationships" ref="X224" r:id="rId391"/>
    <hyperlink xmlns:r="http://schemas.openxmlformats.org/officeDocument/2006/relationships" ref="Y224" r:id="rId392"/>
    <hyperlink xmlns:r="http://schemas.openxmlformats.org/officeDocument/2006/relationships" ref="X225" r:id="rId393"/>
    <hyperlink xmlns:r="http://schemas.openxmlformats.org/officeDocument/2006/relationships" ref="Y225" r:id="rId394"/>
    <hyperlink xmlns:r="http://schemas.openxmlformats.org/officeDocument/2006/relationships" ref="AB225" r:id="rId395"/>
    <hyperlink xmlns:r="http://schemas.openxmlformats.org/officeDocument/2006/relationships" ref="X226" r:id="rId396"/>
    <hyperlink xmlns:r="http://schemas.openxmlformats.org/officeDocument/2006/relationships" ref="Y226" r:id="rId397"/>
    <hyperlink xmlns:r="http://schemas.openxmlformats.org/officeDocument/2006/relationships" ref="X227" r:id="rId398"/>
    <hyperlink xmlns:r="http://schemas.openxmlformats.org/officeDocument/2006/relationships" ref="X228" r:id="rId399"/>
    <hyperlink xmlns:r="http://schemas.openxmlformats.org/officeDocument/2006/relationships" ref="Y228" r:id="rId400"/>
    <hyperlink xmlns:r="http://schemas.openxmlformats.org/officeDocument/2006/relationships" ref="AB228" r:id="rId401"/>
    <hyperlink xmlns:r="http://schemas.openxmlformats.org/officeDocument/2006/relationships" ref="X229" r:id="rId402"/>
    <hyperlink xmlns:r="http://schemas.openxmlformats.org/officeDocument/2006/relationships" ref="Y229" r:id="rId403"/>
    <hyperlink xmlns:r="http://schemas.openxmlformats.org/officeDocument/2006/relationships" ref="X230" r:id="rId404"/>
    <hyperlink xmlns:r="http://schemas.openxmlformats.org/officeDocument/2006/relationships" ref="X231" r:id="rId405"/>
    <hyperlink xmlns:r="http://schemas.openxmlformats.org/officeDocument/2006/relationships" ref="Y231" r:id="rId406"/>
    <hyperlink xmlns:r="http://schemas.openxmlformats.org/officeDocument/2006/relationships" ref="AB231" r:id="rId407"/>
    <hyperlink xmlns:r="http://schemas.openxmlformats.org/officeDocument/2006/relationships" ref="X232" r:id="rId408"/>
    <hyperlink xmlns:r="http://schemas.openxmlformats.org/officeDocument/2006/relationships" ref="Y232" r:id="rId409"/>
    <hyperlink xmlns:r="http://schemas.openxmlformats.org/officeDocument/2006/relationships" ref="AB232" r:id="rId410"/>
    <hyperlink xmlns:r="http://schemas.openxmlformats.org/officeDocument/2006/relationships" ref="X233" r:id="rId411"/>
    <hyperlink xmlns:r="http://schemas.openxmlformats.org/officeDocument/2006/relationships" ref="Y233" r:id="rId412"/>
    <hyperlink xmlns:r="http://schemas.openxmlformats.org/officeDocument/2006/relationships" ref="X234" r:id="rId413"/>
    <hyperlink xmlns:r="http://schemas.openxmlformats.org/officeDocument/2006/relationships" ref="Y234" r:id="rId414"/>
    <hyperlink xmlns:r="http://schemas.openxmlformats.org/officeDocument/2006/relationships" ref="AB234" r:id="rId415"/>
    <hyperlink xmlns:r="http://schemas.openxmlformats.org/officeDocument/2006/relationships" ref="X235" r:id="rId416"/>
    <hyperlink xmlns:r="http://schemas.openxmlformats.org/officeDocument/2006/relationships" ref="Y235" r:id="rId417"/>
    <hyperlink xmlns:r="http://schemas.openxmlformats.org/officeDocument/2006/relationships" ref="X236" r:id="rId418"/>
    <hyperlink xmlns:r="http://schemas.openxmlformats.org/officeDocument/2006/relationships" ref="X237" r:id="rId419"/>
    <hyperlink xmlns:r="http://schemas.openxmlformats.org/officeDocument/2006/relationships" ref="Y237" r:id="rId420"/>
    <hyperlink xmlns:r="http://schemas.openxmlformats.org/officeDocument/2006/relationships" ref="AB237" r:id="rId421"/>
    <hyperlink xmlns:r="http://schemas.openxmlformats.org/officeDocument/2006/relationships" ref="X238" r:id="rId422"/>
    <hyperlink xmlns:r="http://schemas.openxmlformats.org/officeDocument/2006/relationships" ref="Y238" r:id="rId423"/>
    <hyperlink xmlns:r="http://schemas.openxmlformats.org/officeDocument/2006/relationships" ref="X239" r:id="rId424"/>
    <hyperlink xmlns:r="http://schemas.openxmlformats.org/officeDocument/2006/relationships" ref="Y239" r:id="rId425"/>
    <hyperlink xmlns:r="http://schemas.openxmlformats.org/officeDocument/2006/relationships" ref="AB239" r:id="rId426"/>
    <hyperlink xmlns:r="http://schemas.openxmlformats.org/officeDocument/2006/relationships" ref="X240" r:id="rId427"/>
    <hyperlink xmlns:r="http://schemas.openxmlformats.org/officeDocument/2006/relationships" ref="Y240" r:id="rId428"/>
    <hyperlink xmlns:r="http://schemas.openxmlformats.org/officeDocument/2006/relationships" ref="X241" r:id="rId429"/>
    <hyperlink xmlns:r="http://schemas.openxmlformats.org/officeDocument/2006/relationships" ref="Y241" r:id="rId430"/>
    <hyperlink xmlns:r="http://schemas.openxmlformats.org/officeDocument/2006/relationships" ref="AB241" r:id="rId431"/>
    <hyperlink xmlns:r="http://schemas.openxmlformats.org/officeDocument/2006/relationships" ref="X242" r:id="rId432"/>
    <hyperlink xmlns:r="http://schemas.openxmlformats.org/officeDocument/2006/relationships" ref="Y242" r:id="rId433"/>
    <hyperlink xmlns:r="http://schemas.openxmlformats.org/officeDocument/2006/relationships" ref="X243" r:id="rId434"/>
    <hyperlink xmlns:r="http://schemas.openxmlformats.org/officeDocument/2006/relationships" ref="Y243" r:id="rId435"/>
    <hyperlink xmlns:r="http://schemas.openxmlformats.org/officeDocument/2006/relationships" ref="AB243" r:id="rId436"/>
    <hyperlink xmlns:r="http://schemas.openxmlformats.org/officeDocument/2006/relationships" ref="X244" r:id="rId437"/>
    <hyperlink xmlns:r="http://schemas.openxmlformats.org/officeDocument/2006/relationships" ref="Y244" r:id="rId438"/>
    <hyperlink xmlns:r="http://schemas.openxmlformats.org/officeDocument/2006/relationships" ref="X245" r:id="rId439"/>
    <hyperlink xmlns:r="http://schemas.openxmlformats.org/officeDocument/2006/relationships" ref="Y245" r:id="rId440"/>
    <hyperlink xmlns:r="http://schemas.openxmlformats.org/officeDocument/2006/relationships" ref="AB245" r:id="rId441"/>
    <hyperlink xmlns:r="http://schemas.openxmlformats.org/officeDocument/2006/relationships" ref="X246" r:id="rId442"/>
    <hyperlink xmlns:r="http://schemas.openxmlformats.org/officeDocument/2006/relationships" ref="Y246" r:id="rId443"/>
    <hyperlink xmlns:r="http://schemas.openxmlformats.org/officeDocument/2006/relationships" ref="X247" r:id="rId444"/>
    <hyperlink xmlns:r="http://schemas.openxmlformats.org/officeDocument/2006/relationships" ref="Y247" r:id="rId445"/>
    <hyperlink xmlns:r="http://schemas.openxmlformats.org/officeDocument/2006/relationships" ref="AB247" r:id="rId446"/>
    <hyperlink xmlns:r="http://schemas.openxmlformats.org/officeDocument/2006/relationships" ref="X248" r:id="rId447"/>
    <hyperlink xmlns:r="http://schemas.openxmlformats.org/officeDocument/2006/relationships" ref="Y248" r:id="rId448"/>
    <hyperlink xmlns:r="http://schemas.openxmlformats.org/officeDocument/2006/relationships" ref="AB248" r:id="rId449"/>
    <hyperlink xmlns:r="http://schemas.openxmlformats.org/officeDocument/2006/relationships" ref="X249" r:id="rId450"/>
    <hyperlink xmlns:r="http://schemas.openxmlformats.org/officeDocument/2006/relationships" ref="Y249" r:id="rId451"/>
    <hyperlink xmlns:r="http://schemas.openxmlformats.org/officeDocument/2006/relationships" ref="X250" r:id="rId452"/>
    <hyperlink xmlns:r="http://schemas.openxmlformats.org/officeDocument/2006/relationships" ref="Y250" r:id="rId453"/>
    <hyperlink xmlns:r="http://schemas.openxmlformats.org/officeDocument/2006/relationships" ref="AB250" r:id="rId454"/>
    <hyperlink xmlns:r="http://schemas.openxmlformats.org/officeDocument/2006/relationships" ref="X251" r:id="rId455"/>
    <hyperlink xmlns:r="http://schemas.openxmlformats.org/officeDocument/2006/relationships" ref="Y251" r:id="rId456"/>
    <hyperlink xmlns:r="http://schemas.openxmlformats.org/officeDocument/2006/relationships" ref="X252" r:id="rId457"/>
    <hyperlink xmlns:r="http://schemas.openxmlformats.org/officeDocument/2006/relationships" ref="X253" r:id="rId458"/>
    <hyperlink xmlns:r="http://schemas.openxmlformats.org/officeDocument/2006/relationships" ref="Y253" r:id="rId459"/>
    <hyperlink xmlns:r="http://schemas.openxmlformats.org/officeDocument/2006/relationships" ref="AB253" r:id="rId460"/>
    <hyperlink xmlns:r="http://schemas.openxmlformats.org/officeDocument/2006/relationships" ref="X254" r:id="rId461"/>
    <hyperlink xmlns:r="http://schemas.openxmlformats.org/officeDocument/2006/relationships" ref="Y254" r:id="rId462"/>
    <hyperlink xmlns:r="http://schemas.openxmlformats.org/officeDocument/2006/relationships" ref="X255" r:id="rId463"/>
    <hyperlink xmlns:r="http://schemas.openxmlformats.org/officeDocument/2006/relationships" ref="Y255" r:id="rId464"/>
    <hyperlink xmlns:r="http://schemas.openxmlformats.org/officeDocument/2006/relationships" ref="AB255" r:id="rId465"/>
    <hyperlink xmlns:r="http://schemas.openxmlformats.org/officeDocument/2006/relationships" ref="X256" r:id="rId466"/>
    <hyperlink xmlns:r="http://schemas.openxmlformats.org/officeDocument/2006/relationships" ref="Y256" r:id="rId467"/>
    <hyperlink xmlns:r="http://schemas.openxmlformats.org/officeDocument/2006/relationships" ref="X257" r:id="rId468"/>
    <hyperlink xmlns:r="http://schemas.openxmlformats.org/officeDocument/2006/relationships" ref="Y257" r:id="rId469"/>
    <hyperlink xmlns:r="http://schemas.openxmlformats.org/officeDocument/2006/relationships" ref="AB257" r:id="rId470"/>
    <hyperlink xmlns:r="http://schemas.openxmlformats.org/officeDocument/2006/relationships" ref="X258" r:id="rId471"/>
    <hyperlink xmlns:r="http://schemas.openxmlformats.org/officeDocument/2006/relationships" ref="Y258" r:id="rId472"/>
    <hyperlink xmlns:r="http://schemas.openxmlformats.org/officeDocument/2006/relationships" ref="AB258" r:id="rId473"/>
    <hyperlink xmlns:r="http://schemas.openxmlformats.org/officeDocument/2006/relationships" ref="X259" r:id="rId474"/>
    <hyperlink xmlns:r="http://schemas.openxmlformats.org/officeDocument/2006/relationships" ref="Y259" r:id="rId475"/>
    <hyperlink xmlns:r="http://schemas.openxmlformats.org/officeDocument/2006/relationships" ref="X260" r:id="rId476"/>
    <hyperlink xmlns:r="http://schemas.openxmlformats.org/officeDocument/2006/relationships" ref="Y260" r:id="rId477"/>
    <hyperlink xmlns:r="http://schemas.openxmlformats.org/officeDocument/2006/relationships" ref="AB260" r:id="rId478"/>
    <hyperlink xmlns:r="http://schemas.openxmlformats.org/officeDocument/2006/relationships" ref="X261" r:id="rId479"/>
    <hyperlink xmlns:r="http://schemas.openxmlformats.org/officeDocument/2006/relationships" ref="Y261" r:id="rId480"/>
    <hyperlink xmlns:r="http://schemas.openxmlformats.org/officeDocument/2006/relationships" ref="X262" r:id="rId481"/>
    <hyperlink xmlns:r="http://schemas.openxmlformats.org/officeDocument/2006/relationships" ref="X263" r:id="rId482"/>
    <hyperlink xmlns:r="http://schemas.openxmlformats.org/officeDocument/2006/relationships" ref="Y263" r:id="rId483"/>
    <hyperlink xmlns:r="http://schemas.openxmlformats.org/officeDocument/2006/relationships" ref="AB263" r:id="rId484"/>
    <hyperlink xmlns:r="http://schemas.openxmlformats.org/officeDocument/2006/relationships" ref="X264" r:id="rId485"/>
    <hyperlink xmlns:r="http://schemas.openxmlformats.org/officeDocument/2006/relationships" ref="Y264" r:id="rId486"/>
    <hyperlink xmlns:r="http://schemas.openxmlformats.org/officeDocument/2006/relationships" ref="X265" r:id="rId487"/>
    <hyperlink xmlns:r="http://schemas.openxmlformats.org/officeDocument/2006/relationships" ref="Y265" r:id="rId488"/>
    <hyperlink xmlns:r="http://schemas.openxmlformats.org/officeDocument/2006/relationships" ref="AB265" r:id="rId489"/>
    <hyperlink xmlns:r="http://schemas.openxmlformats.org/officeDocument/2006/relationships" ref="X266" r:id="rId490"/>
    <hyperlink xmlns:r="http://schemas.openxmlformats.org/officeDocument/2006/relationships" ref="Y266" r:id="rId491"/>
    <hyperlink xmlns:r="http://schemas.openxmlformats.org/officeDocument/2006/relationships" ref="X267" r:id="rId492"/>
    <hyperlink xmlns:r="http://schemas.openxmlformats.org/officeDocument/2006/relationships" ref="Y267" r:id="rId493"/>
    <hyperlink xmlns:r="http://schemas.openxmlformats.org/officeDocument/2006/relationships" ref="X268" r:id="rId494"/>
    <hyperlink xmlns:r="http://schemas.openxmlformats.org/officeDocument/2006/relationships" ref="Y268" r:id="rId495"/>
    <hyperlink xmlns:r="http://schemas.openxmlformats.org/officeDocument/2006/relationships" ref="AB268" r:id="rId496"/>
    <hyperlink xmlns:r="http://schemas.openxmlformats.org/officeDocument/2006/relationships" ref="X269" r:id="rId497"/>
    <hyperlink xmlns:r="http://schemas.openxmlformats.org/officeDocument/2006/relationships" ref="Y269" r:id="rId498"/>
    <hyperlink xmlns:r="http://schemas.openxmlformats.org/officeDocument/2006/relationships" ref="X270" r:id="rId499"/>
    <hyperlink xmlns:r="http://schemas.openxmlformats.org/officeDocument/2006/relationships" ref="Y270" r:id="rId500"/>
    <hyperlink xmlns:r="http://schemas.openxmlformats.org/officeDocument/2006/relationships" ref="AB270" r:id="rId501"/>
    <hyperlink xmlns:r="http://schemas.openxmlformats.org/officeDocument/2006/relationships" ref="X271" r:id="rId502"/>
    <hyperlink xmlns:r="http://schemas.openxmlformats.org/officeDocument/2006/relationships" ref="Y271" r:id="rId503"/>
    <hyperlink xmlns:r="http://schemas.openxmlformats.org/officeDocument/2006/relationships" ref="X272" r:id="rId504"/>
    <hyperlink xmlns:r="http://schemas.openxmlformats.org/officeDocument/2006/relationships" ref="Y272" r:id="rId505"/>
    <hyperlink xmlns:r="http://schemas.openxmlformats.org/officeDocument/2006/relationships" ref="AB272" r:id="rId506"/>
    <hyperlink xmlns:r="http://schemas.openxmlformats.org/officeDocument/2006/relationships" ref="X273" r:id="rId507"/>
    <hyperlink xmlns:r="http://schemas.openxmlformats.org/officeDocument/2006/relationships" ref="Y273" r:id="rId508"/>
    <hyperlink xmlns:r="http://schemas.openxmlformats.org/officeDocument/2006/relationships" ref="X274" r:id="rId509"/>
    <hyperlink xmlns:r="http://schemas.openxmlformats.org/officeDocument/2006/relationships" ref="Y274" r:id="rId510"/>
    <hyperlink xmlns:r="http://schemas.openxmlformats.org/officeDocument/2006/relationships" ref="AB274" r:id="rId511"/>
    <hyperlink xmlns:r="http://schemas.openxmlformats.org/officeDocument/2006/relationships" ref="X275" r:id="rId512"/>
    <hyperlink xmlns:r="http://schemas.openxmlformats.org/officeDocument/2006/relationships" ref="Y275" r:id="rId513"/>
    <hyperlink xmlns:r="http://schemas.openxmlformats.org/officeDocument/2006/relationships" ref="X276" r:id="rId514"/>
    <hyperlink xmlns:r="http://schemas.openxmlformats.org/officeDocument/2006/relationships" ref="Y276" r:id="rId515"/>
    <hyperlink xmlns:r="http://schemas.openxmlformats.org/officeDocument/2006/relationships" ref="AB276" r:id="rId516"/>
    <hyperlink xmlns:r="http://schemas.openxmlformats.org/officeDocument/2006/relationships" ref="X277" r:id="rId517"/>
    <hyperlink xmlns:r="http://schemas.openxmlformats.org/officeDocument/2006/relationships" ref="Y277" r:id="rId518"/>
    <hyperlink xmlns:r="http://schemas.openxmlformats.org/officeDocument/2006/relationships" ref="AB277" r:id="rId519"/>
    <hyperlink xmlns:r="http://schemas.openxmlformats.org/officeDocument/2006/relationships" ref="X278" r:id="rId520"/>
    <hyperlink xmlns:r="http://schemas.openxmlformats.org/officeDocument/2006/relationships" ref="Y278" r:id="rId521"/>
    <hyperlink xmlns:r="http://schemas.openxmlformats.org/officeDocument/2006/relationships" ref="X279" r:id="rId522"/>
    <hyperlink xmlns:r="http://schemas.openxmlformats.org/officeDocument/2006/relationships" ref="Y279" r:id="rId523"/>
    <hyperlink xmlns:r="http://schemas.openxmlformats.org/officeDocument/2006/relationships" ref="AB279" r:id="rId524"/>
    <hyperlink xmlns:r="http://schemas.openxmlformats.org/officeDocument/2006/relationships" ref="X280" r:id="rId525"/>
    <hyperlink xmlns:r="http://schemas.openxmlformats.org/officeDocument/2006/relationships" ref="Y280" r:id="rId526"/>
    <hyperlink xmlns:r="http://schemas.openxmlformats.org/officeDocument/2006/relationships" ref="AB280" r:id="rId527"/>
    <hyperlink xmlns:r="http://schemas.openxmlformats.org/officeDocument/2006/relationships" ref="X281" r:id="rId528"/>
    <hyperlink xmlns:r="http://schemas.openxmlformats.org/officeDocument/2006/relationships" ref="Y281" r:id="rId529"/>
    <hyperlink xmlns:r="http://schemas.openxmlformats.org/officeDocument/2006/relationships" ref="X282" r:id="rId530"/>
    <hyperlink xmlns:r="http://schemas.openxmlformats.org/officeDocument/2006/relationships" ref="X283" r:id="rId531"/>
    <hyperlink xmlns:r="http://schemas.openxmlformats.org/officeDocument/2006/relationships" ref="X284" r:id="rId532"/>
    <hyperlink xmlns:r="http://schemas.openxmlformats.org/officeDocument/2006/relationships" ref="Y284" r:id="rId533"/>
    <hyperlink xmlns:r="http://schemas.openxmlformats.org/officeDocument/2006/relationships" ref="AB284" r:id="rId534"/>
    <hyperlink xmlns:r="http://schemas.openxmlformats.org/officeDocument/2006/relationships" ref="X285" r:id="rId535"/>
    <hyperlink xmlns:r="http://schemas.openxmlformats.org/officeDocument/2006/relationships" ref="Y285" r:id="rId536"/>
    <hyperlink xmlns:r="http://schemas.openxmlformats.org/officeDocument/2006/relationships" ref="X286" r:id="rId537"/>
    <hyperlink xmlns:r="http://schemas.openxmlformats.org/officeDocument/2006/relationships" ref="Y286" r:id="rId538"/>
    <hyperlink xmlns:r="http://schemas.openxmlformats.org/officeDocument/2006/relationships" ref="AB286" r:id="rId539"/>
    <hyperlink xmlns:r="http://schemas.openxmlformats.org/officeDocument/2006/relationships" ref="X287" r:id="rId540"/>
    <hyperlink xmlns:r="http://schemas.openxmlformats.org/officeDocument/2006/relationships" ref="Y287" r:id="rId541"/>
    <hyperlink xmlns:r="http://schemas.openxmlformats.org/officeDocument/2006/relationships" ref="AB287" r:id="rId542"/>
    <hyperlink xmlns:r="http://schemas.openxmlformats.org/officeDocument/2006/relationships" ref="X288" r:id="rId543"/>
    <hyperlink xmlns:r="http://schemas.openxmlformats.org/officeDocument/2006/relationships" ref="Y288" r:id="rId544"/>
    <hyperlink xmlns:r="http://schemas.openxmlformats.org/officeDocument/2006/relationships" ref="X289" r:id="rId545"/>
    <hyperlink xmlns:r="http://schemas.openxmlformats.org/officeDocument/2006/relationships" ref="Y289" r:id="rId546"/>
    <hyperlink xmlns:r="http://schemas.openxmlformats.org/officeDocument/2006/relationships" ref="X290" r:id="rId547"/>
    <hyperlink xmlns:r="http://schemas.openxmlformats.org/officeDocument/2006/relationships" ref="X291" r:id="rId548"/>
    <hyperlink xmlns:r="http://schemas.openxmlformats.org/officeDocument/2006/relationships" ref="Y291" r:id="rId549"/>
    <hyperlink xmlns:r="http://schemas.openxmlformats.org/officeDocument/2006/relationships" ref="AB291" r:id="rId550"/>
    <hyperlink xmlns:r="http://schemas.openxmlformats.org/officeDocument/2006/relationships" ref="X292" r:id="rId551"/>
    <hyperlink xmlns:r="http://schemas.openxmlformats.org/officeDocument/2006/relationships" ref="Y292" r:id="rId552"/>
    <hyperlink xmlns:r="http://schemas.openxmlformats.org/officeDocument/2006/relationships" ref="X293" r:id="rId553"/>
    <hyperlink xmlns:r="http://schemas.openxmlformats.org/officeDocument/2006/relationships" ref="Y293" r:id="rId554"/>
    <hyperlink xmlns:r="http://schemas.openxmlformats.org/officeDocument/2006/relationships" ref="X294" r:id="rId555"/>
    <hyperlink xmlns:r="http://schemas.openxmlformats.org/officeDocument/2006/relationships" ref="Y294" r:id="rId556"/>
    <hyperlink xmlns:r="http://schemas.openxmlformats.org/officeDocument/2006/relationships" ref="X295" r:id="rId557"/>
    <hyperlink xmlns:r="http://schemas.openxmlformats.org/officeDocument/2006/relationships" ref="Y295" r:id="rId558"/>
    <hyperlink xmlns:r="http://schemas.openxmlformats.org/officeDocument/2006/relationships" ref="X296" r:id="rId559"/>
    <hyperlink xmlns:r="http://schemas.openxmlformats.org/officeDocument/2006/relationships" ref="Y296" r:id="rId560"/>
    <hyperlink xmlns:r="http://schemas.openxmlformats.org/officeDocument/2006/relationships" ref="AB296" r:id="rId561"/>
    <hyperlink xmlns:r="http://schemas.openxmlformats.org/officeDocument/2006/relationships" ref="X297" r:id="rId562"/>
    <hyperlink xmlns:r="http://schemas.openxmlformats.org/officeDocument/2006/relationships" ref="Y297" r:id="rId563"/>
    <hyperlink xmlns:r="http://schemas.openxmlformats.org/officeDocument/2006/relationships" ref="X298" r:id="rId564"/>
    <hyperlink xmlns:r="http://schemas.openxmlformats.org/officeDocument/2006/relationships" ref="Y298" r:id="rId565"/>
    <hyperlink xmlns:r="http://schemas.openxmlformats.org/officeDocument/2006/relationships" ref="AB298" r:id="rId566"/>
    <hyperlink xmlns:r="http://schemas.openxmlformats.org/officeDocument/2006/relationships" ref="X299" r:id="rId567"/>
    <hyperlink xmlns:r="http://schemas.openxmlformats.org/officeDocument/2006/relationships" ref="Y299" r:id="rId568"/>
    <hyperlink xmlns:r="http://schemas.openxmlformats.org/officeDocument/2006/relationships" ref="X300" r:id="rId569"/>
    <hyperlink xmlns:r="http://schemas.openxmlformats.org/officeDocument/2006/relationships" ref="Y300" r:id="rId570"/>
    <hyperlink xmlns:r="http://schemas.openxmlformats.org/officeDocument/2006/relationships" ref="AB300" r:id="rId571"/>
    <hyperlink xmlns:r="http://schemas.openxmlformats.org/officeDocument/2006/relationships" ref="X301" r:id="rId572"/>
    <hyperlink xmlns:r="http://schemas.openxmlformats.org/officeDocument/2006/relationships" ref="Y301" r:id="rId573"/>
    <hyperlink xmlns:r="http://schemas.openxmlformats.org/officeDocument/2006/relationships" ref="X302" r:id="rId574"/>
    <hyperlink xmlns:r="http://schemas.openxmlformats.org/officeDocument/2006/relationships" ref="Y302" r:id="rId575"/>
    <hyperlink xmlns:r="http://schemas.openxmlformats.org/officeDocument/2006/relationships" ref="AB302" r:id="rId576"/>
    <hyperlink xmlns:r="http://schemas.openxmlformats.org/officeDocument/2006/relationships" ref="X303" r:id="rId577"/>
    <hyperlink xmlns:r="http://schemas.openxmlformats.org/officeDocument/2006/relationships" ref="X304" r:id="rId578"/>
    <hyperlink xmlns:r="http://schemas.openxmlformats.org/officeDocument/2006/relationships" ref="Y304" r:id="rId579"/>
    <hyperlink xmlns:r="http://schemas.openxmlformats.org/officeDocument/2006/relationships" ref="X305" r:id="rId580"/>
    <hyperlink xmlns:r="http://schemas.openxmlformats.org/officeDocument/2006/relationships" ref="X306" r:id="rId581"/>
    <hyperlink xmlns:r="http://schemas.openxmlformats.org/officeDocument/2006/relationships" ref="Y306" r:id="rId582"/>
    <hyperlink xmlns:r="http://schemas.openxmlformats.org/officeDocument/2006/relationships" ref="AB306" r:id="rId583"/>
    <hyperlink xmlns:r="http://schemas.openxmlformats.org/officeDocument/2006/relationships" ref="X307" r:id="rId584"/>
    <hyperlink xmlns:r="http://schemas.openxmlformats.org/officeDocument/2006/relationships" ref="X308" r:id="rId585"/>
    <hyperlink xmlns:r="http://schemas.openxmlformats.org/officeDocument/2006/relationships" ref="X309" r:id="rId586"/>
    <hyperlink xmlns:r="http://schemas.openxmlformats.org/officeDocument/2006/relationships" ref="X310" r:id="rId587"/>
    <hyperlink xmlns:r="http://schemas.openxmlformats.org/officeDocument/2006/relationships" ref="Y310" r:id="rId588"/>
    <hyperlink xmlns:r="http://schemas.openxmlformats.org/officeDocument/2006/relationships" ref="X311" r:id="rId589"/>
    <hyperlink xmlns:r="http://schemas.openxmlformats.org/officeDocument/2006/relationships" ref="Y311" r:id="rId590"/>
    <hyperlink xmlns:r="http://schemas.openxmlformats.org/officeDocument/2006/relationships" ref="X312" r:id="rId591"/>
    <hyperlink xmlns:r="http://schemas.openxmlformats.org/officeDocument/2006/relationships" ref="Y312" r:id="rId592"/>
    <hyperlink xmlns:r="http://schemas.openxmlformats.org/officeDocument/2006/relationships" ref="AB312" r:id="rId593"/>
    <hyperlink xmlns:r="http://schemas.openxmlformats.org/officeDocument/2006/relationships" ref="X313" r:id="rId594"/>
    <hyperlink xmlns:r="http://schemas.openxmlformats.org/officeDocument/2006/relationships" ref="X314" r:id="rId595"/>
    <hyperlink xmlns:r="http://schemas.openxmlformats.org/officeDocument/2006/relationships" ref="Y314" r:id="rId596"/>
    <hyperlink xmlns:r="http://schemas.openxmlformats.org/officeDocument/2006/relationships" ref="X315" r:id="rId597"/>
    <hyperlink xmlns:r="http://schemas.openxmlformats.org/officeDocument/2006/relationships" ref="Y315" r:id="rId598"/>
    <hyperlink xmlns:r="http://schemas.openxmlformats.org/officeDocument/2006/relationships" ref="AB315" r:id="rId599"/>
    <hyperlink xmlns:r="http://schemas.openxmlformats.org/officeDocument/2006/relationships" ref="X316" r:id="rId600"/>
    <hyperlink xmlns:r="http://schemas.openxmlformats.org/officeDocument/2006/relationships" ref="Y316" r:id="rId601"/>
    <hyperlink xmlns:r="http://schemas.openxmlformats.org/officeDocument/2006/relationships" ref="X317" r:id="rId602"/>
    <hyperlink xmlns:r="http://schemas.openxmlformats.org/officeDocument/2006/relationships" ref="Y317" r:id="rId603"/>
    <hyperlink xmlns:r="http://schemas.openxmlformats.org/officeDocument/2006/relationships" ref="AB317" r:id="rId604"/>
    <hyperlink xmlns:r="http://schemas.openxmlformats.org/officeDocument/2006/relationships" ref="X318" r:id="rId605"/>
    <hyperlink xmlns:r="http://schemas.openxmlformats.org/officeDocument/2006/relationships" ref="Y318" r:id="rId606"/>
    <hyperlink xmlns:r="http://schemas.openxmlformats.org/officeDocument/2006/relationships" ref="X319" r:id="rId607"/>
    <hyperlink xmlns:r="http://schemas.openxmlformats.org/officeDocument/2006/relationships" ref="Y319" r:id="rId608"/>
    <hyperlink xmlns:r="http://schemas.openxmlformats.org/officeDocument/2006/relationships" ref="AB319" r:id="rId609"/>
    <hyperlink xmlns:r="http://schemas.openxmlformats.org/officeDocument/2006/relationships" ref="X320" r:id="rId610"/>
    <hyperlink xmlns:r="http://schemas.openxmlformats.org/officeDocument/2006/relationships" ref="X321" r:id="rId611"/>
    <hyperlink xmlns:r="http://schemas.openxmlformats.org/officeDocument/2006/relationships" ref="Y321" r:id="rId612"/>
    <hyperlink xmlns:r="http://schemas.openxmlformats.org/officeDocument/2006/relationships" ref="X322" r:id="rId613"/>
    <hyperlink xmlns:r="http://schemas.openxmlformats.org/officeDocument/2006/relationships" ref="X323" r:id="rId614"/>
    <hyperlink xmlns:r="http://schemas.openxmlformats.org/officeDocument/2006/relationships" ref="Y323" r:id="rId615"/>
    <hyperlink xmlns:r="http://schemas.openxmlformats.org/officeDocument/2006/relationships" ref="X324" r:id="rId616"/>
    <hyperlink xmlns:r="http://schemas.openxmlformats.org/officeDocument/2006/relationships" ref="X325" r:id="rId617"/>
    <hyperlink xmlns:r="http://schemas.openxmlformats.org/officeDocument/2006/relationships" ref="Y325" r:id="rId618"/>
    <hyperlink xmlns:r="http://schemas.openxmlformats.org/officeDocument/2006/relationships" ref="AB325" r:id="rId619"/>
    <hyperlink xmlns:r="http://schemas.openxmlformats.org/officeDocument/2006/relationships" ref="X326" r:id="rId620"/>
    <hyperlink xmlns:r="http://schemas.openxmlformats.org/officeDocument/2006/relationships" ref="Y326" r:id="rId621"/>
    <hyperlink xmlns:r="http://schemas.openxmlformats.org/officeDocument/2006/relationships" ref="AB326" r:id="rId622"/>
    <hyperlink xmlns:r="http://schemas.openxmlformats.org/officeDocument/2006/relationships" ref="X327" r:id="rId623"/>
    <hyperlink xmlns:r="http://schemas.openxmlformats.org/officeDocument/2006/relationships" ref="Y327" r:id="rId624"/>
    <hyperlink xmlns:r="http://schemas.openxmlformats.org/officeDocument/2006/relationships" ref="X328" r:id="rId625"/>
    <hyperlink xmlns:r="http://schemas.openxmlformats.org/officeDocument/2006/relationships" ref="Y328" r:id="rId626"/>
    <hyperlink xmlns:r="http://schemas.openxmlformats.org/officeDocument/2006/relationships" ref="X329" r:id="rId627"/>
    <hyperlink xmlns:r="http://schemas.openxmlformats.org/officeDocument/2006/relationships" ref="Y329" r:id="rId628"/>
    <hyperlink xmlns:r="http://schemas.openxmlformats.org/officeDocument/2006/relationships" ref="X330" r:id="rId629"/>
    <hyperlink xmlns:r="http://schemas.openxmlformats.org/officeDocument/2006/relationships" ref="X331" r:id="rId630"/>
    <hyperlink xmlns:r="http://schemas.openxmlformats.org/officeDocument/2006/relationships" ref="X332" r:id="rId631"/>
    <hyperlink xmlns:r="http://schemas.openxmlformats.org/officeDocument/2006/relationships" ref="Y332" r:id="rId632"/>
    <hyperlink xmlns:r="http://schemas.openxmlformats.org/officeDocument/2006/relationships" ref="AB332" r:id="rId633"/>
    <hyperlink xmlns:r="http://schemas.openxmlformats.org/officeDocument/2006/relationships" ref="X333" r:id="rId634"/>
    <hyperlink xmlns:r="http://schemas.openxmlformats.org/officeDocument/2006/relationships" ref="Y333" r:id="rId635"/>
    <hyperlink xmlns:r="http://schemas.openxmlformats.org/officeDocument/2006/relationships" ref="X334" r:id="rId636"/>
    <hyperlink xmlns:r="http://schemas.openxmlformats.org/officeDocument/2006/relationships" ref="Y334" r:id="rId637"/>
    <hyperlink xmlns:r="http://schemas.openxmlformats.org/officeDocument/2006/relationships" ref="AB334" r:id="rId638"/>
    <hyperlink xmlns:r="http://schemas.openxmlformats.org/officeDocument/2006/relationships" ref="X335" r:id="rId639"/>
    <hyperlink xmlns:r="http://schemas.openxmlformats.org/officeDocument/2006/relationships" ref="Y335" r:id="rId640"/>
    <hyperlink xmlns:r="http://schemas.openxmlformats.org/officeDocument/2006/relationships" ref="X336" r:id="rId641"/>
    <hyperlink xmlns:r="http://schemas.openxmlformats.org/officeDocument/2006/relationships" ref="X337" r:id="rId642"/>
    <hyperlink xmlns:r="http://schemas.openxmlformats.org/officeDocument/2006/relationships" ref="Y337" r:id="rId643"/>
    <hyperlink xmlns:r="http://schemas.openxmlformats.org/officeDocument/2006/relationships" ref="X338" r:id="rId644"/>
    <hyperlink xmlns:r="http://schemas.openxmlformats.org/officeDocument/2006/relationships" ref="Y338" r:id="rId645"/>
    <hyperlink xmlns:r="http://schemas.openxmlformats.org/officeDocument/2006/relationships" ref="X339" r:id="rId646"/>
    <hyperlink xmlns:r="http://schemas.openxmlformats.org/officeDocument/2006/relationships" ref="X340" r:id="rId647"/>
    <hyperlink xmlns:r="http://schemas.openxmlformats.org/officeDocument/2006/relationships" ref="Y340" r:id="rId648"/>
    <hyperlink xmlns:r="http://schemas.openxmlformats.org/officeDocument/2006/relationships" ref="AB340" r:id="rId649"/>
    <hyperlink xmlns:r="http://schemas.openxmlformats.org/officeDocument/2006/relationships" ref="X341" r:id="rId650"/>
    <hyperlink xmlns:r="http://schemas.openxmlformats.org/officeDocument/2006/relationships" ref="Y341" r:id="rId651"/>
    <hyperlink xmlns:r="http://schemas.openxmlformats.org/officeDocument/2006/relationships" ref="AB341" r:id="rId652"/>
    <hyperlink xmlns:r="http://schemas.openxmlformats.org/officeDocument/2006/relationships" ref="X342" r:id="rId653"/>
    <hyperlink xmlns:r="http://schemas.openxmlformats.org/officeDocument/2006/relationships" ref="Y342" r:id="rId654"/>
    <hyperlink xmlns:r="http://schemas.openxmlformats.org/officeDocument/2006/relationships" ref="X343" r:id="rId655"/>
    <hyperlink xmlns:r="http://schemas.openxmlformats.org/officeDocument/2006/relationships" ref="X344" r:id="rId656"/>
    <hyperlink xmlns:r="http://schemas.openxmlformats.org/officeDocument/2006/relationships" ref="X345" r:id="rId657"/>
    <hyperlink xmlns:r="http://schemas.openxmlformats.org/officeDocument/2006/relationships" ref="Y345" r:id="rId658"/>
    <hyperlink xmlns:r="http://schemas.openxmlformats.org/officeDocument/2006/relationships" ref="X346" r:id="rId659"/>
    <hyperlink xmlns:r="http://schemas.openxmlformats.org/officeDocument/2006/relationships" ref="Y346" r:id="rId660"/>
    <hyperlink xmlns:r="http://schemas.openxmlformats.org/officeDocument/2006/relationships" ref="X347" r:id="rId661"/>
    <hyperlink xmlns:r="http://schemas.openxmlformats.org/officeDocument/2006/relationships" ref="Y347" r:id="rId662"/>
    <hyperlink xmlns:r="http://schemas.openxmlformats.org/officeDocument/2006/relationships" ref="X348" r:id="rId663"/>
    <hyperlink xmlns:r="http://schemas.openxmlformats.org/officeDocument/2006/relationships" ref="Y348" r:id="rId664"/>
    <hyperlink xmlns:r="http://schemas.openxmlformats.org/officeDocument/2006/relationships" ref="X349" r:id="rId665"/>
    <hyperlink xmlns:r="http://schemas.openxmlformats.org/officeDocument/2006/relationships" ref="Y349" r:id="rId666"/>
    <hyperlink xmlns:r="http://schemas.openxmlformats.org/officeDocument/2006/relationships" ref="X350" r:id="rId667"/>
    <hyperlink xmlns:r="http://schemas.openxmlformats.org/officeDocument/2006/relationships" ref="Y350" r:id="rId668"/>
    <hyperlink xmlns:r="http://schemas.openxmlformats.org/officeDocument/2006/relationships" ref="AB350" r:id="rId669"/>
    <hyperlink xmlns:r="http://schemas.openxmlformats.org/officeDocument/2006/relationships" ref="X351" r:id="rId670"/>
    <hyperlink xmlns:r="http://schemas.openxmlformats.org/officeDocument/2006/relationships" ref="Y351" r:id="rId671"/>
    <hyperlink xmlns:r="http://schemas.openxmlformats.org/officeDocument/2006/relationships" ref="X352" r:id="rId672"/>
    <hyperlink xmlns:r="http://schemas.openxmlformats.org/officeDocument/2006/relationships" ref="Y352" r:id="rId673"/>
    <hyperlink xmlns:r="http://schemas.openxmlformats.org/officeDocument/2006/relationships" ref="X353" r:id="rId674"/>
    <hyperlink xmlns:r="http://schemas.openxmlformats.org/officeDocument/2006/relationships" ref="X354" r:id="rId675"/>
    <hyperlink xmlns:r="http://schemas.openxmlformats.org/officeDocument/2006/relationships" ref="Y354" r:id="rId676"/>
    <hyperlink xmlns:r="http://schemas.openxmlformats.org/officeDocument/2006/relationships" ref="X355" r:id="rId677"/>
    <hyperlink xmlns:r="http://schemas.openxmlformats.org/officeDocument/2006/relationships" ref="Y355" r:id="rId678"/>
    <hyperlink xmlns:r="http://schemas.openxmlformats.org/officeDocument/2006/relationships" ref="X356" r:id="rId679"/>
    <hyperlink xmlns:r="http://schemas.openxmlformats.org/officeDocument/2006/relationships" ref="X357" r:id="rId680"/>
    <hyperlink xmlns:r="http://schemas.openxmlformats.org/officeDocument/2006/relationships" ref="X358" r:id="rId681"/>
    <hyperlink xmlns:r="http://schemas.openxmlformats.org/officeDocument/2006/relationships" ref="X359" r:id="rId682"/>
    <hyperlink xmlns:r="http://schemas.openxmlformats.org/officeDocument/2006/relationships" ref="X360" r:id="rId683"/>
    <hyperlink xmlns:r="http://schemas.openxmlformats.org/officeDocument/2006/relationships" ref="Y360" r:id="rId684"/>
    <hyperlink xmlns:r="http://schemas.openxmlformats.org/officeDocument/2006/relationships" ref="X361" r:id="rId685"/>
    <hyperlink xmlns:r="http://schemas.openxmlformats.org/officeDocument/2006/relationships" ref="Y361" r:id="rId686"/>
    <hyperlink xmlns:r="http://schemas.openxmlformats.org/officeDocument/2006/relationships" ref="X362" r:id="rId687"/>
    <hyperlink xmlns:r="http://schemas.openxmlformats.org/officeDocument/2006/relationships" ref="Y362" r:id="rId688"/>
    <hyperlink xmlns:r="http://schemas.openxmlformats.org/officeDocument/2006/relationships" ref="X363" r:id="rId689"/>
    <hyperlink xmlns:r="http://schemas.openxmlformats.org/officeDocument/2006/relationships" ref="X364" r:id="rId690"/>
    <hyperlink xmlns:r="http://schemas.openxmlformats.org/officeDocument/2006/relationships" ref="X365" r:id="rId691"/>
    <hyperlink xmlns:r="http://schemas.openxmlformats.org/officeDocument/2006/relationships" ref="X366" r:id="rId692"/>
    <hyperlink xmlns:r="http://schemas.openxmlformats.org/officeDocument/2006/relationships" ref="Y366" r:id="rId693"/>
    <hyperlink xmlns:r="http://schemas.openxmlformats.org/officeDocument/2006/relationships" ref="X367" r:id="rId694"/>
    <hyperlink xmlns:r="http://schemas.openxmlformats.org/officeDocument/2006/relationships" ref="X368" r:id="rId695"/>
    <hyperlink xmlns:r="http://schemas.openxmlformats.org/officeDocument/2006/relationships" ref="AB368" r:id="rId696"/>
    <hyperlink xmlns:r="http://schemas.openxmlformats.org/officeDocument/2006/relationships" ref="X369" r:id="rId697"/>
    <hyperlink xmlns:r="http://schemas.openxmlformats.org/officeDocument/2006/relationships" ref="X370" r:id="rId698"/>
    <hyperlink xmlns:r="http://schemas.openxmlformats.org/officeDocument/2006/relationships" ref="X371" r:id="rId699"/>
    <hyperlink xmlns:r="http://schemas.openxmlformats.org/officeDocument/2006/relationships" ref="Y371" r:id="rId700"/>
    <hyperlink xmlns:r="http://schemas.openxmlformats.org/officeDocument/2006/relationships" ref="AB371" r:id="rId701"/>
    <hyperlink xmlns:r="http://schemas.openxmlformats.org/officeDocument/2006/relationships" ref="X372" r:id="rId702"/>
    <hyperlink xmlns:r="http://schemas.openxmlformats.org/officeDocument/2006/relationships" ref="Y372" r:id="rId703"/>
    <hyperlink xmlns:r="http://schemas.openxmlformats.org/officeDocument/2006/relationships" ref="X373" r:id="rId704"/>
    <hyperlink xmlns:r="http://schemas.openxmlformats.org/officeDocument/2006/relationships" ref="X374" r:id="rId705"/>
    <hyperlink xmlns:r="http://schemas.openxmlformats.org/officeDocument/2006/relationships" ref="Y374" r:id="rId706"/>
    <hyperlink xmlns:r="http://schemas.openxmlformats.org/officeDocument/2006/relationships" ref="X375" r:id="rId707"/>
    <hyperlink xmlns:r="http://schemas.openxmlformats.org/officeDocument/2006/relationships" ref="X376" r:id="rId708"/>
    <hyperlink xmlns:r="http://schemas.openxmlformats.org/officeDocument/2006/relationships" ref="Y376" r:id="rId709"/>
    <hyperlink xmlns:r="http://schemas.openxmlformats.org/officeDocument/2006/relationships" ref="X377" r:id="rId710"/>
    <hyperlink xmlns:r="http://schemas.openxmlformats.org/officeDocument/2006/relationships" ref="X378" r:id="rId711"/>
    <hyperlink xmlns:r="http://schemas.openxmlformats.org/officeDocument/2006/relationships" ref="X379" r:id="rId712"/>
    <hyperlink xmlns:r="http://schemas.openxmlformats.org/officeDocument/2006/relationships" ref="Y379" r:id="rId713"/>
    <hyperlink xmlns:r="http://schemas.openxmlformats.org/officeDocument/2006/relationships" ref="X380" r:id="rId714"/>
    <hyperlink xmlns:r="http://schemas.openxmlformats.org/officeDocument/2006/relationships" ref="Y380" r:id="rId715"/>
    <hyperlink xmlns:r="http://schemas.openxmlformats.org/officeDocument/2006/relationships" ref="X381" r:id="rId716"/>
    <hyperlink xmlns:r="http://schemas.openxmlformats.org/officeDocument/2006/relationships" ref="X382" r:id="rId717"/>
    <hyperlink xmlns:r="http://schemas.openxmlformats.org/officeDocument/2006/relationships" ref="X383" r:id="rId718"/>
    <hyperlink xmlns:r="http://schemas.openxmlformats.org/officeDocument/2006/relationships" ref="X384" r:id="rId719"/>
    <hyperlink xmlns:r="http://schemas.openxmlformats.org/officeDocument/2006/relationships" ref="X385" r:id="rId720"/>
    <hyperlink xmlns:r="http://schemas.openxmlformats.org/officeDocument/2006/relationships" ref="X386" r:id="rId721"/>
    <hyperlink xmlns:r="http://schemas.openxmlformats.org/officeDocument/2006/relationships" ref="Y386" r:id="rId722"/>
    <hyperlink xmlns:r="http://schemas.openxmlformats.org/officeDocument/2006/relationships" ref="X387" r:id="rId723"/>
    <hyperlink xmlns:r="http://schemas.openxmlformats.org/officeDocument/2006/relationships" ref="Y387" r:id="rId724"/>
    <hyperlink xmlns:r="http://schemas.openxmlformats.org/officeDocument/2006/relationships" ref="X388" r:id="rId725"/>
    <hyperlink xmlns:r="http://schemas.openxmlformats.org/officeDocument/2006/relationships" ref="X389" r:id="rId726"/>
    <hyperlink xmlns:r="http://schemas.openxmlformats.org/officeDocument/2006/relationships" ref="X390" r:id="rId727"/>
    <hyperlink xmlns:r="http://schemas.openxmlformats.org/officeDocument/2006/relationships" ref="X391" r:id="rId728"/>
    <hyperlink xmlns:r="http://schemas.openxmlformats.org/officeDocument/2006/relationships" ref="Y391" r:id="rId729"/>
    <hyperlink xmlns:r="http://schemas.openxmlformats.org/officeDocument/2006/relationships" ref="X392" r:id="rId730"/>
    <hyperlink xmlns:r="http://schemas.openxmlformats.org/officeDocument/2006/relationships" ref="Y392" r:id="rId731"/>
    <hyperlink xmlns:r="http://schemas.openxmlformats.org/officeDocument/2006/relationships" ref="X393" r:id="rId732"/>
    <hyperlink xmlns:r="http://schemas.openxmlformats.org/officeDocument/2006/relationships" ref="Y393" r:id="rId733"/>
    <hyperlink xmlns:r="http://schemas.openxmlformats.org/officeDocument/2006/relationships" ref="X394" r:id="rId734"/>
    <hyperlink xmlns:r="http://schemas.openxmlformats.org/officeDocument/2006/relationships" ref="X395" r:id="rId735"/>
    <hyperlink xmlns:r="http://schemas.openxmlformats.org/officeDocument/2006/relationships" ref="X396" r:id="rId736"/>
    <hyperlink xmlns:r="http://schemas.openxmlformats.org/officeDocument/2006/relationships" ref="X397" r:id="rId737"/>
    <hyperlink xmlns:r="http://schemas.openxmlformats.org/officeDocument/2006/relationships" ref="Y397" r:id="rId738"/>
    <hyperlink xmlns:r="http://schemas.openxmlformats.org/officeDocument/2006/relationships" ref="X398" r:id="rId739"/>
    <hyperlink xmlns:r="http://schemas.openxmlformats.org/officeDocument/2006/relationships" ref="Y398" r:id="rId740"/>
    <hyperlink xmlns:r="http://schemas.openxmlformats.org/officeDocument/2006/relationships" ref="X399" r:id="rId741"/>
    <hyperlink xmlns:r="http://schemas.openxmlformats.org/officeDocument/2006/relationships" ref="X400" r:id="rId742"/>
    <hyperlink xmlns:r="http://schemas.openxmlformats.org/officeDocument/2006/relationships" ref="Y400" r:id="rId743"/>
    <hyperlink xmlns:r="http://schemas.openxmlformats.org/officeDocument/2006/relationships" ref="X401" r:id="rId744"/>
    <hyperlink xmlns:r="http://schemas.openxmlformats.org/officeDocument/2006/relationships" ref="Y401" r:id="rId745"/>
    <hyperlink xmlns:r="http://schemas.openxmlformats.org/officeDocument/2006/relationships" ref="X402" r:id="rId746"/>
    <hyperlink xmlns:r="http://schemas.openxmlformats.org/officeDocument/2006/relationships" ref="X403" r:id="rId747"/>
    <hyperlink xmlns:r="http://schemas.openxmlformats.org/officeDocument/2006/relationships" ref="X404" r:id="rId748"/>
    <hyperlink xmlns:r="http://schemas.openxmlformats.org/officeDocument/2006/relationships" ref="Y404" r:id="rId749"/>
    <hyperlink xmlns:r="http://schemas.openxmlformats.org/officeDocument/2006/relationships" ref="X405" r:id="rId750"/>
    <hyperlink xmlns:r="http://schemas.openxmlformats.org/officeDocument/2006/relationships" ref="Y405" r:id="rId751"/>
    <hyperlink xmlns:r="http://schemas.openxmlformats.org/officeDocument/2006/relationships" ref="X406" r:id="rId752"/>
    <hyperlink xmlns:r="http://schemas.openxmlformats.org/officeDocument/2006/relationships" ref="X407" r:id="rId753"/>
    <hyperlink xmlns:r="http://schemas.openxmlformats.org/officeDocument/2006/relationships" ref="X408" r:id="rId754"/>
    <hyperlink xmlns:r="http://schemas.openxmlformats.org/officeDocument/2006/relationships" ref="X409" r:id="rId755"/>
    <hyperlink xmlns:r="http://schemas.openxmlformats.org/officeDocument/2006/relationships" ref="X410" r:id="rId756"/>
    <hyperlink xmlns:r="http://schemas.openxmlformats.org/officeDocument/2006/relationships" ref="X411" r:id="rId757"/>
    <hyperlink xmlns:r="http://schemas.openxmlformats.org/officeDocument/2006/relationships" ref="X412" r:id="rId758"/>
    <hyperlink xmlns:r="http://schemas.openxmlformats.org/officeDocument/2006/relationships" ref="X413" r:id="rId759"/>
    <hyperlink xmlns:r="http://schemas.openxmlformats.org/officeDocument/2006/relationships" ref="Y413" r:id="rId760"/>
    <hyperlink xmlns:r="http://schemas.openxmlformats.org/officeDocument/2006/relationships" ref="X414" r:id="rId761"/>
    <hyperlink xmlns:r="http://schemas.openxmlformats.org/officeDocument/2006/relationships" ref="Y414" r:id="rId762"/>
    <hyperlink xmlns:r="http://schemas.openxmlformats.org/officeDocument/2006/relationships" ref="X415" r:id="rId763"/>
    <hyperlink xmlns:r="http://schemas.openxmlformats.org/officeDocument/2006/relationships" ref="Y415" r:id="rId764"/>
    <hyperlink xmlns:r="http://schemas.openxmlformats.org/officeDocument/2006/relationships" ref="X416" r:id="rId765"/>
    <hyperlink xmlns:r="http://schemas.openxmlformats.org/officeDocument/2006/relationships" ref="Y416" r:id="rId766"/>
    <hyperlink xmlns:r="http://schemas.openxmlformats.org/officeDocument/2006/relationships" ref="X417" r:id="rId767"/>
    <hyperlink xmlns:r="http://schemas.openxmlformats.org/officeDocument/2006/relationships" ref="Y417" r:id="rId768"/>
    <hyperlink xmlns:r="http://schemas.openxmlformats.org/officeDocument/2006/relationships" ref="X418" r:id="rId769"/>
    <hyperlink xmlns:r="http://schemas.openxmlformats.org/officeDocument/2006/relationships" ref="Y418" r:id="rId770"/>
    <hyperlink xmlns:r="http://schemas.openxmlformats.org/officeDocument/2006/relationships" ref="X419" r:id="rId771"/>
    <hyperlink xmlns:r="http://schemas.openxmlformats.org/officeDocument/2006/relationships" ref="Y419" r:id="rId772"/>
    <hyperlink xmlns:r="http://schemas.openxmlformats.org/officeDocument/2006/relationships" ref="X420" r:id="rId773"/>
    <hyperlink xmlns:r="http://schemas.openxmlformats.org/officeDocument/2006/relationships" ref="Y420" r:id="rId774"/>
    <hyperlink xmlns:r="http://schemas.openxmlformats.org/officeDocument/2006/relationships" ref="X421" r:id="rId775"/>
    <hyperlink xmlns:r="http://schemas.openxmlformats.org/officeDocument/2006/relationships" ref="Y421" r:id="rId776"/>
    <hyperlink xmlns:r="http://schemas.openxmlformats.org/officeDocument/2006/relationships" ref="X422" r:id="rId777"/>
    <hyperlink xmlns:r="http://schemas.openxmlformats.org/officeDocument/2006/relationships" ref="X423" r:id="rId778"/>
    <hyperlink xmlns:r="http://schemas.openxmlformats.org/officeDocument/2006/relationships" ref="Y423" r:id="rId779"/>
    <hyperlink xmlns:r="http://schemas.openxmlformats.org/officeDocument/2006/relationships" ref="X424" r:id="rId780"/>
    <hyperlink xmlns:r="http://schemas.openxmlformats.org/officeDocument/2006/relationships" ref="Y424" r:id="rId781"/>
    <hyperlink xmlns:r="http://schemas.openxmlformats.org/officeDocument/2006/relationships" ref="X425" r:id="rId782"/>
    <hyperlink xmlns:r="http://schemas.openxmlformats.org/officeDocument/2006/relationships" ref="X426" r:id="rId783"/>
    <hyperlink xmlns:r="http://schemas.openxmlformats.org/officeDocument/2006/relationships" ref="Y426" r:id="rId784"/>
    <hyperlink xmlns:r="http://schemas.openxmlformats.org/officeDocument/2006/relationships" ref="X427" r:id="rId785"/>
    <hyperlink xmlns:r="http://schemas.openxmlformats.org/officeDocument/2006/relationships" ref="X428" r:id="rId786"/>
    <hyperlink xmlns:r="http://schemas.openxmlformats.org/officeDocument/2006/relationships" ref="Y428" r:id="rId787"/>
    <hyperlink xmlns:r="http://schemas.openxmlformats.org/officeDocument/2006/relationships" ref="X429" r:id="rId788"/>
    <hyperlink xmlns:r="http://schemas.openxmlformats.org/officeDocument/2006/relationships" ref="X430" r:id="rId789"/>
    <hyperlink xmlns:r="http://schemas.openxmlformats.org/officeDocument/2006/relationships" ref="X431" r:id="rId790"/>
    <hyperlink xmlns:r="http://schemas.openxmlformats.org/officeDocument/2006/relationships" ref="Y431" r:id="rId791"/>
    <hyperlink xmlns:r="http://schemas.openxmlformats.org/officeDocument/2006/relationships" ref="X432" r:id="rId792"/>
    <hyperlink xmlns:r="http://schemas.openxmlformats.org/officeDocument/2006/relationships" ref="Y432" r:id="rId793"/>
    <hyperlink xmlns:r="http://schemas.openxmlformats.org/officeDocument/2006/relationships" ref="X433" r:id="rId794"/>
    <hyperlink xmlns:r="http://schemas.openxmlformats.org/officeDocument/2006/relationships" ref="X434" r:id="rId795"/>
    <hyperlink xmlns:r="http://schemas.openxmlformats.org/officeDocument/2006/relationships" ref="X435" r:id="rId796"/>
    <hyperlink xmlns:r="http://schemas.openxmlformats.org/officeDocument/2006/relationships" ref="Y435" r:id="rId797"/>
    <hyperlink xmlns:r="http://schemas.openxmlformats.org/officeDocument/2006/relationships" ref="X436" r:id="rId798"/>
    <hyperlink xmlns:r="http://schemas.openxmlformats.org/officeDocument/2006/relationships" ref="X437" r:id="rId799"/>
    <hyperlink xmlns:r="http://schemas.openxmlformats.org/officeDocument/2006/relationships" ref="AB437" r:id="rId800"/>
    <hyperlink xmlns:r="http://schemas.openxmlformats.org/officeDocument/2006/relationships" ref="X438" r:id="rId801"/>
    <hyperlink xmlns:r="http://schemas.openxmlformats.org/officeDocument/2006/relationships" ref="X439" r:id="rId802"/>
    <hyperlink xmlns:r="http://schemas.openxmlformats.org/officeDocument/2006/relationships" ref="X440" r:id="rId803"/>
    <hyperlink xmlns:r="http://schemas.openxmlformats.org/officeDocument/2006/relationships" ref="Y440" r:id="rId804"/>
    <hyperlink xmlns:r="http://schemas.openxmlformats.org/officeDocument/2006/relationships" ref="X441" r:id="rId805"/>
    <hyperlink xmlns:r="http://schemas.openxmlformats.org/officeDocument/2006/relationships" ref="Y441" r:id="rId806"/>
    <hyperlink xmlns:r="http://schemas.openxmlformats.org/officeDocument/2006/relationships" ref="X442" r:id="rId807"/>
    <hyperlink xmlns:r="http://schemas.openxmlformats.org/officeDocument/2006/relationships" ref="Y442" r:id="rId808"/>
    <hyperlink xmlns:r="http://schemas.openxmlformats.org/officeDocument/2006/relationships" ref="X443" r:id="rId809"/>
    <hyperlink xmlns:r="http://schemas.openxmlformats.org/officeDocument/2006/relationships" ref="X444" r:id="rId810"/>
    <hyperlink xmlns:r="http://schemas.openxmlformats.org/officeDocument/2006/relationships" ref="X445" r:id="rId811"/>
    <hyperlink xmlns:r="http://schemas.openxmlformats.org/officeDocument/2006/relationships" ref="Y445" r:id="rId812"/>
    <hyperlink xmlns:r="http://schemas.openxmlformats.org/officeDocument/2006/relationships" ref="X446" r:id="rId813"/>
    <hyperlink xmlns:r="http://schemas.openxmlformats.org/officeDocument/2006/relationships" ref="X447" r:id="rId814"/>
    <hyperlink xmlns:r="http://schemas.openxmlformats.org/officeDocument/2006/relationships" ref="Y447" r:id="rId815"/>
    <hyperlink xmlns:r="http://schemas.openxmlformats.org/officeDocument/2006/relationships" ref="X448" r:id="rId816"/>
    <hyperlink xmlns:r="http://schemas.openxmlformats.org/officeDocument/2006/relationships" ref="X449" r:id="rId817"/>
    <hyperlink xmlns:r="http://schemas.openxmlformats.org/officeDocument/2006/relationships" ref="Y449" r:id="rId818"/>
    <hyperlink xmlns:r="http://schemas.openxmlformats.org/officeDocument/2006/relationships" ref="X450" r:id="rId819"/>
    <hyperlink xmlns:r="http://schemas.openxmlformats.org/officeDocument/2006/relationships" ref="Y450" r:id="rId820"/>
    <hyperlink xmlns:r="http://schemas.openxmlformats.org/officeDocument/2006/relationships" ref="AB450" r:id="rId821"/>
    <hyperlink xmlns:r="http://schemas.openxmlformats.org/officeDocument/2006/relationships" ref="X451" r:id="rId822"/>
    <hyperlink xmlns:r="http://schemas.openxmlformats.org/officeDocument/2006/relationships" ref="Y451" r:id="rId823"/>
    <hyperlink xmlns:r="http://schemas.openxmlformats.org/officeDocument/2006/relationships" ref="X452" r:id="rId824"/>
    <hyperlink xmlns:r="http://schemas.openxmlformats.org/officeDocument/2006/relationships" ref="X453" r:id="rId825"/>
    <hyperlink xmlns:r="http://schemas.openxmlformats.org/officeDocument/2006/relationships" ref="Y453" r:id="rId826"/>
    <hyperlink xmlns:r="http://schemas.openxmlformats.org/officeDocument/2006/relationships" ref="X454" r:id="rId827"/>
    <hyperlink xmlns:r="http://schemas.openxmlformats.org/officeDocument/2006/relationships" ref="Y454" r:id="rId828"/>
    <hyperlink xmlns:r="http://schemas.openxmlformats.org/officeDocument/2006/relationships" ref="X455" r:id="rId829"/>
    <hyperlink xmlns:r="http://schemas.openxmlformats.org/officeDocument/2006/relationships" ref="Y455" r:id="rId830"/>
    <hyperlink xmlns:r="http://schemas.openxmlformats.org/officeDocument/2006/relationships" ref="X456" r:id="rId831"/>
    <hyperlink xmlns:r="http://schemas.openxmlformats.org/officeDocument/2006/relationships" ref="Y456" r:id="rId832"/>
    <hyperlink xmlns:r="http://schemas.openxmlformats.org/officeDocument/2006/relationships" ref="X457" r:id="rId833"/>
    <hyperlink xmlns:r="http://schemas.openxmlformats.org/officeDocument/2006/relationships" ref="Y457" r:id="rId834"/>
    <hyperlink xmlns:r="http://schemas.openxmlformats.org/officeDocument/2006/relationships" ref="X458" r:id="rId835"/>
    <hyperlink xmlns:r="http://schemas.openxmlformats.org/officeDocument/2006/relationships" ref="Y458" r:id="rId836"/>
    <hyperlink xmlns:r="http://schemas.openxmlformats.org/officeDocument/2006/relationships" ref="X459" r:id="rId837"/>
    <hyperlink xmlns:r="http://schemas.openxmlformats.org/officeDocument/2006/relationships" ref="Y459" r:id="rId838"/>
    <hyperlink xmlns:r="http://schemas.openxmlformats.org/officeDocument/2006/relationships" ref="X460" r:id="rId839"/>
    <hyperlink xmlns:r="http://schemas.openxmlformats.org/officeDocument/2006/relationships" ref="Y460" r:id="rId840"/>
    <hyperlink xmlns:r="http://schemas.openxmlformats.org/officeDocument/2006/relationships" ref="X461" r:id="rId841"/>
    <hyperlink xmlns:r="http://schemas.openxmlformats.org/officeDocument/2006/relationships" ref="Y461" r:id="rId842"/>
    <hyperlink xmlns:r="http://schemas.openxmlformats.org/officeDocument/2006/relationships" ref="X462" r:id="rId843"/>
    <hyperlink xmlns:r="http://schemas.openxmlformats.org/officeDocument/2006/relationships" ref="Y462" r:id="rId844"/>
    <hyperlink xmlns:r="http://schemas.openxmlformats.org/officeDocument/2006/relationships" ref="X463" r:id="rId845"/>
    <hyperlink xmlns:r="http://schemas.openxmlformats.org/officeDocument/2006/relationships" ref="Y463" r:id="rId846"/>
    <hyperlink xmlns:r="http://schemas.openxmlformats.org/officeDocument/2006/relationships" ref="X464" r:id="rId847"/>
    <hyperlink xmlns:r="http://schemas.openxmlformats.org/officeDocument/2006/relationships" ref="X465" r:id="rId848"/>
    <hyperlink xmlns:r="http://schemas.openxmlformats.org/officeDocument/2006/relationships" ref="X466" r:id="rId849"/>
    <hyperlink xmlns:r="http://schemas.openxmlformats.org/officeDocument/2006/relationships" ref="Y466" r:id="rId850"/>
    <hyperlink xmlns:r="http://schemas.openxmlformats.org/officeDocument/2006/relationships" ref="X467" r:id="rId851"/>
    <hyperlink xmlns:r="http://schemas.openxmlformats.org/officeDocument/2006/relationships" ref="Y467" r:id="rId852"/>
    <hyperlink xmlns:r="http://schemas.openxmlformats.org/officeDocument/2006/relationships" ref="X468" r:id="rId853"/>
    <hyperlink xmlns:r="http://schemas.openxmlformats.org/officeDocument/2006/relationships" ref="Y468" r:id="rId854"/>
    <hyperlink xmlns:r="http://schemas.openxmlformats.org/officeDocument/2006/relationships" ref="X469" r:id="rId855"/>
    <hyperlink xmlns:r="http://schemas.openxmlformats.org/officeDocument/2006/relationships" ref="Y469" r:id="rId856"/>
    <hyperlink xmlns:r="http://schemas.openxmlformats.org/officeDocument/2006/relationships" ref="X470" r:id="rId857"/>
    <hyperlink xmlns:r="http://schemas.openxmlformats.org/officeDocument/2006/relationships" ref="X471" r:id="rId858"/>
    <hyperlink xmlns:r="http://schemas.openxmlformats.org/officeDocument/2006/relationships" ref="Y471" r:id="rId859"/>
    <hyperlink xmlns:r="http://schemas.openxmlformats.org/officeDocument/2006/relationships" ref="X472" r:id="rId860"/>
    <hyperlink xmlns:r="http://schemas.openxmlformats.org/officeDocument/2006/relationships" ref="AB472" r:id="rId861"/>
    <hyperlink xmlns:r="http://schemas.openxmlformats.org/officeDocument/2006/relationships" ref="X473" r:id="rId862"/>
    <hyperlink xmlns:r="http://schemas.openxmlformats.org/officeDocument/2006/relationships" ref="Y473" r:id="rId863"/>
    <hyperlink xmlns:r="http://schemas.openxmlformats.org/officeDocument/2006/relationships" ref="X474" r:id="rId864"/>
    <hyperlink xmlns:r="http://schemas.openxmlformats.org/officeDocument/2006/relationships" ref="Y474" r:id="rId865"/>
    <hyperlink xmlns:r="http://schemas.openxmlformats.org/officeDocument/2006/relationships" ref="X475" r:id="rId866"/>
    <hyperlink xmlns:r="http://schemas.openxmlformats.org/officeDocument/2006/relationships" ref="X476" r:id="rId867"/>
    <hyperlink xmlns:r="http://schemas.openxmlformats.org/officeDocument/2006/relationships" ref="X477" r:id="rId868"/>
    <hyperlink xmlns:r="http://schemas.openxmlformats.org/officeDocument/2006/relationships" ref="X478" r:id="rId869"/>
    <hyperlink xmlns:r="http://schemas.openxmlformats.org/officeDocument/2006/relationships" ref="X479" r:id="rId870"/>
    <hyperlink xmlns:r="http://schemas.openxmlformats.org/officeDocument/2006/relationships" ref="Y479" r:id="rId871"/>
    <hyperlink xmlns:r="http://schemas.openxmlformats.org/officeDocument/2006/relationships" ref="AB479" r:id="rId872"/>
    <hyperlink xmlns:r="http://schemas.openxmlformats.org/officeDocument/2006/relationships" ref="X480" r:id="rId873"/>
    <hyperlink xmlns:r="http://schemas.openxmlformats.org/officeDocument/2006/relationships" ref="X481" r:id="rId874"/>
    <hyperlink xmlns:r="http://schemas.openxmlformats.org/officeDocument/2006/relationships" ref="X482" r:id="rId875"/>
    <hyperlink xmlns:r="http://schemas.openxmlformats.org/officeDocument/2006/relationships" ref="Y482" r:id="rId876"/>
    <hyperlink xmlns:r="http://schemas.openxmlformats.org/officeDocument/2006/relationships" ref="X483" r:id="rId877"/>
    <hyperlink xmlns:r="http://schemas.openxmlformats.org/officeDocument/2006/relationships" ref="Y483" r:id="rId878"/>
    <hyperlink xmlns:r="http://schemas.openxmlformats.org/officeDocument/2006/relationships" ref="AB483" r:id="rId879"/>
    <hyperlink xmlns:r="http://schemas.openxmlformats.org/officeDocument/2006/relationships" ref="X484" r:id="rId880"/>
    <hyperlink xmlns:r="http://schemas.openxmlformats.org/officeDocument/2006/relationships" ref="Y484" r:id="rId881"/>
    <hyperlink xmlns:r="http://schemas.openxmlformats.org/officeDocument/2006/relationships" ref="X485" r:id="rId882"/>
    <hyperlink xmlns:r="http://schemas.openxmlformats.org/officeDocument/2006/relationships" ref="X486" r:id="rId883"/>
    <hyperlink xmlns:r="http://schemas.openxmlformats.org/officeDocument/2006/relationships" ref="X487" r:id="rId884"/>
    <hyperlink xmlns:r="http://schemas.openxmlformats.org/officeDocument/2006/relationships" ref="X488" r:id="rId885"/>
    <hyperlink xmlns:r="http://schemas.openxmlformats.org/officeDocument/2006/relationships" ref="X489" r:id="rId886"/>
    <hyperlink xmlns:r="http://schemas.openxmlformats.org/officeDocument/2006/relationships" ref="AB489" r:id="rId887"/>
    <hyperlink xmlns:r="http://schemas.openxmlformats.org/officeDocument/2006/relationships" ref="X490" r:id="rId888"/>
    <hyperlink xmlns:r="http://schemas.openxmlformats.org/officeDocument/2006/relationships" ref="X491" r:id="rId889"/>
    <hyperlink xmlns:r="http://schemas.openxmlformats.org/officeDocument/2006/relationships" ref="Y491" r:id="rId890"/>
    <hyperlink xmlns:r="http://schemas.openxmlformats.org/officeDocument/2006/relationships" ref="X492" r:id="rId891"/>
    <hyperlink xmlns:r="http://schemas.openxmlformats.org/officeDocument/2006/relationships" ref="X493" r:id="rId892"/>
    <hyperlink xmlns:r="http://schemas.openxmlformats.org/officeDocument/2006/relationships" ref="X494" r:id="rId893"/>
    <hyperlink xmlns:r="http://schemas.openxmlformats.org/officeDocument/2006/relationships" ref="Y494" r:id="rId894"/>
    <hyperlink xmlns:r="http://schemas.openxmlformats.org/officeDocument/2006/relationships" ref="X495" r:id="rId895"/>
    <hyperlink xmlns:r="http://schemas.openxmlformats.org/officeDocument/2006/relationships" ref="Y495" r:id="rId896"/>
    <hyperlink xmlns:r="http://schemas.openxmlformats.org/officeDocument/2006/relationships" ref="X496" r:id="rId897"/>
    <hyperlink xmlns:r="http://schemas.openxmlformats.org/officeDocument/2006/relationships" ref="X497" r:id="rId898"/>
    <hyperlink xmlns:r="http://schemas.openxmlformats.org/officeDocument/2006/relationships" ref="X498" r:id="rId899"/>
    <hyperlink xmlns:r="http://schemas.openxmlformats.org/officeDocument/2006/relationships" ref="AB498" r:id="rId900"/>
    <hyperlink xmlns:r="http://schemas.openxmlformats.org/officeDocument/2006/relationships" ref="X499" r:id="rId901"/>
    <hyperlink xmlns:r="http://schemas.openxmlformats.org/officeDocument/2006/relationships" ref="X500" r:id="rId902"/>
    <hyperlink xmlns:r="http://schemas.openxmlformats.org/officeDocument/2006/relationships" ref="X501" r:id="rId903"/>
    <hyperlink xmlns:r="http://schemas.openxmlformats.org/officeDocument/2006/relationships" ref="Y501" r:id="rId904"/>
    <hyperlink xmlns:r="http://schemas.openxmlformats.org/officeDocument/2006/relationships" ref="AB501" r:id="rId905"/>
    <hyperlink xmlns:r="http://schemas.openxmlformats.org/officeDocument/2006/relationships" ref="X502" r:id="rId906"/>
    <hyperlink xmlns:r="http://schemas.openxmlformats.org/officeDocument/2006/relationships" ref="Y502" r:id="rId907"/>
    <hyperlink xmlns:r="http://schemas.openxmlformats.org/officeDocument/2006/relationships" ref="X503" r:id="rId908"/>
    <hyperlink xmlns:r="http://schemas.openxmlformats.org/officeDocument/2006/relationships" ref="Y503" r:id="rId909"/>
    <hyperlink xmlns:r="http://schemas.openxmlformats.org/officeDocument/2006/relationships" ref="AB503" r:id="rId910"/>
    <hyperlink xmlns:r="http://schemas.openxmlformats.org/officeDocument/2006/relationships" ref="X504" r:id="rId911"/>
    <hyperlink xmlns:r="http://schemas.openxmlformats.org/officeDocument/2006/relationships" ref="Y504" r:id="rId912"/>
    <hyperlink xmlns:r="http://schemas.openxmlformats.org/officeDocument/2006/relationships" ref="AB504" r:id="rId913"/>
    <hyperlink xmlns:r="http://schemas.openxmlformats.org/officeDocument/2006/relationships" ref="X505" r:id="rId914"/>
    <hyperlink xmlns:r="http://schemas.openxmlformats.org/officeDocument/2006/relationships" ref="Y505" r:id="rId915"/>
    <hyperlink xmlns:r="http://schemas.openxmlformats.org/officeDocument/2006/relationships" ref="AB505" r:id="rId916"/>
    <hyperlink xmlns:r="http://schemas.openxmlformats.org/officeDocument/2006/relationships" ref="X506" r:id="rId917"/>
    <hyperlink xmlns:r="http://schemas.openxmlformats.org/officeDocument/2006/relationships" ref="Y506" r:id="rId918"/>
    <hyperlink xmlns:r="http://schemas.openxmlformats.org/officeDocument/2006/relationships" ref="X507" r:id="rId919"/>
    <hyperlink xmlns:r="http://schemas.openxmlformats.org/officeDocument/2006/relationships" ref="Y507" r:id="rId920"/>
    <hyperlink xmlns:r="http://schemas.openxmlformats.org/officeDocument/2006/relationships" ref="AB507" r:id="rId921"/>
    <hyperlink xmlns:r="http://schemas.openxmlformats.org/officeDocument/2006/relationships" ref="X508" r:id="rId922"/>
    <hyperlink xmlns:r="http://schemas.openxmlformats.org/officeDocument/2006/relationships" ref="Y508" r:id="rId923"/>
    <hyperlink xmlns:r="http://schemas.openxmlformats.org/officeDocument/2006/relationships" ref="X509" r:id="rId924"/>
    <hyperlink xmlns:r="http://schemas.openxmlformats.org/officeDocument/2006/relationships" ref="Y509" r:id="rId925"/>
    <hyperlink xmlns:r="http://schemas.openxmlformats.org/officeDocument/2006/relationships" ref="AB509" r:id="rId926"/>
    <hyperlink xmlns:r="http://schemas.openxmlformats.org/officeDocument/2006/relationships" ref="X510" r:id="rId927"/>
    <hyperlink xmlns:r="http://schemas.openxmlformats.org/officeDocument/2006/relationships" ref="Y510" r:id="rId928"/>
    <hyperlink xmlns:r="http://schemas.openxmlformats.org/officeDocument/2006/relationships" ref="X511" r:id="rId929"/>
    <hyperlink xmlns:r="http://schemas.openxmlformats.org/officeDocument/2006/relationships" ref="Y511" r:id="rId930"/>
    <hyperlink xmlns:r="http://schemas.openxmlformats.org/officeDocument/2006/relationships" ref="AB511" r:id="rId931"/>
    <hyperlink xmlns:r="http://schemas.openxmlformats.org/officeDocument/2006/relationships" ref="X512" r:id="rId932"/>
    <hyperlink xmlns:r="http://schemas.openxmlformats.org/officeDocument/2006/relationships" ref="Y512" r:id="rId933"/>
    <hyperlink xmlns:r="http://schemas.openxmlformats.org/officeDocument/2006/relationships" ref="AB512" r:id="rId934"/>
    <hyperlink xmlns:r="http://schemas.openxmlformats.org/officeDocument/2006/relationships" ref="X513" r:id="rId935"/>
    <hyperlink xmlns:r="http://schemas.openxmlformats.org/officeDocument/2006/relationships" ref="Y513" r:id="rId936"/>
    <hyperlink xmlns:r="http://schemas.openxmlformats.org/officeDocument/2006/relationships" ref="AB513" r:id="rId937"/>
    <hyperlink xmlns:r="http://schemas.openxmlformats.org/officeDocument/2006/relationships" ref="X514" r:id="rId938"/>
    <hyperlink xmlns:r="http://schemas.openxmlformats.org/officeDocument/2006/relationships" ref="X515" r:id="rId939"/>
    <hyperlink xmlns:r="http://schemas.openxmlformats.org/officeDocument/2006/relationships" ref="Y515" r:id="rId940"/>
    <hyperlink xmlns:r="http://schemas.openxmlformats.org/officeDocument/2006/relationships" ref="AB515" r:id="rId941"/>
    <hyperlink xmlns:r="http://schemas.openxmlformats.org/officeDocument/2006/relationships" ref="X516" r:id="rId942"/>
    <hyperlink xmlns:r="http://schemas.openxmlformats.org/officeDocument/2006/relationships" ref="Y516" r:id="rId943"/>
    <hyperlink xmlns:r="http://schemas.openxmlformats.org/officeDocument/2006/relationships" ref="AB516" r:id="rId944"/>
    <hyperlink xmlns:r="http://schemas.openxmlformats.org/officeDocument/2006/relationships" ref="X517" r:id="rId945"/>
    <hyperlink xmlns:r="http://schemas.openxmlformats.org/officeDocument/2006/relationships" ref="Y517" r:id="rId946"/>
    <hyperlink xmlns:r="http://schemas.openxmlformats.org/officeDocument/2006/relationships" ref="AB517" r:id="rId947"/>
    <hyperlink xmlns:r="http://schemas.openxmlformats.org/officeDocument/2006/relationships" ref="X518" r:id="rId948"/>
    <hyperlink xmlns:r="http://schemas.openxmlformats.org/officeDocument/2006/relationships" ref="Y518" r:id="rId949"/>
    <hyperlink xmlns:r="http://schemas.openxmlformats.org/officeDocument/2006/relationships" ref="AB518" r:id="rId950"/>
    <hyperlink xmlns:r="http://schemas.openxmlformats.org/officeDocument/2006/relationships" ref="X519" r:id="rId951"/>
    <hyperlink xmlns:r="http://schemas.openxmlformats.org/officeDocument/2006/relationships" ref="Y519" r:id="rId952"/>
    <hyperlink xmlns:r="http://schemas.openxmlformats.org/officeDocument/2006/relationships" ref="AB519" r:id="rId953"/>
    <hyperlink xmlns:r="http://schemas.openxmlformats.org/officeDocument/2006/relationships" ref="X520" r:id="rId954"/>
    <hyperlink xmlns:r="http://schemas.openxmlformats.org/officeDocument/2006/relationships" ref="Y520" r:id="rId955"/>
    <hyperlink xmlns:r="http://schemas.openxmlformats.org/officeDocument/2006/relationships" ref="AB520" r:id="rId956"/>
    <hyperlink xmlns:r="http://schemas.openxmlformats.org/officeDocument/2006/relationships" ref="X521" r:id="rId957"/>
    <hyperlink xmlns:r="http://schemas.openxmlformats.org/officeDocument/2006/relationships" ref="X522" r:id="rId958"/>
    <hyperlink xmlns:r="http://schemas.openxmlformats.org/officeDocument/2006/relationships" ref="Y522" r:id="rId959"/>
    <hyperlink xmlns:r="http://schemas.openxmlformats.org/officeDocument/2006/relationships" ref="AB522" r:id="rId960"/>
    <hyperlink xmlns:r="http://schemas.openxmlformats.org/officeDocument/2006/relationships" ref="X523" r:id="rId961"/>
    <hyperlink xmlns:r="http://schemas.openxmlformats.org/officeDocument/2006/relationships" ref="Y523" r:id="rId962"/>
    <hyperlink xmlns:r="http://schemas.openxmlformats.org/officeDocument/2006/relationships" ref="X524" r:id="rId963"/>
    <hyperlink xmlns:r="http://schemas.openxmlformats.org/officeDocument/2006/relationships" ref="Y524" r:id="rId964"/>
    <hyperlink xmlns:r="http://schemas.openxmlformats.org/officeDocument/2006/relationships" ref="AB524" r:id="rId965"/>
    <hyperlink xmlns:r="http://schemas.openxmlformats.org/officeDocument/2006/relationships" ref="X525" r:id="rId966"/>
    <hyperlink xmlns:r="http://schemas.openxmlformats.org/officeDocument/2006/relationships" ref="Y525" r:id="rId967"/>
    <hyperlink xmlns:r="http://schemas.openxmlformats.org/officeDocument/2006/relationships" ref="X526" r:id="rId968"/>
    <hyperlink xmlns:r="http://schemas.openxmlformats.org/officeDocument/2006/relationships" ref="Y526" r:id="rId969"/>
    <hyperlink xmlns:r="http://schemas.openxmlformats.org/officeDocument/2006/relationships" ref="X527" r:id="rId970"/>
    <hyperlink xmlns:r="http://schemas.openxmlformats.org/officeDocument/2006/relationships" ref="Y527" r:id="rId971"/>
    <hyperlink xmlns:r="http://schemas.openxmlformats.org/officeDocument/2006/relationships" ref="AB527" r:id="rId972"/>
    <hyperlink xmlns:r="http://schemas.openxmlformats.org/officeDocument/2006/relationships" ref="X528" r:id="rId973"/>
    <hyperlink xmlns:r="http://schemas.openxmlformats.org/officeDocument/2006/relationships" ref="Y528" r:id="rId974"/>
    <hyperlink xmlns:r="http://schemas.openxmlformats.org/officeDocument/2006/relationships" ref="AB528" r:id="rId975"/>
    <hyperlink xmlns:r="http://schemas.openxmlformats.org/officeDocument/2006/relationships" ref="X529" r:id="rId976"/>
    <hyperlink xmlns:r="http://schemas.openxmlformats.org/officeDocument/2006/relationships" ref="Y529" r:id="rId977"/>
    <hyperlink xmlns:r="http://schemas.openxmlformats.org/officeDocument/2006/relationships" ref="AB529" r:id="rId978"/>
    <hyperlink xmlns:r="http://schemas.openxmlformats.org/officeDocument/2006/relationships" ref="X530" r:id="rId979"/>
    <hyperlink xmlns:r="http://schemas.openxmlformats.org/officeDocument/2006/relationships" ref="Y530" r:id="rId980"/>
    <hyperlink xmlns:r="http://schemas.openxmlformats.org/officeDocument/2006/relationships" ref="AB530" r:id="rId981"/>
    <hyperlink xmlns:r="http://schemas.openxmlformats.org/officeDocument/2006/relationships" ref="X531" r:id="rId982"/>
    <hyperlink xmlns:r="http://schemas.openxmlformats.org/officeDocument/2006/relationships" ref="Y531" r:id="rId983"/>
    <hyperlink xmlns:r="http://schemas.openxmlformats.org/officeDocument/2006/relationships" ref="AB531" r:id="rId984"/>
    <hyperlink xmlns:r="http://schemas.openxmlformats.org/officeDocument/2006/relationships" ref="X532" r:id="rId985"/>
    <hyperlink xmlns:r="http://schemas.openxmlformats.org/officeDocument/2006/relationships" ref="Y532" r:id="rId986"/>
    <hyperlink xmlns:r="http://schemas.openxmlformats.org/officeDocument/2006/relationships" ref="AB532" r:id="rId987"/>
    <hyperlink xmlns:r="http://schemas.openxmlformats.org/officeDocument/2006/relationships" ref="X533" r:id="rId988"/>
    <hyperlink xmlns:r="http://schemas.openxmlformats.org/officeDocument/2006/relationships" ref="Y533" r:id="rId989"/>
    <hyperlink xmlns:r="http://schemas.openxmlformats.org/officeDocument/2006/relationships" ref="AB533" r:id="rId990"/>
    <hyperlink xmlns:r="http://schemas.openxmlformats.org/officeDocument/2006/relationships" ref="X534" r:id="rId991"/>
    <hyperlink xmlns:r="http://schemas.openxmlformats.org/officeDocument/2006/relationships" ref="Y534" r:id="rId992"/>
    <hyperlink xmlns:r="http://schemas.openxmlformats.org/officeDocument/2006/relationships" ref="AB534" r:id="rId993"/>
    <hyperlink xmlns:r="http://schemas.openxmlformats.org/officeDocument/2006/relationships" ref="X535" r:id="rId994"/>
    <hyperlink xmlns:r="http://schemas.openxmlformats.org/officeDocument/2006/relationships" ref="Y535" r:id="rId995"/>
    <hyperlink xmlns:r="http://schemas.openxmlformats.org/officeDocument/2006/relationships" ref="AB535" r:id="rId996"/>
    <hyperlink xmlns:r="http://schemas.openxmlformats.org/officeDocument/2006/relationships" ref="X536" r:id="rId997"/>
    <hyperlink xmlns:r="http://schemas.openxmlformats.org/officeDocument/2006/relationships" ref="Y536" r:id="rId998"/>
    <hyperlink xmlns:r="http://schemas.openxmlformats.org/officeDocument/2006/relationships" ref="AB536" r:id="rId999"/>
    <hyperlink xmlns:r="http://schemas.openxmlformats.org/officeDocument/2006/relationships" ref="X537" r:id="rId1000"/>
    <hyperlink xmlns:r="http://schemas.openxmlformats.org/officeDocument/2006/relationships" ref="Y537" r:id="rId1001"/>
    <hyperlink xmlns:r="http://schemas.openxmlformats.org/officeDocument/2006/relationships" ref="AB537" r:id="rId1002"/>
    <hyperlink xmlns:r="http://schemas.openxmlformats.org/officeDocument/2006/relationships" ref="X538" r:id="rId1003"/>
    <hyperlink xmlns:r="http://schemas.openxmlformats.org/officeDocument/2006/relationships" ref="Y538" r:id="rId1004"/>
    <hyperlink xmlns:r="http://schemas.openxmlformats.org/officeDocument/2006/relationships" ref="AB538" r:id="rId1005"/>
    <hyperlink xmlns:r="http://schemas.openxmlformats.org/officeDocument/2006/relationships" ref="X539" r:id="rId1006"/>
    <hyperlink xmlns:r="http://schemas.openxmlformats.org/officeDocument/2006/relationships" ref="Y539" r:id="rId1007"/>
    <hyperlink xmlns:r="http://schemas.openxmlformats.org/officeDocument/2006/relationships" ref="AB539" r:id="rId1008"/>
    <hyperlink xmlns:r="http://schemas.openxmlformats.org/officeDocument/2006/relationships" ref="X540" r:id="rId1009"/>
    <hyperlink xmlns:r="http://schemas.openxmlformats.org/officeDocument/2006/relationships" ref="Y540" r:id="rId1010"/>
    <hyperlink xmlns:r="http://schemas.openxmlformats.org/officeDocument/2006/relationships" ref="AB540" r:id="rId1011"/>
    <hyperlink xmlns:r="http://schemas.openxmlformats.org/officeDocument/2006/relationships" ref="X541" r:id="rId1012"/>
    <hyperlink xmlns:r="http://schemas.openxmlformats.org/officeDocument/2006/relationships" ref="Y541" r:id="rId1013"/>
    <hyperlink xmlns:r="http://schemas.openxmlformats.org/officeDocument/2006/relationships" ref="AB541" r:id="rId1014"/>
    <hyperlink xmlns:r="http://schemas.openxmlformats.org/officeDocument/2006/relationships" ref="X542" r:id="rId1015"/>
    <hyperlink xmlns:r="http://schemas.openxmlformats.org/officeDocument/2006/relationships" ref="Y542" r:id="rId1016"/>
    <hyperlink xmlns:r="http://schemas.openxmlformats.org/officeDocument/2006/relationships" ref="AB542" r:id="rId1017"/>
    <hyperlink xmlns:r="http://schemas.openxmlformats.org/officeDocument/2006/relationships" ref="X543" r:id="rId1018"/>
    <hyperlink xmlns:r="http://schemas.openxmlformats.org/officeDocument/2006/relationships" ref="Y543" r:id="rId1019"/>
    <hyperlink xmlns:r="http://schemas.openxmlformats.org/officeDocument/2006/relationships" ref="AB543" r:id="rId1020"/>
    <hyperlink xmlns:r="http://schemas.openxmlformats.org/officeDocument/2006/relationships" ref="X544" r:id="rId1021"/>
    <hyperlink xmlns:r="http://schemas.openxmlformats.org/officeDocument/2006/relationships" ref="Y544" r:id="rId1022"/>
    <hyperlink xmlns:r="http://schemas.openxmlformats.org/officeDocument/2006/relationships" ref="AB544" r:id="rId1023"/>
    <hyperlink xmlns:r="http://schemas.openxmlformats.org/officeDocument/2006/relationships" ref="X545" r:id="rId1024"/>
    <hyperlink xmlns:r="http://schemas.openxmlformats.org/officeDocument/2006/relationships" ref="Y545" r:id="rId1025"/>
    <hyperlink xmlns:r="http://schemas.openxmlformats.org/officeDocument/2006/relationships" ref="AB545" r:id="rId1026"/>
    <hyperlink xmlns:r="http://schemas.openxmlformats.org/officeDocument/2006/relationships" ref="X546" r:id="rId1027"/>
    <hyperlink xmlns:r="http://schemas.openxmlformats.org/officeDocument/2006/relationships" ref="Y546" r:id="rId1028"/>
    <hyperlink xmlns:r="http://schemas.openxmlformats.org/officeDocument/2006/relationships" ref="AB546" r:id="rId1029"/>
    <hyperlink xmlns:r="http://schemas.openxmlformats.org/officeDocument/2006/relationships" ref="X547" r:id="rId1030"/>
    <hyperlink xmlns:r="http://schemas.openxmlformats.org/officeDocument/2006/relationships" ref="Y547" r:id="rId1031"/>
    <hyperlink xmlns:r="http://schemas.openxmlformats.org/officeDocument/2006/relationships" ref="AB547" r:id="rId1032"/>
    <hyperlink xmlns:r="http://schemas.openxmlformats.org/officeDocument/2006/relationships" ref="X548" r:id="rId1033"/>
    <hyperlink xmlns:r="http://schemas.openxmlformats.org/officeDocument/2006/relationships" ref="Y548" r:id="rId1034"/>
    <hyperlink xmlns:r="http://schemas.openxmlformats.org/officeDocument/2006/relationships" ref="AB548" r:id="rId1035"/>
    <hyperlink xmlns:r="http://schemas.openxmlformats.org/officeDocument/2006/relationships" ref="X549" r:id="rId1036"/>
    <hyperlink xmlns:r="http://schemas.openxmlformats.org/officeDocument/2006/relationships" ref="Y549" r:id="rId1037"/>
    <hyperlink xmlns:r="http://schemas.openxmlformats.org/officeDocument/2006/relationships" ref="AB549" r:id="rId1038"/>
    <hyperlink xmlns:r="http://schemas.openxmlformats.org/officeDocument/2006/relationships" ref="X550" r:id="rId1039"/>
    <hyperlink xmlns:r="http://schemas.openxmlformats.org/officeDocument/2006/relationships" ref="Y550" r:id="rId1040"/>
    <hyperlink xmlns:r="http://schemas.openxmlformats.org/officeDocument/2006/relationships" ref="AB550" r:id="rId1041"/>
    <hyperlink xmlns:r="http://schemas.openxmlformats.org/officeDocument/2006/relationships" ref="X551" r:id="rId1042"/>
    <hyperlink xmlns:r="http://schemas.openxmlformats.org/officeDocument/2006/relationships" ref="Y551" r:id="rId1043"/>
    <hyperlink xmlns:r="http://schemas.openxmlformats.org/officeDocument/2006/relationships" ref="AB551" r:id="rId1044"/>
    <hyperlink xmlns:r="http://schemas.openxmlformats.org/officeDocument/2006/relationships" ref="X552" r:id="rId1045"/>
    <hyperlink xmlns:r="http://schemas.openxmlformats.org/officeDocument/2006/relationships" ref="Y552" r:id="rId1046"/>
    <hyperlink xmlns:r="http://schemas.openxmlformats.org/officeDocument/2006/relationships" ref="AB552" r:id="rId1047"/>
    <hyperlink xmlns:r="http://schemas.openxmlformats.org/officeDocument/2006/relationships" ref="X553" r:id="rId1048"/>
    <hyperlink xmlns:r="http://schemas.openxmlformats.org/officeDocument/2006/relationships" ref="Y553" r:id="rId1049"/>
    <hyperlink xmlns:r="http://schemas.openxmlformats.org/officeDocument/2006/relationships" ref="AB553" r:id="rId1050"/>
    <hyperlink xmlns:r="http://schemas.openxmlformats.org/officeDocument/2006/relationships" ref="X554" r:id="rId1051"/>
    <hyperlink xmlns:r="http://schemas.openxmlformats.org/officeDocument/2006/relationships" ref="Y554" r:id="rId1052"/>
    <hyperlink xmlns:r="http://schemas.openxmlformats.org/officeDocument/2006/relationships" ref="AB554" r:id="rId1053"/>
    <hyperlink xmlns:r="http://schemas.openxmlformats.org/officeDocument/2006/relationships" ref="X555" r:id="rId1054"/>
    <hyperlink xmlns:r="http://schemas.openxmlformats.org/officeDocument/2006/relationships" ref="Y555" r:id="rId1055"/>
    <hyperlink xmlns:r="http://schemas.openxmlformats.org/officeDocument/2006/relationships" ref="AB555" r:id="rId1056"/>
    <hyperlink xmlns:r="http://schemas.openxmlformats.org/officeDocument/2006/relationships" ref="X556" r:id="rId1057"/>
    <hyperlink xmlns:r="http://schemas.openxmlformats.org/officeDocument/2006/relationships" ref="Y556" r:id="rId1058"/>
    <hyperlink xmlns:r="http://schemas.openxmlformats.org/officeDocument/2006/relationships" ref="AB556" r:id="rId1059"/>
    <hyperlink xmlns:r="http://schemas.openxmlformats.org/officeDocument/2006/relationships" ref="X557" r:id="rId1060"/>
    <hyperlink xmlns:r="http://schemas.openxmlformats.org/officeDocument/2006/relationships" ref="Y557" r:id="rId1061"/>
    <hyperlink xmlns:r="http://schemas.openxmlformats.org/officeDocument/2006/relationships" ref="AB557" r:id="rId1062"/>
    <hyperlink xmlns:r="http://schemas.openxmlformats.org/officeDocument/2006/relationships" ref="X558" r:id="rId1063"/>
    <hyperlink xmlns:r="http://schemas.openxmlformats.org/officeDocument/2006/relationships" ref="Y558" r:id="rId1064"/>
    <hyperlink xmlns:r="http://schemas.openxmlformats.org/officeDocument/2006/relationships" ref="AB558" r:id="rId1065"/>
    <hyperlink xmlns:r="http://schemas.openxmlformats.org/officeDocument/2006/relationships" ref="X559" r:id="rId1066"/>
    <hyperlink xmlns:r="http://schemas.openxmlformats.org/officeDocument/2006/relationships" ref="Y559" r:id="rId1067"/>
    <hyperlink xmlns:r="http://schemas.openxmlformats.org/officeDocument/2006/relationships" ref="AB559" r:id="rId1068"/>
    <hyperlink xmlns:r="http://schemas.openxmlformats.org/officeDocument/2006/relationships" ref="X560" r:id="rId1069"/>
    <hyperlink xmlns:r="http://schemas.openxmlformats.org/officeDocument/2006/relationships" ref="Y560" r:id="rId1070"/>
    <hyperlink xmlns:r="http://schemas.openxmlformats.org/officeDocument/2006/relationships" ref="AB560" r:id="rId1071"/>
    <hyperlink xmlns:r="http://schemas.openxmlformats.org/officeDocument/2006/relationships" ref="X561" r:id="rId1072"/>
    <hyperlink xmlns:r="http://schemas.openxmlformats.org/officeDocument/2006/relationships" ref="Y561" r:id="rId1073"/>
    <hyperlink xmlns:r="http://schemas.openxmlformats.org/officeDocument/2006/relationships" ref="AB561" r:id="rId1074"/>
    <hyperlink xmlns:r="http://schemas.openxmlformats.org/officeDocument/2006/relationships" ref="X562" r:id="rId1075"/>
    <hyperlink xmlns:r="http://schemas.openxmlformats.org/officeDocument/2006/relationships" ref="Y562" r:id="rId1076"/>
    <hyperlink xmlns:r="http://schemas.openxmlformats.org/officeDocument/2006/relationships" ref="AB562" r:id="rId1077"/>
    <hyperlink xmlns:r="http://schemas.openxmlformats.org/officeDocument/2006/relationships" ref="X563" r:id="rId1078"/>
    <hyperlink xmlns:r="http://schemas.openxmlformats.org/officeDocument/2006/relationships" ref="Y563" r:id="rId1079"/>
    <hyperlink xmlns:r="http://schemas.openxmlformats.org/officeDocument/2006/relationships" ref="AB563" r:id="rId1080"/>
    <hyperlink xmlns:r="http://schemas.openxmlformats.org/officeDocument/2006/relationships" ref="X564" r:id="rId1081"/>
    <hyperlink xmlns:r="http://schemas.openxmlformats.org/officeDocument/2006/relationships" ref="Y564" r:id="rId1082"/>
    <hyperlink xmlns:r="http://schemas.openxmlformats.org/officeDocument/2006/relationships" ref="AB564" r:id="rId1083"/>
    <hyperlink xmlns:r="http://schemas.openxmlformats.org/officeDocument/2006/relationships" ref="X565" r:id="rId1084"/>
    <hyperlink xmlns:r="http://schemas.openxmlformats.org/officeDocument/2006/relationships" ref="Y565" r:id="rId1085"/>
    <hyperlink xmlns:r="http://schemas.openxmlformats.org/officeDocument/2006/relationships" ref="AB565" r:id="rId1086"/>
    <hyperlink xmlns:r="http://schemas.openxmlformats.org/officeDocument/2006/relationships" ref="X566" r:id="rId1087"/>
    <hyperlink xmlns:r="http://schemas.openxmlformats.org/officeDocument/2006/relationships" ref="Y566" r:id="rId1088"/>
    <hyperlink xmlns:r="http://schemas.openxmlformats.org/officeDocument/2006/relationships" ref="AB566" r:id="rId1089"/>
    <hyperlink xmlns:r="http://schemas.openxmlformats.org/officeDocument/2006/relationships" ref="X567" r:id="rId1090"/>
    <hyperlink xmlns:r="http://schemas.openxmlformats.org/officeDocument/2006/relationships" ref="Y567" r:id="rId1091"/>
    <hyperlink xmlns:r="http://schemas.openxmlformats.org/officeDocument/2006/relationships" ref="AB567" r:id="rId1092"/>
    <hyperlink xmlns:r="http://schemas.openxmlformats.org/officeDocument/2006/relationships" ref="X568" r:id="rId1093"/>
    <hyperlink xmlns:r="http://schemas.openxmlformats.org/officeDocument/2006/relationships" ref="Y568" r:id="rId1094"/>
    <hyperlink xmlns:r="http://schemas.openxmlformats.org/officeDocument/2006/relationships" ref="AB568" r:id="rId1095"/>
    <hyperlink xmlns:r="http://schemas.openxmlformats.org/officeDocument/2006/relationships" ref="X569" r:id="rId1096"/>
    <hyperlink xmlns:r="http://schemas.openxmlformats.org/officeDocument/2006/relationships" ref="Y569" r:id="rId1097"/>
    <hyperlink xmlns:r="http://schemas.openxmlformats.org/officeDocument/2006/relationships" ref="AB569" r:id="rId1098"/>
    <hyperlink xmlns:r="http://schemas.openxmlformats.org/officeDocument/2006/relationships" ref="X570" r:id="rId1099"/>
    <hyperlink xmlns:r="http://schemas.openxmlformats.org/officeDocument/2006/relationships" ref="Y570" r:id="rId1100"/>
    <hyperlink xmlns:r="http://schemas.openxmlformats.org/officeDocument/2006/relationships" ref="AB570" r:id="rId1101"/>
    <hyperlink xmlns:r="http://schemas.openxmlformats.org/officeDocument/2006/relationships" ref="X571" r:id="rId1102"/>
    <hyperlink xmlns:r="http://schemas.openxmlformats.org/officeDocument/2006/relationships" ref="Y571" r:id="rId1103"/>
    <hyperlink xmlns:r="http://schemas.openxmlformats.org/officeDocument/2006/relationships" ref="AB571" r:id="rId1104"/>
    <hyperlink xmlns:r="http://schemas.openxmlformats.org/officeDocument/2006/relationships" ref="X572" r:id="rId1105"/>
    <hyperlink xmlns:r="http://schemas.openxmlformats.org/officeDocument/2006/relationships" ref="Y572" r:id="rId1106"/>
    <hyperlink xmlns:r="http://schemas.openxmlformats.org/officeDocument/2006/relationships" ref="AB572" r:id="rId1107"/>
    <hyperlink xmlns:r="http://schemas.openxmlformats.org/officeDocument/2006/relationships" ref="X573" r:id="rId1108"/>
    <hyperlink xmlns:r="http://schemas.openxmlformats.org/officeDocument/2006/relationships" ref="Y573" r:id="rId1109"/>
    <hyperlink xmlns:r="http://schemas.openxmlformats.org/officeDocument/2006/relationships" ref="AB573" r:id="rId1110"/>
    <hyperlink xmlns:r="http://schemas.openxmlformats.org/officeDocument/2006/relationships" ref="X574" r:id="rId1111"/>
    <hyperlink xmlns:r="http://schemas.openxmlformats.org/officeDocument/2006/relationships" ref="Y574" r:id="rId1112"/>
    <hyperlink xmlns:r="http://schemas.openxmlformats.org/officeDocument/2006/relationships" ref="AB574" r:id="rId1113"/>
    <hyperlink xmlns:r="http://schemas.openxmlformats.org/officeDocument/2006/relationships" ref="X575" r:id="rId1114"/>
    <hyperlink xmlns:r="http://schemas.openxmlformats.org/officeDocument/2006/relationships" ref="Y575" r:id="rId1115"/>
    <hyperlink xmlns:r="http://schemas.openxmlformats.org/officeDocument/2006/relationships" ref="AB575" r:id="rId1116"/>
    <hyperlink xmlns:r="http://schemas.openxmlformats.org/officeDocument/2006/relationships" ref="X576" r:id="rId1117"/>
    <hyperlink xmlns:r="http://schemas.openxmlformats.org/officeDocument/2006/relationships" ref="Y576" r:id="rId1118"/>
    <hyperlink xmlns:r="http://schemas.openxmlformats.org/officeDocument/2006/relationships" ref="AB576" r:id="rId1119"/>
    <hyperlink xmlns:r="http://schemas.openxmlformats.org/officeDocument/2006/relationships" ref="X577" r:id="rId1120"/>
    <hyperlink xmlns:r="http://schemas.openxmlformats.org/officeDocument/2006/relationships" ref="Y577" r:id="rId1121"/>
    <hyperlink xmlns:r="http://schemas.openxmlformats.org/officeDocument/2006/relationships" ref="AB577" r:id="rId1122"/>
    <hyperlink xmlns:r="http://schemas.openxmlformats.org/officeDocument/2006/relationships" ref="X578" r:id="rId1123"/>
    <hyperlink xmlns:r="http://schemas.openxmlformats.org/officeDocument/2006/relationships" ref="Y578" r:id="rId1124"/>
    <hyperlink xmlns:r="http://schemas.openxmlformats.org/officeDocument/2006/relationships" ref="AB578" r:id="rId1125"/>
    <hyperlink xmlns:r="http://schemas.openxmlformats.org/officeDocument/2006/relationships" ref="X579" r:id="rId1126"/>
    <hyperlink xmlns:r="http://schemas.openxmlformats.org/officeDocument/2006/relationships" ref="Y579" r:id="rId1127"/>
    <hyperlink xmlns:r="http://schemas.openxmlformats.org/officeDocument/2006/relationships" ref="AB579" r:id="rId1128"/>
    <hyperlink xmlns:r="http://schemas.openxmlformats.org/officeDocument/2006/relationships" ref="X580" r:id="rId1129"/>
    <hyperlink xmlns:r="http://schemas.openxmlformats.org/officeDocument/2006/relationships" ref="Y580" r:id="rId1130"/>
    <hyperlink xmlns:r="http://schemas.openxmlformats.org/officeDocument/2006/relationships" ref="AB580" r:id="rId1131"/>
    <hyperlink xmlns:r="http://schemas.openxmlformats.org/officeDocument/2006/relationships" ref="X581" r:id="rId1132"/>
    <hyperlink xmlns:r="http://schemas.openxmlformats.org/officeDocument/2006/relationships" ref="Y581" r:id="rId1133"/>
    <hyperlink xmlns:r="http://schemas.openxmlformats.org/officeDocument/2006/relationships" ref="AB581" r:id="rId1134"/>
    <hyperlink xmlns:r="http://schemas.openxmlformats.org/officeDocument/2006/relationships" ref="X582" r:id="rId1135"/>
    <hyperlink xmlns:r="http://schemas.openxmlformats.org/officeDocument/2006/relationships" ref="Y582" r:id="rId1136"/>
    <hyperlink xmlns:r="http://schemas.openxmlformats.org/officeDocument/2006/relationships" ref="AB582" r:id="rId1137"/>
    <hyperlink xmlns:r="http://schemas.openxmlformats.org/officeDocument/2006/relationships" ref="X583" r:id="rId1138"/>
    <hyperlink xmlns:r="http://schemas.openxmlformats.org/officeDocument/2006/relationships" ref="Y583" r:id="rId1139"/>
    <hyperlink xmlns:r="http://schemas.openxmlformats.org/officeDocument/2006/relationships" ref="AB583" r:id="rId1140"/>
    <hyperlink xmlns:r="http://schemas.openxmlformats.org/officeDocument/2006/relationships" ref="X584" r:id="rId1141"/>
    <hyperlink xmlns:r="http://schemas.openxmlformats.org/officeDocument/2006/relationships" ref="Y584" r:id="rId1142"/>
    <hyperlink xmlns:r="http://schemas.openxmlformats.org/officeDocument/2006/relationships" ref="AB584" r:id="rId1143"/>
    <hyperlink xmlns:r="http://schemas.openxmlformats.org/officeDocument/2006/relationships" ref="X585" r:id="rId1144"/>
    <hyperlink xmlns:r="http://schemas.openxmlformats.org/officeDocument/2006/relationships" ref="Y585" r:id="rId1145"/>
    <hyperlink xmlns:r="http://schemas.openxmlformats.org/officeDocument/2006/relationships" ref="AB585" r:id="rId1146"/>
    <hyperlink xmlns:r="http://schemas.openxmlformats.org/officeDocument/2006/relationships" ref="X586" r:id="rId1147"/>
    <hyperlink xmlns:r="http://schemas.openxmlformats.org/officeDocument/2006/relationships" ref="Y586" r:id="rId1148"/>
    <hyperlink xmlns:r="http://schemas.openxmlformats.org/officeDocument/2006/relationships" ref="AB586" r:id="rId1149"/>
    <hyperlink xmlns:r="http://schemas.openxmlformats.org/officeDocument/2006/relationships" ref="X587" r:id="rId1150"/>
    <hyperlink xmlns:r="http://schemas.openxmlformats.org/officeDocument/2006/relationships" ref="Y587" r:id="rId1151"/>
    <hyperlink xmlns:r="http://schemas.openxmlformats.org/officeDocument/2006/relationships" ref="AB587" r:id="rId1152"/>
    <hyperlink xmlns:r="http://schemas.openxmlformats.org/officeDocument/2006/relationships" ref="X588" r:id="rId1153"/>
    <hyperlink xmlns:r="http://schemas.openxmlformats.org/officeDocument/2006/relationships" ref="Y588" r:id="rId1154"/>
    <hyperlink xmlns:r="http://schemas.openxmlformats.org/officeDocument/2006/relationships" ref="AB588" r:id="rId1155"/>
    <hyperlink xmlns:r="http://schemas.openxmlformats.org/officeDocument/2006/relationships" ref="X589" r:id="rId1156"/>
    <hyperlink xmlns:r="http://schemas.openxmlformats.org/officeDocument/2006/relationships" ref="Y589" r:id="rId1157"/>
    <hyperlink xmlns:r="http://schemas.openxmlformats.org/officeDocument/2006/relationships" ref="AB589" r:id="rId1158"/>
    <hyperlink xmlns:r="http://schemas.openxmlformats.org/officeDocument/2006/relationships" ref="X590" r:id="rId1159"/>
    <hyperlink xmlns:r="http://schemas.openxmlformats.org/officeDocument/2006/relationships" ref="Y590" r:id="rId1160"/>
    <hyperlink xmlns:r="http://schemas.openxmlformats.org/officeDocument/2006/relationships" ref="AB590" r:id="rId1161"/>
    <hyperlink xmlns:r="http://schemas.openxmlformats.org/officeDocument/2006/relationships" ref="X591" r:id="rId1162"/>
    <hyperlink xmlns:r="http://schemas.openxmlformats.org/officeDocument/2006/relationships" ref="Y591" r:id="rId1163"/>
    <hyperlink xmlns:r="http://schemas.openxmlformats.org/officeDocument/2006/relationships" ref="AB591" r:id="rId1164"/>
    <hyperlink xmlns:r="http://schemas.openxmlformats.org/officeDocument/2006/relationships" ref="X592" r:id="rId1165"/>
    <hyperlink xmlns:r="http://schemas.openxmlformats.org/officeDocument/2006/relationships" ref="Y592" r:id="rId1166"/>
    <hyperlink xmlns:r="http://schemas.openxmlformats.org/officeDocument/2006/relationships" ref="AB592" r:id="rId1167"/>
    <hyperlink xmlns:r="http://schemas.openxmlformats.org/officeDocument/2006/relationships" ref="X593" r:id="rId1168"/>
    <hyperlink xmlns:r="http://schemas.openxmlformats.org/officeDocument/2006/relationships" ref="Y593" r:id="rId1169"/>
    <hyperlink xmlns:r="http://schemas.openxmlformats.org/officeDocument/2006/relationships" ref="AB593" r:id="rId1170"/>
    <hyperlink xmlns:r="http://schemas.openxmlformats.org/officeDocument/2006/relationships" ref="X594" r:id="rId1171"/>
    <hyperlink xmlns:r="http://schemas.openxmlformats.org/officeDocument/2006/relationships" ref="Y594" r:id="rId1172"/>
    <hyperlink xmlns:r="http://schemas.openxmlformats.org/officeDocument/2006/relationships" ref="AB594" r:id="rId1173"/>
    <hyperlink xmlns:r="http://schemas.openxmlformats.org/officeDocument/2006/relationships" ref="X595" r:id="rId1174"/>
    <hyperlink xmlns:r="http://schemas.openxmlformats.org/officeDocument/2006/relationships" ref="Y595" r:id="rId1175"/>
    <hyperlink xmlns:r="http://schemas.openxmlformats.org/officeDocument/2006/relationships" ref="AB595" r:id="rId1176"/>
    <hyperlink xmlns:r="http://schemas.openxmlformats.org/officeDocument/2006/relationships" ref="X596" r:id="rId1177"/>
    <hyperlink xmlns:r="http://schemas.openxmlformats.org/officeDocument/2006/relationships" ref="Y596" r:id="rId1178"/>
    <hyperlink xmlns:r="http://schemas.openxmlformats.org/officeDocument/2006/relationships" ref="AB596" r:id="rId1179"/>
    <hyperlink xmlns:r="http://schemas.openxmlformats.org/officeDocument/2006/relationships" ref="X597" r:id="rId1180"/>
    <hyperlink xmlns:r="http://schemas.openxmlformats.org/officeDocument/2006/relationships" ref="Y597" r:id="rId1181"/>
    <hyperlink xmlns:r="http://schemas.openxmlformats.org/officeDocument/2006/relationships" ref="AB597" r:id="rId1182"/>
    <hyperlink xmlns:r="http://schemas.openxmlformats.org/officeDocument/2006/relationships" ref="X598" r:id="rId1183"/>
    <hyperlink xmlns:r="http://schemas.openxmlformats.org/officeDocument/2006/relationships" ref="Y598" r:id="rId1184"/>
    <hyperlink xmlns:r="http://schemas.openxmlformats.org/officeDocument/2006/relationships" ref="AB598" r:id="rId1185"/>
    <hyperlink xmlns:r="http://schemas.openxmlformats.org/officeDocument/2006/relationships" ref="X599" r:id="rId1186"/>
    <hyperlink xmlns:r="http://schemas.openxmlformats.org/officeDocument/2006/relationships" ref="Y599" r:id="rId1187"/>
    <hyperlink xmlns:r="http://schemas.openxmlformats.org/officeDocument/2006/relationships" ref="AB599" r:id="rId1188"/>
    <hyperlink xmlns:r="http://schemas.openxmlformats.org/officeDocument/2006/relationships" ref="X600" r:id="rId1189"/>
    <hyperlink xmlns:r="http://schemas.openxmlformats.org/officeDocument/2006/relationships" ref="Y600" r:id="rId1190"/>
    <hyperlink xmlns:r="http://schemas.openxmlformats.org/officeDocument/2006/relationships" ref="AB600" r:id="rId1191"/>
    <hyperlink xmlns:r="http://schemas.openxmlformats.org/officeDocument/2006/relationships" ref="X601" r:id="rId1192"/>
    <hyperlink xmlns:r="http://schemas.openxmlformats.org/officeDocument/2006/relationships" ref="Y601" r:id="rId1193"/>
    <hyperlink xmlns:r="http://schemas.openxmlformats.org/officeDocument/2006/relationships" ref="AB601" r:id="rId1194"/>
    <hyperlink xmlns:r="http://schemas.openxmlformats.org/officeDocument/2006/relationships" ref="X602" r:id="rId1195"/>
    <hyperlink xmlns:r="http://schemas.openxmlformats.org/officeDocument/2006/relationships" ref="Y602" r:id="rId1196"/>
    <hyperlink xmlns:r="http://schemas.openxmlformats.org/officeDocument/2006/relationships" ref="AB602" r:id="rId1197"/>
    <hyperlink xmlns:r="http://schemas.openxmlformats.org/officeDocument/2006/relationships" ref="X603" r:id="rId1198"/>
    <hyperlink xmlns:r="http://schemas.openxmlformats.org/officeDocument/2006/relationships" ref="Y603" r:id="rId1199"/>
    <hyperlink xmlns:r="http://schemas.openxmlformats.org/officeDocument/2006/relationships" ref="AB603" r:id="rId1200"/>
    <hyperlink xmlns:r="http://schemas.openxmlformats.org/officeDocument/2006/relationships" ref="X604" r:id="rId1201"/>
    <hyperlink xmlns:r="http://schemas.openxmlformats.org/officeDocument/2006/relationships" ref="Y604" r:id="rId1202"/>
    <hyperlink xmlns:r="http://schemas.openxmlformats.org/officeDocument/2006/relationships" ref="AB604" r:id="rId1203"/>
    <hyperlink xmlns:r="http://schemas.openxmlformats.org/officeDocument/2006/relationships" ref="X605" r:id="rId1204"/>
    <hyperlink xmlns:r="http://schemas.openxmlformats.org/officeDocument/2006/relationships" ref="Y605" r:id="rId1205"/>
    <hyperlink xmlns:r="http://schemas.openxmlformats.org/officeDocument/2006/relationships" ref="AB605" r:id="rId1206"/>
    <hyperlink xmlns:r="http://schemas.openxmlformats.org/officeDocument/2006/relationships" ref="X606" r:id="rId1207"/>
    <hyperlink xmlns:r="http://schemas.openxmlformats.org/officeDocument/2006/relationships" ref="Y606" r:id="rId1208"/>
    <hyperlink xmlns:r="http://schemas.openxmlformats.org/officeDocument/2006/relationships" ref="AB606" r:id="rId1209"/>
    <hyperlink xmlns:r="http://schemas.openxmlformats.org/officeDocument/2006/relationships" ref="X607" r:id="rId1210"/>
    <hyperlink xmlns:r="http://schemas.openxmlformats.org/officeDocument/2006/relationships" ref="Y607" r:id="rId1211"/>
    <hyperlink xmlns:r="http://schemas.openxmlformats.org/officeDocument/2006/relationships" ref="AB607" r:id="rId1212"/>
    <hyperlink xmlns:r="http://schemas.openxmlformats.org/officeDocument/2006/relationships" ref="X608" r:id="rId1213"/>
    <hyperlink xmlns:r="http://schemas.openxmlformats.org/officeDocument/2006/relationships" ref="Y608" r:id="rId1214"/>
    <hyperlink xmlns:r="http://schemas.openxmlformats.org/officeDocument/2006/relationships" ref="AB608" r:id="rId1215"/>
    <hyperlink xmlns:r="http://schemas.openxmlformats.org/officeDocument/2006/relationships" ref="X609" r:id="rId1216"/>
    <hyperlink xmlns:r="http://schemas.openxmlformats.org/officeDocument/2006/relationships" ref="Y609" r:id="rId1217"/>
    <hyperlink xmlns:r="http://schemas.openxmlformats.org/officeDocument/2006/relationships" ref="AB609" r:id="rId1218"/>
    <hyperlink xmlns:r="http://schemas.openxmlformats.org/officeDocument/2006/relationships" ref="X610" r:id="rId1219"/>
    <hyperlink xmlns:r="http://schemas.openxmlformats.org/officeDocument/2006/relationships" ref="Y610" r:id="rId1220"/>
    <hyperlink xmlns:r="http://schemas.openxmlformats.org/officeDocument/2006/relationships" ref="AB610" r:id="rId1221"/>
    <hyperlink xmlns:r="http://schemas.openxmlformats.org/officeDocument/2006/relationships" ref="X611" r:id="rId1222"/>
    <hyperlink xmlns:r="http://schemas.openxmlformats.org/officeDocument/2006/relationships" ref="Y611" r:id="rId1223"/>
    <hyperlink xmlns:r="http://schemas.openxmlformats.org/officeDocument/2006/relationships" ref="AB611" r:id="rId1224"/>
    <hyperlink xmlns:r="http://schemas.openxmlformats.org/officeDocument/2006/relationships" ref="X612" r:id="rId1225"/>
    <hyperlink xmlns:r="http://schemas.openxmlformats.org/officeDocument/2006/relationships" ref="Y612" r:id="rId1226"/>
    <hyperlink xmlns:r="http://schemas.openxmlformats.org/officeDocument/2006/relationships" ref="AB612" r:id="rId1227"/>
    <hyperlink xmlns:r="http://schemas.openxmlformats.org/officeDocument/2006/relationships" ref="X613" r:id="rId1228"/>
    <hyperlink xmlns:r="http://schemas.openxmlformats.org/officeDocument/2006/relationships" ref="Y613" r:id="rId1229"/>
    <hyperlink xmlns:r="http://schemas.openxmlformats.org/officeDocument/2006/relationships" ref="AB613" r:id="rId1230"/>
    <hyperlink xmlns:r="http://schemas.openxmlformats.org/officeDocument/2006/relationships" ref="X614" r:id="rId1231"/>
    <hyperlink xmlns:r="http://schemas.openxmlformats.org/officeDocument/2006/relationships" ref="Y614" r:id="rId1232"/>
    <hyperlink xmlns:r="http://schemas.openxmlformats.org/officeDocument/2006/relationships" ref="AB614" r:id="rId1233"/>
    <hyperlink xmlns:r="http://schemas.openxmlformats.org/officeDocument/2006/relationships" ref="X615" r:id="rId1234"/>
    <hyperlink xmlns:r="http://schemas.openxmlformats.org/officeDocument/2006/relationships" ref="Y615" r:id="rId1235"/>
    <hyperlink xmlns:r="http://schemas.openxmlformats.org/officeDocument/2006/relationships" ref="AB615" r:id="rId1236"/>
    <hyperlink xmlns:r="http://schemas.openxmlformats.org/officeDocument/2006/relationships" ref="X616" r:id="rId1237"/>
    <hyperlink xmlns:r="http://schemas.openxmlformats.org/officeDocument/2006/relationships" ref="Y616" r:id="rId1238"/>
    <hyperlink xmlns:r="http://schemas.openxmlformats.org/officeDocument/2006/relationships" ref="AB616" r:id="rId1239"/>
    <hyperlink xmlns:r="http://schemas.openxmlformats.org/officeDocument/2006/relationships" ref="X617" r:id="rId1240"/>
    <hyperlink xmlns:r="http://schemas.openxmlformats.org/officeDocument/2006/relationships" ref="Y617" r:id="rId1241"/>
    <hyperlink xmlns:r="http://schemas.openxmlformats.org/officeDocument/2006/relationships" ref="AB617" r:id="rId1242"/>
    <hyperlink xmlns:r="http://schemas.openxmlformats.org/officeDocument/2006/relationships" ref="X618" r:id="rId1243"/>
    <hyperlink xmlns:r="http://schemas.openxmlformats.org/officeDocument/2006/relationships" ref="Y618" r:id="rId1244"/>
    <hyperlink xmlns:r="http://schemas.openxmlformats.org/officeDocument/2006/relationships" ref="AB618" r:id="rId1245"/>
    <hyperlink xmlns:r="http://schemas.openxmlformats.org/officeDocument/2006/relationships" ref="X619" r:id="rId1246"/>
    <hyperlink xmlns:r="http://schemas.openxmlformats.org/officeDocument/2006/relationships" ref="Y619" r:id="rId1247"/>
    <hyperlink xmlns:r="http://schemas.openxmlformats.org/officeDocument/2006/relationships" ref="AB619" r:id="rId1248"/>
    <hyperlink xmlns:r="http://schemas.openxmlformats.org/officeDocument/2006/relationships" ref="X620" r:id="rId1249"/>
    <hyperlink xmlns:r="http://schemas.openxmlformats.org/officeDocument/2006/relationships" ref="Y620" r:id="rId1250"/>
    <hyperlink xmlns:r="http://schemas.openxmlformats.org/officeDocument/2006/relationships" ref="AB620" r:id="rId1251"/>
    <hyperlink xmlns:r="http://schemas.openxmlformats.org/officeDocument/2006/relationships" ref="X621" r:id="rId1252"/>
    <hyperlink xmlns:r="http://schemas.openxmlformats.org/officeDocument/2006/relationships" ref="Y621" r:id="rId1253"/>
    <hyperlink xmlns:r="http://schemas.openxmlformats.org/officeDocument/2006/relationships" ref="AB621" r:id="rId1254"/>
    <hyperlink xmlns:r="http://schemas.openxmlformats.org/officeDocument/2006/relationships" ref="X622" r:id="rId1255"/>
    <hyperlink xmlns:r="http://schemas.openxmlformats.org/officeDocument/2006/relationships" ref="Y622" r:id="rId1256"/>
    <hyperlink xmlns:r="http://schemas.openxmlformats.org/officeDocument/2006/relationships" ref="AB622" r:id="rId1257"/>
    <hyperlink xmlns:r="http://schemas.openxmlformats.org/officeDocument/2006/relationships" ref="X623" r:id="rId1258"/>
    <hyperlink xmlns:r="http://schemas.openxmlformats.org/officeDocument/2006/relationships" ref="Y623" r:id="rId1259"/>
    <hyperlink xmlns:r="http://schemas.openxmlformats.org/officeDocument/2006/relationships" ref="AB623" r:id="rId1260"/>
    <hyperlink xmlns:r="http://schemas.openxmlformats.org/officeDocument/2006/relationships" ref="X624" r:id="rId1261"/>
    <hyperlink xmlns:r="http://schemas.openxmlformats.org/officeDocument/2006/relationships" ref="Y624" r:id="rId1262"/>
    <hyperlink xmlns:r="http://schemas.openxmlformats.org/officeDocument/2006/relationships" ref="AB624" r:id="rId1263"/>
    <hyperlink xmlns:r="http://schemas.openxmlformats.org/officeDocument/2006/relationships" ref="X625" r:id="rId1264"/>
    <hyperlink xmlns:r="http://schemas.openxmlformats.org/officeDocument/2006/relationships" ref="Y625" r:id="rId1265"/>
    <hyperlink xmlns:r="http://schemas.openxmlformats.org/officeDocument/2006/relationships" ref="AB625" r:id="rId1266"/>
    <hyperlink xmlns:r="http://schemas.openxmlformats.org/officeDocument/2006/relationships" ref="X626" r:id="rId1267"/>
    <hyperlink xmlns:r="http://schemas.openxmlformats.org/officeDocument/2006/relationships" ref="Y626" r:id="rId1268"/>
    <hyperlink xmlns:r="http://schemas.openxmlformats.org/officeDocument/2006/relationships" ref="AB626" r:id="rId1269"/>
    <hyperlink xmlns:r="http://schemas.openxmlformats.org/officeDocument/2006/relationships" ref="X627" r:id="rId1270"/>
    <hyperlink xmlns:r="http://schemas.openxmlformats.org/officeDocument/2006/relationships" ref="Y627" r:id="rId1271"/>
    <hyperlink xmlns:r="http://schemas.openxmlformats.org/officeDocument/2006/relationships" ref="AB627" r:id="rId1272"/>
    <hyperlink xmlns:r="http://schemas.openxmlformats.org/officeDocument/2006/relationships" ref="X628" r:id="rId1273"/>
    <hyperlink xmlns:r="http://schemas.openxmlformats.org/officeDocument/2006/relationships" ref="Y628" r:id="rId1274"/>
    <hyperlink xmlns:r="http://schemas.openxmlformats.org/officeDocument/2006/relationships" ref="AB628" r:id="rId1275"/>
    <hyperlink xmlns:r="http://schemas.openxmlformats.org/officeDocument/2006/relationships" ref="X629" r:id="rId1276"/>
    <hyperlink xmlns:r="http://schemas.openxmlformats.org/officeDocument/2006/relationships" ref="Y629" r:id="rId1277"/>
    <hyperlink xmlns:r="http://schemas.openxmlformats.org/officeDocument/2006/relationships" ref="AB629" r:id="rId1278"/>
    <hyperlink xmlns:r="http://schemas.openxmlformats.org/officeDocument/2006/relationships" ref="X630" r:id="rId1279"/>
    <hyperlink xmlns:r="http://schemas.openxmlformats.org/officeDocument/2006/relationships" ref="Y630" r:id="rId1280"/>
    <hyperlink xmlns:r="http://schemas.openxmlformats.org/officeDocument/2006/relationships" ref="AB630" r:id="rId1281"/>
    <hyperlink xmlns:r="http://schemas.openxmlformats.org/officeDocument/2006/relationships" ref="X631" r:id="rId1282"/>
    <hyperlink xmlns:r="http://schemas.openxmlformats.org/officeDocument/2006/relationships" ref="Y631" r:id="rId1283"/>
    <hyperlink xmlns:r="http://schemas.openxmlformats.org/officeDocument/2006/relationships" ref="AB631" r:id="rId1284"/>
    <hyperlink xmlns:r="http://schemas.openxmlformats.org/officeDocument/2006/relationships" ref="X632" r:id="rId1285"/>
    <hyperlink xmlns:r="http://schemas.openxmlformats.org/officeDocument/2006/relationships" ref="Y632" r:id="rId1286"/>
    <hyperlink xmlns:r="http://schemas.openxmlformats.org/officeDocument/2006/relationships" ref="AB632" r:id="rId1287"/>
    <hyperlink xmlns:r="http://schemas.openxmlformats.org/officeDocument/2006/relationships" ref="X633" r:id="rId1288"/>
    <hyperlink xmlns:r="http://schemas.openxmlformats.org/officeDocument/2006/relationships" ref="Y633" r:id="rId1289"/>
    <hyperlink xmlns:r="http://schemas.openxmlformats.org/officeDocument/2006/relationships" ref="AB633" r:id="rId1290"/>
    <hyperlink xmlns:r="http://schemas.openxmlformats.org/officeDocument/2006/relationships" ref="X634" r:id="rId1291"/>
    <hyperlink xmlns:r="http://schemas.openxmlformats.org/officeDocument/2006/relationships" ref="Y634" r:id="rId1292"/>
    <hyperlink xmlns:r="http://schemas.openxmlformats.org/officeDocument/2006/relationships" ref="AB634" r:id="rId1293"/>
    <hyperlink xmlns:r="http://schemas.openxmlformats.org/officeDocument/2006/relationships" ref="X635" r:id="rId1294"/>
    <hyperlink xmlns:r="http://schemas.openxmlformats.org/officeDocument/2006/relationships" ref="Y635" r:id="rId1295"/>
    <hyperlink xmlns:r="http://schemas.openxmlformats.org/officeDocument/2006/relationships" ref="AB635" r:id="rId1296"/>
    <hyperlink xmlns:r="http://schemas.openxmlformats.org/officeDocument/2006/relationships" ref="X636" r:id="rId1297"/>
    <hyperlink xmlns:r="http://schemas.openxmlformats.org/officeDocument/2006/relationships" ref="Y636" r:id="rId1298"/>
    <hyperlink xmlns:r="http://schemas.openxmlformats.org/officeDocument/2006/relationships" ref="AB636" r:id="rId1299"/>
    <hyperlink xmlns:r="http://schemas.openxmlformats.org/officeDocument/2006/relationships" ref="X637" r:id="rId1300"/>
    <hyperlink xmlns:r="http://schemas.openxmlformats.org/officeDocument/2006/relationships" ref="Y637" r:id="rId1301"/>
    <hyperlink xmlns:r="http://schemas.openxmlformats.org/officeDocument/2006/relationships" ref="AB637" r:id="rId1302"/>
    <hyperlink xmlns:r="http://schemas.openxmlformats.org/officeDocument/2006/relationships" ref="X638" r:id="rId1303"/>
    <hyperlink xmlns:r="http://schemas.openxmlformats.org/officeDocument/2006/relationships" ref="Y638" r:id="rId1304"/>
    <hyperlink xmlns:r="http://schemas.openxmlformats.org/officeDocument/2006/relationships" ref="AB638" r:id="rId1305"/>
    <hyperlink xmlns:r="http://schemas.openxmlformats.org/officeDocument/2006/relationships" ref="X639" r:id="rId1306"/>
    <hyperlink xmlns:r="http://schemas.openxmlformats.org/officeDocument/2006/relationships" ref="Y639" r:id="rId1307"/>
    <hyperlink xmlns:r="http://schemas.openxmlformats.org/officeDocument/2006/relationships" ref="AB639" r:id="rId1308"/>
    <hyperlink xmlns:r="http://schemas.openxmlformats.org/officeDocument/2006/relationships" ref="X640" r:id="rId1309"/>
    <hyperlink xmlns:r="http://schemas.openxmlformats.org/officeDocument/2006/relationships" ref="Y640" r:id="rId1310"/>
    <hyperlink xmlns:r="http://schemas.openxmlformats.org/officeDocument/2006/relationships" ref="AB640" r:id="rId1311"/>
    <hyperlink xmlns:r="http://schemas.openxmlformats.org/officeDocument/2006/relationships" ref="X641" r:id="rId1312"/>
    <hyperlink xmlns:r="http://schemas.openxmlformats.org/officeDocument/2006/relationships" ref="Y641" r:id="rId1313"/>
    <hyperlink xmlns:r="http://schemas.openxmlformats.org/officeDocument/2006/relationships" ref="X642" r:id="rId1314"/>
    <hyperlink xmlns:r="http://schemas.openxmlformats.org/officeDocument/2006/relationships" ref="Y642" r:id="rId1315"/>
    <hyperlink xmlns:r="http://schemas.openxmlformats.org/officeDocument/2006/relationships" ref="AB642" r:id="rId1316"/>
    <hyperlink xmlns:r="http://schemas.openxmlformats.org/officeDocument/2006/relationships" ref="X643" r:id="rId1317"/>
    <hyperlink xmlns:r="http://schemas.openxmlformats.org/officeDocument/2006/relationships" ref="Y643" r:id="rId1318"/>
    <hyperlink xmlns:r="http://schemas.openxmlformats.org/officeDocument/2006/relationships" ref="AB643" r:id="rId1319"/>
    <hyperlink xmlns:r="http://schemas.openxmlformats.org/officeDocument/2006/relationships" ref="X644" r:id="rId1320"/>
    <hyperlink xmlns:r="http://schemas.openxmlformats.org/officeDocument/2006/relationships" ref="Y644" r:id="rId1321"/>
    <hyperlink xmlns:r="http://schemas.openxmlformats.org/officeDocument/2006/relationships" ref="AB644" r:id="rId1322"/>
    <hyperlink xmlns:r="http://schemas.openxmlformats.org/officeDocument/2006/relationships" ref="X645" r:id="rId1323"/>
    <hyperlink xmlns:r="http://schemas.openxmlformats.org/officeDocument/2006/relationships" ref="Y645" r:id="rId1324"/>
    <hyperlink xmlns:r="http://schemas.openxmlformats.org/officeDocument/2006/relationships" ref="AB645" r:id="rId1325"/>
    <hyperlink xmlns:r="http://schemas.openxmlformats.org/officeDocument/2006/relationships" ref="X646" r:id="rId1326"/>
    <hyperlink xmlns:r="http://schemas.openxmlformats.org/officeDocument/2006/relationships" ref="Y646" r:id="rId1327"/>
    <hyperlink xmlns:r="http://schemas.openxmlformats.org/officeDocument/2006/relationships" ref="AB646" r:id="rId1328"/>
    <hyperlink xmlns:r="http://schemas.openxmlformats.org/officeDocument/2006/relationships" ref="X647" r:id="rId1329"/>
    <hyperlink xmlns:r="http://schemas.openxmlformats.org/officeDocument/2006/relationships" ref="Y647" r:id="rId1330"/>
    <hyperlink xmlns:r="http://schemas.openxmlformats.org/officeDocument/2006/relationships" ref="AB647" r:id="rId1331"/>
    <hyperlink xmlns:r="http://schemas.openxmlformats.org/officeDocument/2006/relationships" ref="X648" r:id="rId1332"/>
    <hyperlink xmlns:r="http://schemas.openxmlformats.org/officeDocument/2006/relationships" ref="Y648" r:id="rId1333"/>
    <hyperlink xmlns:r="http://schemas.openxmlformats.org/officeDocument/2006/relationships" ref="AB648" r:id="rId1334"/>
    <hyperlink xmlns:r="http://schemas.openxmlformats.org/officeDocument/2006/relationships" ref="X649" r:id="rId1335"/>
    <hyperlink xmlns:r="http://schemas.openxmlformats.org/officeDocument/2006/relationships" ref="Y649" r:id="rId1336"/>
    <hyperlink xmlns:r="http://schemas.openxmlformats.org/officeDocument/2006/relationships" ref="AB649" r:id="rId1337"/>
    <hyperlink xmlns:r="http://schemas.openxmlformats.org/officeDocument/2006/relationships" ref="X650" r:id="rId1338"/>
    <hyperlink xmlns:r="http://schemas.openxmlformats.org/officeDocument/2006/relationships" ref="Y650" r:id="rId1339"/>
    <hyperlink xmlns:r="http://schemas.openxmlformats.org/officeDocument/2006/relationships" ref="AB650" r:id="rId1340"/>
    <hyperlink xmlns:r="http://schemas.openxmlformats.org/officeDocument/2006/relationships" ref="X651" r:id="rId1341"/>
    <hyperlink xmlns:r="http://schemas.openxmlformats.org/officeDocument/2006/relationships" ref="Y651" r:id="rId1342"/>
    <hyperlink xmlns:r="http://schemas.openxmlformats.org/officeDocument/2006/relationships" ref="AB651" r:id="rId1343"/>
    <hyperlink xmlns:r="http://schemas.openxmlformats.org/officeDocument/2006/relationships" ref="X652" r:id="rId1344"/>
    <hyperlink xmlns:r="http://schemas.openxmlformats.org/officeDocument/2006/relationships" ref="Y652" r:id="rId1345"/>
    <hyperlink xmlns:r="http://schemas.openxmlformats.org/officeDocument/2006/relationships" ref="AB652" r:id="rId1346"/>
    <hyperlink xmlns:r="http://schemas.openxmlformats.org/officeDocument/2006/relationships" ref="X653" r:id="rId1347"/>
    <hyperlink xmlns:r="http://schemas.openxmlformats.org/officeDocument/2006/relationships" ref="Y653" r:id="rId1348"/>
    <hyperlink xmlns:r="http://schemas.openxmlformats.org/officeDocument/2006/relationships" ref="AB653" r:id="rId1349"/>
    <hyperlink xmlns:r="http://schemas.openxmlformats.org/officeDocument/2006/relationships" ref="X654" r:id="rId1350"/>
    <hyperlink xmlns:r="http://schemas.openxmlformats.org/officeDocument/2006/relationships" ref="Y654" r:id="rId1351"/>
    <hyperlink xmlns:r="http://schemas.openxmlformats.org/officeDocument/2006/relationships" ref="AB654" r:id="rId1352"/>
    <hyperlink xmlns:r="http://schemas.openxmlformats.org/officeDocument/2006/relationships" ref="X655" r:id="rId1353"/>
    <hyperlink xmlns:r="http://schemas.openxmlformats.org/officeDocument/2006/relationships" ref="Y655" r:id="rId1354"/>
    <hyperlink xmlns:r="http://schemas.openxmlformats.org/officeDocument/2006/relationships" ref="AB655" r:id="rId1355"/>
    <hyperlink xmlns:r="http://schemas.openxmlformats.org/officeDocument/2006/relationships" ref="X656" r:id="rId1356"/>
    <hyperlink xmlns:r="http://schemas.openxmlformats.org/officeDocument/2006/relationships" ref="Y656" r:id="rId1357"/>
    <hyperlink xmlns:r="http://schemas.openxmlformats.org/officeDocument/2006/relationships" ref="X657" r:id="rId1358"/>
    <hyperlink xmlns:r="http://schemas.openxmlformats.org/officeDocument/2006/relationships" ref="Y657" r:id="rId1359"/>
    <hyperlink xmlns:r="http://schemas.openxmlformats.org/officeDocument/2006/relationships" ref="AB657" r:id="rId1360"/>
    <hyperlink xmlns:r="http://schemas.openxmlformats.org/officeDocument/2006/relationships" ref="X658" r:id="rId1361"/>
    <hyperlink xmlns:r="http://schemas.openxmlformats.org/officeDocument/2006/relationships" ref="Y658" r:id="rId1362"/>
    <hyperlink xmlns:r="http://schemas.openxmlformats.org/officeDocument/2006/relationships" ref="AB658" r:id="rId1363"/>
    <hyperlink xmlns:r="http://schemas.openxmlformats.org/officeDocument/2006/relationships" ref="X659" r:id="rId1364"/>
    <hyperlink xmlns:r="http://schemas.openxmlformats.org/officeDocument/2006/relationships" ref="Y659" r:id="rId1365"/>
    <hyperlink xmlns:r="http://schemas.openxmlformats.org/officeDocument/2006/relationships" ref="AB659" r:id="rId1366"/>
    <hyperlink xmlns:r="http://schemas.openxmlformats.org/officeDocument/2006/relationships" ref="X660" r:id="rId1367"/>
    <hyperlink xmlns:r="http://schemas.openxmlformats.org/officeDocument/2006/relationships" ref="Y660" r:id="rId1368"/>
    <hyperlink xmlns:r="http://schemas.openxmlformats.org/officeDocument/2006/relationships" ref="X661" r:id="rId1369"/>
    <hyperlink xmlns:r="http://schemas.openxmlformats.org/officeDocument/2006/relationships" ref="Y661" r:id="rId1370"/>
    <hyperlink xmlns:r="http://schemas.openxmlformats.org/officeDocument/2006/relationships" ref="AB661" r:id="rId1371"/>
    <hyperlink xmlns:r="http://schemas.openxmlformats.org/officeDocument/2006/relationships" ref="X662" r:id="rId1372"/>
    <hyperlink xmlns:r="http://schemas.openxmlformats.org/officeDocument/2006/relationships" ref="Y662" r:id="rId1373"/>
    <hyperlink xmlns:r="http://schemas.openxmlformats.org/officeDocument/2006/relationships" ref="AB662" r:id="rId1374"/>
    <hyperlink xmlns:r="http://schemas.openxmlformats.org/officeDocument/2006/relationships" ref="X663" r:id="rId1375"/>
    <hyperlink xmlns:r="http://schemas.openxmlformats.org/officeDocument/2006/relationships" ref="Y663" r:id="rId1376"/>
    <hyperlink xmlns:r="http://schemas.openxmlformats.org/officeDocument/2006/relationships" ref="AB663" r:id="rId1377"/>
    <hyperlink xmlns:r="http://schemas.openxmlformats.org/officeDocument/2006/relationships" ref="X664" r:id="rId1378"/>
    <hyperlink xmlns:r="http://schemas.openxmlformats.org/officeDocument/2006/relationships" ref="Y664" r:id="rId1379"/>
    <hyperlink xmlns:r="http://schemas.openxmlformats.org/officeDocument/2006/relationships" ref="X665" r:id="rId1380"/>
    <hyperlink xmlns:r="http://schemas.openxmlformats.org/officeDocument/2006/relationships" ref="Y665" r:id="rId1381"/>
    <hyperlink xmlns:r="http://schemas.openxmlformats.org/officeDocument/2006/relationships" ref="X666" r:id="rId1382"/>
    <hyperlink xmlns:r="http://schemas.openxmlformats.org/officeDocument/2006/relationships" ref="Y666" r:id="rId1383"/>
    <hyperlink xmlns:r="http://schemas.openxmlformats.org/officeDocument/2006/relationships" ref="X667" r:id="rId1384"/>
    <hyperlink xmlns:r="http://schemas.openxmlformats.org/officeDocument/2006/relationships" ref="Y667" r:id="rId1385"/>
    <hyperlink xmlns:r="http://schemas.openxmlformats.org/officeDocument/2006/relationships" ref="X668" r:id="rId1386"/>
    <hyperlink xmlns:r="http://schemas.openxmlformats.org/officeDocument/2006/relationships" ref="Y668" r:id="rId1387"/>
    <hyperlink xmlns:r="http://schemas.openxmlformats.org/officeDocument/2006/relationships" ref="X669" r:id="rId1388"/>
    <hyperlink xmlns:r="http://schemas.openxmlformats.org/officeDocument/2006/relationships" ref="Y669" r:id="rId1389"/>
    <hyperlink xmlns:r="http://schemas.openxmlformats.org/officeDocument/2006/relationships" ref="X670" r:id="rId1390"/>
    <hyperlink xmlns:r="http://schemas.openxmlformats.org/officeDocument/2006/relationships" ref="Y670" r:id="rId1391"/>
    <hyperlink xmlns:r="http://schemas.openxmlformats.org/officeDocument/2006/relationships" ref="X671" r:id="rId1392"/>
    <hyperlink xmlns:r="http://schemas.openxmlformats.org/officeDocument/2006/relationships" ref="Y671" r:id="rId1393"/>
    <hyperlink xmlns:r="http://schemas.openxmlformats.org/officeDocument/2006/relationships" ref="X672" r:id="rId1394"/>
    <hyperlink xmlns:r="http://schemas.openxmlformats.org/officeDocument/2006/relationships" ref="Y672" r:id="rId1395"/>
    <hyperlink xmlns:r="http://schemas.openxmlformats.org/officeDocument/2006/relationships" ref="X673" r:id="rId1396"/>
    <hyperlink xmlns:r="http://schemas.openxmlformats.org/officeDocument/2006/relationships" ref="Y673" r:id="rId1397"/>
    <hyperlink xmlns:r="http://schemas.openxmlformats.org/officeDocument/2006/relationships" ref="X674" r:id="rId1398"/>
    <hyperlink xmlns:r="http://schemas.openxmlformats.org/officeDocument/2006/relationships" ref="Y674" r:id="rId1399"/>
    <hyperlink xmlns:r="http://schemas.openxmlformats.org/officeDocument/2006/relationships" ref="X675" r:id="rId1400"/>
    <hyperlink xmlns:r="http://schemas.openxmlformats.org/officeDocument/2006/relationships" ref="Y675" r:id="rId1401"/>
    <hyperlink xmlns:r="http://schemas.openxmlformats.org/officeDocument/2006/relationships" ref="X676" r:id="rId1402"/>
    <hyperlink xmlns:r="http://schemas.openxmlformats.org/officeDocument/2006/relationships" ref="Y676" r:id="rId1403"/>
    <hyperlink xmlns:r="http://schemas.openxmlformats.org/officeDocument/2006/relationships" ref="X677" r:id="rId1404"/>
    <hyperlink xmlns:r="http://schemas.openxmlformats.org/officeDocument/2006/relationships" ref="Y677" r:id="rId1405"/>
    <hyperlink xmlns:r="http://schemas.openxmlformats.org/officeDocument/2006/relationships" ref="X678" r:id="rId1406"/>
    <hyperlink xmlns:r="http://schemas.openxmlformats.org/officeDocument/2006/relationships" ref="Y678" r:id="rId1407"/>
    <hyperlink xmlns:r="http://schemas.openxmlformats.org/officeDocument/2006/relationships" ref="X679" r:id="rId1408"/>
    <hyperlink xmlns:r="http://schemas.openxmlformats.org/officeDocument/2006/relationships" ref="Y679" r:id="rId1409"/>
    <hyperlink xmlns:r="http://schemas.openxmlformats.org/officeDocument/2006/relationships" ref="X680" r:id="rId1410"/>
    <hyperlink xmlns:r="http://schemas.openxmlformats.org/officeDocument/2006/relationships" ref="Y680" r:id="rId1411"/>
    <hyperlink xmlns:r="http://schemas.openxmlformats.org/officeDocument/2006/relationships" ref="X681" r:id="rId1412"/>
    <hyperlink xmlns:r="http://schemas.openxmlformats.org/officeDocument/2006/relationships" ref="Y681" r:id="rId1413"/>
    <hyperlink xmlns:r="http://schemas.openxmlformats.org/officeDocument/2006/relationships" ref="X682" r:id="rId1414"/>
    <hyperlink xmlns:r="http://schemas.openxmlformats.org/officeDocument/2006/relationships" ref="Y682" r:id="rId1415"/>
    <hyperlink xmlns:r="http://schemas.openxmlformats.org/officeDocument/2006/relationships" ref="X683" r:id="rId1416"/>
    <hyperlink xmlns:r="http://schemas.openxmlformats.org/officeDocument/2006/relationships" ref="Y683" r:id="rId1417"/>
    <hyperlink xmlns:r="http://schemas.openxmlformats.org/officeDocument/2006/relationships" ref="X684" r:id="rId1418"/>
    <hyperlink xmlns:r="http://schemas.openxmlformats.org/officeDocument/2006/relationships" ref="Y684" r:id="rId1419"/>
    <hyperlink xmlns:r="http://schemas.openxmlformats.org/officeDocument/2006/relationships" ref="AB684" r:id="rId1420"/>
    <hyperlink xmlns:r="http://schemas.openxmlformats.org/officeDocument/2006/relationships" ref="X685" r:id="rId1421"/>
    <hyperlink xmlns:r="http://schemas.openxmlformats.org/officeDocument/2006/relationships" ref="Y685" r:id="rId1422"/>
    <hyperlink xmlns:r="http://schemas.openxmlformats.org/officeDocument/2006/relationships" ref="X686" r:id="rId1423"/>
    <hyperlink xmlns:r="http://schemas.openxmlformats.org/officeDocument/2006/relationships" ref="Y686" r:id="rId1424"/>
    <hyperlink xmlns:r="http://schemas.openxmlformats.org/officeDocument/2006/relationships" ref="X687" r:id="rId1425"/>
    <hyperlink xmlns:r="http://schemas.openxmlformats.org/officeDocument/2006/relationships" ref="Y687" r:id="rId1426"/>
    <hyperlink xmlns:r="http://schemas.openxmlformats.org/officeDocument/2006/relationships" ref="X688" r:id="rId1427"/>
    <hyperlink xmlns:r="http://schemas.openxmlformats.org/officeDocument/2006/relationships" ref="Y688" r:id="rId1428"/>
    <hyperlink xmlns:r="http://schemas.openxmlformats.org/officeDocument/2006/relationships" ref="X689" r:id="rId1429"/>
    <hyperlink xmlns:r="http://schemas.openxmlformats.org/officeDocument/2006/relationships" ref="Y689" r:id="rId1430"/>
    <hyperlink xmlns:r="http://schemas.openxmlformats.org/officeDocument/2006/relationships" ref="AB689" r:id="rId1431"/>
    <hyperlink xmlns:r="http://schemas.openxmlformats.org/officeDocument/2006/relationships" ref="X690" r:id="rId1432"/>
    <hyperlink xmlns:r="http://schemas.openxmlformats.org/officeDocument/2006/relationships" ref="Y690" r:id="rId1433"/>
    <hyperlink xmlns:r="http://schemas.openxmlformats.org/officeDocument/2006/relationships" ref="AB690" r:id="rId1434"/>
    <hyperlink xmlns:r="http://schemas.openxmlformats.org/officeDocument/2006/relationships" ref="X691" r:id="rId1435"/>
    <hyperlink xmlns:r="http://schemas.openxmlformats.org/officeDocument/2006/relationships" ref="Y691" r:id="rId1436"/>
    <hyperlink xmlns:r="http://schemas.openxmlformats.org/officeDocument/2006/relationships" ref="AB691" r:id="rId1437"/>
    <hyperlink xmlns:r="http://schemas.openxmlformats.org/officeDocument/2006/relationships" ref="X692" r:id="rId1438"/>
    <hyperlink xmlns:r="http://schemas.openxmlformats.org/officeDocument/2006/relationships" ref="Y692" r:id="rId1439"/>
    <hyperlink xmlns:r="http://schemas.openxmlformats.org/officeDocument/2006/relationships" ref="X693" r:id="rId1440"/>
    <hyperlink xmlns:r="http://schemas.openxmlformats.org/officeDocument/2006/relationships" ref="Y693" r:id="rId1441"/>
    <hyperlink xmlns:r="http://schemas.openxmlformats.org/officeDocument/2006/relationships" ref="X694" r:id="rId1442"/>
    <hyperlink xmlns:r="http://schemas.openxmlformats.org/officeDocument/2006/relationships" ref="X695" r:id="rId1443"/>
    <hyperlink xmlns:r="http://schemas.openxmlformats.org/officeDocument/2006/relationships" ref="Y695" r:id="rId1444"/>
    <hyperlink xmlns:r="http://schemas.openxmlformats.org/officeDocument/2006/relationships" ref="AB695" r:id="rId1445"/>
    <hyperlink xmlns:r="http://schemas.openxmlformats.org/officeDocument/2006/relationships" ref="X696" r:id="rId1446"/>
    <hyperlink xmlns:r="http://schemas.openxmlformats.org/officeDocument/2006/relationships" ref="Y696" r:id="rId1447"/>
    <hyperlink xmlns:r="http://schemas.openxmlformats.org/officeDocument/2006/relationships" ref="AB696" r:id="rId1448"/>
    <hyperlink xmlns:r="http://schemas.openxmlformats.org/officeDocument/2006/relationships" ref="X697" r:id="rId1449"/>
    <hyperlink xmlns:r="http://schemas.openxmlformats.org/officeDocument/2006/relationships" ref="X698" r:id="rId1450"/>
    <hyperlink xmlns:r="http://schemas.openxmlformats.org/officeDocument/2006/relationships" ref="Y698" r:id="rId1451"/>
    <hyperlink xmlns:r="http://schemas.openxmlformats.org/officeDocument/2006/relationships" ref="X699" r:id="rId1452"/>
    <hyperlink xmlns:r="http://schemas.openxmlformats.org/officeDocument/2006/relationships" ref="Y699" r:id="rId1453"/>
    <hyperlink xmlns:r="http://schemas.openxmlformats.org/officeDocument/2006/relationships" ref="X700" r:id="rId1454"/>
    <hyperlink xmlns:r="http://schemas.openxmlformats.org/officeDocument/2006/relationships" ref="X701" r:id="rId1455"/>
    <hyperlink xmlns:r="http://schemas.openxmlformats.org/officeDocument/2006/relationships" ref="Y701" r:id="rId1456"/>
    <hyperlink xmlns:r="http://schemas.openxmlformats.org/officeDocument/2006/relationships" ref="X702" r:id="rId1457"/>
    <hyperlink xmlns:r="http://schemas.openxmlformats.org/officeDocument/2006/relationships" ref="X703" r:id="rId1458"/>
    <hyperlink xmlns:r="http://schemas.openxmlformats.org/officeDocument/2006/relationships" ref="Y703" r:id="rId1459"/>
    <hyperlink xmlns:r="http://schemas.openxmlformats.org/officeDocument/2006/relationships" ref="X704" r:id="rId1460"/>
    <hyperlink xmlns:r="http://schemas.openxmlformats.org/officeDocument/2006/relationships" ref="X705" r:id="rId1461"/>
    <hyperlink xmlns:r="http://schemas.openxmlformats.org/officeDocument/2006/relationships" ref="Y705" r:id="rId1462"/>
    <hyperlink xmlns:r="http://schemas.openxmlformats.org/officeDocument/2006/relationships" ref="X706" r:id="rId1463"/>
    <hyperlink xmlns:r="http://schemas.openxmlformats.org/officeDocument/2006/relationships" ref="Y706" r:id="rId1464"/>
    <hyperlink xmlns:r="http://schemas.openxmlformats.org/officeDocument/2006/relationships" ref="AB706" r:id="rId1465"/>
    <hyperlink xmlns:r="http://schemas.openxmlformats.org/officeDocument/2006/relationships" ref="X707" r:id="rId1466"/>
    <hyperlink xmlns:r="http://schemas.openxmlformats.org/officeDocument/2006/relationships" ref="Y707" r:id="rId1467"/>
    <hyperlink xmlns:r="http://schemas.openxmlformats.org/officeDocument/2006/relationships" ref="X708" r:id="rId1468"/>
    <hyperlink xmlns:r="http://schemas.openxmlformats.org/officeDocument/2006/relationships" ref="Y708" r:id="rId1469"/>
    <hyperlink xmlns:r="http://schemas.openxmlformats.org/officeDocument/2006/relationships" ref="X709" r:id="rId1470"/>
    <hyperlink xmlns:r="http://schemas.openxmlformats.org/officeDocument/2006/relationships" ref="Y709" r:id="rId1471"/>
    <hyperlink xmlns:r="http://schemas.openxmlformats.org/officeDocument/2006/relationships" ref="AB709" r:id="rId1472"/>
    <hyperlink xmlns:r="http://schemas.openxmlformats.org/officeDocument/2006/relationships" ref="X710" r:id="rId1473"/>
    <hyperlink xmlns:r="http://schemas.openxmlformats.org/officeDocument/2006/relationships" ref="Y710" r:id="rId1474"/>
    <hyperlink xmlns:r="http://schemas.openxmlformats.org/officeDocument/2006/relationships" ref="AB710" r:id="rId1475"/>
    <hyperlink xmlns:r="http://schemas.openxmlformats.org/officeDocument/2006/relationships" ref="X711" r:id="rId1476"/>
    <hyperlink xmlns:r="http://schemas.openxmlformats.org/officeDocument/2006/relationships" ref="X712" r:id="rId1477"/>
    <hyperlink xmlns:r="http://schemas.openxmlformats.org/officeDocument/2006/relationships" ref="Y712" r:id="rId1478"/>
    <hyperlink xmlns:r="http://schemas.openxmlformats.org/officeDocument/2006/relationships" ref="AB712" r:id="rId1479"/>
    <hyperlink xmlns:r="http://schemas.openxmlformats.org/officeDocument/2006/relationships" ref="X713" r:id="rId1480"/>
    <hyperlink xmlns:r="http://schemas.openxmlformats.org/officeDocument/2006/relationships" ref="Y713" r:id="rId1481"/>
    <hyperlink xmlns:r="http://schemas.openxmlformats.org/officeDocument/2006/relationships" ref="X714" r:id="rId1482"/>
    <hyperlink xmlns:r="http://schemas.openxmlformats.org/officeDocument/2006/relationships" ref="Y714" r:id="rId1483"/>
    <hyperlink xmlns:r="http://schemas.openxmlformats.org/officeDocument/2006/relationships" ref="AB714" r:id="rId1484"/>
    <hyperlink xmlns:r="http://schemas.openxmlformats.org/officeDocument/2006/relationships" ref="X715" r:id="rId1485"/>
    <hyperlink xmlns:r="http://schemas.openxmlformats.org/officeDocument/2006/relationships" ref="Y715" r:id="rId1486"/>
    <hyperlink xmlns:r="http://schemas.openxmlformats.org/officeDocument/2006/relationships" ref="X716" r:id="rId1487"/>
    <hyperlink xmlns:r="http://schemas.openxmlformats.org/officeDocument/2006/relationships" ref="Y716" r:id="rId1488"/>
    <hyperlink xmlns:r="http://schemas.openxmlformats.org/officeDocument/2006/relationships" ref="X717" r:id="rId1489"/>
    <hyperlink xmlns:r="http://schemas.openxmlformats.org/officeDocument/2006/relationships" ref="AB717" r:id="rId1490"/>
    <hyperlink xmlns:r="http://schemas.openxmlformats.org/officeDocument/2006/relationships" ref="X718" r:id="rId1491"/>
    <hyperlink xmlns:r="http://schemas.openxmlformats.org/officeDocument/2006/relationships" ref="Y718" r:id="rId1492"/>
    <hyperlink xmlns:r="http://schemas.openxmlformats.org/officeDocument/2006/relationships" ref="X719" r:id="rId1493"/>
    <hyperlink xmlns:r="http://schemas.openxmlformats.org/officeDocument/2006/relationships" ref="Y719" r:id="rId1494"/>
    <hyperlink xmlns:r="http://schemas.openxmlformats.org/officeDocument/2006/relationships" ref="X720" r:id="rId1495"/>
    <hyperlink xmlns:r="http://schemas.openxmlformats.org/officeDocument/2006/relationships" ref="Y720" r:id="rId1496"/>
    <hyperlink xmlns:r="http://schemas.openxmlformats.org/officeDocument/2006/relationships" ref="X721" r:id="rId1497"/>
    <hyperlink xmlns:r="http://schemas.openxmlformats.org/officeDocument/2006/relationships" ref="Y721" r:id="rId1498"/>
    <hyperlink xmlns:r="http://schemas.openxmlformats.org/officeDocument/2006/relationships" ref="AB721" r:id="rId1499"/>
    <hyperlink xmlns:r="http://schemas.openxmlformats.org/officeDocument/2006/relationships" ref="X722" r:id="rId1500"/>
    <hyperlink xmlns:r="http://schemas.openxmlformats.org/officeDocument/2006/relationships" ref="Y722" r:id="rId1501"/>
    <hyperlink xmlns:r="http://schemas.openxmlformats.org/officeDocument/2006/relationships" ref="X723" r:id="rId1502"/>
    <hyperlink xmlns:r="http://schemas.openxmlformats.org/officeDocument/2006/relationships" ref="AB723" r:id="rId1503"/>
    <hyperlink xmlns:r="http://schemas.openxmlformats.org/officeDocument/2006/relationships" ref="X724" r:id="rId1504"/>
    <hyperlink xmlns:r="http://schemas.openxmlformats.org/officeDocument/2006/relationships" ref="Y724" r:id="rId1505"/>
    <hyperlink xmlns:r="http://schemas.openxmlformats.org/officeDocument/2006/relationships" ref="X725" r:id="rId1506"/>
    <hyperlink xmlns:r="http://schemas.openxmlformats.org/officeDocument/2006/relationships" ref="Y725" r:id="rId1507"/>
    <hyperlink xmlns:r="http://schemas.openxmlformats.org/officeDocument/2006/relationships" ref="AB725" r:id="rId1508"/>
    <hyperlink xmlns:r="http://schemas.openxmlformats.org/officeDocument/2006/relationships" ref="X726" r:id="rId1509"/>
    <hyperlink xmlns:r="http://schemas.openxmlformats.org/officeDocument/2006/relationships" ref="Y726" r:id="rId1510"/>
    <hyperlink xmlns:r="http://schemas.openxmlformats.org/officeDocument/2006/relationships" ref="X727" r:id="rId1511"/>
    <hyperlink xmlns:r="http://schemas.openxmlformats.org/officeDocument/2006/relationships" ref="Y727" r:id="rId1512"/>
    <hyperlink xmlns:r="http://schemas.openxmlformats.org/officeDocument/2006/relationships" ref="X728" r:id="rId1513"/>
    <hyperlink xmlns:r="http://schemas.openxmlformats.org/officeDocument/2006/relationships" ref="Y728" r:id="rId1514"/>
    <hyperlink xmlns:r="http://schemas.openxmlformats.org/officeDocument/2006/relationships" ref="X729" r:id="rId1515"/>
    <hyperlink xmlns:r="http://schemas.openxmlformats.org/officeDocument/2006/relationships" ref="AB729" r:id="rId1516"/>
    <hyperlink xmlns:r="http://schemas.openxmlformats.org/officeDocument/2006/relationships" ref="X730" r:id="rId1517"/>
    <hyperlink xmlns:r="http://schemas.openxmlformats.org/officeDocument/2006/relationships" ref="Y730" r:id="rId1518"/>
    <hyperlink xmlns:r="http://schemas.openxmlformats.org/officeDocument/2006/relationships" ref="AB730" r:id="rId1519"/>
    <hyperlink xmlns:r="http://schemas.openxmlformats.org/officeDocument/2006/relationships" ref="X731" r:id="rId1520"/>
    <hyperlink xmlns:r="http://schemas.openxmlformats.org/officeDocument/2006/relationships" ref="X732" r:id="rId1521"/>
    <hyperlink xmlns:r="http://schemas.openxmlformats.org/officeDocument/2006/relationships" ref="X733" r:id="rId1522"/>
    <hyperlink xmlns:r="http://schemas.openxmlformats.org/officeDocument/2006/relationships" ref="Y733" r:id="rId1523"/>
    <hyperlink xmlns:r="http://schemas.openxmlformats.org/officeDocument/2006/relationships" ref="X734" r:id="rId1524"/>
    <hyperlink xmlns:r="http://schemas.openxmlformats.org/officeDocument/2006/relationships" ref="Y734" r:id="rId1525"/>
    <hyperlink xmlns:r="http://schemas.openxmlformats.org/officeDocument/2006/relationships" ref="AB734" r:id="rId1526"/>
    <hyperlink xmlns:r="http://schemas.openxmlformats.org/officeDocument/2006/relationships" ref="X735" r:id="rId1527"/>
    <hyperlink xmlns:r="http://schemas.openxmlformats.org/officeDocument/2006/relationships" ref="Y735" r:id="rId1528"/>
    <hyperlink xmlns:r="http://schemas.openxmlformats.org/officeDocument/2006/relationships" ref="X736" r:id="rId1529"/>
    <hyperlink xmlns:r="http://schemas.openxmlformats.org/officeDocument/2006/relationships" ref="X737" r:id="rId1530"/>
    <hyperlink xmlns:r="http://schemas.openxmlformats.org/officeDocument/2006/relationships" ref="X738" r:id="rId1531"/>
    <hyperlink xmlns:r="http://schemas.openxmlformats.org/officeDocument/2006/relationships" ref="Y738" r:id="rId1532"/>
    <hyperlink xmlns:r="http://schemas.openxmlformats.org/officeDocument/2006/relationships" ref="X739" r:id="rId1533"/>
    <hyperlink xmlns:r="http://schemas.openxmlformats.org/officeDocument/2006/relationships" ref="Y739" r:id="rId1534"/>
    <hyperlink xmlns:r="http://schemas.openxmlformats.org/officeDocument/2006/relationships" ref="X740" r:id="rId1535"/>
    <hyperlink xmlns:r="http://schemas.openxmlformats.org/officeDocument/2006/relationships" ref="Y740" r:id="rId1536"/>
    <hyperlink xmlns:r="http://schemas.openxmlformats.org/officeDocument/2006/relationships" ref="X741" r:id="rId1537"/>
    <hyperlink xmlns:r="http://schemas.openxmlformats.org/officeDocument/2006/relationships" ref="Y741" r:id="rId1538"/>
    <hyperlink xmlns:r="http://schemas.openxmlformats.org/officeDocument/2006/relationships" ref="X742" r:id="rId1539"/>
    <hyperlink xmlns:r="http://schemas.openxmlformats.org/officeDocument/2006/relationships" ref="Y742" r:id="rId1540"/>
    <hyperlink xmlns:r="http://schemas.openxmlformats.org/officeDocument/2006/relationships" ref="X743" r:id="rId1541"/>
    <hyperlink xmlns:r="http://schemas.openxmlformats.org/officeDocument/2006/relationships" ref="Y743" r:id="rId1542"/>
    <hyperlink xmlns:r="http://schemas.openxmlformats.org/officeDocument/2006/relationships" ref="X744" r:id="rId1543"/>
    <hyperlink xmlns:r="http://schemas.openxmlformats.org/officeDocument/2006/relationships" ref="Y744" r:id="rId1544"/>
    <hyperlink xmlns:r="http://schemas.openxmlformats.org/officeDocument/2006/relationships" ref="X745" r:id="rId1545"/>
    <hyperlink xmlns:r="http://schemas.openxmlformats.org/officeDocument/2006/relationships" ref="Y745" r:id="rId1546"/>
    <hyperlink xmlns:r="http://schemas.openxmlformats.org/officeDocument/2006/relationships" ref="X746" r:id="rId1547"/>
    <hyperlink xmlns:r="http://schemas.openxmlformats.org/officeDocument/2006/relationships" ref="X747" r:id="rId1548"/>
    <hyperlink xmlns:r="http://schemas.openxmlformats.org/officeDocument/2006/relationships" ref="Y747" r:id="rId1549"/>
    <hyperlink xmlns:r="http://schemas.openxmlformats.org/officeDocument/2006/relationships" ref="X748" r:id="rId1550"/>
    <hyperlink xmlns:r="http://schemas.openxmlformats.org/officeDocument/2006/relationships" ref="Y748" r:id="rId1551"/>
    <hyperlink xmlns:r="http://schemas.openxmlformats.org/officeDocument/2006/relationships" ref="AB748" r:id="rId1552"/>
    <hyperlink xmlns:r="http://schemas.openxmlformats.org/officeDocument/2006/relationships" ref="X749" r:id="rId1553"/>
    <hyperlink xmlns:r="http://schemas.openxmlformats.org/officeDocument/2006/relationships" ref="Y749" r:id="rId1554"/>
    <hyperlink xmlns:r="http://schemas.openxmlformats.org/officeDocument/2006/relationships" ref="AB749" r:id="rId1555"/>
    <hyperlink xmlns:r="http://schemas.openxmlformats.org/officeDocument/2006/relationships" ref="X750" r:id="rId1556"/>
    <hyperlink xmlns:r="http://schemas.openxmlformats.org/officeDocument/2006/relationships" ref="AB750" r:id="rId1557"/>
    <hyperlink xmlns:r="http://schemas.openxmlformats.org/officeDocument/2006/relationships" ref="X751" r:id="rId1558"/>
    <hyperlink xmlns:r="http://schemas.openxmlformats.org/officeDocument/2006/relationships" ref="X752" r:id="rId1559"/>
    <hyperlink xmlns:r="http://schemas.openxmlformats.org/officeDocument/2006/relationships" ref="Y752" r:id="rId1560"/>
    <hyperlink xmlns:r="http://schemas.openxmlformats.org/officeDocument/2006/relationships" ref="AB752" r:id="rId1561"/>
    <hyperlink xmlns:r="http://schemas.openxmlformats.org/officeDocument/2006/relationships" ref="X753" r:id="rId1562"/>
    <hyperlink xmlns:r="http://schemas.openxmlformats.org/officeDocument/2006/relationships" ref="Y753" r:id="rId1563"/>
    <hyperlink xmlns:r="http://schemas.openxmlformats.org/officeDocument/2006/relationships" ref="AB753" r:id="rId1564"/>
    <hyperlink xmlns:r="http://schemas.openxmlformats.org/officeDocument/2006/relationships" ref="X754" r:id="rId1565"/>
    <hyperlink xmlns:r="http://schemas.openxmlformats.org/officeDocument/2006/relationships" ref="Y754" r:id="rId1566"/>
    <hyperlink xmlns:r="http://schemas.openxmlformats.org/officeDocument/2006/relationships" ref="X755" r:id="rId1567"/>
    <hyperlink xmlns:r="http://schemas.openxmlformats.org/officeDocument/2006/relationships" ref="Y755" r:id="rId1568"/>
    <hyperlink xmlns:r="http://schemas.openxmlformats.org/officeDocument/2006/relationships" ref="AB755" r:id="rId1569"/>
    <hyperlink xmlns:r="http://schemas.openxmlformats.org/officeDocument/2006/relationships" ref="X756" r:id="rId1570"/>
    <hyperlink xmlns:r="http://schemas.openxmlformats.org/officeDocument/2006/relationships" ref="X757" r:id="rId1571"/>
    <hyperlink xmlns:r="http://schemas.openxmlformats.org/officeDocument/2006/relationships" ref="Y757" r:id="rId1572"/>
    <hyperlink xmlns:r="http://schemas.openxmlformats.org/officeDocument/2006/relationships" ref="AB757" r:id="rId1573"/>
    <hyperlink xmlns:r="http://schemas.openxmlformats.org/officeDocument/2006/relationships" ref="X758" r:id="rId1574"/>
    <hyperlink xmlns:r="http://schemas.openxmlformats.org/officeDocument/2006/relationships" ref="Y758" r:id="rId1575"/>
    <hyperlink xmlns:r="http://schemas.openxmlformats.org/officeDocument/2006/relationships" ref="X759" r:id="rId1576"/>
    <hyperlink xmlns:r="http://schemas.openxmlformats.org/officeDocument/2006/relationships" ref="Y759" r:id="rId1577"/>
    <hyperlink xmlns:r="http://schemas.openxmlformats.org/officeDocument/2006/relationships" ref="X760" r:id="rId1578"/>
    <hyperlink xmlns:r="http://schemas.openxmlformats.org/officeDocument/2006/relationships" ref="Y760" r:id="rId1579"/>
    <hyperlink xmlns:r="http://schemas.openxmlformats.org/officeDocument/2006/relationships" ref="X761" r:id="rId1580"/>
    <hyperlink xmlns:r="http://schemas.openxmlformats.org/officeDocument/2006/relationships" ref="Y761" r:id="rId1581"/>
    <hyperlink xmlns:r="http://schemas.openxmlformats.org/officeDocument/2006/relationships" ref="X762" r:id="rId1582"/>
    <hyperlink xmlns:r="http://schemas.openxmlformats.org/officeDocument/2006/relationships" ref="Y762" r:id="rId1583"/>
    <hyperlink xmlns:r="http://schemas.openxmlformats.org/officeDocument/2006/relationships" ref="X763" r:id="rId1584"/>
    <hyperlink xmlns:r="http://schemas.openxmlformats.org/officeDocument/2006/relationships" ref="X764" r:id="rId1585"/>
    <hyperlink xmlns:r="http://schemas.openxmlformats.org/officeDocument/2006/relationships" ref="Y764" r:id="rId1586"/>
    <hyperlink xmlns:r="http://schemas.openxmlformats.org/officeDocument/2006/relationships" ref="X765" r:id="rId1587"/>
    <hyperlink xmlns:r="http://schemas.openxmlformats.org/officeDocument/2006/relationships" ref="Y765" r:id="rId1588"/>
    <hyperlink xmlns:r="http://schemas.openxmlformats.org/officeDocument/2006/relationships" ref="X766" r:id="rId1589"/>
    <hyperlink xmlns:r="http://schemas.openxmlformats.org/officeDocument/2006/relationships" ref="Y766" r:id="rId1590"/>
    <hyperlink xmlns:r="http://schemas.openxmlformats.org/officeDocument/2006/relationships" ref="X767" r:id="rId1591"/>
    <hyperlink xmlns:r="http://schemas.openxmlformats.org/officeDocument/2006/relationships" ref="Y767" r:id="rId1592"/>
    <hyperlink xmlns:r="http://schemas.openxmlformats.org/officeDocument/2006/relationships" ref="X768" r:id="rId1593"/>
    <hyperlink xmlns:r="http://schemas.openxmlformats.org/officeDocument/2006/relationships" ref="X769" r:id="rId1594"/>
    <hyperlink xmlns:r="http://schemas.openxmlformats.org/officeDocument/2006/relationships" ref="X770" r:id="rId1595"/>
    <hyperlink xmlns:r="http://schemas.openxmlformats.org/officeDocument/2006/relationships" ref="Y770" r:id="rId1596"/>
    <hyperlink xmlns:r="http://schemas.openxmlformats.org/officeDocument/2006/relationships" ref="X771" r:id="rId1597"/>
    <hyperlink xmlns:r="http://schemas.openxmlformats.org/officeDocument/2006/relationships" ref="Y771" r:id="rId1598"/>
    <hyperlink xmlns:r="http://schemas.openxmlformats.org/officeDocument/2006/relationships" ref="X772" r:id="rId1599"/>
    <hyperlink xmlns:r="http://schemas.openxmlformats.org/officeDocument/2006/relationships" ref="Y772" r:id="rId1600"/>
    <hyperlink xmlns:r="http://schemas.openxmlformats.org/officeDocument/2006/relationships" ref="X773" r:id="rId1601"/>
    <hyperlink xmlns:r="http://schemas.openxmlformats.org/officeDocument/2006/relationships" ref="Y773" r:id="rId1602"/>
    <hyperlink xmlns:r="http://schemas.openxmlformats.org/officeDocument/2006/relationships" ref="X774" r:id="rId1603"/>
    <hyperlink xmlns:r="http://schemas.openxmlformats.org/officeDocument/2006/relationships" ref="Y774" r:id="rId1604"/>
    <hyperlink xmlns:r="http://schemas.openxmlformats.org/officeDocument/2006/relationships" ref="X775" r:id="rId1605"/>
    <hyperlink xmlns:r="http://schemas.openxmlformats.org/officeDocument/2006/relationships" ref="Y775" r:id="rId1606"/>
    <hyperlink xmlns:r="http://schemas.openxmlformats.org/officeDocument/2006/relationships" ref="X776" r:id="rId1607"/>
    <hyperlink xmlns:r="http://schemas.openxmlformats.org/officeDocument/2006/relationships" ref="Y776" r:id="rId1608"/>
    <hyperlink xmlns:r="http://schemas.openxmlformats.org/officeDocument/2006/relationships" ref="X777" r:id="rId1609"/>
    <hyperlink xmlns:r="http://schemas.openxmlformats.org/officeDocument/2006/relationships" ref="Y777" r:id="rId1610"/>
    <hyperlink xmlns:r="http://schemas.openxmlformats.org/officeDocument/2006/relationships" ref="X778" r:id="rId1611"/>
    <hyperlink xmlns:r="http://schemas.openxmlformats.org/officeDocument/2006/relationships" ref="Y778" r:id="rId1612"/>
    <hyperlink xmlns:r="http://schemas.openxmlformats.org/officeDocument/2006/relationships" ref="X779" r:id="rId1613"/>
    <hyperlink xmlns:r="http://schemas.openxmlformats.org/officeDocument/2006/relationships" ref="Y779" r:id="rId1614"/>
    <hyperlink xmlns:r="http://schemas.openxmlformats.org/officeDocument/2006/relationships" ref="X780" r:id="rId1615"/>
    <hyperlink xmlns:r="http://schemas.openxmlformats.org/officeDocument/2006/relationships" ref="Y780" r:id="rId1616"/>
    <hyperlink xmlns:r="http://schemas.openxmlformats.org/officeDocument/2006/relationships" ref="X781" r:id="rId1617"/>
    <hyperlink xmlns:r="http://schemas.openxmlformats.org/officeDocument/2006/relationships" ref="Y781" r:id="rId1618"/>
    <hyperlink xmlns:r="http://schemas.openxmlformats.org/officeDocument/2006/relationships" ref="X782" r:id="rId1619"/>
    <hyperlink xmlns:r="http://schemas.openxmlformats.org/officeDocument/2006/relationships" ref="X783" r:id="rId1620"/>
    <hyperlink xmlns:r="http://schemas.openxmlformats.org/officeDocument/2006/relationships" ref="Y783" r:id="rId1621"/>
    <hyperlink xmlns:r="http://schemas.openxmlformats.org/officeDocument/2006/relationships" ref="X784" r:id="rId1622"/>
    <hyperlink xmlns:r="http://schemas.openxmlformats.org/officeDocument/2006/relationships" ref="AB784" r:id="rId1623"/>
    <hyperlink xmlns:r="http://schemas.openxmlformats.org/officeDocument/2006/relationships" ref="X785" r:id="rId1624"/>
    <hyperlink xmlns:r="http://schemas.openxmlformats.org/officeDocument/2006/relationships" ref="X786" r:id="rId1625"/>
    <hyperlink xmlns:r="http://schemas.openxmlformats.org/officeDocument/2006/relationships" ref="X787" r:id="rId1626"/>
    <hyperlink xmlns:r="http://schemas.openxmlformats.org/officeDocument/2006/relationships" ref="AB787" r:id="rId1627"/>
    <hyperlink xmlns:r="http://schemas.openxmlformats.org/officeDocument/2006/relationships" ref="X788" r:id="rId1628"/>
    <hyperlink xmlns:r="http://schemas.openxmlformats.org/officeDocument/2006/relationships" ref="X789" r:id="rId1629"/>
    <hyperlink xmlns:r="http://schemas.openxmlformats.org/officeDocument/2006/relationships" ref="X790" r:id="rId1630"/>
    <hyperlink xmlns:r="http://schemas.openxmlformats.org/officeDocument/2006/relationships" ref="X791" r:id="rId1631"/>
    <hyperlink xmlns:r="http://schemas.openxmlformats.org/officeDocument/2006/relationships" ref="X792" r:id="rId1632"/>
    <hyperlink xmlns:r="http://schemas.openxmlformats.org/officeDocument/2006/relationships" ref="X793" r:id="rId1633"/>
    <hyperlink xmlns:r="http://schemas.openxmlformats.org/officeDocument/2006/relationships" ref="X794" r:id="rId1634"/>
    <hyperlink xmlns:r="http://schemas.openxmlformats.org/officeDocument/2006/relationships" ref="Y794" r:id="rId1635"/>
    <hyperlink xmlns:r="http://schemas.openxmlformats.org/officeDocument/2006/relationships" ref="AB794" r:id="rId1636"/>
    <hyperlink xmlns:r="http://schemas.openxmlformats.org/officeDocument/2006/relationships" ref="X795" r:id="rId1637"/>
    <hyperlink xmlns:r="http://schemas.openxmlformats.org/officeDocument/2006/relationships" ref="Y795" r:id="rId1638"/>
    <hyperlink xmlns:r="http://schemas.openxmlformats.org/officeDocument/2006/relationships" ref="AB795" r:id="rId1639"/>
    <hyperlink xmlns:r="http://schemas.openxmlformats.org/officeDocument/2006/relationships" ref="X796" r:id="rId1640"/>
    <hyperlink xmlns:r="http://schemas.openxmlformats.org/officeDocument/2006/relationships" ref="X797" r:id="rId1641"/>
    <hyperlink xmlns:r="http://schemas.openxmlformats.org/officeDocument/2006/relationships" ref="X798" r:id="rId1642"/>
    <hyperlink xmlns:r="http://schemas.openxmlformats.org/officeDocument/2006/relationships" ref="X799" r:id="rId1643"/>
    <hyperlink xmlns:r="http://schemas.openxmlformats.org/officeDocument/2006/relationships" ref="X800" r:id="rId1644"/>
    <hyperlink xmlns:r="http://schemas.openxmlformats.org/officeDocument/2006/relationships" ref="Y800" r:id="rId1645"/>
    <hyperlink xmlns:r="http://schemas.openxmlformats.org/officeDocument/2006/relationships" ref="X801" r:id="rId1646"/>
    <hyperlink xmlns:r="http://schemas.openxmlformats.org/officeDocument/2006/relationships" ref="X802" r:id="rId1647"/>
    <hyperlink xmlns:r="http://schemas.openxmlformats.org/officeDocument/2006/relationships" ref="X803" r:id="rId1648"/>
    <hyperlink xmlns:r="http://schemas.openxmlformats.org/officeDocument/2006/relationships" ref="X804" r:id="rId1649"/>
    <hyperlink xmlns:r="http://schemas.openxmlformats.org/officeDocument/2006/relationships" ref="Y804" r:id="rId1650"/>
    <hyperlink xmlns:r="http://schemas.openxmlformats.org/officeDocument/2006/relationships" ref="X805" r:id="rId1651"/>
    <hyperlink xmlns:r="http://schemas.openxmlformats.org/officeDocument/2006/relationships" ref="Y805" r:id="rId1652"/>
    <hyperlink xmlns:r="http://schemas.openxmlformats.org/officeDocument/2006/relationships" ref="X806" r:id="rId1653"/>
    <hyperlink xmlns:r="http://schemas.openxmlformats.org/officeDocument/2006/relationships" ref="Y806" r:id="rId1654"/>
    <hyperlink xmlns:r="http://schemas.openxmlformats.org/officeDocument/2006/relationships" ref="X807" r:id="rId1655"/>
    <hyperlink xmlns:r="http://schemas.openxmlformats.org/officeDocument/2006/relationships" ref="Y807" r:id="rId1656"/>
    <hyperlink xmlns:r="http://schemas.openxmlformats.org/officeDocument/2006/relationships" ref="X808" r:id="rId1657"/>
    <hyperlink xmlns:r="http://schemas.openxmlformats.org/officeDocument/2006/relationships" ref="X809" r:id="rId1658"/>
    <hyperlink xmlns:r="http://schemas.openxmlformats.org/officeDocument/2006/relationships" ref="X810" r:id="rId1659"/>
    <hyperlink xmlns:r="http://schemas.openxmlformats.org/officeDocument/2006/relationships" ref="X811" r:id="rId1660"/>
    <hyperlink xmlns:r="http://schemas.openxmlformats.org/officeDocument/2006/relationships" ref="X812" r:id="rId1661"/>
    <hyperlink xmlns:r="http://schemas.openxmlformats.org/officeDocument/2006/relationships" ref="Y812" r:id="rId1662"/>
    <hyperlink xmlns:r="http://schemas.openxmlformats.org/officeDocument/2006/relationships" ref="X813" r:id="rId1663"/>
    <hyperlink xmlns:r="http://schemas.openxmlformats.org/officeDocument/2006/relationships" ref="X814" r:id="rId1664"/>
    <hyperlink xmlns:r="http://schemas.openxmlformats.org/officeDocument/2006/relationships" ref="Y814" r:id="rId1665"/>
    <hyperlink xmlns:r="http://schemas.openxmlformats.org/officeDocument/2006/relationships" ref="X815" r:id="rId1666"/>
    <hyperlink xmlns:r="http://schemas.openxmlformats.org/officeDocument/2006/relationships" ref="AB815" r:id="rId1667"/>
    <hyperlink xmlns:r="http://schemas.openxmlformats.org/officeDocument/2006/relationships" ref="X816" r:id="rId1668"/>
    <hyperlink xmlns:r="http://schemas.openxmlformats.org/officeDocument/2006/relationships" ref="X817" r:id="rId1669"/>
    <hyperlink xmlns:r="http://schemas.openxmlformats.org/officeDocument/2006/relationships" ref="Y817" r:id="rId1670"/>
    <hyperlink xmlns:r="http://schemas.openxmlformats.org/officeDocument/2006/relationships" ref="X818" r:id="rId1671"/>
    <hyperlink xmlns:r="http://schemas.openxmlformats.org/officeDocument/2006/relationships" ref="X819" r:id="rId1672"/>
    <hyperlink xmlns:r="http://schemas.openxmlformats.org/officeDocument/2006/relationships" ref="Y819" r:id="rId1673"/>
    <hyperlink xmlns:r="http://schemas.openxmlformats.org/officeDocument/2006/relationships" ref="X820" r:id="rId1674"/>
    <hyperlink xmlns:r="http://schemas.openxmlformats.org/officeDocument/2006/relationships" ref="Y820" r:id="rId1675"/>
    <hyperlink xmlns:r="http://schemas.openxmlformats.org/officeDocument/2006/relationships" ref="X821" r:id="rId1676"/>
    <hyperlink xmlns:r="http://schemas.openxmlformats.org/officeDocument/2006/relationships" ref="X822" r:id="rId1677"/>
    <hyperlink xmlns:r="http://schemas.openxmlformats.org/officeDocument/2006/relationships" ref="X823" r:id="rId1678"/>
    <hyperlink xmlns:r="http://schemas.openxmlformats.org/officeDocument/2006/relationships" ref="X824" r:id="rId1679"/>
    <hyperlink xmlns:r="http://schemas.openxmlformats.org/officeDocument/2006/relationships" ref="X825" r:id="rId1680"/>
    <hyperlink xmlns:r="http://schemas.openxmlformats.org/officeDocument/2006/relationships" ref="X826" r:id="rId1681"/>
    <hyperlink xmlns:r="http://schemas.openxmlformats.org/officeDocument/2006/relationships" ref="Y826" r:id="rId1682"/>
    <hyperlink xmlns:r="http://schemas.openxmlformats.org/officeDocument/2006/relationships" ref="X827" r:id="rId1683"/>
    <hyperlink xmlns:r="http://schemas.openxmlformats.org/officeDocument/2006/relationships" ref="X828" r:id="rId1684"/>
    <hyperlink xmlns:r="http://schemas.openxmlformats.org/officeDocument/2006/relationships" ref="X829" r:id="rId1685"/>
    <hyperlink xmlns:r="http://schemas.openxmlformats.org/officeDocument/2006/relationships" ref="Y829" r:id="rId1686"/>
    <hyperlink xmlns:r="http://schemas.openxmlformats.org/officeDocument/2006/relationships" ref="X830" r:id="rId1687"/>
    <hyperlink xmlns:r="http://schemas.openxmlformats.org/officeDocument/2006/relationships" ref="X831" r:id="rId1688"/>
    <hyperlink xmlns:r="http://schemas.openxmlformats.org/officeDocument/2006/relationships" ref="Y831" r:id="rId1689"/>
    <hyperlink xmlns:r="http://schemas.openxmlformats.org/officeDocument/2006/relationships" ref="X832" r:id="rId1690"/>
    <hyperlink xmlns:r="http://schemas.openxmlformats.org/officeDocument/2006/relationships" ref="Y832" r:id="rId1691"/>
    <hyperlink xmlns:r="http://schemas.openxmlformats.org/officeDocument/2006/relationships" ref="X833" r:id="rId1692"/>
    <hyperlink xmlns:r="http://schemas.openxmlformats.org/officeDocument/2006/relationships" ref="Y833" r:id="rId1693"/>
    <hyperlink xmlns:r="http://schemas.openxmlformats.org/officeDocument/2006/relationships" ref="X834" r:id="rId1694"/>
    <hyperlink xmlns:r="http://schemas.openxmlformats.org/officeDocument/2006/relationships" ref="Y834" r:id="rId1695"/>
    <hyperlink xmlns:r="http://schemas.openxmlformats.org/officeDocument/2006/relationships" ref="X835" r:id="rId1696"/>
    <hyperlink xmlns:r="http://schemas.openxmlformats.org/officeDocument/2006/relationships" ref="Y835" r:id="rId1697"/>
    <hyperlink xmlns:r="http://schemas.openxmlformats.org/officeDocument/2006/relationships" ref="X836" r:id="rId1698"/>
    <hyperlink xmlns:r="http://schemas.openxmlformats.org/officeDocument/2006/relationships" ref="X837" r:id="rId1699"/>
    <hyperlink xmlns:r="http://schemas.openxmlformats.org/officeDocument/2006/relationships" ref="Y837" r:id="rId1700"/>
    <hyperlink xmlns:r="http://schemas.openxmlformats.org/officeDocument/2006/relationships" ref="X838" r:id="rId1701"/>
    <hyperlink xmlns:r="http://schemas.openxmlformats.org/officeDocument/2006/relationships" ref="X839" r:id="rId1702"/>
    <hyperlink xmlns:r="http://schemas.openxmlformats.org/officeDocument/2006/relationships" ref="X840" r:id="rId1703"/>
    <hyperlink xmlns:r="http://schemas.openxmlformats.org/officeDocument/2006/relationships" ref="AB840" r:id="rId1704"/>
    <hyperlink xmlns:r="http://schemas.openxmlformats.org/officeDocument/2006/relationships" ref="X841" r:id="rId1705"/>
    <hyperlink xmlns:r="http://schemas.openxmlformats.org/officeDocument/2006/relationships" ref="Y841" r:id="rId1706"/>
    <hyperlink xmlns:r="http://schemas.openxmlformats.org/officeDocument/2006/relationships" ref="X842" r:id="rId1707"/>
    <hyperlink xmlns:r="http://schemas.openxmlformats.org/officeDocument/2006/relationships" ref="X843" r:id="rId1708"/>
    <hyperlink xmlns:r="http://schemas.openxmlformats.org/officeDocument/2006/relationships" ref="Y843" r:id="rId1709"/>
    <hyperlink xmlns:r="http://schemas.openxmlformats.org/officeDocument/2006/relationships" ref="X844" r:id="rId1710"/>
    <hyperlink xmlns:r="http://schemas.openxmlformats.org/officeDocument/2006/relationships" ref="Y844" r:id="rId1711"/>
    <hyperlink xmlns:r="http://schemas.openxmlformats.org/officeDocument/2006/relationships" ref="X845" r:id="rId1712"/>
    <hyperlink xmlns:r="http://schemas.openxmlformats.org/officeDocument/2006/relationships" ref="Y845" r:id="rId1713"/>
    <hyperlink xmlns:r="http://schemas.openxmlformats.org/officeDocument/2006/relationships" ref="X846" r:id="rId1714"/>
    <hyperlink xmlns:r="http://schemas.openxmlformats.org/officeDocument/2006/relationships" ref="Y846" r:id="rId1715"/>
    <hyperlink xmlns:r="http://schemas.openxmlformats.org/officeDocument/2006/relationships" ref="X847" r:id="rId1716"/>
    <hyperlink xmlns:r="http://schemas.openxmlformats.org/officeDocument/2006/relationships" ref="Y847" r:id="rId1717"/>
    <hyperlink xmlns:r="http://schemas.openxmlformats.org/officeDocument/2006/relationships" ref="X848" r:id="rId1718"/>
    <hyperlink xmlns:r="http://schemas.openxmlformats.org/officeDocument/2006/relationships" ref="X849" r:id="rId1719"/>
    <hyperlink xmlns:r="http://schemas.openxmlformats.org/officeDocument/2006/relationships" ref="X850" r:id="rId1720"/>
    <hyperlink xmlns:r="http://schemas.openxmlformats.org/officeDocument/2006/relationships" ref="Y850" r:id="rId1721"/>
    <hyperlink xmlns:r="http://schemas.openxmlformats.org/officeDocument/2006/relationships" ref="X851" r:id="rId1722"/>
    <hyperlink xmlns:r="http://schemas.openxmlformats.org/officeDocument/2006/relationships" ref="Y851" r:id="rId1723"/>
    <hyperlink xmlns:r="http://schemas.openxmlformats.org/officeDocument/2006/relationships" ref="X852" r:id="rId1724"/>
    <hyperlink xmlns:r="http://schemas.openxmlformats.org/officeDocument/2006/relationships" ref="X853" r:id="rId1725"/>
    <hyperlink xmlns:r="http://schemas.openxmlformats.org/officeDocument/2006/relationships" ref="Y853" r:id="rId1726"/>
    <hyperlink xmlns:r="http://schemas.openxmlformats.org/officeDocument/2006/relationships" ref="X854" r:id="rId1727"/>
    <hyperlink xmlns:r="http://schemas.openxmlformats.org/officeDocument/2006/relationships" ref="Y854" r:id="rId1728"/>
    <hyperlink xmlns:r="http://schemas.openxmlformats.org/officeDocument/2006/relationships" ref="X855" r:id="rId1729"/>
    <hyperlink xmlns:r="http://schemas.openxmlformats.org/officeDocument/2006/relationships" ref="Y855" r:id="rId1730"/>
    <hyperlink xmlns:r="http://schemas.openxmlformats.org/officeDocument/2006/relationships" ref="X856" r:id="rId1731"/>
    <hyperlink xmlns:r="http://schemas.openxmlformats.org/officeDocument/2006/relationships" ref="X857" r:id="rId1732"/>
    <hyperlink xmlns:r="http://schemas.openxmlformats.org/officeDocument/2006/relationships" ref="X858" r:id="rId1733"/>
    <hyperlink xmlns:r="http://schemas.openxmlformats.org/officeDocument/2006/relationships" ref="Y858" r:id="rId1734"/>
    <hyperlink xmlns:r="http://schemas.openxmlformats.org/officeDocument/2006/relationships" ref="X859" r:id="rId1735"/>
    <hyperlink xmlns:r="http://schemas.openxmlformats.org/officeDocument/2006/relationships" ref="Y859" r:id="rId1736"/>
    <hyperlink xmlns:r="http://schemas.openxmlformats.org/officeDocument/2006/relationships" ref="X860" r:id="rId1737"/>
    <hyperlink xmlns:r="http://schemas.openxmlformats.org/officeDocument/2006/relationships" ref="X861" r:id="rId1738"/>
    <hyperlink xmlns:r="http://schemas.openxmlformats.org/officeDocument/2006/relationships" ref="Y861" r:id="rId1739"/>
    <hyperlink xmlns:r="http://schemas.openxmlformats.org/officeDocument/2006/relationships" ref="X862" r:id="rId1740"/>
    <hyperlink xmlns:r="http://schemas.openxmlformats.org/officeDocument/2006/relationships" ref="Y862" r:id="rId1741"/>
    <hyperlink xmlns:r="http://schemas.openxmlformats.org/officeDocument/2006/relationships" ref="X863" r:id="rId1742"/>
    <hyperlink xmlns:r="http://schemas.openxmlformats.org/officeDocument/2006/relationships" ref="X864" r:id="rId1743"/>
    <hyperlink xmlns:r="http://schemas.openxmlformats.org/officeDocument/2006/relationships" ref="Y864" r:id="rId1744"/>
    <hyperlink xmlns:r="http://schemas.openxmlformats.org/officeDocument/2006/relationships" ref="X865" r:id="rId1745"/>
    <hyperlink xmlns:r="http://schemas.openxmlformats.org/officeDocument/2006/relationships" ref="Y865" r:id="rId1746"/>
    <hyperlink xmlns:r="http://schemas.openxmlformats.org/officeDocument/2006/relationships" ref="X866" r:id="rId1747"/>
    <hyperlink xmlns:r="http://schemas.openxmlformats.org/officeDocument/2006/relationships" ref="X867" r:id="rId1748"/>
    <hyperlink xmlns:r="http://schemas.openxmlformats.org/officeDocument/2006/relationships" ref="X868" r:id="rId1749"/>
    <hyperlink xmlns:r="http://schemas.openxmlformats.org/officeDocument/2006/relationships" ref="X869" r:id="rId1750"/>
    <hyperlink xmlns:r="http://schemas.openxmlformats.org/officeDocument/2006/relationships" ref="Y869" r:id="rId1751"/>
    <hyperlink xmlns:r="http://schemas.openxmlformats.org/officeDocument/2006/relationships" ref="X870" r:id="rId1752"/>
    <hyperlink xmlns:r="http://schemas.openxmlformats.org/officeDocument/2006/relationships" ref="Y870" r:id="rId1753"/>
    <hyperlink xmlns:r="http://schemas.openxmlformats.org/officeDocument/2006/relationships" ref="X871" r:id="rId1754"/>
    <hyperlink xmlns:r="http://schemas.openxmlformats.org/officeDocument/2006/relationships" ref="Y871" r:id="rId1755"/>
    <hyperlink xmlns:r="http://schemas.openxmlformats.org/officeDocument/2006/relationships" ref="X872" r:id="rId1756"/>
    <hyperlink xmlns:r="http://schemas.openxmlformats.org/officeDocument/2006/relationships" ref="Y872" r:id="rId1757"/>
    <hyperlink xmlns:r="http://schemas.openxmlformats.org/officeDocument/2006/relationships" ref="X873" r:id="rId1758"/>
    <hyperlink xmlns:r="http://schemas.openxmlformats.org/officeDocument/2006/relationships" ref="Y873" r:id="rId1759"/>
    <hyperlink xmlns:r="http://schemas.openxmlformats.org/officeDocument/2006/relationships" ref="X874" r:id="rId1760"/>
    <hyperlink xmlns:r="http://schemas.openxmlformats.org/officeDocument/2006/relationships" ref="Y874" r:id="rId1761"/>
    <hyperlink xmlns:r="http://schemas.openxmlformats.org/officeDocument/2006/relationships" ref="X875" r:id="rId1762"/>
    <hyperlink xmlns:r="http://schemas.openxmlformats.org/officeDocument/2006/relationships" ref="Y875" r:id="rId1763"/>
    <hyperlink xmlns:r="http://schemas.openxmlformats.org/officeDocument/2006/relationships" ref="X876" r:id="rId1764"/>
    <hyperlink xmlns:r="http://schemas.openxmlformats.org/officeDocument/2006/relationships" ref="Y876" r:id="rId1765"/>
    <hyperlink xmlns:r="http://schemas.openxmlformats.org/officeDocument/2006/relationships" ref="X877" r:id="rId1766"/>
    <hyperlink xmlns:r="http://schemas.openxmlformats.org/officeDocument/2006/relationships" ref="Y877" r:id="rId1767"/>
    <hyperlink xmlns:r="http://schemas.openxmlformats.org/officeDocument/2006/relationships" ref="X878" r:id="rId1768"/>
    <hyperlink xmlns:r="http://schemas.openxmlformats.org/officeDocument/2006/relationships" ref="X879" r:id="rId1769"/>
    <hyperlink xmlns:r="http://schemas.openxmlformats.org/officeDocument/2006/relationships" ref="X880" r:id="rId1770"/>
    <hyperlink xmlns:r="http://schemas.openxmlformats.org/officeDocument/2006/relationships" ref="Y880" r:id="rId1771"/>
    <hyperlink xmlns:r="http://schemas.openxmlformats.org/officeDocument/2006/relationships" ref="AB880" r:id="rId1772"/>
    <hyperlink xmlns:r="http://schemas.openxmlformats.org/officeDocument/2006/relationships" ref="X881" r:id="rId1773"/>
    <hyperlink xmlns:r="http://schemas.openxmlformats.org/officeDocument/2006/relationships" ref="Y881" r:id="rId1774"/>
    <hyperlink xmlns:r="http://schemas.openxmlformats.org/officeDocument/2006/relationships" ref="X882" r:id="rId1775"/>
    <hyperlink xmlns:r="http://schemas.openxmlformats.org/officeDocument/2006/relationships" ref="Y882" r:id="rId1776"/>
    <hyperlink xmlns:r="http://schemas.openxmlformats.org/officeDocument/2006/relationships" ref="X883" r:id="rId1777"/>
    <hyperlink xmlns:r="http://schemas.openxmlformats.org/officeDocument/2006/relationships" ref="Y883" r:id="rId1778"/>
    <hyperlink xmlns:r="http://schemas.openxmlformats.org/officeDocument/2006/relationships" ref="X884" r:id="rId1779"/>
    <hyperlink xmlns:r="http://schemas.openxmlformats.org/officeDocument/2006/relationships" ref="Y884" r:id="rId1780"/>
    <hyperlink xmlns:r="http://schemas.openxmlformats.org/officeDocument/2006/relationships" ref="X885" r:id="rId1781"/>
    <hyperlink xmlns:r="http://schemas.openxmlformats.org/officeDocument/2006/relationships" ref="Y885" r:id="rId1782"/>
    <hyperlink xmlns:r="http://schemas.openxmlformats.org/officeDocument/2006/relationships" ref="X886" r:id="rId1783"/>
    <hyperlink xmlns:r="http://schemas.openxmlformats.org/officeDocument/2006/relationships" ref="Y886" r:id="rId1784"/>
    <hyperlink xmlns:r="http://schemas.openxmlformats.org/officeDocument/2006/relationships" ref="X887" r:id="rId1785"/>
    <hyperlink xmlns:r="http://schemas.openxmlformats.org/officeDocument/2006/relationships" ref="Y887" r:id="rId1786"/>
    <hyperlink xmlns:r="http://schemas.openxmlformats.org/officeDocument/2006/relationships" ref="X888" r:id="rId1787"/>
    <hyperlink xmlns:r="http://schemas.openxmlformats.org/officeDocument/2006/relationships" ref="Y888" r:id="rId1788"/>
    <hyperlink xmlns:r="http://schemas.openxmlformats.org/officeDocument/2006/relationships" ref="X889" r:id="rId1789"/>
    <hyperlink xmlns:r="http://schemas.openxmlformats.org/officeDocument/2006/relationships" ref="Y889" r:id="rId1790"/>
    <hyperlink xmlns:r="http://schemas.openxmlformats.org/officeDocument/2006/relationships" ref="X890" r:id="rId1791"/>
    <hyperlink xmlns:r="http://schemas.openxmlformats.org/officeDocument/2006/relationships" ref="Y890" r:id="rId1792"/>
    <hyperlink xmlns:r="http://schemas.openxmlformats.org/officeDocument/2006/relationships" ref="X891" r:id="rId1793"/>
    <hyperlink xmlns:r="http://schemas.openxmlformats.org/officeDocument/2006/relationships" ref="Y891" r:id="rId1794"/>
    <hyperlink xmlns:r="http://schemas.openxmlformats.org/officeDocument/2006/relationships" ref="X892" r:id="rId1795"/>
    <hyperlink xmlns:r="http://schemas.openxmlformats.org/officeDocument/2006/relationships" ref="X893" r:id="rId1796"/>
    <hyperlink xmlns:r="http://schemas.openxmlformats.org/officeDocument/2006/relationships" ref="Y893" r:id="rId1797"/>
    <hyperlink xmlns:r="http://schemas.openxmlformats.org/officeDocument/2006/relationships" ref="X894" r:id="rId1798"/>
    <hyperlink xmlns:r="http://schemas.openxmlformats.org/officeDocument/2006/relationships" ref="Y894" r:id="rId1799"/>
    <hyperlink xmlns:r="http://schemas.openxmlformats.org/officeDocument/2006/relationships" ref="X895" r:id="rId1800"/>
    <hyperlink xmlns:r="http://schemas.openxmlformats.org/officeDocument/2006/relationships" ref="Y895" r:id="rId1801"/>
    <hyperlink xmlns:r="http://schemas.openxmlformats.org/officeDocument/2006/relationships" ref="X896" r:id="rId1802"/>
    <hyperlink xmlns:r="http://schemas.openxmlformats.org/officeDocument/2006/relationships" ref="Y896" r:id="rId1803"/>
    <hyperlink xmlns:r="http://schemas.openxmlformats.org/officeDocument/2006/relationships" ref="X897" r:id="rId1804"/>
    <hyperlink xmlns:r="http://schemas.openxmlformats.org/officeDocument/2006/relationships" ref="Y897" r:id="rId1805"/>
    <hyperlink xmlns:r="http://schemas.openxmlformats.org/officeDocument/2006/relationships" ref="X898" r:id="rId1806"/>
    <hyperlink xmlns:r="http://schemas.openxmlformats.org/officeDocument/2006/relationships" ref="Y898" r:id="rId1807"/>
    <hyperlink xmlns:r="http://schemas.openxmlformats.org/officeDocument/2006/relationships" ref="X899" r:id="rId1808"/>
    <hyperlink xmlns:r="http://schemas.openxmlformats.org/officeDocument/2006/relationships" ref="Y899" r:id="rId1809"/>
    <hyperlink xmlns:r="http://schemas.openxmlformats.org/officeDocument/2006/relationships" ref="X900" r:id="rId1810"/>
    <hyperlink xmlns:r="http://schemas.openxmlformats.org/officeDocument/2006/relationships" ref="Y900" r:id="rId1811"/>
    <hyperlink xmlns:r="http://schemas.openxmlformats.org/officeDocument/2006/relationships" ref="X901" r:id="rId1812"/>
    <hyperlink xmlns:r="http://schemas.openxmlformats.org/officeDocument/2006/relationships" ref="X902" r:id="rId1813"/>
    <hyperlink xmlns:r="http://schemas.openxmlformats.org/officeDocument/2006/relationships" ref="X903" r:id="rId1814"/>
    <hyperlink xmlns:r="http://schemas.openxmlformats.org/officeDocument/2006/relationships" ref="Y903" r:id="rId1815"/>
    <hyperlink xmlns:r="http://schemas.openxmlformats.org/officeDocument/2006/relationships" ref="X904" r:id="rId1816"/>
    <hyperlink xmlns:r="http://schemas.openxmlformats.org/officeDocument/2006/relationships" ref="X905" r:id="rId1817"/>
    <hyperlink xmlns:r="http://schemas.openxmlformats.org/officeDocument/2006/relationships" ref="Y905" r:id="rId1818"/>
    <hyperlink xmlns:r="http://schemas.openxmlformats.org/officeDocument/2006/relationships" ref="X906" r:id="rId1819"/>
    <hyperlink xmlns:r="http://schemas.openxmlformats.org/officeDocument/2006/relationships" ref="Y906" r:id="rId1820"/>
    <hyperlink xmlns:r="http://schemas.openxmlformats.org/officeDocument/2006/relationships" ref="X907" r:id="rId1821"/>
    <hyperlink xmlns:r="http://schemas.openxmlformats.org/officeDocument/2006/relationships" ref="Y907" r:id="rId1822"/>
    <hyperlink xmlns:r="http://schemas.openxmlformats.org/officeDocument/2006/relationships" ref="X908" r:id="rId1823"/>
    <hyperlink xmlns:r="http://schemas.openxmlformats.org/officeDocument/2006/relationships" ref="Y908" r:id="rId1824"/>
    <hyperlink xmlns:r="http://schemas.openxmlformats.org/officeDocument/2006/relationships" ref="X909" r:id="rId1825"/>
    <hyperlink xmlns:r="http://schemas.openxmlformats.org/officeDocument/2006/relationships" ref="Y909" r:id="rId1826"/>
    <hyperlink xmlns:r="http://schemas.openxmlformats.org/officeDocument/2006/relationships" ref="X910" r:id="rId1827"/>
    <hyperlink xmlns:r="http://schemas.openxmlformats.org/officeDocument/2006/relationships" ref="Y910" r:id="rId1828"/>
    <hyperlink xmlns:r="http://schemas.openxmlformats.org/officeDocument/2006/relationships" ref="X911" r:id="rId1829"/>
    <hyperlink xmlns:r="http://schemas.openxmlformats.org/officeDocument/2006/relationships" ref="Y911" r:id="rId1830"/>
    <hyperlink xmlns:r="http://schemas.openxmlformats.org/officeDocument/2006/relationships" ref="X912" r:id="rId1831"/>
    <hyperlink xmlns:r="http://schemas.openxmlformats.org/officeDocument/2006/relationships" ref="Y912" r:id="rId1832"/>
    <hyperlink xmlns:r="http://schemas.openxmlformats.org/officeDocument/2006/relationships" ref="X913" r:id="rId1833"/>
    <hyperlink xmlns:r="http://schemas.openxmlformats.org/officeDocument/2006/relationships" ref="Y913" r:id="rId1834"/>
    <hyperlink xmlns:r="http://schemas.openxmlformats.org/officeDocument/2006/relationships" ref="AB913" r:id="rId1835"/>
    <hyperlink xmlns:r="http://schemas.openxmlformats.org/officeDocument/2006/relationships" ref="X914" r:id="rId1836"/>
    <hyperlink xmlns:r="http://schemas.openxmlformats.org/officeDocument/2006/relationships" ref="Y914" r:id="rId1837"/>
    <hyperlink xmlns:r="http://schemas.openxmlformats.org/officeDocument/2006/relationships" ref="X915" r:id="rId1838"/>
    <hyperlink xmlns:r="http://schemas.openxmlformats.org/officeDocument/2006/relationships" ref="Y915" r:id="rId1839"/>
    <hyperlink xmlns:r="http://schemas.openxmlformats.org/officeDocument/2006/relationships" ref="X916" r:id="rId1840"/>
    <hyperlink xmlns:r="http://schemas.openxmlformats.org/officeDocument/2006/relationships" ref="Y916" r:id="rId1841"/>
    <hyperlink xmlns:r="http://schemas.openxmlformats.org/officeDocument/2006/relationships" ref="X917" r:id="rId1842"/>
    <hyperlink xmlns:r="http://schemas.openxmlformats.org/officeDocument/2006/relationships" ref="Y917" r:id="rId1843"/>
    <hyperlink xmlns:r="http://schemas.openxmlformats.org/officeDocument/2006/relationships" ref="X918" r:id="rId1844"/>
    <hyperlink xmlns:r="http://schemas.openxmlformats.org/officeDocument/2006/relationships" ref="Y918" r:id="rId1845"/>
    <hyperlink xmlns:r="http://schemas.openxmlformats.org/officeDocument/2006/relationships" ref="X919" r:id="rId1846"/>
    <hyperlink xmlns:r="http://schemas.openxmlformats.org/officeDocument/2006/relationships" ref="Y919" r:id="rId1847"/>
    <hyperlink xmlns:r="http://schemas.openxmlformats.org/officeDocument/2006/relationships" ref="X920" r:id="rId1848"/>
    <hyperlink xmlns:r="http://schemas.openxmlformats.org/officeDocument/2006/relationships" ref="Y920" r:id="rId1849"/>
    <hyperlink xmlns:r="http://schemas.openxmlformats.org/officeDocument/2006/relationships" ref="X921" r:id="rId1850"/>
    <hyperlink xmlns:r="http://schemas.openxmlformats.org/officeDocument/2006/relationships" ref="Y921" r:id="rId1851"/>
    <hyperlink xmlns:r="http://schemas.openxmlformats.org/officeDocument/2006/relationships" ref="X922" r:id="rId1852"/>
    <hyperlink xmlns:r="http://schemas.openxmlformats.org/officeDocument/2006/relationships" ref="Y922" r:id="rId1853"/>
    <hyperlink xmlns:r="http://schemas.openxmlformats.org/officeDocument/2006/relationships" ref="X923" r:id="rId1854"/>
    <hyperlink xmlns:r="http://schemas.openxmlformats.org/officeDocument/2006/relationships" ref="Y923" r:id="rId1855"/>
    <hyperlink xmlns:r="http://schemas.openxmlformats.org/officeDocument/2006/relationships" ref="X924" r:id="rId1856"/>
    <hyperlink xmlns:r="http://schemas.openxmlformats.org/officeDocument/2006/relationships" ref="X925" r:id="rId1857"/>
    <hyperlink xmlns:r="http://schemas.openxmlformats.org/officeDocument/2006/relationships" ref="Y925" r:id="rId1858"/>
    <hyperlink xmlns:r="http://schemas.openxmlformats.org/officeDocument/2006/relationships" ref="X926" r:id="rId1859"/>
    <hyperlink xmlns:r="http://schemas.openxmlformats.org/officeDocument/2006/relationships" ref="Y926" r:id="rId1860"/>
    <hyperlink xmlns:r="http://schemas.openxmlformats.org/officeDocument/2006/relationships" ref="X927" r:id="rId1861"/>
    <hyperlink xmlns:r="http://schemas.openxmlformats.org/officeDocument/2006/relationships" ref="Y927" r:id="rId1862"/>
    <hyperlink xmlns:r="http://schemas.openxmlformats.org/officeDocument/2006/relationships" ref="X928" r:id="rId1863"/>
    <hyperlink xmlns:r="http://schemas.openxmlformats.org/officeDocument/2006/relationships" ref="Y928" r:id="rId1864"/>
    <hyperlink xmlns:r="http://schemas.openxmlformats.org/officeDocument/2006/relationships" ref="X929" r:id="rId1865"/>
    <hyperlink xmlns:r="http://schemas.openxmlformats.org/officeDocument/2006/relationships" ref="Y929" r:id="rId1866"/>
    <hyperlink xmlns:r="http://schemas.openxmlformats.org/officeDocument/2006/relationships" ref="X930" r:id="rId1867"/>
    <hyperlink xmlns:r="http://schemas.openxmlformats.org/officeDocument/2006/relationships" ref="Y930" r:id="rId1868"/>
    <hyperlink xmlns:r="http://schemas.openxmlformats.org/officeDocument/2006/relationships" ref="X931" r:id="rId1869"/>
    <hyperlink xmlns:r="http://schemas.openxmlformats.org/officeDocument/2006/relationships" ref="Y931" r:id="rId1870"/>
    <hyperlink xmlns:r="http://schemas.openxmlformats.org/officeDocument/2006/relationships" ref="X932" r:id="rId1871"/>
    <hyperlink xmlns:r="http://schemas.openxmlformats.org/officeDocument/2006/relationships" ref="Y932" r:id="rId1872"/>
    <hyperlink xmlns:r="http://schemas.openxmlformats.org/officeDocument/2006/relationships" ref="X933" r:id="rId1873"/>
    <hyperlink xmlns:r="http://schemas.openxmlformats.org/officeDocument/2006/relationships" ref="Y933" r:id="rId1874"/>
    <hyperlink xmlns:r="http://schemas.openxmlformats.org/officeDocument/2006/relationships" ref="X934" r:id="rId1875"/>
    <hyperlink xmlns:r="http://schemas.openxmlformats.org/officeDocument/2006/relationships" ref="Y934" r:id="rId1876"/>
    <hyperlink xmlns:r="http://schemas.openxmlformats.org/officeDocument/2006/relationships" ref="X935" r:id="rId1877"/>
    <hyperlink xmlns:r="http://schemas.openxmlformats.org/officeDocument/2006/relationships" ref="X936" r:id="rId1878"/>
    <hyperlink xmlns:r="http://schemas.openxmlformats.org/officeDocument/2006/relationships" ref="Y936" r:id="rId1879"/>
    <hyperlink xmlns:r="http://schemas.openxmlformats.org/officeDocument/2006/relationships" ref="X937" r:id="rId1880"/>
    <hyperlink xmlns:r="http://schemas.openxmlformats.org/officeDocument/2006/relationships" ref="Y937" r:id="rId1881"/>
    <hyperlink xmlns:r="http://schemas.openxmlformats.org/officeDocument/2006/relationships" ref="X938" r:id="rId1882"/>
    <hyperlink xmlns:r="http://schemas.openxmlformats.org/officeDocument/2006/relationships" ref="Y938" r:id="rId1883"/>
    <hyperlink xmlns:r="http://schemas.openxmlformats.org/officeDocument/2006/relationships" ref="AB938" r:id="rId1884"/>
    <hyperlink xmlns:r="http://schemas.openxmlformats.org/officeDocument/2006/relationships" ref="X939" r:id="rId1885"/>
    <hyperlink xmlns:r="http://schemas.openxmlformats.org/officeDocument/2006/relationships" ref="Y939" r:id="rId1886"/>
    <hyperlink xmlns:r="http://schemas.openxmlformats.org/officeDocument/2006/relationships" ref="X940" r:id="rId1887"/>
    <hyperlink xmlns:r="http://schemas.openxmlformats.org/officeDocument/2006/relationships" ref="X941" r:id="rId1888"/>
    <hyperlink xmlns:r="http://schemas.openxmlformats.org/officeDocument/2006/relationships" ref="Y941" r:id="rId1889"/>
    <hyperlink xmlns:r="http://schemas.openxmlformats.org/officeDocument/2006/relationships" ref="X942" r:id="rId1890"/>
    <hyperlink xmlns:r="http://schemas.openxmlformats.org/officeDocument/2006/relationships" ref="Y942" r:id="rId1891"/>
    <hyperlink xmlns:r="http://schemas.openxmlformats.org/officeDocument/2006/relationships" ref="X943" r:id="rId1892"/>
    <hyperlink xmlns:r="http://schemas.openxmlformats.org/officeDocument/2006/relationships" ref="Y943" r:id="rId1893"/>
    <hyperlink xmlns:r="http://schemas.openxmlformats.org/officeDocument/2006/relationships" ref="X944" r:id="rId1894"/>
    <hyperlink xmlns:r="http://schemas.openxmlformats.org/officeDocument/2006/relationships" ref="Y944" r:id="rId1895"/>
    <hyperlink xmlns:r="http://schemas.openxmlformats.org/officeDocument/2006/relationships" ref="X945" r:id="rId1896"/>
    <hyperlink xmlns:r="http://schemas.openxmlformats.org/officeDocument/2006/relationships" ref="Y945" r:id="rId1897"/>
    <hyperlink xmlns:r="http://schemas.openxmlformats.org/officeDocument/2006/relationships" ref="X946" r:id="rId1898"/>
    <hyperlink xmlns:r="http://schemas.openxmlformats.org/officeDocument/2006/relationships" ref="Y946" r:id="rId1899"/>
    <hyperlink xmlns:r="http://schemas.openxmlformats.org/officeDocument/2006/relationships" ref="X947" r:id="rId1900"/>
    <hyperlink xmlns:r="http://schemas.openxmlformats.org/officeDocument/2006/relationships" ref="Y947" r:id="rId1901"/>
    <hyperlink xmlns:r="http://schemas.openxmlformats.org/officeDocument/2006/relationships" ref="X948" r:id="rId1902"/>
    <hyperlink xmlns:r="http://schemas.openxmlformats.org/officeDocument/2006/relationships" ref="Y948" r:id="rId1903"/>
    <hyperlink xmlns:r="http://schemas.openxmlformats.org/officeDocument/2006/relationships" ref="X949" r:id="rId1904"/>
    <hyperlink xmlns:r="http://schemas.openxmlformats.org/officeDocument/2006/relationships" ref="Y949" r:id="rId1905"/>
    <hyperlink xmlns:r="http://schemas.openxmlformats.org/officeDocument/2006/relationships" ref="X950" r:id="rId1906"/>
    <hyperlink xmlns:r="http://schemas.openxmlformats.org/officeDocument/2006/relationships" ref="X951" r:id="rId1907"/>
    <hyperlink xmlns:r="http://schemas.openxmlformats.org/officeDocument/2006/relationships" ref="Y951" r:id="rId1908"/>
    <hyperlink xmlns:r="http://schemas.openxmlformats.org/officeDocument/2006/relationships" ref="X952" r:id="rId1909"/>
    <hyperlink xmlns:r="http://schemas.openxmlformats.org/officeDocument/2006/relationships" ref="X953" r:id="rId1910"/>
    <hyperlink xmlns:r="http://schemas.openxmlformats.org/officeDocument/2006/relationships" ref="Y953" r:id="rId1911"/>
    <hyperlink xmlns:r="http://schemas.openxmlformats.org/officeDocument/2006/relationships" ref="AB953" r:id="rId1912"/>
    <hyperlink xmlns:r="http://schemas.openxmlformats.org/officeDocument/2006/relationships" ref="X954" r:id="rId1913"/>
    <hyperlink xmlns:r="http://schemas.openxmlformats.org/officeDocument/2006/relationships" ref="X955" r:id="rId1914"/>
    <hyperlink xmlns:r="http://schemas.openxmlformats.org/officeDocument/2006/relationships" ref="Y955" r:id="rId1915"/>
    <hyperlink xmlns:r="http://schemas.openxmlformats.org/officeDocument/2006/relationships" ref="X956" r:id="rId1916"/>
    <hyperlink xmlns:r="http://schemas.openxmlformats.org/officeDocument/2006/relationships" ref="X957" r:id="rId1917"/>
    <hyperlink xmlns:r="http://schemas.openxmlformats.org/officeDocument/2006/relationships" ref="Y957" r:id="rId1918"/>
    <hyperlink xmlns:r="http://schemas.openxmlformats.org/officeDocument/2006/relationships" ref="X958" r:id="rId1919"/>
    <hyperlink xmlns:r="http://schemas.openxmlformats.org/officeDocument/2006/relationships" ref="Y958" r:id="rId1920"/>
    <hyperlink xmlns:r="http://schemas.openxmlformats.org/officeDocument/2006/relationships" ref="X959" r:id="rId1921"/>
    <hyperlink xmlns:r="http://schemas.openxmlformats.org/officeDocument/2006/relationships" ref="Y959" r:id="rId1922"/>
    <hyperlink xmlns:r="http://schemas.openxmlformats.org/officeDocument/2006/relationships" ref="X960" r:id="rId1923"/>
    <hyperlink xmlns:r="http://schemas.openxmlformats.org/officeDocument/2006/relationships" ref="Y960" r:id="rId1924"/>
    <hyperlink xmlns:r="http://schemas.openxmlformats.org/officeDocument/2006/relationships" ref="X961" r:id="rId1925"/>
    <hyperlink xmlns:r="http://schemas.openxmlformats.org/officeDocument/2006/relationships" ref="Y961" r:id="rId1926"/>
    <hyperlink xmlns:r="http://schemas.openxmlformats.org/officeDocument/2006/relationships" ref="X962" r:id="rId1927"/>
    <hyperlink xmlns:r="http://schemas.openxmlformats.org/officeDocument/2006/relationships" ref="X963" r:id="rId1928"/>
    <hyperlink xmlns:r="http://schemas.openxmlformats.org/officeDocument/2006/relationships" ref="X964" r:id="rId1929"/>
    <hyperlink xmlns:r="http://schemas.openxmlformats.org/officeDocument/2006/relationships" ref="Y964" r:id="rId1930"/>
    <hyperlink xmlns:r="http://schemas.openxmlformats.org/officeDocument/2006/relationships" ref="X965" r:id="rId1931"/>
    <hyperlink xmlns:r="http://schemas.openxmlformats.org/officeDocument/2006/relationships" ref="Y965" r:id="rId1932"/>
    <hyperlink xmlns:r="http://schemas.openxmlformats.org/officeDocument/2006/relationships" ref="X966" r:id="rId1933"/>
    <hyperlink xmlns:r="http://schemas.openxmlformats.org/officeDocument/2006/relationships" ref="X967" r:id="rId1934"/>
    <hyperlink xmlns:r="http://schemas.openxmlformats.org/officeDocument/2006/relationships" ref="Y967" r:id="rId1935"/>
    <hyperlink xmlns:r="http://schemas.openxmlformats.org/officeDocument/2006/relationships" ref="X968" r:id="rId1936"/>
    <hyperlink xmlns:r="http://schemas.openxmlformats.org/officeDocument/2006/relationships" ref="Y968" r:id="rId1937"/>
    <hyperlink xmlns:r="http://schemas.openxmlformats.org/officeDocument/2006/relationships" ref="X969" r:id="rId1938"/>
    <hyperlink xmlns:r="http://schemas.openxmlformats.org/officeDocument/2006/relationships" ref="Y969" r:id="rId1939"/>
    <hyperlink xmlns:r="http://schemas.openxmlformats.org/officeDocument/2006/relationships" ref="X970" r:id="rId1940"/>
    <hyperlink xmlns:r="http://schemas.openxmlformats.org/officeDocument/2006/relationships" ref="Y970" r:id="rId1941"/>
    <hyperlink xmlns:r="http://schemas.openxmlformats.org/officeDocument/2006/relationships" ref="X971" r:id="rId1942"/>
    <hyperlink xmlns:r="http://schemas.openxmlformats.org/officeDocument/2006/relationships" ref="X972" r:id="rId1943"/>
    <hyperlink xmlns:r="http://schemas.openxmlformats.org/officeDocument/2006/relationships" ref="Y972" r:id="rId1944"/>
    <hyperlink xmlns:r="http://schemas.openxmlformats.org/officeDocument/2006/relationships" ref="X973" r:id="rId1945"/>
    <hyperlink xmlns:r="http://schemas.openxmlformats.org/officeDocument/2006/relationships" ref="X974" r:id="rId1946"/>
    <hyperlink xmlns:r="http://schemas.openxmlformats.org/officeDocument/2006/relationships" ref="X975" r:id="rId1947"/>
    <hyperlink xmlns:r="http://schemas.openxmlformats.org/officeDocument/2006/relationships" ref="X976" r:id="rId1948"/>
    <hyperlink xmlns:r="http://schemas.openxmlformats.org/officeDocument/2006/relationships" ref="Y976" r:id="rId1949"/>
    <hyperlink xmlns:r="http://schemas.openxmlformats.org/officeDocument/2006/relationships" ref="X977" r:id="rId1950"/>
    <hyperlink xmlns:r="http://schemas.openxmlformats.org/officeDocument/2006/relationships" ref="X978" r:id="rId1951"/>
    <hyperlink xmlns:r="http://schemas.openxmlformats.org/officeDocument/2006/relationships" ref="X979" r:id="rId1952"/>
    <hyperlink xmlns:r="http://schemas.openxmlformats.org/officeDocument/2006/relationships" ref="X980" r:id="rId1953"/>
    <hyperlink xmlns:r="http://schemas.openxmlformats.org/officeDocument/2006/relationships" ref="Y980" r:id="rId1954"/>
    <hyperlink xmlns:r="http://schemas.openxmlformats.org/officeDocument/2006/relationships" ref="X981" r:id="rId1955"/>
    <hyperlink xmlns:r="http://schemas.openxmlformats.org/officeDocument/2006/relationships" ref="X982" r:id="rId1956"/>
    <hyperlink xmlns:r="http://schemas.openxmlformats.org/officeDocument/2006/relationships" ref="Y982" r:id="rId1957"/>
    <hyperlink xmlns:r="http://schemas.openxmlformats.org/officeDocument/2006/relationships" ref="X983" r:id="rId1958"/>
    <hyperlink xmlns:r="http://schemas.openxmlformats.org/officeDocument/2006/relationships" ref="X984" r:id="rId1959"/>
    <hyperlink xmlns:r="http://schemas.openxmlformats.org/officeDocument/2006/relationships" ref="Y984" r:id="rId1960"/>
    <hyperlink xmlns:r="http://schemas.openxmlformats.org/officeDocument/2006/relationships" ref="X985" r:id="rId1961"/>
    <hyperlink xmlns:r="http://schemas.openxmlformats.org/officeDocument/2006/relationships" ref="Y985" r:id="rId1962"/>
    <hyperlink xmlns:r="http://schemas.openxmlformats.org/officeDocument/2006/relationships" ref="X986" r:id="rId1963"/>
    <hyperlink xmlns:r="http://schemas.openxmlformats.org/officeDocument/2006/relationships" ref="Y986" r:id="rId1964"/>
    <hyperlink xmlns:r="http://schemas.openxmlformats.org/officeDocument/2006/relationships" ref="X987" r:id="rId1965"/>
    <hyperlink xmlns:r="http://schemas.openxmlformats.org/officeDocument/2006/relationships" ref="Y987" r:id="rId1966"/>
    <hyperlink xmlns:r="http://schemas.openxmlformats.org/officeDocument/2006/relationships" ref="X988" r:id="rId1967"/>
    <hyperlink xmlns:r="http://schemas.openxmlformats.org/officeDocument/2006/relationships" ref="Y988" r:id="rId1968"/>
    <hyperlink xmlns:r="http://schemas.openxmlformats.org/officeDocument/2006/relationships" ref="X989" r:id="rId1969"/>
    <hyperlink xmlns:r="http://schemas.openxmlformats.org/officeDocument/2006/relationships" ref="Y989" r:id="rId1970"/>
    <hyperlink xmlns:r="http://schemas.openxmlformats.org/officeDocument/2006/relationships" ref="X990" r:id="rId1971"/>
    <hyperlink xmlns:r="http://schemas.openxmlformats.org/officeDocument/2006/relationships" ref="Y990" r:id="rId1972"/>
    <hyperlink xmlns:r="http://schemas.openxmlformats.org/officeDocument/2006/relationships" ref="X991" r:id="rId1973"/>
    <hyperlink xmlns:r="http://schemas.openxmlformats.org/officeDocument/2006/relationships" ref="X992" r:id="rId1974"/>
    <hyperlink xmlns:r="http://schemas.openxmlformats.org/officeDocument/2006/relationships" ref="Y992" r:id="rId1975"/>
    <hyperlink xmlns:r="http://schemas.openxmlformats.org/officeDocument/2006/relationships" ref="X993" r:id="rId1976"/>
    <hyperlink xmlns:r="http://schemas.openxmlformats.org/officeDocument/2006/relationships" ref="Y993" r:id="rId1977"/>
    <hyperlink xmlns:r="http://schemas.openxmlformats.org/officeDocument/2006/relationships" ref="X994" r:id="rId1978"/>
    <hyperlink xmlns:r="http://schemas.openxmlformats.org/officeDocument/2006/relationships" ref="X995" r:id="rId1979"/>
    <hyperlink xmlns:r="http://schemas.openxmlformats.org/officeDocument/2006/relationships" ref="Y995" r:id="rId1980"/>
    <hyperlink xmlns:r="http://schemas.openxmlformats.org/officeDocument/2006/relationships" ref="X996" r:id="rId1981"/>
    <hyperlink xmlns:r="http://schemas.openxmlformats.org/officeDocument/2006/relationships" ref="X997" r:id="rId1982"/>
    <hyperlink xmlns:r="http://schemas.openxmlformats.org/officeDocument/2006/relationships" ref="X998" r:id="rId1983"/>
    <hyperlink xmlns:r="http://schemas.openxmlformats.org/officeDocument/2006/relationships" ref="X999" r:id="rId1984"/>
    <hyperlink xmlns:r="http://schemas.openxmlformats.org/officeDocument/2006/relationships" ref="X1000" r:id="rId1985"/>
    <hyperlink xmlns:r="http://schemas.openxmlformats.org/officeDocument/2006/relationships" ref="Y1000" r:id="rId1986"/>
    <hyperlink xmlns:r="http://schemas.openxmlformats.org/officeDocument/2006/relationships" ref="X1001" r:id="rId1987"/>
    <hyperlink xmlns:r="http://schemas.openxmlformats.org/officeDocument/2006/relationships" ref="X1002" r:id="rId1988"/>
    <hyperlink xmlns:r="http://schemas.openxmlformats.org/officeDocument/2006/relationships" ref="Y1002" r:id="rId1989"/>
    <hyperlink xmlns:r="http://schemas.openxmlformats.org/officeDocument/2006/relationships" ref="X1003" r:id="rId1990"/>
    <hyperlink xmlns:r="http://schemas.openxmlformats.org/officeDocument/2006/relationships" ref="X1004" r:id="rId1991"/>
    <hyperlink xmlns:r="http://schemas.openxmlformats.org/officeDocument/2006/relationships" ref="Y1004" r:id="rId1992"/>
    <hyperlink xmlns:r="http://schemas.openxmlformats.org/officeDocument/2006/relationships" ref="X1005" r:id="rId1993"/>
    <hyperlink xmlns:r="http://schemas.openxmlformats.org/officeDocument/2006/relationships" ref="Y1005" r:id="rId1994"/>
    <hyperlink xmlns:r="http://schemas.openxmlformats.org/officeDocument/2006/relationships" ref="X1006" r:id="rId1995"/>
    <hyperlink xmlns:r="http://schemas.openxmlformats.org/officeDocument/2006/relationships" ref="X1007" r:id="rId1996"/>
    <hyperlink xmlns:r="http://schemas.openxmlformats.org/officeDocument/2006/relationships" ref="X1008" r:id="rId1997"/>
    <hyperlink xmlns:r="http://schemas.openxmlformats.org/officeDocument/2006/relationships" ref="X1009" r:id="rId1998"/>
    <hyperlink xmlns:r="http://schemas.openxmlformats.org/officeDocument/2006/relationships" ref="X1010" r:id="rId1999"/>
    <hyperlink xmlns:r="http://schemas.openxmlformats.org/officeDocument/2006/relationships" ref="X1011" r:id="rId2000"/>
    <hyperlink xmlns:r="http://schemas.openxmlformats.org/officeDocument/2006/relationships" ref="Y1011" r:id="rId2001"/>
    <hyperlink xmlns:r="http://schemas.openxmlformats.org/officeDocument/2006/relationships" ref="X1012" r:id="rId2002"/>
    <hyperlink xmlns:r="http://schemas.openxmlformats.org/officeDocument/2006/relationships" ref="Y1012" r:id="rId2003"/>
    <hyperlink xmlns:r="http://schemas.openxmlformats.org/officeDocument/2006/relationships" ref="X1013" r:id="rId2004"/>
    <hyperlink xmlns:r="http://schemas.openxmlformats.org/officeDocument/2006/relationships" ref="Y1013" r:id="rId2005"/>
    <hyperlink xmlns:r="http://schemas.openxmlformats.org/officeDocument/2006/relationships" ref="X1014" r:id="rId2006"/>
    <hyperlink xmlns:r="http://schemas.openxmlformats.org/officeDocument/2006/relationships" ref="X1015" r:id="rId2007"/>
    <hyperlink xmlns:r="http://schemas.openxmlformats.org/officeDocument/2006/relationships" ref="X1016" r:id="rId2008"/>
    <hyperlink xmlns:r="http://schemas.openxmlformats.org/officeDocument/2006/relationships" ref="X1017" r:id="rId2009"/>
    <hyperlink xmlns:r="http://schemas.openxmlformats.org/officeDocument/2006/relationships" ref="X1018" r:id="rId2010"/>
    <hyperlink xmlns:r="http://schemas.openxmlformats.org/officeDocument/2006/relationships" ref="X1019" r:id="rId2011"/>
    <hyperlink xmlns:r="http://schemas.openxmlformats.org/officeDocument/2006/relationships" ref="Y1019" r:id="rId2012"/>
    <hyperlink xmlns:r="http://schemas.openxmlformats.org/officeDocument/2006/relationships" ref="X1020" r:id="rId2013"/>
    <hyperlink xmlns:r="http://schemas.openxmlformats.org/officeDocument/2006/relationships" ref="Y1020" r:id="rId2014"/>
    <hyperlink xmlns:r="http://schemas.openxmlformats.org/officeDocument/2006/relationships" ref="X1021" r:id="rId2015"/>
    <hyperlink xmlns:r="http://schemas.openxmlformats.org/officeDocument/2006/relationships" ref="X1022" r:id="rId2016"/>
    <hyperlink xmlns:r="http://schemas.openxmlformats.org/officeDocument/2006/relationships" ref="Y1022" r:id="rId2017"/>
    <hyperlink xmlns:r="http://schemas.openxmlformats.org/officeDocument/2006/relationships" ref="X1023" r:id="rId2018"/>
    <hyperlink xmlns:r="http://schemas.openxmlformats.org/officeDocument/2006/relationships" ref="Y1023" r:id="rId2019"/>
    <hyperlink xmlns:r="http://schemas.openxmlformats.org/officeDocument/2006/relationships" ref="X1024" r:id="rId2020"/>
    <hyperlink xmlns:r="http://schemas.openxmlformats.org/officeDocument/2006/relationships" ref="X1025" r:id="rId2021"/>
    <hyperlink xmlns:r="http://schemas.openxmlformats.org/officeDocument/2006/relationships" ref="X1026" r:id="rId2022"/>
    <hyperlink xmlns:r="http://schemas.openxmlformats.org/officeDocument/2006/relationships" ref="X1027" r:id="rId2023"/>
    <hyperlink xmlns:r="http://schemas.openxmlformats.org/officeDocument/2006/relationships" ref="Y1027" r:id="rId2024"/>
    <hyperlink xmlns:r="http://schemas.openxmlformats.org/officeDocument/2006/relationships" ref="X1028" r:id="rId2025"/>
    <hyperlink xmlns:r="http://schemas.openxmlformats.org/officeDocument/2006/relationships" ref="X1029" r:id="rId2026"/>
    <hyperlink xmlns:r="http://schemas.openxmlformats.org/officeDocument/2006/relationships" ref="Y1029" r:id="rId2027"/>
    <hyperlink xmlns:r="http://schemas.openxmlformats.org/officeDocument/2006/relationships" ref="X1030" r:id="rId2028"/>
    <hyperlink xmlns:r="http://schemas.openxmlformats.org/officeDocument/2006/relationships" ref="Y1030" r:id="rId2029"/>
    <hyperlink xmlns:r="http://schemas.openxmlformats.org/officeDocument/2006/relationships" ref="X1031" r:id="rId2030"/>
    <hyperlink xmlns:r="http://schemas.openxmlformats.org/officeDocument/2006/relationships" ref="Y1031" r:id="rId2031"/>
    <hyperlink xmlns:r="http://schemas.openxmlformats.org/officeDocument/2006/relationships" ref="X1032" r:id="rId2032"/>
    <hyperlink xmlns:r="http://schemas.openxmlformats.org/officeDocument/2006/relationships" ref="X1033" r:id="rId2033"/>
    <hyperlink xmlns:r="http://schemas.openxmlformats.org/officeDocument/2006/relationships" ref="X1034" r:id="rId2034"/>
    <hyperlink xmlns:r="http://schemas.openxmlformats.org/officeDocument/2006/relationships" ref="X1035" r:id="rId2035"/>
    <hyperlink xmlns:r="http://schemas.openxmlformats.org/officeDocument/2006/relationships" ref="AB1035" r:id="rId2036"/>
    <hyperlink xmlns:r="http://schemas.openxmlformats.org/officeDocument/2006/relationships" ref="X1036" r:id="rId2037"/>
    <hyperlink xmlns:r="http://schemas.openxmlformats.org/officeDocument/2006/relationships" ref="Y1036" r:id="rId2038"/>
    <hyperlink xmlns:r="http://schemas.openxmlformats.org/officeDocument/2006/relationships" ref="X1037" r:id="rId2039"/>
    <hyperlink xmlns:r="http://schemas.openxmlformats.org/officeDocument/2006/relationships" ref="X1038" r:id="rId2040"/>
    <hyperlink xmlns:r="http://schemas.openxmlformats.org/officeDocument/2006/relationships" ref="X1039" r:id="rId2041"/>
    <hyperlink xmlns:r="http://schemas.openxmlformats.org/officeDocument/2006/relationships" ref="X1040" r:id="rId2042"/>
    <hyperlink xmlns:r="http://schemas.openxmlformats.org/officeDocument/2006/relationships" ref="X1041" r:id="rId2043"/>
    <hyperlink xmlns:r="http://schemas.openxmlformats.org/officeDocument/2006/relationships" ref="X1042" r:id="rId2044"/>
    <hyperlink xmlns:r="http://schemas.openxmlformats.org/officeDocument/2006/relationships" ref="X1043" r:id="rId2045"/>
    <hyperlink xmlns:r="http://schemas.openxmlformats.org/officeDocument/2006/relationships" ref="Y1043" r:id="rId2046"/>
    <hyperlink xmlns:r="http://schemas.openxmlformats.org/officeDocument/2006/relationships" ref="X1044" r:id="rId2047"/>
    <hyperlink xmlns:r="http://schemas.openxmlformats.org/officeDocument/2006/relationships" ref="X1045" r:id="rId2048"/>
    <hyperlink xmlns:r="http://schemas.openxmlformats.org/officeDocument/2006/relationships" ref="Y1045" r:id="rId2049"/>
    <hyperlink xmlns:r="http://schemas.openxmlformats.org/officeDocument/2006/relationships" ref="X1046" r:id="rId2050"/>
    <hyperlink xmlns:r="http://schemas.openxmlformats.org/officeDocument/2006/relationships" ref="Y1046" r:id="rId2051"/>
    <hyperlink xmlns:r="http://schemas.openxmlformats.org/officeDocument/2006/relationships" ref="X1047" r:id="rId2052"/>
    <hyperlink xmlns:r="http://schemas.openxmlformats.org/officeDocument/2006/relationships" ref="Y1047" r:id="rId2053"/>
    <hyperlink xmlns:r="http://schemas.openxmlformats.org/officeDocument/2006/relationships" ref="AB1047" r:id="rId2054"/>
    <hyperlink xmlns:r="http://schemas.openxmlformats.org/officeDocument/2006/relationships" ref="X1048" r:id="rId2055"/>
    <hyperlink xmlns:r="http://schemas.openxmlformats.org/officeDocument/2006/relationships" ref="Y1048" r:id="rId2056"/>
    <hyperlink xmlns:r="http://schemas.openxmlformats.org/officeDocument/2006/relationships" ref="X1049" r:id="rId2057"/>
    <hyperlink xmlns:r="http://schemas.openxmlformats.org/officeDocument/2006/relationships" ref="X1050" r:id="rId2058"/>
    <hyperlink xmlns:r="http://schemas.openxmlformats.org/officeDocument/2006/relationships" ref="Y1050" r:id="rId2059"/>
    <hyperlink xmlns:r="http://schemas.openxmlformats.org/officeDocument/2006/relationships" ref="X1051" r:id="rId2060"/>
    <hyperlink xmlns:r="http://schemas.openxmlformats.org/officeDocument/2006/relationships" ref="Y1051" r:id="rId2061"/>
    <hyperlink xmlns:r="http://schemas.openxmlformats.org/officeDocument/2006/relationships" ref="X1052" r:id="rId2062"/>
    <hyperlink xmlns:r="http://schemas.openxmlformats.org/officeDocument/2006/relationships" ref="Y1052" r:id="rId2063"/>
    <hyperlink xmlns:r="http://schemas.openxmlformats.org/officeDocument/2006/relationships" ref="X1053" r:id="rId2064"/>
    <hyperlink xmlns:r="http://schemas.openxmlformats.org/officeDocument/2006/relationships" ref="X1054" r:id="rId2065"/>
    <hyperlink xmlns:r="http://schemas.openxmlformats.org/officeDocument/2006/relationships" ref="X1055" r:id="rId2066"/>
    <hyperlink xmlns:r="http://schemas.openxmlformats.org/officeDocument/2006/relationships" ref="AB1055" r:id="rId2067"/>
    <hyperlink xmlns:r="http://schemas.openxmlformats.org/officeDocument/2006/relationships" ref="X1056" r:id="rId2068"/>
    <hyperlink xmlns:r="http://schemas.openxmlformats.org/officeDocument/2006/relationships" ref="X1057" r:id="rId2069"/>
    <hyperlink xmlns:r="http://schemas.openxmlformats.org/officeDocument/2006/relationships" ref="Y1057" r:id="rId2070"/>
    <hyperlink xmlns:r="http://schemas.openxmlformats.org/officeDocument/2006/relationships" ref="X1058" r:id="rId2071"/>
    <hyperlink xmlns:r="http://schemas.openxmlformats.org/officeDocument/2006/relationships" ref="Y1058" r:id="rId2072"/>
    <hyperlink xmlns:r="http://schemas.openxmlformats.org/officeDocument/2006/relationships" ref="X1059" r:id="rId2073"/>
    <hyperlink xmlns:r="http://schemas.openxmlformats.org/officeDocument/2006/relationships" ref="Y1059" r:id="rId2074"/>
    <hyperlink xmlns:r="http://schemas.openxmlformats.org/officeDocument/2006/relationships" ref="X1060" r:id="rId2075"/>
    <hyperlink xmlns:r="http://schemas.openxmlformats.org/officeDocument/2006/relationships" ref="X1061" r:id="rId2076"/>
    <hyperlink xmlns:r="http://schemas.openxmlformats.org/officeDocument/2006/relationships" ref="X1062" r:id="rId2077"/>
    <hyperlink xmlns:r="http://schemas.openxmlformats.org/officeDocument/2006/relationships" ref="X1063" r:id="rId2078"/>
    <hyperlink xmlns:r="http://schemas.openxmlformats.org/officeDocument/2006/relationships" ref="X1064" r:id="rId2079"/>
    <hyperlink xmlns:r="http://schemas.openxmlformats.org/officeDocument/2006/relationships" ref="X1065" r:id="rId2080"/>
    <hyperlink xmlns:r="http://schemas.openxmlformats.org/officeDocument/2006/relationships" ref="X1066" r:id="rId2081"/>
    <hyperlink xmlns:r="http://schemas.openxmlformats.org/officeDocument/2006/relationships" ref="X1067" r:id="rId2082"/>
    <hyperlink xmlns:r="http://schemas.openxmlformats.org/officeDocument/2006/relationships" ref="X1068" r:id="rId2083"/>
    <hyperlink xmlns:r="http://schemas.openxmlformats.org/officeDocument/2006/relationships" ref="Y1068" r:id="rId2084"/>
    <hyperlink xmlns:r="http://schemas.openxmlformats.org/officeDocument/2006/relationships" ref="AB1068" r:id="rId2085"/>
    <hyperlink xmlns:r="http://schemas.openxmlformats.org/officeDocument/2006/relationships" ref="X1069" r:id="rId2086"/>
    <hyperlink xmlns:r="http://schemas.openxmlformats.org/officeDocument/2006/relationships" ref="X1070" r:id="rId2087"/>
    <hyperlink xmlns:r="http://schemas.openxmlformats.org/officeDocument/2006/relationships" ref="Y1070" r:id="rId2088"/>
    <hyperlink xmlns:r="http://schemas.openxmlformats.org/officeDocument/2006/relationships" ref="X1071" r:id="rId2089"/>
    <hyperlink xmlns:r="http://schemas.openxmlformats.org/officeDocument/2006/relationships" ref="X1072" r:id="rId2090"/>
    <hyperlink xmlns:r="http://schemas.openxmlformats.org/officeDocument/2006/relationships" ref="AB1072" r:id="rId2091"/>
    <hyperlink xmlns:r="http://schemas.openxmlformats.org/officeDocument/2006/relationships" ref="X1073" r:id="rId2092"/>
    <hyperlink xmlns:r="http://schemas.openxmlformats.org/officeDocument/2006/relationships" ref="X1074" r:id="rId2093"/>
    <hyperlink xmlns:r="http://schemas.openxmlformats.org/officeDocument/2006/relationships" ref="X1075" r:id="rId2094"/>
    <hyperlink xmlns:r="http://schemas.openxmlformats.org/officeDocument/2006/relationships" ref="X1076" r:id="rId2095"/>
    <hyperlink xmlns:r="http://schemas.openxmlformats.org/officeDocument/2006/relationships" ref="Y1076" r:id="rId2096"/>
    <hyperlink xmlns:r="http://schemas.openxmlformats.org/officeDocument/2006/relationships" ref="X1077" r:id="rId2097"/>
    <hyperlink xmlns:r="http://schemas.openxmlformats.org/officeDocument/2006/relationships" ref="Y1077" r:id="rId2098"/>
    <hyperlink xmlns:r="http://schemas.openxmlformats.org/officeDocument/2006/relationships" ref="X1078" r:id="rId2099"/>
    <hyperlink xmlns:r="http://schemas.openxmlformats.org/officeDocument/2006/relationships" ref="X1079" r:id="rId2100"/>
    <hyperlink xmlns:r="http://schemas.openxmlformats.org/officeDocument/2006/relationships" ref="Y1079" r:id="rId2101"/>
    <hyperlink xmlns:r="http://schemas.openxmlformats.org/officeDocument/2006/relationships" ref="X1080" r:id="rId2102"/>
    <hyperlink xmlns:r="http://schemas.openxmlformats.org/officeDocument/2006/relationships" ref="Y1080" r:id="rId2103"/>
    <hyperlink xmlns:r="http://schemas.openxmlformats.org/officeDocument/2006/relationships" ref="X1081" r:id="rId2104"/>
    <hyperlink xmlns:r="http://schemas.openxmlformats.org/officeDocument/2006/relationships" ref="X1082" r:id="rId2105"/>
    <hyperlink xmlns:r="http://schemas.openxmlformats.org/officeDocument/2006/relationships" ref="X1083" r:id="rId2106"/>
    <hyperlink xmlns:r="http://schemas.openxmlformats.org/officeDocument/2006/relationships" ref="Y1083" r:id="rId2107"/>
    <hyperlink xmlns:r="http://schemas.openxmlformats.org/officeDocument/2006/relationships" ref="X1084" r:id="rId2108"/>
    <hyperlink xmlns:r="http://schemas.openxmlformats.org/officeDocument/2006/relationships" ref="Y1084" r:id="rId2109"/>
    <hyperlink xmlns:r="http://schemas.openxmlformats.org/officeDocument/2006/relationships" ref="X1085" r:id="rId2110"/>
    <hyperlink xmlns:r="http://schemas.openxmlformats.org/officeDocument/2006/relationships" ref="Y1085" r:id="rId2111"/>
    <hyperlink xmlns:r="http://schemas.openxmlformats.org/officeDocument/2006/relationships" ref="X1086" r:id="rId2112"/>
    <hyperlink xmlns:r="http://schemas.openxmlformats.org/officeDocument/2006/relationships" ref="X1087" r:id="rId2113"/>
    <hyperlink xmlns:r="http://schemas.openxmlformats.org/officeDocument/2006/relationships" ref="X1088" r:id="rId2114"/>
    <hyperlink xmlns:r="http://schemas.openxmlformats.org/officeDocument/2006/relationships" ref="X1089" r:id="rId2115"/>
    <hyperlink xmlns:r="http://schemas.openxmlformats.org/officeDocument/2006/relationships" ref="Y1089" r:id="rId2116"/>
    <hyperlink xmlns:r="http://schemas.openxmlformats.org/officeDocument/2006/relationships" ref="X1090" r:id="rId2117"/>
    <hyperlink xmlns:r="http://schemas.openxmlformats.org/officeDocument/2006/relationships" ref="X1091" r:id="rId2118"/>
    <hyperlink xmlns:r="http://schemas.openxmlformats.org/officeDocument/2006/relationships" ref="X1092" r:id="rId2119"/>
    <hyperlink xmlns:r="http://schemas.openxmlformats.org/officeDocument/2006/relationships" ref="Y1092" r:id="rId2120"/>
    <hyperlink xmlns:r="http://schemas.openxmlformats.org/officeDocument/2006/relationships" ref="X1093" r:id="rId2121"/>
    <hyperlink xmlns:r="http://schemas.openxmlformats.org/officeDocument/2006/relationships" ref="X1094" r:id="rId2122"/>
    <hyperlink xmlns:r="http://schemas.openxmlformats.org/officeDocument/2006/relationships" ref="Y1094" r:id="rId2123"/>
    <hyperlink xmlns:r="http://schemas.openxmlformats.org/officeDocument/2006/relationships" ref="X1095" r:id="rId2124"/>
    <hyperlink xmlns:r="http://schemas.openxmlformats.org/officeDocument/2006/relationships" ref="X1096" r:id="rId2125"/>
    <hyperlink xmlns:r="http://schemas.openxmlformats.org/officeDocument/2006/relationships" ref="X1097" r:id="rId2126"/>
    <hyperlink xmlns:r="http://schemas.openxmlformats.org/officeDocument/2006/relationships" ref="X1098" r:id="rId2127"/>
    <hyperlink xmlns:r="http://schemas.openxmlformats.org/officeDocument/2006/relationships" ref="Y1098" r:id="rId2128"/>
    <hyperlink xmlns:r="http://schemas.openxmlformats.org/officeDocument/2006/relationships" ref="X1099" r:id="rId2129"/>
    <hyperlink xmlns:r="http://schemas.openxmlformats.org/officeDocument/2006/relationships" ref="X1100" r:id="rId2130"/>
    <hyperlink xmlns:r="http://schemas.openxmlformats.org/officeDocument/2006/relationships" ref="X1101" r:id="rId2131"/>
    <hyperlink xmlns:r="http://schemas.openxmlformats.org/officeDocument/2006/relationships" ref="Y1101" r:id="rId2132"/>
    <hyperlink xmlns:r="http://schemas.openxmlformats.org/officeDocument/2006/relationships" ref="X1102" r:id="rId2133"/>
    <hyperlink xmlns:r="http://schemas.openxmlformats.org/officeDocument/2006/relationships" ref="X1103" r:id="rId2134"/>
    <hyperlink xmlns:r="http://schemas.openxmlformats.org/officeDocument/2006/relationships" ref="Y1103" r:id="rId2135"/>
    <hyperlink xmlns:r="http://schemas.openxmlformats.org/officeDocument/2006/relationships" ref="AB1103" r:id="rId2136"/>
    <hyperlink xmlns:r="http://schemas.openxmlformats.org/officeDocument/2006/relationships" ref="X1104" r:id="rId2137"/>
    <hyperlink xmlns:r="http://schemas.openxmlformats.org/officeDocument/2006/relationships" ref="Y1104" r:id="rId2138"/>
    <hyperlink xmlns:r="http://schemas.openxmlformats.org/officeDocument/2006/relationships" ref="AB1104" r:id="rId2139"/>
    <hyperlink xmlns:r="http://schemas.openxmlformats.org/officeDocument/2006/relationships" ref="X1105" r:id="rId2140"/>
    <hyperlink xmlns:r="http://schemas.openxmlformats.org/officeDocument/2006/relationships" ref="X1106" r:id="rId2141"/>
    <hyperlink xmlns:r="http://schemas.openxmlformats.org/officeDocument/2006/relationships" ref="Y1106" r:id="rId2142"/>
    <hyperlink xmlns:r="http://schemas.openxmlformats.org/officeDocument/2006/relationships" ref="AB1106" r:id="rId2143"/>
    <hyperlink xmlns:r="http://schemas.openxmlformats.org/officeDocument/2006/relationships" ref="X1107" r:id="rId2144"/>
    <hyperlink xmlns:r="http://schemas.openxmlformats.org/officeDocument/2006/relationships" ref="Y1107" r:id="rId2145"/>
    <hyperlink xmlns:r="http://schemas.openxmlformats.org/officeDocument/2006/relationships" ref="X1108" r:id="rId2146"/>
    <hyperlink xmlns:r="http://schemas.openxmlformats.org/officeDocument/2006/relationships" ref="X1109" r:id="rId2147"/>
    <hyperlink xmlns:r="http://schemas.openxmlformats.org/officeDocument/2006/relationships" ref="Y1109" r:id="rId2148"/>
    <hyperlink xmlns:r="http://schemas.openxmlformats.org/officeDocument/2006/relationships" ref="X1110" r:id="rId2149"/>
    <hyperlink xmlns:r="http://schemas.openxmlformats.org/officeDocument/2006/relationships" ref="X1111" r:id="rId2150"/>
    <hyperlink xmlns:r="http://schemas.openxmlformats.org/officeDocument/2006/relationships" ref="Y1111" r:id="rId2151"/>
    <hyperlink xmlns:r="http://schemas.openxmlformats.org/officeDocument/2006/relationships" ref="X1112" r:id="rId2152"/>
    <hyperlink xmlns:r="http://schemas.openxmlformats.org/officeDocument/2006/relationships" ref="AB1112" r:id="rId2153"/>
    <hyperlink xmlns:r="http://schemas.openxmlformats.org/officeDocument/2006/relationships" ref="X1113" r:id="rId2154"/>
    <hyperlink xmlns:r="http://schemas.openxmlformats.org/officeDocument/2006/relationships" ref="Y1113" r:id="rId2155"/>
    <hyperlink xmlns:r="http://schemas.openxmlformats.org/officeDocument/2006/relationships" ref="X1114" r:id="rId2156"/>
    <hyperlink xmlns:r="http://schemas.openxmlformats.org/officeDocument/2006/relationships" ref="Y1114" r:id="rId2157"/>
    <hyperlink xmlns:r="http://schemas.openxmlformats.org/officeDocument/2006/relationships" ref="X1115" r:id="rId2158"/>
    <hyperlink xmlns:r="http://schemas.openxmlformats.org/officeDocument/2006/relationships" ref="Y1115" r:id="rId2159"/>
    <hyperlink xmlns:r="http://schemas.openxmlformats.org/officeDocument/2006/relationships" ref="X1116" r:id="rId2160"/>
    <hyperlink xmlns:r="http://schemas.openxmlformats.org/officeDocument/2006/relationships" ref="Y1116" r:id="rId2161"/>
    <hyperlink xmlns:r="http://schemas.openxmlformats.org/officeDocument/2006/relationships" ref="AB1116" r:id="rId2162"/>
    <hyperlink xmlns:r="http://schemas.openxmlformats.org/officeDocument/2006/relationships" ref="X1117" r:id="rId2163"/>
    <hyperlink xmlns:r="http://schemas.openxmlformats.org/officeDocument/2006/relationships" ref="Y1117" r:id="rId2164"/>
    <hyperlink xmlns:r="http://schemas.openxmlformats.org/officeDocument/2006/relationships" ref="X1118" r:id="rId2165"/>
    <hyperlink xmlns:r="http://schemas.openxmlformats.org/officeDocument/2006/relationships" ref="Y1118" r:id="rId2166"/>
    <hyperlink xmlns:r="http://schemas.openxmlformats.org/officeDocument/2006/relationships" ref="X1119" r:id="rId2167"/>
    <hyperlink xmlns:r="http://schemas.openxmlformats.org/officeDocument/2006/relationships" ref="Y1119" r:id="rId2168"/>
    <hyperlink xmlns:r="http://schemas.openxmlformats.org/officeDocument/2006/relationships" ref="X1120" r:id="rId2169"/>
    <hyperlink xmlns:r="http://schemas.openxmlformats.org/officeDocument/2006/relationships" ref="X1121" r:id="rId2170"/>
    <hyperlink xmlns:r="http://schemas.openxmlformats.org/officeDocument/2006/relationships" ref="X1122" r:id="rId2171"/>
    <hyperlink xmlns:r="http://schemas.openxmlformats.org/officeDocument/2006/relationships" ref="X1123" r:id="rId2172"/>
    <hyperlink xmlns:r="http://schemas.openxmlformats.org/officeDocument/2006/relationships" ref="X1124" r:id="rId2173"/>
    <hyperlink xmlns:r="http://schemas.openxmlformats.org/officeDocument/2006/relationships" ref="X1125" r:id="rId2174"/>
    <hyperlink xmlns:r="http://schemas.openxmlformats.org/officeDocument/2006/relationships" ref="X1126" r:id="rId2175"/>
    <hyperlink xmlns:r="http://schemas.openxmlformats.org/officeDocument/2006/relationships" ref="Y1126" r:id="rId2176"/>
    <hyperlink xmlns:r="http://schemas.openxmlformats.org/officeDocument/2006/relationships" ref="AB1126" r:id="rId2177"/>
    <hyperlink xmlns:r="http://schemas.openxmlformats.org/officeDocument/2006/relationships" ref="X1127" r:id="rId2178"/>
    <hyperlink xmlns:r="http://schemas.openxmlformats.org/officeDocument/2006/relationships" ref="X1128" r:id="rId2179"/>
    <hyperlink xmlns:r="http://schemas.openxmlformats.org/officeDocument/2006/relationships" ref="X1129" r:id="rId2180"/>
    <hyperlink xmlns:r="http://schemas.openxmlformats.org/officeDocument/2006/relationships" ref="X1130" r:id="rId2181"/>
    <hyperlink xmlns:r="http://schemas.openxmlformats.org/officeDocument/2006/relationships" ref="X1131" r:id="rId2182"/>
    <hyperlink xmlns:r="http://schemas.openxmlformats.org/officeDocument/2006/relationships" ref="X1132" r:id="rId2183"/>
    <hyperlink xmlns:r="http://schemas.openxmlformats.org/officeDocument/2006/relationships" ref="AB1132" r:id="rId2184"/>
    <hyperlink xmlns:r="http://schemas.openxmlformats.org/officeDocument/2006/relationships" ref="X1133" r:id="rId2185"/>
    <hyperlink xmlns:r="http://schemas.openxmlformats.org/officeDocument/2006/relationships" ref="X1134" r:id="rId2186"/>
    <hyperlink xmlns:r="http://schemas.openxmlformats.org/officeDocument/2006/relationships" ref="Y1134" r:id="rId2187"/>
    <hyperlink xmlns:r="http://schemas.openxmlformats.org/officeDocument/2006/relationships" ref="X1135" r:id="rId2188"/>
    <hyperlink xmlns:r="http://schemas.openxmlformats.org/officeDocument/2006/relationships" ref="X1136" r:id="rId2189"/>
    <hyperlink xmlns:r="http://schemas.openxmlformats.org/officeDocument/2006/relationships" ref="Y1136" r:id="rId2190"/>
    <hyperlink xmlns:r="http://schemas.openxmlformats.org/officeDocument/2006/relationships" ref="AB1136" r:id="rId2191"/>
    <hyperlink xmlns:r="http://schemas.openxmlformats.org/officeDocument/2006/relationships" ref="X1137" r:id="rId2192"/>
    <hyperlink xmlns:r="http://schemas.openxmlformats.org/officeDocument/2006/relationships" ref="X1138" r:id="rId2193"/>
    <hyperlink xmlns:r="http://schemas.openxmlformats.org/officeDocument/2006/relationships" ref="X1139" r:id="rId2194"/>
    <hyperlink xmlns:r="http://schemas.openxmlformats.org/officeDocument/2006/relationships" ref="X1140" r:id="rId2195"/>
    <hyperlink xmlns:r="http://schemas.openxmlformats.org/officeDocument/2006/relationships" ref="Y1140" r:id="rId2196"/>
    <hyperlink xmlns:r="http://schemas.openxmlformats.org/officeDocument/2006/relationships" ref="X1141" r:id="rId2197"/>
    <hyperlink xmlns:r="http://schemas.openxmlformats.org/officeDocument/2006/relationships" ref="X1142" r:id="rId2198"/>
    <hyperlink xmlns:r="http://schemas.openxmlformats.org/officeDocument/2006/relationships" ref="Y1142" r:id="rId2199"/>
    <hyperlink xmlns:r="http://schemas.openxmlformats.org/officeDocument/2006/relationships" ref="X1143" r:id="rId2200"/>
    <hyperlink xmlns:r="http://schemas.openxmlformats.org/officeDocument/2006/relationships" ref="X1144" r:id="rId2201"/>
    <hyperlink xmlns:r="http://schemas.openxmlformats.org/officeDocument/2006/relationships" ref="AB1144" r:id="rId2202"/>
    <hyperlink xmlns:r="http://schemas.openxmlformats.org/officeDocument/2006/relationships" ref="X1145" r:id="rId2203"/>
    <hyperlink xmlns:r="http://schemas.openxmlformats.org/officeDocument/2006/relationships" ref="X1146" r:id="rId2204"/>
    <hyperlink xmlns:r="http://schemas.openxmlformats.org/officeDocument/2006/relationships" ref="X1147" r:id="rId2205"/>
    <hyperlink xmlns:r="http://schemas.openxmlformats.org/officeDocument/2006/relationships" ref="X1148" r:id="rId2206"/>
    <hyperlink xmlns:r="http://schemas.openxmlformats.org/officeDocument/2006/relationships" ref="Y1148" r:id="rId2207"/>
    <hyperlink xmlns:r="http://schemas.openxmlformats.org/officeDocument/2006/relationships" ref="X1149" r:id="rId2208"/>
    <hyperlink xmlns:r="http://schemas.openxmlformats.org/officeDocument/2006/relationships" ref="X1150" r:id="rId2209"/>
    <hyperlink xmlns:r="http://schemas.openxmlformats.org/officeDocument/2006/relationships" ref="Y1150" r:id="rId2210"/>
    <hyperlink xmlns:r="http://schemas.openxmlformats.org/officeDocument/2006/relationships" ref="X1151" r:id="rId2211"/>
    <hyperlink xmlns:r="http://schemas.openxmlformats.org/officeDocument/2006/relationships" ref="Y1151" r:id="rId2212"/>
    <hyperlink xmlns:r="http://schemas.openxmlformats.org/officeDocument/2006/relationships" ref="X1152" r:id="rId2213"/>
    <hyperlink xmlns:r="http://schemas.openxmlformats.org/officeDocument/2006/relationships" ref="X1153" r:id="rId2214"/>
    <hyperlink xmlns:r="http://schemas.openxmlformats.org/officeDocument/2006/relationships" ref="X1154" r:id="rId2215"/>
    <hyperlink xmlns:r="http://schemas.openxmlformats.org/officeDocument/2006/relationships" ref="X1155" r:id="rId2216"/>
    <hyperlink xmlns:r="http://schemas.openxmlformats.org/officeDocument/2006/relationships" ref="X1156" r:id="rId2217"/>
    <hyperlink xmlns:r="http://schemas.openxmlformats.org/officeDocument/2006/relationships" ref="AB1156" r:id="rId2218"/>
    <hyperlink xmlns:r="http://schemas.openxmlformats.org/officeDocument/2006/relationships" ref="X1157" r:id="rId2219"/>
    <hyperlink xmlns:r="http://schemas.openxmlformats.org/officeDocument/2006/relationships" ref="X1158" r:id="rId2220"/>
    <hyperlink xmlns:r="http://schemas.openxmlformats.org/officeDocument/2006/relationships" ref="Y1158" r:id="rId2221"/>
    <hyperlink xmlns:r="http://schemas.openxmlformats.org/officeDocument/2006/relationships" ref="X1159" r:id="rId2222"/>
    <hyperlink xmlns:r="http://schemas.openxmlformats.org/officeDocument/2006/relationships" ref="X1160" r:id="rId2223"/>
    <hyperlink xmlns:r="http://schemas.openxmlformats.org/officeDocument/2006/relationships" ref="X1161" r:id="rId2224"/>
    <hyperlink xmlns:r="http://schemas.openxmlformats.org/officeDocument/2006/relationships" ref="AB1161" r:id="rId2225"/>
    <hyperlink xmlns:r="http://schemas.openxmlformats.org/officeDocument/2006/relationships" ref="X1162" r:id="rId2226"/>
    <hyperlink xmlns:r="http://schemas.openxmlformats.org/officeDocument/2006/relationships" ref="Y1162" r:id="rId2227"/>
    <hyperlink xmlns:r="http://schemas.openxmlformats.org/officeDocument/2006/relationships" ref="AB1162" r:id="rId2228"/>
    <hyperlink xmlns:r="http://schemas.openxmlformats.org/officeDocument/2006/relationships" ref="X1163" r:id="rId2229"/>
    <hyperlink xmlns:r="http://schemas.openxmlformats.org/officeDocument/2006/relationships" ref="Y1163" r:id="rId2230"/>
    <hyperlink xmlns:r="http://schemas.openxmlformats.org/officeDocument/2006/relationships" ref="X1164" r:id="rId2231"/>
    <hyperlink xmlns:r="http://schemas.openxmlformats.org/officeDocument/2006/relationships" ref="Y1164" r:id="rId2232"/>
    <hyperlink xmlns:r="http://schemas.openxmlformats.org/officeDocument/2006/relationships" ref="AB1164" r:id="rId2233"/>
    <hyperlink xmlns:r="http://schemas.openxmlformats.org/officeDocument/2006/relationships" ref="X1165" r:id="rId2234"/>
    <hyperlink xmlns:r="http://schemas.openxmlformats.org/officeDocument/2006/relationships" ref="Y1165" r:id="rId2235"/>
    <hyperlink xmlns:r="http://schemas.openxmlformats.org/officeDocument/2006/relationships" ref="X1166" r:id="rId2236"/>
    <hyperlink xmlns:r="http://schemas.openxmlformats.org/officeDocument/2006/relationships" ref="X1167" r:id="rId2237"/>
    <hyperlink xmlns:r="http://schemas.openxmlformats.org/officeDocument/2006/relationships" ref="Y1167" r:id="rId2238"/>
    <hyperlink xmlns:r="http://schemas.openxmlformats.org/officeDocument/2006/relationships" ref="X1168" r:id="rId2239"/>
    <hyperlink xmlns:r="http://schemas.openxmlformats.org/officeDocument/2006/relationships" ref="Y1168" r:id="rId2240"/>
    <hyperlink xmlns:r="http://schemas.openxmlformats.org/officeDocument/2006/relationships" ref="AB1168" r:id="rId2241"/>
    <hyperlink xmlns:r="http://schemas.openxmlformats.org/officeDocument/2006/relationships" ref="X1169" r:id="rId2242"/>
    <hyperlink xmlns:r="http://schemas.openxmlformats.org/officeDocument/2006/relationships" ref="Y1169" r:id="rId2243"/>
    <hyperlink xmlns:r="http://schemas.openxmlformats.org/officeDocument/2006/relationships" ref="X1170" r:id="rId2244"/>
    <hyperlink xmlns:r="http://schemas.openxmlformats.org/officeDocument/2006/relationships" ref="Y1170" r:id="rId2245"/>
    <hyperlink xmlns:r="http://schemas.openxmlformats.org/officeDocument/2006/relationships" ref="X1171" r:id="rId2246"/>
    <hyperlink xmlns:r="http://schemas.openxmlformats.org/officeDocument/2006/relationships" ref="Y1171" r:id="rId2247"/>
    <hyperlink xmlns:r="http://schemas.openxmlformats.org/officeDocument/2006/relationships" ref="X1172" r:id="rId2248"/>
    <hyperlink xmlns:r="http://schemas.openxmlformats.org/officeDocument/2006/relationships" ref="Y1172" r:id="rId2249"/>
    <hyperlink xmlns:r="http://schemas.openxmlformats.org/officeDocument/2006/relationships" ref="X1173" r:id="rId2250"/>
    <hyperlink xmlns:r="http://schemas.openxmlformats.org/officeDocument/2006/relationships" ref="X1174" r:id="rId2251"/>
    <hyperlink xmlns:r="http://schemas.openxmlformats.org/officeDocument/2006/relationships" ref="X1175" r:id="rId2252"/>
    <hyperlink xmlns:r="http://schemas.openxmlformats.org/officeDocument/2006/relationships" ref="X1176" r:id="rId2253"/>
    <hyperlink xmlns:r="http://schemas.openxmlformats.org/officeDocument/2006/relationships" ref="Y1176" r:id="rId2254"/>
    <hyperlink xmlns:r="http://schemas.openxmlformats.org/officeDocument/2006/relationships" ref="X1177" r:id="rId2255"/>
    <hyperlink xmlns:r="http://schemas.openxmlformats.org/officeDocument/2006/relationships" ref="X1178" r:id="rId2256"/>
    <hyperlink xmlns:r="http://schemas.openxmlformats.org/officeDocument/2006/relationships" ref="X1179" r:id="rId2257"/>
    <hyperlink xmlns:r="http://schemas.openxmlformats.org/officeDocument/2006/relationships" ref="X1180" r:id="rId2258"/>
    <hyperlink xmlns:r="http://schemas.openxmlformats.org/officeDocument/2006/relationships" ref="X1181" r:id="rId2259"/>
    <hyperlink xmlns:r="http://schemas.openxmlformats.org/officeDocument/2006/relationships" ref="X1182" r:id="rId2260"/>
    <hyperlink xmlns:r="http://schemas.openxmlformats.org/officeDocument/2006/relationships" ref="X1183" r:id="rId2261"/>
    <hyperlink xmlns:r="http://schemas.openxmlformats.org/officeDocument/2006/relationships" ref="X1184" r:id="rId2262"/>
    <hyperlink xmlns:r="http://schemas.openxmlformats.org/officeDocument/2006/relationships" ref="X1185" r:id="rId2263"/>
    <hyperlink xmlns:r="http://schemas.openxmlformats.org/officeDocument/2006/relationships" ref="X1186" r:id="rId2264"/>
    <hyperlink xmlns:r="http://schemas.openxmlformats.org/officeDocument/2006/relationships" ref="X1187" r:id="rId2265"/>
    <hyperlink xmlns:r="http://schemas.openxmlformats.org/officeDocument/2006/relationships" ref="X1188" r:id="rId2266"/>
    <hyperlink xmlns:r="http://schemas.openxmlformats.org/officeDocument/2006/relationships" ref="X1189" r:id="rId2267"/>
    <hyperlink xmlns:r="http://schemas.openxmlformats.org/officeDocument/2006/relationships" ref="X1190" r:id="rId2268"/>
    <hyperlink xmlns:r="http://schemas.openxmlformats.org/officeDocument/2006/relationships" ref="Y1190" r:id="rId2269"/>
    <hyperlink xmlns:r="http://schemas.openxmlformats.org/officeDocument/2006/relationships" ref="X1191" r:id="rId2270"/>
    <hyperlink xmlns:r="http://schemas.openxmlformats.org/officeDocument/2006/relationships" ref="X1192" r:id="rId2271"/>
    <hyperlink xmlns:r="http://schemas.openxmlformats.org/officeDocument/2006/relationships" ref="X1193" r:id="rId2272"/>
    <hyperlink xmlns:r="http://schemas.openxmlformats.org/officeDocument/2006/relationships" ref="X1194" r:id="rId2273"/>
    <hyperlink xmlns:r="http://schemas.openxmlformats.org/officeDocument/2006/relationships" ref="X1195" r:id="rId2274"/>
    <hyperlink xmlns:r="http://schemas.openxmlformats.org/officeDocument/2006/relationships" ref="X1196" r:id="rId2275"/>
    <hyperlink xmlns:r="http://schemas.openxmlformats.org/officeDocument/2006/relationships" ref="Y1196" r:id="rId2276"/>
    <hyperlink xmlns:r="http://schemas.openxmlformats.org/officeDocument/2006/relationships" ref="X1197" r:id="rId2277"/>
    <hyperlink xmlns:r="http://schemas.openxmlformats.org/officeDocument/2006/relationships" ref="AB1197" r:id="rId2278"/>
    <hyperlink xmlns:r="http://schemas.openxmlformats.org/officeDocument/2006/relationships" ref="X1198" r:id="rId2279"/>
    <hyperlink xmlns:r="http://schemas.openxmlformats.org/officeDocument/2006/relationships" ref="Y1198" r:id="rId2280"/>
    <hyperlink xmlns:r="http://schemas.openxmlformats.org/officeDocument/2006/relationships" ref="X1199" r:id="rId2281"/>
    <hyperlink xmlns:r="http://schemas.openxmlformats.org/officeDocument/2006/relationships" ref="X1200" r:id="rId2282"/>
    <hyperlink xmlns:r="http://schemas.openxmlformats.org/officeDocument/2006/relationships" ref="X1201" r:id="rId2283"/>
    <hyperlink xmlns:r="http://schemas.openxmlformats.org/officeDocument/2006/relationships" ref="Y1201" r:id="rId2284"/>
    <hyperlink xmlns:r="http://schemas.openxmlformats.org/officeDocument/2006/relationships" ref="X1202" r:id="rId2285"/>
    <hyperlink xmlns:r="http://schemas.openxmlformats.org/officeDocument/2006/relationships" ref="Y1202" r:id="rId2286"/>
    <hyperlink xmlns:r="http://schemas.openxmlformats.org/officeDocument/2006/relationships" ref="X1203" r:id="rId2287"/>
    <hyperlink xmlns:r="http://schemas.openxmlformats.org/officeDocument/2006/relationships" ref="Y1203" r:id="rId2288"/>
    <hyperlink xmlns:r="http://schemas.openxmlformats.org/officeDocument/2006/relationships" ref="AB1203" r:id="rId2289"/>
    <hyperlink xmlns:r="http://schemas.openxmlformats.org/officeDocument/2006/relationships" ref="X1204" r:id="rId2290"/>
    <hyperlink xmlns:r="http://schemas.openxmlformats.org/officeDocument/2006/relationships" ref="Y1204" r:id="rId2291"/>
    <hyperlink xmlns:r="http://schemas.openxmlformats.org/officeDocument/2006/relationships" ref="X1205" r:id="rId2292"/>
    <hyperlink xmlns:r="http://schemas.openxmlformats.org/officeDocument/2006/relationships" ref="X1206" r:id="rId2293"/>
    <hyperlink xmlns:r="http://schemas.openxmlformats.org/officeDocument/2006/relationships" ref="X1207" r:id="rId2294"/>
    <hyperlink xmlns:r="http://schemas.openxmlformats.org/officeDocument/2006/relationships" ref="X1208" r:id="rId2295"/>
    <hyperlink xmlns:r="http://schemas.openxmlformats.org/officeDocument/2006/relationships" ref="Y1208" r:id="rId2296"/>
    <hyperlink xmlns:r="http://schemas.openxmlformats.org/officeDocument/2006/relationships" ref="X1209" r:id="rId2297"/>
    <hyperlink xmlns:r="http://schemas.openxmlformats.org/officeDocument/2006/relationships" ref="Y1209" r:id="rId2298"/>
    <hyperlink xmlns:r="http://schemas.openxmlformats.org/officeDocument/2006/relationships" ref="X1210" r:id="rId2299"/>
    <hyperlink xmlns:r="http://schemas.openxmlformats.org/officeDocument/2006/relationships" ref="AB1210" r:id="rId2300"/>
    <hyperlink xmlns:r="http://schemas.openxmlformats.org/officeDocument/2006/relationships" ref="X1211" r:id="rId2301"/>
    <hyperlink xmlns:r="http://schemas.openxmlformats.org/officeDocument/2006/relationships" ref="X1212" r:id="rId2302"/>
    <hyperlink xmlns:r="http://schemas.openxmlformats.org/officeDocument/2006/relationships" ref="Y1212" r:id="rId2303"/>
    <hyperlink xmlns:r="http://schemas.openxmlformats.org/officeDocument/2006/relationships" ref="AB1212" r:id="rId2304"/>
    <hyperlink xmlns:r="http://schemas.openxmlformats.org/officeDocument/2006/relationships" ref="X1213" r:id="rId2305"/>
    <hyperlink xmlns:r="http://schemas.openxmlformats.org/officeDocument/2006/relationships" ref="Y1213" r:id="rId2306"/>
    <hyperlink xmlns:r="http://schemas.openxmlformats.org/officeDocument/2006/relationships" ref="X1214" r:id="rId2307"/>
    <hyperlink xmlns:r="http://schemas.openxmlformats.org/officeDocument/2006/relationships" ref="X1215" r:id="rId2308"/>
    <hyperlink xmlns:r="http://schemas.openxmlformats.org/officeDocument/2006/relationships" ref="X1216" r:id="rId2309"/>
    <hyperlink xmlns:r="http://schemas.openxmlformats.org/officeDocument/2006/relationships" ref="X1217" r:id="rId2310"/>
    <hyperlink xmlns:r="http://schemas.openxmlformats.org/officeDocument/2006/relationships" ref="Y1217" r:id="rId2311"/>
    <hyperlink xmlns:r="http://schemas.openxmlformats.org/officeDocument/2006/relationships" ref="X1218" r:id="rId2312"/>
    <hyperlink xmlns:r="http://schemas.openxmlformats.org/officeDocument/2006/relationships" ref="Y1218" r:id="rId2313"/>
    <hyperlink xmlns:r="http://schemas.openxmlformats.org/officeDocument/2006/relationships" ref="X1219" r:id="rId2314"/>
    <hyperlink xmlns:r="http://schemas.openxmlformats.org/officeDocument/2006/relationships" ref="X1220" r:id="rId2315"/>
    <hyperlink xmlns:r="http://schemas.openxmlformats.org/officeDocument/2006/relationships" ref="Y1220" r:id="rId2316"/>
    <hyperlink xmlns:r="http://schemas.openxmlformats.org/officeDocument/2006/relationships" ref="X1221" r:id="rId2317"/>
    <hyperlink xmlns:r="http://schemas.openxmlformats.org/officeDocument/2006/relationships" ref="X1222" r:id="rId2318"/>
    <hyperlink xmlns:r="http://schemas.openxmlformats.org/officeDocument/2006/relationships" ref="Y1222" r:id="rId2319"/>
    <hyperlink xmlns:r="http://schemas.openxmlformats.org/officeDocument/2006/relationships" ref="X1223" r:id="rId2320"/>
    <hyperlink xmlns:r="http://schemas.openxmlformats.org/officeDocument/2006/relationships" ref="X1224" r:id="rId2321"/>
    <hyperlink xmlns:r="http://schemas.openxmlformats.org/officeDocument/2006/relationships" ref="X1225" r:id="rId2322"/>
    <hyperlink xmlns:r="http://schemas.openxmlformats.org/officeDocument/2006/relationships" ref="Y1225" r:id="rId2323"/>
    <hyperlink xmlns:r="http://schemas.openxmlformats.org/officeDocument/2006/relationships" ref="X1226" r:id="rId2324"/>
    <hyperlink xmlns:r="http://schemas.openxmlformats.org/officeDocument/2006/relationships" ref="X1227" r:id="rId2325"/>
    <hyperlink xmlns:r="http://schemas.openxmlformats.org/officeDocument/2006/relationships" ref="AB1227" r:id="rId2326"/>
    <hyperlink xmlns:r="http://schemas.openxmlformats.org/officeDocument/2006/relationships" ref="X1228" r:id="rId2327"/>
    <hyperlink xmlns:r="http://schemas.openxmlformats.org/officeDocument/2006/relationships" ref="X1229" r:id="rId2328"/>
    <hyperlink xmlns:r="http://schemas.openxmlformats.org/officeDocument/2006/relationships" ref="Y1229" r:id="rId2329"/>
    <hyperlink xmlns:r="http://schemas.openxmlformats.org/officeDocument/2006/relationships" ref="X1230" r:id="rId2330"/>
    <hyperlink xmlns:r="http://schemas.openxmlformats.org/officeDocument/2006/relationships" ref="AB1230" r:id="rId2331"/>
    <hyperlink xmlns:r="http://schemas.openxmlformats.org/officeDocument/2006/relationships" ref="X1231" r:id="rId2332"/>
    <hyperlink xmlns:r="http://schemas.openxmlformats.org/officeDocument/2006/relationships" ref="AB1231" r:id="rId2333"/>
    <hyperlink xmlns:r="http://schemas.openxmlformats.org/officeDocument/2006/relationships" ref="X1232" r:id="rId2334"/>
    <hyperlink xmlns:r="http://schemas.openxmlformats.org/officeDocument/2006/relationships" ref="Y1232" r:id="rId2335"/>
    <hyperlink xmlns:r="http://schemas.openxmlformats.org/officeDocument/2006/relationships" ref="X1233" r:id="rId2336"/>
    <hyperlink xmlns:r="http://schemas.openxmlformats.org/officeDocument/2006/relationships" ref="Y1233" r:id="rId2337"/>
    <hyperlink xmlns:r="http://schemas.openxmlformats.org/officeDocument/2006/relationships" ref="X1234" r:id="rId2338"/>
    <hyperlink xmlns:r="http://schemas.openxmlformats.org/officeDocument/2006/relationships" ref="Y1234" r:id="rId2339"/>
    <hyperlink xmlns:r="http://schemas.openxmlformats.org/officeDocument/2006/relationships" ref="X1235" r:id="rId2340"/>
    <hyperlink xmlns:r="http://schemas.openxmlformats.org/officeDocument/2006/relationships" ref="Y1235" r:id="rId2341"/>
    <hyperlink xmlns:r="http://schemas.openxmlformats.org/officeDocument/2006/relationships" ref="X1236" r:id="rId2342"/>
    <hyperlink xmlns:r="http://schemas.openxmlformats.org/officeDocument/2006/relationships" ref="X1237" r:id="rId2343"/>
    <hyperlink xmlns:r="http://schemas.openxmlformats.org/officeDocument/2006/relationships" ref="X1238" r:id="rId2344"/>
    <hyperlink xmlns:r="http://schemas.openxmlformats.org/officeDocument/2006/relationships" ref="AB1238" r:id="rId2345"/>
    <hyperlink xmlns:r="http://schemas.openxmlformats.org/officeDocument/2006/relationships" ref="X1239" r:id="rId2346"/>
    <hyperlink xmlns:r="http://schemas.openxmlformats.org/officeDocument/2006/relationships" ref="Y1239" r:id="rId2347"/>
    <hyperlink xmlns:r="http://schemas.openxmlformats.org/officeDocument/2006/relationships" ref="X1240" r:id="rId2348"/>
    <hyperlink xmlns:r="http://schemas.openxmlformats.org/officeDocument/2006/relationships" ref="Y1240" r:id="rId2349"/>
    <hyperlink xmlns:r="http://schemas.openxmlformats.org/officeDocument/2006/relationships" ref="AB1240" r:id="rId2350"/>
    <hyperlink xmlns:r="http://schemas.openxmlformats.org/officeDocument/2006/relationships" ref="X1241" r:id="rId2351"/>
    <hyperlink xmlns:r="http://schemas.openxmlformats.org/officeDocument/2006/relationships" ref="X1242" r:id="rId2352"/>
    <hyperlink xmlns:r="http://schemas.openxmlformats.org/officeDocument/2006/relationships" ref="X1243" r:id="rId2353"/>
    <hyperlink xmlns:r="http://schemas.openxmlformats.org/officeDocument/2006/relationships" ref="X1244" r:id="rId2354"/>
    <hyperlink xmlns:r="http://schemas.openxmlformats.org/officeDocument/2006/relationships" ref="Y1244" r:id="rId2355"/>
    <hyperlink xmlns:r="http://schemas.openxmlformats.org/officeDocument/2006/relationships" ref="X1245" r:id="rId2356"/>
    <hyperlink xmlns:r="http://schemas.openxmlformats.org/officeDocument/2006/relationships" ref="X1246" r:id="rId2357"/>
    <hyperlink xmlns:r="http://schemas.openxmlformats.org/officeDocument/2006/relationships" ref="X1247" r:id="rId2358"/>
    <hyperlink xmlns:r="http://schemas.openxmlformats.org/officeDocument/2006/relationships" ref="Y1247" r:id="rId2359"/>
    <hyperlink xmlns:r="http://schemas.openxmlformats.org/officeDocument/2006/relationships" ref="X1248" r:id="rId2360"/>
    <hyperlink xmlns:r="http://schemas.openxmlformats.org/officeDocument/2006/relationships" ref="Y1248" r:id="rId2361"/>
    <hyperlink xmlns:r="http://schemas.openxmlformats.org/officeDocument/2006/relationships" ref="X1249" r:id="rId2362"/>
    <hyperlink xmlns:r="http://schemas.openxmlformats.org/officeDocument/2006/relationships" ref="Y1249" r:id="rId2363"/>
    <hyperlink xmlns:r="http://schemas.openxmlformats.org/officeDocument/2006/relationships" ref="AB1249" r:id="rId2364"/>
    <hyperlink xmlns:r="http://schemas.openxmlformats.org/officeDocument/2006/relationships" ref="X1250" r:id="rId2365"/>
    <hyperlink xmlns:r="http://schemas.openxmlformats.org/officeDocument/2006/relationships" ref="AB1250" r:id="rId2366"/>
    <hyperlink xmlns:r="http://schemas.openxmlformats.org/officeDocument/2006/relationships" ref="X1251" r:id="rId2367"/>
    <hyperlink xmlns:r="http://schemas.openxmlformats.org/officeDocument/2006/relationships" ref="X1252" r:id="rId2368"/>
    <hyperlink xmlns:r="http://schemas.openxmlformats.org/officeDocument/2006/relationships" ref="X1253" r:id="rId2369"/>
    <hyperlink xmlns:r="http://schemas.openxmlformats.org/officeDocument/2006/relationships" ref="Y1253" r:id="rId2370"/>
    <hyperlink xmlns:r="http://schemas.openxmlformats.org/officeDocument/2006/relationships" ref="X1254" r:id="rId2371"/>
    <hyperlink xmlns:r="http://schemas.openxmlformats.org/officeDocument/2006/relationships" ref="Y1254" r:id="rId2372"/>
    <hyperlink xmlns:r="http://schemas.openxmlformats.org/officeDocument/2006/relationships" ref="X1255" r:id="rId2373"/>
    <hyperlink xmlns:r="http://schemas.openxmlformats.org/officeDocument/2006/relationships" ref="X1256" r:id="rId2374"/>
    <hyperlink xmlns:r="http://schemas.openxmlformats.org/officeDocument/2006/relationships" ref="Y1256" r:id="rId2375"/>
    <hyperlink xmlns:r="http://schemas.openxmlformats.org/officeDocument/2006/relationships" ref="AB1256" r:id="rId2376"/>
    <hyperlink xmlns:r="http://schemas.openxmlformats.org/officeDocument/2006/relationships" ref="X1257" r:id="rId2377"/>
    <hyperlink xmlns:r="http://schemas.openxmlformats.org/officeDocument/2006/relationships" ref="Y1257" r:id="rId2378"/>
    <hyperlink xmlns:r="http://schemas.openxmlformats.org/officeDocument/2006/relationships" ref="X1258" r:id="rId2379"/>
    <hyperlink xmlns:r="http://schemas.openxmlformats.org/officeDocument/2006/relationships" ref="Y1258" r:id="rId2380"/>
    <hyperlink xmlns:r="http://schemas.openxmlformats.org/officeDocument/2006/relationships" ref="AB1258" r:id="rId2381"/>
    <hyperlink xmlns:r="http://schemas.openxmlformats.org/officeDocument/2006/relationships" ref="X1259" r:id="rId2382"/>
    <hyperlink xmlns:r="http://schemas.openxmlformats.org/officeDocument/2006/relationships" ref="Y1259" r:id="rId2383"/>
    <hyperlink xmlns:r="http://schemas.openxmlformats.org/officeDocument/2006/relationships" ref="X1260" r:id="rId2384"/>
    <hyperlink xmlns:r="http://schemas.openxmlformats.org/officeDocument/2006/relationships" ref="Y1260" r:id="rId2385"/>
    <hyperlink xmlns:r="http://schemas.openxmlformats.org/officeDocument/2006/relationships" ref="X1261" r:id="rId2386"/>
    <hyperlink xmlns:r="http://schemas.openxmlformats.org/officeDocument/2006/relationships" ref="Y1261" r:id="rId2387"/>
    <hyperlink xmlns:r="http://schemas.openxmlformats.org/officeDocument/2006/relationships" ref="X1262" r:id="rId2388"/>
    <hyperlink xmlns:r="http://schemas.openxmlformats.org/officeDocument/2006/relationships" ref="Y1262" r:id="rId2389"/>
    <hyperlink xmlns:r="http://schemas.openxmlformats.org/officeDocument/2006/relationships" ref="X1263" r:id="rId2390"/>
    <hyperlink xmlns:r="http://schemas.openxmlformats.org/officeDocument/2006/relationships" ref="Y1263" r:id="rId2391"/>
    <hyperlink xmlns:r="http://schemas.openxmlformats.org/officeDocument/2006/relationships" ref="X1264" r:id="rId2392"/>
    <hyperlink xmlns:r="http://schemas.openxmlformats.org/officeDocument/2006/relationships" ref="X1265" r:id="rId2393"/>
    <hyperlink xmlns:r="http://schemas.openxmlformats.org/officeDocument/2006/relationships" ref="X1266" r:id="rId2394"/>
    <hyperlink xmlns:r="http://schemas.openxmlformats.org/officeDocument/2006/relationships" ref="X1267" r:id="rId2395"/>
    <hyperlink xmlns:r="http://schemas.openxmlformats.org/officeDocument/2006/relationships" ref="Y1267" r:id="rId2396"/>
    <hyperlink xmlns:r="http://schemas.openxmlformats.org/officeDocument/2006/relationships" ref="AB1267" r:id="rId2397"/>
    <hyperlink xmlns:r="http://schemas.openxmlformats.org/officeDocument/2006/relationships" ref="X1268" r:id="rId2398"/>
    <hyperlink xmlns:r="http://schemas.openxmlformats.org/officeDocument/2006/relationships" ref="AB1268" r:id="rId2399"/>
    <hyperlink xmlns:r="http://schemas.openxmlformats.org/officeDocument/2006/relationships" ref="X1269" r:id="rId2400"/>
    <hyperlink xmlns:r="http://schemas.openxmlformats.org/officeDocument/2006/relationships" ref="X1270" r:id="rId2401"/>
    <hyperlink xmlns:r="http://schemas.openxmlformats.org/officeDocument/2006/relationships" ref="X1271" r:id="rId2402"/>
    <hyperlink xmlns:r="http://schemas.openxmlformats.org/officeDocument/2006/relationships" ref="Y1271" r:id="rId2403"/>
    <hyperlink xmlns:r="http://schemas.openxmlformats.org/officeDocument/2006/relationships" ref="X1272" r:id="rId2404"/>
    <hyperlink xmlns:r="http://schemas.openxmlformats.org/officeDocument/2006/relationships" ref="X1273" r:id="rId2405"/>
    <hyperlink xmlns:r="http://schemas.openxmlformats.org/officeDocument/2006/relationships" ref="AB1273" r:id="rId2406"/>
    <hyperlink xmlns:r="http://schemas.openxmlformats.org/officeDocument/2006/relationships" ref="X1274" r:id="rId2407"/>
    <hyperlink xmlns:r="http://schemas.openxmlformats.org/officeDocument/2006/relationships" ref="Y1274" r:id="rId2408"/>
    <hyperlink xmlns:r="http://schemas.openxmlformats.org/officeDocument/2006/relationships" ref="X1275" r:id="rId2409"/>
    <hyperlink xmlns:r="http://schemas.openxmlformats.org/officeDocument/2006/relationships" ref="Y1275" r:id="rId2410"/>
    <hyperlink xmlns:r="http://schemas.openxmlformats.org/officeDocument/2006/relationships" ref="X1276" r:id="rId2411"/>
    <hyperlink xmlns:r="http://schemas.openxmlformats.org/officeDocument/2006/relationships" ref="X1277" r:id="rId2412"/>
    <hyperlink xmlns:r="http://schemas.openxmlformats.org/officeDocument/2006/relationships" ref="AB1277" r:id="rId2413"/>
    <hyperlink xmlns:r="http://schemas.openxmlformats.org/officeDocument/2006/relationships" ref="X1278" r:id="rId2414"/>
    <hyperlink xmlns:r="http://schemas.openxmlformats.org/officeDocument/2006/relationships" ref="Y1278" r:id="rId2415"/>
    <hyperlink xmlns:r="http://schemas.openxmlformats.org/officeDocument/2006/relationships" ref="AB1278" r:id="rId2416"/>
    <hyperlink xmlns:r="http://schemas.openxmlformats.org/officeDocument/2006/relationships" ref="X1279" r:id="rId2417"/>
    <hyperlink xmlns:r="http://schemas.openxmlformats.org/officeDocument/2006/relationships" ref="X1280" r:id="rId2418"/>
    <hyperlink xmlns:r="http://schemas.openxmlformats.org/officeDocument/2006/relationships" ref="X1281" r:id="rId2419"/>
    <hyperlink xmlns:r="http://schemas.openxmlformats.org/officeDocument/2006/relationships" ref="X1282" r:id="rId2420"/>
    <hyperlink xmlns:r="http://schemas.openxmlformats.org/officeDocument/2006/relationships" ref="X1283" r:id="rId2421"/>
    <hyperlink xmlns:r="http://schemas.openxmlformats.org/officeDocument/2006/relationships" ref="Y1283" r:id="rId2422"/>
    <hyperlink xmlns:r="http://schemas.openxmlformats.org/officeDocument/2006/relationships" ref="AB1283" r:id="rId2423"/>
    <hyperlink xmlns:r="http://schemas.openxmlformats.org/officeDocument/2006/relationships" ref="X1284" r:id="rId2424"/>
    <hyperlink xmlns:r="http://schemas.openxmlformats.org/officeDocument/2006/relationships" ref="AB1284" r:id="rId2425"/>
    <hyperlink xmlns:r="http://schemas.openxmlformats.org/officeDocument/2006/relationships" ref="X1285" r:id="rId2426"/>
    <hyperlink xmlns:r="http://schemas.openxmlformats.org/officeDocument/2006/relationships" ref="X1286" r:id="rId2427"/>
    <hyperlink xmlns:r="http://schemas.openxmlformats.org/officeDocument/2006/relationships" ref="X1287" r:id="rId2428"/>
    <hyperlink xmlns:r="http://schemas.openxmlformats.org/officeDocument/2006/relationships" ref="X1288" r:id="rId2429"/>
    <hyperlink xmlns:r="http://schemas.openxmlformats.org/officeDocument/2006/relationships" ref="X1289" r:id="rId2430"/>
    <hyperlink xmlns:r="http://schemas.openxmlformats.org/officeDocument/2006/relationships" ref="Y1289" r:id="rId2431"/>
    <hyperlink xmlns:r="http://schemas.openxmlformats.org/officeDocument/2006/relationships" ref="X1290" r:id="rId2432"/>
    <hyperlink xmlns:r="http://schemas.openxmlformats.org/officeDocument/2006/relationships" ref="X1291" r:id="rId2433"/>
    <hyperlink xmlns:r="http://schemas.openxmlformats.org/officeDocument/2006/relationships" ref="AB1291" r:id="rId2434"/>
    <hyperlink xmlns:r="http://schemas.openxmlformats.org/officeDocument/2006/relationships" ref="X1292" r:id="rId2435"/>
    <hyperlink xmlns:r="http://schemas.openxmlformats.org/officeDocument/2006/relationships" ref="Y1292" r:id="rId2436"/>
    <hyperlink xmlns:r="http://schemas.openxmlformats.org/officeDocument/2006/relationships" ref="AB1292" r:id="rId2437"/>
    <hyperlink xmlns:r="http://schemas.openxmlformats.org/officeDocument/2006/relationships" ref="X1293" r:id="rId2438"/>
    <hyperlink xmlns:r="http://schemas.openxmlformats.org/officeDocument/2006/relationships" ref="Y1293" r:id="rId2439"/>
    <hyperlink xmlns:r="http://schemas.openxmlformats.org/officeDocument/2006/relationships" ref="X1294" r:id="rId2440"/>
    <hyperlink xmlns:r="http://schemas.openxmlformats.org/officeDocument/2006/relationships" ref="AB1294" r:id="rId2441"/>
    <hyperlink xmlns:r="http://schemas.openxmlformats.org/officeDocument/2006/relationships" ref="X1295" r:id="rId2442"/>
    <hyperlink xmlns:r="http://schemas.openxmlformats.org/officeDocument/2006/relationships" ref="X1296" r:id="rId2443"/>
    <hyperlink xmlns:r="http://schemas.openxmlformats.org/officeDocument/2006/relationships" ref="Y1296" r:id="rId2444"/>
    <hyperlink xmlns:r="http://schemas.openxmlformats.org/officeDocument/2006/relationships" ref="X1297" r:id="rId2445"/>
    <hyperlink xmlns:r="http://schemas.openxmlformats.org/officeDocument/2006/relationships" ref="Y1297" r:id="rId2446"/>
    <hyperlink xmlns:r="http://schemas.openxmlformats.org/officeDocument/2006/relationships" ref="X1298" r:id="rId2447"/>
    <hyperlink xmlns:r="http://schemas.openxmlformats.org/officeDocument/2006/relationships" ref="X1299" r:id="rId2448"/>
    <hyperlink xmlns:r="http://schemas.openxmlformats.org/officeDocument/2006/relationships" ref="X1300" r:id="rId2449"/>
    <hyperlink xmlns:r="http://schemas.openxmlformats.org/officeDocument/2006/relationships" ref="AB1300" r:id="rId2450"/>
    <hyperlink xmlns:r="http://schemas.openxmlformats.org/officeDocument/2006/relationships" ref="X1301" r:id="rId2451"/>
    <hyperlink xmlns:r="http://schemas.openxmlformats.org/officeDocument/2006/relationships" ref="Y1301" r:id="rId2452"/>
    <hyperlink xmlns:r="http://schemas.openxmlformats.org/officeDocument/2006/relationships" ref="X1302" r:id="rId2453"/>
    <hyperlink xmlns:r="http://schemas.openxmlformats.org/officeDocument/2006/relationships" ref="Y1302" r:id="rId2454"/>
    <hyperlink xmlns:r="http://schemas.openxmlformats.org/officeDocument/2006/relationships" ref="X1303" r:id="rId2455"/>
    <hyperlink xmlns:r="http://schemas.openxmlformats.org/officeDocument/2006/relationships" ref="Y1303" r:id="rId2456"/>
    <hyperlink xmlns:r="http://schemas.openxmlformats.org/officeDocument/2006/relationships" ref="X1304" r:id="rId2457"/>
    <hyperlink xmlns:r="http://schemas.openxmlformats.org/officeDocument/2006/relationships" ref="X1305" r:id="rId2458"/>
    <hyperlink xmlns:r="http://schemas.openxmlformats.org/officeDocument/2006/relationships" ref="Y1305" r:id="rId2459"/>
    <hyperlink xmlns:r="http://schemas.openxmlformats.org/officeDocument/2006/relationships" ref="X1306" r:id="rId2460"/>
    <hyperlink xmlns:r="http://schemas.openxmlformats.org/officeDocument/2006/relationships" ref="X1307" r:id="rId2461"/>
    <hyperlink xmlns:r="http://schemas.openxmlformats.org/officeDocument/2006/relationships" ref="X1308" r:id="rId2462"/>
    <hyperlink xmlns:r="http://schemas.openxmlformats.org/officeDocument/2006/relationships" ref="X1309" r:id="rId2463"/>
    <hyperlink xmlns:r="http://schemas.openxmlformats.org/officeDocument/2006/relationships" ref="X1310" r:id="rId2464"/>
    <hyperlink xmlns:r="http://schemas.openxmlformats.org/officeDocument/2006/relationships" ref="Y1310" r:id="rId2465"/>
    <hyperlink xmlns:r="http://schemas.openxmlformats.org/officeDocument/2006/relationships" ref="X1311" r:id="rId2466"/>
    <hyperlink xmlns:r="http://schemas.openxmlformats.org/officeDocument/2006/relationships" ref="Y1311" r:id="rId2467"/>
    <hyperlink xmlns:r="http://schemas.openxmlformats.org/officeDocument/2006/relationships" ref="X1312" r:id="rId2468"/>
    <hyperlink xmlns:r="http://schemas.openxmlformats.org/officeDocument/2006/relationships" ref="X1313" r:id="rId2469"/>
    <hyperlink xmlns:r="http://schemas.openxmlformats.org/officeDocument/2006/relationships" ref="X1314" r:id="rId2470"/>
    <hyperlink xmlns:r="http://schemas.openxmlformats.org/officeDocument/2006/relationships" ref="X1315" r:id="rId2471"/>
    <hyperlink xmlns:r="http://schemas.openxmlformats.org/officeDocument/2006/relationships" ref="X1316" r:id="rId2472"/>
    <hyperlink xmlns:r="http://schemas.openxmlformats.org/officeDocument/2006/relationships" ref="X1317" r:id="rId2473"/>
    <hyperlink xmlns:r="http://schemas.openxmlformats.org/officeDocument/2006/relationships" ref="X1318" r:id="rId2474"/>
    <hyperlink xmlns:r="http://schemas.openxmlformats.org/officeDocument/2006/relationships" ref="Y1318" r:id="rId2475"/>
    <hyperlink xmlns:r="http://schemas.openxmlformats.org/officeDocument/2006/relationships" ref="X1319" r:id="rId2476"/>
    <hyperlink xmlns:r="http://schemas.openxmlformats.org/officeDocument/2006/relationships" ref="AB1319" r:id="rId2477"/>
    <hyperlink xmlns:r="http://schemas.openxmlformats.org/officeDocument/2006/relationships" ref="X1320" r:id="rId2478"/>
    <hyperlink xmlns:r="http://schemas.openxmlformats.org/officeDocument/2006/relationships" ref="X1321" r:id="rId2479"/>
    <hyperlink xmlns:r="http://schemas.openxmlformats.org/officeDocument/2006/relationships" ref="Y1321" r:id="rId2480"/>
    <hyperlink xmlns:r="http://schemas.openxmlformats.org/officeDocument/2006/relationships" ref="X1322" r:id="rId2481"/>
    <hyperlink xmlns:r="http://schemas.openxmlformats.org/officeDocument/2006/relationships" ref="Y1322" r:id="rId2482"/>
    <hyperlink xmlns:r="http://schemas.openxmlformats.org/officeDocument/2006/relationships" ref="AB1322" r:id="rId2483"/>
    <hyperlink xmlns:r="http://schemas.openxmlformats.org/officeDocument/2006/relationships" ref="X1323" r:id="rId2484"/>
    <hyperlink xmlns:r="http://schemas.openxmlformats.org/officeDocument/2006/relationships" ref="X1324" r:id="rId2485"/>
    <hyperlink xmlns:r="http://schemas.openxmlformats.org/officeDocument/2006/relationships" ref="Y1324" r:id="rId2486"/>
    <hyperlink xmlns:r="http://schemas.openxmlformats.org/officeDocument/2006/relationships" ref="AB1324" r:id="rId2487"/>
    <hyperlink xmlns:r="http://schemas.openxmlformats.org/officeDocument/2006/relationships" ref="X1325" r:id="rId2488"/>
    <hyperlink xmlns:r="http://schemas.openxmlformats.org/officeDocument/2006/relationships" ref="Y1325" r:id="rId2489"/>
    <hyperlink xmlns:r="http://schemas.openxmlformats.org/officeDocument/2006/relationships" ref="X1326" r:id="rId2490"/>
    <hyperlink xmlns:r="http://schemas.openxmlformats.org/officeDocument/2006/relationships" ref="X1327" r:id="rId2491"/>
    <hyperlink xmlns:r="http://schemas.openxmlformats.org/officeDocument/2006/relationships" ref="X1328" r:id="rId2492"/>
    <hyperlink xmlns:r="http://schemas.openxmlformats.org/officeDocument/2006/relationships" ref="X1329" r:id="rId2493"/>
    <hyperlink xmlns:r="http://schemas.openxmlformats.org/officeDocument/2006/relationships" ref="X1330" r:id="rId2494"/>
    <hyperlink xmlns:r="http://schemas.openxmlformats.org/officeDocument/2006/relationships" ref="X1331" r:id="rId2495"/>
    <hyperlink xmlns:r="http://schemas.openxmlformats.org/officeDocument/2006/relationships" ref="X1332" r:id="rId2496"/>
    <hyperlink xmlns:r="http://schemas.openxmlformats.org/officeDocument/2006/relationships" ref="X1333" r:id="rId2497"/>
    <hyperlink xmlns:r="http://schemas.openxmlformats.org/officeDocument/2006/relationships" ref="X1334" r:id="rId2498"/>
    <hyperlink xmlns:r="http://schemas.openxmlformats.org/officeDocument/2006/relationships" ref="X1335" r:id="rId2499"/>
    <hyperlink xmlns:r="http://schemas.openxmlformats.org/officeDocument/2006/relationships" ref="X1336" r:id="rId2500"/>
    <hyperlink xmlns:r="http://schemas.openxmlformats.org/officeDocument/2006/relationships" ref="X1337" r:id="rId2501"/>
    <hyperlink xmlns:r="http://schemas.openxmlformats.org/officeDocument/2006/relationships" ref="AB1337" r:id="rId2502"/>
    <hyperlink xmlns:r="http://schemas.openxmlformats.org/officeDocument/2006/relationships" ref="X1338" r:id="rId2503"/>
    <hyperlink xmlns:r="http://schemas.openxmlformats.org/officeDocument/2006/relationships" ref="X1339" r:id="rId2504"/>
    <hyperlink xmlns:r="http://schemas.openxmlformats.org/officeDocument/2006/relationships" ref="X1340" r:id="rId2505"/>
    <hyperlink xmlns:r="http://schemas.openxmlformats.org/officeDocument/2006/relationships" ref="X1341" r:id="rId2506"/>
    <hyperlink xmlns:r="http://schemas.openxmlformats.org/officeDocument/2006/relationships" ref="X1342" r:id="rId2507"/>
    <hyperlink xmlns:r="http://schemas.openxmlformats.org/officeDocument/2006/relationships" ref="X1343" r:id="rId2508"/>
    <hyperlink xmlns:r="http://schemas.openxmlformats.org/officeDocument/2006/relationships" ref="X1344" r:id="rId2509"/>
    <hyperlink xmlns:r="http://schemas.openxmlformats.org/officeDocument/2006/relationships" ref="Y1344" r:id="rId2510"/>
    <hyperlink xmlns:r="http://schemas.openxmlformats.org/officeDocument/2006/relationships" ref="X1345" r:id="rId2511"/>
    <hyperlink xmlns:r="http://schemas.openxmlformats.org/officeDocument/2006/relationships" ref="Y1345" r:id="rId2512"/>
    <hyperlink xmlns:r="http://schemas.openxmlformats.org/officeDocument/2006/relationships" ref="X1346" r:id="rId2513"/>
    <hyperlink xmlns:r="http://schemas.openxmlformats.org/officeDocument/2006/relationships" ref="X1347" r:id="rId2514"/>
    <hyperlink xmlns:r="http://schemas.openxmlformats.org/officeDocument/2006/relationships" ref="X1348" r:id="rId2515"/>
    <hyperlink xmlns:r="http://schemas.openxmlformats.org/officeDocument/2006/relationships" ref="X1349" r:id="rId2516"/>
    <hyperlink xmlns:r="http://schemas.openxmlformats.org/officeDocument/2006/relationships" ref="Y1349" r:id="rId2517"/>
    <hyperlink xmlns:r="http://schemas.openxmlformats.org/officeDocument/2006/relationships" ref="X1350" r:id="rId2518"/>
    <hyperlink xmlns:r="http://schemas.openxmlformats.org/officeDocument/2006/relationships" ref="X1351" r:id="rId2519"/>
    <hyperlink xmlns:r="http://schemas.openxmlformats.org/officeDocument/2006/relationships" ref="X1352" r:id="rId2520"/>
    <hyperlink xmlns:r="http://schemas.openxmlformats.org/officeDocument/2006/relationships" ref="Y1352" r:id="rId2521"/>
    <hyperlink xmlns:r="http://schemas.openxmlformats.org/officeDocument/2006/relationships" ref="X1353" r:id="rId2522"/>
    <hyperlink xmlns:r="http://schemas.openxmlformats.org/officeDocument/2006/relationships" ref="X1354" r:id="rId2523"/>
    <hyperlink xmlns:r="http://schemas.openxmlformats.org/officeDocument/2006/relationships" ref="X1355" r:id="rId2524"/>
    <hyperlink xmlns:r="http://schemas.openxmlformats.org/officeDocument/2006/relationships" ref="X1356" r:id="rId2525"/>
    <hyperlink xmlns:r="http://schemas.openxmlformats.org/officeDocument/2006/relationships" ref="Y1356" r:id="rId2526"/>
    <hyperlink xmlns:r="http://schemas.openxmlformats.org/officeDocument/2006/relationships" ref="AB1356" r:id="rId2527"/>
    <hyperlink xmlns:r="http://schemas.openxmlformats.org/officeDocument/2006/relationships" ref="X1357" r:id="rId2528"/>
    <hyperlink xmlns:r="http://schemas.openxmlformats.org/officeDocument/2006/relationships" ref="Y1357" r:id="rId2529"/>
    <hyperlink xmlns:r="http://schemas.openxmlformats.org/officeDocument/2006/relationships" ref="X1358" r:id="rId2530"/>
    <hyperlink xmlns:r="http://schemas.openxmlformats.org/officeDocument/2006/relationships" ref="Y1358" r:id="rId2531"/>
    <hyperlink xmlns:r="http://schemas.openxmlformats.org/officeDocument/2006/relationships" ref="X1359" r:id="rId2532"/>
    <hyperlink xmlns:r="http://schemas.openxmlformats.org/officeDocument/2006/relationships" ref="X1360" r:id="rId2533"/>
    <hyperlink xmlns:r="http://schemas.openxmlformats.org/officeDocument/2006/relationships" ref="X1361" r:id="rId2534"/>
    <hyperlink xmlns:r="http://schemas.openxmlformats.org/officeDocument/2006/relationships" ref="Y1361" r:id="rId2535"/>
    <hyperlink xmlns:r="http://schemas.openxmlformats.org/officeDocument/2006/relationships" ref="X1362" r:id="rId2536"/>
    <hyperlink xmlns:r="http://schemas.openxmlformats.org/officeDocument/2006/relationships" ref="Y1362" r:id="rId2537"/>
    <hyperlink xmlns:r="http://schemas.openxmlformats.org/officeDocument/2006/relationships" ref="X1363" r:id="rId2538"/>
    <hyperlink xmlns:r="http://schemas.openxmlformats.org/officeDocument/2006/relationships" ref="X1364" r:id="rId2539"/>
    <hyperlink xmlns:r="http://schemas.openxmlformats.org/officeDocument/2006/relationships" ref="X1365" r:id="rId2540"/>
    <hyperlink xmlns:r="http://schemas.openxmlformats.org/officeDocument/2006/relationships" ref="Y1365" r:id="rId2541"/>
    <hyperlink xmlns:r="http://schemas.openxmlformats.org/officeDocument/2006/relationships" ref="X1366" r:id="rId2542"/>
    <hyperlink xmlns:r="http://schemas.openxmlformats.org/officeDocument/2006/relationships" ref="Y1366" r:id="rId2543"/>
    <hyperlink xmlns:r="http://schemas.openxmlformats.org/officeDocument/2006/relationships" ref="X1367" r:id="rId2544"/>
    <hyperlink xmlns:r="http://schemas.openxmlformats.org/officeDocument/2006/relationships" ref="X1368" r:id="rId2545"/>
    <hyperlink xmlns:r="http://schemas.openxmlformats.org/officeDocument/2006/relationships" ref="Y1368" r:id="rId2546"/>
    <hyperlink xmlns:r="http://schemas.openxmlformats.org/officeDocument/2006/relationships" ref="X1369" r:id="rId2547"/>
    <hyperlink xmlns:r="http://schemas.openxmlformats.org/officeDocument/2006/relationships" ref="Y1369" r:id="rId2548"/>
    <hyperlink xmlns:r="http://schemas.openxmlformats.org/officeDocument/2006/relationships" ref="X1370" r:id="rId2549"/>
    <hyperlink xmlns:r="http://schemas.openxmlformats.org/officeDocument/2006/relationships" ref="Y1370" r:id="rId2550"/>
    <hyperlink xmlns:r="http://schemas.openxmlformats.org/officeDocument/2006/relationships" ref="X1371" r:id="rId2551"/>
    <hyperlink xmlns:r="http://schemas.openxmlformats.org/officeDocument/2006/relationships" ref="X1372" r:id="rId2552"/>
    <hyperlink xmlns:r="http://schemas.openxmlformats.org/officeDocument/2006/relationships" ref="X1373" r:id="rId2553"/>
    <hyperlink xmlns:r="http://schemas.openxmlformats.org/officeDocument/2006/relationships" ref="X1374" r:id="rId2554"/>
    <hyperlink xmlns:r="http://schemas.openxmlformats.org/officeDocument/2006/relationships" ref="X1375" r:id="rId2555"/>
    <hyperlink xmlns:r="http://schemas.openxmlformats.org/officeDocument/2006/relationships" ref="X1376" r:id="rId2556"/>
    <hyperlink xmlns:r="http://schemas.openxmlformats.org/officeDocument/2006/relationships" ref="X1377" r:id="rId2557"/>
    <hyperlink xmlns:r="http://schemas.openxmlformats.org/officeDocument/2006/relationships" ref="Y1377" r:id="rId2558"/>
    <hyperlink xmlns:r="http://schemas.openxmlformats.org/officeDocument/2006/relationships" ref="X1378" r:id="rId2559"/>
    <hyperlink xmlns:r="http://schemas.openxmlformats.org/officeDocument/2006/relationships" ref="X1379" r:id="rId2560"/>
    <hyperlink xmlns:r="http://schemas.openxmlformats.org/officeDocument/2006/relationships" ref="Y1379" r:id="rId2561"/>
    <hyperlink xmlns:r="http://schemas.openxmlformats.org/officeDocument/2006/relationships" ref="X1380" r:id="rId2562"/>
    <hyperlink xmlns:r="http://schemas.openxmlformats.org/officeDocument/2006/relationships" ref="X1381" r:id="rId2563"/>
    <hyperlink xmlns:r="http://schemas.openxmlformats.org/officeDocument/2006/relationships" ref="X1382" r:id="rId2564"/>
    <hyperlink xmlns:r="http://schemas.openxmlformats.org/officeDocument/2006/relationships" ref="Y1382" r:id="rId2565"/>
    <hyperlink xmlns:r="http://schemas.openxmlformats.org/officeDocument/2006/relationships" ref="AB1382" r:id="rId2566"/>
    <hyperlink xmlns:r="http://schemas.openxmlformats.org/officeDocument/2006/relationships" ref="X1383" r:id="rId2567"/>
    <hyperlink xmlns:r="http://schemas.openxmlformats.org/officeDocument/2006/relationships" ref="Y1383" r:id="rId2568"/>
    <hyperlink xmlns:r="http://schemas.openxmlformats.org/officeDocument/2006/relationships" ref="X1384" r:id="rId2569"/>
    <hyperlink xmlns:r="http://schemas.openxmlformats.org/officeDocument/2006/relationships" ref="Y1384" r:id="rId2570"/>
    <hyperlink xmlns:r="http://schemas.openxmlformats.org/officeDocument/2006/relationships" ref="X1385" r:id="rId2571"/>
    <hyperlink xmlns:r="http://schemas.openxmlformats.org/officeDocument/2006/relationships" ref="Y1385" r:id="rId2572"/>
    <hyperlink xmlns:r="http://schemas.openxmlformats.org/officeDocument/2006/relationships" ref="X1386" r:id="rId2573"/>
    <hyperlink xmlns:r="http://schemas.openxmlformats.org/officeDocument/2006/relationships" ref="Y1386" r:id="rId2574"/>
    <hyperlink xmlns:r="http://schemas.openxmlformats.org/officeDocument/2006/relationships" ref="X1387" r:id="rId2575"/>
    <hyperlink xmlns:r="http://schemas.openxmlformats.org/officeDocument/2006/relationships" ref="X1388" r:id="rId2576"/>
    <hyperlink xmlns:r="http://schemas.openxmlformats.org/officeDocument/2006/relationships" ref="X1389" r:id="rId2577"/>
    <hyperlink xmlns:r="http://schemas.openxmlformats.org/officeDocument/2006/relationships" ref="X1390" r:id="rId2578"/>
    <hyperlink xmlns:r="http://schemas.openxmlformats.org/officeDocument/2006/relationships" ref="X1391" r:id="rId2579"/>
    <hyperlink xmlns:r="http://schemas.openxmlformats.org/officeDocument/2006/relationships" ref="Y1391" r:id="rId2580"/>
    <hyperlink xmlns:r="http://schemas.openxmlformats.org/officeDocument/2006/relationships" ref="X1392" r:id="rId2581"/>
    <hyperlink xmlns:r="http://schemas.openxmlformats.org/officeDocument/2006/relationships" ref="Y1392" r:id="rId2582"/>
    <hyperlink xmlns:r="http://schemas.openxmlformats.org/officeDocument/2006/relationships" ref="X1393" r:id="rId2583"/>
    <hyperlink xmlns:r="http://schemas.openxmlformats.org/officeDocument/2006/relationships" ref="X1394" r:id="rId2584"/>
    <hyperlink xmlns:r="http://schemas.openxmlformats.org/officeDocument/2006/relationships" ref="Y1394" r:id="rId2585"/>
    <hyperlink xmlns:r="http://schemas.openxmlformats.org/officeDocument/2006/relationships" ref="X1395" r:id="rId2586"/>
    <hyperlink xmlns:r="http://schemas.openxmlformats.org/officeDocument/2006/relationships" ref="X1396" r:id="rId2587"/>
    <hyperlink xmlns:r="http://schemas.openxmlformats.org/officeDocument/2006/relationships" ref="Y1396" r:id="rId2588"/>
    <hyperlink xmlns:r="http://schemas.openxmlformats.org/officeDocument/2006/relationships" ref="X1397" r:id="rId2589"/>
    <hyperlink xmlns:r="http://schemas.openxmlformats.org/officeDocument/2006/relationships" ref="X1398" r:id="rId2590"/>
    <hyperlink xmlns:r="http://schemas.openxmlformats.org/officeDocument/2006/relationships" ref="X1399" r:id="rId2591"/>
    <hyperlink xmlns:r="http://schemas.openxmlformats.org/officeDocument/2006/relationships" ref="Y1399" r:id="rId2592"/>
    <hyperlink xmlns:r="http://schemas.openxmlformats.org/officeDocument/2006/relationships" ref="X1400" r:id="rId2593"/>
    <hyperlink xmlns:r="http://schemas.openxmlformats.org/officeDocument/2006/relationships" ref="Y1400" r:id="rId2594"/>
    <hyperlink xmlns:r="http://schemas.openxmlformats.org/officeDocument/2006/relationships" ref="AB1400" r:id="rId2595"/>
    <hyperlink xmlns:r="http://schemas.openxmlformats.org/officeDocument/2006/relationships" ref="X1401" r:id="rId2596"/>
    <hyperlink xmlns:r="http://schemas.openxmlformats.org/officeDocument/2006/relationships" ref="Y1401" r:id="rId2597"/>
    <hyperlink xmlns:r="http://schemas.openxmlformats.org/officeDocument/2006/relationships" ref="X1402" r:id="rId2598"/>
    <hyperlink xmlns:r="http://schemas.openxmlformats.org/officeDocument/2006/relationships" ref="Y1402" r:id="rId2599"/>
    <hyperlink xmlns:r="http://schemas.openxmlformats.org/officeDocument/2006/relationships" ref="X1403" r:id="rId2600"/>
    <hyperlink xmlns:r="http://schemas.openxmlformats.org/officeDocument/2006/relationships" ref="AB1403" r:id="rId2601"/>
    <hyperlink xmlns:r="http://schemas.openxmlformats.org/officeDocument/2006/relationships" ref="X1404" r:id="rId2602"/>
    <hyperlink xmlns:r="http://schemas.openxmlformats.org/officeDocument/2006/relationships" ref="X1405" r:id="rId2603"/>
    <hyperlink xmlns:r="http://schemas.openxmlformats.org/officeDocument/2006/relationships" ref="Y1405" r:id="rId2604"/>
    <hyperlink xmlns:r="http://schemas.openxmlformats.org/officeDocument/2006/relationships" ref="X1406" r:id="rId2605"/>
    <hyperlink xmlns:r="http://schemas.openxmlformats.org/officeDocument/2006/relationships" ref="Y1406" r:id="rId2606"/>
    <hyperlink xmlns:r="http://schemas.openxmlformats.org/officeDocument/2006/relationships" ref="X1407" r:id="rId2607"/>
    <hyperlink xmlns:r="http://schemas.openxmlformats.org/officeDocument/2006/relationships" ref="X1408" r:id="rId2608"/>
    <hyperlink xmlns:r="http://schemas.openxmlformats.org/officeDocument/2006/relationships" ref="Y1408" r:id="rId2609"/>
    <hyperlink xmlns:r="http://schemas.openxmlformats.org/officeDocument/2006/relationships" ref="X1409" r:id="rId2610"/>
    <hyperlink xmlns:r="http://schemas.openxmlformats.org/officeDocument/2006/relationships" ref="X1410" r:id="rId2611"/>
    <hyperlink xmlns:r="http://schemas.openxmlformats.org/officeDocument/2006/relationships" ref="Y1410" r:id="rId2612"/>
    <hyperlink xmlns:r="http://schemas.openxmlformats.org/officeDocument/2006/relationships" ref="X1411" r:id="rId2613"/>
    <hyperlink xmlns:r="http://schemas.openxmlformats.org/officeDocument/2006/relationships" ref="Y1411" r:id="rId2614"/>
    <hyperlink xmlns:r="http://schemas.openxmlformats.org/officeDocument/2006/relationships" ref="X1412" r:id="rId2615"/>
    <hyperlink xmlns:r="http://schemas.openxmlformats.org/officeDocument/2006/relationships" ref="X1413" r:id="rId2616"/>
    <hyperlink xmlns:r="http://schemas.openxmlformats.org/officeDocument/2006/relationships" ref="X1414" r:id="rId2617"/>
    <hyperlink xmlns:r="http://schemas.openxmlformats.org/officeDocument/2006/relationships" ref="X1415" r:id="rId2618"/>
    <hyperlink xmlns:r="http://schemas.openxmlformats.org/officeDocument/2006/relationships" ref="X1416" r:id="rId2619"/>
    <hyperlink xmlns:r="http://schemas.openxmlformats.org/officeDocument/2006/relationships" ref="Y1416" r:id="rId2620"/>
    <hyperlink xmlns:r="http://schemas.openxmlformats.org/officeDocument/2006/relationships" ref="X1417" r:id="rId2621"/>
    <hyperlink xmlns:r="http://schemas.openxmlformats.org/officeDocument/2006/relationships" ref="Y1417" r:id="rId2622"/>
    <hyperlink xmlns:r="http://schemas.openxmlformats.org/officeDocument/2006/relationships" ref="X1418" r:id="rId2623"/>
    <hyperlink xmlns:r="http://schemas.openxmlformats.org/officeDocument/2006/relationships" ref="X1419" r:id="rId2624"/>
    <hyperlink xmlns:r="http://schemas.openxmlformats.org/officeDocument/2006/relationships" ref="Y1419" r:id="rId2625"/>
    <hyperlink xmlns:r="http://schemas.openxmlformats.org/officeDocument/2006/relationships" ref="X1420" r:id="rId2626"/>
    <hyperlink xmlns:r="http://schemas.openxmlformats.org/officeDocument/2006/relationships" ref="X1421" r:id="rId2627"/>
    <hyperlink xmlns:r="http://schemas.openxmlformats.org/officeDocument/2006/relationships" ref="Y1421" r:id="rId2628"/>
    <hyperlink xmlns:r="http://schemas.openxmlformats.org/officeDocument/2006/relationships" ref="X1422" r:id="rId2629"/>
    <hyperlink xmlns:r="http://schemas.openxmlformats.org/officeDocument/2006/relationships" ref="X1423" r:id="rId2630"/>
    <hyperlink xmlns:r="http://schemas.openxmlformats.org/officeDocument/2006/relationships" ref="X1424" r:id="rId2631"/>
    <hyperlink xmlns:r="http://schemas.openxmlformats.org/officeDocument/2006/relationships" ref="X1425" r:id="rId2632"/>
    <hyperlink xmlns:r="http://schemas.openxmlformats.org/officeDocument/2006/relationships" ref="Y1425" r:id="rId2633"/>
    <hyperlink xmlns:r="http://schemas.openxmlformats.org/officeDocument/2006/relationships" ref="X1426" r:id="rId2634"/>
    <hyperlink xmlns:r="http://schemas.openxmlformats.org/officeDocument/2006/relationships" ref="X1427" r:id="rId2635"/>
    <hyperlink xmlns:r="http://schemas.openxmlformats.org/officeDocument/2006/relationships" ref="X1428" r:id="rId2636"/>
    <hyperlink xmlns:r="http://schemas.openxmlformats.org/officeDocument/2006/relationships" ref="Y1428" r:id="rId2637"/>
    <hyperlink xmlns:r="http://schemas.openxmlformats.org/officeDocument/2006/relationships" ref="X1429" r:id="rId2638"/>
    <hyperlink xmlns:r="http://schemas.openxmlformats.org/officeDocument/2006/relationships" ref="X1430" r:id="rId2639"/>
    <hyperlink xmlns:r="http://schemas.openxmlformats.org/officeDocument/2006/relationships" ref="X1431" r:id="rId2640"/>
    <hyperlink xmlns:r="http://schemas.openxmlformats.org/officeDocument/2006/relationships" ref="Y1431" r:id="rId2641"/>
    <hyperlink xmlns:r="http://schemas.openxmlformats.org/officeDocument/2006/relationships" ref="X1432" r:id="rId2642"/>
    <hyperlink xmlns:r="http://schemas.openxmlformats.org/officeDocument/2006/relationships" ref="X1433" r:id="rId2643"/>
    <hyperlink xmlns:r="http://schemas.openxmlformats.org/officeDocument/2006/relationships" ref="Y1433" r:id="rId2644"/>
    <hyperlink xmlns:r="http://schemas.openxmlformats.org/officeDocument/2006/relationships" ref="X1434" r:id="rId2645"/>
    <hyperlink xmlns:r="http://schemas.openxmlformats.org/officeDocument/2006/relationships" ref="X1435" r:id="rId2646"/>
    <hyperlink xmlns:r="http://schemas.openxmlformats.org/officeDocument/2006/relationships" ref="Y1435" r:id="rId2647"/>
    <hyperlink xmlns:r="http://schemas.openxmlformats.org/officeDocument/2006/relationships" ref="X1436" r:id="rId2648"/>
    <hyperlink xmlns:r="http://schemas.openxmlformats.org/officeDocument/2006/relationships" ref="Y1436" r:id="rId2649"/>
    <hyperlink xmlns:r="http://schemas.openxmlformats.org/officeDocument/2006/relationships" ref="X1437" r:id="rId2650"/>
    <hyperlink xmlns:r="http://schemas.openxmlformats.org/officeDocument/2006/relationships" ref="X1438" r:id="rId2651"/>
    <hyperlink xmlns:r="http://schemas.openxmlformats.org/officeDocument/2006/relationships" ref="X1439" r:id="rId2652"/>
    <hyperlink xmlns:r="http://schemas.openxmlformats.org/officeDocument/2006/relationships" ref="X1440" r:id="rId2653"/>
    <hyperlink xmlns:r="http://schemas.openxmlformats.org/officeDocument/2006/relationships" ref="Y1440" r:id="rId2654"/>
    <hyperlink xmlns:r="http://schemas.openxmlformats.org/officeDocument/2006/relationships" ref="X1441" r:id="rId2655"/>
    <hyperlink xmlns:r="http://schemas.openxmlformats.org/officeDocument/2006/relationships" ref="X1442" r:id="rId2656"/>
    <hyperlink xmlns:r="http://schemas.openxmlformats.org/officeDocument/2006/relationships" ref="Y1442" r:id="rId2657"/>
    <hyperlink xmlns:r="http://schemas.openxmlformats.org/officeDocument/2006/relationships" ref="X1443" r:id="rId2658"/>
    <hyperlink xmlns:r="http://schemas.openxmlformats.org/officeDocument/2006/relationships" ref="Y1443" r:id="rId2659"/>
    <hyperlink xmlns:r="http://schemas.openxmlformats.org/officeDocument/2006/relationships" ref="X1444" r:id="rId2660"/>
    <hyperlink xmlns:r="http://schemas.openxmlformats.org/officeDocument/2006/relationships" ref="X1445" r:id="rId2661"/>
    <hyperlink xmlns:r="http://schemas.openxmlformats.org/officeDocument/2006/relationships" ref="X1446" r:id="rId2662"/>
    <hyperlink xmlns:r="http://schemas.openxmlformats.org/officeDocument/2006/relationships" ref="X1447" r:id="rId2663"/>
    <hyperlink xmlns:r="http://schemas.openxmlformats.org/officeDocument/2006/relationships" ref="X1448" r:id="rId2664"/>
    <hyperlink xmlns:r="http://schemas.openxmlformats.org/officeDocument/2006/relationships" ref="X1449" r:id="rId2665"/>
    <hyperlink xmlns:r="http://schemas.openxmlformats.org/officeDocument/2006/relationships" ref="Y1449" r:id="rId2666"/>
    <hyperlink xmlns:r="http://schemas.openxmlformats.org/officeDocument/2006/relationships" ref="X1450" r:id="rId2667"/>
    <hyperlink xmlns:r="http://schemas.openxmlformats.org/officeDocument/2006/relationships" ref="X1451" r:id="rId2668"/>
    <hyperlink xmlns:r="http://schemas.openxmlformats.org/officeDocument/2006/relationships" ref="X1452" r:id="rId2669"/>
    <hyperlink xmlns:r="http://schemas.openxmlformats.org/officeDocument/2006/relationships" ref="X1453" r:id="rId2670"/>
    <hyperlink xmlns:r="http://schemas.openxmlformats.org/officeDocument/2006/relationships" ref="X1454" r:id="rId2671"/>
    <hyperlink xmlns:r="http://schemas.openxmlformats.org/officeDocument/2006/relationships" ref="X1455" r:id="rId2672"/>
    <hyperlink xmlns:r="http://schemas.openxmlformats.org/officeDocument/2006/relationships" ref="Y1455" r:id="rId2673"/>
    <hyperlink xmlns:r="http://schemas.openxmlformats.org/officeDocument/2006/relationships" ref="AB1455" r:id="rId2674"/>
    <hyperlink xmlns:r="http://schemas.openxmlformats.org/officeDocument/2006/relationships" ref="X1456" r:id="rId2675"/>
    <hyperlink xmlns:r="http://schemas.openxmlformats.org/officeDocument/2006/relationships" ref="Y1456" r:id="rId2676"/>
    <hyperlink xmlns:r="http://schemas.openxmlformats.org/officeDocument/2006/relationships" ref="AB1456" r:id="rId2677"/>
    <hyperlink xmlns:r="http://schemas.openxmlformats.org/officeDocument/2006/relationships" ref="X1457" r:id="rId2678"/>
    <hyperlink xmlns:r="http://schemas.openxmlformats.org/officeDocument/2006/relationships" ref="AB1457" r:id="rId2679"/>
    <hyperlink xmlns:r="http://schemas.openxmlformats.org/officeDocument/2006/relationships" ref="X1458" r:id="rId2680"/>
    <hyperlink xmlns:r="http://schemas.openxmlformats.org/officeDocument/2006/relationships" ref="X1459" r:id="rId2681"/>
    <hyperlink xmlns:r="http://schemas.openxmlformats.org/officeDocument/2006/relationships" ref="X1460" r:id="rId2682"/>
    <hyperlink xmlns:r="http://schemas.openxmlformats.org/officeDocument/2006/relationships" ref="X1461" r:id="rId2683"/>
    <hyperlink xmlns:r="http://schemas.openxmlformats.org/officeDocument/2006/relationships" ref="X1462" r:id="rId2684"/>
    <hyperlink xmlns:r="http://schemas.openxmlformats.org/officeDocument/2006/relationships" ref="Y1462" r:id="rId2685"/>
    <hyperlink xmlns:r="http://schemas.openxmlformats.org/officeDocument/2006/relationships" ref="X1463" r:id="rId2686"/>
    <hyperlink xmlns:r="http://schemas.openxmlformats.org/officeDocument/2006/relationships" ref="X1464" r:id="rId2687"/>
    <hyperlink xmlns:r="http://schemas.openxmlformats.org/officeDocument/2006/relationships" ref="X1465" r:id="rId2688"/>
    <hyperlink xmlns:r="http://schemas.openxmlformats.org/officeDocument/2006/relationships" ref="X1466" r:id="rId2689"/>
    <hyperlink xmlns:r="http://schemas.openxmlformats.org/officeDocument/2006/relationships" ref="X1467" r:id="rId2690"/>
    <hyperlink xmlns:r="http://schemas.openxmlformats.org/officeDocument/2006/relationships" ref="Y1467" r:id="rId2691"/>
    <hyperlink xmlns:r="http://schemas.openxmlformats.org/officeDocument/2006/relationships" ref="X1468" r:id="rId2692"/>
    <hyperlink xmlns:r="http://schemas.openxmlformats.org/officeDocument/2006/relationships" ref="X1469" r:id="rId2693"/>
    <hyperlink xmlns:r="http://schemas.openxmlformats.org/officeDocument/2006/relationships" ref="X1470" r:id="rId2694"/>
    <hyperlink xmlns:r="http://schemas.openxmlformats.org/officeDocument/2006/relationships" ref="X1471" r:id="rId2695"/>
    <hyperlink xmlns:r="http://schemas.openxmlformats.org/officeDocument/2006/relationships" ref="X1472" r:id="rId2696"/>
    <hyperlink xmlns:r="http://schemas.openxmlformats.org/officeDocument/2006/relationships" ref="X1473" r:id="rId2697"/>
    <hyperlink xmlns:r="http://schemas.openxmlformats.org/officeDocument/2006/relationships" ref="X1474" r:id="rId2698"/>
    <hyperlink xmlns:r="http://schemas.openxmlformats.org/officeDocument/2006/relationships" ref="X1475" r:id="rId2699"/>
    <hyperlink xmlns:r="http://schemas.openxmlformats.org/officeDocument/2006/relationships" ref="X1476" r:id="rId2700"/>
    <hyperlink xmlns:r="http://schemas.openxmlformats.org/officeDocument/2006/relationships" ref="X1477" r:id="rId2701"/>
    <hyperlink xmlns:r="http://schemas.openxmlformats.org/officeDocument/2006/relationships" ref="X1478" r:id="rId2702"/>
    <hyperlink xmlns:r="http://schemas.openxmlformats.org/officeDocument/2006/relationships" ref="Y1478" r:id="rId2703"/>
    <hyperlink xmlns:r="http://schemas.openxmlformats.org/officeDocument/2006/relationships" ref="X1479" r:id="rId2704"/>
    <hyperlink xmlns:r="http://schemas.openxmlformats.org/officeDocument/2006/relationships" ref="X1480" r:id="rId2705"/>
    <hyperlink xmlns:r="http://schemas.openxmlformats.org/officeDocument/2006/relationships" ref="X1481" r:id="rId2706"/>
    <hyperlink xmlns:r="http://schemas.openxmlformats.org/officeDocument/2006/relationships" ref="Y1481" r:id="rId2707"/>
    <hyperlink xmlns:r="http://schemas.openxmlformats.org/officeDocument/2006/relationships" ref="X1482" r:id="rId2708"/>
    <hyperlink xmlns:r="http://schemas.openxmlformats.org/officeDocument/2006/relationships" ref="Y1482" r:id="rId2709"/>
    <hyperlink xmlns:r="http://schemas.openxmlformats.org/officeDocument/2006/relationships" ref="X1483" r:id="rId2710"/>
    <hyperlink xmlns:r="http://schemas.openxmlformats.org/officeDocument/2006/relationships" ref="X1484" r:id="rId2711"/>
    <hyperlink xmlns:r="http://schemas.openxmlformats.org/officeDocument/2006/relationships" ref="X1485" r:id="rId2712"/>
    <hyperlink xmlns:r="http://schemas.openxmlformats.org/officeDocument/2006/relationships" ref="X1486" r:id="rId2713"/>
    <hyperlink xmlns:r="http://schemas.openxmlformats.org/officeDocument/2006/relationships" ref="Y1486" r:id="rId2714"/>
    <hyperlink xmlns:r="http://schemas.openxmlformats.org/officeDocument/2006/relationships" ref="X1487" r:id="rId2715"/>
    <hyperlink xmlns:r="http://schemas.openxmlformats.org/officeDocument/2006/relationships" ref="X1488" r:id="rId2716"/>
    <hyperlink xmlns:r="http://schemas.openxmlformats.org/officeDocument/2006/relationships" ref="X1489" r:id="rId2717"/>
    <hyperlink xmlns:r="http://schemas.openxmlformats.org/officeDocument/2006/relationships" ref="X1490" r:id="rId2718"/>
    <hyperlink xmlns:r="http://schemas.openxmlformats.org/officeDocument/2006/relationships" ref="X1491" r:id="rId2719"/>
    <hyperlink xmlns:r="http://schemas.openxmlformats.org/officeDocument/2006/relationships" ref="X1492" r:id="rId2720"/>
    <hyperlink xmlns:r="http://schemas.openxmlformats.org/officeDocument/2006/relationships" ref="X1493" r:id="rId2721"/>
    <hyperlink xmlns:r="http://schemas.openxmlformats.org/officeDocument/2006/relationships" ref="X1494" r:id="rId2722"/>
    <hyperlink xmlns:r="http://schemas.openxmlformats.org/officeDocument/2006/relationships" ref="X1495" r:id="rId2723"/>
    <hyperlink xmlns:r="http://schemas.openxmlformats.org/officeDocument/2006/relationships" ref="X1496" r:id="rId2724"/>
    <hyperlink xmlns:r="http://schemas.openxmlformats.org/officeDocument/2006/relationships" ref="X1497" r:id="rId2725"/>
    <hyperlink xmlns:r="http://schemas.openxmlformats.org/officeDocument/2006/relationships" ref="X1498" r:id="rId2726"/>
    <hyperlink xmlns:r="http://schemas.openxmlformats.org/officeDocument/2006/relationships" ref="Y1498" r:id="rId2727"/>
    <hyperlink xmlns:r="http://schemas.openxmlformats.org/officeDocument/2006/relationships" ref="X1499" r:id="rId2728"/>
    <hyperlink xmlns:r="http://schemas.openxmlformats.org/officeDocument/2006/relationships" ref="Y1499" r:id="rId2729"/>
    <hyperlink xmlns:r="http://schemas.openxmlformats.org/officeDocument/2006/relationships" ref="X1500" r:id="rId2730"/>
    <hyperlink xmlns:r="http://schemas.openxmlformats.org/officeDocument/2006/relationships" ref="X1501" r:id="rId2731"/>
    <hyperlink xmlns:r="http://schemas.openxmlformats.org/officeDocument/2006/relationships" ref="X1502" r:id="rId2732"/>
    <hyperlink xmlns:r="http://schemas.openxmlformats.org/officeDocument/2006/relationships" ref="Y1502" r:id="rId2733"/>
    <hyperlink xmlns:r="http://schemas.openxmlformats.org/officeDocument/2006/relationships" ref="X1503" r:id="rId2734"/>
    <hyperlink xmlns:r="http://schemas.openxmlformats.org/officeDocument/2006/relationships" ref="X1504" r:id="rId2735"/>
    <hyperlink xmlns:r="http://schemas.openxmlformats.org/officeDocument/2006/relationships" ref="X1505" r:id="rId2736"/>
    <hyperlink xmlns:r="http://schemas.openxmlformats.org/officeDocument/2006/relationships" ref="Y1505" r:id="rId2737"/>
    <hyperlink xmlns:r="http://schemas.openxmlformats.org/officeDocument/2006/relationships" ref="X1506" r:id="rId2738"/>
    <hyperlink xmlns:r="http://schemas.openxmlformats.org/officeDocument/2006/relationships" ref="Y1506" r:id="rId2739"/>
    <hyperlink xmlns:r="http://schemas.openxmlformats.org/officeDocument/2006/relationships" ref="X1507" r:id="rId2740"/>
    <hyperlink xmlns:r="http://schemas.openxmlformats.org/officeDocument/2006/relationships" ref="X1508" r:id="rId2741"/>
    <hyperlink xmlns:r="http://schemas.openxmlformats.org/officeDocument/2006/relationships" ref="Y1508" r:id="rId2742"/>
    <hyperlink xmlns:r="http://schemas.openxmlformats.org/officeDocument/2006/relationships" ref="X1509" r:id="rId2743"/>
    <hyperlink xmlns:r="http://schemas.openxmlformats.org/officeDocument/2006/relationships" ref="Y1509" r:id="rId2744"/>
    <hyperlink xmlns:r="http://schemas.openxmlformats.org/officeDocument/2006/relationships" ref="X1510" r:id="rId2745"/>
    <hyperlink xmlns:r="http://schemas.openxmlformats.org/officeDocument/2006/relationships" ref="Y1510" r:id="rId2746"/>
    <hyperlink xmlns:r="http://schemas.openxmlformats.org/officeDocument/2006/relationships" ref="X1511" r:id="rId2747"/>
    <hyperlink xmlns:r="http://schemas.openxmlformats.org/officeDocument/2006/relationships" ref="X1512" r:id="rId2748"/>
    <hyperlink xmlns:r="http://schemas.openxmlformats.org/officeDocument/2006/relationships" ref="X1513" r:id="rId2749"/>
    <hyperlink xmlns:r="http://schemas.openxmlformats.org/officeDocument/2006/relationships" ref="Y1513" r:id="rId2750"/>
    <hyperlink xmlns:r="http://schemas.openxmlformats.org/officeDocument/2006/relationships" ref="X1514" r:id="rId2751"/>
    <hyperlink xmlns:r="http://schemas.openxmlformats.org/officeDocument/2006/relationships" ref="Y1514" r:id="rId2752"/>
    <hyperlink xmlns:r="http://schemas.openxmlformats.org/officeDocument/2006/relationships" ref="X1515" r:id="rId2753"/>
    <hyperlink xmlns:r="http://schemas.openxmlformats.org/officeDocument/2006/relationships" ref="Y1515" r:id="rId2754"/>
    <hyperlink xmlns:r="http://schemas.openxmlformats.org/officeDocument/2006/relationships" ref="X1516" r:id="rId2755"/>
    <hyperlink xmlns:r="http://schemas.openxmlformats.org/officeDocument/2006/relationships" ref="X1517" r:id="rId2756"/>
    <hyperlink xmlns:r="http://schemas.openxmlformats.org/officeDocument/2006/relationships" ref="X1518" r:id="rId2757"/>
    <hyperlink xmlns:r="http://schemas.openxmlformats.org/officeDocument/2006/relationships" ref="X1519" r:id="rId2758"/>
    <hyperlink xmlns:r="http://schemas.openxmlformats.org/officeDocument/2006/relationships" ref="Y1519" r:id="rId2759"/>
    <hyperlink xmlns:r="http://schemas.openxmlformats.org/officeDocument/2006/relationships" ref="X1520" r:id="rId2760"/>
    <hyperlink xmlns:r="http://schemas.openxmlformats.org/officeDocument/2006/relationships" ref="Y1520" r:id="rId2761"/>
    <hyperlink xmlns:r="http://schemas.openxmlformats.org/officeDocument/2006/relationships" ref="AB1520" r:id="rId2762"/>
    <hyperlink xmlns:r="http://schemas.openxmlformats.org/officeDocument/2006/relationships" ref="X1521" r:id="rId2763"/>
    <hyperlink xmlns:r="http://schemas.openxmlformats.org/officeDocument/2006/relationships" ref="Y1521" r:id="rId2764"/>
    <hyperlink xmlns:r="http://schemas.openxmlformats.org/officeDocument/2006/relationships" ref="X1522" r:id="rId2765"/>
    <hyperlink xmlns:r="http://schemas.openxmlformats.org/officeDocument/2006/relationships" ref="X1523" r:id="rId2766"/>
    <hyperlink xmlns:r="http://schemas.openxmlformats.org/officeDocument/2006/relationships" ref="X1524" r:id="rId2767"/>
    <hyperlink xmlns:r="http://schemas.openxmlformats.org/officeDocument/2006/relationships" ref="X1525" r:id="rId2768"/>
    <hyperlink xmlns:r="http://schemas.openxmlformats.org/officeDocument/2006/relationships" ref="X1526" r:id="rId2769"/>
    <hyperlink xmlns:r="http://schemas.openxmlformats.org/officeDocument/2006/relationships" ref="Y1526" r:id="rId2770"/>
    <hyperlink xmlns:r="http://schemas.openxmlformats.org/officeDocument/2006/relationships" ref="X1527" r:id="rId2771"/>
    <hyperlink xmlns:r="http://schemas.openxmlformats.org/officeDocument/2006/relationships" ref="X1528" r:id="rId2772"/>
    <hyperlink xmlns:r="http://schemas.openxmlformats.org/officeDocument/2006/relationships" ref="X1529" r:id="rId2773"/>
    <hyperlink xmlns:r="http://schemas.openxmlformats.org/officeDocument/2006/relationships" ref="X1530" r:id="rId2774"/>
    <hyperlink xmlns:r="http://schemas.openxmlformats.org/officeDocument/2006/relationships" ref="X1531" r:id="rId2775"/>
    <hyperlink xmlns:r="http://schemas.openxmlformats.org/officeDocument/2006/relationships" ref="Y1531" r:id="rId2776"/>
    <hyperlink xmlns:r="http://schemas.openxmlformats.org/officeDocument/2006/relationships" ref="X1532" r:id="rId2777"/>
    <hyperlink xmlns:r="http://schemas.openxmlformats.org/officeDocument/2006/relationships" ref="Y1532" r:id="rId2778"/>
    <hyperlink xmlns:r="http://schemas.openxmlformats.org/officeDocument/2006/relationships" ref="X1533" r:id="rId2779"/>
    <hyperlink xmlns:r="http://schemas.openxmlformats.org/officeDocument/2006/relationships" ref="Y1533" r:id="rId2780"/>
    <hyperlink xmlns:r="http://schemas.openxmlformats.org/officeDocument/2006/relationships" ref="X1534" r:id="rId2781"/>
    <hyperlink xmlns:r="http://schemas.openxmlformats.org/officeDocument/2006/relationships" ref="Y1534" r:id="rId2782"/>
    <hyperlink xmlns:r="http://schemas.openxmlformats.org/officeDocument/2006/relationships" ref="X1535" r:id="rId2783"/>
    <hyperlink xmlns:r="http://schemas.openxmlformats.org/officeDocument/2006/relationships" ref="X1536" r:id="rId2784"/>
    <hyperlink xmlns:r="http://schemas.openxmlformats.org/officeDocument/2006/relationships" ref="X1537" r:id="rId2785"/>
    <hyperlink xmlns:r="http://schemas.openxmlformats.org/officeDocument/2006/relationships" ref="X1538" r:id="rId2786"/>
    <hyperlink xmlns:r="http://schemas.openxmlformats.org/officeDocument/2006/relationships" ref="X1539" r:id="rId2787"/>
    <hyperlink xmlns:r="http://schemas.openxmlformats.org/officeDocument/2006/relationships" ref="X1540" r:id="rId2788"/>
    <hyperlink xmlns:r="http://schemas.openxmlformats.org/officeDocument/2006/relationships" ref="X1541" r:id="rId2789"/>
    <hyperlink xmlns:r="http://schemas.openxmlformats.org/officeDocument/2006/relationships" ref="X1542" r:id="rId2790"/>
    <hyperlink xmlns:r="http://schemas.openxmlformats.org/officeDocument/2006/relationships" ref="X1543" r:id="rId2791"/>
    <hyperlink xmlns:r="http://schemas.openxmlformats.org/officeDocument/2006/relationships" ref="X1544" r:id="rId2792"/>
    <hyperlink xmlns:r="http://schemas.openxmlformats.org/officeDocument/2006/relationships" ref="X1545" r:id="rId2793"/>
    <hyperlink xmlns:r="http://schemas.openxmlformats.org/officeDocument/2006/relationships" ref="X1546" r:id="rId2794"/>
    <hyperlink xmlns:r="http://schemas.openxmlformats.org/officeDocument/2006/relationships" ref="X1547" r:id="rId2795"/>
    <hyperlink xmlns:r="http://schemas.openxmlformats.org/officeDocument/2006/relationships" ref="X1548" r:id="rId2796"/>
    <hyperlink xmlns:r="http://schemas.openxmlformats.org/officeDocument/2006/relationships" ref="X1549" r:id="rId2797"/>
    <hyperlink xmlns:r="http://schemas.openxmlformats.org/officeDocument/2006/relationships" ref="Y1549" r:id="rId2798"/>
    <hyperlink xmlns:r="http://schemas.openxmlformats.org/officeDocument/2006/relationships" ref="X1550" r:id="rId2799"/>
    <hyperlink xmlns:r="http://schemas.openxmlformats.org/officeDocument/2006/relationships" ref="Y1550" r:id="rId2800"/>
    <hyperlink xmlns:r="http://schemas.openxmlformats.org/officeDocument/2006/relationships" ref="X1551" r:id="rId2801"/>
    <hyperlink xmlns:r="http://schemas.openxmlformats.org/officeDocument/2006/relationships" ref="X1552" r:id="rId2802"/>
    <hyperlink xmlns:r="http://schemas.openxmlformats.org/officeDocument/2006/relationships" ref="X1553" r:id="rId2803"/>
    <hyperlink xmlns:r="http://schemas.openxmlformats.org/officeDocument/2006/relationships" ref="X1554" r:id="rId2804"/>
    <hyperlink xmlns:r="http://schemas.openxmlformats.org/officeDocument/2006/relationships" ref="Y1554" r:id="rId2805"/>
    <hyperlink xmlns:r="http://schemas.openxmlformats.org/officeDocument/2006/relationships" ref="X1555" r:id="rId2806"/>
    <hyperlink xmlns:r="http://schemas.openxmlformats.org/officeDocument/2006/relationships" ref="Y1555" r:id="rId2807"/>
    <hyperlink xmlns:r="http://schemas.openxmlformats.org/officeDocument/2006/relationships" ref="X1556" r:id="rId2808"/>
    <hyperlink xmlns:r="http://schemas.openxmlformats.org/officeDocument/2006/relationships" ref="Y1556" r:id="rId2809"/>
    <hyperlink xmlns:r="http://schemas.openxmlformats.org/officeDocument/2006/relationships" ref="X1557" r:id="rId2810"/>
    <hyperlink xmlns:r="http://schemas.openxmlformats.org/officeDocument/2006/relationships" ref="X1558" r:id="rId2811"/>
    <hyperlink xmlns:r="http://schemas.openxmlformats.org/officeDocument/2006/relationships" ref="X1559" r:id="rId2812"/>
    <hyperlink xmlns:r="http://schemas.openxmlformats.org/officeDocument/2006/relationships" ref="Y1559" r:id="rId2813"/>
    <hyperlink xmlns:r="http://schemas.openxmlformats.org/officeDocument/2006/relationships" ref="X1560" r:id="rId2814"/>
    <hyperlink xmlns:r="http://schemas.openxmlformats.org/officeDocument/2006/relationships" ref="X1561" r:id="rId2815"/>
    <hyperlink xmlns:r="http://schemas.openxmlformats.org/officeDocument/2006/relationships" ref="X1562" r:id="rId2816"/>
    <hyperlink xmlns:r="http://schemas.openxmlformats.org/officeDocument/2006/relationships" ref="X1563" r:id="rId2817"/>
    <hyperlink xmlns:r="http://schemas.openxmlformats.org/officeDocument/2006/relationships" ref="Y1563" r:id="rId2818"/>
    <hyperlink xmlns:r="http://schemas.openxmlformats.org/officeDocument/2006/relationships" ref="X1564" r:id="rId2819"/>
    <hyperlink xmlns:r="http://schemas.openxmlformats.org/officeDocument/2006/relationships" ref="Y1564" r:id="rId2820"/>
    <hyperlink xmlns:r="http://schemas.openxmlformats.org/officeDocument/2006/relationships" ref="X1565" r:id="rId2821"/>
    <hyperlink xmlns:r="http://schemas.openxmlformats.org/officeDocument/2006/relationships" ref="Y1565" r:id="rId2822"/>
    <hyperlink xmlns:r="http://schemas.openxmlformats.org/officeDocument/2006/relationships" ref="X1566" r:id="rId2823"/>
    <hyperlink xmlns:r="http://schemas.openxmlformats.org/officeDocument/2006/relationships" ref="X1567" r:id="rId2824"/>
    <hyperlink xmlns:r="http://schemas.openxmlformats.org/officeDocument/2006/relationships" ref="X1568" r:id="rId2825"/>
    <hyperlink xmlns:r="http://schemas.openxmlformats.org/officeDocument/2006/relationships" ref="Y1568" r:id="rId2826"/>
    <hyperlink xmlns:r="http://schemas.openxmlformats.org/officeDocument/2006/relationships" ref="X1569" r:id="rId2827"/>
    <hyperlink xmlns:r="http://schemas.openxmlformats.org/officeDocument/2006/relationships" ref="X1570" r:id="rId2828"/>
    <hyperlink xmlns:r="http://schemas.openxmlformats.org/officeDocument/2006/relationships" ref="Y1570" r:id="rId2829"/>
    <hyperlink xmlns:r="http://schemas.openxmlformats.org/officeDocument/2006/relationships" ref="X1571" r:id="rId2830"/>
    <hyperlink xmlns:r="http://schemas.openxmlformats.org/officeDocument/2006/relationships" ref="Y1571" r:id="rId2831"/>
    <hyperlink xmlns:r="http://schemas.openxmlformats.org/officeDocument/2006/relationships" ref="X1572" r:id="rId2832"/>
    <hyperlink xmlns:r="http://schemas.openxmlformats.org/officeDocument/2006/relationships" ref="X1573" r:id="rId2833"/>
    <hyperlink xmlns:r="http://schemas.openxmlformats.org/officeDocument/2006/relationships" ref="X1574" r:id="rId2834"/>
    <hyperlink xmlns:r="http://schemas.openxmlformats.org/officeDocument/2006/relationships" ref="X1575" r:id="rId2835"/>
    <hyperlink xmlns:r="http://schemas.openxmlformats.org/officeDocument/2006/relationships" ref="X1576" r:id="rId2836"/>
    <hyperlink xmlns:r="http://schemas.openxmlformats.org/officeDocument/2006/relationships" ref="X1577" r:id="rId2837"/>
    <hyperlink xmlns:r="http://schemas.openxmlformats.org/officeDocument/2006/relationships" ref="Y1577" r:id="rId2838"/>
    <hyperlink xmlns:r="http://schemas.openxmlformats.org/officeDocument/2006/relationships" ref="X1578" r:id="rId2839"/>
    <hyperlink xmlns:r="http://schemas.openxmlformats.org/officeDocument/2006/relationships" ref="Y1578" r:id="rId2840"/>
    <hyperlink xmlns:r="http://schemas.openxmlformats.org/officeDocument/2006/relationships" ref="X1579" r:id="rId2841"/>
    <hyperlink xmlns:r="http://schemas.openxmlformats.org/officeDocument/2006/relationships" ref="Y1579" r:id="rId2842"/>
    <hyperlink xmlns:r="http://schemas.openxmlformats.org/officeDocument/2006/relationships" ref="X1580" r:id="rId2843"/>
    <hyperlink xmlns:r="http://schemas.openxmlformats.org/officeDocument/2006/relationships" ref="Y1580" r:id="rId2844"/>
    <hyperlink xmlns:r="http://schemas.openxmlformats.org/officeDocument/2006/relationships" ref="X1581" r:id="rId2845"/>
    <hyperlink xmlns:r="http://schemas.openxmlformats.org/officeDocument/2006/relationships" ref="X1582" r:id="rId2846"/>
    <hyperlink xmlns:r="http://schemas.openxmlformats.org/officeDocument/2006/relationships" ref="X1583" r:id="rId2847"/>
    <hyperlink xmlns:r="http://schemas.openxmlformats.org/officeDocument/2006/relationships" ref="Y1583" r:id="rId2848"/>
    <hyperlink xmlns:r="http://schemas.openxmlformats.org/officeDocument/2006/relationships" ref="X1584" r:id="rId2849"/>
    <hyperlink xmlns:r="http://schemas.openxmlformats.org/officeDocument/2006/relationships" ref="Y1584" r:id="rId2850"/>
    <hyperlink xmlns:r="http://schemas.openxmlformats.org/officeDocument/2006/relationships" ref="X1585" r:id="rId2851"/>
    <hyperlink xmlns:r="http://schemas.openxmlformats.org/officeDocument/2006/relationships" ref="Y1585" r:id="rId2852"/>
    <hyperlink xmlns:r="http://schemas.openxmlformats.org/officeDocument/2006/relationships" ref="X1586" r:id="rId2853"/>
    <hyperlink xmlns:r="http://schemas.openxmlformats.org/officeDocument/2006/relationships" ref="Y1586" r:id="rId2854"/>
    <hyperlink xmlns:r="http://schemas.openxmlformats.org/officeDocument/2006/relationships" ref="X1587" r:id="rId2855"/>
    <hyperlink xmlns:r="http://schemas.openxmlformats.org/officeDocument/2006/relationships" ref="X1588" r:id="rId2856"/>
    <hyperlink xmlns:r="http://schemas.openxmlformats.org/officeDocument/2006/relationships" ref="X1589" r:id="rId2857"/>
    <hyperlink xmlns:r="http://schemas.openxmlformats.org/officeDocument/2006/relationships" ref="X1590" r:id="rId2858"/>
    <hyperlink xmlns:r="http://schemas.openxmlformats.org/officeDocument/2006/relationships" ref="Y1590" r:id="rId2859"/>
    <hyperlink xmlns:r="http://schemas.openxmlformats.org/officeDocument/2006/relationships" ref="X1591" r:id="rId2860"/>
    <hyperlink xmlns:r="http://schemas.openxmlformats.org/officeDocument/2006/relationships" ref="X1592" r:id="rId2861"/>
    <hyperlink xmlns:r="http://schemas.openxmlformats.org/officeDocument/2006/relationships" ref="X1593" r:id="rId2862"/>
    <hyperlink xmlns:r="http://schemas.openxmlformats.org/officeDocument/2006/relationships" ref="X1594" r:id="rId2863"/>
    <hyperlink xmlns:r="http://schemas.openxmlformats.org/officeDocument/2006/relationships" ref="X1595" r:id="rId2864"/>
    <hyperlink xmlns:r="http://schemas.openxmlformats.org/officeDocument/2006/relationships" ref="X1596" r:id="rId2865"/>
    <hyperlink xmlns:r="http://schemas.openxmlformats.org/officeDocument/2006/relationships" ref="Y1596" r:id="rId2866"/>
    <hyperlink xmlns:r="http://schemas.openxmlformats.org/officeDocument/2006/relationships" ref="X1597" r:id="rId2867"/>
    <hyperlink xmlns:r="http://schemas.openxmlformats.org/officeDocument/2006/relationships" ref="Y1597" r:id="rId2868"/>
    <hyperlink xmlns:r="http://schemas.openxmlformats.org/officeDocument/2006/relationships" ref="X1598" r:id="rId2869"/>
    <hyperlink xmlns:r="http://schemas.openxmlformats.org/officeDocument/2006/relationships" ref="X1599" r:id="rId2870"/>
    <hyperlink xmlns:r="http://schemas.openxmlformats.org/officeDocument/2006/relationships" ref="X1600" r:id="rId2871"/>
    <hyperlink xmlns:r="http://schemas.openxmlformats.org/officeDocument/2006/relationships" ref="Y1600" r:id="rId2872"/>
    <hyperlink xmlns:r="http://schemas.openxmlformats.org/officeDocument/2006/relationships" ref="AB1600" r:id="rId2873"/>
    <hyperlink xmlns:r="http://schemas.openxmlformats.org/officeDocument/2006/relationships" ref="X1601" r:id="rId2874"/>
    <hyperlink xmlns:r="http://schemas.openxmlformats.org/officeDocument/2006/relationships" ref="X1602" r:id="rId2875"/>
    <hyperlink xmlns:r="http://schemas.openxmlformats.org/officeDocument/2006/relationships" ref="X1603" r:id="rId2876"/>
    <hyperlink xmlns:r="http://schemas.openxmlformats.org/officeDocument/2006/relationships" ref="X1604" r:id="rId2877"/>
    <hyperlink xmlns:r="http://schemas.openxmlformats.org/officeDocument/2006/relationships" ref="Y1604" r:id="rId2878"/>
    <hyperlink xmlns:r="http://schemas.openxmlformats.org/officeDocument/2006/relationships" ref="X1605" r:id="rId2879"/>
    <hyperlink xmlns:r="http://schemas.openxmlformats.org/officeDocument/2006/relationships" ref="X1606" r:id="rId2880"/>
    <hyperlink xmlns:r="http://schemas.openxmlformats.org/officeDocument/2006/relationships" ref="X1607" r:id="rId2881"/>
    <hyperlink xmlns:r="http://schemas.openxmlformats.org/officeDocument/2006/relationships" ref="Y1607" r:id="rId2882"/>
    <hyperlink xmlns:r="http://schemas.openxmlformats.org/officeDocument/2006/relationships" ref="X1608" r:id="rId2883"/>
    <hyperlink xmlns:r="http://schemas.openxmlformats.org/officeDocument/2006/relationships" ref="Y1608" r:id="rId2884"/>
    <hyperlink xmlns:r="http://schemas.openxmlformats.org/officeDocument/2006/relationships" ref="X1609" r:id="rId2885"/>
    <hyperlink xmlns:r="http://schemas.openxmlformats.org/officeDocument/2006/relationships" ref="Y1609" r:id="rId2886"/>
    <hyperlink xmlns:r="http://schemas.openxmlformats.org/officeDocument/2006/relationships" ref="X1610" r:id="rId2887"/>
    <hyperlink xmlns:r="http://schemas.openxmlformats.org/officeDocument/2006/relationships" ref="Y1610" r:id="rId2888"/>
    <hyperlink xmlns:r="http://schemas.openxmlformats.org/officeDocument/2006/relationships" ref="X1611" r:id="rId2889"/>
    <hyperlink xmlns:r="http://schemas.openxmlformats.org/officeDocument/2006/relationships" ref="Y1611" r:id="rId2890"/>
    <hyperlink xmlns:r="http://schemas.openxmlformats.org/officeDocument/2006/relationships" ref="X1612" r:id="rId2891"/>
    <hyperlink xmlns:r="http://schemas.openxmlformats.org/officeDocument/2006/relationships" ref="Y1612" r:id="rId2892"/>
    <hyperlink xmlns:r="http://schemas.openxmlformats.org/officeDocument/2006/relationships" ref="X1613" r:id="rId2893"/>
    <hyperlink xmlns:r="http://schemas.openxmlformats.org/officeDocument/2006/relationships" ref="Y1613" r:id="rId2894"/>
    <hyperlink xmlns:r="http://schemas.openxmlformats.org/officeDocument/2006/relationships" ref="X1614" r:id="rId2895"/>
    <hyperlink xmlns:r="http://schemas.openxmlformats.org/officeDocument/2006/relationships" ref="Y1614" r:id="rId2896"/>
    <hyperlink xmlns:r="http://schemas.openxmlformats.org/officeDocument/2006/relationships" ref="X1615" r:id="rId2897"/>
    <hyperlink xmlns:r="http://schemas.openxmlformats.org/officeDocument/2006/relationships" ref="X1616" r:id="rId2898"/>
    <hyperlink xmlns:r="http://schemas.openxmlformats.org/officeDocument/2006/relationships" ref="X1617" r:id="rId2899"/>
    <hyperlink xmlns:r="http://schemas.openxmlformats.org/officeDocument/2006/relationships" ref="X1618" r:id="rId2900"/>
    <hyperlink xmlns:r="http://schemas.openxmlformats.org/officeDocument/2006/relationships" ref="Y1618" r:id="rId2901"/>
    <hyperlink xmlns:r="http://schemas.openxmlformats.org/officeDocument/2006/relationships" ref="X1619" r:id="rId2902"/>
    <hyperlink xmlns:r="http://schemas.openxmlformats.org/officeDocument/2006/relationships" ref="Y1619" r:id="rId2903"/>
    <hyperlink xmlns:r="http://schemas.openxmlformats.org/officeDocument/2006/relationships" ref="X1620" r:id="rId2904"/>
    <hyperlink xmlns:r="http://schemas.openxmlformats.org/officeDocument/2006/relationships" ref="Y1620" r:id="rId2905"/>
    <hyperlink xmlns:r="http://schemas.openxmlformats.org/officeDocument/2006/relationships" ref="X1621" r:id="rId2906"/>
    <hyperlink xmlns:r="http://schemas.openxmlformats.org/officeDocument/2006/relationships" ref="Y1621" r:id="rId2907"/>
    <hyperlink xmlns:r="http://schemas.openxmlformats.org/officeDocument/2006/relationships" ref="X1622" r:id="rId2908"/>
    <hyperlink xmlns:r="http://schemas.openxmlformats.org/officeDocument/2006/relationships" ref="X1623" r:id="rId2909"/>
    <hyperlink xmlns:r="http://schemas.openxmlformats.org/officeDocument/2006/relationships" ref="X1624" r:id="rId2910"/>
    <hyperlink xmlns:r="http://schemas.openxmlformats.org/officeDocument/2006/relationships" ref="X1625" r:id="rId2911"/>
    <hyperlink xmlns:r="http://schemas.openxmlformats.org/officeDocument/2006/relationships" ref="X1626" r:id="rId2912"/>
    <hyperlink xmlns:r="http://schemas.openxmlformats.org/officeDocument/2006/relationships" ref="Y1626" r:id="rId2913"/>
    <hyperlink xmlns:r="http://schemas.openxmlformats.org/officeDocument/2006/relationships" ref="X1627" r:id="rId2914"/>
    <hyperlink xmlns:r="http://schemas.openxmlformats.org/officeDocument/2006/relationships" ref="Y1627" r:id="rId2915"/>
    <hyperlink xmlns:r="http://schemas.openxmlformats.org/officeDocument/2006/relationships" ref="X1628" r:id="rId2916"/>
    <hyperlink xmlns:r="http://schemas.openxmlformats.org/officeDocument/2006/relationships" ref="Y1628" r:id="rId2917"/>
    <hyperlink xmlns:r="http://schemas.openxmlformats.org/officeDocument/2006/relationships" ref="X1629" r:id="rId2918"/>
    <hyperlink xmlns:r="http://schemas.openxmlformats.org/officeDocument/2006/relationships" ref="X1630" r:id="rId2919"/>
    <hyperlink xmlns:r="http://schemas.openxmlformats.org/officeDocument/2006/relationships" ref="X1631" r:id="rId2920"/>
    <hyperlink xmlns:r="http://schemas.openxmlformats.org/officeDocument/2006/relationships" ref="Y1631" r:id="rId2921"/>
    <hyperlink xmlns:r="http://schemas.openxmlformats.org/officeDocument/2006/relationships" ref="X1632" r:id="rId2922"/>
    <hyperlink xmlns:r="http://schemas.openxmlformats.org/officeDocument/2006/relationships" ref="Y1632" r:id="rId2923"/>
    <hyperlink xmlns:r="http://schemas.openxmlformats.org/officeDocument/2006/relationships" ref="X1633" r:id="rId2924"/>
    <hyperlink xmlns:r="http://schemas.openxmlformats.org/officeDocument/2006/relationships" ref="X1634" r:id="rId2925"/>
    <hyperlink xmlns:r="http://schemas.openxmlformats.org/officeDocument/2006/relationships" ref="X1635" r:id="rId2926"/>
    <hyperlink xmlns:r="http://schemas.openxmlformats.org/officeDocument/2006/relationships" ref="X1636" r:id="rId2927"/>
    <hyperlink xmlns:r="http://schemas.openxmlformats.org/officeDocument/2006/relationships" ref="Y1636" r:id="rId2928"/>
    <hyperlink xmlns:r="http://schemas.openxmlformats.org/officeDocument/2006/relationships" ref="X1637" r:id="rId2929"/>
    <hyperlink xmlns:r="http://schemas.openxmlformats.org/officeDocument/2006/relationships" ref="X1638" r:id="rId2930"/>
    <hyperlink xmlns:r="http://schemas.openxmlformats.org/officeDocument/2006/relationships" ref="Y1638" r:id="rId2931"/>
    <hyperlink xmlns:r="http://schemas.openxmlformats.org/officeDocument/2006/relationships" ref="X1639" r:id="rId2932"/>
    <hyperlink xmlns:r="http://schemas.openxmlformats.org/officeDocument/2006/relationships" ref="Y1639" r:id="rId2933"/>
    <hyperlink xmlns:r="http://schemas.openxmlformats.org/officeDocument/2006/relationships" ref="X1640" r:id="rId2934"/>
    <hyperlink xmlns:r="http://schemas.openxmlformats.org/officeDocument/2006/relationships" ref="X1641" r:id="rId2935"/>
    <hyperlink xmlns:r="http://schemas.openxmlformats.org/officeDocument/2006/relationships" ref="Y1641" r:id="rId2936"/>
    <hyperlink xmlns:r="http://schemas.openxmlformats.org/officeDocument/2006/relationships" ref="X1642" r:id="rId2937"/>
    <hyperlink xmlns:r="http://schemas.openxmlformats.org/officeDocument/2006/relationships" ref="Y1642" r:id="rId2938"/>
    <hyperlink xmlns:r="http://schemas.openxmlformats.org/officeDocument/2006/relationships" ref="X1643" r:id="rId2939"/>
    <hyperlink xmlns:r="http://schemas.openxmlformats.org/officeDocument/2006/relationships" ref="Y1643" r:id="rId2940"/>
    <hyperlink xmlns:r="http://schemas.openxmlformats.org/officeDocument/2006/relationships" ref="X1644" r:id="rId2941"/>
    <hyperlink xmlns:r="http://schemas.openxmlformats.org/officeDocument/2006/relationships" ref="Y1644" r:id="rId2942"/>
    <hyperlink xmlns:r="http://schemas.openxmlformats.org/officeDocument/2006/relationships" ref="X1645" r:id="rId2943"/>
    <hyperlink xmlns:r="http://schemas.openxmlformats.org/officeDocument/2006/relationships" ref="X1646" r:id="rId2944"/>
    <hyperlink xmlns:r="http://schemas.openxmlformats.org/officeDocument/2006/relationships" ref="X1647" r:id="rId2945"/>
    <hyperlink xmlns:r="http://schemas.openxmlformats.org/officeDocument/2006/relationships" ref="Y1647" r:id="rId2946"/>
    <hyperlink xmlns:r="http://schemas.openxmlformats.org/officeDocument/2006/relationships" ref="X1648" r:id="rId2947"/>
    <hyperlink xmlns:r="http://schemas.openxmlformats.org/officeDocument/2006/relationships" ref="X1649" r:id="rId2948"/>
    <hyperlink xmlns:r="http://schemas.openxmlformats.org/officeDocument/2006/relationships" ref="X1650" r:id="rId2949"/>
    <hyperlink xmlns:r="http://schemas.openxmlformats.org/officeDocument/2006/relationships" ref="X1651" r:id="rId2950"/>
    <hyperlink xmlns:r="http://schemas.openxmlformats.org/officeDocument/2006/relationships" ref="X1652" r:id="rId2951"/>
    <hyperlink xmlns:r="http://schemas.openxmlformats.org/officeDocument/2006/relationships" ref="X1653" r:id="rId2952"/>
    <hyperlink xmlns:r="http://schemas.openxmlformats.org/officeDocument/2006/relationships" ref="X1654" r:id="rId2953"/>
    <hyperlink xmlns:r="http://schemas.openxmlformats.org/officeDocument/2006/relationships" ref="X1655" r:id="rId2954"/>
    <hyperlink xmlns:r="http://schemas.openxmlformats.org/officeDocument/2006/relationships" ref="X1656" r:id="rId2955"/>
    <hyperlink xmlns:r="http://schemas.openxmlformats.org/officeDocument/2006/relationships" ref="X1657" r:id="rId2956"/>
    <hyperlink xmlns:r="http://schemas.openxmlformats.org/officeDocument/2006/relationships" ref="X1658" r:id="rId2957"/>
    <hyperlink xmlns:r="http://schemas.openxmlformats.org/officeDocument/2006/relationships" ref="X1659" r:id="rId2958"/>
    <hyperlink xmlns:r="http://schemas.openxmlformats.org/officeDocument/2006/relationships" ref="Y1659" r:id="rId2959"/>
    <hyperlink xmlns:r="http://schemas.openxmlformats.org/officeDocument/2006/relationships" ref="X1660" r:id="rId2960"/>
    <hyperlink xmlns:r="http://schemas.openxmlformats.org/officeDocument/2006/relationships" ref="Y1660" r:id="rId2961"/>
    <hyperlink xmlns:r="http://schemas.openxmlformats.org/officeDocument/2006/relationships" ref="X1661" r:id="rId2962"/>
    <hyperlink xmlns:r="http://schemas.openxmlformats.org/officeDocument/2006/relationships" ref="X1662" r:id="rId2963"/>
    <hyperlink xmlns:r="http://schemas.openxmlformats.org/officeDocument/2006/relationships" ref="X1663" r:id="rId2964"/>
    <hyperlink xmlns:r="http://schemas.openxmlformats.org/officeDocument/2006/relationships" ref="X1664" r:id="rId2965"/>
    <hyperlink xmlns:r="http://schemas.openxmlformats.org/officeDocument/2006/relationships" ref="X1665" r:id="rId2966"/>
    <hyperlink xmlns:r="http://schemas.openxmlformats.org/officeDocument/2006/relationships" ref="Y1665" r:id="rId2967"/>
    <hyperlink xmlns:r="http://schemas.openxmlformats.org/officeDocument/2006/relationships" ref="X1666" r:id="rId2968"/>
    <hyperlink xmlns:r="http://schemas.openxmlformats.org/officeDocument/2006/relationships" ref="Y1666" r:id="rId2969"/>
    <hyperlink xmlns:r="http://schemas.openxmlformats.org/officeDocument/2006/relationships" ref="X1667" r:id="rId2970"/>
    <hyperlink xmlns:r="http://schemas.openxmlformats.org/officeDocument/2006/relationships" ref="X1668" r:id="rId2971"/>
    <hyperlink xmlns:r="http://schemas.openxmlformats.org/officeDocument/2006/relationships" ref="X1669" r:id="rId2972"/>
    <hyperlink xmlns:r="http://schemas.openxmlformats.org/officeDocument/2006/relationships" ref="X1670" r:id="rId2973"/>
    <hyperlink xmlns:r="http://schemas.openxmlformats.org/officeDocument/2006/relationships" ref="Y1670" r:id="rId2974"/>
    <hyperlink xmlns:r="http://schemas.openxmlformats.org/officeDocument/2006/relationships" ref="X1671" r:id="rId2975"/>
    <hyperlink xmlns:r="http://schemas.openxmlformats.org/officeDocument/2006/relationships" ref="Y1671" r:id="rId2976"/>
    <hyperlink xmlns:r="http://schemas.openxmlformats.org/officeDocument/2006/relationships" ref="AB1671" r:id="rId2977"/>
    <hyperlink xmlns:r="http://schemas.openxmlformats.org/officeDocument/2006/relationships" ref="X1672" r:id="rId2978"/>
    <hyperlink xmlns:r="http://schemas.openxmlformats.org/officeDocument/2006/relationships" ref="Y1672" r:id="rId2979"/>
    <hyperlink xmlns:r="http://schemas.openxmlformats.org/officeDocument/2006/relationships" ref="X1673" r:id="rId2980"/>
    <hyperlink xmlns:r="http://schemas.openxmlformats.org/officeDocument/2006/relationships" ref="Y1673" r:id="rId2981"/>
    <hyperlink xmlns:r="http://schemas.openxmlformats.org/officeDocument/2006/relationships" ref="X1674" r:id="rId2982"/>
    <hyperlink xmlns:r="http://schemas.openxmlformats.org/officeDocument/2006/relationships" ref="X1675" r:id="rId2983"/>
    <hyperlink xmlns:r="http://schemas.openxmlformats.org/officeDocument/2006/relationships" ref="X1676" r:id="rId2984"/>
    <hyperlink xmlns:r="http://schemas.openxmlformats.org/officeDocument/2006/relationships" ref="X1677" r:id="rId2985"/>
    <hyperlink xmlns:r="http://schemas.openxmlformats.org/officeDocument/2006/relationships" ref="X1678" r:id="rId2986"/>
    <hyperlink xmlns:r="http://schemas.openxmlformats.org/officeDocument/2006/relationships" ref="Y1678" r:id="rId2987"/>
    <hyperlink xmlns:r="http://schemas.openxmlformats.org/officeDocument/2006/relationships" ref="X1679" r:id="rId2988"/>
    <hyperlink xmlns:r="http://schemas.openxmlformats.org/officeDocument/2006/relationships" ref="Y1679" r:id="rId2989"/>
    <hyperlink xmlns:r="http://schemas.openxmlformats.org/officeDocument/2006/relationships" ref="X1680" r:id="rId2990"/>
    <hyperlink xmlns:r="http://schemas.openxmlformats.org/officeDocument/2006/relationships" ref="Y1680" r:id="rId2991"/>
    <hyperlink xmlns:r="http://schemas.openxmlformats.org/officeDocument/2006/relationships" ref="X1681" r:id="rId2992"/>
    <hyperlink xmlns:r="http://schemas.openxmlformats.org/officeDocument/2006/relationships" ref="Y1681" r:id="rId2993"/>
    <hyperlink xmlns:r="http://schemas.openxmlformats.org/officeDocument/2006/relationships" ref="X1682" r:id="rId2994"/>
    <hyperlink xmlns:r="http://schemas.openxmlformats.org/officeDocument/2006/relationships" ref="Y1682" r:id="rId2995"/>
    <hyperlink xmlns:r="http://schemas.openxmlformats.org/officeDocument/2006/relationships" ref="X1683" r:id="rId2996"/>
    <hyperlink xmlns:r="http://schemas.openxmlformats.org/officeDocument/2006/relationships" ref="Y1683" r:id="rId2997"/>
    <hyperlink xmlns:r="http://schemas.openxmlformats.org/officeDocument/2006/relationships" ref="X1684" r:id="rId2998"/>
    <hyperlink xmlns:r="http://schemas.openxmlformats.org/officeDocument/2006/relationships" ref="X1685" r:id="rId2999"/>
    <hyperlink xmlns:r="http://schemas.openxmlformats.org/officeDocument/2006/relationships" ref="X1686" r:id="rId3000"/>
    <hyperlink xmlns:r="http://schemas.openxmlformats.org/officeDocument/2006/relationships" ref="X1687" r:id="rId3001"/>
    <hyperlink xmlns:r="http://schemas.openxmlformats.org/officeDocument/2006/relationships" ref="X1688" r:id="rId3002"/>
    <hyperlink xmlns:r="http://schemas.openxmlformats.org/officeDocument/2006/relationships" ref="X1689" r:id="rId3003"/>
    <hyperlink xmlns:r="http://schemas.openxmlformats.org/officeDocument/2006/relationships" ref="X1690" r:id="rId3004"/>
    <hyperlink xmlns:r="http://schemas.openxmlformats.org/officeDocument/2006/relationships" ref="X1691" r:id="rId3005"/>
    <hyperlink xmlns:r="http://schemas.openxmlformats.org/officeDocument/2006/relationships" ref="Y1691" r:id="rId3006"/>
    <hyperlink xmlns:r="http://schemas.openxmlformats.org/officeDocument/2006/relationships" ref="X1692" r:id="rId3007"/>
    <hyperlink xmlns:r="http://schemas.openxmlformats.org/officeDocument/2006/relationships" ref="AB1692" r:id="rId3008"/>
    <hyperlink xmlns:r="http://schemas.openxmlformats.org/officeDocument/2006/relationships" ref="X1693" r:id="rId3009"/>
    <hyperlink xmlns:r="http://schemas.openxmlformats.org/officeDocument/2006/relationships" ref="Y1693" r:id="rId3010"/>
    <hyperlink xmlns:r="http://schemas.openxmlformats.org/officeDocument/2006/relationships" ref="X1694" r:id="rId3011"/>
    <hyperlink xmlns:r="http://schemas.openxmlformats.org/officeDocument/2006/relationships" ref="Y1694" r:id="rId3012"/>
    <hyperlink xmlns:r="http://schemas.openxmlformats.org/officeDocument/2006/relationships" ref="X1695" r:id="rId3013"/>
    <hyperlink xmlns:r="http://schemas.openxmlformats.org/officeDocument/2006/relationships" ref="X1696" r:id="rId3014"/>
    <hyperlink xmlns:r="http://schemas.openxmlformats.org/officeDocument/2006/relationships" ref="X1697" r:id="rId3015"/>
    <hyperlink xmlns:r="http://schemas.openxmlformats.org/officeDocument/2006/relationships" ref="X1698" r:id="rId3016"/>
    <hyperlink xmlns:r="http://schemas.openxmlformats.org/officeDocument/2006/relationships" ref="X1699" r:id="rId3017"/>
    <hyperlink xmlns:r="http://schemas.openxmlformats.org/officeDocument/2006/relationships" ref="X1700" r:id="rId3018"/>
    <hyperlink xmlns:r="http://schemas.openxmlformats.org/officeDocument/2006/relationships" ref="X1701" r:id="rId3019"/>
    <hyperlink xmlns:r="http://schemas.openxmlformats.org/officeDocument/2006/relationships" ref="X1702" r:id="rId3020"/>
    <hyperlink xmlns:r="http://schemas.openxmlformats.org/officeDocument/2006/relationships" ref="X1703" r:id="rId3021"/>
    <hyperlink xmlns:r="http://schemas.openxmlformats.org/officeDocument/2006/relationships" ref="X1704" r:id="rId3022"/>
    <hyperlink xmlns:r="http://schemas.openxmlformats.org/officeDocument/2006/relationships" ref="X1705" r:id="rId3023"/>
    <hyperlink xmlns:r="http://schemas.openxmlformats.org/officeDocument/2006/relationships" ref="X1706" r:id="rId3024"/>
    <hyperlink xmlns:r="http://schemas.openxmlformats.org/officeDocument/2006/relationships" ref="X1707" r:id="rId3025"/>
    <hyperlink xmlns:r="http://schemas.openxmlformats.org/officeDocument/2006/relationships" ref="Y1707" r:id="rId3026"/>
    <hyperlink xmlns:r="http://schemas.openxmlformats.org/officeDocument/2006/relationships" ref="X1708" r:id="rId3027"/>
    <hyperlink xmlns:r="http://schemas.openxmlformats.org/officeDocument/2006/relationships" ref="Y1708" r:id="rId3028"/>
    <hyperlink xmlns:r="http://schemas.openxmlformats.org/officeDocument/2006/relationships" ref="X1709" r:id="rId3029"/>
    <hyperlink xmlns:r="http://schemas.openxmlformats.org/officeDocument/2006/relationships" ref="Y1709" r:id="rId3030"/>
    <hyperlink xmlns:r="http://schemas.openxmlformats.org/officeDocument/2006/relationships" ref="X1710" r:id="rId3031"/>
    <hyperlink xmlns:r="http://schemas.openxmlformats.org/officeDocument/2006/relationships" ref="Y1710" r:id="rId3032"/>
    <hyperlink xmlns:r="http://schemas.openxmlformats.org/officeDocument/2006/relationships" ref="X1711" r:id="rId3033"/>
    <hyperlink xmlns:r="http://schemas.openxmlformats.org/officeDocument/2006/relationships" ref="X1712" r:id="rId3034"/>
    <hyperlink xmlns:r="http://schemas.openxmlformats.org/officeDocument/2006/relationships" ref="X1713" r:id="rId3035"/>
    <hyperlink xmlns:r="http://schemas.openxmlformats.org/officeDocument/2006/relationships" ref="Y1713" r:id="rId3036"/>
    <hyperlink xmlns:r="http://schemas.openxmlformats.org/officeDocument/2006/relationships" ref="AB1713" r:id="rId3037"/>
    <hyperlink xmlns:r="http://schemas.openxmlformats.org/officeDocument/2006/relationships" ref="X1714" r:id="rId3038"/>
    <hyperlink xmlns:r="http://schemas.openxmlformats.org/officeDocument/2006/relationships" ref="Y1714" r:id="rId3039"/>
    <hyperlink xmlns:r="http://schemas.openxmlformats.org/officeDocument/2006/relationships" ref="X1715" r:id="rId3040"/>
    <hyperlink xmlns:r="http://schemas.openxmlformats.org/officeDocument/2006/relationships" ref="X1716" r:id="rId3041"/>
    <hyperlink xmlns:r="http://schemas.openxmlformats.org/officeDocument/2006/relationships" ref="X1717" r:id="rId3042"/>
    <hyperlink xmlns:r="http://schemas.openxmlformats.org/officeDocument/2006/relationships" ref="X1718" r:id="rId3043"/>
    <hyperlink xmlns:r="http://schemas.openxmlformats.org/officeDocument/2006/relationships" ref="X1719" r:id="rId3044"/>
    <hyperlink xmlns:r="http://schemas.openxmlformats.org/officeDocument/2006/relationships" ref="X1720" r:id="rId3045"/>
    <hyperlink xmlns:r="http://schemas.openxmlformats.org/officeDocument/2006/relationships" ref="X1721" r:id="rId3046"/>
    <hyperlink xmlns:r="http://schemas.openxmlformats.org/officeDocument/2006/relationships" ref="X1722" r:id="rId3047"/>
    <hyperlink xmlns:r="http://schemas.openxmlformats.org/officeDocument/2006/relationships" ref="X1723" r:id="rId3048"/>
    <hyperlink xmlns:r="http://schemas.openxmlformats.org/officeDocument/2006/relationships" ref="Y1723" r:id="rId3049"/>
    <hyperlink xmlns:r="http://schemas.openxmlformats.org/officeDocument/2006/relationships" ref="X1724" r:id="rId3050"/>
    <hyperlink xmlns:r="http://schemas.openxmlformats.org/officeDocument/2006/relationships" ref="Y1724" r:id="rId3051"/>
    <hyperlink xmlns:r="http://schemas.openxmlformats.org/officeDocument/2006/relationships" ref="X1725" r:id="rId3052"/>
    <hyperlink xmlns:r="http://schemas.openxmlformats.org/officeDocument/2006/relationships" ref="X1726" r:id="rId3053"/>
    <hyperlink xmlns:r="http://schemas.openxmlformats.org/officeDocument/2006/relationships" ref="Y1726" r:id="rId3054"/>
    <hyperlink xmlns:r="http://schemas.openxmlformats.org/officeDocument/2006/relationships" ref="AB1726" r:id="rId3055"/>
    <hyperlink xmlns:r="http://schemas.openxmlformats.org/officeDocument/2006/relationships" ref="X1727" r:id="rId3056"/>
    <hyperlink xmlns:r="http://schemas.openxmlformats.org/officeDocument/2006/relationships" ref="X1728" r:id="rId3057"/>
    <hyperlink xmlns:r="http://schemas.openxmlformats.org/officeDocument/2006/relationships" ref="Y1728" r:id="rId3058"/>
    <hyperlink xmlns:r="http://schemas.openxmlformats.org/officeDocument/2006/relationships" ref="AB1728" r:id="rId3059"/>
    <hyperlink xmlns:r="http://schemas.openxmlformats.org/officeDocument/2006/relationships" ref="X1729" r:id="rId3060"/>
    <hyperlink xmlns:r="http://schemas.openxmlformats.org/officeDocument/2006/relationships" ref="AB1729" r:id="rId3061"/>
    <hyperlink xmlns:r="http://schemas.openxmlformats.org/officeDocument/2006/relationships" ref="X1730" r:id="rId3062"/>
    <hyperlink xmlns:r="http://schemas.openxmlformats.org/officeDocument/2006/relationships" ref="X1731" r:id="rId3063"/>
    <hyperlink xmlns:r="http://schemas.openxmlformats.org/officeDocument/2006/relationships" ref="X1732" r:id="rId3064"/>
    <hyperlink xmlns:r="http://schemas.openxmlformats.org/officeDocument/2006/relationships" ref="X1733" r:id="rId3065"/>
    <hyperlink xmlns:r="http://schemas.openxmlformats.org/officeDocument/2006/relationships" ref="X1734" r:id="rId3066"/>
    <hyperlink xmlns:r="http://schemas.openxmlformats.org/officeDocument/2006/relationships" ref="X1735" r:id="rId3067"/>
    <hyperlink xmlns:r="http://schemas.openxmlformats.org/officeDocument/2006/relationships" ref="X1736" r:id="rId3068"/>
    <hyperlink xmlns:r="http://schemas.openxmlformats.org/officeDocument/2006/relationships" ref="X1737" r:id="rId3069"/>
    <hyperlink xmlns:r="http://schemas.openxmlformats.org/officeDocument/2006/relationships" ref="X1738" r:id="rId3070"/>
    <hyperlink xmlns:r="http://schemas.openxmlformats.org/officeDocument/2006/relationships" ref="X1739" r:id="rId3071"/>
    <hyperlink xmlns:r="http://schemas.openxmlformats.org/officeDocument/2006/relationships" ref="AB1739" r:id="rId3072"/>
    <hyperlink xmlns:r="http://schemas.openxmlformats.org/officeDocument/2006/relationships" ref="X1740" r:id="rId3073"/>
    <hyperlink xmlns:r="http://schemas.openxmlformats.org/officeDocument/2006/relationships" ref="X1741" r:id="rId3074"/>
    <hyperlink xmlns:r="http://schemas.openxmlformats.org/officeDocument/2006/relationships" ref="X1742" r:id="rId3075"/>
    <hyperlink xmlns:r="http://schemas.openxmlformats.org/officeDocument/2006/relationships" ref="X1743" r:id="rId3076"/>
    <hyperlink xmlns:r="http://schemas.openxmlformats.org/officeDocument/2006/relationships" ref="X1744" r:id="rId3077"/>
    <hyperlink xmlns:r="http://schemas.openxmlformats.org/officeDocument/2006/relationships" ref="X1745" r:id="rId3078"/>
    <hyperlink xmlns:r="http://schemas.openxmlformats.org/officeDocument/2006/relationships" ref="X1746" r:id="rId3079"/>
    <hyperlink xmlns:r="http://schemas.openxmlformats.org/officeDocument/2006/relationships" ref="X1747" r:id="rId3080"/>
    <hyperlink xmlns:r="http://schemas.openxmlformats.org/officeDocument/2006/relationships" ref="X1748" r:id="rId3081"/>
    <hyperlink xmlns:r="http://schemas.openxmlformats.org/officeDocument/2006/relationships" ref="X1749" r:id="rId3082"/>
    <hyperlink xmlns:r="http://schemas.openxmlformats.org/officeDocument/2006/relationships" ref="X1750" r:id="rId3083"/>
    <hyperlink xmlns:r="http://schemas.openxmlformats.org/officeDocument/2006/relationships" ref="X1751" r:id="rId3084"/>
    <hyperlink xmlns:r="http://schemas.openxmlformats.org/officeDocument/2006/relationships" ref="X1752" r:id="rId3085"/>
    <hyperlink xmlns:r="http://schemas.openxmlformats.org/officeDocument/2006/relationships" ref="X1753" r:id="rId3086"/>
    <hyperlink xmlns:r="http://schemas.openxmlformats.org/officeDocument/2006/relationships" ref="X1754" r:id="rId3087"/>
    <hyperlink xmlns:r="http://schemas.openxmlformats.org/officeDocument/2006/relationships" ref="X1755" r:id="rId3088"/>
    <hyperlink xmlns:r="http://schemas.openxmlformats.org/officeDocument/2006/relationships" ref="X1756" r:id="rId3089"/>
    <hyperlink xmlns:r="http://schemas.openxmlformats.org/officeDocument/2006/relationships" ref="X1757" r:id="rId3090"/>
    <hyperlink xmlns:r="http://schemas.openxmlformats.org/officeDocument/2006/relationships" ref="X1758" r:id="rId3091"/>
    <hyperlink xmlns:r="http://schemas.openxmlformats.org/officeDocument/2006/relationships" ref="X1759" r:id="rId3092"/>
    <hyperlink xmlns:r="http://schemas.openxmlformats.org/officeDocument/2006/relationships" ref="X1760" r:id="rId3093"/>
    <hyperlink xmlns:r="http://schemas.openxmlformats.org/officeDocument/2006/relationships" ref="X1761" r:id="rId3094"/>
    <hyperlink xmlns:r="http://schemas.openxmlformats.org/officeDocument/2006/relationships" ref="X1762" r:id="rId3095"/>
    <hyperlink xmlns:r="http://schemas.openxmlformats.org/officeDocument/2006/relationships" ref="X1763" r:id="rId3096"/>
    <hyperlink xmlns:r="http://schemas.openxmlformats.org/officeDocument/2006/relationships" ref="AB1763" r:id="rId3097"/>
    <hyperlink xmlns:r="http://schemas.openxmlformats.org/officeDocument/2006/relationships" ref="X1764" r:id="rId3098"/>
    <hyperlink xmlns:r="http://schemas.openxmlformats.org/officeDocument/2006/relationships" ref="X1765" r:id="rId3099"/>
    <hyperlink xmlns:r="http://schemas.openxmlformats.org/officeDocument/2006/relationships" ref="AB1765" r:id="rId3100"/>
    <hyperlink xmlns:r="http://schemas.openxmlformats.org/officeDocument/2006/relationships" ref="X1766" r:id="rId3101"/>
    <hyperlink xmlns:r="http://schemas.openxmlformats.org/officeDocument/2006/relationships" ref="AB1766" r:id="rId3102"/>
    <hyperlink xmlns:r="http://schemas.openxmlformats.org/officeDocument/2006/relationships" ref="X1767" r:id="rId3103"/>
    <hyperlink xmlns:r="http://schemas.openxmlformats.org/officeDocument/2006/relationships" ref="AB1767" r:id="rId3104"/>
    <hyperlink xmlns:r="http://schemas.openxmlformats.org/officeDocument/2006/relationships" ref="X1768" r:id="rId3105"/>
    <hyperlink xmlns:r="http://schemas.openxmlformats.org/officeDocument/2006/relationships" ref="X1769" r:id="rId3106"/>
    <hyperlink xmlns:r="http://schemas.openxmlformats.org/officeDocument/2006/relationships" ref="X1770" r:id="rId3107"/>
    <hyperlink xmlns:r="http://schemas.openxmlformats.org/officeDocument/2006/relationships" ref="X1771" r:id="rId3108"/>
    <hyperlink xmlns:r="http://schemas.openxmlformats.org/officeDocument/2006/relationships" ref="X1772" r:id="rId3109"/>
    <hyperlink xmlns:r="http://schemas.openxmlformats.org/officeDocument/2006/relationships" ref="X1773" r:id="rId3110"/>
    <hyperlink xmlns:r="http://schemas.openxmlformats.org/officeDocument/2006/relationships" ref="X1774" r:id="rId3111"/>
    <hyperlink xmlns:r="http://schemas.openxmlformats.org/officeDocument/2006/relationships" ref="X1775" r:id="rId3112"/>
    <hyperlink xmlns:r="http://schemas.openxmlformats.org/officeDocument/2006/relationships" ref="X1776" r:id="rId3113"/>
    <hyperlink xmlns:r="http://schemas.openxmlformats.org/officeDocument/2006/relationships" ref="X1777" r:id="rId3114"/>
    <hyperlink xmlns:r="http://schemas.openxmlformats.org/officeDocument/2006/relationships" ref="X1778" r:id="rId3115"/>
    <hyperlink xmlns:r="http://schemas.openxmlformats.org/officeDocument/2006/relationships" ref="Y1778" r:id="rId3116"/>
    <hyperlink xmlns:r="http://schemas.openxmlformats.org/officeDocument/2006/relationships" ref="X1779" r:id="rId3117"/>
    <hyperlink xmlns:r="http://schemas.openxmlformats.org/officeDocument/2006/relationships" ref="Y1779" r:id="rId3118"/>
    <hyperlink xmlns:r="http://schemas.openxmlformats.org/officeDocument/2006/relationships" ref="X1780" r:id="rId3119"/>
    <hyperlink xmlns:r="http://schemas.openxmlformats.org/officeDocument/2006/relationships" ref="Y1780" r:id="rId3120"/>
    <hyperlink xmlns:r="http://schemas.openxmlformats.org/officeDocument/2006/relationships" ref="X1781" r:id="rId3121"/>
    <hyperlink xmlns:r="http://schemas.openxmlformats.org/officeDocument/2006/relationships" ref="X1782" r:id="rId3122"/>
    <hyperlink xmlns:r="http://schemas.openxmlformats.org/officeDocument/2006/relationships" ref="X1783" r:id="rId3123"/>
    <hyperlink xmlns:r="http://schemas.openxmlformats.org/officeDocument/2006/relationships" ref="AB1783" r:id="rId3124"/>
    <hyperlink xmlns:r="http://schemas.openxmlformats.org/officeDocument/2006/relationships" ref="X1784" r:id="rId3125"/>
    <hyperlink xmlns:r="http://schemas.openxmlformats.org/officeDocument/2006/relationships" ref="AB1784" r:id="rId3126"/>
    <hyperlink xmlns:r="http://schemas.openxmlformats.org/officeDocument/2006/relationships" ref="X1785" r:id="rId3127"/>
    <hyperlink xmlns:r="http://schemas.openxmlformats.org/officeDocument/2006/relationships" ref="X1786" r:id="rId3128"/>
    <hyperlink xmlns:r="http://schemas.openxmlformats.org/officeDocument/2006/relationships" ref="X1787" r:id="rId3129"/>
    <hyperlink xmlns:r="http://schemas.openxmlformats.org/officeDocument/2006/relationships" ref="X1788" r:id="rId3130"/>
    <hyperlink xmlns:r="http://schemas.openxmlformats.org/officeDocument/2006/relationships" ref="X1789" r:id="rId3131"/>
    <hyperlink xmlns:r="http://schemas.openxmlformats.org/officeDocument/2006/relationships" ref="X1790" r:id="rId3132"/>
    <hyperlink xmlns:r="http://schemas.openxmlformats.org/officeDocument/2006/relationships" ref="X1791" r:id="rId3133"/>
    <hyperlink xmlns:r="http://schemas.openxmlformats.org/officeDocument/2006/relationships" ref="X1792" r:id="rId3134"/>
    <hyperlink xmlns:r="http://schemas.openxmlformats.org/officeDocument/2006/relationships" ref="X1793" r:id="rId3135"/>
    <hyperlink xmlns:r="http://schemas.openxmlformats.org/officeDocument/2006/relationships" ref="AB1793" r:id="rId3136"/>
    <hyperlink xmlns:r="http://schemas.openxmlformats.org/officeDocument/2006/relationships" ref="X1794" r:id="rId3137"/>
    <hyperlink xmlns:r="http://schemas.openxmlformats.org/officeDocument/2006/relationships" ref="X1795" r:id="rId3138"/>
    <hyperlink xmlns:r="http://schemas.openxmlformats.org/officeDocument/2006/relationships" ref="AB1795" r:id="rId3139"/>
    <hyperlink xmlns:r="http://schemas.openxmlformats.org/officeDocument/2006/relationships" ref="X1796" r:id="rId3140"/>
    <hyperlink xmlns:r="http://schemas.openxmlformats.org/officeDocument/2006/relationships" ref="AB1796" r:id="rId3141"/>
    <hyperlink xmlns:r="http://schemas.openxmlformats.org/officeDocument/2006/relationships" ref="X1797" r:id="rId3142"/>
    <hyperlink xmlns:r="http://schemas.openxmlformats.org/officeDocument/2006/relationships" ref="X1798" r:id="rId3143"/>
    <hyperlink xmlns:r="http://schemas.openxmlformats.org/officeDocument/2006/relationships" ref="X1799" r:id="rId3144"/>
    <hyperlink xmlns:r="http://schemas.openxmlformats.org/officeDocument/2006/relationships" ref="X1800" r:id="rId3145"/>
    <hyperlink xmlns:r="http://schemas.openxmlformats.org/officeDocument/2006/relationships" ref="X1801" r:id="rId3146"/>
    <hyperlink xmlns:r="http://schemas.openxmlformats.org/officeDocument/2006/relationships" ref="Y1801" r:id="rId3147"/>
    <hyperlink xmlns:r="http://schemas.openxmlformats.org/officeDocument/2006/relationships" ref="AB1801" r:id="rId3148"/>
    <hyperlink xmlns:r="http://schemas.openxmlformats.org/officeDocument/2006/relationships" ref="X1802" r:id="rId3149"/>
    <hyperlink xmlns:r="http://schemas.openxmlformats.org/officeDocument/2006/relationships" ref="AB1802" r:id="rId3150"/>
    <hyperlink xmlns:r="http://schemas.openxmlformats.org/officeDocument/2006/relationships" ref="X1803" r:id="rId3151"/>
    <hyperlink xmlns:r="http://schemas.openxmlformats.org/officeDocument/2006/relationships" ref="Y1803" r:id="rId3152"/>
    <hyperlink xmlns:r="http://schemas.openxmlformats.org/officeDocument/2006/relationships" ref="AB1803" r:id="rId3153"/>
    <hyperlink xmlns:r="http://schemas.openxmlformats.org/officeDocument/2006/relationships" ref="X1804" r:id="rId3154"/>
    <hyperlink xmlns:r="http://schemas.openxmlformats.org/officeDocument/2006/relationships" ref="X1805" r:id="rId3155"/>
    <hyperlink xmlns:r="http://schemas.openxmlformats.org/officeDocument/2006/relationships" ref="X1806" r:id="rId3156"/>
    <hyperlink xmlns:r="http://schemas.openxmlformats.org/officeDocument/2006/relationships" ref="X1807" r:id="rId3157"/>
    <hyperlink xmlns:r="http://schemas.openxmlformats.org/officeDocument/2006/relationships" ref="X1808" r:id="rId3158"/>
    <hyperlink xmlns:r="http://schemas.openxmlformats.org/officeDocument/2006/relationships" ref="X1809" r:id="rId3159"/>
    <hyperlink xmlns:r="http://schemas.openxmlformats.org/officeDocument/2006/relationships" ref="X1810" r:id="rId3160"/>
    <hyperlink xmlns:r="http://schemas.openxmlformats.org/officeDocument/2006/relationships" ref="X1811" r:id="rId3161"/>
    <hyperlink xmlns:r="http://schemas.openxmlformats.org/officeDocument/2006/relationships" ref="AB1811" r:id="rId3162"/>
    <hyperlink xmlns:r="http://schemas.openxmlformats.org/officeDocument/2006/relationships" ref="X1812" r:id="rId3163"/>
    <hyperlink xmlns:r="http://schemas.openxmlformats.org/officeDocument/2006/relationships" ref="Y1812" r:id="rId3164"/>
    <hyperlink xmlns:r="http://schemas.openxmlformats.org/officeDocument/2006/relationships" ref="X1813" r:id="rId3165"/>
    <hyperlink xmlns:r="http://schemas.openxmlformats.org/officeDocument/2006/relationships" ref="AB1813" r:id="rId3166"/>
    <hyperlink xmlns:r="http://schemas.openxmlformats.org/officeDocument/2006/relationships" ref="X1814" r:id="rId3167"/>
    <hyperlink xmlns:r="http://schemas.openxmlformats.org/officeDocument/2006/relationships" ref="Y1814" r:id="rId3168"/>
    <hyperlink xmlns:r="http://schemas.openxmlformats.org/officeDocument/2006/relationships" ref="AB1814" r:id="rId3169"/>
    <hyperlink xmlns:r="http://schemas.openxmlformats.org/officeDocument/2006/relationships" ref="X1815" r:id="rId3170"/>
    <hyperlink xmlns:r="http://schemas.openxmlformats.org/officeDocument/2006/relationships" ref="AB1815" r:id="rId3171"/>
    <hyperlink xmlns:r="http://schemas.openxmlformats.org/officeDocument/2006/relationships" ref="X1816" r:id="rId3172"/>
    <hyperlink xmlns:r="http://schemas.openxmlformats.org/officeDocument/2006/relationships" ref="AB1816" r:id="rId3173"/>
    <hyperlink xmlns:r="http://schemas.openxmlformats.org/officeDocument/2006/relationships" ref="X1817" r:id="rId3174"/>
    <hyperlink xmlns:r="http://schemas.openxmlformats.org/officeDocument/2006/relationships" ref="AB1817" r:id="rId3175"/>
    <hyperlink xmlns:r="http://schemas.openxmlformats.org/officeDocument/2006/relationships" ref="X1818" r:id="rId3176"/>
    <hyperlink xmlns:r="http://schemas.openxmlformats.org/officeDocument/2006/relationships" ref="X1819" r:id="rId3177"/>
    <hyperlink xmlns:r="http://schemas.openxmlformats.org/officeDocument/2006/relationships" ref="Y1819" r:id="rId3178"/>
    <hyperlink xmlns:r="http://schemas.openxmlformats.org/officeDocument/2006/relationships" ref="X1820" r:id="rId3179"/>
    <hyperlink xmlns:r="http://schemas.openxmlformats.org/officeDocument/2006/relationships" ref="Y1820" r:id="rId3180"/>
    <hyperlink xmlns:r="http://schemas.openxmlformats.org/officeDocument/2006/relationships" ref="AB1820" r:id="rId3181"/>
    <hyperlink xmlns:r="http://schemas.openxmlformats.org/officeDocument/2006/relationships" ref="X1821" r:id="rId3182"/>
    <hyperlink xmlns:r="http://schemas.openxmlformats.org/officeDocument/2006/relationships" ref="Y1821" r:id="rId3183"/>
    <hyperlink xmlns:r="http://schemas.openxmlformats.org/officeDocument/2006/relationships" ref="AB1821" r:id="rId3184"/>
    <hyperlink xmlns:r="http://schemas.openxmlformats.org/officeDocument/2006/relationships" ref="X1822" r:id="rId3185"/>
    <hyperlink xmlns:r="http://schemas.openxmlformats.org/officeDocument/2006/relationships" ref="Y1822" r:id="rId3186"/>
    <hyperlink xmlns:r="http://schemas.openxmlformats.org/officeDocument/2006/relationships" ref="X1823" r:id="rId3187"/>
    <hyperlink xmlns:r="http://schemas.openxmlformats.org/officeDocument/2006/relationships" ref="Y1823" r:id="rId3188"/>
    <hyperlink xmlns:r="http://schemas.openxmlformats.org/officeDocument/2006/relationships" ref="X1824" r:id="rId3189"/>
    <hyperlink xmlns:r="http://schemas.openxmlformats.org/officeDocument/2006/relationships" ref="AB1824" r:id="rId3190"/>
    <hyperlink xmlns:r="http://schemas.openxmlformats.org/officeDocument/2006/relationships" ref="X1825" r:id="rId3191"/>
    <hyperlink xmlns:r="http://schemas.openxmlformats.org/officeDocument/2006/relationships" ref="Y1825" r:id="rId3192"/>
    <hyperlink xmlns:r="http://schemas.openxmlformats.org/officeDocument/2006/relationships" ref="X1826" r:id="rId3193"/>
    <hyperlink xmlns:r="http://schemas.openxmlformats.org/officeDocument/2006/relationships" ref="Y1826" r:id="rId3194"/>
    <hyperlink xmlns:r="http://schemas.openxmlformats.org/officeDocument/2006/relationships" ref="AB1826" r:id="rId3195"/>
    <hyperlink xmlns:r="http://schemas.openxmlformats.org/officeDocument/2006/relationships" ref="X1827" r:id="rId3196"/>
    <hyperlink xmlns:r="http://schemas.openxmlformats.org/officeDocument/2006/relationships" ref="Y1827" r:id="rId3197"/>
    <hyperlink xmlns:r="http://schemas.openxmlformats.org/officeDocument/2006/relationships" ref="X1828" r:id="rId3198"/>
    <hyperlink xmlns:r="http://schemas.openxmlformats.org/officeDocument/2006/relationships" ref="Y1828" r:id="rId3199"/>
    <hyperlink xmlns:r="http://schemas.openxmlformats.org/officeDocument/2006/relationships" ref="AB1828" r:id="rId3200"/>
    <hyperlink xmlns:r="http://schemas.openxmlformats.org/officeDocument/2006/relationships" ref="X1829" r:id="rId3201"/>
    <hyperlink xmlns:r="http://schemas.openxmlformats.org/officeDocument/2006/relationships" ref="X1830" r:id="rId3202"/>
    <hyperlink xmlns:r="http://schemas.openxmlformats.org/officeDocument/2006/relationships" ref="X1831" r:id="rId3203"/>
    <hyperlink xmlns:r="http://schemas.openxmlformats.org/officeDocument/2006/relationships" ref="X1832" r:id="rId3204"/>
    <hyperlink xmlns:r="http://schemas.openxmlformats.org/officeDocument/2006/relationships" ref="X1833" r:id="rId3205"/>
    <hyperlink xmlns:r="http://schemas.openxmlformats.org/officeDocument/2006/relationships" ref="X1834" r:id="rId3206"/>
    <hyperlink xmlns:r="http://schemas.openxmlformats.org/officeDocument/2006/relationships" ref="X1835" r:id="rId3207"/>
    <hyperlink xmlns:r="http://schemas.openxmlformats.org/officeDocument/2006/relationships" ref="X1836" r:id="rId3208"/>
    <hyperlink xmlns:r="http://schemas.openxmlformats.org/officeDocument/2006/relationships" ref="X1837" r:id="rId3209"/>
    <hyperlink xmlns:r="http://schemas.openxmlformats.org/officeDocument/2006/relationships" ref="X1838" r:id="rId3210"/>
    <hyperlink xmlns:r="http://schemas.openxmlformats.org/officeDocument/2006/relationships" ref="X1839" r:id="rId3211"/>
    <hyperlink xmlns:r="http://schemas.openxmlformats.org/officeDocument/2006/relationships" ref="X1840" r:id="rId3212"/>
    <hyperlink xmlns:r="http://schemas.openxmlformats.org/officeDocument/2006/relationships" ref="X1841" r:id="rId3213"/>
    <hyperlink xmlns:r="http://schemas.openxmlformats.org/officeDocument/2006/relationships" ref="X1842" r:id="rId3214"/>
    <hyperlink xmlns:r="http://schemas.openxmlformats.org/officeDocument/2006/relationships" ref="X1843" r:id="rId3215"/>
    <hyperlink xmlns:r="http://schemas.openxmlformats.org/officeDocument/2006/relationships" ref="X1844" r:id="rId3216"/>
    <hyperlink xmlns:r="http://schemas.openxmlformats.org/officeDocument/2006/relationships" ref="Y1844" r:id="rId3217"/>
    <hyperlink xmlns:r="http://schemas.openxmlformats.org/officeDocument/2006/relationships" ref="AB1844" r:id="rId3218"/>
    <hyperlink xmlns:r="http://schemas.openxmlformats.org/officeDocument/2006/relationships" ref="X1845" r:id="rId3219"/>
    <hyperlink xmlns:r="http://schemas.openxmlformats.org/officeDocument/2006/relationships" ref="Y1845" r:id="rId3220"/>
    <hyperlink xmlns:r="http://schemas.openxmlformats.org/officeDocument/2006/relationships" ref="AB1845" r:id="rId3221"/>
    <hyperlink xmlns:r="http://schemas.openxmlformats.org/officeDocument/2006/relationships" ref="X1846" r:id="rId3222"/>
    <hyperlink xmlns:r="http://schemas.openxmlformats.org/officeDocument/2006/relationships" ref="Y1846" r:id="rId3223"/>
    <hyperlink xmlns:r="http://schemas.openxmlformats.org/officeDocument/2006/relationships" ref="AB1846" r:id="rId3224"/>
    <hyperlink xmlns:r="http://schemas.openxmlformats.org/officeDocument/2006/relationships" ref="X1847" r:id="rId3225"/>
    <hyperlink xmlns:r="http://schemas.openxmlformats.org/officeDocument/2006/relationships" ref="Y1847" r:id="rId3226"/>
    <hyperlink xmlns:r="http://schemas.openxmlformats.org/officeDocument/2006/relationships" ref="X1848" r:id="rId3227"/>
    <hyperlink xmlns:r="http://schemas.openxmlformats.org/officeDocument/2006/relationships" ref="Y1848" r:id="rId3228"/>
    <hyperlink xmlns:r="http://schemas.openxmlformats.org/officeDocument/2006/relationships" ref="X1849" r:id="rId3229"/>
    <hyperlink xmlns:r="http://schemas.openxmlformats.org/officeDocument/2006/relationships" ref="AB1849" r:id="rId3230"/>
    <hyperlink xmlns:r="http://schemas.openxmlformats.org/officeDocument/2006/relationships" ref="X1850" r:id="rId3231"/>
    <hyperlink xmlns:r="http://schemas.openxmlformats.org/officeDocument/2006/relationships" ref="X1851" r:id="rId3232"/>
    <hyperlink xmlns:r="http://schemas.openxmlformats.org/officeDocument/2006/relationships" ref="Y1851" r:id="rId3233"/>
    <hyperlink xmlns:r="http://schemas.openxmlformats.org/officeDocument/2006/relationships" ref="AB1851" r:id="rId3234"/>
    <hyperlink xmlns:r="http://schemas.openxmlformats.org/officeDocument/2006/relationships" ref="X1852" r:id="rId3235"/>
    <hyperlink xmlns:r="http://schemas.openxmlformats.org/officeDocument/2006/relationships" ref="X1853" r:id="rId3236"/>
    <hyperlink xmlns:r="http://schemas.openxmlformats.org/officeDocument/2006/relationships" ref="X1854" r:id="rId3237"/>
    <hyperlink xmlns:r="http://schemas.openxmlformats.org/officeDocument/2006/relationships" ref="X1855" r:id="rId3238"/>
    <hyperlink xmlns:r="http://schemas.openxmlformats.org/officeDocument/2006/relationships" ref="X1856" r:id="rId3239"/>
    <hyperlink xmlns:r="http://schemas.openxmlformats.org/officeDocument/2006/relationships" ref="X1857" r:id="rId3240"/>
    <hyperlink xmlns:r="http://schemas.openxmlformats.org/officeDocument/2006/relationships" ref="X1858" r:id="rId3241"/>
    <hyperlink xmlns:r="http://schemas.openxmlformats.org/officeDocument/2006/relationships" ref="Y1858" r:id="rId3242"/>
    <hyperlink xmlns:r="http://schemas.openxmlformats.org/officeDocument/2006/relationships" ref="AB1858" r:id="rId3243"/>
    <hyperlink xmlns:r="http://schemas.openxmlformats.org/officeDocument/2006/relationships" ref="X1859" r:id="rId3244"/>
    <hyperlink xmlns:r="http://schemas.openxmlformats.org/officeDocument/2006/relationships" ref="Y1859" r:id="rId3245"/>
    <hyperlink xmlns:r="http://schemas.openxmlformats.org/officeDocument/2006/relationships" ref="AB1859" r:id="rId3246"/>
    <hyperlink xmlns:r="http://schemas.openxmlformats.org/officeDocument/2006/relationships" ref="X1860" r:id="rId3247"/>
    <hyperlink xmlns:r="http://schemas.openxmlformats.org/officeDocument/2006/relationships" ref="Y1860" r:id="rId3248"/>
    <hyperlink xmlns:r="http://schemas.openxmlformats.org/officeDocument/2006/relationships" ref="AB1860" r:id="rId3249"/>
    <hyperlink xmlns:r="http://schemas.openxmlformats.org/officeDocument/2006/relationships" ref="X1861" r:id="rId3250"/>
    <hyperlink xmlns:r="http://schemas.openxmlformats.org/officeDocument/2006/relationships" ref="Y1861" r:id="rId3251"/>
    <hyperlink xmlns:r="http://schemas.openxmlformats.org/officeDocument/2006/relationships" ref="AB1861" r:id="rId3252"/>
    <hyperlink xmlns:r="http://schemas.openxmlformats.org/officeDocument/2006/relationships" ref="X1862" r:id="rId3253"/>
    <hyperlink xmlns:r="http://schemas.openxmlformats.org/officeDocument/2006/relationships" ref="AB1862" r:id="rId3254"/>
    <hyperlink xmlns:r="http://schemas.openxmlformats.org/officeDocument/2006/relationships" ref="X1863" r:id="rId3255"/>
    <hyperlink xmlns:r="http://schemas.openxmlformats.org/officeDocument/2006/relationships" ref="Y1863" r:id="rId3256"/>
    <hyperlink xmlns:r="http://schemas.openxmlformats.org/officeDocument/2006/relationships" ref="AB1863" r:id="rId3257"/>
    <hyperlink xmlns:r="http://schemas.openxmlformats.org/officeDocument/2006/relationships" ref="X1864" r:id="rId3258"/>
    <hyperlink xmlns:r="http://schemas.openxmlformats.org/officeDocument/2006/relationships" ref="Y1864" r:id="rId3259"/>
    <hyperlink xmlns:r="http://schemas.openxmlformats.org/officeDocument/2006/relationships" ref="AB1864" r:id="rId3260"/>
    <hyperlink xmlns:r="http://schemas.openxmlformats.org/officeDocument/2006/relationships" ref="X1865" r:id="rId3261"/>
    <hyperlink xmlns:r="http://schemas.openxmlformats.org/officeDocument/2006/relationships" ref="AB1865" r:id="rId3262"/>
    <hyperlink xmlns:r="http://schemas.openxmlformats.org/officeDocument/2006/relationships" ref="X1866" r:id="rId3263"/>
    <hyperlink xmlns:r="http://schemas.openxmlformats.org/officeDocument/2006/relationships" ref="Y1866" r:id="rId3264"/>
    <hyperlink xmlns:r="http://schemas.openxmlformats.org/officeDocument/2006/relationships" ref="AB1866" r:id="rId3265"/>
    <hyperlink xmlns:r="http://schemas.openxmlformats.org/officeDocument/2006/relationships" ref="X1867" r:id="rId3266"/>
    <hyperlink xmlns:r="http://schemas.openxmlformats.org/officeDocument/2006/relationships" ref="X1868" r:id="rId3267"/>
    <hyperlink xmlns:r="http://schemas.openxmlformats.org/officeDocument/2006/relationships" ref="X1869" r:id="rId3268"/>
    <hyperlink xmlns:r="http://schemas.openxmlformats.org/officeDocument/2006/relationships" ref="X1870" r:id="rId3269"/>
    <hyperlink xmlns:r="http://schemas.openxmlformats.org/officeDocument/2006/relationships" ref="X1871" r:id="rId3270"/>
    <hyperlink xmlns:r="http://schemas.openxmlformats.org/officeDocument/2006/relationships" ref="AB1871" r:id="rId3271"/>
    <hyperlink xmlns:r="http://schemas.openxmlformats.org/officeDocument/2006/relationships" ref="X1872" r:id="rId3272"/>
    <hyperlink xmlns:r="http://schemas.openxmlformats.org/officeDocument/2006/relationships" ref="Y1872" r:id="rId3273"/>
    <hyperlink xmlns:r="http://schemas.openxmlformats.org/officeDocument/2006/relationships" ref="AB1872" r:id="rId3274"/>
    <hyperlink xmlns:r="http://schemas.openxmlformats.org/officeDocument/2006/relationships" ref="X1873" r:id="rId3275"/>
    <hyperlink xmlns:r="http://schemas.openxmlformats.org/officeDocument/2006/relationships" ref="Y1873" r:id="rId3276"/>
    <hyperlink xmlns:r="http://schemas.openxmlformats.org/officeDocument/2006/relationships" ref="AB1873" r:id="rId3277"/>
    <hyperlink xmlns:r="http://schemas.openxmlformats.org/officeDocument/2006/relationships" ref="X1874" r:id="rId3278"/>
    <hyperlink xmlns:r="http://schemas.openxmlformats.org/officeDocument/2006/relationships" ref="Y1874" r:id="rId3279"/>
    <hyperlink xmlns:r="http://schemas.openxmlformats.org/officeDocument/2006/relationships" ref="AB1874" r:id="rId3280"/>
    <hyperlink xmlns:r="http://schemas.openxmlformats.org/officeDocument/2006/relationships" ref="X1875" r:id="rId3281"/>
    <hyperlink xmlns:r="http://schemas.openxmlformats.org/officeDocument/2006/relationships" ref="AB1875" r:id="rId3282"/>
    <hyperlink xmlns:r="http://schemas.openxmlformats.org/officeDocument/2006/relationships" ref="X1876" r:id="rId3283"/>
    <hyperlink xmlns:r="http://schemas.openxmlformats.org/officeDocument/2006/relationships" ref="Y1876" r:id="rId3284"/>
    <hyperlink xmlns:r="http://schemas.openxmlformats.org/officeDocument/2006/relationships" ref="AB1876" r:id="rId3285"/>
    <hyperlink xmlns:r="http://schemas.openxmlformats.org/officeDocument/2006/relationships" ref="X1877" r:id="rId3286"/>
    <hyperlink xmlns:r="http://schemas.openxmlformats.org/officeDocument/2006/relationships" ref="AB1877" r:id="rId3287"/>
    <hyperlink xmlns:r="http://schemas.openxmlformats.org/officeDocument/2006/relationships" ref="X1878" r:id="rId3288"/>
    <hyperlink xmlns:r="http://schemas.openxmlformats.org/officeDocument/2006/relationships" ref="Y1878" r:id="rId3289"/>
    <hyperlink xmlns:r="http://schemas.openxmlformats.org/officeDocument/2006/relationships" ref="AB1878" r:id="rId3290"/>
    <hyperlink xmlns:r="http://schemas.openxmlformats.org/officeDocument/2006/relationships" ref="X1879" r:id="rId3291"/>
    <hyperlink xmlns:r="http://schemas.openxmlformats.org/officeDocument/2006/relationships" ref="AB1879" r:id="rId3292"/>
    <hyperlink xmlns:r="http://schemas.openxmlformats.org/officeDocument/2006/relationships" ref="X1880" r:id="rId3293"/>
    <hyperlink xmlns:r="http://schemas.openxmlformats.org/officeDocument/2006/relationships" ref="Y1880" r:id="rId3294"/>
    <hyperlink xmlns:r="http://schemas.openxmlformats.org/officeDocument/2006/relationships" ref="AB1880" r:id="rId3295"/>
    <hyperlink xmlns:r="http://schemas.openxmlformats.org/officeDocument/2006/relationships" ref="X1881" r:id="rId3296"/>
    <hyperlink xmlns:r="http://schemas.openxmlformats.org/officeDocument/2006/relationships" ref="AB1881" r:id="rId3297"/>
    <hyperlink xmlns:r="http://schemas.openxmlformats.org/officeDocument/2006/relationships" ref="X1882" r:id="rId3298"/>
    <hyperlink xmlns:r="http://schemas.openxmlformats.org/officeDocument/2006/relationships" ref="AB1882" r:id="rId3299"/>
    <hyperlink xmlns:r="http://schemas.openxmlformats.org/officeDocument/2006/relationships" ref="X1883" r:id="rId3300"/>
    <hyperlink xmlns:r="http://schemas.openxmlformats.org/officeDocument/2006/relationships" ref="Y1883" r:id="rId3301"/>
    <hyperlink xmlns:r="http://schemas.openxmlformats.org/officeDocument/2006/relationships" ref="AB1883" r:id="rId3302"/>
    <hyperlink xmlns:r="http://schemas.openxmlformats.org/officeDocument/2006/relationships" ref="X1884" r:id="rId3303"/>
    <hyperlink xmlns:r="http://schemas.openxmlformats.org/officeDocument/2006/relationships" ref="Y1884" r:id="rId3304"/>
    <hyperlink xmlns:r="http://schemas.openxmlformats.org/officeDocument/2006/relationships" ref="AB1884" r:id="rId3305"/>
    <hyperlink xmlns:r="http://schemas.openxmlformats.org/officeDocument/2006/relationships" ref="X1885" r:id="rId3306"/>
    <hyperlink xmlns:r="http://schemas.openxmlformats.org/officeDocument/2006/relationships" ref="Y1885" r:id="rId3307"/>
    <hyperlink xmlns:r="http://schemas.openxmlformats.org/officeDocument/2006/relationships" ref="X1886" r:id="rId3308"/>
    <hyperlink xmlns:r="http://schemas.openxmlformats.org/officeDocument/2006/relationships" ref="Y1886" r:id="rId3309"/>
    <hyperlink xmlns:r="http://schemas.openxmlformats.org/officeDocument/2006/relationships" ref="AB1886" r:id="rId3310"/>
    <hyperlink xmlns:r="http://schemas.openxmlformats.org/officeDocument/2006/relationships" ref="X1887" r:id="rId3311"/>
    <hyperlink xmlns:r="http://schemas.openxmlformats.org/officeDocument/2006/relationships" ref="Y1887" r:id="rId3312"/>
    <hyperlink xmlns:r="http://schemas.openxmlformats.org/officeDocument/2006/relationships" ref="X1888" r:id="rId3313"/>
    <hyperlink xmlns:r="http://schemas.openxmlformats.org/officeDocument/2006/relationships" ref="Y1888" r:id="rId3314"/>
    <hyperlink xmlns:r="http://schemas.openxmlformats.org/officeDocument/2006/relationships" ref="X1889" r:id="rId3315"/>
    <hyperlink xmlns:r="http://schemas.openxmlformats.org/officeDocument/2006/relationships" ref="Y1889" r:id="rId3316"/>
    <hyperlink xmlns:r="http://schemas.openxmlformats.org/officeDocument/2006/relationships" ref="AB1889" r:id="rId3317"/>
    <hyperlink xmlns:r="http://schemas.openxmlformats.org/officeDocument/2006/relationships" ref="X1890" r:id="rId3318"/>
    <hyperlink xmlns:r="http://schemas.openxmlformats.org/officeDocument/2006/relationships" ref="Y1890" r:id="rId3319"/>
    <hyperlink xmlns:r="http://schemas.openxmlformats.org/officeDocument/2006/relationships" ref="AB1890" r:id="rId3320"/>
    <hyperlink xmlns:r="http://schemas.openxmlformats.org/officeDocument/2006/relationships" ref="X1891" r:id="rId3321"/>
    <hyperlink xmlns:r="http://schemas.openxmlformats.org/officeDocument/2006/relationships" ref="Y1891" r:id="rId3322"/>
    <hyperlink xmlns:r="http://schemas.openxmlformats.org/officeDocument/2006/relationships" ref="AB1891" r:id="rId3323"/>
    <hyperlink xmlns:r="http://schemas.openxmlformats.org/officeDocument/2006/relationships" ref="X1892" r:id="rId3324"/>
    <hyperlink xmlns:r="http://schemas.openxmlformats.org/officeDocument/2006/relationships" ref="Y1892" r:id="rId3325"/>
    <hyperlink xmlns:r="http://schemas.openxmlformats.org/officeDocument/2006/relationships" ref="AB1892" r:id="rId3326"/>
    <hyperlink xmlns:r="http://schemas.openxmlformats.org/officeDocument/2006/relationships" ref="X1893" r:id="rId3327"/>
    <hyperlink xmlns:r="http://schemas.openxmlformats.org/officeDocument/2006/relationships" ref="Y1893" r:id="rId3328"/>
    <hyperlink xmlns:r="http://schemas.openxmlformats.org/officeDocument/2006/relationships" ref="AB1893" r:id="rId3329"/>
    <hyperlink xmlns:r="http://schemas.openxmlformats.org/officeDocument/2006/relationships" ref="X1894" r:id="rId3330"/>
    <hyperlink xmlns:r="http://schemas.openxmlformats.org/officeDocument/2006/relationships" ref="Y1894" r:id="rId3331"/>
    <hyperlink xmlns:r="http://schemas.openxmlformats.org/officeDocument/2006/relationships" ref="X1895" r:id="rId3332"/>
    <hyperlink xmlns:r="http://schemas.openxmlformats.org/officeDocument/2006/relationships" ref="Y1895" r:id="rId3333"/>
    <hyperlink xmlns:r="http://schemas.openxmlformats.org/officeDocument/2006/relationships" ref="AB1895" r:id="rId3334"/>
    <hyperlink xmlns:r="http://schemas.openxmlformats.org/officeDocument/2006/relationships" ref="X1896" r:id="rId3335"/>
    <hyperlink xmlns:r="http://schemas.openxmlformats.org/officeDocument/2006/relationships" ref="Y1896" r:id="rId3336"/>
    <hyperlink xmlns:r="http://schemas.openxmlformats.org/officeDocument/2006/relationships" ref="X1897" r:id="rId3337"/>
    <hyperlink xmlns:r="http://schemas.openxmlformats.org/officeDocument/2006/relationships" ref="Y1897" r:id="rId3338"/>
    <hyperlink xmlns:r="http://schemas.openxmlformats.org/officeDocument/2006/relationships" ref="AB1897" r:id="rId3339"/>
    <hyperlink xmlns:r="http://schemas.openxmlformats.org/officeDocument/2006/relationships" ref="X1898" r:id="rId3340"/>
    <hyperlink xmlns:r="http://schemas.openxmlformats.org/officeDocument/2006/relationships" ref="Y1898" r:id="rId3341"/>
    <hyperlink xmlns:r="http://schemas.openxmlformats.org/officeDocument/2006/relationships" ref="X1899" r:id="rId3342"/>
    <hyperlink xmlns:r="http://schemas.openxmlformats.org/officeDocument/2006/relationships" ref="Y1899" r:id="rId3343"/>
    <hyperlink xmlns:r="http://schemas.openxmlformats.org/officeDocument/2006/relationships" ref="AB1899" r:id="rId3344"/>
    <hyperlink xmlns:r="http://schemas.openxmlformats.org/officeDocument/2006/relationships" ref="X1900" r:id="rId3345"/>
    <hyperlink xmlns:r="http://schemas.openxmlformats.org/officeDocument/2006/relationships" ref="Y1900" r:id="rId3346"/>
    <hyperlink xmlns:r="http://schemas.openxmlformats.org/officeDocument/2006/relationships" ref="AB1900" r:id="rId3347"/>
    <hyperlink xmlns:r="http://schemas.openxmlformats.org/officeDocument/2006/relationships" ref="X1901" r:id="rId3348"/>
    <hyperlink xmlns:r="http://schemas.openxmlformats.org/officeDocument/2006/relationships" ref="Y1901" r:id="rId3349"/>
    <hyperlink xmlns:r="http://schemas.openxmlformats.org/officeDocument/2006/relationships" ref="AB1901" r:id="rId3350"/>
    <hyperlink xmlns:r="http://schemas.openxmlformats.org/officeDocument/2006/relationships" ref="X1902" r:id="rId3351"/>
    <hyperlink xmlns:r="http://schemas.openxmlformats.org/officeDocument/2006/relationships" ref="Y1902" r:id="rId3352"/>
    <hyperlink xmlns:r="http://schemas.openxmlformats.org/officeDocument/2006/relationships" ref="AB1902" r:id="rId3353"/>
    <hyperlink xmlns:r="http://schemas.openxmlformats.org/officeDocument/2006/relationships" ref="X1903" r:id="rId3354"/>
    <hyperlink xmlns:r="http://schemas.openxmlformats.org/officeDocument/2006/relationships" ref="Y1903" r:id="rId3355"/>
    <hyperlink xmlns:r="http://schemas.openxmlformats.org/officeDocument/2006/relationships" ref="AB1903" r:id="rId335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40" customWidth="1" min="2" max="2"/>
    <col width="18" customWidth="1" min="3" max="3"/>
    <col width="10" customWidth="1" min="4" max="4"/>
    <col width="9" customWidth="1" min="5" max="5"/>
    <col width="9" customWidth="1" min="6" max="6"/>
    <col width="22" customWidth="1" min="7" max="7"/>
    <col width="22" customWidth="1" min="8" max="8"/>
    <col width="70" customWidth="1" min="9" max="9"/>
    <col width="36" customWidth="1" min="10" max="10"/>
    <col width="12" customWidth="1" min="11" max="11"/>
    <col width="12" customWidth="1" min="12" max="12"/>
    <col width="40" customWidth="1" min="13" max="13"/>
  </cols>
  <sheetData>
    <row r="1" ht="32" customHeight="1">
      <c r="A1" s="6" t="inlineStr">
        <is>
          <t>Series ID</t>
        </is>
      </c>
      <c r="B1" s="6" t="inlineStr">
        <is>
          <t>Title</t>
        </is>
      </c>
      <c r="C1" s="6" t="inlineStr">
        <is>
          <t>Kind</t>
        </is>
      </c>
      <c r="D1" s="6" t="inlineStr">
        <is>
          <t>Highlight on chart</t>
        </is>
      </c>
      <c r="E1" s="6" t="inlineStr">
        <is>
          <t>Auto-built</t>
        </is>
      </c>
      <c r="F1" s="6" t="inlineStr">
        <is>
          <t>Members</t>
        </is>
      </c>
      <c r="G1" s="6" t="inlineStr">
        <is>
          <t>First</t>
        </is>
      </c>
      <c r="H1" s="6" t="inlineStr">
        <is>
          <t>Last</t>
        </is>
      </c>
      <c r="I1" s="6" t="inlineStr">
        <is>
          <t>Description</t>
        </is>
      </c>
      <c r="J1" s="6" t="inlineStr">
        <is>
          <t>Main source</t>
        </is>
      </c>
      <c r="K1" s="6" t="inlineStr">
        <is>
          <t>Source link</t>
        </is>
      </c>
      <c r="L1" s="6" t="inlineStr">
        <is>
          <t>✎ Status</t>
        </is>
      </c>
      <c r="M1" s="6" t="inlineStr">
        <is>
          <t>✎ Comment</t>
        </is>
      </c>
    </row>
    <row r="2">
      <c r="A2" s="7" t="inlineStr">
        <is>
          <t>conquest-of-canaan</t>
        </is>
      </c>
      <c r="B2" s="2" t="inlineStr">
        <is>
          <t>Conquest of the Promised Land</t>
        </is>
      </c>
      <c r="C2" s="7" t="inlineStr">
        <is>
          <t>chart reproduction</t>
        </is>
      </c>
      <c r="D2" s="7" t="n"/>
      <c r="E2" s="7" t="n"/>
      <c r="F2" s="7" t="n">
        <v>7</v>
      </c>
      <c r="G2" s="7" t="inlineStr">
        <is>
          <t>c. 1474 B.C.E.</t>
        </is>
      </c>
      <c r="H2" s="7" t="inlineStr">
        <is>
          <t>1467 B.C.E.</t>
        </is>
      </c>
      <c r="I2" s="2" t="inlineStr">
        <is>
          <t>NWT Appendix B4 shows the campaign routes of Israel’s conquest of the Promised Land, from Shittim across the Jordan to Jericho and Ai, south to Lachish and Debir and north to the waters of Merom and Hazor, and east of the Jordan against Sihon and Og. Its timeline marks Israel entering Canaan (1473 B.C.E.) and the completion of the major conquest (1467 B.C.E.).</t>
        </is>
      </c>
      <c r="J2" s="7" t="inlineStr">
        <is>
          <t>B4 Conquest of the Promised Land</t>
        </is>
      </c>
      <c r="K2" s="9" t="inlineStr">
        <is>
          <t>open</t>
        </is>
      </c>
      <c r="L2" s="10" t="n"/>
      <c r="M2" s="10" t="n"/>
    </row>
    <row r="3">
      <c r="A3" s="7" t="inlineStr">
        <is>
          <t>covenants</t>
        </is>
      </c>
      <c r="B3" s="2" t="inlineStr">
        <is>
          <t>The covenants—“How God Will Accomplish His Purpose”</t>
        </is>
      </c>
      <c r="C3" s="7" t="inlineStr">
        <is>
          <t>covenants</t>
        </is>
      </c>
      <c r="D3" s="7" t="inlineStr">
        <is>
          <t>Yes</t>
        </is>
      </c>
      <c r="E3" s="7" t="n"/>
      <c r="F3" s="7" t="n">
        <v>29</v>
      </c>
      <c r="G3" s="7" t="inlineStr">
        <is>
          <t>a. 4026 B.C.E.</t>
        </is>
      </c>
      <c r="H3" s="7" t="inlineStr">
        <is>
          <t>2026</t>
        </is>
      </c>
      <c r="I3" s="2" t="inlineStr">
        <is>
          <t>The Watchtower of October 15, 2014, presents a chart of the Edenic promise and the six covenants that advance God’s purpose by means of the Messianic Kingdom: the Abrahamic covenant, the Law covenant, the Davidic covenant, the covenant for a priest like Melchizedek, the new covenant, and the Kingdom covenant. Each group gives the parties and purpose exactly as the chart prints them, with when the covenant was made, took effect, or ended taken from the two articles, Insight “Covenant,” and The Watchtower of July 2020. Other covenants listed in Insight (with Noah, the rainbow covenant, circumcision, Levi, and Moab) follow.</t>
        </is>
      </c>
      <c r="J3" s="7" t="inlineStr">
        <is>
          <t>Have Unshakable Faith in the Kingdom</t>
        </is>
      </c>
      <c r="K3" s="9" t="inlineStr">
        <is>
          <t>open</t>
        </is>
      </c>
      <c r="L3" s="10" t="n"/>
      <c r="M3" s="10" t="n"/>
    </row>
    <row r="4">
      <c r="A4" s="7" t="inlineStr">
        <is>
          <t>daniel-time-prophecies</t>
        </is>
      </c>
      <c r="B4" s="2" t="inlineStr">
        <is>
          <t>Prophetic Time Periods in Daniel</t>
        </is>
      </c>
      <c r="C4" s="7" t="inlineStr">
        <is>
          <t>time prophecy</t>
        </is>
      </c>
      <c r="D4" s="7" t="inlineStr">
        <is>
          <t>Yes</t>
        </is>
      </c>
      <c r="E4" s="7" t="n"/>
      <c r="F4" s="7" t="n">
        <v>29</v>
      </c>
      <c r="G4" s="7" t="inlineStr">
        <is>
          <t>October 607 B.C.E. to October 1914 C.E.</t>
        </is>
      </c>
      <c r="H4" s="7" t="inlineStr">
        <is>
          <t>October 2, 1944</t>
        </is>
      </c>
      <c r="I4" s="2" t="inlineStr">
        <is>
          <t>The dated time prophecies of the book of Daniel as charted in Pay Attention to Daniel’s Prophecy! (ch. 17): the “seven times” of Daniel 4 (607 B.C.E.–1914 C.E.), the 70 weeks of Daniel 9 (455 B.C.E.–36 C.E., with the Messiah appearing after 69 weeks in 29 C.E.), the three and a half times or 1,260 days of Daniel 7 and 12 (1914–1918), the 1,290 and 1,335 days of Daniel 12 (1919–1926) and the 2,300 evenings and mornings of Daniel 8 (1938–1944).</t>
        </is>
      </c>
      <c r="J4" s="7" t="inlineStr">
        <is>
          <t>Identifying True Worshipers in the Time of the End</t>
        </is>
      </c>
      <c r="K4" s="9" t="inlineStr">
        <is>
          <t>open</t>
        </is>
      </c>
      <c r="L4" s="10" t="n"/>
      <c r="M4" s="10" t="n"/>
    </row>
    <row r="5">
      <c r="A5" s="7" t="inlineStr">
        <is>
          <t>exodus-route</t>
        </is>
      </c>
      <c r="B5" s="2" t="inlineStr">
        <is>
          <t>The Exodus From Egypt</t>
        </is>
      </c>
      <c r="C5" s="7" t="inlineStr">
        <is>
          <t>chart reproduction</t>
        </is>
      </c>
      <c r="D5" s="7" t="n"/>
      <c r="E5" s="7" t="n"/>
      <c r="F5" s="7" t="n">
        <v>13</v>
      </c>
      <c r="G5" s="7" t="inlineStr">
        <is>
          <t>1513 B.C.E., Nisan 14</t>
        </is>
      </c>
      <c r="H5" s="7" t="inlineStr">
        <is>
          <t>1473 B.C.E., Adar</t>
        </is>
      </c>
      <c r="I5" s="2" t="inlineStr">
        <is>
          <t>NWT Appendix B3 traces the possible route of the Exodus from Rameses in Egypt through the wilderness to Mount Sinai, Kadesh and the Plains of Moab. Its timeline marks Israel leaving Egypt and the Mosaic Law covenant (1513 B.C.E.) and Joshua’s commissioning to succeed Moses (1473 B.C.E.).</t>
        </is>
      </c>
      <c r="J5" s="7" t="inlineStr">
        <is>
          <t>B3 The Exodus From Egypt</t>
        </is>
      </c>
      <c r="K5" s="9" t="inlineStr">
        <is>
          <t>open</t>
        </is>
      </c>
      <c r="L5" s="10" t="n"/>
      <c r="M5" s="10" t="n"/>
    </row>
    <row r="6">
      <c r="A6" s="7" t="inlineStr">
        <is>
          <t>fulfilled-prophecies-nations</t>
        </is>
      </c>
      <c r="B6" s="2" t="inlineStr">
        <is>
          <t>Fulfilled prophecies about nations, cities, and rulers</t>
        </is>
      </c>
      <c r="C6" s="7" t="inlineStr">
        <is>
          <t>prophecy fulfillment</t>
        </is>
      </c>
      <c r="D6" s="7" t="inlineStr">
        <is>
          <t>Yes</t>
        </is>
      </c>
      <c r="E6" s="7" t="n"/>
      <c r="F6" s="7" t="n">
        <v>67</v>
      </c>
      <c r="G6" s="7" t="inlineStr">
        <is>
          <t>997 B.C.E. – c. 976 B.C.E.</t>
        </is>
      </c>
      <c r="H6" s="7" t="inlineStr">
        <is>
          <t>70 C.E. (conquest completed August 30)</t>
        </is>
      </c>
      <c r="I6" s="2" t="inlineStr">
        <is>
          <t>Prophecies about nations, cities, and rulers that jw.org publications show fulfilled on dated events: Samaria and Nineveh, Jerusalem’s destruction in 607 B.C.E. and the 70 years of desolation, Babylon’s fall to Cyrus (named in advance), Medo-Persia and Greece in Daniel’s visions, Tyre, Edom, Josiah, and Jerusalem’s destruction by Rome. Each group is one prophecy topic: the prophecy is anchored to the record of when it was given (or to the prophet’s dated activity, as noted) and linked to its fulfillment(s) with pairs_with.</t>
        </is>
      </c>
      <c r="J6" s="7" t="inlineStr">
        <is>
          <t>Prophecies That Came True</t>
        </is>
      </c>
      <c r="K6" s="9" t="inlineStr">
        <is>
          <t>open</t>
        </is>
      </c>
      <c r="L6" s="10" t="n"/>
      <c r="M6" s="10" t="n"/>
    </row>
    <row r="7">
      <c r="A7" s="7" t="inlineStr">
        <is>
          <t>how-the-bible-came-to-us</t>
        </is>
      </c>
      <c r="B7" s="2" t="inlineStr">
        <is>
          <t>How the Bible came to us</t>
        </is>
      </c>
      <c r="C7" s="7" t="inlineStr">
        <is>
          <t>chart reproduction</t>
        </is>
      </c>
      <c r="D7" s="7" t="inlineStr">
        <is>
          <t>Yes</t>
        </is>
      </c>
      <c r="E7" s="7" t="n"/>
      <c r="F7" s="7" t="n">
        <v>58</v>
      </c>
      <c r="G7" s="7" t="inlineStr">
        <is>
          <t>468 B.C.E. (seventh year of Artaxerxes)</t>
        </is>
      </c>
      <c r="H7" s="7" t="inlineStr">
        <is>
          <t>2013, October 5</t>
        </is>
      </c>
      <c r="I7" s="2" t="inlineStr">
        <is>
          <t>The Bible’s survival through the centuries as NWT Study Edition Appendix A3 “How the Bible Came to Us” and the Watchtower series of the same name (w97 8/15, 9/15, 10/15) present it: scribes and Masoretes copy the Hebrew Scriptures; early Christians copy and translate the Christian Greek Scriptures despite attempts like Diocletian’s to destroy them; Jerome’s Vulgate, Slavonic and vernacular Bibles; printing from Gutenberg and Erasmus’ Greek text; Tyndale, the King James Version and the divine name in English; Bible societies and missionary translations; manuscript discoveries such as Codex Sinaiticus and the Dead Sea Scrolls; and the New World Translation, 1950 to the 2013 revision.</t>
        </is>
      </c>
      <c r="J7" s="7" t="inlineStr">
        <is>
          <t>A3 How the Bible Came to Us</t>
        </is>
      </c>
      <c r="K7" s="9" t="inlineStr">
        <is>
          <t>open</t>
        </is>
      </c>
      <c r="L7" s="10" t="n"/>
      <c r="M7" s="10" t="n"/>
    </row>
    <row r="8">
      <c r="A8" s="7" t="inlineStr">
        <is>
          <t>jesus-final-week</t>
        </is>
      </c>
      <c r="B8" s="2" t="inlineStr">
        <is>
          <t>The Final Week of Jesus’ Life on Earth</t>
        </is>
      </c>
      <c r="C8" s="7" t="inlineStr">
        <is>
          <t>chart reproduction</t>
        </is>
      </c>
      <c r="D8" s="7" t="n"/>
      <c r="E8" s="7" t="n"/>
      <c r="F8" s="7" t="n">
        <v>44</v>
      </c>
      <c r="G8" s="7" t="inlineStr">
        <is>
          <t>33 C.E., Nisan 8</t>
        </is>
      </c>
      <c r="H8" s="7" t="inlineStr">
        <is>
          <t>33 C.E., Nisan 16</t>
        </is>
      </c>
      <c r="I8" s="2" t="inlineStr">
        <is>
          <t>NWT Appendix B12 (parts A and B) sets out Jesus’ last days on earth, Nisan 8-16, 33 C.E., day by day from sunset to sunset, with a map of Jerusalem and the surrounding area that numbers the places involved (temple, Gethsemane, the governor’s palace, the house of Caiaphas, Golgotha and others). Each item is linked to the matching A7-G/A7-H record where one exists.</t>
        </is>
      </c>
      <c r="J8" s="7" t="inlineStr">
        <is>
          <t>B12-A The Final Week of Jesus’ Life on Earth (Part 1)</t>
        </is>
      </c>
      <c r="K8" s="9" t="inlineStr">
        <is>
          <t>open</t>
        </is>
      </c>
      <c r="L8" s="10" t="n"/>
      <c r="M8" s="10" t="n"/>
    </row>
    <row r="9">
      <c r="A9" s="7" t="inlineStr">
        <is>
          <t>jesus-ministry-places</t>
        </is>
      </c>
      <c r="B9" s="2" t="inlineStr">
        <is>
          <t>Israel During the Time of Jesus</t>
        </is>
      </c>
      <c r="C9" s="7" t="inlineStr">
        <is>
          <t>chart reproduction</t>
        </is>
      </c>
      <c r="D9" s="7" t="n"/>
      <c r="E9" s="7" t="n"/>
      <c r="F9" s="7" t="n">
        <v>4</v>
      </c>
      <c r="G9" s="7" t="inlineStr">
        <is>
          <t>2 B.C.E., c. Oct. 1</t>
        </is>
      </c>
      <c r="H9" s="7" t="inlineStr">
        <is>
          <t>33 C.E., Nisan 14 (c. 3:00 p.m., Friday)</t>
        </is>
      </c>
      <c r="I9" s="2" t="inlineStr">
        <is>
          <t>NWT Appendix B10 maps Israel in the time of Jesus: Galilee, Samaria, Judea, Perea, the Decapolis and the territories ruled by Herod Archelaus (later by Pontius Pilate), Herod Antipas and Philip. Its timeline marks Jesus’ birth (2 B.C.E.) and death (33 C.E.).</t>
        </is>
      </c>
      <c r="J9" s="7" t="inlineStr">
        <is>
          <t>B10 Israel During the Time of Jesus</t>
        </is>
      </c>
      <c r="K9" s="9" t="inlineStr">
        <is>
          <t>open</t>
        </is>
      </c>
      <c r="L9" s="10" t="n"/>
      <c r="M9" s="10" t="n"/>
    </row>
    <row r="10">
      <c r="A10" s="7" t="inlineStr">
        <is>
          <t>kingdom-of-david-and-solomon</t>
        </is>
      </c>
      <c r="B10" s="2" t="inlineStr">
        <is>
          <t>Kingdom of David and Solomon</t>
        </is>
      </c>
      <c r="C10" s="7" t="inlineStr">
        <is>
          <t>chart reproduction</t>
        </is>
      </c>
      <c r="D10" s="7" t="n"/>
      <c r="E10" s="7" t="n"/>
      <c r="F10" s="7" t="n">
        <v>5</v>
      </c>
      <c r="G10" s="7" t="inlineStr">
        <is>
          <t>1077-1038 B.C.E.</t>
        </is>
      </c>
      <c r="H10" s="7" t="inlineStr">
        <is>
          <t>1037-998 B.C.E.</t>
        </is>
      </c>
      <c r="I10" s="2" t="inlineStr">
        <is>
          <t>NWT Appendix B7 maps the kingdom of David and Solomon, extending to Tiphsah on the Euphrates. Its timeline marks David’s reign (1077-1038 B.C.E.), the Davidic covenant (c. 1070 B.C.E.) and Solomon’s reign (1037-998 B.C.E.).</t>
        </is>
      </c>
      <c r="J10" s="7" t="inlineStr">
        <is>
          <t>B7 Kingdom of David and Solomon</t>
        </is>
      </c>
      <c r="K10" s="9" t="inlineStr">
        <is>
          <t>open</t>
        </is>
      </c>
      <c r="L10" s="10" t="n"/>
      <c r="M10" s="10" t="n"/>
    </row>
    <row r="11">
      <c r="A11" s="7" t="inlineStr">
        <is>
          <t>kings-north-and-south</t>
        </is>
      </c>
      <c r="B11" s="2" t="inlineStr">
        <is>
          <t>The King of the North and the King of the South (Daniel 11)</t>
        </is>
      </c>
      <c r="C11" s="7" t="inlineStr">
        <is>
          <t>world powers</t>
        </is>
      </c>
      <c r="D11" s="7" t="inlineStr">
        <is>
          <t>Yes</t>
        </is>
      </c>
      <c r="E11" s="7" t="n"/>
      <c r="F11" s="7" t="n">
        <v>47</v>
      </c>
      <c r="G11" s="7" t="inlineStr">
        <is>
          <t>536/535 B.C.E. (third year of Cyrus)</t>
        </is>
      </c>
      <c r="H11" s="7" t="inlineStr">
        <is>
          <t>Future (undated)</t>
        </is>
      </c>
      <c r="I11" s="2" t="inlineStr">
        <is>
          <t>Daniel 11 traces the rivalry of “the king of the north” and “the king of the south,” political powers that interact with God’s people, show hatred of Jehovah and compete with each other. After the Persian kings and Alexander, the roles are filled by the Seleucid and Ptolemaic kings and then by Rome (Augustus, Tiberius). In the time of the end the king of the north is Germany (1871–1945), the Soviet Union and its allies (1945–1991) and then Russia and its allies; the king of the south is Britain and then the Anglo-American World Power.</t>
        </is>
      </c>
      <c r="J11" s="7" t="inlineStr">
        <is>
          <t>Rival Kings in the Time of the End</t>
        </is>
      </c>
      <c r="K11" s="9" t="inlineStr">
        <is>
          <t>open</t>
        </is>
      </c>
      <c r="L11" s="10" t="n"/>
      <c r="M11" s="10" t="n"/>
    </row>
    <row r="12">
      <c r="A12" s="7" t="inlineStr">
        <is>
          <t>last-days-sign</t>
        </is>
      </c>
      <c r="B12" s="2" t="inlineStr">
        <is>
          <t>The sign of Christ’s presence: dated features since 1914</t>
        </is>
      </c>
      <c r="C12" s="7" t="inlineStr">
        <is>
          <t>prophecy fulfillment</t>
        </is>
      </c>
      <c r="D12" s="7" t="n"/>
      <c r="E12" s="7" t="n"/>
      <c r="F12" s="7" t="n">
        <v>19</v>
      </c>
      <c r="G12" s="7" t="inlineStr">
        <is>
          <t>33 C.E., Nisan 11</t>
        </is>
      </c>
      <c r="H12" s="7" t="inlineStr">
        <is>
          <t>2012 (Awake!, October 2012)</t>
        </is>
      </c>
      <c r="I12" s="2" t="inlineStr">
        <is>
          <t>Features of the composite sign of Jesus’ presence and of “the last days” (Matthew 24, Luke 21, Revelation 6) that Watchtower and Awake! articles illustrate with dated events: World War I and World War II, the Spanish influenza of 1918, famines in 1921, 1933, and 1943, and reports of the worldwide Kingdom preaching. Jesus’ prophecy is anchored to the day he gave the sign (Nisan 11, 33 C.E.) and Revelation to its writing (c. 96 C.E.).</t>
        </is>
      </c>
      <c r="J12" s="7" t="inlineStr">
        <is>
          <t>Do You Recognize the Sign of Jesus’ Presence?</t>
        </is>
      </c>
      <c r="K12" s="9" t="inlineStr">
        <is>
          <t>open</t>
        </is>
      </c>
      <c r="L12" s="10" t="n"/>
      <c r="M12" s="10" t="n"/>
    </row>
    <row r="13">
      <c r="A13" s="7" t="inlineStr">
        <is>
          <t>messianic-line</t>
        </is>
      </c>
      <c r="B13" s="2" t="inlineStr">
        <is>
          <t>The line of descent of the Messiah</t>
        </is>
      </c>
      <c r="C13" s="7" t="inlineStr">
        <is>
          <t>lineage</t>
        </is>
      </c>
      <c r="D13" s="7" t="n"/>
      <c r="E13" s="7" t="n"/>
      <c r="F13" s="7" t="n">
        <v>41</v>
      </c>
      <c r="G13" s="7" t="inlineStr">
        <is>
          <t>4026 B.C.E. – 3096 B.C.E.</t>
        </is>
      </c>
      <c r="H13" s="7" t="inlineStr">
        <is>
          <t>2 B.C.E., c. Oct. 1 – 33 C.E., Nisan 14 (c. 3:00 p.m., Friday)</t>
        </is>
      </c>
      <c r="I13" s="2" t="inlineStr">
        <is>
          <t>The family line through which the promised Messiah came, from Adam through Noah, Shem, Abraham, Isaac, Jacob, Judah and David to Jesus, following the chart 'Bible Lists of Jesus’ Genealogy' in Insight (Genealogy of Jesus Christ), which sets Genesis/Ruth, 1 Chronicles 1-3, Matthew 1 and Luke 3 side by side. From David the series follows the royal line through Solomon to Joseph (Matthew, Jesus' legal right to the throne); Luke's line through Nathan to Mary (Jesus' natural descent) has no dated members and is listed in the notes.</t>
        </is>
      </c>
      <c r="J13" s="7" t="inlineStr">
        <is>
          <t>Genealogy of Jesus Christ</t>
        </is>
      </c>
      <c r="K13" s="9" t="inlineStr">
        <is>
          <t>open</t>
        </is>
      </c>
      <c r="L13" s="10" t="n"/>
      <c r="M13" s="10" t="n"/>
    </row>
    <row r="14">
      <c r="A14" s="7" t="inlineStr">
        <is>
          <t>messianic-prophecies</t>
        </is>
      </c>
      <c r="B14" s="2" t="inlineStr">
        <is>
          <t>Some Messianic prophecies</t>
        </is>
      </c>
      <c r="C14" s="7" t="inlineStr">
        <is>
          <t>prophecy fulfillment</t>
        </is>
      </c>
      <c r="D14" s="7" t="inlineStr">
        <is>
          <t>Yes</t>
        </is>
      </c>
      <c r="E14" s="7" t="n"/>
      <c r="F14" s="7" t="n">
        <v>57</v>
      </c>
      <c r="G14" s="7" t="inlineStr">
        <is>
          <t>1711 B.C.E.</t>
        </is>
      </c>
      <c r="H14" s="7" t="inlineStr">
        <is>
          <t>c. 33-34 C.E.</t>
        </is>
      </c>
      <c r="I14" s="2" t="inlineStr">
        <is>
          <t>Prophecies in the Hebrew Scriptures about the Messiah's birth, ministry, death and resurrection, each paired with its fulfillment in the life of Jesus, following the table "Some Messianic Prophecies" in the book Jesus—The Way, the Truth, the Life. Rows of the chart "Prophecies Regarding the Messiah" (What Does the Bible Really Teach?) that the jy table lacks are added, and the jw.org article "Do Messianic Prophecies Prove That Jesus Was the Messiah?" is used to cross-check each row.</t>
        </is>
      </c>
      <c r="J14" s="7" t="inlineStr">
        <is>
          <t>Some Messianic Prophecies</t>
        </is>
      </c>
      <c r="K14" s="9" t="inlineStr">
        <is>
          <t>open</t>
        </is>
      </c>
      <c r="L14" s="10" t="n"/>
      <c r="M14" s="10" t="n"/>
    </row>
    <row r="15">
      <c r="A15" s="7" t="inlineStr">
        <is>
          <t>patriarchs-travels</t>
        </is>
      </c>
      <c r="B15" s="2" t="inlineStr">
        <is>
          <t>Genesis and the Travels of the Patriarchs</t>
        </is>
      </c>
      <c r="C15" s="7" t="inlineStr">
        <is>
          <t>chart reproduction</t>
        </is>
      </c>
      <c r="D15" s="7" t="n"/>
      <c r="E15" s="7" t="n"/>
      <c r="F15" s="7" t="n">
        <v>13</v>
      </c>
      <c r="G15" s="7" t="inlineStr">
        <is>
          <t>4026 B.C.E.</t>
        </is>
      </c>
      <c r="H15" s="7" t="inlineStr">
        <is>
          <t>1657 B.C.E.</t>
        </is>
      </c>
      <c r="I15" s="2" t="inlineStr">
        <is>
          <t>NWT Appendix B2 maps the places named in Genesis, from Ur and Babel in Mesopotamia through Haran and Canaan to Egypt, with an inset of central Canaan. Its timeline marks Adam’s creation (4026 B.C.E.), the validating of the Abrahamic covenant (1943 B.C.E.) and Joseph’s death (1657 B.C.E.).</t>
        </is>
      </c>
      <c r="J15" s="7" t="inlineStr">
        <is>
          <t>B2 Genesis and the Travels of the Patriarchs</t>
        </is>
      </c>
      <c r="K15" s="9" t="inlineStr">
        <is>
          <t>open</t>
        </is>
      </c>
      <c r="L15" s="10" t="n"/>
      <c r="M15" s="10" t="n"/>
    </row>
    <row r="16">
      <c r="A16" s="7" t="inlineStr">
        <is>
          <t>promised-offspring</t>
        </is>
      </c>
      <c r="B16" s="2" t="inlineStr">
        <is>
          <t>The promised offspring</t>
        </is>
      </c>
      <c r="C16" s="7" t="inlineStr">
        <is>
          <t>prophecy fulfillment</t>
        </is>
      </c>
      <c r="D16" s="7" t="inlineStr">
        <is>
          <t>Yes</t>
        </is>
      </c>
      <c r="E16" s="7" t="n"/>
      <c r="F16" s="7" t="n">
        <v>11</v>
      </c>
      <c r="G16" s="7" t="inlineStr">
        <is>
          <t>a. 4026 B.C.E.</t>
        </is>
      </c>
      <c r="H16" s="7" t="inlineStr">
        <is>
          <t>Future (undated)</t>
        </is>
      </c>
      <c r="I16" s="2" t="inlineStr">
        <is>
          <t>NWT Appendix B1 "The Message of the Bible" traces the Bible's theme through seven dated steps: Jehovah's promise in Eden of an offspring who would crush the serpent, Satan; the narrowing of that offspring's line through Abraham and David; Jesus identified as the offspring in 29 C.E.; his heel wound (death) and resurrection in 33 C.E.; Satan hurled to the earth about 1914; and Satan's future imprisonment and destruction. The Watchtower of July 2022 adds the secondary part of the offspring, Christ's 144,000 anointed corulers, anointed from Pentecost 33 C.E.</t>
        </is>
      </c>
      <c r="J16" s="7" t="inlineStr">
        <is>
          <t>The Message of the Bible</t>
        </is>
      </c>
      <c r="K16" s="9" t="inlineStr">
        <is>
          <t>open</t>
        </is>
      </c>
      <c r="L16" s="10" t="n"/>
      <c r="M16" s="10" t="n"/>
    </row>
    <row r="17">
      <c r="A17" s="7" t="inlineStr">
        <is>
          <t>prophets-and-kings-a6</t>
        </is>
      </c>
      <c r="B17" s="2" t="inlineStr">
        <is>
          <t>Prophets and Kings of Judah and of Israel</t>
        </is>
      </c>
      <c r="C17" s="7" t="inlineStr">
        <is>
          <t>chart reproduction</t>
        </is>
      </c>
      <c r="D17" s="7" t="n"/>
      <c r="E17" s="7" t="n"/>
      <c r="F17" s="7" t="n">
        <v>60</v>
      </c>
      <c r="G17" s="7" t="inlineStr">
        <is>
          <t>997 B.C.E. – 980 B.C.E.</t>
        </is>
      </c>
      <c r="H17" s="7" t="inlineStr">
        <is>
          <t>c. 607 B.C.E.</t>
        </is>
      </c>
      <c r="I17" s="2" t="inlineStr">
        <is>
          <t>NWT Appendix A6 (parts A and B) sets the kings of the southern two-tribe kingdom of Judah and of the northern ten-tribe kingdom of Israel side by side from the division of the kingdom in 997 B.C.E., with the accession year and length of each reign, and draws the prophets who served during that time between the two columns. Part B ends with Assyria’s conquest of Samaria (740 B.C.E.) and the destruction of Jerusalem and dethroning of Zedekiah (607 B.C.E.).</t>
        </is>
      </c>
      <c r="J17" s="7" t="inlineStr">
        <is>
          <t>A6-A Chart: Prophets and Kings of Judah and of Israel (Part 1)</t>
        </is>
      </c>
      <c r="K17" s="9" t="inlineStr">
        <is>
          <t>open</t>
        </is>
      </c>
      <c r="L17" s="10" t="n"/>
      <c r="M17" s="10" t="n"/>
    </row>
    <row r="18">
      <c r="A18" s="7" t="inlineStr">
        <is>
          <t>settlement-of-the-land</t>
        </is>
      </c>
      <c r="B18" s="2" t="inlineStr">
        <is>
          <t>Settlement of the Promised Land</t>
        </is>
      </c>
      <c r="C18" s="7" t="inlineStr">
        <is>
          <t>chart reproduction</t>
        </is>
      </c>
      <c r="D18" s="7" t="n"/>
      <c r="E18" s="7" t="n"/>
      <c r="F18" s="7" t="n">
        <v>16</v>
      </c>
      <c r="G18" s="7" t="inlineStr">
        <is>
          <t>1467 B.C.E.</t>
        </is>
      </c>
      <c r="H18" s="7" t="inlineStr">
        <is>
          <t>1117 B.C.E.</t>
        </is>
      </c>
      <c r="I18" s="2" t="inlineStr">
        <is>
          <t>NWT Appendix B6 shows the Promised Land divided among the tribes of Israel after the conquest, with the enclave cities of Simeon and Manasseh, the cities of refuge, and the twelve judges numbered at their locations. Its timeline marks the tribes receiving land after the conquest (1467 B.C.E.) and Saul’s anointing as king (1117 B.C.E.).</t>
        </is>
      </c>
      <c r="J18" s="7" t="inlineStr">
        <is>
          <t>B6 Settlement of the Promised Land</t>
        </is>
      </c>
      <c r="K18" s="9" t="inlineStr">
        <is>
          <t>open</t>
        </is>
      </c>
      <c r="L18" s="10" t="n"/>
      <c r="M18" s="10" t="n"/>
    </row>
    <row r="19">
      <c r="A19" s="7" t="inlineStr">
        <is>
          <t>seven-heads-of-the-beast</t>
        </is>
      </c>
      <c r="B19" s="2" t="inlineStr">
        <is>
          <t>Eight Kings Revealed: the Seven Heads of the Wild Beast and the Eighth King</t>
        </is>
      </c>
      <c r="C19" s="7" t="inlineStr">
        <is>
          <t>world powers</t>
        </is>
      </c>
      <c r="D19" s="7" t="n"/>
      <c r="E19" s="7" t="n"/>
      <c r="F19" s="7" t="n">
        <v>27</v>
      </c>
      <c r="G19" s="7" t="inlineStr">
        <is>
          <t>a. 1600 B.C.E.–(end not dated)</t>
        </is>
      </c>
      <c r="H19" s="7" t="inlineStr">
        <is>
          <t>Future (undated)</t>
        </is>
      </c>
      <c r="I19" s="2" t="inlineStr">
        <is>
          <t>The seven heads of the wild beast of Revelation 13:1 and 17:9-11 are the seven world powers that have had significant dealings with God’s people: Egypt, Assyria, Babylon, Medo-Persia, Greece, Rome and the Anglo-American World Power. The image of the wild beast, the scarlet-colored beast that is “an eighth king,” appeared after World War I as the League of Nations, went into the abyss during World War II and rose again as the United Nations, which will attack false religion before the beast is destroyed at Armageddon.</t>
        </is>
      </c>
      <c r="J19" s="7" t="inlineStr">
        <is>
          <t>Eight Kings Revealed</t>
        </is>
      </c>
      <c r="K19" s="9" t="inlineStr">
        <is>
          <t>open</t>
        </is>
      </c>
      <c r="L19" s="10" t="n"/>
      <c r="M19" s="10" t="n"/>
    </row>
    <row r="20">
      <c r="A20" s="7" t="inlineStr">
        <is>
          <t>spread-of-christianity</t>
        </is>
      </c>
      <c r="B20" s="2" t="inlineStr">
        <is>
          <t>The Spread of Christianity</t>
        </is>
      </c>
      <c r="C20" s="7" t="inlineStr">
        <is>
          <t>chart reproduction</t>
        </is>
      </c>
      <c r="D20" s="7" t="n"/>
      <c r="E20" s="7" t="n"/>
      <c r="F20" s="7" t="n">
        <v>9</v>
      </c>
      <c r="G20" s="7" t="inlineStr">
        <is>
          <t>33 C.E., Sivan 6 (Pentecost)</t>
        </is>
      </c>
      <c r="H20" s="7" t="inlineStr">
        <is>
          <t>c. 59-61 C.E.</t>
        </is>
      </c>
      <c r="I20" s="2" t="inlineStr">
        <is>
          <t>NWT Appendix B13 maps the spread of Christianity across the Roman world: the routes of Paul’s three missionary tours (c. 47-48, c. 49-52, c. 52-56 C.E.), his trip to Rome and imprisonment (c. 58-61 C.E.), the starting point of the tours and the cities mentioned in Revelation. Its timeline marks the outpouring of holy spirit at Pentecost 33 C.E.</t>
        </is>
      </c>
      <c r="J20" s="7" t="inlineStr">
        <is>
          <t>B13 The Spread of Christianity</t>
        </is>
      </c>
      <c r="K20" s="9" t="inlineStr">
        <is>
          <t>open</t>
        </is>
      </c>
      <c r="L20" s="10" t="n"/>
      <c r="M20" s="10" t="n"/>
    </row>
    <row r="21">
      <c r="A21" s="7" t="inlineStr">
        <is>
          <t>tabernacle-and-high-priest</t>
        </is>
      </c>
      <c r="B21" s="2" t="inlineStr">
        <is>
          <t>Tabernacle and High Priest</t>
        </is>
      </c>
      <c r="C21" s="7" t="inlineStr">
        <is>
          <t>chart reproduction</t>
        </is>
      </c>
      <c r="D21" s="7" t="n"/>
      <c r="E21" s="7" t="n"/>
      <c r="F21" s="7" t="n">
        <v>4</v>
      </c>
      <c r="G21" s="7" t="inlineStr">
        <is>
          <t>1513 B.C.E.</t>
        </is>
      </c>
      <c r="H21" s="7" t="inlineStr">
        <is>
          <t>1026 B.C.E., Ethanim</t>
        </is>
      </c>
      <c r="I21" s="2" t="inlineStr">
        <is>
          <t>NWT Appendix B5 illustrates the tabernacle and its features (ark, curtain, incense altar, table of showbread, lampstand, copper basin, altar of burnt offering, courtyard) and the garments of the high priest described in Exodus 25-30. Its timeline marks the tabernacle’s completion (1512 B.C.E.) and the inauguration of the temple (1026 B.C.E.).</t>
        </is>
      </c>
      <c r="J21" s="7" t="inlineStr">
        <is>
          <t>B5 Tabernacle and High Priest</t>
        </is>
      </c>
      <c r="K21" s="9" t="inlineStr">
        <is>
          <t>open</t>
        </is>
      </c>
      <c r="L21" s="10" t="n"/>
      <c r="M21" s="10" t="n"/>
    </row>
    <row r="22">
      <c r="A22" s="7" t="inlineStr">
        <is>
          <t>temple-built-by-solomon</t>
        </is>
      </c>
      <c r="B22" s="2" t="inlineStr">
        <is>
          <t>Temple Built by Solomon</t>
        </is>
      </c>
      <c r="C22" s="7" t="inlineStr">
        <is>
          <t>chart reproduction</t>
        </is>
      </c>
      <c r="D22" s="7" t="n"/>
      <c r="E22" s="7" t="n"/>
      <c r="F22" s="7" t="n">
        <v>6</v>
      </c>
      <c r="G22" s="7" t="inlineStr">
        <is>
          <t>spring 1034 B.C.E.–fall 1027 B.C.E.</t>
        </is>
      </c>
      <c r="H22" s="7" t="inlineStr">
        <is>
          <t>607 B.C.E., Ab 10</t>
        </is>
      </c>
      <c r="I22" s="2" t="inlineStr">
        <is>
          <t>NWT Appendix B8 illustrates the temple built by Solomon and its features (Most Holy, Holy, the pillars Jachin and Boaz, porch, copper altar, Sea of cast metal, carriages, courtyards). Its timeline marks the temple’s inauguration (1026 B.C.E.) and its destruction (607 B.C.E.).</t>
        </is>
      </c>
      <c r="J22" s="7" t="inlineStr">
        <is>
          <t>B8 Temple Built by Solomon</t>
        </is>
      </c>
      <c r="K22" s="9" t="inlineStr">
        <is>
          <t>open</t>
        </is>
      </c>
      <c r="L22" s="10" t="n"/>
      <c r="M22" s="10" t="n"/>
    </row>
    <row r="23">
      <c r="A23" s="7" t="inlineStr">
        <is>
          <t>wheat-and-weeds</t>
        </is>
      </c>
      <c r="B23" s="2" t="inlineStr">
        <is>
          <t>The wheat and the weeds</t>
        </is>
      </c>
      <c r="C23" s="7" t="inlineStr">
        <is>
          <t>prophecy fulfillment</t>
        </is>
      </c>
      <c r="D23" s="7" t="inlineStr">
        <is>
          <t>Yes</t>
        </is>
      </c>
      <c r="E23" s="7" t="n"/>
      <c r="F23" s="7" t="n">
        <v>28</v>
      </c>
      <c r="G23" s="7" t="inlineStr">
        <is>
          <t>a. 443 B.C.E.</t>
        </is>
      </c>
      <c r="H23" s="7" t="inlineStr">
        <is>
          <t>Future (undated)</t>
        </is>
      </c>
      <c r="I23" s="2" t="inlineStr">
        <is>
          <t>Jesus’ illustration of the wheat and the weeds (Matt. 13:24-30, 36-43) as explained in The Watchtower of July 15, 2013 and its chart “The Wheat and the Weeds”: the sowing of the wheat class began at Pentecost 33 C.E.; the weeds, imitation Christians, appeared at the dawn of the second century and outnumbered the anointed by the fourth; the harvest season began in 1914, with Jesus’ inspection from 1914 to early 1919; since 1919 the wheat has been gathered into the restored congregation. Still future: the weeping and gnashing of teeth, the weeds pitched into the fiery furnace at Armageddon, and the righteous shining brightly in the Kingdom.</t>
        </is>
      </c>
      <c r="J23" s="7" t="inlineStr">
        <is>
          <t>“Look! I Am With You All the Days”</t>
        </is>
      </c>
      <c r="K23" s="9" t="inlineStr">
        <is>
          <t>open</t>
        </is>
      </c>
      <c r="L23" s="10" t="n"/>
      <c r="M23" s="10" t="n"/>
    </row>
    <row r="24">
      <c r="A24" s="7" t="inlineStr">
        <is>
          <t>world-powers-daniel</t>
        </is>
      </c>
      <c r="B24" s="2" t="inlineStr">
        <is>
          <t>World Powers Foretold by Daniel</t>
        </is>
      </c>
      <c r="C24" s="7" t="inlineStr">
        <is>
          <t>world powers</t>
        </is>
      </c>
      <c r="D24" s="7" t="inlineStr">
        <is>
          <t>Yes</t>
        </is>
      </c>
      <c r="E24" s="7" t="n"/>
      <c r="F24" s="7" t="n">
        <v>22</v>
      </c>
      <c r="G24" s="7" t="inlineStr">
        <is>
          <t>607 B.C.E.–539 B.C.E.</t>
        </is>
      </c>
      <c r="H24" s="7" t="inlineStr">
        <is>
          <t>Future (undated)</t>
        </is>
      </c>
      <c r="I24" s="2" t="inlineStr">
        <is>
          <t>The succession of world powers pictured by the immense image of Daniel 2, the four beasts of Daniel 7 and the ram and goat of Daniel 8: Babylon, Medo-Persia, Greece, Rome and Anglo-America, as laid out in NWT Appendix B9. The series ends with the stone cut out of the mountain, God’s Kingdom, established in 1914, which will crush these kingdoms at Armageddon.</t>
        </is>
      </c>
      <c r="J24" s="7" t="inlineStr">
        <is>
          <t>B9 World Powers Foretold by Daniel</t>
        </is>
      </c>
      <c r="K24" s="9" t="inlineStr">
        <is>
          <t>open</t>
        </is>
      </c>
      <c r="L24" s="10" t="n"/>
      <c r="M24" s="10" t="n"/>
    </row>
    <row r="25">
      <c r="A25" s="7" t="inlineStr">
        <is>
          <t>bible-books-written</t>
        </is>
      </c>
      <c r="B25" s="2" t="inlineStr">
        <is>
          <t>The 66 Bible books: when writing was completed</t>
        </is>
      </c>
      <c r="C25" s="7" t="inlineStr">
        <is>
          <t>theme</t>
        </is>
      </c>
      <c r="D25" s="7" t="n"/>
      <c r="E25" s="7" t="inlineStr">
        <is>
          <t>Yes</t>
        </is>
      </c>
      <c r="F25" s="7" t="n">
        <v>66</v>
      </c>
      <c r="G25" s="7" t="inlineStr">
        <is>
          <t>1513 B.C.E.</t>
        </is>
      </c>
      <c r="H25" s="7" t="inlineStr">
        <is>
          <t>c. 98 C.E.</t>
        </is>
      </c>
      <c r="I25" s="2" t="inlineStr">
        <is>
          <t>When each of the 66 books of the Bible was completed, in canonical order (NWT Table of the Books of the Bible).</t>
        </is>
      </c>
      <c r="J25" s="7" t="inlineStr">
        <is>
          <t>Table of the Books of the Bible</t>
        </is>
      </c>
      <c r="K25" s="9" t="inlineStr">
        <is>
          <t>open</t>
        </is>
      </c>
      <c r="L25" s="10" t="n"/>
      <c r="M25" s="10" t="n"/>
    </row>
    <row r="26">
      <c r="A26" s="7" t="inlineStr">
        <is>
          <t>governing-body</t>
        </is>
      </c>
      <c r="B26" s="2" t="inlineStr">
        <is>
          <t>Members of the Governing Body</t>
        </is>
      </c>
      <c r="C26" s="7" t="inlineStr">
        <is>
          <t>succession</t>
        </is>
      </c>
      <c r="D26" s="7" t="n"/>
      <c r="E26" s="7" t="inlineStr">
        <is>
          <t>Yes</t>
        </is>
      </c>
      <c r="F26" s="7" t="n">
        <v>16</v>
      </c>
      <c r="G26" s="7" t="inlineStr">
        <is>
          <t>late 1974–June 9, 2010</t>
        </is>
      </c>
      <c r="H26" s="7" t="inlineStr">
        <is>
          <t>October 5, 2024–</t>
        </is>
      </c>
      <c r="I26" s="2" t="inlineStr">
        <is>
          <t>Tenures of Governing Body members that jw.org dates.</t>
        </is>
      </c>
      <c r="J26" s="7" t="inlineStr">
        <is>
          <t>Two New Members of the Governing Body</t>
        </is>
      </c>
      <c r="K26" s="9" t="inlineStr">
        <is>
          <t>open</t>
        </is>
      </c>
      <c r="L26" s="10" t="n"/>
      <c r="M26" s="10" t="n"/>
    </row>
    <row r="27">
      <c r="A27" s="7" t="inlineStr">
        <is>
          <t>judges-of-israel</t>
        </is>
      </c>
      <c r="B27" s="2" t="inlineStr">
        <is>
          <t>Judges of Israel</t>
        </is>
      </c>
      <c r="C27" s="7" t="inlineStr">
        <is>
          <t>succession</t>
        </is>
      </c>
      <c r="D27" s="7" t="n"/>
      <c r="E27" s="7" t="inlineStr">
        <is>
          <t>Yes</t>
        </is>
      </c>
      <c r="F27" s="7" t="n">
        <v>12</v>
      </c>
      <c r="G27" s="7" t="inlineStr">
        <is>
          <t>Period of the Judges (c. 1450–c. 1120 B.C.E.; date not stated)</t>
        </is>
      </c>
      <c r="H27" s="7" t="inlineStr">
        <is>
          <t>Period of the Judges (c. 1450–c. 1120 B.C.E.; date not stated)</t>
        </is>
      </c>
      <c r="I27" s="2" t="inlineStr">
        <is>
          <t>Judges who delivered Israel between the conquest and the kings. Most of their years are not stated on jw.org; the order follows the book of Judges.</t>
        </is>
      </c>
      <c r="J27" s="7" t="inlineStr">
        <is>
          <t>B6 Settlement of the Promised Land</t>
        </is>
      </c>
      <c r="K27" s="9" t="inlineStr">
        <is>
          <t>open</t>
        </is>
      </c>
      <c r="L27" s="10" t="n"/>
      <c r="M27" s="10" t="n"/>
    </row>
    <row r="28">
      <c r="A28" s="7" t="inlineStr">
        <is>
          <t>kings-of-israel</t>
        </is>
      </c>
      <c r="B28" s="2" t="inlineStr">
        <is>
          <t>Kings of Israel</t>
        </is>
      </c>
      <c r="C28" s="7" t="inlineStr">
        <is>
          <t>succession</t>
        </is>
      </c>
      <c r="D28" s="7" t="n"/>
      <c r="E28" s="7" t="inlineStr">
        <is>
          <t>Yes</t>
        </is>
      </c>
      <c r="F28" s="7" t="n">
        <v>19</v>
      </c>
      <c r="G28" s="7" t="inlineStr">
        <is>
          <t>997 B.C.E. – c. 976 B.C.E.</t>
        </is>
      </c>
      <c r="H28" s="7" t="inlineStr">
        <is>
          <t>c. 758 B.C.E. – 740 B.C.E.</t>
        </is>
      </c>
      <c r="I28" s="2" t="inlineStr">
        <is>
          <t>The kings of the northern ten-tribe kingdom of Israel, 997–740 B.C.E., in the order of NWT Appendix A6.</t>
        </is>
      </c>
      <c r="J28" s="7" t="inlineStr">
        <is>
          <t>Study Number 3—Measuring Events in the Stream of Time</t>
        </is>
      </c>
      <c r="K28" s="9" t="inlineStr">
        <is>
          <t>open</t>
        </is>
      </c>
      <c r="L28" s="10" t="n"/>
      <c r="M28" s="10" t="n"/>
    </row>
    <row r="29">
      <c r="A29" s="7" t="inlineStr">
        <is>
          <t>kings-of-judah</t>
        </is>
      </c>
      <c r="B29" s="2" t="inlineStr">
        <is>
          <t>Kings of Judah</t>
        </is>
      </c>
      <c r="C29" s="7" t="inlineStr">
        <is>
          <t>succession</t>
        </is>
      </c>
      <c r="D29" s="7" t="n"/>
      <c r="E29" s="7" t="inlineStr">
        <is>
          <t>Yes</t>
        </is>
      </c>
      <c r="F29" s="7" t="n">
        <v>20</v>
      </c>
      <c r="G29" s="7" t="inlineStr">
        <is>
          <t>997 B.C.E. – 980 B.C.E.</t>
        </is>
      </c>
      <c r="H29" s="7" t="inlineStr">
        <is>
          <t>617 B.C.E. – 607 B.C.E.</t>
        </is>
      </c>
      <c r="I29" s="2" t="inlineStr">
        <is>
          <t>The kings of the southern two-tribe kingdom of Judah, 997–607 B.C.E., in the order of NWT Appendix A6.</t>
        </is>
      </c>
      <c r="J29" s="7" t="inlineStr">
        <is>
          <t>Study Number 3—Measuring Events in the Stream of Time</t>
        </is>
      </c>
      <c r="K29" s="9" t="inlineStr">
        <is>
          <t>open</t>
        </is>
      </c>
      <c r="L29" s="10" t="n"/>
      <c r="M29" s="10" t="n"/>
    </row>
    <row r="30">
      <c r="A30" s="7" t="inlineStr">
        <is>
          <t>post-flood-patriarchs</t>
        </is>
      </c>
      <c r="B30" s="2" t="inlineStr">
        <is>
          <t>Lives of the patriarchs after the Flood</t>
        </is>
      </c>
      <c r="C30" s="7" t="inlineStr">
        <is>
          <t>lineage</t>
        </is>
      </c>
      <c r="D30" s="7" t="n"/>
      <c r="E30" s="7" t="inlineStr">
        <is>
          <t>Yes</t>
        </is>
      </c>
      <c r="F30" s="7" t="n">
        <v>10</v>
      </c>
      <c r="G30" s="7" t="inlineStr">
        <is>
          <t>2468 B.C.E. – 1868 B.C.E.</t>
        </is>
      </c>
      <c r="H30" s="7" t="inlineStr">
        <is>
          <t>1767 B.C.E. – 1657 B.C.E.</t>
        </is>
      </c>
      <c r="I30" s="2" t="inlineStr">
        <is>
          <t>From Shem to Joseph: lifespans dated from Genesis 11 and the patriarch accounts.</t>
        </is>
      </c>
      <c r="J30" s="7" t="inlineStr">
        <is>
          <t>Study Number 3—Measuring Events in the Stream of Time</t>
        </is>
      </c>
      <c r="K30" s="9" t="inlineStr">
        <is>
          <t>open</t>
        </is>
      </c>
      <c r="L30" s="10" t="n"/>
      <c r="M30" s="10" t="n"/>
    </row>
    <row r="31">
      <c r="A31" s="7" t="inlineStr">
        <is>
          <t>pre-flood-patriarchs</t>
        </is>
      </c>
      <c r="B31" s="2" t="inlineStr">
        <is>
          <t>Lives of the patriarchs before the Flood</t>
        </is>
      </c>
      <c r="C31" s="7" t="inlineStr">
        <is>
          <t>lineage</t>
        </is>
      </c>
      <c r="D31" s="7" t="n"/>
      <c r="E31" s="7" t="inlineStr">
        <is>
          <t>Yes</t>
        </is>
      </c>
      <c r="F31" s="7" t="n">
        <v>6</v>
      </c>
      <c r="G31" s="7" t="inlineStr">
        <is>
          <t>4026 B.C.E. – 3096 B.C.E.</t>
        </is>
      </c>
      <c r="H31" s="7" t="inlineStr">
        <is>
          <t>2970 B.C.E. – 2020 B.C.E.</t>
        </is>
      </c>
      <c r="I31" s="2" t="inlineStr">
        <is>
          <t>The overlapping long lives from Adam to Noah, from Genesis 5 as dated in 'All Scripture Is Inspired' Study 3.</t>
        </is>
      </c>
      <c r="J31" s="7" t="inlineStr">
        <is>
          <t>Study Number 3—Measuring Events in the Stream of Time</t>
        </is>
      </c>
      <c r="K31" s="9" t="inlineStr">
        <is>
          <t>open</t>
        </is>
      </c>
      <c r="L31" s="10" t="n"/>
      <c r="M31" s="10" t="n"/>
    </row>
    <row r="32">
      <c r="A32" s="7" t="inlineStr">
        <is>
          <t>roman-emperors</t>
        </is>
      </c>
      <c r="B32" s="2" t="inlineStr">
        <is>
          <t>Roman emperors of the first century</t>
        </is>
      </c>
      <c r="C32" s="7" t="inlineStr">
        <is>
          <t>succession</t>
        </is>
      </c>
      <c r="D32" s="7" t="n"/>
      <c r="E32" s="7" t="inlineStr">
        <is>
          <t>Yes</t>
        </is>
      </c>
      <c r="F32" s="7" t="n">
        <v>11</v>
      </c>
      <c r="G32" s="7" t="inlineStr">
        <is>
          <t>31 B.C.E.–14 C.E.</t>
        </is>
      </c>
      <c r="H32" s="7" t="inlineStr">
        <is>
          <t>98-117 C.E.</t>
        </is>
      </c>
      <c r="I32" s="2" t="inlineStr">
        <is>
          <t>Roman emperors from Augustus to Trajan, covering the life of Jesus and the apostolic period.</t>
        </is>
      </c>
      <c r="J32" s="7" t="inlineStr">
        <is>
          <t>Caesar</t>
        </is>
      </c>
      <c r="K32" s="9" t="inlineStr">
        <is>
          <t>open</t>
        </is>
      </c>
      <c r="L32" s="10" t="n"/>
      <c r="M32" s="10" t="n"/>
    </row>
    <row r="33">
      <c r="A33" s="7" t="inlineStr">
        <is>
          <t>rulers-of-persia</t>
        </is>
      </c>
      <c r="B33" s="2" t="inlineStr">
        <is>
          <t>Rulers of Persia in the Bible record</t>
        </is>
      </c>
      <c r="C33" s="7" t="inlineStr">
        <is>
          <t>succession</t>
        </is>
      </c>
      <c r="D33" s="7" t="n"/>
      <c r="E33" s="7" t="inlineStr">
        <is>
          <t>Yes</t>
        </is>
      </c>
      <c r="F33" s="7" t="n">
        <v>4</v>
      </c>
      <c r="G33" s="7" t="inlineStr">
        <is>
          <t>560/559 B.C.E.–530 B.C.E.</t>
        </is>
      </c>
      <c r="H33" s="7" t="inlineStr">
        <is>
          <t>475 B.C.E.–424 B.C.E.</t>
        </is>
      </c>
      <c r="I33" s="2" t="inlineStr">
        <is>
          <t>Persian kings who appear in the Bible record, from Cyrus the Great to Artaxerxes I.</t>
        </is>
      </c>
      <c r="J33" s="7" t="inlineStr">
        <is>
          <t>Persia, Persians</t>
        </is>
      </c>
      <c r="K33" s="9" t="inlineStr">
        <is>
          <t>open</t>
        </is>
      </c>
      <c r="L33" s="10" t="n"/>
      <c r="M33" s="10" t="n"/>
    </row>
    <row r="34">
      <c r="A34" s="7" t="inlineStr">
        <is>
          <t>united-kingdom</t>
        </is>
      </c>
      <c r="B34" s="2" t="inlineStr">
        <is>
          <t>Kings of the united kingdom of Israel</t>
        </is>
      </c>
      <c r="C34" s="7" t="inlineStr">
        <is>
          <t>succession</t>
        </is>
      </c>
      <c r="D34" s="7" t="n"/>
      <c r="E34" s="7" t="inlineStr">
        <is>
          <t>Yes</t>
        </is>
      </c>
      <c r="F34" s="7" t="n">
        <v>3</v>
      </c>
      <c r="G34" s="7" t="inlineStr">
        <is>
          <t>1117 B.C.E.–1077 B.C.E.</t>
        </is>
      </c>
      <c r="H34" s="7" t="inlineStr">
        <is>
          <t>1037-998 B.C.E.</t>
        </is>
      </c>
      <c r="I34" s="2" t="inlineStr">
        <is>
          <t>Saul, David and Solomon ruled all twelve tribes, 1117–997 B.C.E.</t>
        </is>
      </c>
      <c r="J34" s="7" t="inlineStr">
        <is>
          <t>Chronology</t>
        </is>
      </c>
      <c r="K34" s="9" t="inlineStr">
        <is>
          <t>open</t>
        </is>
      </c>
      <c r="L34" s="10" t="n"/>
      <c r="M34" s="10" t="n"/>
    </row>
    <row r="35">
      <c r="A35" s="7" t="inlineStr">
        <is>
          <t>watch-tower-presidents</t>
        </is>
      </c>
      <c r="B35" s="2" t="inlineStr">
        <is>
          <t>Presidents of the Watch Tower Society</t>
        </is>
      </c>
      <c r="C35" s="7" t="inlineStr">
        <is>
          <t>succession</t>
        </is>
      </c>
      <c r="D35" s="7" t="n"/>
      <c r="E35" s="7" t="inlineStr">
        <is>
          <t>Yes</t>
        </is>
      </c>
      <c r="F35" s="7" t="n">
        <v>5</v>
      </c>
      <c r="G35" s="7" t="inlineStr">
        <is>
          <t>1884–October 31, 1916</t>
        </is>
      </c>
      <c r="H35" s="7" t="inlineStr">
        <is>
          <t>December 30, 1992–(end not dated)</t>
        </is>
      </c>
      <c r="I35" s="2" t="inlineStr">
        <is>
          <t>The presidents of the Watch Tower Bible and Tract Society from C. T. Russell onward.</t>
        </is>
      </c>
      <c r="J35" s="7" t="inlineStr">
        <is>
          <t>Noteworthy Events in the Modern-day History of Jehovah’s Witnesses</t>
        </is>
      </c>
      <c r="K35" s="9" t="inlineStr">
        <is>
          <t>open</t>
        </is>
      </c>
      <c r="L35" s="10" t="n"/>
      <c r="M35" s="10" t="n"/>
    </row>
  </sheetData>
  <autoFilter ref="A1:M35"/>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7" customWidth="1" min="2" max="2"/>
    <col width="16" customWidth="1" min="3" max="3"/>
    <col width="18" customWidth="1" min="4" max="4"/>
    <col width="46" customWidth="1" min="5" max="5"/>
    <col width="10" customWidth="1" min="6" max="6"/>
    <col width="7" customWidth="1" min="7" max="7"/>
    <col width="24" customWidth="1" min="8" max="8"/>
    <col width="46" customWidth="1" min="9" max="9"/>
    <col width="22" customWidth="1" min="10" max="10"/>
    <col width="22" customWidth="1" min="11" max="11"/>
    <col width="36" customWidth="1" min="12" max="12"/>
    <col width="36" customWidth="1" min="13" max="13"/>
  </cols>
  <sheetData>
    <row r="1" ht="32" customHeight="1">
      <c r="A1" s="6" t="inlineStr">
        <is>
          <t>Series ID</t>
        </is>
      </c>
      <c r="B1" s="6" t="inlineStr">
        <is>
          <t>Order</t>
        </is>
      </c>
      <c r="C1" s="6" t="inlineStr">
        <is>
          <t>Role</t>
        </is>
      </c>
      <c r="D1" s="6" t="inlineStr">
        <is>
          <t>Group</t>
        </is>
      </c>
      <c r="E1" s="6" t="inlineStr">
        <is>
          <t>Caption in series</t>
        </is>
      </c>
      <c r="F1" s="6" t="inlineStr">
        <is>
          <t>Record ID</t>
        </is>
      </c>
      <c r="G1" s="6" t="inlineStr">
        <is>
          <t>Type</t>
        </is>
      </c>
      <c r="H1" s="6" t="inlineStr">
        <is>
          <t>Date (as printed)</t>
        </is>
      </c>
      <c r="I1" s="6" t="inlineStr">
        <is>
          <t>Record title</t>
        </is>
      </c>
      <c r="J1" s="6" t="inlineStr">
        <is>
          <t>Pairs with</t>
        </is>
      </c>
      <c r="K1" s="6" t="inlineStr">
        <is>
          <t>Scriptures for this step</t>
        </is>
      </c>
      <c r="L1" s="6" t="inlineStr">
        <is>
          <t>Note</t>
        </is>
      </c>
      <c r="M1" s="6" t="inlineStr">
        <is>
          <t>✎ Comment</t>
        </is>
      </c>
    </row>
    <row r="2">
      <c r="A2" s="15" t="inlineStr">
        <is>
          <t>conquest-of-canaan</t>
        </is>
      </c>
      <c r="B2" s="15" t="n">
        <v>1</v>
      </c>
      <c r="C2" s="15" t="inlineStr">
        <is>
          <t>context</t>
        </is>
      </c>
      <c r="D2" s="15" t="n"/>
      <c r="E2" s="15" t="n"/>
      <c r="F2" s="15" t="inlineStr">
        <is>
          <t>b2-0035</t>
        </is>
      </c>
      <c r="G2" s="15" t="inlineStr">
        <is>
          <t>Point</t>
        </is>
      </c>
      <c r="H2" s="15" t="inlineStr">
        <is>
          <t>c. 1474 B.C.E.</t>
        </is>
      </c>
      <c r="I2" s="15" t="inlineStr">
        <is>
          <t>Amorite kingdoms east of the Jordan conquered</t>
        </is>
      </c>
      <c r="J2" s="15" t="n"/>
      <c r="K2" s="15" t="n"/>
      <c r="L2" s="15" t="inlineStr">
        <is>
          <t>Amorites (Sihon) and Amorites (Og) east of the Jordan are on the map.</t>
        </is>
      </c>
      <c r="M2" s="16" t="n"/>
    </row>
    <row r="3">
      <c r="A3" s="15" t="inlineStr">
        <is>
          <t>conquest-of-canaan</t>
        </is>
      </c>
      <c r="B3" s="15" t="n">
        <v>2</v>
      </c>
      <c r="C3" s="15" t="inlineStr">
        <is>
          <t>item</t>
        </is>
      </c>
      <c r="D3" s="15" t="n"/>
      <c r="E3" s="15" t="inlineStr">
        <is>
          <t>Israel enters Canaan</t>
        </is>
      </c>
      <c r="F3" s="15" t="inlineStr">
        <is>
          <t>b2-0045</t>
        </is>
      </c>
      <c r="G3" s="15" t="inlineStr">
        <is>
          <t>Point</t>
        </is>
      </c>
      <c r="H3" s="15" t="inlineStr">
        <is>
          <t>1473 B.C.E., Nisan 10</t>
        </is>
      </c>
      <c r="I3" s="15" t="inlineStr">
        <is>
          <t>Israel crosses the Jordan and enters Canaan under Joshua</t>
        </is>
      </c>
      <c r="J3" s="15" t="n"/>
      <c r="K3" s="15" t="n"/>
      <c r="L3" s="15" t="inlineStr">
        <is>
          <t>Shown on the timeline of the map.</t>
        </is>
      </c>
      <c r="M3" s="16" t="n"/>
    </row>
    <row r="4">
      <c r="A4" s="15" t="inlineStr">
        <is>
          <t>conquest-of-canaan</t>
        </is>
      </c>
      <c r="B4" s="15" t="n">
        <v>3</v>
      </c>
      <c r="C4" s="15" t="inlineStr">
        <is>
          <t>context</t>
        </is>
      </c>
      <c r="D4" s="15" t="n"/>
      <c r="E4" s="15" t="n"/>
      <c r="F4" s="15" t="inlineStr">
        <is>
          <t>b12-0008</t>
        </is>
      </c>
      <c r="G4" s="15" t="inlineStr">
        <is>
          <t>Span</t>
        </is>
      </c>
      <c r="H4" s="15" t="inlineStr">
        <is>
          <t>1473 B.C.E.–1467 B.C.E.</t>
        </is>
      </c>
      <c r="I4" s="15" t="inlineStr">
        <is>
          <t>Israel’s conquest of Canaan under Joshua</t>
        </is>
      </c>
      <c r="J4" s="15" t="n"/>
      <c r="K4" s="15" t="n"/>
      <c r="L4" s="15" t="inlineStr">
        <is>
          <t>The conquest period the map’s campaign routes illustrate.</t>
        </is>
      </c>
      <c r="M4" s="16" t="n"/>
    </row>
    <row r="5">
      <c r="A5" s="15" t="inlineStr">
        <is>
          <t>conquest-of-canaan</t>
        </is>
      </c>
      <c r="B5" s="15" t="n">
        <v>4</v>
      </c>
      <c r="C5" s="15" t="inlineStr">
        <is>
          <t>context</t>
        </is>
      </c>
      <c r="D5" s="15" t="n"/>
      <c r="E5" s="15" t="n"/>
      <c r="F5" s="15" t="inlineStr">
        <is>
          <t>b2-0046</t>
        </is>
      </c>
      <c r="G5" s="15" t="inlineStr">
        <is>
          <t>Span</t>
        </is>
      </c>
      <c r="H5" s="15" t="inlineStr">
        <is>
          <t>1473 B.C.E., Nisan 11-13</t>
        </is>
      </c>
      <c r="I5" s="15" t="inlineStr">
        <is>
          <t>Israelite males circumcised at Gilgal</t>
        </is>
      </c>
      <c r="J5" s="15" t="n"/>
      <c r="K5" s="15" t="n"/>
      <c r="L5" s="15" t="inlineStr">
        <is>
          <t>Gilgal is on the campaign route.</t>
        </is>
      </c>
      <c r="M5" s="16" t="n"/>
    </row>
    <row r="6">
      <c r="A6" s="15" t="inlineStr">
        <is>
          <t>conquest-of-canaan</t>
        </is>
      </c>
      <c r="B6" s="15" t="n">
        <v>5</v>
      </c>
      <c r="C6" s="15" t="inlineStr">
        <is>
          <t>context</t>
        </is>
      </c>
      <c r="D6" s="15" t="n"/>
      <c r="E6" s="15" t="n"/>
      <c r="F6" s="15" t="inlineStr">
        <is>
          <t>b2-0049</t>
        </is>
      </c>
      <c r="G6" s="15" t="inlineStr">
        <is>
          <t>Point</t>
        </is>
      </c>
      <c r="H6" s="15" t="inlineStr">
        <is>
          <t>1473 B.C.E.</t>
        </is>
      </c>
      <c r="I6" s="15" t="inlineStr">
        <is>
          <t>Fall of Jericho</t>
        </is>
      </c>
      <c r="J6" s="15" t="n"/>
      <c r="K6" s="15" t="n"/>
      <c r="L6" s="15" t="inlineStr">
        <is>
          <t>Jericho is on the campaign route.</t>
        </is>
      </c>
      <c r="M6" s="16" t="n"/>
    </row>
    <row r="7">
      <c r="A7" s="15" t="inlineStr">
        <is>
          <t>conquest-of-canaan</t>
        </is>
      </c>
      <c r="B7" s="15" t="n">
        <v>6</v>
      </c>
      <c r="C7" s="15" t="inlineStr">
        <is>
          <t>context</t>
        </is>
      </c>
      <c r="D7" s="15" t="n"/>
      <c r="E7" s="15" t="n"/>
      <c r="F7" s="15" t="inlineStr">
        <is>
          <t>b2-0050</t>
        </is>
      </c>
      <c r="G7" s="15" t="inlineStr">
        <is>
          <t>Point</t>
        </is>
      </c>
      <c r="H7" s="15" t="inlineStr">
        <is>
          <t>1473 B.C.E.</t>
        </is>
      </c>
      <c r="I7" s="15" t="inlineStr">
        <is>
          <t>Defeat at Ai, then Ai captured</t>
        </is>
      </c>
      <c r="J7" s="15" t="n"/>
      <c r="K7" s="15" t="n"/>
      <c r="L7" s="15" t="inlineStr">
        <is>
          <t>Ai is on the campaign route.</t>
        </is>
      </c>
      <c r="M7" s="16" t="n"/>
    </row>
    <row r="8">
      <c r="A8" s="15" t="inlineStr">
        <is>
          <t>conquest-of-canaan</t>
        </is>
      </c>
      <c r="B8" s="15" t="n">
        <v>7</v>
      </c>
      <c r="C8" s="15" t="inlineStr">
        <is>
          <t>item</t>
        </is>
      </c>
      <c r="D8" s="15" t="n"/>
      <c r="E8" s="15" t="inlineStr">
        <is>
          <t>Major conquest of the land completed</t>
        </is>
      </c>
      <c r="F8" s="15" t="inlineStr">
        <is>
          <t>b2-0051</t>
        </is>
      </c>
      <c r="G8" s="15" t="inlineStr">
        <is>
          <t>Point</t>
        </is>
      </c>
      <c r="H8" s="15" t="inlineStr">
        <is>
          <t>1467 B.C.E.</t>
        </is>
      </c>
      <c r="I8" s="15" t="inlineStr">
        <is>
          <t>Major conquest of the land completed</t>
        </is>
      </c>
      <c r="J8" s="15" t="n"/>
      <c r="K8" s="15" t="n"/>
      <c r="L8" s="15" t="inlineStr">
        <is>
          <t>Shown on the timeline of the map.</t>
        </is>
      </c>
      <c r="M8" s="16" t="n"/>
    </row>
    <row r="9">
      <c r="A9" s="15" t="inlineStr">
        <is>
          <t>covenants</t>
        </is>
      </c>
      <c r="B9" s="15" t="n">
        <v>1</v>
      </c>
      <c r="C9" s="15" t="inlineStr">
        <is>
          <t>start</t>
        </is>
      </c>
      <c r="D9" s="15" t="inlineStr">
        <is>
          <t>The Edenic promise</t>
        </is>
      </c>
      <c r="E9" s="15" t="inlineStr">
        <is>
          <t>Jehovah responds to Satan’s challenge with the Edenic promise</t>
        </is>
      </c>
      <c r="F9" s="15" t="inlineStr">
        <is>
          <t>b1-0002</t>
        </is>
      </c>
      <c r="G9" s="15" t="inlineStr">
        <is>
          <t>Point</t>
        </is>
      </c>
      <c r="H9" s="15" t="inlineStr">
        <is>
          <t>a. 4026 B.C.E.</t>
        </is>
      </c>
      <c r="I9" s="15" t="inlineStr">
        <is>
          <t>Edenic covenant made; first prophecy</t>
        </is>
      </c>
      <c r="J9" s="15" t="n"/>
      <c r="K9" s="15" t="inlineStr">
        <is>
          <t>Gen. 3:15</t>
        </is>
      </c>
      <c r="L9" s="15" t="inlineStr">
        <is>
          <t>w14 10/15 pp. 7-12 par. 6: “the wise Creator responded with a profound prophecy​—the Edenic promise.”</t>
        </is>
      </c>
      <c r="M9" s="16" t="n"/>
    </row>
    <row r="10">
      <c r="A10" s="15" t="inlineStr">
        <is>
          <t>covenants</t>
        </is>
      </c>
      <c r="B10" s="15" t="n">
        <v>2</v>
      </c>
      <c r="C10" s="15" t="inlineStr">
        <is>
          <t>start</t>
        </is>
      </c>
      <c r="D10" s="15" t="inlineStr">
        <is>
          <t>Abrahamic covenant</t>
        </is>
      </c>
      <c r="E10" s="15" t="inlineStr">
        <is>
          <t>It went into effect in 1943 B.C.E., when 75-year-old Abraham left Haran and crossed the Euphrates River</t>
        </is>
      </c>
      <c r="F10" s="15" t="inlineStr">
        <is>
          <t>b1-0037</t>
        </is>
      </c>
      <c r="G10" s="15" t="inlineStr">
        <is>
          <t>Point</t>
        </is>
      </c>
      <c r="H10" s="15" t="inlineStr">
        <is>
          <t>1943 B.C.E.</t>
        </is>
      </c>
      <c r="I10" s="15" t="inlineStr">
        <is>
          <t>Abrahamic covenant validated; 430-year period to the Law covenant begins</t>
        </is>
      </c>
      <c r="J10" s="15" t="n"/>
      <c r="K10" s="15" t="inlineStr">
        <is>
          <t>Gen. 12:1-3; Acts 7:2, 3</t>
        </is>
      </c>
      <c r="L10" s="15" t="inlineStr">
        <is>
          <t>Insight “Covenant”: evidently Nisan 14, 1943 B.C.E.</t>
        </is>
      </c>
      <c r="M10" s="16" t="n"/>
    </row>
    <row r="11">
      <c r="A11" s="15" t="inlineStr">
        <is>
          <t>covenants</t>
        </is>
      </c>
      <c r="B11" s="15" t="n">
        <v>3</v>
      </c>
      <c r="C11" s="15" t="inlineStr">
        <is>
          <t>context</t>
        </is>
      </c>
      <c r="D11" s="15" t="inlineStr">
        <is>
          <t>Abrahamic covenant</t>
        </is>
      </c>
      <c r="E11" s="15" t="inlineStr">
        <is>
          <t>Abraham crosses the Euphrates on his way to Canaan</t>
        </is>
      </c>
      <c r="F11" s="15" t="inlineStr">
        <is>
          <t>b1-0036</t>
        </is>
      </c>
      <c r="G11" s="15" t="inlineStr">
        <is>
          <t>Point</t>
        </is>
      </c>
      <c r="H11" s="15" t="inlineStr">
        <is>
          <t>1943 B.C.E., Nisan 14</t>
        </is>
      </c>
      <c r="I11" s="15" t="inlineStr">
        <is>
          <t>Abraham crosses the Euphrates on his way to Canaan</t>
        </is>
      </c>
      <c r="J11" s="15" t="n"/>
      <c r="K11" s="15" t="inlineStr">
        <is>
          <t>Gen. 12:4-7</t>
        </is>
      </c>
      <c r="L11" s="15" t="n"/>
      <c r="M11" s="16" t="n"/>
    </row>
    <row r="12">
      <c r="A12" s="15" t="inlineStr">
        <is>
          <t>covenants</t>
        </is>
      </c>
      <c r="B12" s="15" t="n">
        <v>4</v>
      </c>
      <c r="C12" s="15" t="inlineStr">
        <is>
          <t>context</t>
        </is>
      </c>
      <c r="D12" s="15" t="inlineStr">
        <is>
          <t>Abrahamic covenant</t>
        </is>
      </c>
      <c r="E12" s="15" t="inlineStr">
        <is>
          <t>The Law covenant was made 430 years later</t>
        </is>
      </c>
      <c r="F12" s="15" t="inlineStr">
        <is>
          <t>b12-0002</t>
        </is>
      </c>
      <c r="G12" s="15" t="inlineStr">
        <is>
          <t>Span</t>
        </is>
      </c>
      <c r="H12" s="15" t="inlineStr">
        <is>
          <t>1943 B.C.E.–1513 B.C.E.</t>
        </is>
      </c>
      <c r="I12" s="15" t="inlineStr">
        <is>
          <t>The 430 years from the Abrahamic covenant to the Law covenant</t>
        </is>
      </c>
      <c r="J12" s="15" t="n"/>
      <c r="K12" s="15" t="inlineStr">
        <is>
          <t>Gal. 3:17</t>
        </is>
      </c>
      <c r="L12" s="15" t="n"/>
      <c r="M12" s="16" t="n"/>
    </row>
    <row r="13">
      <c r="A13" s="15" t="inlineStr">
        <is>
          <t>covenants</t>
        </is>
      </c>
      <c r="B13" s="15" t="n">
        <v>5</v>
      </c>
      <c r="C13" s="15" t="inlineStr">
        <is>
          <t>context</t>
        </is>
      </c>
      <c r="D13" s="15" t="inlineStr">
        <is>
          <t>Abrahamic covenant</t>
        </is>
      </c>
      <c r="E13" s="15" t="inlineStr">
        <is>
          <t>Understanding clarified (2026): the two covenants of Galatians 4:24 were the Law covenant and the Abrahamic covenant</t>
        </is>
      </c>
      <c r="F13" s="15" t="inlineStr">
        <is>
          <t>b9-0461</t>
        </is>
      </c>
      <c r="G13" s="15" t="inlineStr">
        <is>
          <t>Point</t>
        </is>
      </c>
      <c r="H13" s="15" t="inlineStr">
        <is>
          <t>2026</t>
        </is>
      </c>
      <c r="I13" s="15" t="inlineStr">
        <is>
          <t>Understanding clarified: two covenants (Gal. 4:24) were Law covenant and Abrahamic covenant</t>
        </is>
      </c>
      <c r="J13" s="15" t="n"/>
      <c r="K13" s="15" t="inlineStr">
        <is>
          <t>Gal. 4:24</t>
        </is>
      </c>
      <c r="L13" s="15" t="inlineStr">
        <is>
          <t>Watch Tower Publications Index “Beliefs Clarified”: w26.06 31.</t>
        </is>
      </c>
      <c r="M13" s="16" t="n"/>
    </row>
    <row r="14">
      <c r="A14" s="15" t="inlineStr">
        <is>
          <t>covenants</t>
        </is>
      </c>
      <c r="B14" s="15" t="n">
        <v>6</v>
      </c>
      <c r="C14" s="15" t="inlineStr">
        <is>
          <t>start</t>
        </is>
      </c>
      <c r="D14" s="15" t="inlineStr">
        <is>
          <t>Law covenant</t>
        </is>
      </c>
      <c r="E14" s="15" t="inlineStr">
        <is>
          <t>The Law covenant went into effect at Mount Sinai in 1513 B.C.E.</t>
        </is>
      </c>
      <c r="F14" s="15" t="inlineStr">
        <is>
          <t>b2-0022</t>
        </is>
      </c>
      <c r="G14" s="15" t="inlineStr">
        <is>
          <t>Point</t>
        </is>
      </c>
      <c r="H14" s="15" t="inlineStr">
        <is>
          <t>1513 B.C.E., Sivan (3rd month)</t>
        </is>
      </c>
      <c r="I14" s="15" t="inlineStr">
        <is>
          <t>Law covenant made at Mount Sinai (Horeb)</t>
        </is>
      </c>
      <c r="J14" s="15" t="n"/>
      <c r="K14" s="15" t="inlineStr">
        <is>
          <t>Ex. 24:3-8</t>
        </is>
      </c>
      <c r="L14" s="15" t="n"/>
      <c r="M14" s="16" t="n"/>
    </row>
    <row r="15">
      <c r="A15" s="15" t="inlineStr">
        <is>
          <t>covenants</t>
        </is>
      </c>
      <c r="B15" s="15" t="n">
        <v>7</v>
      </c>
      <c r="C15" s="15" t="inlineStr">
        <is>
          <t>context</t>
        </is>
      </c>
      <c r="D15" s="15" t="inlineStr">
        <is>
          <t>Law covenant</t>
        </is>
      </c>
      <c r="E15" s="15" t="inlineStr">
        <is>
          <t>Jehovah foretold through Jeremiah a new covenant; the Law covenant was in a sense made “obsolete”</t>
        </is>
      </c>
      <c r="F15" s="15" t="inlineStr">
        <is>
          <t>b3-0088</t>
        </is>
      </c>
      <c r="G15" s="15" t="inlineStr">
        <is>
          <t>Span</t>
        </is>
      </c>
      <c r="H15" s="15" t="inlineStr">
        <is>
          <t>647–580 B.C.E.</t>
        </is>
      </c>
      <c r="I15" s="15" t="inlineStr">
        <is>
          <t>Prophetic activity of Jeremiah</t>
        </is>
      </c>
      <c r="J15" s="15" t="n"/>
      <c r="K15" s="15" t="inlineStr">
        <is>
          <t>Jer. 31:31-33; Heb. 8:13</t>
        </is>
      </c>
      <c r="L15" s="15" t="inlineStr">
        <is>
          <t>Anchored to Jeremiah’s prophetic activity (647–580 B.C.E.); the prophecy is not dated more closely.</t>
        </is>
      </c>
      <c r="M15" s="16" t="n"/>
    </row>
    <row r="16">
      <c r="A16" s="15" t="inlineStr">
        <is>
          <t>covenants</t>
        </is>
      </c>
      <c r="B16" s="15" t="n">
        <v>8</v>
      </c>
      <c r="C16" s="15" t="inlineStr">
        <is>
          <t>context</t>
        </is>
      </c>
      <c r="D16" s="15" t="inlineStr">
        <is>
          <t>Law covenant</t>
        </is>
      </c>
      <c r="E16" s="15" t="inlineStr">
        <is>
          <t>In 33 C.E. the Law covenant was canceled on the basis of Christ’s death on the torture stake</t>
        </is>
      </c>
      <c r="F16" s="15" t="inlineStr">
        <is>
          <t>b5-0163</t>
        </is>
      </c>
      <c r="G16" s="15" t="inlineStr">
        <is>
          <t>Point</t>
        </is>
      </c>
      <c r="H16" s="15" t="inlineStr">
        <is>
          <t>33 C.E., Nisan 14 (c. 3:00 p.m., Friday)</t>
        </is>
      </c>
      <c r="I16" s="15" t="inlineStr">
        <is>
          <t>Dies on torture stake</t>
        </is>
      </c>
      <c r="J16" s="15" t="n"/>
      <c r="K16" s="15" t="inlineStr">
        <is>
          <t>Col. 2:14</t>
        </is>
      </c>
      <c r="L16" s="15" t="n"/>
      <c r="M16" s="16" t="n"/>
    </row>
    <row r="17">
      <c r="A17" s="15" t="inlineStr">
        <is>
          <t>covenants</t>
        </is>
      </c>
      <c r="B17" s="15" t="n">
        <v>9</v>
      </c>
      <c r="C17" s="15" t="inlineStr">
        <is>
          <t>end</t>
        </is>
      </c>
      <c r="D17" s="15" t="inlineStr">
        <is>
          <t>Law covenant</t>
        </is>
      </c>
      <c r="E17" s="15" t="inlineStr">
        <is>
          <t>It did not actually end until the new covenant went into effect</t>
        </is>
      </c>
      <c r="F17" s="15" t="inlineStr">
        <is>
          <t>b6-0001</t>
        </is>
      </c>
      <c r="G17" s="15" t="inlineStr">
        <is>
          <t>Point</t>
        </is>
      </c>
      <c r="H17" s="15" t="inlineStr">
        <is>
          <t>33 C.E., Sivan 6 (Pentecost)</t>
        </is>
      </c>
      <c r="I17" s="15" t="inlineStr">
        <is>
          <t>Pentecost: holy spirit poured out on the disciples in Jerusalem</t>
        </is>
      </c>
      <c r="J17" s="15" t="n"/>
      <c r="K17" s="15" t="inlineStr">
        <is>
          <t>Heb. 8:13</t>
        </is>
      </c>
      <c r="L17" s="15" t="inlineStr">
        <is>
          <t>w14 10/15 pp. 13-17 par. 11 (newer than Insight); the new covenant went into effect at Pentecost 33 C.E.</t>
        </is>
      </c>
      <c r="M17" s="16" t="n"/>
    </row>
    <row r="18">
      <c r="A18" s="15" t="inlineStr">
        <is>
          <t>covenants</t>
        </is>
      </c>
      <c r="B18" s="15" t="n">
        <v>10</v>
      </c>
      <c r="C18" s="15" t="inlineStr">
        <is>
          <t>start</t>
        </is>
      </c>
      <c r="D18" s="15" t="inlineStr">
        <is>
          <t>Davidic covenant</t>
        </is>
      </c>
      <c r="E18" s="15" t="inlineStr">
        <is>
          <t>Jehovah made this covenant with David during David’s reign in Jerusalem</t>
        </is>
      </c>
      <c r="F18" s="15" t="inlineStr">
        <is>
          <t>b3-0009</t>
        </is>
      </c>
      <c r="G18" s="15" t="inlineStr">
        <is>
          <t>Point</t>
        </is>
      </c>
      <c r="H18" s="15" t="inlineStr">
        <is>
          <t>a. 1070 B.C.E.</t>
        </is>
      </c>
      <c r="I18" s="15" t="inlineStr">
        <is>
          <t>Jehovah makes a covenant with David for a kingdom</t>
        </is>
      </c>
      <c r="J18" s="15" t="n"/>
      <c r="K18" s="15" t="inlineStr">
        <is>
          <t>2 Sam. 7:12, 16</t>
        </is>
      </c>
      <c r="L18" s="15" t="n"/>
      <c r="M18" s="16" t="n"/>
    </row>
    <row r="19">
      <c r="A19" s="15" t="inlineStr">
        <is>
          <t>covenants</t>
        </is>
      </c>
      <c r="B19" s="15" t="n">
        <v>11</v>
      </c>
      <c r="C19" s="15" t="inlineStr">
        <is>
          <t>context</t>
        </is>
      </c>
      <c r="D19" s="15" t="inlineStr">
        <is>
          <t>Davidic covenant</t>
        </is>
      </c>
      <c r="E19" s="15" t="inlineStr">
        <is>
          <t>An heir of David would have “the legal right” to the throne of the Messianic Kingdom</t>
        </is>
      </c>
      <c r="F19" s="15" t="inlineStr">
        <is>
          <t>b3-0112</t>
        </is>
      </c>
      <c r="G19" s="15" t="inlineStr">
        <is>
          <t>Point</t>
        </is>
      </c>
      <c r="H19" s="15" t="inlineStr">
        <is>
          <t>607 B.C.E.</t>
        </is>
      </c>
      <c r="I19" s="15" t="inlineStr">
        <is>
          <t>Zedekiah dethroned — end of the Davidic kings in Jerusalem</t>
        </is>
      </c>
      <c r="J19" s="15" t="n"/>
      <c r="K19" s="15" t="inlineStr">
        <is>
          <t>Ezek. 21:25-27</t>
        </is>
      </c>
      <c r="L19" s="15" t="inlineStr">
        <is>
          <t>b3-0112: the last Davidic king in Jerusalem is dethroned in 607 B.C.E.</t>
        </is>
      </c>
      <c r="M19" s="16" t="n"/>
    </row>
    <row r="20">
      <c r="A20" s="15" t="inlineStr">
        <is>
          <t>covenants</t>
        </is>
      </c>
      <c r="B20" s="15" t="n">
        <v>12</v>
      </c>
      <c r="C20" s="15" t="inlineStr">
        <is>
          <t>context</t>
        </is>
      </c>
      <c r="D20" s="15" t="inlineStr">
        <is>
          <t>Davidic covenant</t>
        </is>
      </c>
      <c r="E20" s="15" t="inlineStr">
        <is>
          <t>Jesus, as David’s heir, has the legal right to the throne of David</t>
        </is>
      </c>
      <c r="F20" s="15" t="inlineStr">
        <is>
          <t>b5-0002</t>
        </is>
      </c>
      <c r="G20" s="15" t="inlineStr">
        <is>
          <t>Point</t>
        </is>
      </c>
      <c r="H20" s="15" t="inlineStr">
        <is>
          <t>c. 2 B.C.E.</t>
        </is>
      </c>
      <c r="I20" s="15" t="inlineStr">
        <is>
          <t>Angel Gabriel foretells the birth of Jesus to Mary</t>
        </is>
      </c>
      <c r="J20" s="15" t="n"/>
      <c r="K20" s="15" t="inlineStr">
        <is>
          <t>Luke 1:30-33</t>
        </is>
      </c>
      <c r="L20" s="15" t="inlineStr">
        <is>
          <t>w14 10/15 pp. 7-12 par. 14 cites Luke 1:30-33 for the promise that the Messiah would be David’s descendant.</t>
        </is>
      </c>
      <c r="M20" s="16" t="n"/>
    </row>
    <row r="21">
      <c r="A21" s="15" t="inlineStr">
        <is>
          <t>covenants</t>
        </is>
      </c>
      <c r="B21" s="15" t="n">
        <v>13</v>
      </c>
      <c r="C21" s="15" t="inlineStr">
        <is>
          <t>context</t>
        </is>
      </c>
      <c r="D21" s="15" t="inlineStr">
        <is>
          <t>Covenant for a priest like Melchizedek</t>
        </is>
      </c>
      <c r="E21" s="15" t="inlineStr">
        <is>
          <t>Melchizedek, the king of Salem, served as “priest of the Most High God”</t>
        </is>
      </c>
      <c r="F21" s="15" t="inlineStr">
        <is>
          <t>b1-0039</t>
        </is>
      </c>
      <c r="G21" s="15" t="inlineStr">
        <is>
          <t>Point</t>
        </is>
      </c>
      <c r="H21" s="15" t="inlineStr">
        <is>
          <t>b. 1933 B.C.E.</t>
        </is>
      </c>
      <c r="I21" s="15" t="inlineStr">
        <is>
          <t>Abraham visits Melchizedek</t>
        </is>
      </c>
      <c r="J21" s="15" t="n"/>
      <c r="K21" s="15" t="inlineStr">
        <is>
          <t>Gen. 14:18; Heb. 7:1-3</t>
        </is>
      </c>
      <c r="L21" s="15" t="n"/>
      <c r="M21" s="16" t="n"/>
    </row>
    <row r="22">
      <c r="A22" s="15" t="inlineStr">
        <is>
          <t>covenants</t>
        </is>
      </c>
      <c r="B22" s="15" t="n">
        <v>14</v>
      </c>
      <c r="C22" s="15" t="inlineStr">
        <is>
          <t>step</t>
        </is>
      </c>
      <c r="D22" s="15" t="inlineStr">
        <is>
          <t>Covenant for a priest like Melchizedek</t>
        </is>
      </c>
      <c r="E22" s="15" t="inlineStr">
        <is>
          <t>Jesus became High Priest when he got baptized in 29 C.E.</t>
        </is>
      </c>
      <c r="F22" s="15" t="inlineStr">
        <is>
          <t>b5-0017</t>
        </is>
      </c>
      <c r="G22" s="15" t="inlineStr">
        <is>
          <t>Point</t>
        </is>
      </c>
      <c r="H22" s="15" t="inlineStr">
        <is>
          <t>29 C.E., fall</t>
        </is>
      </c>
      <c r="I22" s="15" t="inlineStr">
        <is>
          <t>Jesus baptized and anointed; Jehovah declares him his Son and approves him</t>
        </is>
      </c>
      <c r="J22" s="15" t="n"/>
      <c r="K22" s="15" t="inlineStr">
        <is>
          <t>Heb. 5:4-6; Ps. 110:4</t>
        </is>
      </c>
      <c r="L22" s="15" t="n"/>
      <c r="M22" s="16" t="n"/>
    </row>
    <row r="23">
      <c r="A23" s="15" t="inlineStr">
        <is>
          <t>covenants</t>
        </is>
      </c>
      <c r="B23" s="15" t="n">
        <v>15</v>
      </c>
      <c r="C23" s="15" t="inlineStr">
        <is>
          <t>step</t>
        </is>
      </c>
      <c r="D23" s="15" t="inlineStr">
        <is>
          <t>Covenant for a priest like Melchizedek</t>
        </is>
      </c>
      <c r="E23" s="15" t="inlineStr">
        <is>
          <t>As High Priest he passed into “heaven itself”</t>
        </is>
      </c>
      <c r="F23" s="15" t="inlineStr">
        <is>
          <t>b5-0169</t>
        </is>
      </c>
      <c r="G23" s="15" t="inlineStr">
        <is>
          <t>Point</t>
        </is>
      </c>
      <c r="H23" s="15" t="inlineStr">
        <is>
          <t>33 C.E., Iyyar 25</t>
        </is>
      </c>
      <c r="I23" s="15" t="inlineStr">
        <is>
          <t>Jesus’ ascension, 40th day after his resurrection</t>
        </is>
      </c>
      <c r="J23" s="15" t="n"/>
      <c r="K23" s="15" t="inlineStr">
        <is>
          <t>Heb. 9:11, 24</t>
        </is>
      </c>
      <c r="L23" s="15" t="inlineStr">
        <is>
          <t>Insight (1988): “installed permanently into office after his ascension to heaven”; w20.07 (newer): High Priest from his baptism.</t>
        </is>
      </c>
      <c r="M23" s="16" t="n"/>
    </row>
    <row r="24">
      <c r="A24" s="15" t="inlineStr">
        <is>
          <t>covenants</t>
        </is>
      </c>
      <c r="B24" s="15" t="n">
        <v>16</v>
      </c>
      <c r="C24" s="15" t="inlineStr">
        <is>
          <t>step</t>
        </is>
      </c>
      <c r="D24" s="15" t="inlineStr">
        <is>
          <t>New covenant</t>
        </is>
      </c>
      <c r="E24" s="15" t="inlineStr">
        <is>
          <t>Jehovah foretold the new covenant by the prophet Jeremiah in the seventh century B.C.E.</t>
        </is>
      </c>
      <c r="F24" s="15" t="inlineStr">
        <is>
          <t>b3-0088</t>
        </is>
      </c>
      <c r="G24" s="15" t="inlineStr">
        <is>
          <t>Span</t>
        </is>
      </c>
      <c r="H24" s="15" t="inlineStr">
        <is>
          <t>647–580 B.C.E.</t>
        </is>
      </c>
      <c r="I24" s="15" t="inlineStr">
        <is>
          <t>Prophetic activity of Jeremiah</t>
        </is>
      </c>
      <c r="J24" s="15" t="n"/>
      <c r="K24" s="15" t="inlineStr">
        <is>
          <t>Jer. 31:31-34</t>
        </is>
      </c>
      <c r="L24" s="15" t="inlineStr">
        <is>
          <t>Anchored to Jeremiah’s prophetic activity (647–580 B.C.E.).</t>
        </is>
      </c>
      <c r="M24" s="16" t="n"/>
    </row>
    <row r="25">
      <c r="A25" s="15" t="inlineStr">
        <is>
          <t>covenants</t>
        </is>
      </c>
      <c r="B25" s="15" t="n">
        <v>17</v>
      </c>
      <c r="C25" s="15" t="inlineStr">
        <is>
          <t>step</t>
        </is>
      </c>
      <c r="D25" s="15" t="inlineStr">
        <is>
          <t>New covenant</t>
        </is>
      </c>
      <c r="E25" s="15" t="inlineStr">
        <is>
          <t>Jesus instituted the Lord’s Evening Meal on Nisan 14, 33 C.E.: “This cup means the new covenant by virtue of my blood”</t>
        </is>
      </c>
      <c r="F25" s="15" t="inlineStr">
        <is>
          <t>b5-0152</t>
        </is>
      </c>
      <c r="G25" s="15" t="inlineStr">
        <is>
          <t>Point</t>
        </is>
      </c>
      <c r="H25" s="15" t="inlineStr">
        <is>
          <t>33 C.E., Nisan 14</t>
        </is>
      </c>
      <c r="I25" s="15" t="inlineStr">
        <is>
          <t>Institutes the Lord’s Evening Meal</t>
        </is>
      </c>
      <c r="J25" s="15" t="n"/>
      <c r="K25" s="15" t="inlineStr">
        <is>
          <t>Luke 22:20; Matt. 26:27, 28</t>
        </is>
      </c>
      <c r="L25" s="15" t="n"/>
      <c r="M25" s="16" t="n"/>
    </row>
    <row r="26">
      <c r="A26" s="15" t="inlineStr">
        <is>
          <t>covenants</t>
        </is>
      </c>
      <c r="B26" s="15" t="n">
        <v>18</v>
      </c>
      <c r="C26" s="15" t="inlineStr">
        <is>
          <t>step</t>
        </is>
      </c>
      <c r="D26" s="15" t="inlineStr">
        <is>
          <t>New covenant</t>
        </is>
      </c>
      <c r="E26" s="15" t="inlineStr">
        <is>
          <t>Jesus’ blood is poured out</t>
        </is>
      </c>
      <c r="F26" s="15" t="inlineStr">
        <is>
          <t>b5-0163</t>
        </is>
      </c>
      <c r="G26" s="15" t="inlineStr">
        <is>
          <t>Point</t>
        </is>
      </c>
      <c r="H26" s="15" t="inlineStr">
        <is>
          <t>33 C.E., Nisan 14 (c. 3:00 p.m., Friday)</t>
        </is>
      </c>
      <c r="I26" s="15" t="inlineStr">
        <is>
          <t>Dies on torture stake</t>
        </is>
      </c>
      <c r="J26" s="15" t="n"/>
      <c r="K26" s="15" t="inlineStr">
        <is>
          <t>Luke 22:20; Heb. 9:14, 15</t>
        </is>
      </c>
      <c r="L26" s="15" t="inlineStr">
        <is>
          <t>w14 10/15 pp. 13-17 par. 9: “Jesus’ shed blood validates the new covenant.” w20.07 p. 31 (newer): the covenant was validated and inaugurated when Jehovah accepted the value of that blood.</t>
        </is>
      </c>
      <c r="M26" s="16" t="n"/>
    </row>
    <row r="27">
      <c r="A27" s="15" t="inlineStr">
        <is>
          <t>covenants</t>
        </is>
      </c>
      <c r="B27" s="15" t="n">
        <v>19</v>
      </c>
      <c r="C27" s="15" t="inlineStr">
        <is>
          <t>step</t>
        </is>
      </c>
      <c r="D27" s="15" t="inlineStr">
        <is>
          <t>New covenant</t>
        </is>
      </c>
      <c r="E27" s="15" t="inlineStr">
        <is>
          <t>At some point during that short period of time, he presented the value of his sacrifice to Jehovah, who accepted it</t>
        </is>
      </c>
      <c r="F27" s="15" t="inlineStr">
        <is>
          <t>b5-0169</t>
        </is>
      </c>
      <c r="G27" s="15" t="inlineStr">
        <is>
          <t>Point</t>
        </is>
      </c>
      <c r="H27" s="15" t="inlineStr">
        <is>
          <t>33 C.E., Iyyar 25</t>
        </is>
      </c>
      <c r="I27" s="15" t="inlineStr">
        <is>
          <t>Jesus’ ascension, 40th day after his resurrection</t>
        </is>
      </c>
      <c r="J27" s="15" t="n"/>
      <c r="K27" s="15" t="inlineStr">
        <is>
          <t>Acts 1:3; Heb. 9:12</t>
        </is>
      </c>
      <c r="L27" s="15" t="inlineStr">
        <is>
          <t>“Jesus ascended to heaven ten days before Pentecost” (w20.07 p. 31 par. 8). The day of acceptance is not stated.</t>
        </is>
      </c>
      <c r="M27" s="16" t="n"/>
    </row>
    <row r="28">
      <c r="A28" s="15" t="inlineStr">
        <is>
          <t>covenants</t>
        </is>
      </c>
      <c r="B28" s="15" t="n">
        <v>20</v>
      </c>
      <c r="C28" s="15" t="inlineStr">
        <is>
          <t>start</t>
        </is>
      </c>
      <c r="D28" s="15" t="inlineStr">
        <is>
          <t>New covenant</t>
        </is>
      </c>
      <c r="E28" s="15" t="inlineStr">
        <is>
          <t>The new covenant went into effect at Pentecost 33 C.E. when Jesus’ loyal disciples were anointed with holy spirit</t>
        </is>
      </c>
      <c r="F28" s="15" t="inlineStr">
        <is>
          <t>b6-0001</t>
        </is>
      </c>
      <c r="G28" s="15" t="inlineStr">
        <is>
          <t>Point</t>
        </is>
      </c>
      <c r="H28" s="15" t="inlineStr">
        <is>
          <t>33 C.E., Sivan 6 (Pentecost)</t>
        </is>
      </c>
      <c r="I28" s="15" t="inlineStr">
        <is>
          <t>Pentecost: holy spirit poured out on the disciples in Jerusalem</t>
        </is>
      </c>
      <c r="J28" s="15" t="n"/>
      <c r="K28" s="15" t="inlineStr">
        <is>
          <t>Acts 2:1-4, 32, 33</t>
        </is>
      </c>
      <c r="L28" s="15" t="inlineStr">
        <is>
          <t>w20.07 p. 31: “Proof that the new covenant was now operative was visibly evident at Pentecost.”</t>
        </is>
      </c>
      <c r="M28" s="16" t="n"/>
    </row>
    <row r="29">
      <c r="A29" s="15" t="inlineStr">
        <is>
          <t>covenants</t>
        </is>
      </c>
      <c r="B29" s="15" t="n">
        <v>21</v>
      </c>
      <c r="C29" s="15" t="inlineStr">
        <is>
          <t>context</t>
        </is>
      </c>
      <c r="D29" s="15" t="inlineStr">
        <is>
          <t>New covenant</t>
        </is>
      </c>
      <c r="E29" s="15" t="inlineStr">
        <is>
          <t>Understanding clarified (1998): duration of the new covenant</t>
        </is>
      </c>
      <c r="F29" s="15" t="inlineStr">
        <is>
          <t>b9-0212</t>
        </is>
      </c>
      <c r="G29" s="15" t="inlineStr">
        <is>
          <t>Point</t>
        </is>
      </c>
      <c r="H29" s="15" t="inlineStr">
        <is>
          <t>1998</t>
        </is>
      </c>
      <c r="I29" s="15" t="inlineStr">
        <is>
          <t>Understanding clarified: duration of new covenant (Heb. 13:20)</t>
        </is>
      </c>
      <c r="J29" s="15" t="n"/>
      <c r="K29" s="15" t="inlineStr">
        <is>
          <t>Heb. 13:20</t>
        </is>
      </c>
      <c r="L29" s="15" t="n"/>
      <c r="M29" s="16" t="n"/>
    </row>
    <row r="30">
      <c r="A30" s="15" t="inlineStr">
        <is>
          <t>covenants</t>
        </is>
      </c>
      <c r="B30" s="15" t="n">
        <v>22</v>
      </c>
      <c r="C30" s="15" t="inlineStr">
        <is>
          <t>context</t>
        </is>
      </c>
      <c r="D30" s="15" t="inlineStr">
        <is>
          <t>New covenant</t>
        </is>
      </c>
      <c r="E30" s="15" t="inlineStr">
        <is>
          <t>Understanding clarified (2020): validation and inauguration of the new covenant</t>
        </is>
      </c>
      <c r="F30" s="15" t="inlineStr">
        <is>
          <t>b9-0388</t>
        </is>
      </c>
      <c r="G30" s="15" t="inlineStr">
        <is>
          <t>Point</t>
        </is>
      </c>
      <c r="H30" s="15" t="inlineStr">
        <is>
          <t>2020</t>
        </is>
      </c>
      <c r="I30" s="15" t="inlineStr">
        <is>
          <t>Understanding clarified: validation and inauguration of new covenant</t>
        </is>
      </c>
      <c r="J30" s="15" t="n"/>
      <c r="K30" s="15" t="n"/>
      <c r="L30" s="15" t="n"/>
      <c r="M30" s="16" t="n"/>
    </row>
    <row r="31">
      <c r="A31" s="15" t="inlineStr">
        <is>
          <t>covenants</t>
        </is>
      </c>
      <c r="B31" s="15" t="n">
        <v>23</v>
      </c>
      <c r="C31" s="15" t="inlineStr">
        <is>
          <t>start</t>
        </is>
      </c>
      <c r="D31" s="15" t="inlineStr">
        <is>
          <t>Kingdom covenant</t>
        </is>
      </c>
      <c r="E31" s="15" t="inlineStr">
        <is>
          <t>After instituting the Lord’s Evening Meal, Jesus made a covenant with his faithful disciples, often referred to as the Kingdom covenant</t>
        </is>
      </c>
      <c r="F31" s="15" t="inlineStr">
        <is>
          <t>b5-0152</t>
        </is>
      </c>
      <c r="G31" s="15" t="inlineStr">
        <is>
          <t>Point</t>
        </is>
      </c>
      <c r="H31" s="15" t="inlineStr">
        <is>
          <t>33 C.E., Nisan 14</t>
        </is>
      </c>
      <c r="I31" s="15" t="inlineStr">
        <is>
          <t>Institutes the Lord’s Evening Meal</t>
        </is>
      </c>
      <c r="J31" s="15" t="n"/>
      <c r="K31" s="15" t="inlineStr">
        <is>
          <t>Luke 22:28-30</t>
        </is>
      </c>
      <c r="L31" s="15" t="n"/>
      <c r="M31" s="16" t="n"/>
    </row>
    <row r="32">
      <c r="A32" s="15" t="inlineStr">
        <is>
          <t>covenants</t>
        </is>
      </c>
      <c r="B32" s="15" t="n">
        <v>24</v>
      </c>
      <c r="C32" s="15" t="inlineStr">
        <is>
          <t>step</t>
        </is>
      </c>
      <c r="D32" s="15" t="inlineStr">
        <is>
          <t>Kingdom covenant</t>
        </is>
      </c>
      <c r="E32" s="15" t="inlineStr">
        <is>
          <t>On the day of Pentecost he inaugurated this covenant toward them by the anointing with holy spirit</t>
        </is>
      </c>
      <c r="F32" s="15" t="inlineStr">
        <is>
          <t>b6-0001</t>
        </is>
      </c>
      <c r="G32" s="15" t="inlineStr">
        <is>
          <t>Point</t>
        </is>
      </c>
      <c r="H32" s="15" t="inlineStr">
        <is>
          <t>33 C.E., Sivan 6 (Pentecost)</t>
        </is>
      </c>
      <c r="I32" s="15" t="inlineStr">
        <is>
          <t>Pentecost: holy spirit poured out on the disciples in Jerusalem</t>
        </is>
      </c>
      <c r="J32" s="15" t="n"/>
      <c r="K32" s="15" t="inlineStr">
        <is>
          <t>Acts 2:1-4, 33</t>
        </is>
      </c>
      <c r="L32" s="15" t="n"/>
      <c r="M32" s="16" t="n"/>
    </row>
    <row r="33">
      <c r="A33" s="15" t="inlineStr">
        <is>
          <t>covenants</t>
        </is>
      </c>
      <c r="B33" s="15" t="n">
        <v>25</v>
      </c>
      <c r="C33" s="15" t="inlineStr">
        <is>
          <t>end</t>
        </is>
      </c>
      <c r="D33" s="15" t="inlineStr">
        <is>
          <t>Covenant with Noah</t>
        </is>
      </c>
      <c r="E33" s="15" t="inlineStr">
        <is>
          <t>The covenant was completely fulfilled in 2369 B.C.E., after the Flood</t>
        </is>
      </c>
      <c r="F33" s="15" t="inlineStr">
        <is>
          <t>b1-0020</t>
        </is>
      </c>
      <c r="G33" s="15" t="inlineStr">
        <is>
          <t>Point</t>
        </is>
      </c>
      <c r="H33" s="15" t="inlineStr">
        <is>
          <t>2369 B.C.E.</t>
        </is>
      </c>
      <c r="I33" s="15" t="inlineStr">
        <is>
          <t>Noah and family leave the ark; post-Flood era begins</t>
        </is>
      </c>
      <c r="J33" s="15" t="n"/>
      <c r="K33" s="15" t="inlineStr">
        <is>
          <t>Gen. 8:15-17</t>
        </is>
      </c>
      <c r="L33" s="15" t="n"/>
      <c r="M33" s="16" t="n"/>
    </row>
    <row r="34">
      <c r="A34" s="15" t="inlineStr">
        <is>
          <t>covenants</t>
        </is>
      </c>
      <c r="B34" s="15" t="n">
        <v>26</v>
      </c>
      <c r="C34" s="15" t="inlineStr">
        <is>
          <t>start</t>
        </is>
      </c>
      <c r="D34" s="15" t="inlineStr">
        <is>
          <t>Rainbow covenant</t>
        </is>
      </c>
      <c r="E34" s="15" t="inlineStr">
        <is>
          <t>Made in 2369 B.C.E., in the mountains of Ararat; the rainbow was given as its sign</t>
        </is>
      </c>
      <c r="F34" s="15" t="inlineStr">
        <is>
          <t>b1-0021</t>
        </is>
      </c>
      <c r="G34" s="15" t="inlineStr">
        <is>
          <t>Point</t>
        </is>
      </c>
      <c r="H34" s="15" t="inlineStr">
        <is>
          <t>2369 B.C.E.</t>
        </is>
      </c>
      <c r="I34" s="15" t="inlineStr">
        <is>
          <t>Covenant made after the Flood (rainbow covenant)</t>
        </is>
      </c>
      <c r="J34" s="15" t="n"/>
      <c r="K34" s="15" t="inlineStr">
        <is>
          <t>Gen. 9:8-17</t>
        </is>
      </c>
      <c r="L34" s="15" t="n"/>
      <c r="M34" s="16" t="n"/>
    </row>
    <row r="35">
      <c r="A35" s="15" t="inlineStr">
        <is>
          <t>covenants</t>
        </is>
      </c>
      <c r="B35" s="15" t="n">
        <v>27</v>
      </c>
      <c r="C35" s="15" t="inlineStr">
        <is>
          <t>start</t>
        </is>
      </c>
      <c r="D35" s="15" t="inlineStr">
        <is>
          <t>Covenant of circumcision</t>
        </is>
      </c>
      <c r="E35" s="15" t="inlineStr">
        <is>
          <t>Made in 1919 B.C.E., when Abraham was 99 years old</t>
        </is>
      </c>
      <c r="F35" s="15" t="inlineStr">
        <is>
          <t>b1-0041</t>
        </is>
      </c>
      <c r="G35" s="15" t="inlineStr">
        <is>
          <t>Point</t>
        </is>
      </c>
      <c r="H35" s="15" t="inlineStr">
        <is>
          <t>1919 B.C.E.</t>
        </is>
      </c>
      <c r="I35" s="15" t="inlineStr">
        <is>
          <t>Covenant of circumcision made</t>
        </is>
      </c>
      <c r="J35" s="15" t="n"/>
      <c r="K35" s="15" t="inlineStr">
        <is>
          <t>Gen. 17:9-14</t>
        </is>
      </c>
      <c r="L35" s="15" t="n"/>
      <c r="M35" s="16" t="n"/>
    </row>
    <row r="36">
      <c r="A36" s="15" t="inlineStr">
        <is>
          <t>covenants</t>
        </is>
      </c>
      <c r="B36" s="15" t="n">
        <v>28</v>
      </c>
      <c r="C36" s="15" t="inlineStr">
        <is>
          <t>start</t>
        </is>
      </c>
      <c r="D36" s="15" t="inlineStr">
        <is>
          <t>Covenant with the tribe of Levi</t>
        </is>
      </c>
      <c r="E36" s="15" t="inlineStr">
        <is>
          <t>The installation services for the priesthood were carried out Nisan 1-7, 1512 B.C.E.</t>
        </is>
      </c>
      <c r="F36" s="15" t="inlineStr">
        <is>
          <t>b2-0026</t>
        </is>
      </c>
      <c r="G36" s="15" t="inlineStr">
        <is>
          <t>Span</t>
        </is>
      </c>
      <c r="H36" s="15" t="inlineStr">
        <is>
          <t>1512 B.C.E., Nisan 1-7</t>
        </is>
      </c>
      <c r="I36" s="15" t="inlineStr">
        <is>
          <t>Installation of the Aaronic priesthood</t>
        </is>
      </c>
      <c r="J36" s="15" t="n"/>
      <c r="K36" s="15" t="inlineStr">
        <is>
          <t>Lev. 8:1-36; Mal. 2:4</t>
        </is>
      </c>
      <c r="L36" s="15" t="n"/>
      <c r="M36" s="16" t="n"/>
    </row>
    <row r="37">
      <c r="A37" s="15" t="inlineStr">
        <is>
          <t>covenants</t>
        </is>
      </c>
      <c r="B37" s="15" t="n">
        <v>29</v>
      </c>
      <c r="C37" s="15" t="inlineStr">
        <is>
          <t>start</t>
        </is>
      </c>
      <c r="D37" s="15" t="inlineStr">
        <is>
          <t>Covenant with Israel at Moab</t>
        </is>
      </c>
      <c r="E37" s="15" t="inlineStr">
        <is>
          <t>Just before Israel entered the Promised Land, in 1473 B.C.E., Jehovah made a covenant with natural Israel at Moab</t>
        </is>
      </c>
      <c r="F37" s="15" t="inlineStr">
        <is>
          <t>b2-0040</t>
        </is>
      </c>
      <c r="G37" s="15" t="inlineStr">
        <is>
          <t>Point</t>
        </is>
      </c>
      <c r="H37" s="15" t="inlineStr">
        <is>
          <t>1473 B.C.E., Shebat</t>
        </is>
      </c>
      <c r="I37" s="15" t="inlineStr">
        <is>
          <t>Covenant with Israel at Moab</t>
        </is>
      </c>
      <c r="J37" s="15" t="n"/>
      <c r="K37" s="15" t="inlineStr">
        <is>
          <t>Deut. 29:1</t>
        </is>
      </c>
      <c r="L37" s="15" t="n"/>
      <c r="M37" s="16" t="n"/>
    </row>
    <row r="38">
      <c r="A38" s="15" t="inlineStr">
        <is>
          <t>daniel-time-prophecies</t>
        </is>
      </c>
      <c r="B38" s="15" t="n">
        <v>1</v>
      </c>
      <c r="C38" s="15" t="inlineStr">
        <is>
          <t>prophecy</t>
        </is>
      </c>
      <c r="D38" s="15" t="inlineStr">
        <is>
          <t>Seven times (2,520 years)</t>
        </is>
      </c>
      <c r="E38" s="15" t="inlineStr">
        <is>
          <t>Nebuchadnezzar’s dream of the great tree: “seven times” (Dan. 4)</t>
        </is>
      </c>
      <c r="F38" s="15" t="inlineStr">
        <is>
          <t>b11-0033</t>
        </is>
      </c>
      <c r="G38" s="15" t="inlineStr">
        <is>
          <t>Point</t>
        </is>
      </c>
      <c r="H38" s="15" t="inlineStr">
        <is>
          <t>c. 536 B.C.E.</t>
        </is>
      </c>
      <c r="I38" s="15" t="inlineStr">
        <is>
          <t>Writing of Daniel completed</t>
        </is>
      </c>
      <c r="J38" s="15" t="inlineStr">
        <is>
          <t>b12-0025, b10-0001, b10-0002</t>
        </is>
      </c>
      <c r="K38" s="15" t="inlineStr">
        <is>
          <t>Dan. 4:16, 23, 25, 32</t>
        </is>
      </c>
      <c r="L38" s="15" t="inlineStr">
        <is>
          <t>The tree dream is not dated on jw.org; anchored to the completion of the book of Daniel (c. 536 B.C.E.).</t>
        </is>
      </c>
      <c r="M38" s="16" t="n"/>
    </row>
    <row r="39">
      <c r="A39" s="15" t="inlineStr">
        <is>
          <t>daniel-time-prophecies</t>
        </is>
      </c>
      <c r="B39" s="15" t="n">
        <v>2</v>
      </c>
      <c r="C39" s="15" t="inlineStr">
        <is>
          <t>item</t>
        </is>
      </c>
      <c r="D39" s="15" t="inlineStr">
        <is>
          <t>Seven times (2,520 years)</t>
        </is>
      </c>
      <c r="E39" s="15" t="inlineStr">
        <is>
          <t>Seven times (2,520 years): October 607 B.C.E. to October 1914 C.E.</t>
        </is>
      </c>
      <c r="F39" s="15" t="inlineStr">
        <is>
          <t>b12-0025</t>
        </is>
      </c>
      <c r="G39" s="15" t="inlineStr">
        <is>
          <t>Span</t>
        </is>
      </c>
      <c r="H39" s="15" t="inlineStr">
        <is>
          <t>October 607 B.C.E. to October 1914 C.E.</t>
        </is>
      </c>
      <c r="I39" s="15" t="inlineStr">
        <is>
          <t>“Seven times”: the appointed times of the nations (Gentile Times)</t>
        </is>
      </c>
      <c r="J39" s="15" t="inlineStr">
        <is>
          <t>b11-0033</t>
        </is>
      </c>
      <c r="K39" s="15" t="n"/>
      <c r="L39" s="15" t="n"/>
      <c r="M39" s="16" t="n"/>
    </row>
    <row r="40">
      <c r="A40" s="15" t="inlineStr">
        <is>
          <t>daniel-time-prophecies</t>
        </is>
      </c>
      <c r="B40" s="15" t="n">
        <v>3</v>
      </c>
      <c r="C40" s="15" t="inlineStr">
        <is>
          <t>start</t>
        </is>
      </c>
      <c r="D40" s="15" t="inlineStr">
        <is>
          <t>Seven times (2,520 years)</t>
        </is>
      </c>
      <c r="E40" s="15" t="inlineStr">
        <is>
          <t>October 607 B.C.E.: the desolation of Judah and Jerusalem</t>
        </is>
      </c>
      <c r="F40" s="15" t="inlineStr">
        <is>
          <t>b3-0117</t>
        </is>
      </c>
      <c r="G40" s="15" t="inlineStr">
        <is>
          <t>Point</t>
        </is>
      </c>
      <c r="H40" s="15" t="inlineStr">
        <is>
          <t>607 B.C.E., seventh month</t>
        </is>
      </c>
      <c r="I40" s="15" t="inlineStr">
        <is>
          <t>“Appointed times of the nations” begin to count</t>
        </is>
      </c>
      <c r="J40" s="15" t="n"/>
      <c r="K40" s="15" t="n"/>
      <c r="L40" s="15" t="n"/>
      <c r="M40" s="16" t="n"/>
    </row>
    <row r="41">
      <c r="A41" s="15" t="inlineStr">
        <is>
          <t>daniel-time-prophecies</t>
        </is>
      </c>
      <c r="B41" s="15" t="n">
        <v>4</v>
      </c>
      <c r="C41" s="15" t="inlineStr">
        <is>
          <t>end</t>
        </is>
      </c>
      <c r="D41" s="15" t="inlineStr">
        <is>
          <t>Seven times (2,520 years)</t>
        </is>
      </c>
      <c r="E41" s="15" t="inlineStr">
        <is>
          <t>October 1914 C.E.: the “seven times” end</t>
        </is>
      </c>
      <c r="F41" s="15" t="inlineStr">
        <is>
          <t>b10-0001</t>
        </is>
      </c>
      <c r="G41" s="15" t="inlineStr">
        <is>
          <t>Point</t>
        </is>
      </c>
      <c r="H41" s="15" t="inlineStr">
        <is>
          <t>1914</t>
        </is>
      </c>
      <c r="I41" s="15" t="inlineStr">
        <is>
          <t>Appointed times of the nations (Gentile Times) end</t>
        </is>
      </c>
      <c r="J41" s="15" t="inlineStr">
        <is>
          <t>b11-0033</t>
        </is>
      </c>
      <c r="K41" s="15" t="n"/>
      <c r="L41" s="15" t="n"/>
      <c r="M41" s="16" t="n"/>
    </row>
    <row r="42">
      <c r="A42" s="15" t="inlineStr">
        <is>
          <t>daniel-time-prophecies</t>
        </is>
      </c>
      <c r="B42" s="15" t="n">
        <v>5</v>
      </c>
      <c r="C42" s="15" t="inlineStr">
        <is>
          <t>fulfillment</t>
        </is>
      </c>
      <c r="D42" s="15" t="inlineStr">
        <is>
          <t>Seven times (2,520 years)</t>
        </is>
      </c>
      <c r="E42" s="15" t="inlineStr">
        <is>
          <t>Messianic Kingdom established</t>
        </is>
      </c>
      <c r="F42" s="15" t="inlineStr">
        <is>
          <t>b10-0002</t>
        </is>
      </c>
      <c r="G42" s="15" t="inlineStr">
        <is>
          <t>Point</t>
        </is>
      </c>
      <c r="H42" s="15" t="inlineStr">
        <is>
          <t>1914</t>
        </is>
      </c>
      <c r="I42" s="15" t="inlineStr">
        <is>
          <t>God's Kingdom born in heaven; Christ begins ruling as King</t>
        </is>
      </c>
      <c r="J42" s="15" t="inlineStr">
        <is>
          <t>b11-0033</t>
        </is>
      </c>
      <c r="K42" s="15" t="n"/>
      <c r="L42" s="15" t="n"/>
      <c r="M42" s="16" t="n"/>
    </row>
    <row r="43">
      <c r="A43" s="15" t="inlineStr">
        <is>
          <t>daniel-time-prophecies</t>
        </is>
      </c>
      <c r="B43" s="15" t="n">
        <v>6</v>
      </c>
      <c r="C43" s="15" t="inlineStr">
        <is>
          <t>prophecy</t>
        </is>
      </c>
      <c r="D43" s="15" t="inlineStr">
        <is>
          <t>70 weeks (490 years)</t>
        </is>
      </c>
      <c r="E43" s="15" t="inlineStr">
        <is>
          <t>Gabriel gives Daniel the prophecy of the “seventy weeks” (Dan. 9)</t>
        </is>
      </c>
      <c r="F43" s="15" t="inlineStr">
        <is>
          <t>b4-0026</t>
        </is>
      </c>
      <c r="G43" s="15" t="inlineStr">
        <is>
          <t>Point</t>
        </is>
      </c>
      <c r="H43" s="15" t="inlineStr">
        <is>
          <t>539/538 B.C.E.</t>
        </is>
      </c>
      <c r="I43" s="15" t="inlineStr">
        <is>
          <t>First year of Darius the Mede: Daniel receives the 70 weeks prophecy</t>
        </is>
      </c>
      <c r="J43" s="15" t="inlineStr">
        <is>
          <t>b12-0035, b12-0034, b12-0045, b4-0069, b4-0078, b5-0017, b5-0163, b6-0011, b6-0096</t>
        </is>
      </c>
      <c r="K43" s="15" t="inlineStr">
        <is>
          <t>Dan. 9:24-27</t>
        </is>
      </c>
      <c r="L43" s="15" t="n"/>
      <c r="M43" s="16" t="n"/>
    </row>
    <row r="44">
      <c r="A44" s="15" t="inlineStr">
        <is>
          <t>daniel-time-prophecies</t>
        </is>
      </c>
      <c r="B44" s="15" t="n">
        <v>7</v>
      </c>
      <c r="C44" s="15" t="inlineStr">
        <is>
          <t>item</t>
        </is>
      </c>
      <c r="D44" s="15" t="inlineStr">
        <is>
          <t>70 weeks (490 years)</t>
        </is>
      </c>
      <c r="E44" s="15" t="inlineStr">
        <is>
          <t>70 weeks (490 years): 455 B.C.E. to 36 C.E.</t>
        </is>
      </c>
      <c r="F44" s="15" t="inlineStr">
        <is>
          <t>b12-0035</t>
        </is>
      </c>
      <c r="G44" s="15" t="inlineStr">
        <is>
          <t>Span</t>
        </is>
      </c>
      <c r="H44" s="15" t="inlineStr">
        <is>
          <t>455 B.C.E. to 36 C.E.</t>
        </is>
      </c>
      <c r="I44" s="15" t="inlineStr">
        <is>
          <t>The 70 weeks of years (Daniel 9)</t>
        </is>
      </c>
      <c r="J44" s="15" t="inlineStr">
        <is>
          <t>b4-0026</t>
        </is>
      </c>
      <c r="K44" s="15" t="n"/>
      <c r="L44" s="15" t="n"/>
      <c r="M44" s="16" t="n"/>
    </row>
    <row r="45">
      <c r="A45" s="15" t="inlineStr">
        <is>
          <t>daniel-time-prophecies</t>
        </is>
      </c>
      <c r="B45" s="15" t="n">
        <v>8</v>
      </c>
      <c r="C45" s="15" t="inlineStr">
        <is>
          <t>start</t>
        </is>
      </c>
      <c r="D45" s="15" t="inlineStr">
        <is>
          <t>70 weeks (490 years)</t>
        </is>
      </c>
      <c r="E45" s="15" t="inlineStr">
        <is>
          <t>455 B.C.E.: “The word to restore . . . Jerusalem”</t>
        </is>
      </c>
      <c r="F45" s="15" t="inlineStr">
        <is>
          <t>b4-0069</t>
        </is>
      </c>
      <c r="G45" s="15" t="inlineStr">
        <is>
          <t>Point</t>
        </is>
      </c>
      <c r="H45" s="15" t="inlineStr">
        <is>
          <t>455 B.C.E., Nisan (20th year of Artaxerxes)</t>
        </is>
      </c>
      <c r="I45" s="15" t="inlineStr">
        <is>
          <t>Artaxerxes commissions Nehemiah; 70 weeks begin</t>
        </is>
      </c>
      <c r="J45" s="15" t="inlineStr">
        <is>
          <t>b4-0026</t>
        </is>
      </c>
      <c r="K45" s="15" t="inlineStr">
        <is>
          <t>Dan. 9:25</t>
        </is>
      </c>
      <c r="L45" s="15" t="n"/>
      <c r="M45" s="16" t="n"/>
    </row>
    <row r="46">
      <c r="A46" s="15" t="inlineStr">
        <is>
          <t>daniel-time-prophecies</t>
        </is>
      </c>
      <c r="B46" s="15" t="n">
        <v>9</v>
      </c>
      <c r="C46" s="15" t="inlineStr">
        <is>
          <t>step</t>
        </is>
      </c>
      <c r="D46" s="15" t="inlineStr">
        <is>
          <t>70 weeks (490 years)</t>
        </is>
      </c>
      <c r="E46" s="15" t="inlineStr">
        <is>
          <t>406 B.C.E.: Jerusalem rebuilt (end of the 7 weeks, 49 years)</t>
        </is>
      </c>
      <c r="F46" s="15" t="inlineStr">
        <is>
          <t>b4-0078</t>
        </is>
      </c>
      <c r="G46" s="15" t="inlineStr">
        <is>
          <t>Point</t>
        </is>
      </c>
      <c r="H46" s="15" t="inlineStr">
        <is>
          <t>406 B.C.E.</t>
        </is>
      </c>
      <c r="I46" s="15" t="inlineStr">
        <is>
          <t>Rebuilding of Jerusalem evidently completed</t>
        </is>
      </c>
      <c r="J46" s="15" t="inlineStr">
        <is>
          <t>b4-0026</t>
        </is>
      </c>
      <c r="K46" s="15" t="inlineStr">
        <is>
          <t>Dan. 9:25</t>
        </is>
      </c>
      <c r="L46" s="15" t="n"/>
      <c r="M46" s="16" t="n"/>
    </row>
    <row r="47">
      <c r="A47" s="15" t="inlineStr">
        <is>
          <t>daniel-time-prophecies</t>
        </is>
      </c>
      <c r="B47" s="15" t="n">
        <v>10</v>
      </c>
      <c r="C47" s="15" t="inlineStr">
        <is>
          <t>item</t>
        </is>
      </c>
      <c r="D47" s="15" t="inlineStr">
        <is>
          <t>70 weeks (490 years)</t>
        </is>
      </c>
      <c r="E47" s="15" t="inlineStr">
        <is>
          <t>69 weeks (7 + 62 weeks) to “Messiah the Leader”: 455 B.C.E. to 29 C.E.</t>
        </is>
      </c>
      <c r="F47" s="15" t="inlineStr">
        <is>
          <t>b12-0034</t>
        </is>
      </c>
      <c r="G47" s="15" t="inlineStr">
        <is>
          <t>Span</t>
        </is>
      </c>
      <c r="H47" s="15" t="inlineStr">
        <is>
          <t>455 B.C.E. to 29 C.E.</t>
        </is>
      </c>
      <c r="I47" s="15" t="inlineStr">
        <is>
          <t>The 69 weeks to “Messiah the Leader”</t>
        </is>
      </c>
      <c r="J47" s="15" t="inlineStr">
        <is>
          <t>b4-0026</t>
        </is>
      </c>
      <c r="K47" s="15" t="inlineStr">
        <is>
          <t>Dan. 9:25</t>
        </is>
      </c>
      <c r="L47" s="15" t="n"/>
      <c r="M47" s="16" t="n"/>
    </row>
    <row r="48">
      <c r="A48" s="15" t="inlineStr">
        <is>
          <t>daniel-time-prophecies</t>
        </is>
      </c>
      <c r="B48" s="15" t="n">
        <v>11</v>
      </c>
      <c r="C48" s="15" t="inlineStr">
        <is>
          <t>fulfillment</t>
        </is>
      </c>
      <c r="D48" s="15" t="inlineStr">
        <is>
          <t>70 weeks (490 years)</t>
        </is>
      </c>
      <c r="E48" s="15" t="inlineStr">
        <is>
          <t>29 C.E.: Messiah appears</t>
        </is>
      </c>
      <c r="F48" s="15" t="inlineStr">
        <is>
          <t>b5-0017</t>
        </is>
      </c>
      <c r="G48" s="15" t="inlineStr">
        <is>
          <t>Point</t>
        </is>
      </c>
      <c r="H48" s="15" t="inlineStr">
        <is>
          <t>29 C.E., fall</t>
        </is>
      </c>
      <c r="I48" s="15" t="inlineStr">
        <is>
          <t>Jesus baptized and anointed; Jehovah declares him his Son and approves him</t>
        </is>
      </c>
      <c r="J48" s="15" t="inlineStr">
        <is>
          <t>b4-0026</t>
        </is>
      </c>
      <c r="K48" s="15" t="inlineStr">
        <is>
          <t>Dan. 9:25</t>
        </is>
      </c>
      <c r="L48" s="15" t="n"/>
      <c r="M48" s="16" t="n"/>
    </row>
    <row r="49">
      <c r="A49" s="15" t="inlineStr">
        <is>
          <t>daniel-time-prophecies</t>
        </is>
      </c>
      <c r="B49" s="15" t="n">
        <v>12</v>
      </c>
      <c r="C49" s="15" t="inlineStr">
        <is>
          <t>item</t>
        </is>
      </c>
      <c r="D49" s="15" t="inlineStr">
        <is>
          <t>70 weeks (490 years)</t>
        </is>
      </c>
      <c r="E49" s="15" t="inlineStr">
        <is>
          <t>The 70th week (7 years): 29-36 C.E.</t>
        </is>
      </c>
      <c r="F49" s="15" t="inlineStr">
        <is>
          <t>b12-0045</t>
        </is>
      </c>
      <c r="G49" s="15" t="inlineStr">
        <is>
          <t>Span</t>
        </is>
      </c>
      <c r="H49" s="15" t="inlineStr">
        <is>
          <t>29-36 C.E.</t>
        </is>
      </c>
      <c r="I49" s="15" t="inlineStr">
        <is>
          <t>The 70th week of years</t>
        </is>
      </c>
      <c r="J49" s="15" t="inlineStr">
        <is>
          <t>b4-0026</t>
        </is>
      </c>
      <c r="K49" s="15" t="inlineStr">
        <is>
          <t>Dan. 9:27</t>
        </is>
      </c>
      <c r="L49" s="15" t="n"/>
      <c r="M49" s="16" t="n"/>
    </row>
    <row r="50">
      <c r="A50" s="15" t="inlineStr">
        <is>
          <t>daniel-time-prophecies</t>
        </is>
      </c>
      <c r="B50" s="15" t="n">
        <v>13</v>
      </c>
      <c r="C50" s="15" t="inlineStr">
        <is>
          <t>fulfillment</t>
        </is>
      </c>
      <c r="D50" s="15" t="inlineStr">
        <is>
          <t>70 weeks (490 years)</t>
        </is>
      </c>
      <c r="E50" s="15" t="inlineStr">
        <is>
          <t>33 C.E.: Messiah cut off, at the half of the week</t>
        </is>
      </c>
      <c r="F50" s="15" t="inlineStr">
        <is>
          <t>b5-0163</t>
        </is>
      </c>
      <c r="G50" s="15" t="inlineStr">
        <is>
          <t>Point</t>
        </is>
      </c>
      <c r="H50" s="15" t="inlineStr">
        <is>
          <t>33 C.E., Nisan 14 (c. 3:00 p.m., Friday)</t>
        </is>
      </c>
      <c r="I50" s="15" t="inlineStr">
        <is>
          <t>Dies on torture stake</t>
        </is>
      </c>
      <c r="J50" s="15" t="inlineStr">
        <is>
          <t>b4-0026</t>
        </is>
      </c>
      <c r="K50" s="15" t="inlineStr">
        <is>
          <t>Dan. 9:26, 27</t>
        </is>
      </c>
      <c r="L50" s="15" t="n"/>
      <c r="M50" s="16" t="n"/>
    </row>
    <row r="51">
      <c r="A51" s="15" t="inlineStr">
        <is>
          <t>daniel-time-prophecies</t>
        </is>
      </c>
      <c r="B51" s="15" t="n">
        <v>14</v>
      </c>
      <c r="C51" s="15" t="inlineStr">
        <is>
          <t>end</t>
        </is>
      </c>
      <c r="D51" s="15" t="inlineStr">
        <is>
          <t>70 weeks (490 years)</t>
        </is>
      </c>
      <c r="E51" s="15" t="inlineStr">
        <is>
          <t>36 C.E.: End of the “seventy weeks”</t>
        </is>
      </c>
      <c r="F51" s="15" t="inlineStr">
        <is>
          <t>b6-0011</t>
        </is>
      </c>
      <c r="G51" s="15" t="inlineStr">
        <is>
          <t>Point</t>
        </is>
      </c>
      <c r="H51" s="15" t="inlineStr">
        <is>
          <t>36 C.E.</t>
        </is>
      </c>
      <c r="I51" s="15" t="inlineStr">
        <is>
          <t>End of the 70 weeks of years</t>
        </is>
      </c>
      <c r="J51" s="15" t="inlineStr">
        <is>
          <t>b4-0026</t>
        </is>
      </c>
      <c r="K51" s="15" t="inlineStr">
        <is>
          <t>Dan. 9:27</t>
        </is>
      </c>
      <c r="L51" s="15" t="n"/>
      <c r="M51" s="16" t="n"/>
    </row>
    <row r="52">
      <c r="A52" s="15" t="inlineStr">
        <is>
          <t>daniel-time-prophecies</t>
        </is>
      </c>
      <c r="B52" s="15" t="n">
        <v>15</v>
      </c>
      <c r="C52" s="15" t="inlineStr">
        <is>
          <t>fulfillment</t>
        </is>
      </c>
      <c r="D52" s="15" t="inlineStr">
        <is>
          <t>70 weeks (490 years)</t>
        </is>
      </c>
      <c r="E52" s="15" t="inlineStr">
        <is>
          <t>70 C.E.: the city and the holy place destroyed</t>
        </is>
      </c>
      <c r="F52" s="15" t="inlineStr">
        <is>
          <t>b6-0096</t>
        </is>
      </c>
      <c r="G52" s="15" t="inlineStr">
        <is>
          <t>Point</t>
        </is>
      </c>
      <c r="H52" s="15" t="inlineStr">
        <is>
          <t>70 C.E. (conquest completed August 30)</t>
        </is>
      </c>
      <c r="I52" s="15" t="inlineStr">
        <is>
          <t>Jerusalem and its temple destroyed by the Romans</t>
        </is>
      </c>
      <c r="J52" s="15" t="inlineStr">
        <is>
          <t>b4-0026</t>
        </is>
      </c>
      <c r="K52" s="15" t="inlineStr">
        <is>
          <t>Dan. 9:26, 27</t>
        </is>
      </c>
      <c r="L52" s="15" t="inlineStr">
        <is>
          <t>Follows the “seventy weeks” (dp ch. 11 par. 29-30).</t>
        </is>
      </c>
      <c r="M52" s="16" t="n"/>
    </row>
    <row r="53">
      <c r="A53" s="15" t="inlineStr">
        <is>
          <t>daniel-time-prophecies</t>
        </is>
      </c>
      <c r="B53" s="15" t="n">
        <v>16</v>
      </c>
      <c r="C53" s="15" t="inlineStr">
        <is>
          <t>prophecy</t>
        </is>
      </c>
      <c r="D53" s="15" t="inlineStr">
        <is>
          <t>Three and a half times (1,260 days)</t>
        </is>
      </c>
      <c r="E53" s="15" t="inlineStr">
        <is>
          <t>Daniel 7: the holy ones harassed “for a time, and times and half a time”</t>
        </is>
      </c>
      <c r="F53" s="15" t="inlineStr">
        <is>
          <t>b4-0020</t>
        </is>
      </c>
      <c r="G53" s="15" t="inlineStr">
        <is>
          <t>Point</t>
        </is>
      </c>
      <c r="H53" s="15" t="inlineStr">
        <is>
          <t>553 B.C.E.</t>
        </is>
      </c>
      <c r="I53" s="15" t="inlineStr">
        <is>
          <t>First year of Belshazzar: Daniel's dream of four beasts</t>
        </is>
      </c>
      <c r="J53" s="15" t="inlineStr">
        <is>
          <t>b12-0071</t>
        </is>
      </c>
      <c r="K53" s="15" t="inlineStr">
        <is>
          <t>Dan. 7:25</t>
        </is>
      </c>
      <c r="L53" s="15" t="n"/>
      <c r="M53" s="16" t="n"/>
    </row>
    <row r="54">
      <c r="A54" s="15" t="inlineStr">
        <is>
          <t>daniel-time-prophecies</t>
        </is>
      </c>
      <c r="B54" s="15" t="n">
        <v>17</v>
      </c>
      <c r="C54" s="15" t="inlineStr">
        <is>
          <t>prophecy</t>
        </is>
      </c>
      <c r="D54" s="15" t="n"/>
      <c r="E54" s="15" t="inlineStr">
        <is>
          <t>Daniel’s final vision: the time periods of Daniel 12</t>
        </is>
      </c>
      <c r="F54" s="15" t="inlineStr">
        <is>
          <t>b4-0032</t>
        </is>
      </c>
      <c r="G54" s="15" t="inlineStr">
        <is>
          <t>Point</t>
        </is>
      </c>
      <c r="H54" s="15" t="inlineStr">
        <is>
          <t>536/535 B.C.E. (third year of Cyrus)</t>
        </is>
      </c>
      <c r="I54" s="15" t="inlineStr">
        <is>
          <t>Daniel's final vision (third year of Cyrus)</t>
        </is>
      </c>
      <c r="J54" s="15" t="inlineStr">
        <is>
          <t>b12-0071, b12-0075, b12-0078</t>
        </is>
      </c>
      <c r="K54" s="15" t="inlineStr">
        <is>
          <t>Dan. 12:7; Dan. 12:11; Dan. 12:12</t>
        </is>
      </c>
      <c r="L54" s="15" t="n"/>
      <c r="M54" s="16" t="n"/>
    </row>
    <row r="55">
      <c r="A55" s="15" t="inlineStr">
        <is>
          <t>daniel-time-prophecies</t>
        </is>
      </c>
      <c r="B55" s="15" t="n">
        <v>18</v>
      </c>
      <c r="C55" s="15" t="inlineStr">
        <is>
          <t>item</t>
        </is>
      </c>
      <c r="D55" s="15" t="inlineStr">
        <is>
          <t>Three and a half times (1,260 days)</t>
        </is>
      </c>
      <c r="E55" s="15" t="inlineStr">
        <is>
          <t>Three and a half times (1,260 days): December 1914 to June 1918</t>
        </is>
      </c>
      <c r="F55" s="15" t="inlineStr">
        <is>
          <t>b12-0071</t>
        </is>
      </c>
      <c r="G55" s="15" t="inlineStr">
        <is>
          <t>Span</t>
        </is>
      </c>
      <c r="H55" s="15" t="inlineStr">
        <is>
          <t>December 1914 to June 1918</t>
        </is>
      </c>
      <c r="I55" s="15" t="inlineStr">
        <is>
          <t>The three and a half times (1,260 days) of Daniel 7 and 12</t>
        </is>
      </c>
      <c r="J55" s="15" t="inlineStr">
        <is>
          <t>b4-0020, b4-0032</t>
        </is>
      </c>
      <c r="K55" s="15" t="n"/>
      <c r="L55" s="15" t="n"/>
      <c r="M55" s="16" t="n"/>
    </row>
    <row r="56">
      <c r="A56" s="15" t="inlineStr">
        <is>
          <t>daniel-time-prophecies</t>
        </is>
      </c>
      <c r="B56" s="15" t="n">
        <v>19</v>
      </c>
      <c r="C56" s="15" t="inlineStr">
        <is>
          <t>end</t>
        </is>
      </c>
      <c r="D56" s="15" t="inlineStr">
        <is>
          <t>Three and a half times (1,260 days)</t>
        </is>
      </c>
      <c r="E56" s="15" t="inlineStr">
        <is>
          <t>Mid-1918: leading members of the Watch Tower Society sentenced and imprisoned</t>
        </is>
      </c>
      <c r="F56" s="15" t="inlineStr">
        <is>
          <t>b8-0117</t>
        </is>
      </c>
      <c r="G56" s="15" t="inlineStr">
        <is>
          <t>Point</t>
        </is>
      </c>
      <c r="H56" s="15" t="inlineStr">
        <is>
          <t>June 21, 1918</t>
        </is>
      </c>
      <c r="I56" s="15" t="inlineStr">
        <is>
          <t>Rutherford and associates sentenced to long prison terms</t>
        </is>
      </c>
      <c r="J56" s="15" t="n"/>
      <c r="K56" s="15" t="inlineStr">
        <is>
          <t>Dan. 12:7</t>
        </is>
      </c>
      <c r="L56" s="15" t="inlineStr">
        <is>
          <t>dp ch. 17 par. 18: the 1,260 days ended in the middle of 1918 when Rutherford and associates were convicted, sentenced and imprisoned; counting back 3½ years gives the end of 1914 (no start record).</t>
        </is>
      </c>
      <c r="M56" s="16" t="n"/>
    </row>
    <row r="57">
      <c r="A57" s="15" t="inlineStr">
        <is>
          <t>daniel-time-prophecies</t>
        </is>
      </c>
      <c r="B57" s="15" t="n">
        <v>20</v>
      </c>
      <c r="C57" s="15" t="inlineStr">
        <is>
          <t>item</t>
        </is>
      </c>
      <c r="D57" s="15" t="inlineStr">
        <is>
          <t>1,290 days</t>
        </is>
      </c>
      <c r="E57" s="15" t="inlineStr">
        <is>
          <t>1,290 days: January 1919 to September 1922</t>
        </is>
      </c>
      <c r="F57" s="15" t="inlineStr">
        <is>
          <t>b12-0075</t>
        </is>
      </c>
      <c r="G57" s="15" t="inlineStr">
        <is>
          <t>Span</t>
        </is>
      </c>
      <c r="H57" s="15" t="inlineStr">
        <is>
          <t>January 1919 to September 1922</t>
        </is>
      </c>
      <c r="I57" s="15" t="inlineStr">
        <is>
          <t>The 1,290 days of Daniel 12:11</t>
        </is>
      </c>
      <c r="J57" s="15" t="inlineStr">
        <is>
          <t>b4-0032</t>
        </is>
      </c>
      <c r="K57" s="15" t="n"/>
      <c r="L57" s="15" t="n"/>
      <c r="M57" s="16" t="n"/>
    </row>
    <row r="58">
      <c r="A58" s="15" t="inlineStr">
        <is>
          <t>daniel-time-prophecies</t>
        </is>
      </c>
      <c r="B58" s="15" t="n">
        <v>21</v>
      </c>
      <c r="C58" s="15" t="inlineStr">
        <is>
          <t>start</t>
        </is>
      </c>
      <c r="D58" s="15" t="inlineStr">
        <is>
          <t>1,290 days</t>
        </is>
      </c>
      <c r="E58" s="15" t="inlineStr">
        <is>
          <t>January 1919: League of Nations officially proposed</t>
        </is>
      </c>
      <c r="F58" s="15" t="inlineStr">
        <is>
          <t>b14-0005</t>
        </is>
      </c>
      <c r="G58" s="15" t="inlineStr">
        <is>
          <t>Point</t>
        </is>
      </c>
      <c r="H58" s="15" t="inlineStr">
        <is>
          <t>January 1919</t>
        </is>
      </c>
      <c r="I58" s="15" t="inlineStr">
        <is>
          <t>League of Nations officially proposed; the 1,290 days begin</t>
        </is>
      </c>
      <c r="J58" s="15" t="n"/>
      <c r="K58" s="15" t="inlineStr">
        <is>
          <t>Dan. 12:11</t>
        </is>
      </c>
      <c r="L58" s="15" t="n"/>
      <c r="M58" s="16" t="n"/>
    </row>
    <row r="59">
      <c r="A59" s="15" t="inlineStr">
        <is>
          <t>daniel-time-prophecies</t>
        </is>
      </c>
      <c r="B59" s="15" t="n">
        <v>22</v>
      </c>
      <c r="C59" s="15" t="inlineStr">
        <is>
          <t>end</t>
        </is>
      </c>
      <c r="D59" s="15" t="inlineStr">
        <is>
          <t>1,290 days</t>
        </is>
      </c>
      <c r="E59" s="15" t="inlineStr">
        <is>
          <t>September 1922: convention at Cedar Point, Ohio, right about when the period ended</t>
        </is>
      </c>
      <c r="F59" s="15" t="inlineStr">
        <is>
          <t>b8-0142</t>
        </is>
      </c>
      <c r="G59" s="15" t="inlineStr">
        <is>
          <t>Span</t>
        </is>
      </c>
      <c r="H59" s="15" t="inlineStr">
        <is>
          <t>September 5-13, 1922</t>
        </is>
      </c>
      <c r="I59" s="15" t="inlineStr">
        <is>
          <t>Cedar Point convention: “Advertise, advertise, advertise”</t>
        </is>
      </c>
      <c r="J59" s="15" t="n"/>
      <c r="K59" s="15" t="inlineStr">
        <is>
          <t>Dan. 12:11</t>
        </is>
      </c>
      <c r="L59" s="15" t="n"/>
      <c r="M59" s="16" t="n"/>
    </row>
    <row r="60">
      <c r="A60" s="15" t="inlineStr">
        <is>
          <t>daniel-time-prophecies</t>
        </is>
      </c>
      <c r="B60" s="15" t="n">
        <v>23</v>
      </c>
      <c r="C60" s="15" t="inlineStr">
        <is>
          <t>item</t>
        </is>
      </c>
      <c r="D60" s="15" t="inlineStr">
        <is>
          <t>1,335 days</t>
        </is>
      </c>
      <c r="E60" s="15" t="inlineStr">
        <is>
          <t>1,335 days: September 1922 to May 1926</t>
        </is>
      </c>
      <c r="F60" s="15" t="inlineStr">
        <is>
          <t>b12-0078</t>
        </is>
      </c>
      <c r="G60" s="15" t="inlineStr">
        <is>
          <t>Span</t>
        </is>
      </c>
      <c r="H60" s="15" t="inlineStr">
        <is>
          <t>September 1922 to May 1926</t>
        </is>
      </c>
      <c r="I60" s="15" t="inlineStr">
        <is>
          <t>The 1,335 days of Daniel 12:12</t>
        </is>
      </c>
      <c r="J60" s="15" t="inlineStr">
        <is>
          <t>b4-0032</t>
        </is>
      </c>
      <c r="K60" s="15" t="n"/>
      <c r="L60" s="15" t="n"/>
      <c r="M60" s="16" t="n"/>
    </row>
    <row r="61">
      <c r="A61" s="15" t="inlineStr">
        <is>
          <t>daniel-time-prophecies</t>
        </is>
      </c>
      <c r="B61" s="15" t="n">
        <v>24</v>
      </c>
      <c r="C61" s="15" t="inlineStr">
        <is>
          <t>start</t>
        </is>
      </c>
      <c r="D61" s="15" t="inlineStr">
        <is>
          <t>1,335 days</t>
        </is>
      </c>
      <c r="E61" s="15" t="inlineStr">
        <is>
          <t>Autumn 1922: the 1,335 days follow on the heels of the 1,290 days</t>
        </is>
      </c>
      <c r="F61" s="15" t="inlineStr">
        <is>
          <t>b8-0142</t>
        </is>
      </c>
      <c r="G61" s="15" t="inlineStr">
        <is>
          <t>Span</t>
        </is>
      </c>
      <c r="H61" s="15" t="inlineStr">
        <is>
          <t>September 5-13, 1922</t>
        </is>
      </c>
      <c r="I61" s="15" t="inlineStr">
        <is>
          <t>Cedar Point convention: “Advertise, advertise, advertise”</t>
        </is>
      </c>
      <c r="J61" s="15" t="n"/>
      <c r="K61" s="15" t="inlineStr">
        <is>
          <t>Dan. 12:12</t>
        </is>
      </c>
      <c r="L61" s="15" t="n"/>
      <c r="M61" s="16" t="n"/>
    </row>
    <row r="62">
      <c r="A62" s="15" t="inlineStr">
        <is>
          <t>daniel-time-prophecies</t>
        </is>
      </c>
      <c r="B62" s="15" t="n">
        <v>25</v>
      </c>
      <c r="C62" s="15" t="inlineStr">
        <is>
          <t>end</t>
        </is>
      </c>
      <c r="D62" s="15" t="inlineStr">
        <is>
          <t>1,335 days</t>
        </is>
      </c>
      <c r="E62" s="15" t="inlineStr">
        <is>
          <t>May 1926: convention; book Deliverance released</t>
        </is>
      </c>
      <c r="F62" s="15" t="inlineStr">
        <is>
          <t>b14-0008</t>
        </is>
      </c>
      <c r="G62" s="15" t="inlineStr">
        <is>
          <t>Point</t>
        </is>
      </c>
      <c r="H62" s="15" t="inlineStr">
        <is>
          <t>May 1926</t>
        </is>
      </c>
      <c r="I62" s="15" t="inlineStr">
        <is>
          <t>Convention in May 1926; book Deliverance released; the 1,335 days end</t>
        </is>
      </c>
      <c r="J62" s="15" t="n"/>
      <c r="K62" s="15" t="inlineStr">
        <is>
          <t>Dan. 12:12</t>
        </is>
      </c>
      <c r="L62" s="15" t="n"/>
      <c r="M62" s="16" t="n"/>
    </row>
    <row r="63">
      <c r="A63" s="15" t="inlineStr">
        <is>
          <t>daniel-time-prophecies</t>
        </is>
      </c>
      <c r="B63" s="15" t="n">
        <v>26</v>
      </c>
      <c r="C63" s="15" t="inlineStr">
        <is>
          <t>prophecy</t>
        </is>
      </c>
      <c r="D63" s="15" t="inlineStr">
        <is>
          <t>2,300 evenings and mornings</t>
        </is>
      </c>
      <c r="E63" s="15" t="inlineStr">
        <is>
          <t>Vision of the ram and the goat: “two thousand three hundred evenings and mornings” (Dan. 8)</t>
        </is>
      </c>
      <c r="F63" s="15" t="inlineStr">
        <is>
          <t>b11-0033</t>
        </is>
      </c>
      <c r="G63" s="15" t="inlineStr">
        <is>
          <t>Point</t>
        </is>
      </c>
      <c r="H63" s="15" t="inlineStr">
        <is>
          <t>c. 536 B.C.E.</t>
        </is>
      </c>
      <c r="I63" s="15" t="inlineStr">
        <is>
          <t>Writing of Daniel completed</t>
        </is>
      </c>
      <c r="J63" s="15" t="inlineStr">
        <is>
          <t>b12-0082</t>
        </is>
      </c>
      <c r="K63" s="15" t="inlineStr">
        <is>
          <t>Dan. 8:13, 14</t>
        </is>
      </c>
      <c r="L63" s="15" t="inlineStr">
        <is>
          <t>The vision (“third year of the kingship of Belshazzar,” Dan. 8:1) is not dated by year on jw.org; anchored to the completion of the book of Daniel.</t>
        </is>
      </c>
      <c r="M63" s="16" t="n"/>
    </row>
    <row r="64">
      <c r="A64" s="15" t="inlineStr">
        <is>
          <t>daniel-time-prophecies</t>
        </is>
      </c>
      <c r="B64" s="15" t="n">
        <v>27</v>
      </c>
      <c r="C64" s="15" t="inlineStr">
        <is>
          <t>item</t>
        </is>
      </c>
      <c r="D64" s="15" t="inlineStr">
        <is>
          <t>2,300 evenings and mornings</t>
        </is>
      </c>
      <c r="E64" s="15" t="inlineStr">
        <is>
          <t>2,300 evenings and mornings: June 1 or 15, 1938, to October 8 or 22, 1944</t>
        </is>
      </c>
      <c r="F64" s="15" t="inlineStr">
        <is>
          <t>b12-0082</t>
        </is>
      </c>
      <c r="G64" s="15" t="inlineStr">
        <is>
          <t>Span</t>
        </is>
      </c>
      <c r="H64" s="15" t="inlineStr">
        <is>
          <t>June 1 or 15, 1938, to October 8 or 22, 1944</t>
        </is>
      </c>
      <c r="I64" s="15" t="inlineStr">
        <is>
          <t>The 2,300 evenings and mornings of Daniel 8:14</t>
        </is>
      </c>
      <c r="J64" s="15" t="inlineStr">
        <is>
          <t>b11-0033</t>
        </is>
      </c>
      <c r="K64" s="15" t="n"/>
      <c r="L64" s="15" t="n"/>
      <c r="M64" s="16" t="n"/>
    </row>
    <row r="65">
      <c r="A65" s="15" t="inlineStr">
        <is>
          <t>daniel-time-prophecies</t>
        </is>
      </c>
      <c r="B65" s="15" t="n">
        <v>28</v>
      </c>
      <c r="C65" s="15" t="inlineStr">
        <is>
          <t>start</t>
        </is>
      </c>
      <c r="D65" s="15" t="inlineStr">
        <is>
          <t>2,300 evenings and mornings</t>
        </is>
      </c>
      <c r="E65" s="15" t="inlineStr">
        <is>
          <t>June 1 and 15, 1938: The Watchtower publishes “Organization”</t>
        </is>
      </c>
      <c r="F65" s="15" t="inlineStr">
        <is>
          <t>b8-0215</t>
        </is>
      </c>
      <c r="G65" s="15" t="inlineStr">
        <is>
          <t>Point</t>
        </is>
      </c>
      <c r="H65" s="15" t="inlineStr">
        <is>
          <t>June 15, 1938</t>
        </is>
      </c>
      <c r="I65" s="15" t="inlineStr">
        <is>
          <t>Theocratic appointment of congregation servants replaces elections</t>
        </is>
      </c>
      <c r="J65" s="15" t="n"/>
      <c r="K65" s="15" t="inlineStr">
        <is>
          <t>Dan. 8:14</t>
        </is>
      </c>
      <c r="L65" s="15" t="inlineStr">
        <is>
          <t>dp ch. 10 par. 26: the count begins at the earliest on June 1, 1938 (part 1 of “Organization”); part 2 appeared June 15, 1938.</t>
        </is>
      </c>
      <c r="M65" s="16" t="n"/>
    </row>
    <row r="66">
      <c r="A66" s="15" t="inlineStr">
        <is>
          <t>daniel-time-prophecies</t>
        </is>
      </c>
      <c r="B66" s="15" t="n">
        <v>29</v>
      </c>
      <c r="C66" s="15" t="inlineStr">
        <is>
          <t>end</t>
        </is>
      </c>
      <c r="D66" s="15" t="inlineStr">
        <is>
          <t>2,300 evenings and mornings</t>
        </is>
      </c>
      <c r="E66" s="15" t="inlineStr">
        <is>
          <t>October 2, 1944: the Society’s charter amended to bring it close to a theocratic arrangement</t>
        </is>
      </c>
      <c r="F66" s="15" t="inlineStr">
        <is>
          <t>b8-0256</t>
        </is>
      </c>
      <c r="G66" s="15" t="inlineStr">
        <is>
          <t>Point</t>
        </is>
      </c>
      <c r="H66" s="15" t="inlineStr">
        <is>
          <t>October 2, 1944</t>
        </is>
      </c>
      <c r="I66" s="15" t="inlineStr">
        <is>
          <t>Shareholders vote to revise the Society’s charter</t>
        </is>
      </c>
      <c r="J66" s="15" t="n"/>
      <c r="K66" s="15" t="inlineStr">
        <is>
          <t>Dan. 8:14</t>
        </is>
      </c>
      <c r="L66" s="15" t="inlineStr">
        <is>
          <t>dp ch. 10 par. 26-28: the 2,300 days end October 8 or 22, 1944; the October 15, 1944, Watchtower article “Organized for Final Work” indicated that they had ended.</t>
        </is>
      </c>
      <c r="M66" s="16" t="n"/>
    </row>
    <row r="67">
      <c r="A67" s="15" t="inlineStr">
        <is>
          <t>exodus-route</t>
        </is>
      </c>
      <c r="B67" s="15" t="n">
        <v>1</v>
      </c>
      <c r="C67" s="15" t="inlineStr">
        <is>
          <t>item</t>
        </is>
      </c>
      <c r="D67" s="15" t="n"/>
      <c r="E67" s="15" t="inlineStr">
        <is>
          <t>Israelites leave Egypt</t>
        </is>
      </c>
      <c r="F67" s="15" t="inlineStr">
        <is>
          <t>b2-0017</t>
        </is>
      </c>
      <c r="G67" s="15" t="inlineStr">
        <is>
          <t>Point</t>
        </is>
      </c>
      <c r="H67" s="15" t="inlineStr">
        <is>
          <t>1513 B.C.E., Nisan 14</t>
        </is>
      </c>
      <c r="I67" s="15" t="inlineStr">
        <is>
          <t>Passover; Israelites leave Egypt</t>
        </is>
      </c>
      <c r="J67" s="15" t="n"/>
      <c r="K67" s="15" t="n"/>
      <c r="L67" s="15" t="inlineStr">
        <is>
          <t>Shown on the timeline of the map.</t>
        </is>
      </c>
      <c r="M67" s="16" t="n"/>
    </row>
    <row r="68">
      <c r="A68" s="15" t="inlineStr">
        <is>
          <t>exodus-route</t>
        </is>
      </c>
      <c r="B68" s="15" t="n">
        <v>2</v>
      </c>
      <c r="C68" s="15" t="inlineStr">
        <is>
          <t>context</t>
        </is>
      </c>
      <c r="D68" s="15" t="n"/>
      <c r="E68" s="15" t="n"/>
      <c r="F68" s="15" t="inlineStr">
        <is>
          <t>b2-0018</t>
        </is>
      </c>
      <c r="G68" s="15" t="inlineStr">
        <is>
          <t>Point</t>
        </is>
      </c>
      <c r="H68" s="15" t="inlineStr">
        <is>
          <t>1513 B.C.E., Nisan 15</t>
        </is>
      </c>
      <c r="I68" s="15" t="inlineStr">
        <is>
          <t>Israel departs from Rameses</t>
        </is>
      </c>
      <c r="J68" s="15" t="n"/>
      <c r="K68" s="15" t="n"/>
      <c r="L68" s="15" t="inlineStr">
        <is>
          <t>Rameses? is the starting point of the route.</t>
        </is>
      </c>
      <c r="M68" s="16" t="n"/>
    </row>
    <row r="69">
      <c r="A69" s="15" t="inlineStr">
        <is>
          <t>exodus-route</t>
        </is>
      </c>
      <c r="B69" s="15" t="n">
        <v>3</v>
      </c>
      <c r="C69" s="15" t="inlineStr">
        <is>
          <t>context</t>
        </is>
      </c>
      <c r="D69" s="15" t="n"/>
      <c r="E69" s="15" t="n"/>
      <c r="F69" s="15" t="inlineStr">
        <is>
          <t>b2-0019</t>
        </is>
      </c>
      <c r="G69" s="15" t="inlineStr">
        <is>
          <t>Point</t>
        </is>
      </c>
      <c r="H69" s="15" t="inlineStr">
        <is>
          <t>1513 B.C.E., Nisan</t>
        </is>
      </c>
      <c r="I69" s="15" t="inlineStr">
        <is>
          <t>Red Sea deliverance</t>
        </is>
      </c>
      <c r="J69" s="15" t="n"/>
      <c r="K69" s="15" t="n"/>
      <c r="L69" s="15" t="inlineStr">
        <is>
          <t>Red Sea and Pihahiroth are on the route.</t>
        </is>
      </c>
      <c r="M69" s="16" t="n"/>
    </row>
    <row r="70">
      <c r="A70" s="15" t="inlineStr">
        <is>
          <t>exodus-route</t>
        </is>
      </c>
      <c r="B70" s="15" t="n">
        <v>4</v>
      </c>
      <c r="C70" s="15" t="inlineStr">
        <is>
          <t>context</t>
        </is>
      </c>
      <c r="D70" s="15" t="n"/>
      <c r="E70" s="15" t="n"/>
      <c r="F70" s="15" t="inlineStr">
        <is>
          <t>b2-0021</t>
        </is>
      </c>
      <c r="G70" s="15" t="inlineStr">
        <is>
          <t>Point</t>
        </is>
      </c>
      <c r="H70" s="15" t="inlineStr">
        <is>
          <t>1513 B.C.E., Iyyar (2nd month)</t>
        </is>
      </c>
      <c r="I70" s="15" t="inlineStr">
        <is>
          <t>Manna first provided in the wilderness of Sin</t>
        </is>
      </c>
      <c r="J70" s="15" t="n"/>
      <c r="K70" s="15" t="n"/>
      <c r="L70" s="15" t="inlineStr">
        <is>
          <t>Wilderness of Sin is on the route.</t>
        </is>
      </c>
      <c r="M70" s="16" t="n"/>
    </row>
    <row r="71">
      <c r="A71" s="15" t="inlineStr">
        <is>
          <t>exodus-route</t>
        </is>
      </c>
      <c r="B71" s="15" t="n">
        <v>5</v>
      </c>
      <c r="C71" s="15" t="inlineStr">
        <is>
          <t>context</t>
        </is>
      </c>
      <c r="D71" s="15" t="n"/>
      <c r="E71" s="15" t="n"/>
      <c r="F71" s="15" t="inlineStr">
        <is>
          <t>b2-0020</t>
        </is>
      </c>
      <c r="G71" s="15" t="inlineStr">
        <is>
          <t>Point</t>
        </is>
      </c>
      <c r="H71" s="15" t="inlineStr">
        <is>
          <t>1513 B.C.E.</t>
        </is>
      </c>
      <c r="I71" s="15" t="inlineStr">
        <is>
          <t>Joshua defeats the Amalekites at Rephidim</t>
        </is>
      </c>
      <c r="J71" s="15" t="n"/>
      <c r="K71" s="15" t="n"/>
      <c r="L71" s="15" t="inlineStr">
        <is>
          <t>Rephidim is on the route.</t>
        </is>
      </c>
      <c r="M71" s="16" t="n"/>
    </row>
    <row r="72">
      <c r="A72" s="15" t="inlineStr">
        <is>
          <t>exodus-route</t>
        </is>
      </c>
      <c r="B72" s="15" t="n">
        <v>6</v>
      </c>
      <c r="C72" s="15" t="inlineStr">
        <is>
          <t>item</t>
        </is>
      </c>
      <c r="D72" s="15" t="n"/>
      <c r="E72" s="15" t="inlineStr">
        <is>
          <t>Mosaic Law covenant</t>
        </is>
      </c>
      <c r="F72" s="15" t="inlineStr">
        <is>
          <t>b2-0022</t>
        </is>
      </c>
      <c r="G72" s="15" t="inlineStr">
        <is>
          <t>Point</t>
        </is>
      </c>
      <c r="H72" s="15" t="inlineStr">
        <is>
          <t>1513 B.C.E., Sivan (3rd month)</t>
        </is>
      </c>
      <c r="I72" s="15" t="inlineStr">
        <is>
          <t>Law covenant made at Mount Sinai (Horeb)</t>
        </is>
      </c>
      <c r="J72" s="15" t="n"/>
      <c r="K72" s="15" t="n"/>
      <c r="L72" s="15" t="inlineStr">
        <is>
          <t>Shown on the timeline of the map. Mt. Sinai, Horeb is on the route.</t>
        </is>
      </c>
      <c r="M72" s="16" t="n"/>
    </row>
    <row r="73">
      <c r="A73" s="15" t="inlineStr">
        <is>
          <t>exodus-route</t>
        </is>
      </c>
      <c r="B73" s="15" t="n">
        <v>7</v>
      </c>
      <c r="C73" s="15" t="inlineStr">
        <is>
          <t>context</t>
        </is>
      </c>
      <c r="D73" s="15" t="n"/>
      <c r="E73" s="15" t="n"/>
      <c r="F73" s="15" t="inlineStr">
        <is>
          <t>b12-0007</t>
        </is>
      </c>
      <c r="G73" s="15" t="inlineStr">
        <is>
          <t>Span</t>
        </is>
      </c>
      <c r="H73" s="15" t="inlineStr">
        <is>
          <t>1513 B.C.E.–1473 B.C.E.</t>
        </is>
      </c>
      <c r="I73" s="15" t="inlineStr">
        <is>
          <t>Israel’s 40 years in the wilderness</t>
        </is>
      </c>
      <c r="J73" s="15" t="n"/>
      <c r="K73" s="15" t="n"/>
      <c r="L73" s="15" t="inlineStr">
        <is>
          <t>The 40 years of wandering that the route covers.</t>
        </is>
      </c>
      <c r="M73" s="16" t="n"/>
    </row>
    <row r="74">
      <c r="A74" s="15" t="inlineStr">
        <is>
          <t>exodus-route</t>
        </is>
      </c>
      <c r="B74" s="15" t="n">
        <v>8</v>
      </c>
      <c r="C74" s="15" t="inlineStr">
        <is>
          <t>context</t>
        </is>
      </c>
      <c r="D74" s="15" t="n"/>
      <c r="E74" s="15" t="n"/>
      <c r="F74" s="15" t="inlineStr">
        <is>
          <t>b2-0033</t>
        </is>
      </c>
      <c r="G74" s="15" t="inlineStr">
        <is>
          <t>Point</t>
        </is>
      </c>
      <c r="H74" s="15" t="inlineStr">
        <is>
          <t>1474 B.C.E., Nisan</t>
        </is>
      </c>
      <c r="I74" s="15" t="inlineStr">
        <is>
          <t>Death of Miriam at Kadesh</t>
        </is>
      </c>
      <c r="J74" s="15" t="n"/>
      <c r="K74" s="15" t="n"/>
      <c r="L74" s="15" t="inlineStr">
        <is>
          <t>Kadesh, Kadesh-barnea is on the route.</t>
        </is>
      </c>
      <c r="M74" s="16" t="n"/>
    </row>
    <row r="75">
      <c r="A75" s="15" t="inlineStr">
        <is>
          <t>exodus-route</t>
        </is>
      </c>
      <c r="B75" s="15" t="n">
        <v>9</v>
      </c>
      <c r="C75" s="15" t="inlineStr">
        <is>
          <t>context</t>
        </is>
      </c>
      <c r="D75" s="15" t="n"/>
      <c r="E75" s="15" t="n"/>
      <c r="F75" s="15" t="inlineStr">
        <is>
          <t>b2-0034</t>
        </is>
      </c>
      <c r="G75" s="15" t="inlineStr">
        <is>
          <t>Point</t>
        </is>
      </c>
      <c r="H75" s="15" t="inlineStr">
        <is>
          <t>1474 B.C.E., Ab 1</t>
        </is>
      </c>
      <c r="I75" s="15" t="inlineStr">
        <is>
          <t>Death of Aaron on Mount Hor</t>
        </is>
      </c>
      <c r="J75" s="15" t="n"/>
      <c r="K75" s="15" t="n"/>
      <c r="L75" s="15" t="inlineStr">
        <is>
          <t>Mt. Hor is on the route.</t>
        </is>
      </c>
      <c r="M75" s="16" t="n"/>
    </row>
    <row r="76">
      <c r="A76" s="15" t="inlineStr">
        <is>
          <t>exodus-route</t>
        </is>
      </c>
      <c r="B76" s="15" t="n">
        <v>10</v>
      </c>
      <c r="C76" s="15" t="inlineStr">
        <is>
          <t>context</t>
        </is>
      </c>
      <c r="D76" s="15" t="n"/>
      <c r="E76" s="15" t="n"/>
      <c r="F76" s="15" t="inlineStr">
        <is>
          <t>b2-0035</t>
        </is>
      </c>
      <c r="G76" s="15" t="inlineStr">
        <is>
          <t>Point</t>
        </is>
      </c>
      <c r="H76" s="15" t="inlineStr">
        <is>
          <t>c. 1474 B.C.E.</t>
        </is>
      </c>
      <c r="I76" s="15" t="inlineStr">
        <is>
          <t>Amorite kingdoms east of the Jordan conquered</t>
        </is>
      </c>
      <c r="J76" s="15" t="n"/>
      <c r="K76" s="15" t="n"/>
      <c r="L76" s="15" t="inlineStr">
        <is>
          <t>Heshbon and the Arnon are on the route.</t>
        </is>
      </c>
      <c r="M76" s="16" t="n"/>
    </row>
    <row r="77">
      <c r="A77" s="15" t="inlineStr">
        <is>
          <t>exodus-route</t>
        </is>
      </c>
      <c r="B77" s="15" t="n">
        <v>11</v>
      </c>
      <c r="C77" s="15" t="inlineStr">
        <is>
          <t>context</t>
        </is>
      </c>
      <c r="D77" s="15" t="n"/>
      <c r="E77" s="15" t="n"/>
      <c r="F77" s="15" t="inlineStr">
        <is>
          <t>b2-0037</t>
        </is>
      </c>
      <c r="G77" s="15" t="inlineStr">
        <is>
          <t>Point</t>
        </is>
      </c>
      <c r="H77" s="15" t="inlineStr">
        <is>
          <t>1473 B.C.E.</t>
        </is>
      </c>
      <c r="I77" s="15" t="inlineStr">
        <is>
          <t>Census of Israel on the Plains of Moab</t>
        </is>
      </c>
      <c r="J77" s="15" t="n"/>
      <c r="K77" s="15" t="n"/>
      <c r="L77" s="15" t="inlineStr">
        <is>
          <t>Plains of Moab are at the end of the route.</t>
        </is>
      </c>
      <c r="M77" s="16" t="n"/>
    </row>
    <row r="78">
      <c r="A78" s="15" t="inlineStr">
        <is>
          <t>exodus-route</t>
        </is>
      </c>
      <c r="B78" s="15" t="n">
        <v>12</v>
      </c>
      <c r="C78" s="15" t="inlineStr">
        <is>
          <t>item</t>
        </is>
      </c>
      <c r="D78" s="15" t="n"/>
      <c r="E78" s="15" t="inlineStr">
        <is>
          <t>Joshua commissioned to succeed Moses</t>
        </is>
      </c>
      <c r="F78" s="15" t="inlineStr">
        <is>
          <t>b2-0042</t>
        </is>
      </c>
      <c r="G78" s="15" t="inlineStr">
        <is>
          <t>Point</t>
        </is>
      </c>
      <c r="H78" s="15" t="inlineStr">
        <is>
          <t>1473 B.C.E., Adar (12th month)</t>
        </is>
      </c>
      <c r="I78" s="15" t="inlineStr">
        <is>
          <t>Joshua commissioned to succeed Moses</t>
        </is>
      </c>
      <c r="J78" s="15" t="n"/>
      <c r="K78" s="15" t="n"/>
      <c r="L78" s="15" t="inlineStr">
        <is>
          <t>Shown on the timeline of the map.</t>
        </is>
      </c>
      <c r="M78" s="16" t="n"/>
    </row>
    <row r="79">
      <c r="A79" s="15" t="inlineStr">
        <is>
          <t>exodus-route</t>
        </is>
      </c>
      <c r="B79" s="15" t="n">
        <v>13</v>
      </c>
      <c r="C79" s="15" t="inlineStr">
        <is>
          <t>context</t>
        </is>
      </c>
      <c r="D79" s="15" t="n"/>
      <c r="E79" s="15" t="n"/>
      <c r="F79" s="15" t="inlineStr">
        <is>
          <t>b2-0043</t>
        </is>
      </c>
      <c r="G79" s="15" t="inlineStr">
        <is>
          <t>Point</t>
        </is>
      </c>
      <c r="H79" s="15" t="inlineStr">
        <is>
          <t>1473 B.C.E., Adar</t>
        </is>
      </c>
      <c r="I79" s="15" t="inlineStr">
        <is>
          <t>Moses dies on Mount Nebo in Moab</t>
        </is>
      </c>
      <c r="J79" s="15" t="n"/>
      <c r="K79" s="15" t="n"/>
      <c r="L79" s="15" t="inlineStr">
        <is>
          <t>Mt. Nebo is on the map.</t>
        </is>
      </c>
      <c r="M79" s="16" t="n"/>
    </row>
    <row r="80">
      <c r="A80" s="15" t="inlineStr">
        <is>
          <t>fulfilled-prophecies-nations</t>
        </is>
      </c>
      <c r="B80" s="15" t="n">
        <v>1</v>
      </c>
      <c r="C80" s="15" t="inlineStr">
        <is>
          <t>prophecy</t>
        </is>
      </c>
      <c r="D80" s="15" t="inlineStr">
        <is>
          <t>Samaria and the ten-tribe kingdom fall to Assyria (740 B.C.E.)</t>
        </is>
      </c>
      <c r="E80" s="15" t="inlineStr">
        <is>
          <t>Israel would reap the whirlwind of destruction from Assyria</t>
        </is>
      </c>
      <c r="F80" s="15" t="inlineStr">
        <is>
          <t>b3-0059</t>
        </is>
      </c>
      <c r="G80" s="15" t="inlineStr">
        <is>
          <t>Span</t>
        </is>
      </c>
      <c r="H80" s="15" t="inlineStr">
        <is>
          <t>b. 804–a. 745 B.C.E.</t>
        </is>
      </c>
      <c r="I80" s="15" t="inlineStr">
        <is>
          <t>Prophetic activity of Hosea</t>
        </is>
      </c>
      <c r="J80" s="15" t="inlineStr">
        <is>
          <t>b3-0076</t>
        </is>
      </c>
      <c r="K80" s="15" t="inlineStr">
        <is>
          <t>Hos. 8:7-10</t>
        </is>
      </c>
      <c r="L80" s="15" t="inlineStr">
        <is>
          <t>The prophecy itself is not dated; anchored to Hosea’s prophetic activity (b. 804–a. 745 B.C.E.).</t>
        </is>
      </c>
      <c r="M80" s="16" t="n"/>
    </row>
    <row r="81">
      <c r="A81" s="15" t="inlineStr">
        <is>
          <t>fulfilled-prophecies-nations</t>
        </is>
      </c>
      <c r="B81" s="15" t="n">
        <v>2</v>
      </c>
      <c r="C81" s="15" t="inlineStr">
        <is>
          <t>prophecy</t>
        </is>
      </c>
      <c r="D81" s="15" t="inlineStr">
        <is>
          <t>Samaria and the ten-tribe kingdom fall to Assyria (740 B.C.E.)</t>
        </is>
      </c>
      <c r="E81" s="15" t="inlineStr">
        <is>
          <t>Amos prophesied that in just a few short years, the ten-tribe kingdom would go into exile beyond Damascus</t>
        </is>
      </c>
      <c r="F81" s="15" t="inlineStr">
        <is>
          <t>b3-0054</t>
        </is>
      </c>
      <c r="G81" s="15" t="inlineStr">
        <is>
          <t>Span</t>
        </is>
      </c>
      <c r="H81" s="15" t="inlineStr">
        <is>
          <t>829–c. 804 B.C.E.</t>
        </is>
      </c>
      <c r="I81" s="15" t="inlineStr">
        <is>
          <t>Prophetic activity of Amos</t>
        </is>
      </c>
      <c r="J81" s="15" t="inlineStr">
        <is>
          <t>b3-0076</t>
        </is>
      </c>
      <c r="K81" s="15" t="inlineStr">
        <is>
          <t>Amos 5:27</t>
        </is>
      </c>
      <c r="L81" s="15" t="inlineStr">
        <is>
          <t>The prophecy itself is not dated; anchored to Amos’s prophetic activity (829–c. 804 B.C.E.).</t>
        </is>
      </c>
      <c r="M81" s="16" t="n"/>
    </row>
    <row r="82">
      <c r="A82" s="15" t="inlineStr">
        <is>
          <t>fulfilled-prophecies-nations</t>
        </is>
      </c>
      <c r="B82" s="15" t="n">
        <v>3</v>
      </c>
      <c r="C82" s="15" t="inlineStr">
        <is>
          <t>prophecy</t>
        </is>
      </c>
      <c r="D82" s="15" t="inlineStr">
        <is>
          <t>Samaria and the ten-tribe kingdom fall to Assyria (740 B.C.E.)</t>
        </is>
      </c>
      <c r="E82" s="15" t="inlineStr">
        <is>
          <t>Samaria would become “a heap of ruins of the field”</t>
        </is>
      </c>
      <c r="F82" s="15" t="inlineStr">
        <is>
          <t>b3-0068</t>
        </is>
      </c>
      <c r="G82" s="15" t="inlineStr">
        <is>
          <t>Span</t>
        </is>
      </c>
      <c r="H82" s="15" t="inlineStr">
        <is>
          <t>c. 777–717 B.C.E.</t>
        </is>
      </c>
      <c r="I82" s="15" t="inlineStr">
        <is>
          <t>Prophetic activity of Micah</t>
        </is>
      </c>
      <c r="J82" s="15" t="inlineStr">
        <is>
          <t>b3-0076</t>
        </is>
      </c>
      <c r="K82" s="15" t="inlineStr">
        <is>
          <t>Mic. 1:6, 7</t>
        </is>
      </c>
      <c r="L82" s="15" t="inlineStr">
        <is>
          <t>The prophecy itself is not dated; anchored to Micah’s prophetic activity (c. 777–717 B.C.E.).</t>
        </is>
      </c>
      <c r="M82" s="16" t="n"/>
    </row>
    <row r="83">
      <c r="A83" s="15" t="inlineStr">
        <is>
          <t>fulfilled-prophecies-nations</t>
        </is>
      </c>
      <c r="B83" s="15" t="n">
        <v>4</v>
      </c>
      <c r="C83" s="15" t="inlineStr">
        <is>
          <t>fulfillment</t>
        </is>
      </c>
      <c r="D83" s="15" t="inlineStr">
        <is>
          <t>Samaria and the ten-tribe kingdom fall to Assyria (740 B.C.E.)</t>
        </is>
      </c>
      <c r="E83" s="15" t="inlineStr">
        <is>
          <t>Samaria was ruined by the Assyrians in 740 B.C.E. when they took the northern kingdom of Israel into captivity</t>
        </is>
      </c>
      <c r="F83" s="15" t="inlineStr">
        <is>
          <t>b3-0076</t>
        </is>
      </c>
      <c r="G83" s="15" t="inlineStr">
        <is>
          <t>Point</t>
        </is>
      </c>
      <c r="H83" s="15" t="inlineStr">
        <is>
          <t>740 B.C.E.</t>
        </is>
      </c>
      <c r="I83" s="15" t="inlineStr">
        <is>
          <t>Assyria conquers Samaria; northern kingdom ends</t>
        </is>
      </c>
      <c r="J83" s="15" t="inlineStr">
        <is>
          <t>b3-0059, b3-0054, b3-0068</t>
        </is>
      </c>
      <c r="K83" s="15" t="inlineStr">
        <is>
          <t>2 Ki. 17:5, 6</t>
        </is>
      </c>
      <c r="L83" s="15" t="n"/>
      <c r="M83" s="16" t="n"/>
    </row>
    <row r="84">
      <c r="A84" s="15" t="inlineStr">
        <is>
          <t>fulfilled-prophecies-nations</t>
        </is>
      </c>
      <c r="B84" s="15" t="n">
        <v>5</v>
      </c>
      <c r="C84" s="15" t="inlineStr">
        <is>
          <t>prophecy</t>
        </is>
      </c>
      <c r="D84" s="15" t="inlineStr">
        <is>
          <t>Assyria fails to take Jerusalem (732 B.C.E.)</t>
        </is>
      </c>
      <c r="E84" s="15" t="inlineStr">
        <is>
          <t>Jehovah will put his hook in the Assyrian’s nose and lead him back the way he has come</t>
        </is>
      </c>
      <c r="F84" s="15" t="inlineStr">
        <is>
          <t>b3-0066</t>
        </is>
      </c>
      <c r="G84" s="15" t="inlineStr">
        <is>
          <t>Span</t>
        </is>
      </c>
      <c r="H84" s="15" t="inlineStr">
        <is>
          <t>c. 778–a. 732 B.C.E.</t>
        </is>
      </c>
      <c r="I84" s="15" t="inlineStr">
        <is>
          <t>Prophetic activity of Isaiah</t>
        </is>
      </c>
      <c r="J84" s="15" t="inlineStr">
        <is>
          <t>b3-0077</t>
        </is>
      </c>
      <c r="K84" s="15" t="inlineStr">
        <is>
          <t>Isa. 37:29, 33-35</t>
        </is>
      </c>
      <c r="L84" s="15" t="inlineStr">
        <is>
          <t>The prophecy itself is not dated; anchored to Isaiah’s prophetic activity (c. 778–a. 732 B.C.E.).</t>
        </is>
      </c>
      <c r="M84" s="16" t="n"/>
    </row>
    <row r="85">
      <c r="A85" s="15" t="inlineStr">
        <is>
          <t>fulfilled-prophecies-nations</t>
        </is>
      </c>
      <c r="B85" s="15" t="n">
        <v>6</v>
      </c>
      <c r="C85" s="15" t="inlineStr">
        <is>
          <t>prophecy</t>
        </is>
      </c>
      <c r="D85" s="15" t="inlineStr">
        <is>
          <t>Assyria fails to take Jerusalem (732 B.C.E.)</t>
        </is>
      </c>
      <c r="E85" s="15" t="inlineStr">
        <is>
          <t>Jehovah would show mercy to Judah and save her, but not by military might</t>
        </is>
      </c>
      <c r="F85" s="15" t="inlineStr">
        <is>
          <t>b3-0059</t>
        </is>
      </c>
      <c r="G85" s="15" t="inlineStr">
        <is>
          <t>Span</t>
        </is>
      </c>
      <c r="H85" s="15" t="inlineStr">
        <is>
          <t>b. 804–a. 745 B.C.E.</t>
        </is>
      </c>
      <c r="I85" s="15" t="inlineStr">
        <is>
          <t>Prophetic activity of Hosea</t>
        </is>
      </c>
      <c r="J85" s="15" t="inlineStr">
        <is>
          <t>b3-0077</t>
        </is>
      </c>
      <c r="K85" s="15" t="inlineStr">
        <is>
          <t>Hos. 1:7</t>
        </is>
      </c>
      <c r="L85" s="15" t="inlineStr">
        <is>
          <t>The prophecy itself is not dated; anchored to Hosea’s prophetic activity (b. 804–a. 745 B.C.E.).</t>
        </is>
      </c>
      <c r="M85" s="16" t="n"/>
    </row>
    <row r="86">
      <c r="A86" s="15" t="inlineStr">
        <is>
          <t>fulfilled-prophecies-nations</t>
        </is>
      </c>
      <c r="B86" s="15" t="n">
        <v>7</v>
      </c>
      <c r="C86" s="15" t="inlineStr">
        <is>
          <t>fulfillment</t>
        </is>
      </c>
      <c r="D86" s="15" t="inlineStr">
        <is>
          <t>Assyria fails to take Jerusalem (732 B.C.E.)</t>
        </is>
      </c>
      <c r="E86" s="15" t="inlineStr">
        <is>
          <t>This was fulfilled when Jehovah’s angel slew 185,000 of the Assyrians threatening Jerusalem</t>
        </is>
      </c>
      <c r="F86" s="15" t="inlineStr">
        <is>
          <t>b3-0077</t>
        </is>
      </c>
      <c r="G86" s="15" t="inlineStr">
        <is>
          <t>Point</t>
        </is>
      </c>
      <c r="H86" s="15" t="inlineStr">
        <is>
          <t>732 B.C.E.</t>
        </is>
      </c>
      <c r="I86" s="15" t="inlineStr">
        <is>
          <t>Sennacherib invades Judah</t>
        </is>
      </c>
      <c r="J86" s="15" t="inlineStr">
        <is>
          <t>b3-0066, b3-0059</t>
        </is>
      </c>
      <c r="K86" s="15" t="inlineStr">
        <is>
          <t>2 Ki. 19:34, 35; Isa. 37:36</t>
        </is>
      </c>
      <c r="L86" s="15" t="inlineStr">
        <is>
          <t>gm chap. 9 par. 2: “In 732 B.C.E. he [Hezekiah] experienced God’s saving power, when the Assyrian attempt to conquer Jerusalem had failed.”</t>
        </is>
      </c>
      <c r="M86" s="16" t="n"/>
    </row>
    <row r="87">
      <c r="A87" s="15" t="inlineStr">
        <is>
          <t>fulfilled-prophecies-nations</t>
        </is>
      </c>
      <c r="B87" s="15" t="n">
        <v>8</v>
      </c>
      <c r="C87" s="15" t="inlineStr">
        <is>
          <t>prophecy</t>
        </is>
      </c>
      <c r="D87" s="15" t="inlineStr">
        <is>
          <t>Nineveh destroyed (632 B.C.E.)</t>
        </is>
      </c>
      <c r="E87" s="15" t="inlineStr">
        <is>
          <t>Nineveh could be breached at the “gates of the rivers,” her palace be dissolved, and she herself become “emptiness and voidness, and a city laid waste”</t>
        </is>
      </c>
      <c r="F87" s="15" t="inlineStr">
        <is>
          <t>b3-0092</t>
        </is>
      </c>
      <c r="G87" s="15" t="inlineStr">
        <is>
          <t>Point</t>
        </is>
      </c>
      <c r="H87" s="15" t="inlineStr">
        <is>
          <t>b. 632 B.C.E.</t>
        </is>
      </c>
      <c r="I87" s="15" t="inlineStr">
        <is>
          <t>Prophetic activity of Nahum</t>
        </is>
      </c>
      <c r="J87" s="15" t="inlineStr">
        <is>
          <t>b3-0091</t>
        </is>
      </c>
      <c r="K87" s="15" t="inlineStr">
        <is>
          <t>Nah. 2:6-10; Nah. 3:7, 13, 17, 19</t>
        </is>
      </c>
      <c r="L87" s="15" t="inlineStr">
        <is>
          <t>Nahum’s prophecy is dated only “b. 632 B.C.E.” (b3-0092).</t>
        </is>
      </c>
      <c r="M87" s="16" t="n"/>
    </row>
    <row r="88">
      <c r="A88" s="15" t="inlineStr">
        <is>
          <t>fulfilled-prophecies-nations</t>
        </is>
      </c>
      <c r="B88" s="15" t="n">
        <v>9</v>
      </c>
      <c r="C88" s="15" t="inlineStr">
        <is>
          <t>prophecy</t>
        </is>
      </c>
      <c r="D88" s="15" t="inlineStr">
        <is>
          <t>Nineveh destroyed (632 B.C.E.)</t>
        </is>
      </c>
      <c r="E88" s="15" t="inlineStr">
        <is>
          <t>Jehovah “will make Nineveh a desolate waste, a waterless region like the wilderness”</t>
        </is>
      </c>
      <c r="F88" s="15" t="inlineStr">
        <is>
          <t>b3-0084</t>
        </is>
      </c>
      <c r="G88" s="15" t="inlineStr">
        <is>
          <t>Span</t>
        </is>
      </c>
      <c r="H88" s="15" t="inlineStr">
        <is>
          <t>early in Josiah’s reign (659–b. 648 B.C.E.)</t>
        </is>
      </c>
      <c r="I88" s="15" t="inlineStr">
        <is>
          <t>Prophetic activity of Zephaniah</t>
        </is>
      </c>
      <c r="J88" s="15" t="inlineStr">
        <is>
          <t>b3-0091</t>
        </is>
      </c>
      <c r="K88" s="15" t="inlineStr">
        <is>
          <t>Zeph. 2:13-15</t>
        </is>
      </c>
      <c r="L88" s="15" t="inlineStr">
        <is>
          <t>The prophecy itself is not dated; anchored to Zephaniah’s prophetic activity (early in Josiah’s reign, 659–b. 648 B.C.E.).</t>
        </is>
      </c>
      <c r="M88" s="16" t="n"/>
    </row>
    <row r="89">
      <c r="A89" s="15" t="inlineStr">
        <is>
          <t>fulfilled-prophecies-nations</t>
        </is>
      </c>
      <c r="B89" s="15" t="n">
        <v>10</v>
      </c>
      <c r="C89" s="15" t="inlineStr">
        <is>
          <t>fulfillment</t>
        </is>
      </c>
      <c r="D89" s="15" t="inlineStr">
        <is>
          <t>Nineveh destroyed (632 B.C.E.)</t>
        </is>
      </c>
      <c r="E89" s="15" t="inlineStr">
        <is>
          <t>Those prophecies of destruction were fulfilled in 632 B.C.E., when Nineveh fell to the combined forces of the Babylonians and the Medes</t>
        </is>
      </c>
      <c r="F89" s="15" t="inlineStr">
        <is>
          <t>b3-0091</t>
        </is>
      </c>
      <c r="G89" s="15" t="inlineStr">
        <is>
          <t>Point</t>
        </is>
      </c>
      <c r="H89" s="15" t="inlineStr">
        <is>
          <t>632 B.C.E.</t>
        </is>
      </c>
      <c r="I89" s="15" t="inlineStr">
        <is>
          <t>Nineveh falls to the Chaldeans and Medes</t>
        </is>
      </c>
      <c r="J89" s="15" t="inlineStr">
        <is>
          <t>b3-0092, b3-0084</t>
        </is>
      </c>
      <c r="K89" s="15" t="inlineStr">
        <is>
          <t>Nah. 3:7</t>
        </is>
      </c>
      <c r="L89" s="15" t="inlineStr">
        <is>
          <t>Insight “Nineveh”: the 14th year of Nabopolassar, 632 B.C.E.</t>
        </is>
      </c>
      <c r="M89" s="16" t="n"/>
    </row>
    <row r="90">
      <c r="A90" s="15" t="inlineStr">
        <is>
          <t>fulfilled-prophecies-nations</t>
        </is>
      </c>
      <c r="B90" s="15" t="n">
        <v>11</v>
      </c>
      <c r="C90" s="15" t="inlineStr">
        <is>
          <t>prophecy</t>
        </is>
      </c>
      <c r="D90" s="15" t="inlineStr">
        <is>
          <t>Josiah foretold by name (1 Kings 13:2)</t>
        </is>
      </c>
      <c r="E90" s="15" t="inlineStr">
        <is>
          <t>The forecast, made more than 300 years in advance, that Josiah would be the one to rip apart Jeroboam’s altar at Bethel</t>
        </is>
      </c>
      <c r="F90" s="15" t="inlineStr">
        <is>
          <t>d1-0052</t>
        </is>
      </c>
      <c r="G90" s="15" t="inlineStr">
        <is>
          <t>Span</t>
        </is>
      </c>
      <c r="H90" s="15" t="inlineStr">
        <is>
          <t>997 B.C.E. – c. 976 B.C.E.</t>
        </is>
      </c>
      <c r="I90" s="15" t="inlineStr">
        <is>
          <t>Reign of Jeroboam (Israel)</t>
        </is>
      </c>
      <c r="J90" s="15" t="inlineStr">
        <is>
          <t>b15-0001</t>
        </is>
      </c>
      <c r="K90" s="15" t="inlineStr">
        <is>
          <t>1 Ki. 13:1-3</t>
        </is>
      </c>
      <c r="L90" s="15" t="inlineStr">
        <is>
          <t>Uttered by “the man of the true God” at the altar Jeroboam set up at Bethel (1 Ki. 12:32–13:2); jw.org gives no year, so it is anchored to Jeroboam’s reign (997–c. 976 B.C.E.).</t>
        </is>
      </c>
      <c r="M90" s="16" t="n"/>
    </row>
    <row r="91">
      <c r="A91" s="15" t="inlineStr">
        <is>
          <t>fulfilled-prophecies-nations</t>
        </is>
      </c>
      <c r="B91" s="15" t="n">
        <v>12</v>
      </c>
      <c r="C91" s="15" t="inlineStr">
        <is>
          <t>fulfillment</t>
        </is>
      </c>
      <c r="D91" s="15" t="inlineStr">
        <is>
          <t>Josiah foretold by name (1 Kings 13:2)</t>
        </is>
      </c>
      <c r="E91" s="15" t="inlineStr">
        <is>
          <t>Josiah destroyed the site of idolatrous worship in Bethel, first burning the bones from nearby tombs on the altar</t>
        </is>
      </c>
      <c r="F91" s="15" t="inlineStr">
        <is>
          <t>b15-0001</t>
        </is>
      </c>
      <c r="G91" s="15" t="inlineStr">
        <is>
          <t>Point</t>
        </is>
      </c>
      <c r="H91" s="15" t="inlineStr">
        <is>
          <t>During or following Josiah’s 18th year (642 B.C.E.)</t>
        </is>
      </c>
      <c r="I91" s="15" t="inlineStr">
        <is>
          <t>Josiah tears down and desecrates Jeroboam’s altar at Bethel</t>
        </is>
      </c>
      <c r="J91" s="15" t="inlineStr">
        <is>
          <t>d1-0052</t>
        </is>
      </c>
      <c r="K91" s="15" t="inlineStr">
        <is>
          <t>2 Ki. 23:15-18</t>
        </is>
      </c>
      <c r="L91" s="15" t="n"/>
      <c r="M91" s="16" t="n"/>
    </row>
    <row r="92">
      <c r="A92" s="15" t="inlineStr">
        <is>
          <t>fulfilled-prophecies-nations</t>
        </is>
      </c>
      <c r="B92" s="15" t="n">
        <v>13</v>
      </c>
      <c r="C92" s="15" t="inlineStr">
        <is>
          <t>prophecy</t>
        </is>
      </c>
      <c r="D92" s="15" t="inlineStr">
        <is>
          <t>Jerusalem destroyed by Babylon (609–607 B.C.E.)</t>
        </is>
      </c>
      <c r="E92" s="15" t="inlineStr">
        <is>
          <t>“I shall certainly send fire into his cities and it must devour the dwelling towers of each one”</t>
        </is>
      </c>
      <c r="F92" s="15" t="inlineStr">
        <is>
          <t>b3-0059</t>
        </is>
      </c>
      <c r="G92" s="15" t="inlineStr">
        <is>
          <t>Span</t>
        </is>
      </c>
      <c r="H92" s="15" t="inlineStr">
        <is>
          <t>b. 804–a. 745 B.C.E.</t>
        </is>
      </c>
      <c r="I92" s="15" t="inlineStr">
        <is>
          <t>Prophetic activity of Hosea</t>
        </is>
      </c>
      <c r="J92" s="15" t="inlineStr">
        <is>
          <t>b12-0022, b3-0113</t>
        </is>
      </c>
      <c r="K92" s="15" t="inlineStr">
        <is>
          <t>Hos. 8:14</t>
        </is>
      </c>
      <c r="L92" s="15" t="inlineStr">
        <is>
          <t>The prophecy itself is not dated; anchored to Hosea’s prophetic activity (b. 804–a. 745 B.C.E.).</t>
        </is>
      </c>
      <c r="M92" s="16" t="n"/>
    </row>
    <row r="93">
      <c r="A93" s="15" t="inlineStr">
        <is>
          <t>fulfilled-prophecies-nations</t>
        </is>
      </c>
      <c r="B93" s="15" t="n">
        <v>14</v>
      </c>
      <c r="C93" s="15" t="inlineStr">
        <is>
          <t>prophecy</t>
        </is>
      </c>
      <c r="D93" s="15" t="inlineStr">
        <is>
          <t>Jerusalem destroyed by Babylon (609–607 B.C.E.)</t>
        </is>
      </c>
      <c r="E93" s="15" t="inlineStr">
        <is>
          <t>“All that is in your own house . . . will actually be carried to Babylon. . . . Nothing will be left”</t>
        </is>
      </c>
      <c r="F93" s="15" t="inlineStr">
        <is>
          <t>b3-0066</t>
        </is>
      </c>
      <c r="G93" s="15" t="inlineStr">
        <is>
          <t>Span</t>
        </is>
      </c>
      <c r="H93" s="15" t="inlineStr">
        <is>
          <t>c. 778–a. 732 B.C.E.</t>
        </is>
      </c>
      <c r="I93" s="15" t="inlineStr">
        <is>
          <t>Prophetic activity of Isaiah</t>
        </is>
      </c>
      <c r="J93" s="15" t="inlineStr">
        <is>
          <t>b3-0113</t>
        </is>
      </c>
      <c r="K93" s="15" t="inlineStr">
        <is>
          <t>Isa. 39:5-7</t>
        </is>
      </c>
      <c r="L93" s="15" t="inlineStr">
        <is>
          <t>The prophecy itself is not dated; anchored to Isaiah’s prophetic activity (c. 778–a. 732 B.C.E.). Spoken to Hezekiah after the Babylonian envoys’ visit.</t>
        </is>
      </c>
      <c r="M93" s="16" t="n"/>
    </row>
    <row r="94">
      <c r="A94" s="15" t="inlineStr">
        <is>
          <t>fulfilled-prophecies-nations</t>
        </is>
      </c>
      <c r="B94" s="15" t="n">
        <v>15</v>
      </c>
      <c r="C94" s="15" t="inlineStr">
        <is>
          <t>prophecy</t>
        </is>
      </c>
      <c r="D94" s="15" t="inlineStr">
        <is>
          <t>Jerusalem destroyed by Babylon (609–607 B.C.E.)</t>
        </is>
      </c>
      <c r="E94" s="15" t="inlineStr">
        <is>
          <t>“Zion will be plowed up as a mere field, and Jerusalem herself will become mere heaps of ruins”</t>
        </is>
      </c>
      <c r="F94" s="15" t="inlineStr">
        <is>
          <t>b3-0068</t>
        </is>
      </c>
      <c r="G94" s="15" t="inlineStr">
        <is>
          <t>Span</t>
        </is>
      </c>
      <c r="H94" s="15" t="inlineStr">
        <is>
          <t>c. 777–717 B.C.E.</t>
        </is>
      </c>
      <c r="I94" s="15" t="inlineStr">
        <is>
          <t>Prophetic activity of Micah</t>
        </is>
      </c>
      <c r="J94" s="15" t="inlineStr">
        <is>
          <t>b3-0113</t>
        </is>
      </c>
      <c r="K94" s="15" t="inlineStr">
        <is>
          <t>Mic. 3:12; Jer. 26:18, 19</t>
        </is>
      </c>
      <c r="L94" s="15" t="inlineStr">
        <is>
          <t>The prophecy itself is not dated; anchored to Micah’s prophetic activity (c. 777–717 B.C.E.).</t>
        </is>
      </c>
      <c r="M94" s="16" t="n"/>
    </row>
    <row r="95">
      <c r="A95" s="15" t="inlineStr">
        <is>
          <t>fulfilled-prophecies-nations</t>
        </is>
      </c>
      <c r="B95" s="15" t="n">
        <v>16</v>
      </c>
      <c r="C95" s="15" t="inlineStr">
        <is>
          <t>prophecy</t>
        </is>
      </c>
      <c r="D95" s="15" t="inlineStr">
        <is>
          <t>Jerusalem destroyed by Babylon (609–607 B.C.E.)</t>
        </is>
      </c>
      <c r="E95" s="15" t="inlineStr">
        <is>
          <t>Zephaniah foretold the destruction of Jerusalem</t>
        </is>
      </c>
      <c r="F95" s="15" t="inlineStr">
        <is>
          <t>b3-0084</t>
        </is>
      </c>
      <c r="G95" s="15" t="inlineStr">
        <is>
          <t>Span</t>
        </is>
      </c>
      <c r="H95" s="15" t="inlineStr">
        <is>
          <t>early in Josiah’s reign (659–b. 648 B.C.E.)</t>
        </is>
      </c>
      <c r="I95" s="15" t="inlineStr">
        <is>
          <t>Prophetic activity of Zephaniah</t>
        </is>
      </c>
      <c r="J95" s="15" t="inlineStr">
        <is>
          <t>b3-0113</t>
        </is>
      </c>
      <c r="K95" s="15" t="inlineStr">
        <is>
          <t>Zeph. 1:17; Zeph. 2:2</t>
        </is>
      </c>
      <c r="L95" s="15" t="inlineStr">
        <is>
          <t>si: Jerusalem was destroyed “more than 40 years after Zephaniah had foretold it.” The prophecy itself is not dated; anchored to Zephaniah’s prophetic activity (659–b. 648 B.C.E.).</t>
        </is>
      </c>
      <c r="M95" s="16" t="n"/>
    </row>
    <row r="96">
      <c r="A96" s="15" t="inlineStr">
        <is>
          <t>fulfilled-prophecies-nations</t>
        </is>
      </c>
      <c r="B96" s="15" t="n">
        <v>17</v>
      </c>
      <c r="C96" s="15" t="inlineStr">
        <is>
          <t>prophecy</t>
        </is>
      </c>
      <c r="D96" s="15" t="inlineStr">
        <is>
          <t>Jerusalem destroyed by Babylon (609–607 B.C.E.)</t>
        </is>
      </c>
      <c r="E96" s="15" t="inlineStr">
        <is>
          <t>“I will bring [the Babylonians] against this land . . . And all this land must become a devastated place, an object of astonishment”</t>
        </is>
      </c>
      <c r="F96" s="15" t="inlineStr">
        <is>
          <t>b3-0088</t>
        </is>
      </c>
      <c r="G96" s="15" t="inlineStr">
        <is>
          <t>Span</t>
        </is>
      </c>
      <c r="H96" s="15" t="inlineStr">
        <is>
          <t>647–580 B.C.E.</t>
        </is>
      </c>
      <c r="I96" s="15" t="inlineStr">
        <is>
          <t>Prophetic activity of Jeremiah</t>
        </is>
      </c>
      <c r="J96" s="15" t="inlineStr">
        <is>
          <t>b12-0022, b3-0113</t>
        </is>
      </c>
      <c r="K96" s="15" t="inlineStr">
        <is>
          <t>Jer. 25:9, 11</t>
        </is>
      </c>
      <c r="L96" s="15" t="inlineStr">
        <is>
          <t>Jer. 25:1 dates this word to the fourth year of Jehoiakim; anchored to Jeremiah’s prophetic activity (647–580 B.C.E.).</t>
        </is>
      </c>
      <c r="M96" s="16" t="n"/>
    </row>
    <row r="97">
      <c r="A97" s="15" t="inlineStr">
        <is>
          <t>fulfilled-prophecies-nations</t>
        </is>
      </c>
      <c r="B97" s="15" t="n">
        <v>18</v>
      </c>
      <c r="C97" s="15" t="inlineStr">
        <is>
          <t>fulfillment</t>
        </is>
      </c>
      <c r="D97" s="15" t="inlineStr">
        <is>
          <t>Jerusalem destroyed by Babylon (609–607 B.C.E.)</t>
        </is>
      </c>
      <c r="E97" s="15" t="inlineStr">
        <is>
          <t>A forecast that had terrible fulfillment when Nebuchadnezzar laid waste Judah and Jerusalem, 609-607 B.C.E.</t>
        </is>
      </c>
      <c r="F97" s="15" t="inlineStr">
        <is>
          <t>b12-0022</t>
        </is>
      </c>
      <c r="G97" s="15" t="inlineStr">
        <is>
          <t>Span</t>
        </is>
      </c>
      <c r="H97" s="15" t="inlineStr">
        <is>
          <t>609 B.C.E.–607 B.C.E.</t>
        </is>
      </c>
      <c r="I97" s="15" t="inlineStr">
        <is>
          <t>Babylonian siege of Jerusalem</t>
        </is>
      </c>
      <c r="J97" s="15" t="inlineStr">
        <is>
          <t>b3-0059, b3-0088</t>
        </is>
      </c>
      <c r="K97" s="15" t="inlineStr">
        <is>
          <t>Jer. 34:6, 7; 2 Chron. 36:19</t>
        </is>
      </c>
      <c r="L97" s="15" t="n"/>
      <c r="M97" s="16" t="n"/>
    </row>
    <row r="98">
      <c r="A98" s="15" t="inlineStr">
        <is>
          <t>fulfilled-prophecies-nations</t>
        </is>
      </c>
      <c r="B98" s="15" t="n">
        <v>19</v>
      </c>
      <c r="C98" s="15" t="inlineStr">
        <is>
          <t>fulfillment</t>
        </is>
      </c>
      <c r="D98" s="15" t="inlineStr">
        <is>
          <t>Jerusalem destroyed by Babylon (609–607 B.C.E.)</t>
        </is>
      </c>
      <c r="E98" s="15" t="inlineStr">
        <is>
          <t>This prophecy was accurately fulfilled in 607 B.C.E. when the king of Babylon razed Jerusalem</t>
        </is>
      </c>
      <c r="F98" s="15" t="inlineStr">
        <is>
          <t>b3-0113</t>
        </is>
      </c>
      <c r="G98" s="15" t="inlineStr">
        <is>
          <t>Point</t>
        </is>
      </c>
      <c r="H98" s="15" t="inlineStr">
        <is>
          <t>607 B.C.E., Ab 10</t>
        </is>
      </c>
      <c r="I98" s="15" t="inlineStr">
        <is>
          <t>Jerusalem and the temple destroyed by Babylon</t>
        </is>
      </c>
      <c r="J98" s="15" t="inlineStr">
        <is>
          <t>b3-0059, b3-0066, b3-0068, b3-0084, b3-0088</t>
        </is>
      </c>
      <c r="K98" s="15" t="inlineStr">
        <is>
          <t>2 Chron. 36:17-21</t>
        </is>
      </c>
      <c r="L98" s="15" t="n"/>
      <c r="M98" s="16" t="n"/>
    </row>
    <row r="99">
      <c r="A99" s="15" t="inlineStr">
        <is>
          <t>fulfilled-prophecies-nations</t>
        </is>
      </c>
      <c r="B99" s="15" t="n">
        <v>20</v>
      </c>
      <c r="C99" s="15" t="inlineStr">
        <is>
          <t>prophecy</t>
        </is>
      </c>
      <c r="D99" s="15" t="inlineStr">
        <is>
          <t>Seventy years of desolation and the return (607–537 B.C.E.)</t>
        </is>
      </c>
      <c r="E99" s="15" t="inlineStr">
        <is>
          <t>“These nations will have to serve the king of Babylon seventy years” . . . “I will establish toward you my good word in bringing you back to this place”</t>
        </is>
      </c>
      <c r="F99" s="15" t="inlineStr">
        <is>
          <t>b3-0088</t>
        </is>
      </c>
      <c r="G99" s="15" t="inlineStr">
        <is>
          <t>Span</t>
        </is>
      </c>
      <c r="H99" s="15" t="inlineStr">
        <is>
          <t>647–580 B.C.E.</t>
        </is>
      </c>
      <c r="I99" s="15" t="inlineStr">
        <is>
          <t>Prophetic activity of Jeremiah</t>
        </is>
      </c>
      <c r="J99" s="15" t="inlineStr">
        <is>
          <t>b3-0116, b12-0024, b4-0028</t>
        </is>
      </c>
      <c r="K99" s="15" t="inlineStr">
        <is>
          <t>Jer. 25:11, 12; Jer. 29:10</t>
        </is>
      </c>
      <c r="L99" s="15" t="inlineStr">
        <is>
          <t>The prophecy itself is not dated; anchored to Jeremiah’s prophetic activity (647–580 B.C.E.).</t>
        </is>
      </c>
      <c r="M99" s="16" t="n"/>
    </row>
    <row r="100">
      <c r="A100" s="15" t="inlineStr">
        <is>
          <t>fulfilled-prophecies-nations</t>
        </is>
      </c>
      <c r="B100" s="15" t="n">
        <v>21</v>
      </c>
      <c r="C100" s="15" t="inlineStr">
        <is>
          <t>fulfillment</t>
        </is>
      </c>
      <c r="D100" s="15" t="inlineStr">
        <is>
          <t>Seventy years of desolation and the return (607–537 B.C.E.)</t>
        </is>
      </c>
      <c r="E100" s="15" t="inlineStr">
        <is>
          <t>The prophesied 70 years of Judah’s desolation began in Tishri of 607 B.C.E.</t>
        </is>
      </c>
      <c r="F100" s="15" t="inlineStr">
        <is>
          <t>b3-0116</t>
        </is>
      </c>
      <c r="G100" s="15" t="inlineStr">
        <is>
          <t>Point</t>
        </is>
      </c>
      <c r="H100" s="15" t="inlineStr">
        <is>
          <t>607 B.C.E., c. October 1</t>
        </is>
      </c>
      <c r="I100" s="15" t="inlineStr">
        <is>
          <t>Jews abandon Judah; 70-year desolation begins</t>
        </is>
      </c>
      <c r="J100" s="15" t="inlineStr">
        <is>
          <t>b3-0088</t>
        </is>
      </c>
      <c r="K100" s="15" t="inlineStr">
        <is>
          <t>2 Ki. 25:22-26; 2 Chron. 36:20, 21</t>
        </is>
      </c>
      <c r="L100" s="15" t="n"/>
      <c r="M100" s="16" t="n"/>
    </row>
    <row r="101">
      <c r="A101" s="15" t="inlineStr">
        <is>
          <t>fulfilled-prophecies-nations</t>
        </is>
      </c>
      <c r="B101" s="15" t="n">
        <v>22</v>
      </c>
      <c r="C101" s="15" t="inlineStr">
        <is>
          <t>fulfillment</t>
        </is>
      </c>
      <c r="D101" s="15" t="inlineStr">
        <is>
          <t>Seventy years of desolation and the return (607–537 B.C.E.)</t>
        </is>
      </c>
      <c r="E101" s="15" t="inlineStr">
        <is>
          <t>After 70 years of exile, from 607 to 537 B.C.E., King Cyrus of Persia released the Jewish captives</t>
        </is>
      </c>
      <c r="F101" s="15" t="inlineStr">
        <is>
          <t>b12-0024</t>
        </is>
      </c>
      <c r="G101" s="15" t="inlineStr">
        <is>
          <t>Span</t>
        </is>
      </c>
      <c r="H101" s="15" t="inlineStr">
        <is>
          <t>607 B.C.E.–537 B.C.E.</t>
        </is>
      </c>
      <c r="I101" s="15" t="inlineStr">
        <is>
          <t>The 70 years of Judah’s desolation</t>
        </is>
      </c>
      <c r="J101" s="15" t="inlineStr">
        <is>
          <t>b3-0088</t>
        </is>
      </c>
      <c r="K101" s="15" t="inlineStr">
        <is>
          <t>Ezra 1:2-4</t>
        </is>
      </c>
      <c r="L101" s="15" t="n"/>
      <c r="M101" s="16" t="n"/>
    </row>
    <row r="102">
      <c r="A102" s="15" t="inlineStr">
        <is>
          <t>fulfilled-prophecies-nations</t>
        </is>
      </c>
      <c r="B102" s="15" t="n">
        <v>23</v>
      </c>
      <c r="C102" s="15" t="inlineStr">
        <is>
          <t>fulfillment</t>
        </is>
      </c>
      <c r="D102" s="15" t="inlineStr">
        <is>
          <t>Seventy years of desolation and the return (607–537 B.C.E.)</t>
        </is>
      </c>
      <c r="E102" s="15" t="inlineStr">
        <is>
          <t>Ezra drew attention to the fulfillment of Jeremiah’s words at the end of the 70 years</t>
        </is>
      </c>
      <c r="F102" s="15" t="inlineStr">
        <is>
          <t>b4-0028</t>
        </is>
      </c>
      <c r="G102" s="15" t="inlineStr">
        <is>
          <t>Point</t>
        </is>
      </c>
      <c r="H102" s="15" t="inlineStr">
        <is>
          <t>537 B.C.E. (by Tishri)</t>
        </is>
      </c>
      <c r="I102" s="15" t="inlineStr">
        <is>
          <t>Jews return to Jerusalem; 70-year desolation ends</t>
        </is>
      </c>
      <c r="J102" s="15" t="inlineStr">
        <is>
          <t>b3-0088</t>
        </is>
      </c>
      <c r="K102" s="15" t="inlineStr">
        <is>
          <t>Ezra 1:1; 2 Chron. 36:20, 21</t>
        </is>
      </c>
      <c r="L102" s="15" t="inlineStr">
        <is>
          <t>Insight “Cyrus”: settled in their cities by the seventh month (Tishri) of 537 B.C.E.; “this marked the end of the prophesied 70 years.”</t>
        </is>
      </c>
      <c r="M102" s="16" t="n"/>
    </row>
    <row r="103">
      <c r="A103" s="15" t="inlineStr">
        <is>
          <t>fulfilled-prophecies-nations</t>
        </is>
      </c>
      <c r="B103" s="15" t="n">
        <v>24</v>
      </c>
      <c r="C103" s="15" t="inlineStr">
        <is>
          <t>context</t>
        </is>
      </c>
      <c r="D103" s="15" t="inlineStr">
        <is>
          <t>Seventy years of desolation and the return (607–537 B.C.E.)</t>
        </is>
      </c>
      <c r="E103" s="15" t="inlineStr">
        <is>
          <t>Daniel discerned from the writings of Jeremiah that Jerusalem’s desolation must be 70 years</t>
        </is>
      </c>
      <c r="F103" s="15" t="inlineStr">
        <is>
          <t>b4-0026</t>
        </is>
      </c>
      <c r="G103" s="15" t="inlineStr">
        <is>
          <t>Point</t>
        </is>
      </c>
      <c r="H103" s="15" t="inlineStr">
        <is>
          <t>539/538 B.C.E.</t>
        </is>
      </c>
      <c r="I103" s="15" t="inlineStr">
        <is>
          <t>First year of Darius the Mede: Daniel receives the 70 weeks prophecy</t>
        </is>
      </c>
      <c r="J103" s="15" t="n"/>
      <c r="K103" s="15" t="inlineStr">
        <is>
          <t>Dan. 9:2</t>
        </is>
      </c>
      <c r="L103" s="15" t="n"/>
      <c r="M103" s="16" t="n"/>
    </row>
    <row r="104">
      <c r="A104" s="15" t="inlineStr">
        <is>
          <t>fulfilled-prophecies-nations</t>
        </is>
      </c>
      <c r="B104" s="15" t="n">
        <v>25</v>
      </c>
      <c r="C104" s="15" t="inlineStr">
        <is>
          <t>prophecy</t>
        </is>
      </c>
      <c r="D104" s="15" t="inlineStr">
        <is>
          <t>Kings Coniah (Jehoiachin) and Zedekiah taken captive</t>
        </is>
      </c>
      <c r="E104" s="15" t="inlineStr">
        <is>
          <t>Prophecy fulfillments that Jeremiah himself survived to see</t>
        </is>
      </c>
      <c r="F104" s="15" t="inlineStr">
        <is>
          <t>b3-0088</t>
        </is>
      </c>
      <c r="G104" s="15" t="inlineStr">
        <is>
          <t>Span</t>
        </is>
      </c>
      <c r="H104" s="15" t="inlineStr">
        <is>
          <t>647–580 B.C.E.</t>
        </is>
      </c>
      <c r="I104" s="15" t="inlineStr">
        <is>
          <t>Prophetic activity of Jeremiah</t>
        </is>
      </c>
      <c r="J104" s="15" t="inlineStr">
        <is>
          <t>b3-0105, b3-0111</t>
        </is>
      </c>
      <c r="K104" s="15" t="inlineStr">
        <is>
          <t>Jer. 22:24-27; Jer. 21:3-10</t>
        </is>
      </c>
      <c r="L104" s="15" t="inlineStr">
        <is>
          <t>The prophecy itself is not dated; anchored to Jeremiah’s prophetic activity (647–580 B.C.E.).</t>
        </is>
      </c>
      <c r="M104" s="16" t="n"/>
    </row>
    <row r="105">
      <c r="A105" s="15" t="inlineStr">
        <is>
          <t>fulfilled-prophecies-nations</t>
        </is>
      </c>
      <c r="B105" s="15" t="n">
        <v>26</v>
      </c>
      <c r="C105" s="15" t="inlineStr">
        <is>
          <t>fulfillment</t>
        </is>
      </c>
      <c r="D105" s="15" t="inlineStr">
        <is>
          <t>Kings Coniah (Jehoiachin) and Zedekiah taken captive</t>
        </is>
      </c>
      <c r="E105" s="15" t="inlineStr">
        <is>
          <t>The taking captive of King Coniah (Jehoiachin) to Babylon</t>
        </is>
      </c>
      <c r="F105" s="15" t="inlineStr">
        <is>
          <t>b3-0105</t>
        </is>
      </c>
      <c r="G105" s="15" t="inlineStr">
        <is>
          <t>Point</t>
        </is>
      </c>
      <c r="H105" s="15" t="inlineStr">
        <is>
          <t>617 B.C.E., Adar</t>
        </is>
      </c>
      <c r="I105" s="15" t="inlineStr">
        <is>
          <t>Jehoiachin surrenders; first Jewish captives taken to Babylon</t>
        </is>
      </c>
      <c r="J105" s="15" t="inlineStr">
        <is>
          <t>b3-0088</t>
        </is>
      </c>
      <c r="K105" s="15" t="inlineStr">
        <is>
          <t>Jer. 22:24-27; 2 Ki. 24:15, 16</t>
        </is>
      </c>
      <c r="L105" s="15" t="n"/>
      <c r="M105" s="16" t="n"/>
    </row>
    <row r="106">
      <c r="A106" s="15" t="inlineStr">
        <is>
          <t>fulfilled-prophecies-nations</t>
        </is>
      </c>
      <c r="B106" s="15" t="n">
        <v>27</v>
      </c>
      <c r="C106" s="15" t="inlineStr">
        <is>
          <t>fulfillment</t>
        </is>
      </c>
      <c r="D106" s="15" t="inlineStr">
        <is>
          <t>Kings Coniah (Jehoiachin) and Zedekiah taken captive</t>
        </is>
      </c>
      <c r="E106" s="15" t="inlineStr">
        <is>
          <t>The captivity of Zedekiah and the destruction of Jerusalem</t>
        </is>
      </c>
      <c r="F106" s="15" t="inlineStr">
        <is>
          <t>b3-0111</t>
        </is>
      </c>
      <c r="G106" s="15" t="inlineStr">
        <is>
          <t>Point</t>
        </is>
      </c>
      <c r="H106" s="15" t="inlineStr">
        <is>
          <t>607 B.C.E., Tammuz 9</t>
        </is>
      </c>
      <c r="I106" s="15" t="inlineStr">
        <is>
          <t>Jerusalem’s walls breached; Zedekiah captured</t>
        </is>
      </c>
      <c r="J106" s="15" t="inlineStr">
        <is>
          <t>b3-0088</t>
        </is>
      </c>
      <c r="K106" s="15" t="inlineStr">
        <is>
          <t>Jer. 21:3-10; Jer. 39:6-9</t>
        </is>
      </c>
      <c r="L106" s="15" t="inlineStr">
        <is>
          <t>Insight “Zedekiah”: overtaken in the plains of Jericho, he was blinded, bound, and taken to Babylon, where he died (2 Ki. 25:2-7; compare Ezek. 12:11-16).</t>
        </is>
      </c>
      <c r="M106" s="16" t="n"/>
    </row>
    <row r="107">
      <c r="A107" s="15" t="inlineStr">
        <is>
          <t>fulfilled-prophecies-nations</t>
        </is>
      </c>
      <c r="B107" s="15" t="n">
        <v>28</v>
      </c>
      <c r="C107" s="15" t="inlineStr">
        <is>
          <t>prophecy</t>
        </is>
      </c>
      <c r="D107" s="15" t="inlineStr">
        <is>
          <t>Egypt given to Nebuchadnezzar (591 → 588 B.C.E.)</t>
        </is>
      </c>
      <c r="E107" s="15" t="inlineStr">
        <is>
          <t>Jehovah will give Egypt to Nebuchadnezzar as compensation for his service in wearing down Tyre</t>
        </is>
      </c>
      <c r="F107" s="15" t="inlineStr">
        <is>
          <t>b4-0010</t>
        </is>
      </c>
      <c r="G107" s="15" t="inlineStr">
        <is>
          <t>Point</t>
        </is>
      </c>
      <c r="H107" s="15" t="inlineStr">
        <is>
          <t>591 B.C.E.</t>
        </is>
      </c>
      <c r="I107" s="15" t="inlineStr">
        <is>
          <t>Ezekiel foretells Egypt given to Nebuchadnezzar</t>
        </is>
      </c>
      <c r="J107" s="15" t="inlineStr">
        <is>
          <t>b4-0012</t>
        </is>
      </c>
      <c r="K107" s="15" t="inlineStr">
        <is>
          <t>Ezek. 29:17-20</t>
        </is>
      </c>
      <c r="L107" s="15" t="inlineStr">
        <is>
          <t>Revealed to Ezekiel in 591 B.C.E. (si).</t>
        </is>
      </c>
      <c r="M107" s="16" t="n"/>
    </row>
    <row r="108">
      <c r="A108" s="15" t="inlineStr">
        <is>
          <t>fulfilled-prophecies-nations</t>
        </is>
      </c>
      <c r="B108" s="15" t="n">
        <v>29</v>
      </c>
      <c r="C108" s="15" t="inlineStr">
        <is>
          <t>fulfillment</t>
        </is>
      </c>
      <c r="D108" s="15" t="inlineStr">
        <is>
          <t>Egypt given to Nebuchadnezzar (591 → 588 B.C.E.)</t>
        </is>
      </c>
      <c r="E108" s="15" t="inlineStr">
        <is>
          <t>A campaign against Egypt in Nebuchadnezzar’s 37th year (588 B.C.E.) may be the occasion when mighty Egypt was brought under Babylonian control</t>
        </is>
      </c>
      <c r="F108" s="15" t="inlineStr">
        <is>
          <t>b4-0012</t>
        </is>
      </c>
      <c r="G108" s="15" t="inlineStr">
        <is>
          <t>Point</t>
        </is>
      </c>
      <c r="H108" s="15" t="inlineStr">
        <is>
          <t>588 B.C.E.</t>
        </is>
      </c>
      <c r="I108" s="15" t="inlineStr">
        <is>
          <t>Nebuchadnezzar campaigns against Egypt (37th year)</t>
        </is>
      </c>
      <c r="J108" s="15" t="inlineStr">
        <is>
          <t>b4-0010</t>
        </is>
      </c>
      <c r="K108" s="15" t="inlineStr">
        <is>
          <t>Ezek. 29:19</t>
        </is>
      </c>
      <c r="L108" s="15" t="inlineStr">
        <is>
          <t>Insight words this cautiously (“This may be the occasion”).</t>
        </is>
      </c>
      <c r="M108" s="16" t="n"/>
    </row>
    <row r="109">
      <c r="A109" s="15" t="inlineStr">
        <is>
          <t>fulfilled-prophecies-nations</t>
        </is>
      </c>
      <c r="B109" s="15" t="n">
        <v>30</v>
      </c>
      <c r="C109" s="15" t="inlineStr">
        <is>
          <t>prophecy</t>
        </is>
      </c>
      <c r="D109" s="15" t="inlineStr">
        <is>
          <t>Edom cut off</t>
        </is>
      </c>
      <c r="E109" s="15" t="inlineStr">
        <is>
          <t>“The house of Esau [must become] as stubble . . . And there will prove to be no survivor to the house of Esau”</t>
        </is>
      </c>
      <c r="F109" s="15" t="inlineStr">
        <is>
          <t>b3-0120</t>
        </is>
      </c>
      <c r="G109" s="15" t="inlineStr">
        <is>
          <t>Point</t>
        </is>
      </c>
      <c r="H109" s="15" t="inlineStr">
        <is>
          <t>c. 607 B.C.E.</t>
        </is>
      </c>
      <c r="I109" s="15" t="inlineStr">
        <is>
          <t>Prophetic activity of Obadiah</t>
        </is>
      </c>
      <c r="J109" s="15" t="inlineStr">
        <is>
          <t>b15-0002, b4-0119, b6-0096</t>
        </is>
      </c>
      <c r="K109" s="15" t="inlineStr">
        <is>
          <t>Obad. 18; Obad. 7, 10</t>
        </is>
      </c>
      <c r="L109" s="15" t="inlineStr">
        <is>
          <t>Obadiah’s prophetic activity, c. 607 B.C.E.</t>
        </is>
      </c>
      <c r="M109" s="16" t="n"/>
    </row>
    <row r="110">
      <c r="A110" s="15" t="inlineStr">
        <is>
          <t>fulfilled-prophecies-nations</t>
        </is>
      </c>
      <c r="B110" s="15" t="n">
        <v>31</v>
      </c>
      <c r="C110" s="15" t="inlineStr">
        <is>
          <t>prophecy</t>
        </is>
      </c>
      <c r="D110" s="15" t="inlineStr">
        <is>
          <t>Edom cut off</t>
        </is>
      </c>
      <c r="E110" s="15" t="inlineStr">
        <is>
          <t>Ezekiel’s prophecy against the treacherous Edomites</t>
        </is>
      </c>
      <c r="F110" s="15" t="inlineStr">
        <is>
          <t>b3-0109</t>
        </is>
      </c>
      <c r="G110" s="15" t="inlineStr">
        <is>
          <t>Span</t>
        </is>
      </c>
      <c r="H110" s="15" t="inlineStr">
        <is>
          <t>613–c. 591 B.C.E.</t>
        </is>
      </c>
      <c r="I110" s="15" t="inlineStr">
        <is>
          <t>Prophetic activity of Ezekiel</t>
        </is>
      </c>
      <c r="J110" s="15" t="inlineStr">
        <is>
          <t>b15-0002, b4-0119, b6-0096</t>
        </is>
      </c>
      <c r="K110" s="15" t="inlineStr">
        <is>
          <t>Ezek. 25:12-14; Ezek. 35:2-9</t>
        </is>
      </c>
      <c r="L110" s="15" t="inlineStr">
        <is>
          <t>The prophecy itself is not dated; anchored to Ezekiel’s prophetic activity (613–c. 591 B.C.E.).</t>
        </is>
      </c>
      <c r="M110" s="16" t="n"/>
    </row>
    <row r="111">
      <c r="A111" s="15" t="inlineStr">
        <is>
          <t>fulfilled-prophecies-nations</t>
        </is>
      </c>
      <c r="B111" s="15" t="n">
        <v>32</v>
      </c>
      <c r="C111" s="15" t="inlineStr">
        <is>
          <t>prophecy</t>
        </is>
      </c>
      <c r="D111" s="15" t="inlineStr">
        <is>
          <t>Edom cut off</t>
        </is>
      </c>
      <c r="E111" s="15" t="inlineStr">
        <is>
          <t>Jehovah directed Jeremiah, Ezekiel, and Obadiah to assure Edom that its rejoicing would be short-lived</t>
        </is>
      </c>
      <c r="F111" s="15" t="inlineStr">
        <is>
          <t>b3-0088</t>
        </is>
      </c>
      <c r="G111" s="15" t="inlineStr">
        <is>
          <t>Span</t>
        </is>
      </c>
      <c r="H111" s="15" t="inlineStr">
        <is>
          <t>647–580 B.C.E.</t>
        </is>
      </c>
      <c r="I111" s="15" t="inlineStr">
        <is>
          <t>Prophetic activity of Jeremiah</t>
        </is>
      </c>
      <c r="J111" s="15" t="inlineStr">
        <is>
          <t>b15-0002, b4-0119, b6-0096</t>
        </is>
      </c>
      <c r="K111" s="15" t="inlineStr">
        <is>
          <t>Jer. 49:7-22; Jer. 25:15-17, 21</t>
        </is>
      </c>
      <c r="L111" s="15" t="inlineStr">
        <is>
          <t>The prophecy itself is not dated; anchored to Jeremiah’s prophetic activity (647–580 B.C.E.).</t>
        </is>
      </c>
      <c r="M111" s="16" t="n"/>
    </row>
    <row r="112">
      <c r="A112" s="15" t="inlineStr">
        <is>
          <t>fulfilled-prophecies-nations</t>
        </is>
      </c>
      <c r="B112" s="15" t="n">
        <v>33</v>
      </c>
      <c r="C112" s="15" t="inlineStr">
        <is>
          <t>partial fulfillment</t>
        </is>
      </c>
      <c r="D112" s="15" t="inlineStr">
        <is>
          <t>Edom cut off</t>
        </is>
      </c>
      <c r="E112" s="15" t="inlineStr">
        <is>
          <t>Babylonian forces under King Nabonidus conquered Edom</t>
        </is>
      </c>
      <c r="F112" s="15" t="inlineStr">
        <is>
          <t>b15-0002</t>
        </is>
      </c>
      <c r="G112" s="15" t="inlineStr">
        <is>
          <t>Point</t>
        </is>
      </c>
      <c r="H112" s="15" t="inlineStr">
        <is>
          <t>About the middle of the sixth century B.C.E.</t>
        </is>
      </c>
      <c r="I112" s="15" t="inlineStr">
        <is>
          <t>Babylonian king Nabonidus conquers Edom</t>
        </is>
      </c>
      <c r="J112" s="15" t="inlineStr">
        <is>
          <t>b3-0120, b3-0109, b3-0088</t>
        </is>
      </c>
      <c r="K112" s="15" t="inlineStr">
        <is>
          <t>Obad. 7</t>
        </is>
      </c>
      <c r="L112" s="15" t="inlineStr">
        <is>
          <t>Insight “Edom” quotes a scholar: “in part at least, the words of the prophet found a fulfilment” (Ezek. 25:14) and “a partial fulfilment” of Obadiah.</t>
        </is>
      </c>
      <c r="M112" s="16" t="n"/>
    </row>
    <row r="113">
      <c r="A113" s="15" t="inlineStr">
        <is>
          <t>fulfilled-prophecies-nations</t>
        </is>
      </c>
      <c r="B113" s="15" t="n">
        <v>34</v>
      </c>
      <c r="C113" s="15" t="inlineStr">
        <is>
          <t>partial fulfillment</t>
        </is>
      </c>
      <c r="D113" s="15" t="inlineStr">
        <is>
          <t>Edom cut off</t>
        </is>
      </c>
      <c r="E113" s="15" t="inlineStr">
        <is>
          <t>The remaining Edomites were subjugated by the Jewish king John Hyrcanus I and forced to submit to circumcision</t>
        </is>
      </c>
      <c r="F113" s="15" t="inlineStr">
        <is>
          <t>b4-0119</t>
        </is>
      </c>
      <c r="G113" s="15" t="inlineStr">
        <is>
          <t>Point</t>
        </is>
      </c>
      <c r="H113" s="15" t="inlineStr">
        <is>
          <t>c. 125 B.C.E.</t>
        </is>
      </c>
      <c r="I113" s="15" t="inlineStr">
        <is>
          <t>John Hyrcanus I forces circumcision on the Idumeans</t>
        </is>
      </c>
      <c r="J113" s="15" t="inlineStr">
        <is>
          <t>b3-0120, b3-0109, b3-0088</t>
        </is>
      </c>
      <c r="K113" s="15" t="inlineStr">
        <is>
          <t>Obad. 18</t>
        </is>
      </c>
      <c r="L113" s="15" t="inlineStr">
        <is>
          <t>Insight: sometime between 130 and 120 B.C.E.; b4-0119: c. 125 B.C.E.</t>
        </is>
      </c>
      <c r="M113" s="16" t="n"/>
    </row>
    <row r="114">
      <c r="A114" s="15" t="inlineStr">
        <is>
          <t>fulfilled-prophecies-nations</t>
        </is>
      </c>
      <c r="B114" s="15" t="n">
        <v>35</v>
      </c>
      <c r="C114" s="15" t="inlineStr">
        <is>
          <t>fulfillment</t>
        </is>
      </c>
      <c r="D114" s="15" t="inlineStr">
        <is>
          <t>Edom cut off</t>
        </is>
      </c>
      <c r="E114" s="15" t="inlineStr">
        <is>
          <t>Following the Roman destruction of Jerusalem in 70 C.E., their name disappeared from history</t>
        </is>
      </c>
      <c r="F114" s="15" t="inlineStr">
        <is>
          <t>b6-0096</t>
        </is>
      </c>
      <c r="G114" s="15" t="inlineStr">
        <is>
          <t>Point</t>
        </is>
      </c>
      <c r="H114" s="15" t="inlineStr">
        <is>
          <t>70 C.E. (conquest completed August 30)</t>
        </is>
      </c>
      <c r="I114" s="15" t="inlineStr">
        <is>
          <t>Jerusalem and its temple destroyed by the Romans</t>
        </is>
      </c>
      <c r="J114" s="15" t="inlineStr">
        <is>
          <t>b3-0120, b3-0109, b3-0088</t>
        </is>
      </c>
      <c r="K114" s="15" t="inlineStr">
        <is>
          <t>Obad. 10, 18</t>
        </is>
      </c>
      <c r="L114" s="15" t="inlineStr">
        <is>
          <t>si: “It was as Obadiah had foretold.” Insight: after 70 C.E. “they ceased to exist as a people.”</t>
        </is>
      </c>
      <c r="M114" s="16" t="n"/>
    </row>
    <row r="115">
      <c r="A115" s="15" t="inlineStr">
        <is>
          <t>fulfilled-prophecies-nations</t>
        </is>
      </c>
      <c r="B115" s="15" t="n">
        <v>36</v>
      </c>
      <c r="C115" s="15" t="inlineStr">
        <is>
          <t>prophecy</t>
        </is>
      </c>
      <c r="D115" s="15" t="inlineStr">
        <is>
          <t>Babylon falls to the Medes and Persians (539 B.C.E.)</t>
        </is>
      </c>
      <c r="E115" s="15" t="inlineStr">
        <is>
          <t>In the eighth century B.C.E., the prophet Isaiah was inspired to foretell that the then powerful city of Babylon would be captured</t>
        </is>
      </c>
      <c r="F115" s="15" t="inlineStr">
        <is>
          <t>b3-0066</t>
        </is>
      </c>
      <c r="G115" s="15" t="inlineStr">
        <is>
          <t>Span</t>
        </is>
      </c>
      <c r="H115" s="15" t="inlineStr">
        <is>
          <t>c. 778–a. 732 B.C.E.</t>
        </is>
      </c>
      <c r="I115" s="15" t="inlineStr">
        <is>
          <t>Prophetic activity of Isaiah</t>
        </is>
      </c>
      <c r="J115" s="15" t="inlineStr">
        <is>
          <t>b4-0024</t>
        </is>
      </c>
      <c r="K115" s="15" t="inlineStr">
        <is>
          <t>Isa. 13:17-19; Isa. 21:2; Isa. 44:27–45:2</t>
        </is>
      </c>
      <c r="L115" s="15" t="inlineStr">
        <is>
          <t>Awake! June 2012 time line: “c. 732 B.C.E.: Isaiah foretells fall of Babylon.” Anchored to Isaiah’s prophetic activity (c. 778–a. 732 B.C.E.).</t>
        </is>
      </c>
      <c r="M115" s="16" t="n"/>
    </row>
    <row r="116">
      <c r="A116" s="15" t="inlineStr">
        <is>
          <t>fulfilled-prophecies-nations</t>
        </is>
      </c>
      <c r="B116" s="15" t="n">
        <v>37</v>
      </c>
      <c r="C116" s="15" t="inlineStr">
        <is>
          <t>prophecy</t>
        </is>
      </c>
      <c r="D116" s="15" t="inlineStr">
        <is>
          <t>Babylon falls to the Medes and Persians (539 B.C.E.)</t>
        </is>
      </c>
      <c r="E116" s="15" t="inlineStr">
        <is>
          <t>“There is a devastation upon her waters, and they must be dried up. . . . The mighty men of Babylon have ceased to fight”</t>
        </is>
      </c>
      <c r="F116" s="15" t="inlineStr">
        <is>
          <t>b3-0088</t>
        </is>
      </c>
      <c r="G116" s="15" t="inlineStr">
        <is>
          <t>Span</t>
        </is>
      </c>
      <c r="H116" s="15" t="inlineStr">
        <is>
          <t>647–580 B.C.E.</t>
        </is>
      </c>
      <c r="I116" s="15" t="inlineStr">
        <is>
          <t>Prophetic activity of Jeremiah</t>
        </is>
      </c>
      <c r="J116" s="15" t="inlineStr">
        <is>
          <t>b4-0024</t>
        </is>
      </c>
      <c r="K116" s="15" t="inlineStr">
        <is>
          <t>Jer. 50:38; Jer. 51:30-32</t>
        </is>
      </c>
      <c r="L116" s="15" t="inlineStr">
        <is>
          <t>The prophecy itself is not dated; anchored to Jeremiah’s prophetic activity (647–580 B.C.E.).</t>
        </is>
      </c>
      <c r="M116" s="16" t="n"/>
    </row>
    <row r="117">
      <c r="A117" s="15" t="inlineStr">
        <is>
          <t>fulfilled-prophecies-nations</t>
        </is>
      </c>
      <c r="B117" s="15" t="n">
        <v>38</v>
      </c>
      <c r="C117" s="15" t="inlineStr">
        <is>
          <t>prophecy</t>
        </is>
      </c>
      <c r="D117" s="15" t="inlineStr">
        <is>
          <t>Babylon falls to the Medes and Persians (539 B.C.E.)</t>
        </is>
      </c>
      <c r="E117" s="15" t="inlineStr">
        <is>
          <t>Daniel made known the significance of what was written on the wall: “MENE, MENE, TEKEL and PARSIN”</t>
        </is>
      </c>
      <c r="F117" s="15" t="inlineStr">
        <is>
          <t>b4-0023</t>
        </is>
      </c>
      <c r="G117" s="15" t="inlineStr">
        <is>
          <t>Point</t>
        </is>
      </c>
      <c r="H117" s="15" t="inlineStr">
        <is>
          <t>539 B.C.E., night of Oct. 5/6</t>
        </is>
      </c>
      <c r="I117" s="15" t="inlineStr">
        <is>
          <t>Belshazzar's feast: Daniel interprets the handwriting on the wall</t>
        </is>
      </c>
      <c r="J117" s="15" t="inlineStr">
        <is>
          <t>b4-0024</t>
        </is>
      </c>
      <c r="K117" s="15" t="inlineStr">
        <is>
          <t>Dan. 5:25-28</t>
        </is>
      </c>
      <c r="L117" s="15" t="inlineStr">
        <is>
          <t>Given the same night, October 5, 539 B.C.E.</t>
        </is>
      </c>
      <c r="M117" s="16" t="n"/>
    </row>
    <row r="118">
      <c r="A118" s="15" t="inlineStr">
        <is>
          <t>fulfilled-prophecies-nations</t>
        </is>
      </c>
      <c r="B118" s="15" t="n">
        <v>39</v>
      </c>
      <c r="C118" s="15" t="inlineStr">
        <is>
          <t>fulfillment</t>
        </is>
      </c>
      <c r="D118" s="15" t="inlineStr">
        <is>
          <t>Babylon falls to the Medes and Persians (539 B.C.E.)</t>
        </is>
      </c>
      <c r="E118" s="15" t="inlineStr">
        <is>
          <t>Babylon fell to the Medes and the Persians in 539 B.C.E.</t>
        </is>
      </c>
      <c r="F118" s="15" t="inlineStr">
        <is>
          <t>b4-0024</t>
        </is>
      </c>
      <c r="G118" s="15" t="inlineStr">
        <is>
          <t>Point</t>
        </is>
      </c>
      <c r="H118" s="15" t="inlineStr">
        <is>
          <t>539 B.C.E., Oct. 5 (Tishri 16)</t>
        </is>
      </c>
      <c r="I118" s="15" t="inlineStr">
        <is>
          <t>Babylon falls to the Medes and Persians</t>
        </is>
      </c>
      <c r="J118" s="15" t="inlineStr">
        <is>
          <t>b3-0066, b3-0088, b4-0023</t>
        </is>
      </c>
      <c r="K118" s="15" t="inlineStr">
        <is>
          <t>Dan. 5:30, 31</t>
        </is>
      </c>
      <c r="L118" s="15" t="inlineStr">
        <is>
          <t>Insight “Babylon”: Cyrus’ engineers diverted the Euphrates; “In one night Babylon had fallen . . . and Jehovah’s word of prophecy was fulfilled.”</t>
        </is>
      </c>
      <c r="M118" s="16" t="n"/>
    </row>
    <row r="119">
      <c r="A119" s="15" t="inlineStr">
        <is>
          <t>fulfilled-prophecies-nations</t>
        </is>
      </c>
      <c r="B119" s="15" t="n">
        <v>40</v>
      </c>
      <c r="C119" s="15" t="inlineStr">
        <is>
          <t>prophecy</t>
        </is>
      </c>
      <c r="D119" s="15" t="inlineStr">
        <is>
          <t>Cyrus foretold by name</t>
        </is>
      </c>
      <c r="E119" s="15" t="inlineStr">
        <is>
          <t>He even gave the name of its conqueror, Cyrus, and foretold precisely how the city would be seized</t>
        </is>
      </c>
      <c r="F119" s="15" t="inlineStr">
        <is>
          <t>b3-0066</t>
        </is>
      </c>
      <c r="G119" s="15" t="inlineStr">
        <is>
          <t>Span</t>
        </is>
      </c>
      <c r="H119" s="15" t="inlineStr">
        <is>
          <t>c. 778–a. 732 B.C.E.</t>
        </is>
      </c>
      <c r="I119" s="15" t="inlineStr">
        <is>
          <t>Prophetic activity of Isaiah</t>
        </is>
      </c>
      <c r="J119" s="15" t="inlineStr">
        <is>
          <t>b4-0024, b4-0027</t>
        </is>
      </c>
      <c r="K119" s="15" t="inlineStr">
        <is>
          <t>Isa. 44:27, 28; Isa. 45:1-4</t>
        </is>
      </c>
      <c r="L119" s="15" t="inlineStr">
        <is>
          <t>si: Cyrus’ name “had been penned by Isaiah nearly 200 years earlier.” Anchored to Isaiah’s prophetic activity (c. 778–a. 732 B.C.E.).</t>
        </is>
      </c>
      <c r="M119" s="16" t="n"/>
    </row>
    <row r="120">
      <c r="A120" s="15" t="inlineStr">
        <is>
          <t>fulfilled-prophecies-nations</t>
        </is>
      </c>
      <c r="B120" s="15" t="n">
        <v>41</v>
      </c>
      <c r="C120" s="15" t="inlineStr">
        <is>
          <t>fulfillment</t>
        </is>
      </c>
      <c r="D120" s="15" t="inlineStr">
        <is>
          <t>Cyrus foretold by name</t>
        </is>
      </c>
      <c r="E120" s="15" t="inlineStr">
        <is>
          <t>Isaiah named this Persian ruler as the one appointed by Jehovah God to effect the overthrow of Babylon</t>
        </is>
      </c>
      <c r="F120" s="15" t="inlineStr">
        <is>
          <t>b4-0024</t>
        </is>
      </c>
      <c r="G120" s="15" t="inlineStr">
        <is>
          <t>Point</t>
        </is>
      </c>
      <c r="H120" s="15" t="inlineStr">
        <is>
          <t>539 B.C.E., Oct. 5 (Tishri 16)</t>
        </is>
      </c>
      <c r="I120" s="15" t="inlineStr">
        <is>
          <t>Babylon falls to the Medes and Persians</t>
        </is>
      </c>
      <c r="J120" s="15" t="inlineStr">
        <is>
          <t>b3-0066</t>
        </is>
      </c>
      <c r="K120" s="15" t="inlineStr">
        <is>
          <t>Isa. 45:1, 2</t>
        </is>
      </c>
      <c r="L120" s="15" t="n"/>
      <c r="M120" s="16" t="n"/>
    </row>
    <row r="121">
      <c r="A121" s="15" t="inlineStr">
        <is>
          <t>fulfilled-prophecies-nations</t>
        </is>
      </c>
      <c r="B121" s="15" t="n">
        <v>42</v>
      </c>
      <c r="C121" s="15" t="inlineStr">
        <is>
          <t>fulfillment</t>
        </is>
      </c>
      <c r="D121" s="15" t="inlineStr">
        <is>
          <t>Cyrus foretold by name</t>
        </is>
      </c>
      <c r="E121" s="15" t="inlineStr">
        <is>
          <t>Thousands of Jews marched back from Babylon, freed by a king whose name, Cyrus, had been penned by Isaiah nearly 200 years earlier</t>
        </is>
      </c>
      <c r="F121" s="15" t="inlineStr">
        <is>
          <t>b4-0027</t>
        </is>
      </c>
      <c r="G121" s="15" t="inlineStr">
        <is>
          <t>Point</t>
        </is>
      </c>
      <c r="H121" s="15" t="inlineStr">
        <is>
          <t>late 538 or early 537 B.C.E.</t>
        </is>
      </c>
      <c r="I121" s="15" t="inlineStr">
        <is>
          <t>Cyrus issues decree freeing the Jews</t>
        </is>
      </c>
      <c r="J121" s="15" t="inlineStr">
        <is>
          <t>b3-0066</t>
        </is>
      </c>
      <c r="K121" s="15" t="inlineStr">
        <is>
          <t>Isa. 44:28; Ezra 1:1-3</t>
        </is>
      </c>
      <c r="L121" s="15" t="n"/>
      <c r="M121" s="16" t="n"/>
    </row>
    <row r="122">
      <c r="A122" s="15" t="inlineStr">
        <is>
          <t>fulfilled-prophecies-nations</t>
        </is>
      </c>
      <c r="B122" s="15" t="n">
        <v>43</v>
      </c>
      <c r="C122" s="15" t="inlineStr">
        <is>
          <t>prophecy</t>
        </is>
      </c>
      <c r="D122" s="15" t="inlineStr">
        <is>
          <t>Medo-Persia: the ram with two horns and the bear</t>
        </is>
      </c>
      <c r="E122" s="15" t="inlineStr">
        <is>
          <t>“The two horns were tall, but the one was taller than the other, and the taller was the one that came up afterward”</t>
        </is>
      </c>
      <c r="F122" s="15" t="inlineStr">
        <is>
          <t>b3-0103</t>
        </is>
      </c>
      <c r="G122" s="15" t="inlineStr">
        <is>
          <t>Span</t>
        </is>
      </c>
      <c r="H122" s="15" t="inlineStr">
        <is>
          <t>618–c. 536 B.C.E.</t>
        </is>
      </c>
      <c r="I122" s="15" t="inlineStr">
        <is>
          <t>Prophetic activity of Daniel</t>
        </is>
      </c>
      <c r="J122" s="15" t="inlineStr">
        <is>
          <t>b4-0021, b4-0024</t>
        </is>
      </c>
      <c r="K122" s="15" t="inlineStr">
        <is>
          <t>Dan. 8:3, 4, 20</t>
        </is>
      </c>
      <c r="L122" s="15" t="inlineStr">
        <is>
          <t>Vision “in the third year of the kingship of Belshazzar” (Dan. 8:1); dp: 57 years after the temple’s destruction. jw.org gives no year, so it is anchored to Daniel’s prophetic activity (618–c. 536 B.C.E.).</t>
        </is>
      </c>
      <c r="M122" s="16" t="n"/>
    </row>
    <row r="123">
      <c r="A123" s="15" t="inlineStr">
        <is>
          <t>fulfilled-prophecies-nations</t>
        </is>
      </c>
      <c r="B123" s="15" t="n">
        <v>44</v>
      </c>
      <c r="C123" s="15" t="inlineStr">
        <is>
          <t>prophecy</t>
        </is>
      </c>
      <c r="D123" s="15" t="inlineStr">
        <is>
          <t>Medo-Persia: the ram with two horns and the bear</t>
        </is>
      </c>
      <c r="E123" s="15" t="inlineStr">
        <is>
          <t>“Another beast, a second one, it being like a bear”</t>
        </is>
      </c>
      <c r="F123" s="15" t="inlineStr">
        <is>
          <t>b4-0020</t>
        </is>
      </c>
      <c r="G123" s="15" t="inlineStr">
        <is>
          <t>Point</t>
        </is>
      </c>
      <c r="H123" s="15" t="inlineStr">
        <is>
          <t>553 B.C.E.</t>
        </is>
      </c>
      <c r="I123" s="15" t="inlineStr">
        <is>
          <t>First year of Belshazzar: Daniel's dream of four beasts</t>
        </is>
      </c>
      <c r="J123" s="15" t="inlineStr">
        <is>
          <t>b4-0024</t>
        </is>
      </c>
      <c r="K123" s="15" t="inlineStr">
        <is>
          <t>Dan. 7:5</t>
        </is>
      </c>
      <c r="L123" s="15" t="inlineStr">
        <is>
          <t>Daniel’s dream in the first year of Belshazzar (553 B.C.E.).</t>
        </is>
      </c>
      <c r="M123" s="16" t="n"/>
    </row>
    <row r="124">
      <c r="A124" s="15" t="inlineStr">
        <is>
          <t>fulfilled-prophecies-nations</t>
        </is>
      </c>
      <c r="B124" s="15" t="n">
        <v>45</v>
      </c>
      <c r="C124" s="15" t="inlineStr">
        <is>
          <t>prophecy</t>
        </is>
      </c>
      <c r="D124" s="15" t="inlineStr">
        <is>
          <t>Medo-Persia: the ram with two horns and the bear</t>
        </is>
      </c>
      <c r="E124" s="15" t="inlineStr">
        <is>
          <t>“There will yet be three kings standing up for Persia, and the fourth one . . . will rouse up everything against the kingdom of Greece”</t>
        </is>
      </c>
      <c r="F124" s="15" t="inlineStr">
        <is>
          <t>b4-0032</t>
        </is>
      </c>
      <c r="G124" s="15" t="inlineStr">
        <is>
          <t>Point</t>
        </is>
      </c>
      <c r="H124" s="15" t="inlineStr">
        <is>
          <t>536/535 B.C.E. (third year of Cyrus)</t>
        </is>
      </c>
      <c r="I124" s="15" t="inlineStr">
        <is>
          <t>Daniel's final vision (third year of Cyrus)</t>
        </is>
      </c>
      <c r="J124" s="15" t="inlineStr">
        <is>
          <t>b4-0060</t>
        </is>
      </c>
      <c r="K124" s="15" t="inlineStr">
        <is>
          <t>Dan. 11:2</t>
        </is>
      </c>
      <c r="L124" s="15" t="inlineStr">
        <is>
          <t>Daniel’s final vision, third year of Cyrus (Dan. 10:1).</t>
        </is>
      </c>
      <c r="M124" s="16" t="n"/>
    </row>
    <row r="125">
      <c r="A125" s="15" t="inlineStr">
        <is>
          <t>fulfilled-prophecies-nations</t>
        </is>
      </c>
      <c r="B125" s="15" t="n">
        <v>46</v>
      </c>
      <c r="C125" s="15" t="inlineStr">
        <is>
          <t>fulfillment</t>
        </is>
      </c>
      <c r="D125" s="15" t="inlineStr">
        <is>
          <t>Medo-Persia: the ram with two horns and the bear</t>
        </is>
      </c>
      <c r="E125" s="15" t="inlineStr">
        <is>
          <t>In 550 B.C.E., Cyrus the ruler of Persia gained an easy victory over Median King Astyages</t>
        </is>
      </c>
      <c r="F125" s="15" t="inlineStr">
        <is>
          <t>b4-0021</t>
        </is>
      </c>
      <c r="G125" s="15" t="inlineStr">
        <is>
          <t>Point</t>
        </is>
      </c>
      <c r="H125" s="15" t="inlineStr">
        <is>
          <t>550 B.C.E.</t>
        </is>
      </c>
      <c r="I125" s="15" t="inlineStr">
        <is>
          <t>Cyrus conquers Media</t>
        </is>
      </c>
      <c r="J125" s="15" t="inlineStr">
        <is>
          <t>b3-0103</t>
        </is>
      </c>
      <c r="K125" s="15" t="inlineStr">
        <is>
          <t>Dan. 8:3</t>
        </is>
      </c>
      <c r="L125" s="15" t="inlineStr">
        <is>
          <t>dp: the taller horn that came up later pictures the Persians.</t>
        </is>
      </c>
      <c r="M125" s="16" t="n"/>
    </row>
    <row r="126">
      <c r="A126" s="15" t="inlineStr">
        <is>
          <t>fulfilled-prophecies-nations</t>
        </is>
      </c>
      <c r="B126" s="15" t="n">
        <v>47</v>
      </c>
      <c r="C126" s="15" t="inlineStr">
        <is>
          <t>fulfillment</t>
        </is>
      </c>
      <c r="D126" s="15" t="inlineStr">
        <is>
          <t>Medo-Persia: the ram with two horns and the bear</t>
        </is>
      </c>
      <c r="E126" s="15" t="inlineStr">
        <is>
          <t>Babylon fell to Cyrus the Great in 539 B.C.E.</t>
        </is>
      </c>
      <c r="F126" s="15" t="inlineStr">
        <is>
          <t>b4-0024</t>
        </is>
      </c>
      <c r="G126" s="15" t="inlineStr">
        <is>
          <t>Point</t>
        </is>
      </c>
      <c r="H126" s="15" t="inlineStr">
        <is>
          <t>539 B.C.E., Oct. 5 (Tishri 16)</t>
        </is>
      </c>
      <c r="I126" s="15" t="inlineStr">
        <is>
          <t>Babylon falls to the Medes and Persians</t>
        </is>
      </c>
      <c r="J126" s="15" t="inlineStr">
        <is>
          <t>b3-0103, b4-0020</t>
        </is>
      </c>
      <c r="K126" s="15" t="inlineStr">
        <is>
          <t>Dan. 8:4</t>
        </is>
      </c>
      <c r="L126" s="15" t="inlineStr">
        <is>
          <t>Awake! Feb. 2011: true to Daniel 7:5, Cyrus defeated the Medes and then waged war against Lydia and Babylon.</t>
        </is>
      </c>
      <c r="M126" s="16" t="n"/>
    </row>
    <row r="127">
      <c r="A127" s="15" t="inlineStr">
        <is>
          <t>fulfilled-prophecies-nations</t>
        </is>
      </c>
      <c r="B127" s="15" t="n">
        <v>48</v>
      </c>
      <c r="C127" s="15" t="inlineStr">
        <is>
          <t>fulfillment</t>
        </is>
      </c>
      <c r="D127" s="15" t="inlineStr">
        <is>
          <t>Medo-Persia: the ram with two horns and the bear</t>
        </is>
      </c>
      <c r="E127" s="15" t="inlineStr">
        <is>
          <t>Xerxes I moved his huge force against Greece in 480 B.C.E.</t>
        </is>
      </c>
      <c r="F127" s="15" t="inlineStr">
        <is>
          <t>b4-0060</t>
        </is>
      </c>
      <c r="G127" s="15" t="inlineStr">
        <is>
          <t>Point</t>
        </is>
      </c>
      <c r="H127" s="15" t="inlineStr">
        <is>
          <t>480 B.C.E.</t>
        </is>
      </c>
      <c r="I127" s="15" t="inlineStr">
        <is>
          <t>Xerxes launches massive invasion of Greece</t>
        </is>
      </c>
      <c r="J127" s="15" t="inlineStr">
        <is>
          <t>b4-0032</t>
        </is>
      </c>
      <c r="K127" s="15" t="inlineStr">
        <is>
          <t>Dan. 11:2</t>
        </is>
      </c>
      <c r="L127" s="15" t="inlineStr">
        <is>
          <t>dp: Xerxes I was the “fourth” king.</t>
        </is>
      </c>
      <c r="M127" s="16" t="n"/>
    </row>
    <row r="128">
      <c r="A128" s="15" t="inlineStr">
        <is>
          <t>fulfilled-prophecies-nations</t>
        </is>
      </c>
      <c r="B128" s="15" t="n">
        <v>49</v>
      </c>
      <c r="C128" s="15" t="inlineStr">
        <is>
          <t>prophecy</t>
        </is>
      </c>
      <c r="D128" s="15" t="inlineStr">
        <is>
          <t>Greece: Alexander the Great and the four kingdoms</t>
        </is>
      </c>
      <c r="E128" s="15" t="inlineStr">
        <is>
          <t>“The hairy he-goat stands for the king of Greece; and as for the great horn that was between its eyes, it stands for the first king”</t>
        </is>
      </c>
      <c r="F128" s="15" t="inlineStr">
        <is>
          <t>b3-0103</t>
        </is>
      </c>
      <c r="G128" s="15" t="inlineStr">
        <is>
          <t>Span</t>
        </is>
      </c>
      <c r="H128" s="15" t="inlineStr">
        <is>
          <t>618–c. 536 B.C.E.</t>
        </is>
      </c>
      <c r="I128" s="15" t="inlineStr">
        <is>
          <t>Prophetic activity of Daniel</t>
        </is>
      </c>
      <c r="J128" s="15" t="inlineStr">
        <is>
          <t>b4-0082, b4-0083, b4-0087, b4-0090, b4-0095</t>
        </is>
      </c>
      <c r="K128" s="15" t="inlineStr">
        <is>
          <t>Dan. 8:5-8, 21, 22</t>
        </is>
      </c>
      <c r="L128" s="15" t="inlineStr">
        <is>
          <t>Awake! March 2011: written “about 200 years before the time of Alexander the Great.” Anchored to Daniel’s prophetic activity (618–c. 536 B.C.E.).</t>
        </is>
      </c>
      <c r="M128" s="16" t="n"/>
    </row>
    <row r="129">
      <c r="A129" s="15" t="inlineStr">
        <is>
          <t>fulfilled-prophecies-nations</t>
        </is>
      </c>
      <c r="B129" s="15" t="n">
        <v>50</v>
      </c>
      <c r="C129" s="15" t="inlineStr">
        <is>
          <t>prophecy</t>
        </is>
      </c>
      <c r="D129" s="15" t="inlineStr">
        <is>
          <t>Greece: Alexander the Great and the four kingdoms</t>
        </is>
      </c>
      <c r="E129" s="15" t="inlineStr">
        <is>
          <t>A leopard with four wings and four heads</t>
        </is>
      </c>
      <c r="F129" s="15" t="inlineStr">
        <is>
          <t>b4-0020</t>
        </is>
      </c>
      <c r="G129" s="15" t="inlineStr">
        <is>
          <t>Point</t>
        </is>
      </c>
      <c r="H129" s="15" t="inlineStr">
        <is>
          <t>553 B.C.E.</t>
        </is>
      </c>
      <c r="I129" s="15" t="inlineStr">
        <is>
          <t>First year of Belshazzar: Daniel's dream of four beasts</t>
        </is>
      </c>
      <c r="J129" s="15" t="inlineStr">
        <is>
          <t>b4-0083, b4-0095</t>
        </is>
      </c>
      <c r="K129" s="15" t="inlineStr">
        <is>
          <t>Dan. 7:6</t>
        </is>
      </c>
      <c r="L129" s="15" t="inlineStr">
        <is>
          <t>Daniel’s dream in the first year of Belshazzar (553 B.C.E.).</t>
        </is>
      </c>
      <c r="M129" s="16" t="n"/>
    </row>
    <row r="130">
      <c r="A130" s="15" t="inlineStr">
        <is>
          <t>fulfilled-prophecies-nations</t>
        </is>
      </c>
      <c r="B130" s="15" t="n">
        <v>51</v>
      </c>
      <c r="C130" s="15" t="inlineStr">
        <is>
          <t>prophecy</t>
        </is>
      </c>
      <c r="D130" s="15" t="inlineStr">
        <is>
          <t>Greece: Alexander the Great and the four kingdoms</t>
        </is>
      </c>
      <c r="E130" s="15" t="inlineStr">
        <is>
          <t>“A mighty king will certainly stand up and rule with extensive dominion and do according to his will”</t>
        </is>
      </c>
      <c r="F130" s="15" t="inlineStr">
        <is>
          <t>b4-0032</t>
        </is>
      </c>
      <c r="G130" s="15" t="inlineStr">
        <is>
          <t>Point</t>
        </is>
      </c>
      <c r="H130" s="15" t="inlineStr">
        <is>
          <t>536/535 B.C.E. (third year of Cyrus)</t>
        </is>
      </c>
      <c r="I130" s="15" t="inlineStr">
        <is>
          <t>Daniel's final vision (third year of Cyrus)</t>
        </is>
      </c>
      <c r="J130" s="15" t="inlineStr">
        <is>
          <t>b4-0082, b4-0087, b4-0090, b4-0093, b4-0095</t>
        </is>
      </c>
      <c r="K130" s="15" t="inlineStr">
        <is>
          <t>Dan. 11:3, 4</t>
        </is>
      </c>
      <c r="L130" s="15" t="inlineStr">
        <is>
          <t>Daniel’s final vision, third year of Cyrus (Dan. 10:1).</t>
        </is>
      </c>
      <c r="M130" s="16" t="n"/>
    </row>
    <row r="131">
      <c r="A131" s="15" t="inlineStr">
        <is>
          <t>fulfilled-prophecies-nations</t>
        </is>
      </c>
      <c r="B131" s="15" t="n">
        <v>52</v>
      </c>
      <c r="C131" s="15" t="inlineStr">
        <is>
          <t>fulfillment</t>
        </is>
      </c>
      <c r="D131" s="15" t="inlineStr">
        <is>
          <t>Greece: Alexander the Great and the four kingdoms</t>
        </is>
      </c>
      <c r="E131" s="15" t="inlineStr">
        <is>
          <t>Twenty-year-old Alexander ‘stood up’ as king of Macedonia in 336 B.C.E.</t>
        </is>
      </c>
      <c r="F131" s="15" t="inlineStr">
        <is>
          <t>b4-0082</t>
        </is>
      </c>
      <c r="G131" s="15" t="inlineStr">
        <is>
          <t>Point</t>
        </is>
      </c>
      <c r="H131" s="15" t="inlineStr">
        <is>
          <t>336 B.C.E.</t>
        </is>
      </c>
      <c r="I131" s="15" t="inlineStr">
        <is>
          <t>Alexander becomes king of Macedonia</t>
        </is>
      </c>
      <c r="J131" s="15" t="inlineStr">
        <is>
          <t>b4-0032, b3-0103</t>
        </is>
      </c>
      <c r="K131" s="15" t="inlineStr">
        <is>
          <t>Dan. 11:3</t>
        </is>
      </c>
      <c r="L131" s="15" t="n"/>
      <c r="M131" s="16" t="n"/>
    </row>
    <row r="132">
      <c r="A132" s="15" t="inlineStr">
        <is>
          <t>fulfilled-prophecies-nations</t>
        </is>
      </c>
      <c r="B132" s="15" t="n">
        <v>53</v>
      </c>
      <c r="C132" s="15" t="inlineStr">
        <is>
          <t>fulfillment</t>
        </is>
      </c>
      <c r="D132" s="15" t="inlineStr">
        <is>
          <t>Greece: Alexander the Great and the four kingdoms</t>
        </is>
      </c>
      <c r="E132" s="15" t="inlineStr">
        <is>
          <t>Starting “from the sunset,” or the west, in the year 334 B.C.E., Alexander moved quickly</t>
        </is>
      </c>
      <c r="F132" s="15" t="inlineStr">
        <is>
          <t>b4-0083</t>
        </is>
      </c>
      <c r="G132" s="15" t="inlineStr">
        <is>
          <t>Point</t>
        </is>
      </c>
      <c r="H132" s="15" t="inlineStr">
        <is>
          <t>334 B.C.E. (spring)</t>
        </is>
      </c>
      <c r="I132" s="15" t="inlineStr">
        <is>
          <t>Alexander crosses the Hellespont; victory at Granicus</t>
        </is>
      </c>
      <c r="J132" s="15" t="inlineStr">
        <is>
          <t>b3-0103, b4-0020</t>
        </is>
      </c>
      <c r="K132" s="15" t="inlineStr">
        <is>
          <t>Dan. 8:5</t>
        </is>
      </c>
      <c r="L132" s="15" t="n"/>
      <c r="M132" s="16" t="n"/>
    </row>
    <row r="133">
      <c r="A133" s="15" t="inlineStr">
        <is>
          <t>fulfilled-prophecies-nations</t>
        </is>
      </c>
      <c r="B133" s="15" t="n">
        <v>54</v>
      </c>
      <c r="C133" s="15" t="inlineStr">
        <is>
          <t>fulfillment</t>
        </is>
      </c>
      <c r="D133" s="15" t="inlineStr">
        <is>
          <t>Greece: Alexander the Great and the four kingdoms</t>
        </is>
      </c>
      <c r="E133" s="15" t="inlineStr">
        <is>
          <t>Crossing the Euphrates and Tigris rivers, his 47,000 men scattered the 250,000 troops of Darius III at Gaugamela</t>
        </is>
      </c>
      <c r="F133" s="15" t="inlineStr">
        <is>
          <t>b4-0087</t>
        </is>
      </c>
      <c r="G133" s="15" t="inlineStr">
        <is>
          <t>Point</t>
        </is>
      </c>
      <c r="H133" s="15" t="inlineStr">
        <is>
          <t>331 B.C.E.</t>
        </is>
      </c>
      <c r="I133" s="15" t="inlineStr">
        <is>
          <t>Battle of Gaugamela: Persian Empire falls</t>
        </is>
      </c>
      <c r="J133" s="15" t="inlineStr">
        <is>
          <t>b3-0103, b4-0032</t>
        </is>
      </c>
      <c r="K133" s="15" t="inlineStr">
        <is>
          <t>Dan. 8:6, 7</t>
        </is>
      </c>
      <c r="L133" s="15" t="inlineStr">
        <is>
          <t>dp chap. 10: he “struck down ‘the ram,’” ending the Medo-Persian dominion.</t>
        </is>
      </c>
      <c r="M133" s="16" t="n"/>
    </row>
    <row r="134">
      <c r="A134" s="15" t="inlineStr">
        <is>
          <t>fulfilled-prophecies-nations</t>
        </is>
      </c>
      <c r="B134" s="15" t="n">
        <v>55</v>
      </c>
      <c r="C134" s="15" t="inlineStr">
        <is>
          <t>fulfillment</t>
        </is>
      </c>
      <c r="D134" s="15" t="inlineStr">
        <is>
          <t>Greece: Alexander the Great and the four kingdoms</t>
        </is>
      </c>
      <c r="E134" s="15" t="inlineStr">
        <is>
          <t>At the very height of his victorious career, Alexander was “broken,” or died, at the age of only 32</t>
        </is>
      </c>
      <c r="F134" s="15" t="inlineStr">
        <is>
          <t>b4-0090</t>
        </is>
      </c>
      <c r="G134" s="15" t="inlineStr">
        <is>
          <t>Point</t>
        </is>
      </c>
      <c r="H134" s="15" t="inlineStr">
        <is>
          <t>323 B.C.E., June 13</t>
        </is>
      </c>
      <c r="I134" s="15" t="inlineStr">
        <is>
          <t>Death of Alexander the Great</t>
        </is>
      </c>
      <c r="J134" s="15" t="inlineStr">
        <is>
          <t>b3-0103, b4-0032</t>
        </is>
      </c>
      <c r="K134" s="15" t="inlineStr">
        <is>
          <t>Dan. 8:8</t>
        </is>
      </c>
      <c r="L134" s="15" t="n"/>
      <c r="M134" s="16" t="n"/>
    </row>
    <row r="135">
      <c r="A135" s="15" t="inlineStr">
        <is>
          <t>fulfilled-prophecies-nations</t>
        </is>
      </c>
      <c r="B135" s="15" t="n">
        <v>56</v>
      </c>
      <c r="C135" s="15" t="inlineStr">
        <is>
          <t>fulfillment</t>
        </is>
      </c>
      <c r="D135" s="15" t="inlineStr">
        <is>
          <t>Greece: Alexander the Great and the four kingdoms</t>
        </is>
      </c>
      <c r="E135" s="15" t="inlineStr">
        <is>
          <t>Alexander’s son Alexander IV ruled until 311 B.C.E. when he met death at the hands of Cassander</t>
        </is>
      </c>
      <c r="F135" s="15" t="inlineStr">
        <is>
          <t>b4-0093</t>
        </is>
      </c>
      <c r="G135" s="15" t="inlineStr">
        <is>
          <t>Point</t>
        </is>
      </c>
      <c r="H135" s="15" t="inlineStr">
        <is>
          <t>311 B.C.E.</t>
        </is>
      </c>
      <c r="I135" s="15" t="inlineStr">
        <is>
          <t>Alexander IV killed by Cassander</t>
        </is>
      </c>
      <c r="J135" s="15" t="inlineStr">
        <is>
          <t>b4-0032</t>
        </is>
      </c>
      <c r="K135" s="15" t="inlineStr">
        <is>
          <t>Dan. 11:4</t>
        </is>
      </c>
      <c r="L135" s="15" t="inlineStr">
        <is>
          <t>The kingdom did not pass “to his posterity.”</t>
        </is>
      </c>
      <c r="M135" s="16" t="n"/>
    </row>
    <row r="136">
      <c r="A136" s="15" t="inlineStr">
        <is>
          <t>fulfilled-prophecies-nations</t>
        </is>
      </c>
      <c r="B136" s="15" t="n">
        <v>57</v>
      </c>
      <c r="C136" s="15" t="inlineStr">
        <is>
          <t>fulfillment</t>
        </is>
      </c>
      <c r="D136" s="15" t="inlineStr">
        <is>
          <t>Greece: Alexander the Great and the four kingdoms</t>
        </is>
      </c>
      <c r="E136" s="15" t="inlineStr">
        <is>
          <t>By the year 301 B.C.E., four of Alexander’s generals were in power over the vast territory that their commander had conquered</t>
        </is>
      </c>
      <c r="F136" s="15" t="inlineStr">
        <is>
          <t>b4-0095</t>
        </is>
      </c>
      <c r="G136" s="15" t="inlineStr">
        <is>
          <t>Point</t>
        </is>
      </c>
      <c r="H136" s="15" t="inlineStr">
        <is>
          <t>301 B.C.E.</t>
        </is>
      </c>
      <c r="I136" s="15" t="inlineStr">
        <is>
          <t>Four of Alexander's generals divide the empire</t>
        </is>
      </c>
      <c r="J136" s="15" t="inlineStr">
        <is>
          <t>b3-0103, b4-0032, b4-0020</t>
        </is>
      </c>
      <c r="K136" s="15" t="inlineStr">
        <is>
          <t>Dan. 8:8, 22; Dan. 11:4</t>
        </is>
      </c>
      <c r="L136" s="15" t="inlineStr">
        <is>
          <t>dp chap. 9: the “leopard” became four-headed after Alexander died in 323 B.C.E.</t>
        </is>
      </c>
      <c r="M136" s="16" t="n"/>
    </row>
    <row r="137">
      <c r="A137" s="15" t="inlineStr">
        <is>
          <t>fulfilled-prophecies-nations</t>
        </is>
      </c>
      <c r="B137" s="15" t="n">
        <v>58</v>
      </c>
      <c r="C137" s="15" t="inlineStr">
        <is>
          <t>prophecy</t>
        </is>
      </c>
      <c r="D137" s="15" t="inlineStr">
        <is>
          <t>Tyre destroyed (332 B.C.E.)</t>
        </is>
      </c>
      <c r="E137" s="15" t="inlineStr">
        <is>
          <t>“I will scrape her dust away from her and make her a shining, bare surface of a crag. . . . Your stones and your woodwork and your dust they will place in the very midst of the water”</t>
        </is>
      </c>
      <c r="F137" s="15" t="inlineStr">
        <is>
          <t>b3-0109</t>
        </is>
      </c>
      <c r="G137" s="15" t="inlineStr">
        <is>
          <t>Span</t>
        </is>
      </c>
      <c r="H137" s="15" t="inlineStr">
        <is>
          <t>613–c. 591 B.C.E.</t>
        </is>
      </c>
      <c r="I137" s="15" t="inlineStr">
        <is>
          <t>Prophetic activity of Ezekiel</t>
        </is>
      </c>
      <c r="J137" s="15" t="inlineStr">
        <is>
          <t>b4-0085</t>
        </is>
      </c>
      <c r="K137" s="15" t="inlineStr">
        <is>
          <t>Ezek. 26:3-5, 12, 14</t>
        </is>
      </c>
      <c r="L137" s="15" t="inlineStr">
        <is>
          <t>The prophecy itself is not dated; anchored to Ezekiel’s prophetic activity (613–c. 591 B.C.E.).</t>
        </is>
      </c>
      <c r="M137" s="16" t="n"/>
    </row>
    <row r="138">
      <c r="A138" s="15" t="inlineStr">
        <is>
          <t>fulfilled-prophecies-nations</t>
        </is>
      </c>
      <c r="B138" s="15" t="n">
        <v>59</v>
      </c>
      <c r="C138" s="15" t="inlineStr">
        <is>
          <t>prophecy</t>
        </is>
      </c>
      <c r="D138" s="15" t="inlineStr">
        <is>
          <t>Tyre destroyed (332 B.C.E.)</t>
        </is>
      </c>
      <c r="E138" s="15" t="inlineStr">
        <is>
          <t>Though Tyre would build a rampart and pile up silver and gold, Jehovah himself would destroy her completely</t>
        </is>
      </c>
      <c r="F138" s="15" t="inlineStr">
        <is>
          <t>b11-0035</t>
        </is>
      </c>
      <c r="G138" s="15" t="inlineStr">
        <is>
          <t>Point</t>
        </is>
      </c>
      <c r="H138" s="15" t="inlineStr">
        <is>
          <t>518 B.C.E.</t>
        </is>
      </c>
      <c r="I138" s="15" t="inlineStr">
        <is>
          <t>Writing of Zechariah completed</t>
        </is>
      </c>
      <c r="J138" s="15" t="inlineStr">
        <is>
          <t>b4-0085</t>
        </is>
      </c>
      <c r="K138" s="15" t="inlineStr">
        <is>
          <t>Zech. 9:3, 4</t>
        </is>
      </c>
      <c r="L138" s="15" t="inlineStr">
        <is>
          <t>Insight: “Nearly 200 years after Zechariah’s prophecy was given, it was fulfilled.” Only the book is dated, so the prophecy is anchored to the completion of Zechariah (518 B.C.E.).</t>
        </is>
      </c>
      <c r="M138" s="16" t="n"/>
    </row>
    <row r="139">
      <c r="A139" s="15" t="inlineStr">
        <is>
          <t>fulfilled-prophecies-nations</t>
        </is>
      </c>
      <c r="B139" s="15" t="n">
        <v>60</v>
      </c>
      <c r="C139" s="15" t="inlineStr">
        <is>
          <t>fulfillment</t>
        </is>
      </c>
      <c r="D139" s="15" t="inlineStr">
        <is>
          <t>Tyre destroyed (332 B.C.E.)</t>
        </is>
      </c>
      <c r="E139" s="15" t="inlineStr">
        <is>
          <t>This was all fulfilled more than 250 years later when Alexander the Great moved against the island city of Tyre</t>
        </is>
      </c>
      <c r="F139" s="15" t="inlineStr">
        <is>
          <t>b4-0085</t>
        </is>
      </c>
      <c r="G139" s="15" t="inlineStr">
        <is>
          <t>Point</t>
        </is>
      </c>
      <c r="H139" s="15" t="inlineStr">
        <is>
          <t>332 B.C.E. (July)</t>
        </is>
      </c>
      <c r="I139" s="15" t="inlineStr">
        <is>
          <t>Alexander destroys island Tyre</t>
        </is>
      </c>
      <c r="J139" s="15" t="inlineStr">
        <is>
          <t>b3-0109, b11-0035</t>
        </is>
      </c>
      <c r="K139" s="15" t="inlineStr">
        <is>
          <t>Ezek. 26:4, 12; Zech. 9:3, 4</t>
        </is>
      </c>
      <c r="L139" s="15" t="inlineStr">
        <is>
          <t>si: they scaled the 46-m walls “to take the city in 332 B.C.E.” Insight: Alexander had the ruins of the mainland city thrown into the sea to build a causeway.</t>
        </is>
      </c>
      <c r="M139" s="16" t="n"/>
    </row>
    <row r="140">
      <c r="A140" s="15" t="inlineStr">
        <is>
          <t>fulfilled-prophecies-nations</t>
        </is>
      </c>
      <c r="B140" s="15" t="n">
        <v>61</v>
      </c>
      <c r="C140" s="15" t="inlineStr">
        <is>
          <t>prophecy</t>
        </is>
      </c>
      <c r="D140" s="15" t="inlineStr">
        <is>
          <t>Jerusalem destroyed by Rome (66–70 C.E.)</t>
        </is>
      </c>
      <c r="E140" s="15" t="inlineStr">
        <is>
          <t>He gives his memorable prophecy of Jerusalem’s destruction, saying that she will be surrounded with pointed stakes, distressed, and dashed to the ground with her children and that not one stone will be left on another</t>
        </is>
      </c>
      <c r="F140" s="15" t="inlineStr">
        <is>
          <t>b5-0131</t>
        </is>
      </c>
      <c r="G140" s="15" t="inlineStr">
        <is>
          <t>Point</t>
        </is>
      </c>
      <c r="H140" s="15" t="inlineStr">
        <is>
          <t>33 C.E., Nisan 9</t>
        </is>
      </c>
      <c r="I140" s="15" t="inlineStr">
        <is>
          <t>Enters Jerusalem triumphantly, riding on a donkey</t>
        </is>
      </c>
      <c r="J140" s="15" t="inlineStr">
        <is>
          <t>b12-0053, b6-0096</t>
        </is>
      </c>
      <c r="K140" s="15" t="inlineStr">
        <is>
          <t>Luke 19:41-44</t>
        </is>
      </c>
      <c r="L140" s="15" t="inlineStr">
        <is>
          <t>Awake! April 2011: “when Jesus rode into Jerusalem, he wept and foretold how the Roman armies would destroy the city.”</t>
        </is>
      </c>
      <c r="M140" s="16" t="n"/>
    </row>
    <row r="141">
      <c r="A141" s="15" t="inlineStr">
        <is>
          <t>fulfilled-prophecies-nations</t>
        </is>
      </c>
      <c r="B141" s="15" t="n">
        <v>62</v>
      </c>
      <c r="C141" s="15" t="inlineStr">
        <is>
          <t>prophecy</t>
        </is>
      </c>
      <c r="D141" s="15" t="inlineStr">
        <is>
          <t>Jerusalem destroyed by Rome (66–70 C.E.)</t>
        </is>
      </c>
      <c r="E141" s="15" t="inlineStr">
        <is>
          <t>Jesus gives a powerful portrayal of the great sign of the end, mentioning again the surrounding of Jerusalem by encamped armies</t>
        </is>
      </c>
      <c r="F141" s="15" t="inlineStr">
        <is>
          <t>b5-0144</t>
        </is>
      </c>
      <c r="G141" s="15" t="inlineStr">
        <is>
          <t>Point</t>
        </is>
      </c>
      <c r="H141" s="15" t="inlineStr">
        <is>
          <t>33 C.E., Nisan 11</t>
        </is>
      </c>
      <c r="I141" s="15" t="inlineStr">
        <is>
          <t>Gives sign of future presence</t>
        </is>
      </c>
      <c r="J141" s="15" t="inlineStr">
        <is>
          <t>b6-0092, b6-0093, b12-0053, b6-0096</t>
        </is>
      </c>
      <c r="K141" s="15" t="inlineStr">
        <is>
          <t>Luke 21:20-24; Matt. 24:2, 15, 16</t>
        </is>
      </c>
      <c r="L141" s="15" t="n"/>
      <c r="M141" s="16" t="n"/>
    </row>
    <row r="142">
      <c r="A142" s="15" t="inlineStr">
        <is>
          <t>fulfilled-prophecies-nations</t>
        </is>
      </c>
      <c r="B142" s="15" t="n">
        <v>63</v>
      </c>
      <c r="C142" s="15" t="inlineStr">
        <is>
          <t>prophecy</t>
        </is>
      </c>
      <c r="D142" s="15" t="inlineStr">
        <is>
          <t>Jerusalem destroyed by Rome (66–70 C.E.)</t>
        </is>
      </c>
      <c r="E142" s="15" t="inlineStr">
        <is>
          <t>“The people of the other prince who shall come will destroy the city and the sanctuary”</t>
        </is>
      </c>
      <c r="F142" s="15" t="inlineStr">
        <is>
          <t>b4-0026</t>
        </is>
      </c>
      <c r="G142" s="15" t="inlineStr">
        <is>
          <t>Point</t>
        </is>
      </c>
      <c r="H142" s="15" t="inlineStr">
        <is>
          <t>539/538 B.C.E.</t>
        </is>
      </c>
      <c r="I142" s="15" t="inlineStr">
        <is>
          <t>First year of Darius the Mede: Daniel receives the 70 weeks prophecy</t>
        </is>
      </c>
      <c r="J142" s="15" t="inlineStr">
        <is>
          <t>b6-0096</t>
        </is>
      </c>
      <c r="K142" s="15" t="inlineStr">
        <is>
          <t>Dan. 9:26, 27</t>
        </is>
      </c>
      <c r="L142" s="15" t="inlineStr">
        <is>
          <t>gm: this second “prince” was Titus. The 70 weeks prophecy was given in the first year of Darius the Mede (539/538 B.C.E.).</t>
        </is>
      </c>
      <c r="M142" s="16" t="n"/>
    </row>
    <row r="143">
      <c r="A143" s="15" t="inlineStr">
        <is>
          <t>fulfilled-prophecies-nations</t>
        </is>
      </c>
      <c r="B143" s="15" t="n">
        <v>64</v>
      </c>
      <c r="C143" s="15" t="inlineStr">
        <is>
          <t>fulfillment</t>
        </is>
      </c>
      <c r="D143" s="15" t="inlineStr">
        <is>
          <t>Jerusalem destroyed by Rome (66–70 C.E.)</t>
        </is>
      </c>
      <c r="E143" s="15" t="inlineStr">
        <is>
          <t>In 66 C.E., Cestius Gallus marched south with 30,000 troops to Jerusalem; then, for no apparent reason, Gallus withdrew</t>
        </is>
      </c>
      <c r="F143" s="15" t="inlineStr">
        <is>
          <t>b6-0092</t>
        </is>
      </c>
      <c r="G143" s="15" t="inlineStr">
        <is>
          <t>Point</t>
        </is>
      </c>
      <c r="H143" s="15" t="inlineStr">
        <is>
          <t>66 C.E. (before year’s end)</t>
        </is>
      </c>
      <c r="I143" s="15" t="inlineStr">
        <is>
          <t>Cestius Gallus surrounds Jerusalem, then suddenly withdraws</t>
        </is>
      </c>
      <c r="J143" s="15" t="inlineStr">
        <is>
          <t>b5-0144</t>
        </is>
      </c>
      <c r="K143" s="15" t="inlineStr">
        <is>
          <t>Luke 21:20</t>
        </is>
      </c>
      <c r="L143" s="15" t="n"/>
      <c r="M143" s="16" t="n"/>
    </row>
    <row r="144">
      <c r="A144" s="15" t="inlineStr">
        <is>
          <t>fulfilled-prophecies-nations</t>
        </is>
      </c>
      <c r="B144" s="15" t="n">
        <v>65</v>
      </c>
      <c r="C144" s="15" t="inlineStr">
        <is>
          <t>fulfillment</t>
        </is>
      </c>
      <c r="D144" s="15" t="inlineStr">
        <is>
          <t>Jerusalem destroyed by Rome (66–70 C.E.)</t>
        </is>
      </c>
      <c r="E144" s="15" t="inlineStr">
        <is>
          <t>Faithful Christians took advantage of this window of opportunity to flee. Many went to Pella</t>
        </is>
      </c>
      <c r="F144" s="15" t="inlineStr">
        <is>
          <t>b6-0093</t>
        </is>
      </c>
      <c r="G144" s="15" t="inlineStr">
        <is>
          <t>Point</t>
        </is>
      </c>
      <c r="H144" s="15" t="inlineStr">
        <is>
          <t>a. 66 C.E. (after Cestius Gallus’ withdrawal)</t>
        </is>
      </c>
      <c r="I144" s="15" t="inlineStr">
        <is>
          <t>Christians flee from Jerusalem and Judea to Pella</t>
        </is>
      </c>
      <c r="J144" s="15" t="inlineStr">
        <is>
          <t>b5-0144</t>
        </is>
      </c>
      <c r="K144" s="15" t="inlineStr">
        <is>
          <t>Luke 21:21; Matt. 24:16</t>
        </is>
      </c>
      <c r="L144" s="15" t="n"/>
      <c r="M144" s="16" t="n"/>
    </row>
    <row r="145">
      <c r="A145" s="15" t="inlineStr">
        <is>
          <t>fulfilled-prophecies-nations</t>
        </is>
      </c>
      <c r="B145" s="15" t="n">
        <v>66</v>
      </c>
      <c r="C145" s="15" t="inlineStr">
        <is>
          <t>fulfillment</t>
        </is>
      </c>
      <c r="D145" s="15" t="inlineStr">
        <is>
          <t>Jerusalem destroyed by Rome (66–70 C.E.)</t>
        </is>
      </c>
      <c r="E145" s="15" t="inlineStr">
        <is>
          <t>Roman troops built a wall of pointed stakes, just as Jesus had foretold. After about five months, the city fell</t>
        </is>
      </c>
      <c r="F145" s="15" t="inlineStr">
        <is>
          <t>b12-0053</t>
        </is>
      </c>
      <c r="G145" s="15" t="inlineStr">
        <is>
          <t>Span</t>
        </is>
      </c>
      <c r="H145" s="15" t="inlineStr">
        <is>
          <t>April 3 to August 30, 70 C.E.</t>
        </is>
      </c>
      <c r="I145" s="15" t="inlineStr">
        <is>
          <t>Roman siege and conquest of Jerusalem</t>
        </is>
      </c>
      <c r="J145" s="15" t="inlineStr">
        <is>
          <t>b5-0131, b5-0144</t>
        </is>
      </c>
      <c r="K145" s="15" t="inlineStr">
        <is>
          <t>Luke 19:43</t>
        </is>
      </c>
      <c r="L145" s="15" t="n"/>
      <c r="M145" s="16" t="n"/>
    </row>
    <row r="146">
      <c r="A146" s="15" t="inlineStr">
        <is>
          <t>fulfilled-prophecies-nations</t>
        </is>
      </c>
      <c r="B146" s="15" t="n">
        <v>67</v>
      </c>
      <c r="C146" s="15" t="inlineStr">
        <is>
          <t>fulfillment</t>
        </is>
      </c>
      <c r="D146" s="15" t="inlineStr">
        <is>
          <t>Jerusalem destroyed by Rome (66–70 C.E.)</t>
        </is>
      </c>
      <c r="E146" s="15" t="inlineStr">
        <is>
          <t>The temple was torn down stone by stone—precisely as Jesus had predicted</t>
        </is>
      </c>
      <c r="F146" s="15" t="inlineStr">
        <is>
          <t>b6-0096</t>
        </is>
      </c>
      <c r="G146" s="15" t="inlineStr">
        <is>
          <t>Point</t>
        </is>
      </c>
      <c r="H146" s="15" t="inlineStr">
        <is>
          <t>70 C.E. (conquest completed August 30)</t>
        </is>
      </c>
      <c r="I146" s="15" t="inlineStr">
        <is>
          <t>Jerusalem and its temple destroyed by the Romans</t>
        </is>
      </c>
      <c r="J146" s="15" t="inlineStr">
        <is>
          <t>b5-0131, b5-0144, b4-0026</t>
        </is>
      </c>
      <c r="K146" s="15" t="inlineStr">
        <is>
          <t>Luke 19:44; Matt. 24:2</t>
        </is>
      </c>
      <c r="L146" s="15" t="inlineStr">
        <is>
          <t>gm chap. 9 par. 34: Daniel 9:26 was fulfilled when the Romans destroyed Jerusalem in 70 C.E.</t>
        </is>
      </c>
      <c r="M146" s="16" t="n"/>
    </row>
    <row r="147">
      <c r="A147" s="15" t="inlineStr">
        <is>
          <t>how-the-bible-came-to-us</t>
        </is>
      </c>
      <c r="B147" s="15" t="n">
        <v>1</v>
      </c>
      <c r="C147" s="15" t="inlineStr">
        <is>
          <t>context</t>
        </is>
      </c>
      <c r="D147" s="15" t="inlineStr">
        <is>
          <t>Copying the Hebrew Scriptures</t>
        </is>
      </c>
      <c r="E147" s="15" t="inlineStr">
        <is>
          <t>After the exile of the Jews to Babylon, a class of copyists, or scribes (Sopherim), developed (Ezra 7:6)</t>
        </is>
      </c>
      <c r="F147" s="15" t="inlineStr">
        <is>
          <t>b4-0064</t>
        </is>
      </c>
      <c r="G147" s="15" t="inlineStr">
        <is>
          <t>Point</t>
        </is>
      </c>
      <c r="H147" s="15" t="inlineStr">
        <is>
          <t>468 B.C.E. (seventh year of Artaxerxes)</t>
        </is>
      </c>
      <c r="I147" s="15" t="inlineStr">
        <is>
          <t>Ezra and priests return to Jerusalem</t>
        </is>
      </c>
      <c r="J147" s="15" t="n"/>
      <c r="K147" s="15" t="inlineStr">
        <is>
          <t>Ezra 7:6; Deut. 17:18</t>
        </is>
      </c>
      <c r="L147" s="15" t="inlineStr">
        <is>
          <t>A3 gives no date for the Sopherim; anchored to Ezra's return to Jerusalem (468 B.C.E.). Ezra was 'a skilled copyist in the law of Moses' (Ezra 7:6; g 11/07, w97 8/15).</t>
        </is>
      </c>
      <c r="M147" s="16" t="n"/>
    </row>
    <row r="148">
      <c r="A148" s="15" t="inlineStr">
        <is>
          <t>how-the-bible-came-to-us</t>
        </is>
      </c>
      <c r="B148" s="15" t="n">
        <v>2</v>
      </c>
      <c r="C148" s="15" t="inlineStr">
        <is>
          <t>step</t>
        </is>
      </c>
      <c r="D148" s="15" t="inlineStr">
        <is>
          <t>Copying the Hebrew Scriptures</t>
        </is>
      </c>
      <c r="E148" s="15" t="inlineStr">
        <is>
          <t>Hebrew Scriptures completed c. 443 B.C.E.</t>
        </is>
      </c>
      <c r="F148" s="15" t="inlineStr">
        <is>
          <t>b11-0042</t>
        </is>
      </c>
      <c r="G148" s="15" t="inlineStr">
        <is>
          <t>Point</t>
        </is>
      </c>
      <c r="H148" s="15" t="inlineStr">
        <is>
          <t>a. 443 B.C.E.</t>
        </is>
      </c>
      <c r="I148" s="15" t="inlineStr">
        <is>
          <t>Writing of Malachi completed</t>
        </is>
      </c>
      <c r="J148" s="15" t="n"/>
      <c r="K148" s="15" t="n"/>
      <c r="L148" s="15" t="inlineStr">
        <is>
          <t>w97 8/15 chart 'Key Dates in the Transmission of the Bible'. Anchored to the 'writing of Malachi completed' record (a. 443 B.C.E.); Nehemiah (b11-0041) has the same date.</t>
        </is>
      </c>
      <c r="M148" s="16" t="n"/>
    </row>
    <row r="149">
      <c r="A149" s="15" t="inlineStr">
        <is>
          <t>how-the-bible-came-to-us</t>
        </is>
      </c>
      <c r="B149" s="15" t="n">
        <v>3</v>
      </c>
      <c r="C149" s="15" t="inlineStr">
        <is>
          <t>step</t>
        </is>
      </c>
      <c r="D149" s="15" t="inlineStr">
        <is>
          <t>Translations</t>
        </is>
      </c>
      <c r="E149" s="15" t="inlineStr">
        <is>
          <t>Septuagint begun c. 280 B.C.E.: Hebrew scholars at Alexandria translate the Hebrew Bible into the popular Koine</t>
        </is>
      </c>
      <c r="F149" s="15" t="inlineStr">
        <is>
          <t>b4-0098</t>
        </is>
      </c>
      <c r="G149" s="15" t="inlineStr">
        <is>
          <t>Point</t>
        </is>
      </c>
      <c r="H149" s="15" t="inlineStr">
        <is>
          <t>c. 280 B.C.E.</t>
        </is>
      </c>
      <c r="I149" s="15" t="inlineStr">
        <is>
          <t>Greek Septuagint translation begun</t>
        </is>
      </c>
      <c r="J149" s="15" t="n"/>
      <c r="K149" s="15" t="n"/>
      <c r="L149" s="15" t="inlineStr">
        <is>
          <t>w97 8/15 par. 9 and chart; w97 10/15 chart: 1 language.</t>
        </is>
      </c>
      <c r="M149" s="16" t="n"/>
    </row>
    <row r="150">
      <c r="A150" s="15" t="inlineStr">
        <is>
          <t>how-the-bible-came-to-us</t>
        </is>
      </c>
      <c r="B150" s="15" t="n">
        <v>4</v>
      </c>
      <c r="C150" s="15" t="inlineStr">
        <is>
          <t>step</t>
        </is>
      </c>
      <c r="D150" s="15" t="inlineStr">
        <is>
          <t>Translations</t>
        </is>
      </c>
      <c r="E150" s="15" t="inlineStr">
        <is>
          <t>The Septuagint was finished about 150 B.C.E.</t>
        </is>
      </c>
      <c r="F150" s="15" t="inlineStr">
        <is>
          <t>b4-0116</t>
        </is>
      </c>
      <c r="G150" s="15" t="inlineStr">
        <is>
          <t>Point</t>
        </is>
      </c>
      <c r="H150" s="15" t="inlineStr">
        <is>
          <t>c. 150 B.C.E. (2nd century B.C.E.)</t>
        </is>
      </c>
      <c r="I150" s="15" t="inlineStr">
        <is>
          <t>Septuagint translation completed</t>
        </is>
      </c>
      <c r="J150" s="15" t="n"/>
      <c r="K150" s="15" t="n"/>
      <c r="L150" s="15" t="n"/>
      <c r="M150" s="16" t="n"/>
    </row>
    <row r="151">
      <c r="A151" s="15" t="inlineStr">
        <is>
          <t>how-the-bible-came-to-us</t>
        </is>
      </c>
      <c r="B151" s="15" t="n">
        <v>5</v>
      </c>
      <c r="C151" s="15" t="inlineStr">
        <is>
          <t>item</t>
        </is>
      </c>
      <c r="D151" s="15" t="inlineStr">
        <is>
          <t>Copying the Hebrew Scriptures</t>
        </is>
      </c>
      <c r="E151" s="15" t="inlineStr">
        <is>
          <t>Chapter 40 of Isaiah’s book in the Dead Sea Scrolls (dated from 125 to 100 B.C.E.)</t>
        </is>
      </c>
      <c r="F151" s="15" t="inlineStr">
        <is>
          <t>b17-0001</t>
        </is>
      </c>
      <c r="G151" s="15" t="inlineStr">
        <is>
          <t>Point</t>
        </is>
      </c>
      <c r="H151" s="15" t="inlineStr">
        <is>
          <t>125–100 B.C.E.</t>
        </is>
      </c>
      <c r="I151" s="15" t="inlineStr">
        <is>
          <t>Dead Sea Scroll of Isaiah copied (125–100 B.C.E.)</t>
        </is>
      </c>
      <c r="J151" s="15" t="n"/>
      <c r="K151" s="15" t="inlineStr">
        <is>
          <t>Isa. 40</t>
        </is>
      </c>
      <c r="L151" s="15" t="inlineStr">
        <is>
          <t>A3 image caption. Compared with manuscripts about a thousand years later, only minor differences, mostly in spelling.</t>
        </is>
      </c>
      <c r="M151" s="16" t="n"/>
    </row>
    <row r="152">
      <c r="A152" s="15" t="inlineStr">
        <is>
          <t>how-the-bible-came-to-us</t>
        </is>
      </c>
      <c r="B152" s="15" t="n">
        <v>6</v>
      </c>
      <c r="C152" s="15" t="inlineStr">
        <is>
          <t>step</t>
        </is>
      </c>
      <c r="D152" s="15" t="inlineStr">
        <is>
          <t>Copying the Christian Greek Scriptures</t>
        </is>
      </c>
      <c r="E152" s="15" t="inlineStr">
        <is>
          <t>Greek Scriptures completed 98 C.E., with the books of the last surviving apostle, John</t>
        </is>
      </c>
      <c r="F152" s="15" t="inlineStr">
        <is>
          <t>b11-0068</t>
        </is>
      </c>
      <c r="G152" s="15" t="inlineStr">
        <is>
          <t>Point</t>
        </is>
      </c>
      <c r="H152" s="15" t="inlineStr">
        <is>
          <t>c. 98 C.E.</t>
        </is>
      </c>
      <c r="I152" s="15" t="inlineStr">
        <is>
          <t>Writing of John completed</t>
        </is>
      </c>
      <c r="J152" s="15" t="n"/>
      <c r="K152" s="15" t="n"/>
      <c r="L152" s="15" t="inlineStr">
        <is>
          <t>w97 8/15 par. 14 and chart. Anchored to 'writing of John completed' (c. 98 C.E.); 1-3 John (b11-0069…0071) share the date.</t>
        </is>
      </c>
      <c r="M152" s="16" t="n"/>
    </row>
    <row r="153">
      <c r="A153" s="15" t="inlineStr">
        <is>
          <t>how-the-bible-came-to-us</t>
        </is>
      </c>
      <c r="B153" s="15" t="n">
        <v>7</v>
      </c>
      <c r="C153" s="15" t="inlineStr">
        <is>
          <t>item</t>
        </is>
      </c>
      <c r="D153" s="15" t="inlineStr">
        <is>
          <t>Copying the Christian Greek Scriptures</t>
        </is>
      </c>
      <c r="E153" s="15" t="inlineStr">
        <is>
          <t>Rylands Papyrus of John (b. 125 C.E.)</t>
        </is>
      </c>
      <c r="F153" s="15" t="inlineStr">
        <is>
          <t>b7-0002</t>
        </is>
      </c>
      <c r="G153" s="15" t="inlineStr">
        <is>
          <t>Point</t>
        </is>
      </c>
      <c r="H153" s="15" t="inlineStr">
        <is>
          <t>c. 125 C.E.</t>
        </is>
      </c>
      <c r="I153" s="15" t="inlineStr">
        <is>
          <t>Rylands Papyrus 457 (P52) copied — oldest fragment of the Christian Greek Scriptures</t>
        </is>
      </c>
      <c r="J153" s="15" t="n"/>
      <c r="K153" s="15" t="n"/>
      <c r="L153" s="15" t="inlineStr">
        <is>
          <t>w97 8/15 chart; g 11/07: a fragment of John's Gospel made less than 50 years after he wrote, found in Egypt.</t>
        </is>
      </c>
      <c r="M153" s="16" t="n"/>
    </row>
    <row r="154">
      <c r="A154" s="15" t="inlineStr">
        <is>
          <t>how-the-bible-came-to-us</t>
        </is>
      </c>
      <c r="B154" s="15" t="n">
        <v>8</v>
      </c>
      <c r="C154" s="15" t="inlineStr">
        <is>
          <t>item</t>
        </is>
      </c>
      <c r="D154" s="15" t="inlineStr">
        <is>
          <t>Copying the Christian Greek Scriptures</t>
        </is>
      </c>
      <c r="E154" s="15" t="inlineStr">
        <is>
          <t>As early as 150 to 170 C.E., Tatian produced the Diatessaron, a composite account of Jesus’ life from the same four Gospels</t>
        </is>
      </c>
      <c r="F154" s="15" t="inlineStr">
        <is>
          <t>b7-0004</t>
        </is>
      </c>
      <c r="G154" s="15" t="inlineStr">
        <is>
          <t>Span</t>
        </is>
      </c>
      <c r="H154" s="15" t="inlineStr">
        <is>
          <t>150-170 C.E.</t>
        </is>
      </c>
      <c r="I154" s="15" t="inlineStr">
        <is>
          <t>Tatian produces the Diatessaron, a harmony of the four Gospels</t>
        </is>
      </c>
      <c r="J154" s="15" t="n"/>
      <c r="K154" s="15" t="n"/>
      <c r="L154" s="15" t="inlineStr">
        <is>
          <t>w97 8/15 par. 14.</t>
        </is>
      </c>
      <c r="M154" s="16" t="n"/>
    </row>
    <row r="155">
      <c r="A155" s="15" t="inlineStr">
        <is>
          <t>how-the-bible-came-to-us</t>
        </is>
      </c>
      <c r="B155" s="15" t="n">
        <v>9</v>
      </c>
      <c r="C155" s="15" t="inlineStr">
        <is>
          <t>item</t>
        </is>
      </c>
      <c r="D155" s="15" t="inlineStr">
        <is>
          <t>Copying the Christian Greek Scriptures</t>
        </is>
      </c>
      <c r="E155" s="15" t="inlineStr">
        <is>
          <t>About 170 C.E., the earliest known catalog of “New Testament” books, the Muratorian Fragment</t>
        </is>
      </c>
      <c r="F155" s="15" t="inlineStr">
        <is>
          <t>b7-0006</t>
        </is>
      </c>
      <c r="G155" s="15" t="inlineStr">
        <is>
          <t>Point</t>
        </is>
      </c>
      <c r="H155" s="15" t="inlineStr">
        <is>
          <t>c. 170 C.E.</t>
        </is>
      </c>
      <c r="I155" s="15" t="inlineStr">
        <is>
          <t>Muratorian Fragment — earliest known catalog of "New Testament" books</t>
        </is>
      </c>
      <c r="J155" s="15" t="n"/>
      <c r="K155" s="15" t="n"/>
      <c r="L155" s="15" t="inlineStr">
        <is>
          <t>w97 8/15 par. 14.</t>
        </is>
      </c>
      <c r="M155" s="16" t="n"/>
    </row>
    <row r="156">
      <c r="A156" s="15" t="inlineStr">
        <is>
          <t>how-the-bible-came-to-us</t>
        </is>
      </c>
      <c r="B156" s="15" t="n">
        <v>10</v>
      </c>
      <c r="C156" s="15" t="inlineStr">
        <is>
          <t>item</t>
        </is>
      </c>
      <c r="D156" s="15" t="inlineStr">
        <is>
          <t>Copying the Christian Greek Scriptures</t>
        </is>
      </c>
      <c r="E156" s="15" t="inlineStr">
        <is>
          <t>Early papyri, thought to date back to the second and third centuries C.E.</t>
        </is>
      </c>
      <c r="F156" s="15" t="inlineStr">
        <is>
          <t>b7-0010</t>
        </is>
      </c>
      <c r="G156" s="15" t="inlineStr">
        <is>
          <t>Point</t>
        </is>
      </c>
      <c r="H156" s="15" t="inlineStr">
        <is>
          <t>c. 200 C.E.</t>
        </is>
      </c>
      <c r="I156" s="15" t="inlineStr">
        <is>
          <t>Chester Beatty Papyrus No. 2 (P46) — codex of nine letters of Paul</t>
        </is>
      </c>
      <c r="J156" s="15" t="n"/>
      <c r="K156" s="15" t="n"/>
      <c r="L156" s="15" t="inlineStr">
        <is>
          <t>A3 (Greek text) says such papyri were used by the NWT committee and shows a papyrus of 2 Cor. 4:13–5:4 from about 200 C.E. without naming it; P46 (b7-0010) is the c. 200 C.E. Chester Beatty codex of Paul's letters in Insight.</t>
        </is>
      </c>
      <c r="M156" s="16" t="n"/>
    </row>
    <row r="157">
      <c r="A157" s="15" t="inlineStr">
        <is>
          <t>how-the-bible-came-to-us</t>
        </is>
      </c>
      <c r="B157" s="15" t="n">
        <v>11</v>
      </c>
      <c r="C157" s="15" t="inlineStr">
        <is>
          <t>item</t>
        </is>
      </c>
      <c r="D157" s="15" t="inlineStr">
        <is>
          <t>Copying the Christian Greek Scriptures</t>
        </is>
      </c>
      <c r="E157" s="15" t="inlineStr">
        <is>
          <t>Bodmer Papyri P66 and P75 (c. 200 C.E.)</t>
        </is>
      </c>
      <c r="F157" s="15" t="inlineStr">
        <is>
          <t>b7-0011</t>
        </is>
      </c>
      <c r="G157" s="15" t="inlineStr">
        <is>
          <t>Point</t>
        </is>
      </c>
      <c r="H157" s="15" t="inlineStr">
        <is>
          <t>c. 200 C.E.</t>
        </is>
      </c>
      <c r="I157" s="15" t="inlineStr">
        <is>
          <t>Bodmer Papyri P66 and P75 written</t>
        </is>
      </c>
      <c r="J157" s="15" t="n"/>
      <c r="K157" s="15" t="n"/>
      <c r="L157" s="15" t="inlineStr">
        <is>
          <t>Further early papyri of the kind A3 mentions; names and date from the b7 record (Insight, si Study 6).</t>
        </is>
      </c>
      <c r="M157" s="16" t="n"/>
    </row>
    <row r="158">
      <c r="A158" s="15" t="inlineStr">
        <is>
          <t>how-the-bible-came-to-us</t>
        </is>
      </c>
      <c r="B158" s="15" t="n">
        <v>12</v>
      </c>
      <c r="C158" s="15" t="inlineStr">
        <is>
          <t>item</t>
        </is>
      </c>
      <c r="D158" s="15" t="inlineStr">
        <is>
          <t>Translations</t>
        </is>
      </c>
      <c r="E158" s="15" t="inlineStr">
        <is>
          <t>Early translations of the Bible include those in such ancient languages as Armenian, Coptic, Ethiopic, Georgian, Latin, and Syriac. (Coptic)</t>
        </is>
      </c>
      <c r="F158" s="15" t="inlineStr">
        <is>
          <t>b7-0015</t>
        </is>
      </c>
      <c r="G158" s="15" t="inlineStr">
        <is>
          <t>Point</t>
        </is>
      </c>
      <c r="H158" s="15" t="inlineStr">
        <is>
          <t>by 3rd century C.E.</t>
        </is>
      </c>
      <c r="I158" s="15" t="inlineStr">
        <is>
          <t>First Coptic translation of the Christian Greek Scriptures</t>
        </is>
      </c>
      <c r="J158" s="15" t="n"/>
      <c r="K158" s="15" t="n"/>
      <c r="L158" s="15" t="inlineStr">
        <is>
          <t>A3 lists the early translation languages without dates; the b7 record dates the first Coptic version 'by 3rd century C.E.'</t>
        </is>
      </c>
      <c r="M158" s="16" t="n"/>
    </row>
    <row r="159">
      <c r="A159" s="15" t="inlineStr">
        <is>
          <t>how-the-bible-came-to-us</t>
        </is>
      </c>
      <c r="B159" s="15" t="n">
        <v>13</v>
      </c>
      <c r="C159" s="15" t="inlineStr">
        <is>
          <t>item</t>
        </is>
      </c>
      <c r="D159" s="15" t="inlineStr">
        <is>
          <t>Translations</t>
        </is>
      </c>
      <c r="E159" s="15" t="inlineStr">
        <is>
          <t>Early translations of the Bible include those in such ancient languages as Armenian, Coptic, Ethiopic, Georgian, Latin, and Syriac. (Latin)</t>
        </is>
      </c>
      <c r="F159" s="15" t="inlineStr">
        <is>
          <t>b7-0014</t>
        </is>
      </c>
      <c r="G159" s="15" t="inlineStr">
        <is>
          <t>Point</t>
        </is>
      </c>
      <c r="H159" s="15" t="inlineStr">
        <is>
          <t>by 250 C.E.</t>
        </is>
      </c>
      <c r="I159" s="15" t="inlineStr">
        <is>
          <t>Earliest evidence of the Latin Bible, at Carthage</t>
        </is>
      </c>
      <c r="J159" s="15" t="n"/>
      <c r="K159" s="15" t="n"/>
      <c r="L159" s="15" t="inlineStr">
        <is>
          <t>Earliest evidence of the Latin Bible, by 250 C.E. (b7).</t>
        </is>
      </c>
      <c r="M159" s="16" t="n"/>
    </row>
    <row r="160">
      <c r="A160" s="15" t="inlineStr">
        <is>
          <t>how-the-bible-came-to-us</t>
        </is>
      </c>
      <c r="B160" s="15" t="n">
        <v>14</v>
      </c>
      <c r="C160" s="15" t="inlineStr">
        <is>
          <t>context</t>
        </is>
      </c>
      <c r="D160" s="15" t="inlineStr">
        <is>
          <t>Copying the Christian Greek Scriptures</t>
        </is>
      </c>
      <c r="E160" s="15" t="inlineStr">
        <is>
          <t>Despite attempts by Roman Emperor Diocletian and others to destroy all early Christian literature, thousands of ancient fragments and manuscripts have been preserved</t>
        </is>
      </c>
      <c r="F160" s="15" t="inlineStr">
        <is>
          <t>b7-0018</t>
        </is>
      </c>
      <c r="G160" s="15" t="inlineStr">
        <is>
          <t>Point</t>
        </is>
      </c>
      <c r="H160" s="15" t="inlineStr">
        <is>
          <t>303 C.E., February 23-24</t>
        </is>
      </c>
      <c r="I160" s="15" t="inlineStr">
        <is>
          <t>Diocletian orders churches razed and copies of the Scriptures burned</t>
        </is>
      </c>
      <c r="J160" s="15" t="n"/>
      <c r="K160" s="15" t="n"/>
      <c r="L160" s="15" t="inlineStr">
        <is>
          <t>g 11/07 dates Diocletian's decree to February 23-24, 303 C.E.</t>
        </is>
      </c>
      <c r="M160" s="16" t="n"/>
    </row>
    <row r="161">
      <c r="A161" s="15" t="inlineStr">
        <is>
          <t>how-the-bible-came-to-us</t>
        </is>
      </c>
      <c r="B161" s="15" t="n">
        <v>15</v>
      </c>
      <c r="C161" s="15" t="inlineStr">
        <is>
          <t>item</t>
        </is>
      </c>
      <c r="D161" s="15" t="inlineStr">
        <is>
          <t>Copying the Christian Greek Scriptures</t>
        </is>
      </c>
      <c r="E161" s="15" t="inlineStr">
        <is>
          <t>Two copies of the Bible in Greek made not long after Diocletian’s persecution survive: one is in Rome (Codex Vaticanus)</t>
        </is>
      </c>
      <c r="F161" s="15" t="inlineStr">
        <is>
          <t>b7-0025</t>
        </is>
      </c>
      <c r="G161" s="15" t="inlineStr">
        <is>
          <t>Point</t>
        </is>
      </c>
      <c r="H161" s="15" t="inlineStr">
        <is>
          <t>4th century C.E.</t>
        </is>
      </c>
      <c r="I161" s="15" t="inlineStr">
        <is>
          <t>Codex Vaticanus (Vatican Manuscript No. 1209) produced</t>
        </is>
      </c>
      <c r="J161" s="15" t="n"/>
      <c r="K161" s="15" t="n"/>
      <c r="L161" s="15" t="inlineStr">
        <is>
          <t>g 11/07 does not name the two codices; the b7 records identify them as Vaticanus (Rome) and Sinaiticus (British Library).</t>
        </is>
      </c>
      <c r="M161" s="16" t="n"/>
    </row>
    <row r="162">
      <c r="A162" s="15" t="inlineStr">
        <is>
          <t>how-the-bible-came-to-us</t>
        </is>
      </c>
      <c r="B162" s="15" t="n">
        <v>16</v>
      </c>
      <c r="C162" s="15" t="inlineStr">
        <is>
          <t>item</t>
        </is>
      </c>
      <c r="D162" s="15" t="inlineStr">
        <is>
          <t>Copying the Christian Greek Scriptures</t>
        </is>
      </c>
      <c r="E162" s="15" t="inlineStr">
        <is>
          <t>…the other, in the British Library in London (Codex Sinaiticus)</t>
        </is>
      </c>
      <c r="F162" s="15" t="inlineStr">
        <is>
          <t>b7-0026</t>
        </is>
      </c>
      <c r="G162" s="15" t="inlineStr">
        <is>
          <t>Point</t>
        </is>
      </c>
      <c r="H162" s="15" t="inlineStr">
        <is>
          <t>4th century C.E.</t>
        </is>
      </c>
      <c r="I162" s="15" t="inlineStr">
        <is>
          <t>Codex Sinaiticus (Sinaitic Manuscript) produced</t>
        </is>
      </c>
      <c r="J162" s="15" t="n"/>
      <c r="K162" s="15" t="n"/>
      <c r="L162" s="15" t="inlineStr">
        <is>
          <t>w97 10/15: probably produced about 50 years before Jerome completed the Vulgate.</t>
        </is>
      </c>
      <c r="M162" s="16" t="n"/>
    </row>
    <row r="163">
      <c r="A163" s="15" t="inlineStr">
        <is>
          <t>how-the-bible-came-to-us</t>
        </is>
      </c>
      <c r="B163" s="15" t="n">
        <v>17</v>
      </c>
      <c r="C163" s="15" t="inlineStr">
        <is>
          <t>item</t>
        </is>
      </c>
      <c r="D163" s="15" t="inlineStr">
        <is>
          <t>Translations</t>
        </is>
      </c>
      <c r="E163" s="15" t="inlineStr">
        <is>
          <t>Ulfilas, a fourth-century bishop, is said to have invented Gothic script to translate the Bible</t>
        </is>
      </c>
      <c r="F163" s="15" t="inlineStr">
        <is>
          <t>b7-0031</t>
        </is>
      </c>
      <c r="G163" s="15" t="inlineStr">
        <is>
          <t>Point</t>
        </is>
      </c>
      <c r="H163" s="15" t="inlineStr">
        <is>
          <t>before 381 C.E.</t>
        </is>
      </c>
      <c r="I163" s="15" t="inlineStr">
        <is>
          <t>Ulfilas completes Gothic Bible, inventing the Gothic alphabet</t>
        </is>
      </c>
      <c r="J163" s="15" t="n"/>
      <c r="K163" s="15" t="n"/>
      <c r="L163" s="15" t="inlineStr">
        <is>
          <t>w97 8/15 par. 15.</t>
        </is>
      </c>
      <c r="M163" s="16" t="n"/>
    </row>
    <row r="164">
      <c r="A164" s="15" t="inlineStr">
        <is>
          <t>how-the-bible-came-to-us</t>
        </is>
      </c>
      <c r="B164" s="15" t="n">
        <v>18</v>
      </c>
      <c r="C164" s="15" t="inlineStr">
        <is>
          <t>step</t>
        </is>
      </c>
      <c r="D164" s="15" t="inlineStr">
        <is>
          <t>Translations</t>
        </is>
      </c>
      <c r="E164" s="15" t="inlineStr">
        <is>
          <t>In 382 C.E., Pope Damasus commissioned his secretary, Jerome, to prepare an authoritative Latin Bible</t>
        </is>
      </c>
      <c r="F164" s="15" t="inlineStr">
        <is>
          <t>b7-0036</t>
        </is>
      </c>
      <c r="G164" s="15" t="inlineStr">
        <is>
          <t>Point</t>
        </is>
      </c>
      <c r="H164" s="15" t="inlineStr">
        <is>
          <t>382 C.E.</t>
        </is>
      </c>
      <c r="I164" s="15" t="inlineStr">
        <is>
          <t>Pope Damasus commissions Jerome to prepare an authoritative Latin Bible</t>
        </is>
      </c>
      <c r="J164" s="15" t="n"/>
      <c r="K164" s="15" t="n"/>
      <c r="L164" s="15" t="inlineStr">
        <is>
          <t>w97 8/15 par. 17.</t>
        </is>
      </c>
      <c r="M164" s="16" t="n"/>
    </row>
    <row r="165">
      <c r="A165" s="15" t="inlineStr">
        <is>
          <t>how-the-bible-came-to-us</t>
        </is>
      </c>
      <c r="B165" s="15" t="n">
        <v>19</v>
      </c>
      <c r="C165" s="15" t="inlineStr">
        <is>
          <t>step</t>
        </is>
      </c>
      <c r="D165" s="15" t="inlineStr">
        <is>
          <t>Translations</t>
        </is>
      </c>
      <c r="E165" s="15" t="inlineStr">
        <is>
          <t>Jerome’s Latin Vulgate c. 400 C.E.</t>
        </is>
      </c>
      <c r="F165" s="15" t="inlineStr">
        <is>
          <t>b7-0042</t>
        </is>
      </c>
      <c r="G165" s="15" t="inlineStr">
        <is>
          <t>Point</t>
        </is>
      </c>
      <c r="H165" s="15" t="inlineStr">
        <is>
          <t>405 C.E.</t>
        </is>
      </c>
      <c r="I165" s="15" t="inlineStr">
        <is>
          <t>Jerome completes the Latin Vulgate</t>
        </is>
      </c>
      <c r="J165" s="15" t="n"/>
      <c r="K165" s="15" t="n"/>
      <c r="L165" s="15" t="inlineStr">
        <is>
          <t>w97 8/15 chart and par. 18 'about 400 C.E.'; the b7 record (Insight) dates completion 405 C.E. See the span b12-0058 (382–405 C.E.). w97 10/15 chart: 12 languages.</t>
        </is>
      </c>
      <c r="M165" s="16" t="n"/>
    </row>
    <row r="166">
      <c r="A166" s="15" t="inlineStr">
        <is>
          <t>how-the-bible-came-to-us</t>
        </is>
      </c>
      <c r="B166" s="15" t="n">
        <v>20</v>
      </c>
      <c r="C166" s="15" t="inlineStr">
        <is>
          <t>item</t>
        </is>
      </c>
      <c r="D166" s="15" t="inlineStr">
        <is>
          <t>Translations</t>
        </is>
      </c>
      <c r="E166" s="15" t="inlineStr">
        <is>
          <t>Early translations of the Bible include those in such ancient languages as Armenian, Coptic, Ethiopic, Georgian, Latin, and Syriac. (Syriac: the Syriac Peshitta)</t>
        </is>
      </c>
      <c r="F166" s="15" t="inlineStr">
        <is>
          <t>b7-0048</t>
        </is>
      </c>
      <c r="G166" s="15" t="inlineStr">
        <is>
          <t>Point</t>
        </is>
      </c>
      <c r="H166" s="15" t="inlineStr">
        <is>
          <t>459-464 C.E.</t>
        </is>
      </c>
      <c r="I166" s="15" t="inlineStr">
        <is>
          <t>Oldest dated Bible manuscripts: Syriac Peshitta copies</t>
        </is>
      </c>
      <c r="J166" s="15" t="n"/>
      <c r="K166" s="15" t="n"/>
      <c r="L166" s="15" t="inlineStr">
        <is>
          <t>A3 lists Syriac among early translations and the Syriac Peshitta among sources in the Hebrew text's footnotes; dated copies 459-464 C.E. (b7).</t>
        </is>
      </c>
      <c r="M166" s="16" t="n"/>
    </row>
    <row r="167">
      <c r="A167" s="15" t="inlineStr">
        <is>
          <t>how-the-bible-came-to-us</t>
        </is>
      </c>
      <c r="B167" s="15" t="n">
        <v>21</v>
      </c>
      <c r="C167" s="15" t="inlineStr">
        <is>
          <t>step</t>
        </is>
      </c>
      <c r="D167" s="15" t="inlineStr">
        <is>
          <t>Copying the Hebrew Scriptures</t>
        </is>
      </c>
      <c r="E167" s="15" t="inlineStr">
        <is>
          <t>During the Middle Ages, a group of Jewish scribes known as the Masoretes carried on that tradition — Masoretic Text prepared</t>
        </is>
      </c>
      <c r="F167" s="15" t="inlineStr">
        <is>
          <t>b7-0050</t>
        </is>
      </c>
      <c r="G167" s="15" t="inlineStr">
        <is>
          <t>Span</t>
        </is>
      </c>
      <c r="H167" s="15" t="inlineStr">
        <is>
          <t>6th-10th centuries C.E.</t>
        </is>
      </c>
      <c r="I167" s="15" t="inlineStr">
        <is>
          <t>Masoretes copy and preserve the Hebrew Scripture text</t>
        </is>
      </c>
      <c r="J167" s="15" t="n"/>
      <c r="K167" s="15" t="n"/>
      <c r="L167" s="15" t="inlineStr">
        <is>
          <t>A3 par. 2; w97 8/15: from about the sixth to the tenth centuries C.E. The Tamil A3 adds '(500–1500 C.E.)' for the Middle Ages.</t>
        </is>
      </c>
      <c r="M167" s="16" t="n"/>
    </row>
    <row r="168">
      <c r="A168" s="15" t="inlineStr">
        <is>
          <t>how-the-bible-came-to-us</t>
        </is>
      </c>
      <c r="B168" s="15" t="n">
        <v>22</v>
      </c>
      <c r="C168" s="15" t="inlineStr">
        <is>
          <t>step</t>
        </is>
      </c>
      <c r="D168" s="15" t="inlineStr">
        <is>
          <t>Translations</t>
        </is>
      </c>
      <c r="E168" s="15" t="inlineStr">
        <is>
          <t>In 863 C.E., Cyril and Methodius went to Moravia and began to translate the Bible into Old Slavonic</t>
        </is>
      </c>
      <c r="F168" s="15" t="inlineStr">
        <is>
          <t>b7-0057</t>
        </is>
      </c>
      <c r="G168" s="15" t="inlineStr">
        <is>
          <t>Point</t>
        </is>
      </c>
      <c r="H168" s="15" t="inlineStr">
        <is>
          <t>863 C.E.</t>
        </is>
      </c>
      <c r="I168" s="15" t="inlineStr">
        <is>
          <t>Cyril and Methodius begin Slavonic Bible translation in Moravia</t>
        </is>
      </c>
      <c r="J168" s="15" t="n"/>
      <c r="K168" s="15" t="n"/>
      <c r="L168" s="15" t="inlineStr">
        <is>
          <t>w97 8/15 par. 19 and chart 'Cyril in Moravia 863 C.E.'</t>
        </is>
      </c>
      <c r="M168" s="16" t="n"/>
    </row>
    <row r="169">
      <c r="A169" s="15" t="inlineStr">
        <is>
          <t>how-the-bible-came-to-us</t>
        </is>
      </c>
      <c r="B169" s="15" t="n">
        <v>23</v>
      </c>
      <c r="C169" s="15" t="inlineStr">
        <is>
          <t>item</t>
        </is>
      </c>
      <c r="D169" s="15" t="inlineStr">
        <is>
          <t>Copying the Hebrew Scriptures</t>
        </is>
      </c>
      <c r="E169" s="15" t="inlineStr">
        <is>
          <t>Chapter 40 of Isaiah’s book in the Aleppo Codex, an important Hebrew Masoretic manuscript from about 930 C.E.</t>
        </is>
      </c>
      <c r="F169" s="15" t="inlineStr">
        <is>
          <t>b7-0065</t>
        </is>
      </c>
      <c r="G169" s="15" t="inlineStr">
        <is>
          <t>Point</t>
        </is>
      </c>
      <c r="H169" s="15" t="inlineStr">
        <is>
          <t>c. 930 C.E.</t>
        </is>
      </c>
      <c r="I169" s="15" t="inlineStr">
        <is>
          <t>Aleppo Codex pointed and annotated by Aaron ben Asher</t>
        </is>
      </c>
      <c r="J169" s="15" t="n"/>
      <c r="K169" s="15" t="inlineStr">
        <is>
          <t>Isa. 40</t>
        </is>
      </c>
      <c r="L169" s="15" t="inlineStr">
        <is>
          <t>A3 image caption.</t>
        </is>
      </c>
      <c r="M169" s="16" t="n"/>
    </row>
    <row r="170">
      <c r="A170" s="15" t="inlineStr">
        <is>
          <t>how-the-bible-came-to-us</t>
        </is>
      </c>
      <c r="B170" s="15" t="n">
        <v>24</v>
      </c>
      <c r="C170" s="15" t="inlineStr">
        <is>
          <t>item</t>
        </is>
      </c>
      <c r="D170" s="15" t="inlineStr">
        <is>
          <t>Copying the Hebrew Scriptures</t>
        </is>
      </c>
      <c r="E170" s="15" t="inlineStr">
        <is>
          <t>The oldest complete Masoretic manuscript is the Leningrad Codex, which dates from 1008/1009 C.E.</t>
        </is>
      </c>
      <c r="F170" s="15" t="inlineStr">
        <is>
          <t>b7-0066</t>
        </is>
      </c>
      <c r="G170" s="15" t="inlineStr">
        <is>
          <t>Point</t>
        </is>
      </c>
      <c r="H170" s="15" t="inlineStr">
        <is>
          <t>1008 C.E.</t>
        </is>
      </c>
      <c r="I170" s="15" t="inlineStr">
        <is>
          <t>Leningrad Codex copied — oldest complete Masoretic manuscript</t>
        </is>
      </c>
      <c r="J170" s="15" t="n"/>
      <c r="K170" s="15" t="n"/>
      <c r="L170" s="15" t="inlineStr">
        <is>
          <t>A3: modern master texts (Biblia Hebraica Stuttgartensia and Quinta) reproduce the Leningrad Codex in the main text.</t>
        </is>
      </c>
      <c r="M170" s="16" t="n"/>
    </row>
    <row r="171">
      <c r="A171" s="15" t="inlineStr">
        <is>
          <t>how-the-bible-came-to-us</t>
        </is>
      </c>
      <c r="B171" s="15" t="n">
        <v>25</v>
      </c>
      <c r="C171" s="15" t="inlineStr">
        <is>
          <t>step</t>
        </is>
      </c>
      <c r="D171" s="15" t="inlineStr">
        <is>
          <t>Translations</t>
        </is>
      </c>
      <c r="E171" s="15" t="inlineStr">
        <is>
          <t>Wycliffe Bible begun (b. 1384): before he died in 1384, Wycliffe initiated the translation of the Bible from Latin into English</t>
        </is>
      </c>
      <c r="F171" s="15" t="inlineStr">
        <is>
          <t>b7-0086</t>
        </is>
      </c>
      <c r="G171" s="15" t="inlineStr">
        <is>
          <t>Point</t>
        </is>
      </c>
      <c r="H171" s="15" t="inlineStr">
        <is>
          <t>c. 1382</t>
        </is>
      </c>
      <c r="I171" s="15" t="inlineStr">
        <is>
          <t>Wycliffe's English Bible released</t>
        </is>
      </c>
      <c r="J171" s="15" t="n"/>
      <c r="K171" s="15" t="n"/>
      <c r="L171" s="15" t="inlineStr">
        <is>
          <t>w97 9/15 par. 5 and chart.</t>
        </is>
      </c>
      <c r="M171" s="16" t="n"/>
    </row>
    <row r="172">
      <c r="A172" s="15" t="inlineStr">
        <is>
          <t>how-the-bible-came-to-us</t>
        </is>
      </c>
      <c r="B172" s="15" t="n">
        <v>26</v>
      </c>
      <c r="C172" s="15" t="inlineStr">
        <is>
          <t>step</t>
        </is>
      </c>
      <c r="D172" s="15" t="inlineStr">
        <is>
          <t>Printing</t>
        </is>
      </c>
      <c r="E172" s="15" t="inlineStr">
        <is>
          <t>By 1450 Johannes Gutenberg began printing with movable type in Germany</t>
        </is>
      </c>
      <c r="F172" s="15" t="inlineStr">
        <is>
          <t>b7-0095</t>
        </is>
      </c>
      <c r="G172" s="15" t="inlineStr">
        <is>
          <t>Point</t>
        </is>
      </c>
      <c r="H172" s="15" t="inlineStr">
        <is>
          <t>by 1450</t>
        </is>
      </c>
      <c r="I172" s="15" t="inlineStr">
        <is>
          <t>Gutenberg begins printing with movable type</t>
        </is>
      </c>
      <c r="J172" s="15" t="n"/>
      <c r="K172" s="15" t="n"/>
      <c r="L172" s="15" t="inlineStr">
        <is>
          <t>w97 9/15 par. 14.</t>
        </is>
      </c>
      <c r="M172" s="16" t="n"/>
    </row>
    <row r="173">
      <c r="A173" s="15" t="inlineStr">
        <is>
          <t>how-the-bible-came-to-us</t>
        </is>
      </c>
      <c r="B173" s="15" t="n">
        <v>27</v>
      </c>
      <c r="C173" s="15" t="inlineStr">
        <is>
          <t>step</t>
        </is>
      </c>
      <c r="D173" s="15" t="inlineStr">
        <is>
          <t>Printing</t>
        </is>
      </c>
      <c r="E173" s="15" t="inlineStr">
        <is>
          <t>Gutenberg—first printed Bible c. 1455 (the Latin Vulgate)</t>
        </is>
      </c>
      <c r="F173" s="15" t="inlineStr">
        <is>
          <t>b7-0096</t>
        </is>
      </c>
      <c r="G173" s="15" t="inlineStr">
        <is>
          <t>Point</t>
        </is>
      </c>
      <c r="H173" s="15" t="inlineStr">
        <is>
          <t>c. 1455</t>
        </is>
      </c>
      <c r="I173" s="15" t="inlineStr">
        <is>
          <t>Gutenberg completes the first printed Bible (Latin Vulgate)</t>
        </is>
      </c>
      <c r="J173" s="15" t="n"/>
      <c r="K173" s="15" t="n"/>
      <c r="L173" s="15" t="inlineStr">
        <is>
          <t>w97 9/15 chart; w97 10/15 chart: 35 languages.</t>
        </is>
      </c>
      <c r="M173" s="16" t="n"/>
    </row>
    <row r="174">
      <c r="A174" s="15" t="inlineStr">
        <is>
          <t>how-the-bible-came-to-us</t>
        </is>
      </c>
      <c r="B174" s="15" t="n">
        <v>28</v>
      </c>
      <c r="C174" s="15" t="inlineStr">
        <is>
          <t>item</t>
        </is>
      </c>
      <c r="D174" s="15" t="inlineStr">
        <is>
          <t>Printing</t>
        </is>
      </c>
      <c r="E174" s="15" t="inlineStr">
        <is>
          <t>By 1495 all or part of the Bible had been printed in twelve languages</t>
        </is>
      </c>
      <c r="F174" s="15" t="inlineStr">
        <is>
          <t>b7-0100</t>
        </is>
      </c>
      <c r="G174" s="15" t="inlineStr">
        <is>
          <t>Point</t>
        </is>
      </c>
      <c r="H174" s="15" t="inlineStr">
        <is>
          <t>by 1495</t>
        </is>
      </c>
      <c r="I174" s="15" t="inlineStr">
        <is>
          <t>Bible printed in twelve languages</t>
        </is>
      </c>
      <c r="J174" s="15" t="n"/>
      <c r="K174" s="15" t="n"/>
      <c r="L174" s="15" t="inlineStr">
        <is>
          <t>w97 9/15 par. 14 ('Early Printed Vernaculars' on the chart).</t>
        </is>
      </c>
      <c r="M174" s="16" t="n"/>
    </row>
    <row r="175">
      <c r="A175" s="15" t="inlineStr">
        <is>
          <t>how-the-bible-came-to-us</t>
        </is>
      </c>
      <c r="B175" s="15" t="n">
        <v>29</v>
      </c>
      <c r="C175" s="15" t="inlineStr">
        <is>
          <t>step</t>
        </is>
      </c>
      <c r="D175" s="15" t="inlineStr">
        <is>
          <t>Printing</t>
        </is>
      </c>
      <c r="E175" s="15" t="inlineStr">
        <is>
          <t>Erasmus’ Greek text 1516: the first complete printed edition of the Greek text</t>
        </is>
      </c>
      <c r="F175" s="15" t="inlineStr">
        <is>
          <t>b7-0105</t>
        </is>
      </c>
      <c r="G175" s="15" t="inlineStr">
        <is>
          <t>Point</t>
        </is>
      </c>
      <c r="H175" s="15" t="inlineStr">
        <is>
          <t>1516</t>
        </is>
      </c>
      <c r="I175" s="15" t="inlineStr">
        <is>
          <t>Erasmus publishes first complete printed Greek text</t>
        </is>
      </c>
      <c r="J175" s="15" t="n"/>
      <c r="K175" s="15" t="n"/>
      <c r="L175" s="15" t="inlineStr">
        <is>
          <t>w97 9/15 par. 15 and chart.</t>
        </is>
      </c>
      <c r="M175" s="16" t="n"/>
    </row>
    <row r="176">
      <c r="A176" s="15" t="inlineStr">
        <is>
          <t>how-the-bible-came-to-us</t>
        </is>
      </c>
      <c r="B176" s="15" t="n">
        <v>30</v>
      </c>
      <c r="C176" s="15" t="inlineStr">
        <is>
          <t>step</t>
        </is>
      </c>
      <c r="D176" s="15" t="inlineStr">
        <is>
          <t>Translations</t>
        </is>
      </c>
      <c r="E176" s="15" t="inlineStr">
        <is>
          <t>Luther’s German “New Testament” (September Bible), 1522</t>
        </is>
      </c>
      <c r="F176" s="15" t="inlineStr">
        <is>
          <t>b7-0113</t>
        </is>
      </c>
      <c r="G176" s="15" t="inlineStr">
        <is>
          <t>Point</t>
        </is>
      </c>
      <c r="H176" s="15" t="inlineStr">
        <is>
          <t>1522, September</t>
        </is>
      </c>
      <c r="I176" s="15" t="inlineStr">
        <is>
          <t>Luther's German "New Testament" (September Bible) published</t>
        </is>
      </c>
      <c r="J176" s="15" t="n"/>
      <c r="K176" s="15" t="n"/>
      <c r="L176" s="15" t="inlineStr">
        <is>
          <t>Not in A3 or the w97 series; b7 record (si Study 6-7, 2003686).</t>
        </is>
      </c>
      <c r="M176" s="16" t="n"/>
    </row>
    <row r="177">
      <c r="A177" s="15" t="inlineStr">
        <is>
          <t>how-the-bible-came-to-us</t>
        </is>
      </c>
      <c r="B177" s="15" t="n">
        <v>31</v>
      </c>
      <c r="C177" s="15" t="inlineStr">
        <is>
          <t>step</t>
        </is>
      </c>
      <c r="D177" s="15" t="inlineStr">
        <is>
          <t>Translations</t>
        </is>
      </c>
      <c r="E177" s="15" t="inlineStr">
        <is>
          <t>Tyndale’s “New Testament” 1526: copies printed at Worms began to be distributed in England early in 1526</t>
        </is>
      </c>
      <c r="F177" s="15" t="inlineStr">
        <is>
          <t>b7-0118</t>
        </is>
      </c>
      <c r="G177" s="15" t="inlineStr">
        <is>
          <t>Point</t>
        </is>
      </c>
      <c r="H177" s="15" t="inlineStr">
        <is>
          <t>1526</t>
        </is>
      </c>
      <c r="I177" s="15" t="inlineStr">
        <is>
          <t>Tyndale's English "New Testament" printed at Worms reaches England</t>
        </is>
      </c>
      <c r="J177" s="15" t="n"/>
      <c r="K177" s="15" t="n"/>
      <c r="L177" s="15" t="inlineStr">
        <is>
          <t>w97 9/15 par. 19 and chart.</t>
        </is>
      </c>
      <c r="M177" s="16" t="n"/>
    </row>
    <row r="178">
      <c r="A178" s="15" t="inlineStr">
        <is>
          <t>how-the-bible-came-to-us</t>
        </is>
      </c>
      <c r="B178" s="15" t="n">
        <v>32</v>
      </c>
      <c r="C178" s="15" t="inlineStr">
        <is>
          <t>step</t>
        </is>
      </c>
      <c r="D178" s="15" t="inlineStr">
        <is>
          <t>Translations</t>
        </is>
      </c>
      <c r="E178" s="15" t="inlineStr">
        <is>
          <t>The first rendering of God’s personal name in an English Bible appeared in 1530 in William Tyndale’s translation of the Pentateuch</t>
        </is>
      </c>
      <c r="F178" s="15" t="inlineStr">
        <is>
          <t>b7-0122</t>
        </is>
      </c>
      <c r="G178" s="15" t="inlineStr">
        <is>
          <t>Point</t>
        </is>
      </c>
      <c r="H178" s="15" t="inlineStr">
        <is>
          <t>1530</t>
        </is>
      </c>
      <c r="I178" s="15" t="inlineStr">
        <is>
          <t>Tyndale's Pentateuch — first English translation from Hebrew; uses "Jehovah"</t>
        </is>
      </c>
      <c r="J178" s="15" t="n"/>
      <c r="K178" s="15" t="inlineStr">
        <is>
          <t>Gen. 15:2</t>
        </is>
      </c>
      <c r="L178" s="15" t="inlineStr">
        <is>
          <t>A4 par. 12 and image (Gen. 15:2, form 'Iehouah'); w97 9/15 par. 25: first to translate from Hebrew directly into English and first English translator to use the name Jehovah.</t>
        </is>
      </c>
      <c r="M178" s="16" t="n"/>
    </row>
    <row r="179">
      <c r="A179" s="15" t="inlineStr">
        <is>
          <t>how-the-bible-came-to-us</t>
        </is>
      </c>
      <c r="B179" s="15" t="n">
        <v>33</v>
      </c>
      <c r="C179" s="15" t="inlineStr">
        <is>
          <t>step</t>
        </is>
      </c>
      <c r="D179" s="15" t="inlineStr">
        <is>
          <t>Translations</t>
        </is>
      </c>
      <c r="E179" s="15" t="inlineStr">
        <is>
          <t>Luther completes the Hebrew Scriptures — complete German Bible, 1534</t>
        </is>
      </c>
      <c r="F179" s="15" t="inlineStr">
        <is>
          <t>b7-0128</t>
        </is>
      </c>
      <c r="G179" s="15" t="inlineStr">
        <is>
          <t>Point</t>
        </is>
      </c>
      <c r="H179" s="15" t="inlineStr">
        <is>
          <t>1534</t>
        </is>
      </c>
      <c r="I179" s="15" t="inlineStr">
        <is>
          <t>Luther completes the Hebrew Scriptures — complete German Bible</t>
        </is>
      </c>
      <c r="J179" s="15" t="n"/>
      <c r="K179" s="15" t="n"/>
      <c r="L179" s="15" t="inlineStr">
        <is>
          <t>Not in A3 or the w97 series; b7 record (2003686).</t>
        </is>
      </c>
      <c r="M179" s="16" t="n"/>
    </row>
    <row r="180">
      <c r="A180" s="15" t="inlineStr">
        <is>
          <t>how-the-bible-came-to-us</t>
        </is>
      </c>
      <c r="B180" s="15" t="n">
        <v>34</v>
      </c>
      <c r="C180" s="15" t="inlineStr">
        <is>
          <t>context</t>
        </is>
      </c>
      <c r="D180" s="15" t="inlineStr">
        <is>
          <t>Translations</t>
        </is>
      </c>
      <c r="E180" s="15" t="inlineStr">
        <is>
          <t>Tyndale executed 1536</t>
        </is>
      </c>
      <c r="F180" s="15" t="inlineStr">
        <is>
          <t>b7-0133</t>
        </is>
      </c>
      <c r="G180" s="15" t="inlineStr">
        <is>
          <t>Point</t>
        </is>
      </c>
      <c r="H180" s="15" t="inlineStr">
        <is>
          <t>1536, October</t>
        </is>
      </c>
      <c r="I180" s="15" t="inlineStr">
        <is>
          <t>William Tyndale strangled and burned at Vilvoorde</t>
        </is>
      </c>
      <c r="J180" s="15" t="n"/>
      <c r="K180" s="15" t="n"/>
      <c r="L180" s="15" t="inlineStr">
        <is>
          <t>w97 9/15 par. 30 and chart.</t>
        </is>
      </c>
      <c r="M180" s="16" t="n"/>
    </row>
    <row r="181">
      <c r="A181" s="15" t="inlineStr">
        <is>
          <t>how-the-bible-came-to-us</t>
        </is>
      </c>
      <c r="B181" s="15" t="n">
        <v>35</v>
      </c>
      <c r="C181" s="15" t="inlineStr">
        <is>
          <t>step</t>
        </is>
      </c>
      <c r="D181" s="15" t="inlineStr">
        <is>
          <t>Translations</t>
        </is>
      </c>
      <c r="E181" s="15" t="inlineStr">
        <is>
          <t>Henry VIII orders Bibles put in churches 1538 — essentially Tyndale’s translation</t>
        </is>
      </c>
      <c r="F181" s="15" t="inlineStr">
        <is>
          <t>b7-0135</t>
        </is>
      </c>
      <c r="G181" s="15" t="inlineStr">
        <is>
          <t>Point</t>
        </is>
      </c>
      <c r="H181" s="15" t="inlineStr">
        <is>
          <t>1538</t>
        </is>
      </c>
      <c r="I181" s="15" t="inlineStr">
        <is>
          <t>Henry VIII orders Bibles placed in every church</t>
        </is>
      </c>
      <c r="J181" s="15" t="n"/>
      <c r="K181" s="15" t="n"/>
      <c r="L181" s="15" t="inlineStr">
        <is>
          <t>w97 9/15 par. 31 and chart.</t>
        </is>
      </c>
      <c r="M181" s="16" t="n"/>
    </row>
    <row r="182">
      <c r="A182" s="15" t="inlineStr">
        <is>
          <t>how-the-bible-came-to-us</t>
        </is>
      </c>
      <c r="B182" s="15" t="n">
        <v>36</v>
      </c>
      <c r="C182" s="15" t="inlineStr">
        <is>
          <t>item</t>
        </is>
      </c>
      <c r="D182" s="15" t="inlineStr">
        <is>
          <t>Printing</t>
        </is>
      </c>
      <c r="E182" s="15" t="inlineStr">
        <is>
          <t>The verse division generally accepted in Bible translations was already established in the 16th century</t>
        </is>
      </c>
      <c r="F182" s="15" t="inlineStr">
        <is>
          <t>b7-0145</t>
        </is>
      </c>
      <c r="G182" s="15" t="inlineStr">
        <is>
          <t>Point</t>
        </is>
      </c>
      <c r="H182" s="15" t="inlineStr">
        <is>
          <t>1551</t>
        </is>
      </c>
      <c r="I182" s="15" t="inlineStr">
        <is>
          <t>Stephanus introduces numbered verses in his Greek-Latin "New Testament"</t>
        </is>
      </c>
      <c r="J182" s="15" t="n"/>
      <c r="K182" s="15" t="n"/>
      <c r="L182" s="15" t="inlineStr">
        <is>
          <t>A3 gives only 'the 16th century'; anchored to Stephanus' numbered verses (1551, b7).</t>
        </is>
      </c>
      <c r="M182" s="16" t="n"/>
    </row>
    <row r="183">
      <c r="A183" s="15" t="inlineStr">
        <is>
          <t>how-the-bible-came-to-us</t>
        </is>
      </c>
      <c r="B183" s="15" t="n">
        <v>37</v>
      </c>
      <c r="C183" s="15" t="inlineStr">
        <is>
          <t>step</t>
        </is>
      </c>
      <c r="D183" s="15" t="inlineStr">
        <is>
          <t>Translations</t>
        </is>
      </c>
      <c r="E183" s="15" t="inlineStr">
        <is>
          <t>Casiodoro de Reina’s Spanish Bible published 1569 (revised by Cipriano de Valera, 1602)</t>
        </is>
      </c>
      <c r="F183" s="15" t="inlineStr">
        <is>
          <t>b7-0156</t>
        </is>
      </c>
      <c r="G183" s="15" t="inlineStr">
        <is>
          <t>Point</t>
        </is>
      </c>
      <c r="H183" s="15" t="inlineStr">
        <is>
          <t>1569</t>
        </is>
      </c>
      <c r="I183" s="15" t="inlineStr">
        <is>
          <t>Casiodoro de Reina's Spanish Bible published</t>
        </is>
      </c>
      <c r="J183" s="15" t="n"/>
      <c r="K183" s="15" t="n"/>
      <c r="L183" s="15" t="inlineStr">
        <is>
          <t>g 11/07 par. 14 and footnote.</t>
        </is>
      </c>
      <c r="M183" s="16" t="n"/>
    </row>
    <row r="184">
      <c r="A184" s="15" t="inlineStr">
        <is>
          <t>how-the-bible-came-to-us</t>
        </is>
      </c>
      <c r="B184" s="15" t="n">
        <v>38</v>
      </c>
      <c r="C184" s="15" t="inlineStr">
        <is>
          <t>step</t>
        </is>
      </c>
      <c r="D184" s="15" t="inlineStr">
        <is>
          <t>Translations</t>
        </is>
      </c>
      <c r="E184" s="15" t="inlineStr">
        <is>
          <t>King James Version 1611 — as much as 90 percent of Tyndale’s translation carried into it</t>
        </is>
      </c>
      <c r="F184" s="15" t="inlineStr">
        <is>
          <t>b7-0163</t>
        </is>
      </c>
      <c r="G184" s="15" t="inlineStr">
        <is>
          <t>Point</t>
        </is>
      </c>
      <c r="H184" s="15" t="inlineStr">
        <is>
          <t>1611, May</t>
        </is>
      </c>
      <c r="I184" s="15" t="inlineStr">
        <is>
          <t>King James Version published</t>
        </is>
      </c>
      <c r="J184" s="15" t="n"/>
      <c r="K184" s="15" t="n"/>
      <c r="L184" s="15" t="inlineStr">
        <is>
          <t>w97 9/15 par. 31 and chart.</t>
        </is>
      </c>
      <c r="M184" s="16" t="n"/>
    </row>
    <row r="185">
      <c r="A185" s="15" t="inlineStr">
        <is>
          <t>how-the-bible-came-to-us</t>
        </is>
      </c>
      <c r="B185" s="15" t="n">
        <v>39</v>
      </c>
      <c r="C185" s="15" t="inlineStr">
        <is>
          <t>step</t>
        </is>
      </c>
      <c r="D185" s="15" t="inlineStr">
        <is>
          <t>Translations</t>
        </is>
      </c>
      <c r="E185" s="15" t="inlineStr">
        <is>
          <t>Ziegenbalg produces the Christian Greek Scriptures in Tamil (by 1714)</t>
        </is>
      </c>
      <c r="F185" s="15" t="inlineStr">
        <is>
          <t>b7-0175</t>
        </is>
      </c>
      <c r="G185" s="15" t="inlineStr">
        <is>
          <t>Point</t>
        </is>
      </c>
      <c r="H185" s="15" t="inlineStr">
        <is>
          <t>by 1714</t>
        </is>
      </c>
      <c r="I185" s="15" t="inlineStr">
        <is>
          <t>Ziegenbalg produces the Christian Greek Scriptures in Tamil</t>
        </is>
      </c>
      <c r="J185" s="15" t="n"/>
      <c r="K185" s="15" t="n"/>
      <c r="L185" s="15" t="inlineStr">
        <is>
          <t>Not in A3 or the w97 series; b7 record (docid 101979409).</t>
        </is>
      </c>
      <c r="M185" s="16" t="n"/>
    </row>
    <row r="186">
      <c r="A186" s="15" t="inlineStr">
        <is>
          <t>how-the-bible-came-to-us</t>
        </is>
      </c>
      <c r="B186" s="15" t="n">
        <v>40</v>
      </c>
      <c r="C186" s="15" t="inlineStr">
        <is>
          <t>step</t>
        </is>
      </c>
      <c r="D186" s="15" t="inlineStr">
        <is>
          <t>Translations</t>
        </is>
      </c>
      <c r="E186" s="15" t="inlineStr">
        <is>
          <t>Complete Bible in Tamil appears (1728)</t>
        </is>
      </c>
      <c r="F186" s="15" t="inlineStr">
        <is>
          <t>b7-0177</t>
        </is>
      </c>
      <c r="G186" s="15" t="inlineStr">
        <is>
          <t>Point</t>
        </is>
      </c>
      <c r="H186" s="15" t="inlineStr">
        <is>
          <t>1728</t>
        </is>
      </c>
      <c r="I186" s="15" t="inlineStr">
        <is>
          <t>Complete Bible in Tamil appears</t>
        </is>
      </c>
      <c r="J186" s="15" t="n"/>
      <c r="K186" s="15" t="n"/>
      <c r="L186" s="15" t="inlineStr">
        <is>
          <t>b7 record (docid 101979409).</t>
        </is>
      </c>
      <c r="M186" s="16" t="n"/>
    </row>
    <row r="187">
      <c r="A187" s="15" t="inlineStr">
        <is>
          <t>how-the-bible-came-to-us</t>
        </is>
      </c>
      <c r="B187" s="15" t="n">
        <v>41</v>
      </c>
      <c r="C187" s="15" t="inlineStr">
        <is>
          <t>context</t>
        </is>
      </c>
      <c r="D187" s="15" t="inlineStr">
        <is>
          <t>Translations</t>
        </is>
      </c>
      <c r="E187" s="15" t="inlineStr">
        <is>
          <t>William Carey sailed for India in 1793; he eventually translated the Bible or parts of it into 35 Indian languages</t>
        </is>
      </c>
      <c r="F187" s="15" t="inlineStr">
        <is>
          <t>b7-0184</t>
        </is>
      </c>
      <c r="G187" s="15" t="inlineStr">
        <is>
          <t>Point</t>
        </is>
      </c>
      <c r="H187" s="15" t="inlineStr">
        <is>
          <t>1793</t>
        </is>
      </c>
      <c r="I187" s="15" t="inlineStr">
        <is>
          <t>William Carey sails for India</t>
        </is>
      </c>
      <c r="J187" s="15" t="n"/>
      <c r="K187" s="15" t="n"/>
      <c r="L187" s="15" t="inlineStr">
        <is>
          <t>w97 10/15 par. 6.</t>
        </is>
      </c>
      <c r="M187" s="16" t="n"/>
    </row>
    <row r="188">
      <c r="A188" s="15" t="inlineStr">
        <is>
          <t>how-the-bible-came-to-us</t>
        </is>
      </c>
      <c r="B188" s="15" t="n">
        <v>42</v>
      </c>
      <c r="C188" s="15" t="inlineStr">
        <is>
          <t>context</t>
        </is>
      </c>
      <c r="D188" s="15" t="inlineStr">
        <is>
          <t>Bible societies, discoveries and the New World Translation</t>
        </is>
      </c>
      <c r="E188" s="15" t="inlineStr">
        <is>
          <t>In 1800, Mary Jones walked barefoot 25 miles to buy a Welsh Bible</t>
        </is>
      </c>
      <c r="F188" s="15" t="inlineStr">
        <is>
          <t>b7-0189</t>
        </is>
      </c>
      <c r="G188" s="15" t="inlineStr">
        <is>
          <t>Point</t>
        </is>
      </c>
      <c r="H188" s="15" t="inlineStr">
        <is>
          <t>1800</t>
        </is>
      </c>
      <c r="I188" s="15" t="inlineStr">
        <is>
          <t>Mary Jones walks 25 miles for a Welsh Bible</t>
        </is>
      </c>
      <c r="J188" s="15" t="n"/>
      <c r="K188" s="15" t="n"/>
      <c r="L188" s="15" t="inlineStr">
        <is>
          <t>w97 10/15 par. 7.</t>
        </is>
      </c>
      <c r="M188" s="16" t="n"/>
    </row>
    <row r="189">
      <c r="A189" s="15" t="inlineStr">
        <is>
          <t>how-the-bible-came-to-us</t>
        </is>
      </c>
      <c r="B189" s="15" t="n">
        <v>43</v>
      </c>
      <c r="C189" s="15" t="inlineStr">
        <is>
          <t>step</t>
        </is>
      </c>
      <c r="D189" s="15" t="inlineStr">
        <is>
          <t>Bible societies, discoveries and the New World Translation</t>
        </is>
      </c>
      <c r="E189" s="15" t="inlineStr">
        <is>
          <t>British and Foreign Bible Society founded 1804</t>
        </is>
      </c>
      <c r="F189" s="15" t="inlineStr">
        <is>
          <t>b7-0191</t>
        </is>
      </c>
      <c r="G189" s="15" t="inlineStr">
        <is>
          <t>Point</t>
        </is>
      </c>
      <c r="H189" s="15" t="inlineStr">
        <is>
          <t>1804</t>
        </is>
      </c>
      <c r="I189" s="15" t="inlineStr">
        <is>
          <t>British and Foreign Bible Society founded</t>
        </is>
      </c>
      <c r="J189" s="15" t="n"/>
      <c r="K189" s="15" t="n"/>
      <c r="L189" s="15" t="inlineStr">
        <is>
          <t>w97 10/15 par. 8 and chart (81 languages).</t>
        </is>
      </c>
      <c r="M189" s="16" t="n"/>
    </row>
    <row r="190">
      <c r="A190" s="15" t="inlineStr">
        <is>
          <t>how-the-bible-came-to-us</t>
        </is>
      </c>
      <c r="B190" s="15" t="n">
        <v>44</v>
      </c>
      <c r="C190" s="15" t="inlineStr">
        <is>
          <t>item</t>
        </is>
      </c>
      <c r="D190" s="15" t="inlineStr">
        <is>
          <t>Bible societies, discoveries and the New World Translation</t>
        </is>
      </c>
      <c r="E190" s="15" t="inlineStr">
        <is>
          <t>By 1813 associate societies had been formed in Germany, the Netherlands, Denmark, and Russia</t>
        </is>
      </c>
      <c r="F190" s="15" t="inlineStr">
        <is>
          <t>b7-0197</t>
        </is>
      </c>
      <c r="G190" s="15" t="inlineStr">
        <is>
          <t>Point</t>
        </is>
      </c>
      <c r="H190" s="15" t="inlineStr">
        <is>
          <t>by 1813</t>
        </is>
      </c>
      <c r="I190" s="15" t="inlineStr">
        <is>
          <t>Associate Bible societies formed in Germany, Netherlands, Denmark, and Russia</t>
        </is>
      </c>
      <c r="J190" s="15" t="n"/>
      <c r="K190" s="15" t="n"/>
      <c r="L190" s="15" t="inlineStr">
        <is>
          <t>w97 10/15 par. 9.</t>
        </is>
      </c>
      <c r="M190" s="16" t="n"/>
    </row>
    <row r="191">
      <c r="A191" s="15" t="inlineStr">
        <is>
          <t>how-the-bible-came-to-us</t>
        </is>
      </c>
      <c r="B191" s="15" t="n">
        <v>45</v>
      </c>
      <c r="C191" s="15" t="inlineStr">
        <is>
          <t>item</t>
        </is>
      </c>
      <c r="D191" s="15" t="inlineStr">
        <is>
          <t>Bible societies, discoveries and the New World Translation</t>
        </is>
      </c>
      <c r="E191" s="15" t="inlineStr">
        <is>
          <t>American Bible Society formed (1816)</t>
        </is>
      </c>
      <c r="F191" s="15" t="inlineStr">
        <is>
          <t>b7-0200</t>
        </is>
      </c>
      <c r="G191" s="15" t="inlineStr">
        <is>
          <t>Point</t>
        </is>
      </c>
      <c r="H191" s="15" t="inlineStr">
        <is>
          <t>1816</t>
        </is>
      </c>
      <c r="I191" s="15" t="inlineStr">
        <is>
          <t>American Bible Society formed</t>
        </is>
      </c>
      <c r="J191" s="15" t="n"/>
      <c r="K191" s="15" t="n"/>
      <c r="L191" s="15" t="inlineStr">
        <is>
          <t>b7 record (si Study 7).</t>
        </is>
      </c>
      <c r="M191" s="16" t="n"/>
    </row>
    <row r="192">
      <c r="A192" s="15" t="inlineStr">
        <is>
          <t>how-the-bible-came-to-us</t>
        </is>
      </c>
      <c r="B192" s="15" t="n">
        <v>46</v>
      </c>
      <c r="C192" s="15" t="inlineStr">
        <is>
          <t>step</t>
        </is>
      </c>
      <c r="D192" s="15" t="inlineStr">
        <is>
          <t>Translations</t>
        </is>
      </c>
      <c r="E192" s="15" t="inlineStr">
        <is>
          <t>Robert Morrison completes the entire Bible in Chinese (1819)</t>
        </is>
      </c>
      <c r="F192" s="15" t="inlineStr">
        <is>
          <t>b7-0204</t>
        </is>
      </c>
      <c r="G192" s="15" t="inlineStr">
        <is>
          <t>Point</t>
        </is>
      </c>
      <c r="H192" s="15" t="inlineStr">
        <is>
          <t>1819, November 25</t>
        </is>
      </c>
      <c r="I192" s="15" t="inlineStr">
        <is>
          <t>Morrison completes the entire Bible in Chinese</t>
        </is>
      </c>
      <c r="J192" s="15" t="n"/>
      <c r="K192" s="15" t="n"/>
      <c r="L192" s="15" t="inlineStr">
        <is>
          <t>b7 record (2009402, 1101997025).</t>
        </is>
      </c>
      <c r="M192" s="16" t="n"/>
    </row>
    <row r="193">
      <c r="A193" s="15" t="inlineStr">
        <is>
          <t>how-the-bible-came-to-us</t>
        </is>
      </c>
      <c r="B193" s="15" t="n">
        <v>47</v>
      </c>
      <c r="C193" s="15" t="inlineStr">
        <is>
          <t>step</t>
        </is>
      </c>
      <c r="D193" s="15" t="inlineStr">
        <is>
          <t>Translations</t>
        </is>
      </c>
      <c r="E193" s="15" t="inlineStr">
        <is>
          <t>Adoniram Judson completed the Burmese Bible in 1835</t>
        </is>
      </c>
      <c r="F193" s="15" t="inlineStr">
        <is>
          <t>b7-0210</t>
        </is>
      </c>
      <c r="G193" s="15" t="inlineStr">
        <is>
          <t>Point</t>
        </is>
      </c>
      <c r="H193" s="15" t="inlineStr">
        <is>
          <t>1835</t>
        </is>
      </c>
      <c r="I193" s="15" t="inlineStr">
        <is>
          <t>Judson completes the Burmese Bible</t>
        </is>
      </c>
      <c r="J193" s="15" t="n"/>
      <c r="K193" s="15" t="n"/>
      <c r="L193" s="15" t="inlineStr">
        <is>
          <t>w97 10/15 par. 2, 13.</t>
        </is>
      </c>
      <c r="M193" s="16" t="n"/>
    </row>
    <row r="194">
      <c r="A194" s="15" t="inlineStr">
        <is>
          <t>how-the-bible-came-to-us</t>
        </is>
      </c>
      <c r="B194" s="15" t="n">
        <v>48</v>
      </c>
      <c r="C194" s="15" t="inlineStr">
        <is>
          <t>step</t>
        </is>
      </c>
      <c r="D194" s="15" t="inlineStr">
        <is>
          <t>Bible societies, discoveries and the New World Translation</t>
        </is>
      </c>
      <c r="E194" s="15" t="inlineStr">
        <is>
          <t>In 1859 Tischendorf found Codex Sinaiticus, the oldest known complete copy of the Christian Greek Scriptures, at the base of Mount Sinai</t>
        </is>
      </c>
      <c r="F194" s="15" t="inlineStr">
        <is>
          <t>b7-0224</t>
        </is>
      </c>
      <c r="G194" s="15" t="inlineStr">
        <is>
          <t>Point</t>
        </is>
      </c>
      <c r="H194" s="15" t="inlineStr">
        <is>
          <t>1859</t>
        </is>
      </c>
      <c r="I194" s="15" t="inlineStr">
        <is>
          <t>Tischendorf finds Codex Sinaiticus at Mount Sinai</t>
        </is>
      </c>
      <c r="J194" s="15" t="n"/>
      <c r="K194" s="15" t="n"/>
      <c r="L194" s="15" t="inlineStr">
        <is>
          <t>w97 10/15 par. 18.</t>
        </is>
      </c>
      <c r="M194" s="16" t="n"/>
    </row>
    <row r="195">
      <c r="A195" s="15" t="inlineStr">
        <is>
          <t>how-the-bible-came-to-us</t>
        </is>
      </c>
      <c r="B195" s="15" t="n">
        <v>49</v>
      </c>
      <c r="C195" s="15" t="inlineStr">
        <is>
          <t>item</t>
        </is>
      </c>
      <c r="D195" s="15" t="inlineStr">
        <is>
          <t>Translations</t>
        </is>
      </c>
      <c r="E195" s="15" t="inlineStr">
        <is>
          <t>God’s name in the Christian Greek Scriptures: The Emphatic Diaglott, by Benjamin Wilson (1864)</t>
        </is>
      </c>
      <c r="F195" s="15" t="inlineStr">
        <is>
          <t>b7-0228</t>
        </is>
      </c>
      <c r="G195" s="15" t="inlineStr">
        <is>
          <t>Point</t>
        </is>
      </c>
      <c r="H195" s="15" t="inlineStr">
        <is>
          <t>1864</t>
        </is>
      </c>
      <c r="I195" s="15" t="inlineStr">
        <is>
          <t>Benjamin Wilson's Emphatic Diaglott completed</t>
        </is>
      </c>
      <c r="J195" s="15" t="n"/>
      <c r="K195" s="15" t="inlineStr">
        <is>
          <t>Acts 2:34</t>
        </is>
      </c>
      <c r="L195" s="15" t="inlineStr">
        <is>
          <t>A5 par. 13 and image: translators who used God's name in the Christian Greek Scriptures long before the NWT.</t>
        </is>
      </c>
      <c r="M195" s="16" t="n"/>
    </row>
    <row r="196">
      <c r="A196" s="15" t="inlineStr">
        <is>
          <t>how-the-bible-came-to-us</t>
        </is>
      </c>
      <c r="B196" s="15" t="n">
        <v>50</v>
      </c>
      <c r="C196" s="15" t="inlineStr">
        <is>
          <t>step</t>
        </is>
      </c>
      <c r="D196" s="15" t="inlineStr">
        <is>
          <t>Bible societies, discoveries and the New World Translation</t>
        </is>
      </c>
      <c r="E196" s="15" t="inlineStr">
        <is>
          <t>In the late 19th century, scholars B. F. Westcott and F.J.A. Hort prepared the Greek master text (1881)</t>
        </is>
      </c>
      <c r="F196" s="15" t="inlineStr">
        <is>
          <t>b17-0005</t>
        </is>
      </c>
      <c r="G196" s="15" t="inlineStr">
        <is>
          <t>Point</t>
        </is>
      </c>
      <c r="H196" s="15" t="inlineStr">
        <is>
          <t>1881</t>
        </is>
      </c>
      <c r="I196" s="15" t="inlineStr">
        <is>
          <t>Westcott and Hort Greek master text produced</t>
        </is>
      </c>
      <c r="J196" s="15" t="n"/>
      <c r="K196" s="15" t="n"/>
      <c r="L196" s="15" t="inlineStr">
        <is>
          <t>A3; year from si Study 6.</t>
        </is>
      </c>
      <c r="M196" s="16" t="n"/>
    </row>
    <row r="197">
      <c r="A197" s="15" t="inlineStr">
        <is>
          <t>how-the-bible-came-to-us</t>
        </is>
      </c>
      <c r="B197" s="15" t="n">
        <v>51</v>
      </c>
      <c r="C197" s="15" t="inlineStr">
        <is>
          <t>step</t>
        </is>
      </c>
      <c r="D197" s="15" t="inlineStr">
        <is>
          <t>Bible societies, discoveries and the New World Translation</t>
        </is>
      </c>
      <c r="E197" s="15" t="inlineStr">
        <is>
          <t>Biblia Hebraica, by Rudolf Kittel (first edition 1906), on which the NWT Hebrew Scriptures were based</t>
        </is>
      </c>
      <c r="F197" s="15" t="inlineStr">
        <is>
          <t>b17-0006</t>
        </is>
      </c>
      <c r="G197" s="15" t="inlineStr">
        <is>
          <t>Point</t>
        </is>
      </c>
      <c r="H197" s="15" t="inlineStr">
        <is>
          <t>1906</t>
        </is>
      </c>
      <c r="I197" s="15" t="inlineStr">
        <is>
          <t>Rudolf Kittel releases the first edition of Biblia Hebraica</t>
        </is>
      </c>
      <c r="J197" s="15" t="n"/>
      <c r="K197" s="15" t="n"/>
      <c r="L197" s="15" t="inlineStr">
        <is>
          <t>A3; first edition year from si Study 5.</t>
        </is>
      </c>
      <c r="M197" s="16" t="n"/>
    </row>
    <row r="198">
      <c r="A198" s="15" t="inlineStr">
        <is>
          <t>how-the-bible-came-to-us</t>
        </is>
      </c>
      <c r="B198" s="15" t="n">
        <v>52</v>
      </c>
      <c r="C198" s="15" t="inlineStr">
        <is>
          <t>step</t>
        </is>
      </c>
      <c r="D198" s="15" t="inlineStr">
        <is>
          <t>Bible societies, discoveries and the New World Translation</t>
        </is>
      </c>
      <c r="E198" s="15" t="inlineStr">
        <is>
          <t>New World Bible Translation Committee begins work (December 2, 1947)</t>
        </is>
      </c>
      <c r="F198" s="15" t="inlineStr">
        <is>
          <t>b9-0016</t>
        </is>
      </c>
      <c r="G198" s="15" t="inlineStr">
        <is>
          <t>Point</t>
        </is>
      </c>
      <c r="H198" s="15" t="inlineStr">
        <is>
          <t>1947, December 2</t>
        </is>
      </c>
      <c r="I198" s="15" t="inlineStr">
        <is>
          <t>New World Bible Translation Committee begins work</t>
        </is>
      </c>
      <c r="J198" s="15" t="n"/>
      <c r="K198" s="15" t="n"/>
      <c r="L198" s="15" t="inlineStr">
        <is>
          <t>w97 10/15 par. 22 says associates of the Society 'set out in 1946 to produce a fresh translation'; b9 (kr ch. 'Bible translation') dates the committee's first meeting December 2, 1947.</t>
        </is>
      </c>
      <c r="M198" s="16" t="n"/>
    </row>
    <row r="199">
      <c r="A199" s="15" t="inlineStr">
        <is>
          <t>how-the-bible-came-to-us</t>
        </is>
      </c>
      <c r="B199" s="15" t="n">
        <v>53</v>
      </c>
      <c r="C199" s="15" t="inlineStr">
        <is>
          <t>step</t>
        </is>
      </c>
      <c r="D199" s="15" t="inlineStr">
        <is>
          <t>Bible societies, discoveries and the New World Translation</t>
        </is>
      </c>
      <c r="E199" s="15" t="inlineStr">
        <is>
          <t>In the middle of the 20th century, some 220 Biblical manuscripts or fragments were discovered among the Dead Sea Scrolls (1947)</t>
        </is>
      </c>
      <c r="F199" s="15" t="inlineStr">
        <is>
          <t>b17-0010</t>
        </is>
      </c>
      <c r="G199" s="15" t="inlineStr">
        <is>
          <t>Point</t>
        </is>
      </c>
      <c r="H199" s="15" t="inlineStr">
        <is>
          <t>1947</t>
        </is>
      </c>
      <c r="I199" s="15" t="inlineStr">
        <is>
          <t>Dead Sea Scrolls discovered</t>
        </is>
      </c>
      <c r="J199" s="15" t="n"/>
      <c r="K199" s="15" t="n"/>
      <c r="L199" s="15" t="inlineStr">
        <is>
          <t>A3; year 1947 from si Study 5, wp16 No. 4 and wp20 No. 3.</t>
        </is>
      </c>
      <c r="M199" s="16" t="n"/>
    </row>
    <row r="200">
      <c r="A200" s="15" t="inlineStr">
        <is>
          <t>how-the-bible-came-to-us</t>
        </is>
      </c>
      <c r="B200" s="15" t="n">
        <v>54</v>
      </c>
      <c r="C200" s="15" t="inlineStr">
        <is>
          <t>step</t>
        </is>
      </c>
      <c r="D200" s="15" t="inlineStr">
        <is>
          <t>Bible societies, discoveries and the New World Translation</t>
        </is>
      </c>
      <c r="E200" s="15" t="inlineStr">
        <is>
          <t>New World Translation of the Christian Greek Scriptures released (1950)</t>
        </is>
      </c>
      <c r="F200" s="15" t="inlineStr">
        <is>
          <t>b9-0027</t>
        </is>
      </c>
      <c r="G200" s="15" t="inlineStr">
        <is>
          <t>Point</t>
        </is>
      </c>
      <c r="H200" s="15" t="inlineStr">
        <is>
          <t>1950, August 2</t>
        </is>
      </c>
      <c r="I200" s="15" t="inlineStr">
        <is>
          <t>New World Translation of the Christian Greek Scriptures released</t>
        </is>
      </c>
      <c r="J200" s="15" t="n"/>
      <c r="K200" s="15" t="n"/>
      <c r="L200" s="15" t="inlineStr">
        <is>
          <t>Tamil label is the b9 record's own Tamil title (from a Tamil jw.org page). A3: in the mid-20th century the committee used the Westcott and Hort master text.</t>
        </is>
      </c>
      <c r="M200" s="16" t="n"/>
    </row>
    <row r="201">
      <c r="A201" s="15" t="inlineStr">
        <is>
          <t>how-the-bible-came-to-us</t>
        </is>
      </c>
      <c r="B201" s="15" t="n">
        <v>55</v>
      </c>
      <c r="C201" s="15" t="inlineStr">
        <is>
          <t>step</t>
        </is>
      </c>
      <c r="D201" s="15" t="inlineStr">
        <is>
          <t>Bible societies, discoveries and the New World Translation</t>
        </is>
      </c>
      <c r="E201" s="15" t="inlineStr">
        <is>
          <t>It was published in six volumes, released from 1950 to 1960, beginning with the Christian Greek Scriptures</t>
        </is>
      </c>
      <c r="F201" s="15" t="inlineStr">
        <is>
          <t>b12-0092</t>
        </is>
      </c>
      <c r="G201" s="15" t="inlineStr">
        <is>
          <t>Span</t>
        </is>
      </c>
      <c r="H201" s="15" t="inlineStr">
        <is>
          <t>August 2, 1950–June 18, 1960</t>
        </is>
      </c>
      <c r="I201" s="15" t="inlineStr">
        <is>
          <t>Release of the New World Translation in volumes</t>
        </is>
      </c>
      <c r="J201" s="15" t="n"/>
      <c r="K201" s="15" t="n"/>
      <c r="L201" s="15" t="inlineStr">
        <is>
          <t>w97 10/15 par. 24; A3: the New World Translation of the Hebrew Scriptures (1953-1960).</t>
        </is>
      </c>
      <c r="M201" s="16" t="n"/>
    </row>
    <row r="202">
      <c r="A202" s="15" t="inlineStr">
        <is>
          <t>how-the-bible-came-to-us</t>
        </is>
      </c>
      <c r="B202" s="15" t="n">
        <v>56</v>
      </c>
      <c r="C202" s="15" t="inlineStr">
        <is>
          <t>step</t>
        </is>
      </c>
      <c r="D202" s="15" t="inlineStr">
        <is>
          <t>Bible societies, discoveries and the New World Translation</t>
        </is>
      </c>
      <c r="E202" s="15" t="inlineStr">
        <is>
          <t>Complete New World Translation released in one volume (1961)</t>
        </is>
      </c>
      <c r="F202" s="15" t="inlineStr">
        <is>
          <t>b9-0061</t>
        </is>
      </c>
      <c r="G202" s="15" t="inlineStr">
        <is>
          <t>Point</t>
        </is>
      </c>
      <c r="H202" s="15" t="inlineStr">
        <is>
          <t>1961</t>
        </is>
      </c>
      <c r="I202" s="15" t="inlineStr">
        <is>
          <t>Complete New World Translation released in one volume</t>
        </is>
      </c>
      <c r="J202" s="15" t="n"/>
      <c r="K202" s="15" t="n"/>
      <c r="L202" s="15" t="inlineStr">
        <is>
          <t>Tamil label is the b9 record's own Tamil title.</t>
        </is>
      </c>
      <c r="M202" s="16" t="n"/>
    </row>
    <row r="203">
      <c r="A203" s="15" t="inlineStr">
        <is>
          <t>how-the-bible-came-to-us</t>
        </is>
      </c>
      <c r="B203" s="15" t="n">
        <v>57</v>
      </c>
      <c r="C203" s="15" t="inlineStr">
        <is>
          <t>step</t>
        </is>
      </c>
      <c r="D203" s="15" t="inlineStr">
        <is>
          <t>Bible societies, discoveries and the New World Translation</t>
        </is>
      </c>
      <c r="E203" s="15" t="inlineStr">
        <is>
          <t>New World Translation of the Holy Scriptures—With References, published in 1984</t>
        </is>
      </c>
      <c r="F203" s="15" t="inlineStr">
        <is>
          <t>b17-0011</t>
        </is>
      </c>
      <c r="G203" s="15" t="inlineStr">
        <is>
          <t>Point</t>
        </is>
      </c>
      <c r="H203" s="15" t="inlineStr">
        <is>
          <t>1984</t>
        </is>
      </c>
      <c r="I203" s="15" t="inlineStr">
        <is>
          <t>New World Translation reference edition released</t>
        </is>
      </c>
      <c r="J203" s="15" t="n"/>
      <c r="K203" s="15" t="n"/>
      <c r="L203" s="15" t="inlineStr">
        <is>
          <t>A3 footnote c; si Study 7 par. 23.</t>
        </is>
      </c>
      <c r="M203" s="16" t="n"/>
    </row>
    <row r="204">
      <c r="A204" s="15" t="inlineStr">
        <is>
          <t>how-the-bible-came-to-us</t>
        </is>
      </c>
      <c r="B204" s="15" t="n">
        <v>58</v>
      </c>
      <c r="C204" s="15" t="inlineStr">
        <is>
          <t>step</t>
        </is>
      </c>
      <c r="D204" s="15" t="inlineStr">
        <is>
          <t>Bible societies, discoveries and the New World Translation</t>
        </is>
      </c>
      <c r="E204" s="15" t="inlineStr">
        <is>
          <t>The present revision of the New World Translation (2013): Biblia Hebraica Stuttgartensia and Quinta consulted; the name Jehovah used 237 times in the Christian Greek Scriptures</t>
        </is>
      </c>
      <c r="F204" s="15" t="inlineStr">
        <is>
          <t>b9-0314</t>
        </is>
      </c>
      <c r="G204" s="15" t="inlineStr">
        <is>
          <t>Point</t>
        </is>
      </c>
      <c r="H204" s="15" t="inlineStr">
        <is>
          <t>2013, October 5</t>
        </is>
      </c>
      <c r="I204" s="15" t="inlineStr">
        <is>
          <t>Revised English New World Translation released</t>
        </is>
      </c>
      <c r="J204" s="15" t="n"/>
      <c r="K204" s="15" t="n"/>
      <c r="L204" s="15" t="inlineStr">
        <is>
          <t>A3 par. on the Hebrew and Greek texts ('the present revision'); A5 par. 4 (237 times). Restoration of the divine name: A4, A5.</t>
        </is>
      </c>
      <c r="M204" s="16" t="n"/>
    </row>
    <row r="205">
      <c r="A205" s="15" t="inlineStr">
        <is>
          <t>jesus-final-week</t>
        </is>
      </c>
      <c r="B205" s="15" t="n">
        <v>1</v>
      </c>
      <c r="C205" s="15" t="inlineStr">
        <is>
          <t>item</t>
        </is>
      </c>
      <c r="D205" s="15" t="inlineStr">
        <is>
          <t>Nisan 8 (Sabbath)</t>
        </is>
      </c>
      <c r="E205" s="15" t="inlineStr">
        <is>
          <t>Arrives in Bethany six days before the Passover</t>
        </is>
      </c>
      <c r="F205" s="15" t="inlineStr">
        <is>
          <t>b5-0129</t>
        </is>
      </c>
      <c r="G205" s="15" t="inlineStr">
        <is>
          <t>Point</t>
        </is>
      </c>
      <c r="H205" s="15" t="inlineStr">
        <is>
          <t>33 C.E., Nisan 8</t>
        </is>
      </c>
      <c r="I205" s="15" t="inlineStr">
        <is>
          <t>Jesus arrives six days before Passover</t>
        </is>
      </c>
      <c r="J205" s="15" t="n"/>
      <c r="K205" s="15" t="n"/>
      <c r="L205" s="15" t="inlineStr">
        <is>
          <t>After sunset.</t>
        </is>
      </c>
      <c r="M205" s="16" t="n"/>
    </row>
    <row r="206">
      <c r="A206" s="15" t="inlineStr">
        <is>
          <t>jesus-final-week</t>
        </is>
      </c>
      <c r="B206" s="15" t="n">
        <v>2</v>
      </c>
      <c r="C206" s="15" t="inlineStr">
        <is>
          <t>item</t>
        </is>
      </c>
      <c r="D206" s="15" t="inlineStr">
        <is>
          <t>Nisan 9</t>
        </is>
      </c>
      <c r="E206" s="15" t="inlineStr">
        <is>
          <t>Dines with Simon the leper; Mary anoints Jesus with nard; Jews come to visit Jesus and Lazarus</t>
        </is>
      </c>
      <c r="F206" s="15" t="inlineStr">
        <is>
          <t>b5-0130</t>
        </is>
      </c>
      <c r="G206" s="15" t="inlineStr">
        <is>
          <t>Point</t>
        </is>
      </c>
      <c r="H206" s="15" t="inlineStr">
        <is>
          <t>33 C.E., Nisan 9</t>
        </is>
      </c>
      <c r="I206" s="15" t="inlineStr">
        <is>
          <t>Mary pours oil on his head and feet</t>
        </is>
      </c>
      <c r="J206" s="15" t="n"/>
      <c r="K206" s="15" t="n"/>
      <c r="L206" s="15" t="inlineStr">
        <is>
          <t>After sunset. B12-A lists three items; A7-G has them in one row (Matt. 26:6-13; Mark 14:3-9; John 12:2-11).</t>
        </is>
      </c>
      <c r="M206" s="16" t="n"/>
    </row>
    <row r="207">
      <c r="A207" s="15" t="inlineStr">
        <is>
          <t>jesus-final-week</t>
        </is>
      </c>
      <c r="B207" s="15" t="n">
        <v>3</v>
      </c>
      <c r="C207" s="15" t="inlineStr">
        <is>
          <t>item</t>
        </is>
      </c>
      <c r="D207" s="15" t="inlineStr">
        <is>
          <t>Nisan 9</t>
        </is>
      </c>
      <c r="E207" s="15" t="inlineStr">
        <is>
          <t>Triumphal entry into Jerusalem; Teaches in the temple</t>
        </is>
      </c>
      <c r="F207" s="15" t="inlineStr">
        <is>
          <t>b5-0131</t>
        </is>
      </c>
      <c r="G207" s="15" t="inlineStr">
        <is>
          <t>Point</t>
        </is>
      </c>
      <c r="H207" s="15" t="inlineStr">
        <is>
          <t>33 C.E., Nisan 9</t>
        </is>
      </c>
      <c r="I207" s="15" t="inlineStr">
        <is>
          <t>Enters Jerusalem triumphantly, riding on a donkey</t>
        </is>
      </c>
      <c r="J207" s="15" t="n"/>
      <c r="K207" s="15" t="n"/>
      <c r="L207" s="15" t="inlineStr">
        <is>
          <t>After sunrise; map point 1 (Temple).</t>
        </is>
      </c>
      <c r="M207" s="16" t="n"/>
    </row>
    <row r="208">
      <c r="A208" s="15" t="inlineStr">
        <is>
          <t>jesus-final-week</t>
        </is>
      </c>
      <c r="B208" s="15" t="n">
        <v>4</v>
      </c>
      <c r="C208" s="15" t="inlineStr">
        <is>
          <t>item</t>
        </is>
      </c>
      <c r="D208" s="15" t="inlineStr">
        <is>
          <t>Nisan 10</t>
        </is>
      </c>
      <c r="E208" s="15" t="inlineStr">
        <is>
          <t>Spends the night in Bethany</t>
        </is>
      </c>
      <c r="F208" s="15" t="inlineStr">
        <is>
          <t>b16-0002</t>
        </is>
      </c>
      <c r="G208" s="15" t="inlineStr">
        <is>
          <t>Point</t>
        </is>
      </c>
      <c r="H208" s="15" t="inlineStr">
        <is>
          <t>33 C.E., Nisan 10</t>
        </is>
      </c>
      <c r="I208" s="15" t="inlineStr">
        <is>
          <t>Jesus spends the night in Bethany</t>
        </is>
      </c>
      <c r="J208" s="15" t="n"/>
      <c r="K208" s="15" t="n"/>
      <c r="L208" s="15" t="inlineStr">
        <is>
          <t>After sunset. New record (not a separate A7 row).</t>
        </is>
      </c>
      <c r="M208" s="16" t="n"/>
    </row>
    <row r="209">
      <c r="A209" s="15" t="inlineStr">
        <is>
          <t>jesus-final-week</t>
        </is>
      </c>
      <c r="B209" s="15" t="n">
        <v>5</v>
      </c>
      <c r="C209" s="15" t="inlineStr">
        <is>
          <t>item</t>
        </is>
      </c>
      <c r="D209" s="15" t="inlineStr">
        <is>
          <t>Nisan 10</t>
        </is>
      </c>
      <c r="E209" s="15" t="inlineStr">
        <is>
          <t>Early trip into Jerusalem</t>
        </is>
      </c>
      <c r="F209" s="15" t="inlineStr">
        <is>
          <t>b5-0132</t>
        </is>
      </c>
      <c r="G209" s="15" t="inlineStr">
        <is>
          <t>Point</t>
        </is>
      </c>
      <c r="H209" s="15" t="inlineStr">
        <is>
          <t>33 C.E., Nisan 10</t>
        </is>
      </c>
      <c r="I209" s="15" t="inlineStr">
        <is>
          <t>Jesus curses fig tree</t>
        </is>
      </c>
      <c r="J209" s="15" t="n"/>
      <c r="K209" s="15" t="n"/>
      <c r="L209" s="15" t="inlineStr">
        <is>
          <t>A7-G: on the way Jesus curses the fig tree (Matt. 21:18, 19).</t>
        </is>
      </c>
      <c r="M209" s="16" t="n"/>
    </row>
    <row r="210">
      <c r="A210" s="15" t="inlineStr">
        <is>
          <t>jesus-final-week</t>
        </is>
      </c>
      <c r="B210" s="15" t="n">
        <v>6</v>
      </c>
      <c r="C210" s="15" t="inlineStr">
        <is>
          <t>item</t>
        </is>
      </c>
      <c r="D210" s="15" t="inlineStr">
        <is>
          <t>Nisan 10</t>
        </is>
      </c>
      <c r="E210" s="15" t="inlineStr">
        <is>
          <t>Cleanses the temple</t>
        </is>
      </c>
      <c r="F210" s="15" t="inlineStr">
        <is>
          <t>b5-0133</t>
        </is>
      </c>
      <c r="G210" s="15" t="inlineStr">
        <is>
          <t>Point</t>
        </is>
      </c>
      <c r="H210" s="15" t="inlineStr">
        <is>
          <t>33 C.E., Nisan 10</t>
        </is>
      </c>
      <c r="I210" s="15" t="inlineStr">
        <is>
          <t>Jesus cleanses temple again</t>
        </is>
      </c>
      <c r="J210" s="15" t="n"/>
      <c r="K210" s="15" t="n"/>
      <c r="L210" s="15" t="n"/>
      <c r="M210" s="16" t="n"/>
    </row>
    <row r="211">
      <c r="A211" s="15" t="inlineStr">
        <is>
          <t>jesus-final-week</t>
        </is>
      </c>
      <c r="B211" s="15" t="n">
        <v>7</v>
      </c>
      <c r="C211" s="15" t="inlineStr">
        <is>
          <t>context</t>
        </is>
      </c>
      <c r="D211" s="15" t="inlineStr">
        <is>
          <t>Nisan 10</t>
        </is>
      </c>
      <c r="E211" s="15" t="n"/>
      <c r="F211" s="15" t="inlineStr">
        <is>
          <t>b5-0134</t>
        </is>
      </c>
      <c r="G211" s="15" t="inlineStr">
        <is>
          <t>Point</t>
        </is>
      </c>
      <c r="H211" s="15" t="inlineStr">
        <is>
          <t>33 C.E., Nisan 10</t>
        </is>
      </c>
      <c r="I211" s="15" t="inlineStr">
        <is>
          <t>Chief priests and scribes scheme to destroy Jesus</t>
        </is>
      </c>
      <c r="J211" s="15" t="n"/>
      <c r="K211" s="15" t="n"/>
      <c r="L211" s="15" t="inlineStr">
        <is>
          <t>A7-G detail within B12-A’s Nisan 10 references (Mark 11:18, 19; Luke 19:47, 48).</t>
        </is>
      </c>
      <c r="M211" s="16" t="n"/>
    </row>
    <row r="212">
      <c r="A212" s="15" t="inlineStr">
        <is>
          <t>jesus-final-week</t>
        </is>
      </c>
      <c r="B212" s="15" t="n">
        <v>8</v>
      </c>
      <c r="C212" s="15" t="inlineStr">
        <is>
          <t>item</t>
        </is>
      </c>
      <c r="D212" s="15" t="inlineStr">
        <is>
          <t>Nisan 10</t>
        </is>
      </c>
      <c r="E212" s="15" t="inlineStr">
        <is>
          <t>Jehovah speaks from heaven</t>
        </is>
      </c>
      <c r="F212" s="15" t="inlineStr">
        <is>
          <t>b5-0135</t>
        </is>
      </c>
      <c r="G212" s="15" t="inlineStr">
        <is>
          <t>Point</t>
        </is>
      </c>
      <c r="H212" s="15" t="inlineStr">
        <is>
          <t>33 C.E., Nisan 10</t>
        </is>
      </c>
      <c r="I212" s="15" t="inlineStr">
        <is>
          <t>Jehovah speaks; Jesus foretells his death; disbelief of Jews fulfills prophecy of Isaiah</t>
        </is>
      </c>
      <c r="J212" s="15" t="n"/>
      <c r="K212" s="15" t="n"/>
      <c r="L212" s="15" t="n"/>
      <c r="M212" s="16" t="n"/>
    </row>
    <row r="213">
      <c r="A213" s="15" t="inlineStr">
        <is>
          <t>jesus-final-week</t>
        </is>
      </c>
      <c r="B213" s="15" t="n">
        <v>9</v>
      </c>
      <c r="C213" s="15" t="inlineStr">
        <is>
          <t>context</t>
        </is>
      </c>
      <c r="D213" s="15" t="inlineStr">
        <is>
          <t>Nisan 11</t>
        </is>
      </c>
      <c r="E213" s="15" t="n"/>
      <c r="F213" s="15" t="inlineStr">
        <is>
          <t>b5-0136</t>
        </is>
      </c>
      <c r="G213" s="15" t="inlineStr">
        <is>
          <t>Point</t>
        </is>
      </c>
      <c r="H213" s="15" t="inlineStr">
        <is>
          <t>33 C.E., Nisan 11</t>
        </is>
      </c>
      <c r="I213" s="15" t="inlineStr">
        <is>
          <t>Withered fig tree lesson</t>
        </is>
      </c>
      <c r="J213" s="15" t="n"/>
      <c r="K213" s="15" t="n"/>
      <c r="L213" s="15" t="inlineStr">
        <is>
          <t>A7-G detail within B12-A’s Nisan 11 references (Matthew 21:19–25:46).</t>
        </is>
      </c>
      <c r="M213" s="16" t="n"/>
    </row>
    <row r="214">
      <c r="A214" s="15" t="inlineStr">
        <is>
          <t>jesus-final-week</t>
        </is>
      </c>
      <c r="B214" s="15" t="n">
        <v>10</v>
      </c>
      <c r="C214" s="15" t="inlineStr">
        <is>
          <t>context</t>
        </is>
      </c>
      <c r="D214" s="15" t="inlineStr">
        <is>
          <t>Nisan 11</t>
        </is>
      </c>
      <c r="E214" s="15" t="n"/>
      <c r="F214" s="15" t="inlineStr">
        <is>
          <t>b5-0137</t>
        </is>
      </c>
      <c r="G214" s="15" t="inlineStr">
        <is>
          <t>Point</t>
        </is>
      </c>
      <c r="H214" s="15" t="inlineStr">
        <is>
          <t>33 C.E., Nisan 11</t>
        </is>
      </c>
      <c r="I214" s="15" t="inlineStr">
        <is>
          <t>Jesus’ authority challenged</t>
        </is>
      </c>
      <c r="J214" s="15" t="n"/>
      <c r="K214" s="15" t="n"/>
      <c r="L214" s="15" t="inlineStr">
        <is>
          <t>A7-G detail within B12-A’s Nisan 11 references.</t>
        </is>
      </c>
      <c r="M214" s="16" t="n"/>
    </row>
    <row r="215">
      <c r="A215" s="15" t="inlineStr">
        <is>
          <t>jesus-final-week</t>
        </is>
      </c>
      <c r="B215" s="15" t="n">
        <v>11</v>
      </c>
      <c r="C215" s="15" t="inlineStr">
        <is>
          <t>item</t>
        </is>
      </c>
      <c r="D215" s="15" t="inlineStr">
        <is>
          <t>Nisan 11</t>
        </is>
      </c>
      <c r="E215" s="15" t="inlineStr">
        <is>
          <t>Teaches in the temple, using illustrations</t>
        </is>
      </c>
      <c r="F215" s="15" t="inlineStr">
        <is>
          <t>b5-0138</t>
        </is>
      </c>
      <c r="G215" s="15" t="inlineStr">
        <is>
          <t>Point</t>
        </is>
      </c>
      <c r="H215" s="15" t="inlineStr">
        <is>
          <t>33 C.E., Nisan 11</t>
        </is>
      </c>
      <c r="I215" s="15" t="inlineStr">
        <is>
          <t>Illustration of two sons</t>
        </is>
      </c>
      <c r="J215" s="15" t="n"/>
      <c r="K215" s="15" t="n"/>
      <c r="L215" s="15" t="inlineStr">
        <is>
          <t>A7-G: illustration of two sons.</t>
        </is>
      </c>
      <c r="M215" s="16" t="n"/>
    </row>
    <row r="216">
      <c r="A216" s="15" t="inlineStr">
        <is>
          <t>jesus-final-week</t>
        </is>
      </c>
      <c r="B216" s="15" t="n">
        <v>12</v>
      </c>
      <c r="C216" s="15" t="inlineStr">
        <is>
          <t>item</t>
        </is>
      </c>
      <c r="D216" s="15" t="inlineStr">
        <is>
          <t>Nisan 11</t>
        </is>
      </c>
      <c r="E216" s="15" t="inlineStr">
        <is>
          <t>Teaches in the temple, using illustrations</t>
        </is>
      </c>
      <c r="F216" s="15" t="inlineStr">
        <is>
          <t>b5-0139</t>
        </is>
      </c>
      <c r="G216" s="15" t="inlineStr">
        <is>
          <t>Point</t>
        </is>
      </c>
      <c r="H216" s="15" t="inlineStr">
        <is>
          <t>33 C.E., Nisan 11</t>
        </is>
      </c>
      <c r="I216" s="15" t="inlineStr">
        <is>
          <t>Illustrations: murderous cultivators, marriage feast</t>
        </is>
      </c>
      <c r="J216" s="15" t="n"/>
      <c r="K216" s="15" t="n"/>
      <c r="L216" s="15" t="inlineStr">
        <is>
          <t>A7-G: murderous cultivators, marriage feast.</t>
        </is>
      </c>
      <c r="M216" s="16" t="n"/>
    </row>
    <row r="217">
      <c r="A217" s="15" t="inlineStr">
        <is>
          <t>jesus-final-week</t>
        </is>
      </c>
      <c r="B217" s="15" t="n">
        <v>13</v>
      </c>
      <c r="C217" s="15" t="inlineStr">
        <is>
          <t>context</t>
        </is>
      </c>
      <c r="D217" s="15" t="inlineStr">
        <is>
          <t>Nisan 11</t>
        </is>
      </c>
      <c r="E217" s="15" t="n"/>
      <c r="F217" s="15" t="inlineStr">
        <is>
          <t>b5-0140</t>
        </is>
      </c>
      <c r="G217" s="15" t="inlineStr">
        <is>
          <t>Point</t>
        </is>
      </c>
      <c r="H217" s="15" t="inlineStr">
        <is>
          <t>33 C.E., Nisan 11</t>
        </is>
      </c>
      <c r="I217" s="15" t="inlineStr">
        <is>
          <t>Answers questions on God and Caesar, resurrection, greatest commandment</t>
        </is>
      </c>
      <c r="J217" s="15" t="n"/>
      <c r="K217" s="15" t="n"/>
      <c r="L217" s="15" t="inlineStr">
        <is>
          <t>A7-G detail within B12-A’s Nisan 11 references.</t>
        </is>
      </c>
      <c r="M217" s="16" t="n"/>
    </row>
    <row r="218">
      <c r="A218" s="15" t="inlineStr">
        <is>
          <t>jesus-final-week</t>
        </is>
      </c>
      <c r="B218" s="15" t="n">
        <v>14</v>
      </c>
      <c r="C218" s="15" t="inlineStr">
        <is>
          <t>context</t>
        </is>
      </c>
      <c r="D218" s="15" t="inlineStr">
        <is>
          <t>Nisan 11</t>
        </is>
      </c>
      <c r="E218" s="15" t="n"/>
      <c r="F218" s="15" t="inlineStr">
        <is>
          <t>b5-0141</t>
        </is>
      </c>
      <c r="G218" s="15" t="inlineStr">
        <is>
          <t>Point</t>
        </is>
      </c>
      <c r="H218" s="15" t="inlineStr">
        <is>
          <t>33 C.E., Nisan 11</t>
        </is>
      </c>
      <c r="I218" s="15" t="inlineStr">
        <is>
          <t>Asks crowd if Christ is David’s son</t>
        </is>
      </c>
      <c r="J218" s="15" t="n"/>
      <c r="K218" s="15" t="n"/>
      <c r="L218" s="15" t="inlineStr">
        <is>
          <t>A7-G detail within B12-A’s Nisan 11 references.</t>
        </is>
      </c>
      <c r="M218" s="16" t="n"/>
    </row>
    <row r="219">
      <c r="A219" s="15" t="inlineStr">
        <is>
          <t>jesus-final-week</t>
        </is>
      </c>
      <c r="B219" s="15" t="n">
        <v>15</v>
      </c>
      <c r="C219" s="15" t="inlineStr">
        <is>
          <t>item</t>
        </is>
      </c>
      <c r="D219" s="15" t="inlineStr">
        <is>
          <t>Nisan 11</t>
        </is>
      </c>
      <c r="E219" s="15" t="inlineStr">
        <is>
          <t>Condemns Pharisees</t>
        </is>
      </c>
      <c r="F219" s="15" t="inlineStr">
        <is>
          <t>b5-0142</t>
        </is>
      </c>
      <c r="G219" s="15" t="inlineStr">
        <is>
          <t>Point</t>
        </is>
      </c>
      <c r="H219" s="15" t="inlineStr">
        <is>
          <t>33 C.E., Nisan 11</t>
        </is>
      </c>
      <c r="I219" s="15" t="inlineStr">
        <is>
          <t>Woes to scribes and Pharisees</t>
        </is>
      </c>
      <c r="J219" s="15" t="n"/>
      <c r="K219" s="15" t="n"/>
      <c r="L219" s="15" t="n"/>
      <c r="M219" s="16" t="n"/>
    </row>
    <row r="220">
      <c r="A220" s="15" t="inlineStr">
        <is>
          <t>jesus-final-week</t>
        </is>
      </c>
      <c r="B220" s="15" t="n">
        <v>16</v>
      </c>
      <c r="C220" s="15" t="inlineStr">
        <is>
          <t>item</t>
        </is>
      </c>
      <c r="D220" s="15" t="inlineStr">
        <is>
          <t>Nisan 11</t>
        </is>
      </c>
      <c r="E220" s="15" t="inlineStr">
        <is>
          <t>Notes widow’s contribution</t>
        </is>
      </c>
      <c r="F220" s="15" t="inlineStr">
        <is>
          <t>b5-0143</t>
        </is>
      </c>
      <c r="G220" s="15" t="inlineStr">
        <is>
          <t>Point</t>
        </is>
      </c>
      <c r="H220" s="15" t="inlineStr">
        <is>
          <t>33 C.E., Nisan 11</t>
        </is>
      </c>
      <c r="I220" s="15" t="inlineStr">
        <is>
          <t>Observes widow’s contribution</t>
        </is>
      </c>
      <c r="J220" s="15" t="n"/>
      <c r="K220" s="15" t="n"/>
      <c r="L220" s="15" t="n"/>
      <c r="M220" s="16" t="n"/>
    </row>
    <row r="221">
      <c r="A221" s="15" t="inlineStr">
        <is>
          <t>jesus-final-week</t>
        </is>
      </c>
      <c r="B221" s="15" t="n">
        <v>17</v>
      </c>
      <c r="C221" s="15" t="inlineStr">
        <is>
          <t>item</t>
        </is>
      </c>
      <c r="D221" s="15" t="inlineStr">
        <is>
          <t>Nisan 11</t>
        </is>
      </c>
      <c r="E221" s="15" t="inlineStr">
        <is>
          <t>On Mount of Olives, foretells Jerusalem’s fall and gives sign of future presence</t>
        </is>
      </c>
      <c r="F221" s="15" t="inlineStr">
        <is>
          <t>b5-0144</t>
        </is>
      </c>
      <c r="G221" s="15" t="inlineStr">
        <is>
          <t>Point</t>
        </is>
      </c>
      <c r="H221" s="15" t="inlineStr">
        <is>
          <t>33 C.E., Nisan 11</t>
        </is>
      </c>
      <c r="I221" s="15" t="inlineStr">
        <is>
          <t>Gives sign of future presence</t>
        </is>
      </c>
      <c r="J221" s="15" t="n"/>
      <c r="K221" s="15" t="n"/>
      <c r="L221" s="15" t="n"/>
      <c r="M221" s="16" t="n"/>
    </row>
    <row r="222">
      <c r="A222" s="15" t="inlineStr">
        <is>
          <t>jesus-final-week</t>
        </is>
      </c>
      <c r="B222" s="15" t="n">
        <v>18</v>
      </c>
      <c r="C222" s="15" t="inlineStr">
        <is>
          <t>context</t>
        </is>
      </c>
      <c r="D222" s="15" t="inlineStr">
        <is>
          <t>Nisan 11</t>
        </is>
      </c>
      <c r="E222" s="15" t="n"/>
      <c r="F222" s="15" t="inlineStr">
        <is>
          <t>b5-0145</t>
        </is>
      </c>
      <c r="G222" s="15" t="inlineStr">
        <is>
          <t>Point</t>
        </is>
      </c>
      <c r="H222" s="15" t="inlineStr">
        <is>
          <t>33 C.E., Nisan 11</t>
        </is>
      </c>
      <c r="I222" s="15" t="inlineStr">
        <is>
          <t>Illustrations: ten virgins, talents, sheep and goats</t>
        </is>
      </c>
      <c r="J222" s="15" t="n"/>
      <c r="K222" s="15" t="n"/>
      <c r="L222" s="15" t="inlineStr">
        <is>
          <t>A7-G detail (Matt. 25) within B12-A’s Nisan 11 references.</t>
        </is>
      </c>
      <c r="M222" s="16" t="n"/>
    </row>
    <row r="223">
      <c r="A223" s="15" t="inlineStr">
        <is>
          <t>jesus-final-week</t>
        </is>
      </c>
      <c r="B223" s="15" t="n">
        <v>19</v>
      </c>
      <c r="C223" s="15" t="inlineStr">
        <is>
          <t>item</t>
        </is>
      </c>
      <c r="D223" s="15" t="inlineStr">
        <is>
          <t>Nisan 12</t>
        </is>
      </c>
      <c r="E223" s="15" t="inlineStr">
        <is>
          <t>Quiet day with disciples</t>
        </is>
      </c>
      <c r="F223" s="15" t="inlineStr">
        <is>
          <t>b16-0003</t>
        </is>
      </c>
      <c r="G223" s="15" t="inlineStr">
        <is>
          <t>Point</t>
        </is>
      </c>
      <c r="H223" s="15" t="inlineStr">
        <is>
          <t>33 C.E., Nisan 12</t>
        </is>
      </c>
      <c r="I223" s="15" t="inlineStr">
        <is>
          <t>Jesus spends a quiet day with his disciples</t>
        </is>
      </c>
      <c r="J223" s="15" t="n"/>
      <c r="K223" s="15" t="n"/>
      <c r="L223" s="15" t="inlineStr">
        <is>
          <t>New record (not an A7 row).</t>
        </is>
      </c>
      <c r="M223" s="16" t="n"/>
    </row>
    <row r="224">
      <c r="A224" s="15" t="inlineStr">
        <is>
          <t>jesus-final-week</t>
        </is>
      </c>
      <c r="B224" s="15" t="n">
        <v>20</v>
      </c>
      <c r="C224" s="15" t="inlineStr">
        <is>
          <t>context</t>
        </is>
      </c>
      <c r="D224" s="15" t="inlineStr">
        <is>
          <t>Nisan 12</t>
        </is>
      </c>
      <c r="E224" s="15" t="n"/>
      <c r="F224" s="15" t="inlineStr">
        <is>
          <t>b5-0146</t>
        </is>
      </c>
      <c r="G224" s="15" t="inlineStr">
        <is>
          <t>Point</t>
        </is>
      </c>
      <c r="H224" s="15" t="inlineStr">
        <is>
          <t>33 C.E., Nisan 12</t>
        </is>
      </c>
      <c r="I224" s="15" t="inlineStr">
        <is>
          <t>Jewish leaders plot to kill him</t>
        </is>
      </c>
      <c r="J224" s="15" t="n"/>
      <c r="K224" s="15" t="n"/>
      <c r="L224" s="15" t="inlineStr">
        <is>
          <t>A7-G row; Matt. 26:1-5 is among B12-B’s Nisan 12 references.</t>
        </is>
      </c>
      <c r="M224" s="16" t="n"/>
    </row>
    <row r="225">
      <c r="A225" s="15" t="inlineStr">
        <is>
          <t>jesus-final-week</t>
        </is>
      </c>
      <c r="B225" s="15" t="n">
        <v>21</v>
      </c>
      <c r="C225" s="15" t="inlineStr">
        <is>
          <t>item</t>
        </is>
      </c>
      <c r="D225" s="15" t="inlineStr">
        <is>
          <t>Nisan 12</t>
        </is>
      </c>
      <c r="E225" s="15" t="inlineStr">
        <is>
          <t>Judas arranges betrayal</t>
        </is>
      </c>
      <c r="F225" s="15" t="inlineStr">
        <is>
          <t>b5-0147</t>
        </is>
      </c>
      <c r="G225" s="15" t="inlineStr">
        <is>
          <t>Point</t>
        </is>
      </c>
      <c r="H225" s="15" t="inlineStr">
        <is>
          <t>33 C.E., Nisan 12</t>
        </is>
      </c>
      <c r="I225" s="15" t="inlineStr">
        <is>
          <t>Judas arranges betrayal</t>
        </is>
      </c>
      <c r="J225" s="15" t="n"/>
      <c r="K225" s="15" t="n"/>
      <c r="L225" s="15" t="n"/>
      <c r="M225" s="16" t="n"/>
    </row>
    <row r="226">
      <c r="A226" s="15" t="inlineStr">
        <is>
          <t>jesus-final-week</t>
        </is>
      </c>
      <c r="B226" s="15" t="n">
        <v>22</v>
      </c>
      <c r="C226" s="15" t="inlineStr">
        <is>
          <t>item</t>
        </is>
      </c>
      <c r="D226" s="15" t="inlineStr">
        <is>
          <t>Nisan 13</t>
        </is>
      </c>
      <c r="E226" s="15" t="inlineStr">
        <is>
          <t>Peter and John prepare for the Passover</t>
        </is>
      </c>
      <c r="F226" s="15" t="inlineStr">
        <is>
          <t>b5-0148</t>
        </is>
      </c>
      <c r="G226" s="15" t="inlineStr">
        <is>
          <t>Point</t>
        </is>
      </c>
      <c r="H226" s="15" t="inlineStr">
        <is>
          <t>33 C.E., Nisan 13 (Thursday afternoon)</t>
        </is>
      </c>
      <c r="I226" s="15" t="inlineStr">
        <is>
          <t>Prepares for last Passover</t>
        </is>
      </c>
      <c r="J226" s="15" t="n"/>
      <c r="K226" s="15" t="n"/>
      <c r="L226" s="15" t="n"/>
      <c r="M226" s="16" t="n"/>
    </row>
    <row r="227">
      <c r="A227" s="15" t="inlineStr">
        <is>
          <t>jesus-final-week</t>
        </is>
      </c>
      <c r="B227" s="15" t="n">
        <v>23</v>
      </c>
      <c r="C227" s="15" t="inlineStr">
        <is>
          <t>item</t>
        </is>
      </c>
      <c r="D227" s="15" t="inlineStr">
        <is>
          <t>Nisan 13</t>
        </is>
      </c>
      <c r="E227" s="15" t="inlineStr">
        <is>
          <t>Jesus and other apostles arrive in late afternoon</t>
        </is>
      </c>
      <c r="F227" s="15" t="inlineStr">
        <is>
          <t>b16-0004</t>
        </is>
      </c>
      <c r="G227" s="15" t="inlineStr">
        <is>
          <t>Point</t>
        </is>
      </c>
      <c r="H227" s="15" t="inlineStr">
        <is>
          <t>33 C.E., Nisan 13 (late afternoon)</t>
        </is>
      </c>
      <c r="I227" s="15" t="inlineStr">
        <is>
          <t>Jesus and the other apostles arrive in late afternoon for the Passover</t>
        </is>
      </c>
      <c r="J227" s="15" t="n"/>
      <c r="K227" s="15" t="n"/>
      <c r="L227" s="15" t="inlineStr">
        <is>
          <t>New record.</t>
        </is>
      </c>
      <c r="M227" s="16" t="n"/>
    </row>
    <row r="228">
      <c r="A228" s="15" t="inlineStr">
        <is>
          <t>jesus-final-week</t>
        </is>
      </c>
      <c r="B228" s="15" t="n">
        <v>24</v>
      </c>
      <c r="C228" s="15" t="inlineStr">
        <is>
          <t>item</t>
        </is>
      </c>
      <c r="D228" s="15" t="inlineStr">
        <is>
          <t>Nisan 14</t>
        </is>
      </c>
      <c r="E228" s="15" t="inlineStr">
        <is>
          <t>Eats the Passover with the apostles</t>
        </is>
      </c>
      <c r="F228" s="15" t="inlineStr">
        <is>
          <t>b5-0149</t>
        </is>
      </c>
      <c r="G228" s="15" t="inlineStr">
        <is>
          <t>Point</t>
        </is>
      </c>
      <c r="H228" s="15" t="inlineStr">
        <is>
          <t>33 C.E., Nisan 14</t>
        </is>
      </c>
      <c r="I228" s="15" t="inlineStr">
        <is>
          <t>Eats Passover with apostles</t>
        </is>
      </c>
      <c r="J228" s="15" t="n"/>
      <c r="K228" s="15" t="n"/>
      <c r="L228" s="15" t="inlineStr">
        <is>
          <t>After sunset.</t>
        </is>
      </c>
      <c r="M228" s="16" t="n"/>
    </row>
    <row r="229">
      <c r="A229" s="15" t="inlineStr">
        <is>
          <t>jesus-final-week</t>
        </is>
      </c>
      <c r="B229" s="15" t="n">
        <v>25</v>
      </c>
      <c r="C229" s="15" t="inlineStr">
        <is>
          <t>item</t>
        </is>
      </c>
      <c r="D229" s="15" t="inlineStr">
        <is>
          <t>Nisan 14</t>
        </is>
      </c>
      <c r="E229" s="15" t="inlineStr">
        <is>
          <t>Washes the feet of the apostles</t>
        </is>
      </c>
      <c r="F229" s="15" t="inlineStr">
        <is>
          <t>b5-0150</t>
        </is>
      </c>
      <c r="G229" s="15" t="inlineStr">
        <is>
          <t>Point</t>
        </is>
      </c>
      <c r="H229" s="15" t="inlineStr">
        <is>
          <t>33 C.E., Nisan 14</t>
        </is>
      </c>
      <c r="I229" s="15" t="inlineStr">
        <is>
          <t>Washes feet of apostles</t>
        </is>
      </c>
      <c r="J229" s="15" t="n"/>
      <c r="K229" s="15" t="n"/>
      <c r="L229" s="15" t="n"/>
      <c r="M229" s="16" t="n"/>
    </row>
    <row r="230">
      <c r="A230" s="15" t="inlineStr">
        <is>
          <t>jesus-final-week</t>
        </is>
      </c>
      <c r="B230" s="15" t="n">
        <v>26</v>
      </c>
      <c r="C230" s="15" t="inlineStr">
        <is>
          <t>item</t>
        </is>
      </c>
      <c r="D230" s="15" t="inlineStr">
        <is>
          <t>Nisan 14</t>
        </is>
      </c>
      <c r="E230" s="15" t="inlineStr">
        <is>
          <t>Dismisses Judas</t>
        </is>
      </c>
      <c r="F230" s="15" t="inlineStr">
        <is>
          <t>b5-0151</t>
        </is>
      </c>
      <c r="G230" s="15" t="inlineStr">
        <is>
          <t>Point</t>
        </is>
      </c>
      <c r="H230" s="15" t="inlineStr">
        <is>
          <t>33 C.E., Nisan 14</t>
        </is>
      </c>
      <c r="I230" s="15" t="inlineStr">
        <is>
          <t>Jesus identifies Judas as traitor and dismisses him</t>
        </is>
      </c>
      <c r="J230" s="15" t="n"/>
      <c r="K230" s="15" t="n"/>
      <c r="L230" s="15" t="n"/>
      <c r="M230" s="16" t="n"/>
    </row>
    <row r="231">
      <c r="A231" s="15" t="inlineStr">
        <is>
          <t>jesus-final-week</t>
        </is>
      </c>
      <c r="B231" s="15" t="n">
        <v>27</v>
      </c>
      <c r="C231" s="15" t="inlineStr">
        <is>
          <t>item</t>
        </is>
      </c>
      <c r="D231" s="15" t="inlineStr">
        <is>
          <t>Nisan 14</t>
        </is>
      </c>
      <c r="E231" s="15" t="inlineStr">
        <is>
          <t>Institutes the Lord’s Evening Meal</t>
        </is>
      </c>
      <c r="F231" s="15" t="inlineStr">
        <is>
          <t>b5-0152</t>
        </is>
      </c>
      <c r="G231" s="15" t="inlineStr">
        <is>
          <t>Point</t>
        </is>
      </c>
      <c r="H231" s="15" t="inlineStr">
        <is>
          <t>33 C.E., Nisan 14</t>
        </is>
      </c>
      <c r="I231" s="15" t="inlineStr">
        <is>
          <t>Institutes the Lord’s Evening Meal</t>
        </is>
      </c>
      <c r="J231" s="15" t="n"/>
      <c r="K231" s="15" t="n"/>
      <c r="L231" s="15" t="n"/>
      <c r="M231" s="16" t="n"/>
    </row>
    <row r="232">
      <c r="A232" s="15" t="inlineStr">
        <is>
          <t>jesus-final-week</t>
        </is>
      </c>
      <c r="B232" s="15" t="n">
        <v>28</v>
      </c>
      <c r="C232" s="15" t="inlineStr">
        <is>
          <t>context</t>
        </is>
      </c>
      <c r="D232" s="15" t="inlineStr">
        <is>
          <t>Nisan 14</t>
        </is>
      </c>
      <c r="E232" s="15" t="n"/>
      <c r="F232" s="15" t="inlineStr">
        <is>
          <t>b5-0153</t>
        </is>
      </c>
      <c r="G232" s="15" t="inlineStr">
        <is>
          <t>Point</t>
        </is>
      </c>
      <c r="H232" s="15" t="inlineStr">
        <is>
          <t>33 C.E., Nisan 14</t>
        </is>
      </c>
      <c r="I232" s="15" t="inlineStr">
        <is>
          <t>Foretells Peter’s denials and scattering of apostles</t>
        </is>
      </c>
      <c r="J232" s="15" t="n"/>
      <c r="K232" s="15" t="n"/>
      <c r="L232" s="15" t="inlineStr">
        <is>
          <t>A7-H detail within B12-B’s references (Matthew 26:20-35).</t>
        </is>
      </c>
      <c r="M232" s="16" t="n"/>
    </row>
    <row r="233">
      <c r="A233" s="15" t="inlineStr">
        <is>
          <t>jesus-final-week</t>
        </is>
      </c>
      <c r="B233" s="15" t="n">
        <v>29</v>
      </c>
      <c r="C233" s="15" t="inlineStr">
        <is>
          <t>context</t>
        </is>
      </c>
      <c r="D233" s="15" t="inlineStr">
        <is>
          <t>Nisan 14</t>
        </is>
      </c>
      <c r="E233" s="15" t="n"/>
      <c r="F233" s="15" t="inlineStr">
        <is>
          <t>b5-0154</t>
        </is>
      </c>
      <c r="G233" s="15" t="inlineStr">
        <is>
          <t>Point</t>
        </is>
      </c>
      <c r="H233" s="15" t="inlineStr">
        <is>
          <t>33 C.E., Nisan 14</t>
        </is>
      </c>
      <c r="I233" s="15" t="inlineStr">
        <is>
          <t>Promises helper; illustration of true vine; gives command to love; last prayer with apostles</t>
        </is>
      </c>
      <c r="J233" s="15" t="n"/>
      <c r="K233" s="15" t="n"/>
      <c r="L233" s="15" t="inlineStr">
        <is>
          <t>A7-H detail within B12-B’s references (John 13:1–17:26).</t>
        </is>
      </c>
      <c r="M233" s="16" t="n"/>
    </row>
    <row r="234">
      <c r="A234" s="15" t="inlineStr">
        <is>
          <t>jesus-final-week</t>
        </is>
      </c>
      <c r="B234" s="15" t="n">
        <v>30</v>
      </c>
      <c r="C234" s="15" t="inlineStr">
        <is>
          <t>context</t>
        </is>
      </c>
      <c r="D234" s="15" t="inlineStr">
        <is>
          <t>Nisan 14</t>
        </is>
      </c>
      <c r="E234" s="15" t="n"/>
      <c r="F234" s="15" t="inlineStr">
        <is>
          <t>b5-0155</t>
        </is>
      </c>
      <c r="G234" s="15" t="inlineStr">
        <is>
          <t>Point</t>
        </is>
      </c>
      <c r="H234" s="15" t="inlineStr">
        <is>
          <t>33 C.E., Nisan 14</t>
        </is>
      </c>
      <c r="I234" s="15" t="inlineStr">
        <is>
          <t>Agony in the garden</t>
        </is>
      </c>
      <c r="J234" s="15" t="n"/>
      <c r="K234" s="15" t="n"/>
      <c r="L234" s="15" t="inlineStr">
        <is>
          <t>A7-H detail within B12-B’s references (Matthew 26:36-75).</t>
        </is>
      </c>
      <c r="M234" s="16" t="n"/>
    </row>
    <row r="235">
      <c r="A235" s="15" t="inlineStr">
        <is>
          <t>jesus-final-week</t>
        </is>
      </c>
      <c r="B235" s="15" t="n">
        <v>31</v>
      </c>
      <c r="C235" s="15" t="inlineStr">
        <is>
          <t>item</t>
        </is>
      </c>
      <c r="D235" s="15" t="inlineStr">
        <is>
          <t>Nisan 14</t>
        </is>
      </c>
      <c r="E235" s="15" t="inlineStr">
        <is>
          <t>Betrayed and arrested in the garden of Gethsemane; Apostles flee</t>
        </is>
      </c>
      <c r="F235" s="15" t="inlineStr">
        <is>
          <t>b5-0156</t>
        </is>
      </c>
      <c r="G235" s="15" t="inlineStr">
        <is>
          <t>Point</t>
        </is>
      </c>
      <c r="H235" s="15" t="inlineStr">
        <is>
          <t>33 C.E., Nisan 14</t>
        </is>
      </c>
      <c r="I235" s="15" t="inlineStr">
        <is>
          <t>Jesus’ betrayal and arrest</t>
        </is>
      </c>
      <c r="J235" s="15" t="n"/>
      <c r="K235" s="15" t="n"/>
      <c r="L235" s="15" t="inlineStr">
        <is>
          <t>Map point 2 (Garden of Gethsemane). ‘Apostles flee’ (Matt. 26:56) is within this record’s verses.</t>
        </is>
      </c>
      <c r="M235" s="16" t="n"/>
    </row>
    <row r="236">
      <c r="A236" s="15" t="inlineStr">
        <is>
          <t>jesus-final-week</t>
        </is>
      </c>
      <c r="B236" s="15" t="n">
        <v>32</v>
      </c>
      <c r="C236" s="15" t="inlineStr">
        <is>
          <t>item</t>
        </is>
      </c>
      <c r="D236" s="15" t="inlineStr">
        <is>
          <t>Nisan 14</t>
        </is>
      </c>
      <c r="E236" s="15" t="inlineStr">
        <is>
          <t>Tried by the Sanhedrin at the house of Caiaphas</t>
        </is>
      </c>
      <c r="F236" s="15" t="inlineStr">
        <is>
          <t>b5-0157</t>
        </is>
      </c>
      <c r="G236" s="15" t="inlineStr">
        <is>
          <t>Point</t>
        </is>
      </c>
      <c r="H236" s="15" t="inlineStr">
        <is>
          <t>33 C.E., Nisan 14</t>
        </is>
      </c>
      <c r="I236" s="15" t="inlineStr">
        <is>
          <t>Jesus questioned by Annas; trial by Caiaphas, Sanhedrin</t>
        </is>
      </c>
      <c r="J236" s="15" t="n"/>
      <c r="K236" s="15" t="n"/>
      <c r="L236" s="15" t="inlineStr">
        <is>
          <t>Map point 4 (House of Caiaphas).</t>
        </is>
      </c>
      <c r="M236" s="16" t="n"/>
    </row>
    <row r="237">
      <c r="A237" s="15" t="inlineStr">
        <is>
          <t>jesus-final-week</t>
        </is>
      </c>
      <c r="B237" s="15" t="n">
        <v>33</v>
      </c>
      <c r="C237" s="15" t="inlineStr">
        <is>
          <t>item</t>
        </is>
      </c>
      <c r="D237" s="15" t="inlineStr">
        <is>
          <t>Nisan 14</t>
        </is>
      </c>
      <c r="E237" s="15" t="inlineStr">
        <is>
          <t>Peter denies Jesus</t>
        </is>
      </c>
      <c r="F237" s="15" t="inlineStr">
        <is>
          <t>b5-0158</t>
        </is>
      </c>
      <c r="G237" s="15" t="inlineStr">
        <is>
          <t>Point</t>
        </is>
      </c>
      <c r="H237" s="15" t="inlineStr">
        <is>
          <t>33 C.E., Nisan 14</t>
        </is>
      </c>
      <c r="I237" s="15" t="inlineStr">
        <is>
          <t>Peter denies Jesus</t>
        </is>
      </c>
      <c r="J237" s="15" t="n"/>
      <c r="K237" s="15" t="n"/>
      <c r="L237" s="15" t="n"/>
      <c r="M237" s="16" t="n"/>
    </row>
    <row r="238">
      <c r="A238" s="15" t="inlineStr">
        <is>
          <t>jesus-final-week</t>
        </is>
      </c>
      <c r="B238" s="15" t="n">
        <v>34</v>
      </c>
      <c r="C238" s="15" t="inlineStr">
        <is>
          <t>item</t>
        </is>
      </c>
      <c r="D238" s="15" t="inlineStr">
        <is>
          <t>Nisan 14</t>
        </is>
      </c>
      <c r="E238" s="15" t="inlineStr">
        <is>
          <t>Stands before the Sanhedrin again</t>
        </is>
      </c>
      <c r="F238" s="15" t="inlineStr">
        <is>
          <t>b16-0005</t>
        </is>
      </c>
      <c r="G238" s="15" t="inlineStr">
        <is>
          <t>Point</t>
        </is>
      </c>
      <c r="H238" s="15" t="inlineStr">
        <is>
          <t>33 C.E., Nisan 14 (after sunrise)</t>
        </is>
      </c>
      <c r="I238" s="15" t="inlineStr">
        <is>
          <t>Jesus stands before the Sanhedrin again</t>
        </is>
      </c>
      <c r="J238" s="15" t="n"/>
      <c r="K238" s="15" t="n"/>
      <c r="L238" s="15" t="inlineStr">
        <is>
          <t>After sunrise; map point 8 (Sanhedrin Hall). New record.</t>
        </is>
      </c>
      <c r="M238" s="16" t="n"/>
    </row>
    <row r="239">
      <c r="A239" s="15" t="inlineStr">
        <is>
          <t>jesus-final-week</t>
        </is>
      </c>
      <c r="B239" s="15" t="n">
        <v>35</v>
      </c>
      <c r="C239" s="15" t="inlineStr">
        <is>
          <t>context</t>
        </is>
      </c>
      <c r="D239" s="15" t="inlineStr">
        <is>
          <t>Nisan 14</t>
        </is>
      </c>
      <c r="E239" s="15" t="n"/>
      <c r="F239" s="15" t="inlineStr">
        <is>
          <t>b5-0159</t>
        </is>
      </c>
      <c r="G239" s="15" t="inlineStr">
        <is>
          <t>Point</t>
        </is>
      </c>
      <c r="H239" s="15" t="inlineStr">
        <is>
          <t>33 C.E., Nisan 14</t>
        </is>
      </c>
      <c r="I239" s="15" t="inlineStr">
        <is>
          <t>Judas the betrayer hangs himself</t>
        </is>
      </c>
      <c r="J239" s="15" t="n"/>
      <c r="K239" s="15" t="n"/>
      <c r="L239" s="15" t="inlineStr">
        <is>
          <t>A7-H detail (Matt. 27:3-10) within B12-B’s references (Matthew 27:1-61).</t>
        </is>
      </c>
      <c r="M239" s="16" t="n"/>
    </row>
    <row r="240">
      <c r="A240" s="15" t="inlineStr">
        <is>
          <t>jesus-final-week</t>
        </is>
      </c>
      <c r="B240" s="15" t="n">
        <v>36</v>
      </c>
      <c r="C240" s="15" t="inlineStr">
        <is>
          <t>item</t>
        </is>
      </c>
      <c r="D240" s="15" t="inlineStr">
        <is>
          <t>Nisan 14</t>
        </is>
      </c>
      <c r="E240" s="15" t="inlineStr">
        <is>
          <t>Taken to Pilate, then to Herod, then back to Pilate</t>
        </is>
      </c>
      <c r="F240" s="15" t="inlineStr">
        <is>
          <t>b5-0160</t>
        </is>
      </c>
      <c r="G240" s="15" t="inlineStr">
        <is>
          <t>Point</t>
        </is>
      </c>
      <c r="H240" s="15" t="inlineStr">
        <is>
          <t>33 C.E., Nisan 14</t>
        </is>
      </c>
      <c r="I240" s="15" t="inlineStr">
        <is>
          <t>Before Pilate, then Herod, and back to Pilate</t>
        </is>
      </c>
      <c r="J240" s="15" t="n"/>
      <c r="K240" s="15" t="n"/>
      <c r="L240" s="15" t="inlineStr">
        <is>
          <t>Map points 3 (Governor’s Palace) and 5 (Palace Used by Herod Antipas).</t>
        </is>
      </c>
      <c r="M240" s="16" t="n"/>
    </row>
    <row r="241">
      <c r="A241" s="15" t="inlineStr">
        <is>
          <t>jesus-final-week</t>
        </is>
      </c>
      <c r="B241" s="15" t="n">
        <v>37</v>
      </c>
      <c r="C241" s="15" t="inlineStr">
        <is>
          <t>context</t>
        </is>
      </c>
      <c r="D241" s="15" t="inlineStr">
        <is>
          <t>Nisan 14</t>
        </is>
      </c>
      <c r="E241" s="15" t="n"/>
      <c r="F241" s="15" t="inlineStr">
        <is>
          <t>b5-0161</t>
        </is>
      </c>
      <c r="G241" s="15" t="inlineStr">
        <is>
          <t>Point</t>
        </is>
      </c>
      <c r="H241" s="15" t="inlineStr">
        <is>
          <t>33 C.E., Nisan 14</t>
        </is>
      </c>
      <c r="I241" s="15" t="inlineStr">
        <is>
          <t>Pilate seeks Jesus’ release but Jews ask for Barabbas</t>
        </is>
      </c>
      <c r="J241" s="15" t="n"/>
      <c r="K241" s="15" t="n"/>
      <c r="L241" s="15" t="inlineStr">
        <is>
          <t>A7-H detail within B12-B’s references (Matthew 27:1-61).</t>
        </is>
      </c>
      <c r="M241" s="16" t="n"/>
    </row>
    <row r="242">
      <c r="A242" s="15" t="inlineStr">
        <is>
          <t>jesus-final-week</t>
        </is>
      </c>
      <c r="B242" s="15" t="n">
        <v>38</v>
      </c>
      <c r="C242" s="15" t="inlineStr">
        <is>
          <t>item</t>
        </is>
      </c>
      <c r="D242" s="15" t="inlineStr">
        <is>
          <t>Nisan 14</t>
        </is>
      </c>
      <c r="E242" s="15" t="inlineStr">
        <is>
          <t>Sentenced to death and executed at Golgotha</t>
        </is>
      </c>
      <c r="F242" s="15" t="inlineStr">
        <is>
          <t>b5-0162</t>
        </is>
      </c>
      <c r="G242" s="15" t="inlineStr">
        <is>
          <t>Point</t>
        </is>
      </c>
      <c r="H242" s="15" t="inlineStr">
        <is>
          <t>33 C.E., Nisan 14</t>
        </is>
      </c>
      <c r="I242" s="15" t="inlineStr">
        <is>
          <t>Jesus sentenced to death on the torture stake</t>
        </is>
      </c>
      <c r="J242" s="15" t="n"/>
      <c r="K242" s="15" t="n"/>
      <c r="L242" s="15" t="inlineStr">
        <is>
          <t>Map point 9 (Golgotha).</t>
        </is>
      </c>
      <c r="M242" s="16" t="n"/>
    </row>
    <row r="243">
      <c r="A243" s="15" t="inlineStr">
        <is>
          <t>jesus-final-week</t>
        </is>
      </c>
      <c r="B243" s="15" t="n">
        <v>39</v>
      </c>
      <c r="C243" s="15" t="inlineStr">
        <is>
          <t>item</t>
        </is>
      </c>
      <c r="D243" s="15" t="inlineStr">
        <is>
          <t>Nisan 14</t>
        </is>
      </c>
      <c r="E243" s="15" t="inlineStr">
        <is>
          <t>Dies about three o’clock in the afternoon</t>
        </is>
      </c>
      <c r="F243" s="15" t="inlineStr">
        <is>
          <t>b5-0163</t>
        </is>
      </c>
      <c r="G243" s="15" t="inlineStr">
        <is>
          <t>Point</t>
        </is>
      </c>
      <c r="H243" s="15" t="inlineStr">
        <is>
          <t>33 C.E., Nisan 14 (c. 3:00 p.m., Friday)</t>
        </is>
      </c>
      <c r="I243" s="15" t="inlineStr">
        <is>
          <t>Dies on torture stake</t>
        </is>
      </c>
      <c r="J243" s="15" t="n"/>
      <c r="K243" s="15" t="n"/>
      <c r="L243" s="15" t="n"/>
      <c r="M243" s="16" t="n"/>
    </row>
    <row r="244">
      <c r="A244" s="15" t="inlineStr">
        <is>
          <t>jesus-final-week</t>
        </is>
      </c>
      <c r="B244" s="15" t="n">
        <v>40</v>
      </c>
      <c r="C244" s="15" t="inlineStr">
        <is>
          <t>item</t>
        </is>
      </c>
      <c r="D244" s="15" t="inlineStr">
        <is>
          <t>Nisan 14</t>
        </is>
      </c>
      <c r="E244" s="15" t="inlineStr">
        <is>
          <t>Body removed and buried</t>
        </is>
      </c>
      <c r="F244" s="15" t="inlineStr">
        <is>
          <t>b5-0164</t>
        </is>
      </c>
      <c r="G244" s="15" t="inlineStr">
        <is>
          <t>Point</t>
        </is>
      </c>
      <c r="H244" s="15" t="inlineStr">
        <is>
          <t>33 C.E., Nisan 14 (c. 3:00 p.m., Friday)</t>
        </is>
      </c>
      <c r="I244" s="15" t="inlineStr">
        <is>
          <t>Body taken from the stake and placed in tomb</t>
        </is>
      </c>
      <c r="J244" s="15" t="n"/>
      <c r="K244" s="15" t="n"/>
      <c r="L244" s="15" t="n"/>
      <c r="M244" s="16" t="n"/>
    </row>
    <row r="245">
      <c r="A245" s="15" t="inlineStr">
        <is>
          <t>jesus-final-week</t>
        </is>
      </c>
      <c r="B245" s="15" t="n">
        <v>41</v>
      </c>
      <c r="C245" s="15" t="inlineStr">
        <is>
          <t>item</t>
        </is>
      </c>
      <c r="D245" s="15" t="inlineStr">
        <is>
          <t>Nisan 15 (Sabbath)</t>
        </is>
      </c>
      <c r="E245" s="15" t="inlineStr">
        <is>
          <t>Pilate approves posting guards at Jesus’ grave</t>
        </is>
      </c>
      <c r="F245" s="15" t="inlineStr">
        <is>
          <t>b5-0165</t>
        </is>
      </c>
      <c r="G245" s="15" t="inlineStr">
        <is>
          <t>Point</t>
        </is>
      </c>
      <c r="H245" s="15" t="inlineStr">
        <is>
          <t>33 C.E., Nisan 15</t>
        </is>
      </c>
      <c r="I245" s="15" t="inlineStr">
        <is>
          <t>Priests and Pharisees get guard for tomb and seal it</t>
        </is>
      </c>
      <c r="J245" s="15" t="n"/>
      <c r="K245" s="15" t="n"/>
      <c r="L245" s="15" t="n"/>
      <c r="M245" s="16" t="n"/>
    </row>
    <row r="246">
      <c r="A246" s="15" t="inlineStr">
        <is>
          <t>jesus-final-week</t>
        </is>
      </c>
      <c r="B246" s="15" t="n">
        <v>42</v>
      </c>
      <c r="C246" s="15" t="inlineStr">
        <is>
          <t>item</t>
        </is>
      </c>
      <c r="D246" s="15" t="inlineStr">
        <is>
          <t>Nisan 16</t>
        </is>
      </c>
      <c r="E246" s="15" t="inlineStr">
        <is>
          <t>Additional burial spices are purchased</t>
        </is>
      </c>
      <c r="F246" s="15" t="inlineStr">
        <is>
          <t>b16-0006</t>
        </is>
      </c>
      <c r="G246" s="15" t="inlineStr">
        <is>
          <t>Point</t>
        </is>
      </c>
      <c r="H246" s="15" t="inlineStr">
        <is>
          <t>33 C.E., Nisan 16 (after sunset)</t>
        </is>
      </c>
      <c r="I246" s="15" t="inlineStr">
        <is>
          <t>Additional burial spices are purchased</t>
        </is>
      </c>
      <c r="J246" s="15" t="n"/>
      <c r="K246" s="15" t="n"/>
      <c r="L246" s="15" t="inlineStr">
        <is>
          <t>After sunset. New record.</t>
        </is>
      </c>
      <c r="M246" s="16" t="n"/>
    </row>
    <row r="247">
      <c r="A247" s="15" t="inlineStr">
        <is>
          <t>jesus-final-week</t>
        </is>
      </c>
      <c r="B247" s="15" t="n">
        <v>43</v>
      </c>
      <c r="C247" s="15" t="inlineStr">
        <is>
          <t>item</t>
        </is>
      </c>
      <c r="D247" s="15" t="inlineStr">
        <is>
          <t>Nisan 16</t>
        </is>
      </c>
      <c r="E247" s="15" t="inlineStr">
        <is>
          <t>Resurrected</t>
        </is>
      </c>
      <c r="F247" s="15" t="inlineStr">
        <is>
          <t>b5-0166</t>
        </is>
      </c>
      <c r="G247" s="15" t="inlineStr">
        <is>
          <t>Point</t>
        </is>
      </c>
      <c r="H247" s="15" t="inlineStr">
        <is>
          <t>33 C.E., Nisan 16</t>
        </is>
      </c>
      <c r="I247" s="15" t="inlineStr">
        <is>
          <t>Jesus resurrected</t>
        </is>
      </c>
      <c r="J247" s="15" t="n"/>
      <c r="K247" s="15" t="n"/>
      <c r="L247" s="15" t="inlineStr">
        <is>
          <t>After sunrise.</t>
        </is>
      </c>
      <c r="M247" s="16" t="n"/>
    </row>
    <row r="248">
      <c r="A248" s="15" t="inlineStr">
        <is>
          <t>jesus-final-week</t>
        </is>
      </c>
      <c r="B248" s="15" t="n">
        <v>44</v>
      </c>
      <c r="C248" s="15" t="inlineStr">
        <is>
          <t>item</t>
        </is>
      </c>
      <c r="D248" s="15" t="inlineStr">
        <is>
          <t>Nisan 16</t>
        </is>
      </c>
      <c r="E248" s="15" t="inlineStr">
        <is>
          <t>Appears to disciples</t>
        </is>
      </c>
      <c r="F248" s="15" t="inlineStr">
        <is>
          <t>b5-0167</t>
        </is>
      </c>
      <c r="G248" s="15" t="inlineStr">
        <is>
          <t>Point</t>
        </is>
      </c>
      <c r="H248" s="15" t="inlineStr">
        <is>
          <t>33 C.E., Nisan 16</t>
        </is>
      </c>
      <c r="I248" s="15" t="inlineStr">
        <is>
          <t>Jesus appears five times to disciples</t>
        </is>
      </c>
      <c r="J248" s="15" t="n"/>
      <c r="K248" s="15" t="n"/>
      <c r="L248" s="15" t="n"/>
      <c r="M248" s="16" t="n"/>
    </row>
    <row r="249">
      <c r="A249" s="15" t="inlineStr">
        <is>
          <t>jesus-ministry-places</t>
        </is>
      </c>
      <c r="B249" s="15" t="n">
        <v>1</v>
      </c>
      <c r="C249" s="15" t="inlineStr">
        <is>
          <t>item</t>
        </is>
      </c>
      <c r="D249" s="15" t="n"/>
      <c r="E249" s="15" t="inlineStr">
        <is>
          <t>Birth of Jesus</t>
        </is>
      </c>
      <c r="F249" s="15" t="inlineStr">
        <is>
          <t>b5-0006</t>
        </is>
      </c>
      <c r="G249" s="15" t="inlineStr">
        <is>
          <t>Point</t>
        </is>
      </c>
      <c r="H249" s="15" t="inlineStr">
        <is>
          <t>2 B.C.E., c. Oct. 1</t>
        </is>
      </c>
      <c r="I249" s="15" t="inlineStr">
        <is>
          <t>Jesus born; “the Word became flesh”</t>
        </is>
      </c>
      <c r="J249" s="15" t="n"/>
      <c r="K249" s="15" t="n"/>
      <c r="L249" s="15" t="inlineStr">
        <is>
          <t>Shown on the timeline of the map.</t>
        </is>
      </c>
      <c r="M249" s="16" t="n"/>
    </row>
    <row r="250">
      <c r="A250" s="15" t="inlineStr">
        <is>
          <t>jesus-ministry-places</t>
        </is>
      </c>
      <c r="B250" s="15" t="n">
        <v>2</v>
      </c>
      <c r="C250" s="15" t="inlineStr">
        <is>
          <t>context</t>
        </is>
      </c>
      <c r="D250" s="15" t="n"/>
      <c r="E250" s="15" t="n"/>
      <c r="F250" s="15" t="inlineStr">
        <is>
          <t>d1-0024</t>
        </is>
      </c>
      <c r="G250" s="15" t="inlineStr">
        <is>
          <t>Span</t>
        </is>
      </c>
      <c r="H250" s="15" t="inlineStr">
        <is>
          <t>2 B.C.E., c. Oct. 1 – 33 C.E., Nisan 14 (c. 3:00 p.m., Friday)</t>
        </is>
      </c>
      <c r="I250" s="15" t="inlineStr">
        <is>
          <t>Jesus' earthly life</t>
        </is>
      </c>
      <c r="J250" s="15" t="n"/>
      <c r="K250" s="15" t="n"/>
      <c r="L250" s="15" t="inlineStr">
        <is>
          <t>Jesus’ earthly life between the two timeline entries.</t>
        </is>
      </c>
      <c r="M250" s="16" t="n"/>
    </row>
    <row r="251">
      <c r="A251" s="15" t="inlineStr">
        <is>
          <t>jesus-ministry-places</t>
        </is>
      </c>
      <c r="B251" s="15" t="n">
        <v>3</v>
      </c>
      <c r="C251" s="15" t="inlineStr">
        <is>
          <t>context</t>
        </is>
      </c>
      <c r="D251" s="15" t="n"/>
      <c r="E251" s="15" t="n"/>
      <c r="F251" s="15" t="inlineStr">
        <is>
          <t>b12-0044</t>
        </is>
      </c>
      <c r="G251" s="15" t="inlineStr">
        <is>
          <t>Span</t>
        </is>
      </c>
      <c r="H251" s="15" t="inlineStr">
        <is>
          <t>29 C.E.–33 C.E.</t>
        </is>
      </c>
      <c r="I251" s="15" t="inlineStr">
        <is>
          <t>Jesus’ earthly ministry</t>
        </is>
      </c>
      <c r="J251" s="15" t="n"/>
      <c r="K251" s="15" t="n"/>
      <c r="L251" s="15" t="inlineStr">
        <is>
          <t>Jesus’ ministry, carried out in the regions on the map.</t>
        </is>
      </c>
      <c r="M251" s="16" t="n"/>
    </row>
    <row r="252">
      <c r="A252" s="15" t="inlineStr">
        <is>
          <t>jesus-ministry-places</t>
        </is>
      </c>
      <c r="B252" s="15" t="n">
        <v>4</v>
      </c>
      <c r="C252" s="15" t="inlineStr">
        <is>
          <t>item</t>
        </is>
      </c>
      <c r="D252" s="15" t="n"/>
      <c r="E252" s="15" t="inlineStr">
        <is>
          <t>Death of Jesus</t>
        </is>
      </c>
      <c r="F252" s="15" t="inlineStr">
        <is>
          <t>b5-0163</t>
        </is>
      </c>
      <c r="G252" s="15" t="inlineStr">
        <is>
          <t>Point</t>
        </is>
      </c>
      <c r="H252" s="15" t="inlineStr">
        <is>
          <t>33 C.E., Nisan 14 (c. 3:00 p.m., Friday)</t>
        </is>
      </c>
      <c r="I252" s="15" t="inlineStr">
        <is>
          <t>Dies on torture stake</t>
        </is>
      </c>
      <c r="J252" s="15" t="n"/>
      <c r="K252" s="15" t="n"/>
      <c r="L252" s="15" t="inlineStr">
        <is>
          <t>Shown on the timeline of the map.</t>
        </is>
      </c>
      <c r="M252" s="16" t="n"/>
    </row>
    <row r="253">
      <c r="A253" s="15" t="inlineStr">
        <is>
          <t>kingdom-of-david-and-solomon</t>
        </is>
      </c>
      <c r="B253" s="15" t="n">
        <v>1</v>
      </c>
      <c r="C253" s="15" t="inlineStr">
        <is>
          <t>item</t>
        </is>
      </c>
      <c r="D253" s="15" t="n"/>
      <c r="E253" s="15" t="inlineStr">
        <is>
          <t>David’s reign</t>
        </is>
      </c>
      <c r="F253" s="15" t="inlineStr">
        <is>
          <t>b12-0012</t>
        </is>
      </c>
      <c r="G253" s="15" t="inlineStr">
        <is>
          <t>Span</t>
        </is>
      </c>
      <c r="H253" s="15" t="inlineStr">
        <is>
          <t>1077-1038 B.C.E.</t>
        </is>
      </c>
      <c r="I253" s="15" t="inlineStr">
        <is>
          <t>Reign of David</t>
        </is>
      </c>
      <c r="J253" s="15" t="n"/>
      <c r="K253" s="15" t="n"/>
      <c r="L253" s="15" t="inlineStr">
        <is>
          <t>Shown on the timeline of the map.</t>
        </is>
      </c>
      <c r="M253" s="16" t="n"/>
    </row>
    <row r="254">
      <c r="A254" s="15" t="inlineStr">
        <is>
          <t>kingdom-of-david-and-solomon</t>
        </is>
      </c>
      <c r="B254" s="15" t="n">
        <v>2</v>
      </c>
      <c r="C254" s="15" t="inlineStr">
        <is>
          <t>context</t>
        </is>
      </c>
      <c r="D254" s="15" t="n"/>
      <c r="E254" s="15" t="n"/>
      <c r="F254" s="15" t="inlineStr">
        <is>
          <t>b3-0006</t>
        </is>
      </c>
      <c r="G254" s="15" t="inlineStr">
        <is>
          <t>Point</t>
        </is>
      </c>
      <c r="H254" s="15" t="inlineStr">
        <is>
          <t>1077 B.C.E.</t>
        </is>
      </c>
      <c r="I254" s="15" t="inlineStr">
        <is>
          <t>David becomes king of Judah at Hebron</t>
        </is>
      </c>
      <c r="J254" s="15" t="n"/>
      <c r="K254" s="15" t="n"/>
      <c r="L254" s="15" t="inlineStr">
        <is>
          <t>David becomes king at Hebron (on the map).</t>
        </is>
      </c>
      <c r="M254" s="16" t="n"/>
    </row>
    <row r="255">
      <c r="A255" s="15" t="inlineStr">
        <is>
          <t>kingdom-of-david-and-solomon</t>
        </is>
      </c>
      <c r="B255" s="15" t="n">
        <v>3</v>
      </c>
      <c r="C255" s="15" t="inlineStr">
        <is>
          <t>context</t>
        </is>
      </c>
      <c r="D255" s="15" t="n"/>
      <c r="E255" s="15" t="n"/>
      <c r="F255" s="15" t="inlineStr">
        <is>
          <t>b3-0007</t>
        </is>
      </c>
      <c r="G255" s="15" t="inlineStr">
        <is>
          <t>Point</t>
        </is>
      </c>
      <c r="H255" s="15" t="inlineStr">
        <is>
          <t>1070 B.C.E.</t>
        </is>
      </c>
      <c r="I255" s="15" t="inlineStr">
        <is>
          <t>David becomes king over all Israel; Jerusalem made capital</t>
        </is>
      </c>
      <c r="J255" s="15" t="n"/>
      <c r="K255" s="15" t="n"/>
      <c r="L255" s="15" t="inlineStr">
        <is>
          <t>Jerusalem becomes the capital.</t>
        </is>
      </c>
      <c r="M255" s="16" t="n"/>
    </row>
    <row r="256">
      <c r="A256" s="15" t="inlineStr">
        <is>
          <t>kingdom-of-david-and-solomon</t>
        </is>
      </c>
      <c r="B256" s="15" t="n">
        <v>4</v>
      </c>
      <c r="C256" s="15" t="inlineStr">
        <is>
          <t>item</t>
        </is>
      </c>
      <c r="D256" s="15" t="n"/>
      <c r="E256" s="15" t="inlineStr">
        <is>
          <t>Davidic covenant</t>
        </is>
      </c>
      <c r="F256" s="15" t="inlineStr">
        <is>
          <t>b3-0009</t>
        </is>
      </c>
      <c r="G256" s="15" t="inlineStr">
        <is>
          <t>Point</t>
        </is>
      </c>
      <c r="H256" s="15" t="inlineStr">
        <is>
          <t>a. 1070 B.C.E.</t>
        </is>
      </c>
      <c r="I256" s="15" t="inlineStr">
        <is>
          <t>Jehovah makes a covenant with David for a kingdom</t>
        </is>
      </c>
      <c r="J256" s="15" t="n"/>
      <c r="K256" s="15" t="n"/>
      <c r="L256" s="15" t="inlineStr">
        <is>
          <t>Shown on the timeline of the map. B7 prints ‘c. 1070 B.C.E.’; the record (from ‘All Scripture’ Study 3) has ‘a. 1070 B.C.E.’.</t>
        </is>
      </c>
      <c r="M256" s="16" t="n"/>
    </row>
    <row r="257">
      <c r="A257" s="15" t="inlineStr">
        <is>
          <t>kingdom-of-david-and-solomon</t>
        </is>
      </c>
      <c r="B257" s="15" t="n">
        <v>5</v>
      </c>
      <c r="C257" s="15" t="inlineStr">
        <is>
          <t>item</t>
        </is>
      </c>
      <c r="D257" s="15" t="n"/>
      <c r="E257" s="15" t="inlineStr">
        <is>
          <t>Solomon’s reign</t>
        </is>
      </c>
      <c r="F257" s="15" t="inlineStr">
        <is>
          <t>b12-0013</t>
        </is>
      </c>
      <c r="G257" s="15" t="inlineStr">
        <is>
          <t>Span</t>
        </is>
      </c>
      <c r="H257" s="15" t="inlineStr">
        <is>
          <t>1037-998 B.C.E.</t>
        </is>
      </c>
      <c r="I257" s="15" t="inlineStr">
        <is>
          <t>Reign of Solomon</t>
        </is>
      </c>
      <c r="J257" s="15" t="n"/>
      <c r="K257" s="15" t="n"/>
      <c r="L257" s="15" t="inlineStr">
        <is>
          <t>Shown on the timeline of the map.</t>
        </is>
      </c>
      <c r="M257" s="16" t="n"/>
    </row>
    <row r="258">
      <c r="A258" s="15" t="inlineStr">
        <is>
          <t>kings-north-and-south</t>
        </is>
      </c>
      <c r="B258" s="15" t="n">
        <v>1</v>
      </c>
      <c r="C258" s="15" t="inlineStr">
        <is>
          <t>prophecy</t>
        </is>
      </c>
      <c r="D258" s="15" t="n"/>
      <c r="E258" s="15" t="inlineStr">
        <is>
          <t>Daniel’s final vision: the rivalry of “the king of the north” and “the king of the south” (Dan. 11:1–12:1)</t>
        </is>
      </c>
      <c r="F258" s="15" t="inlineStr">
        <is>
          <t>b4-0032</t>
        </is>
      </c>
      <c r="G258" s="15" t="inlineStr">
        <is>
          <t>Point</t>
        </is>
      </c>
      <c r="H258" s="15" t="inlineStr">
        <is>
          <t>536/535 B.C.E. (third year of Cyrus)</t>
        </is>
      </c>
      <c r="I258" s="15" t="inlineStr">
        <is>
          <t>Daniel's final vision (third year of Cyrus)</t>
        </is>
      </c>
      <c r="J258" s="15" t="inlineStr">
        <is>
          <t>b14-0001, b5-0163, b14-0004, b14-0002, b12-0066, b14-0010, b14-0012, b14-0013, b14-0014, b9-0363, b10-0015, b10-0017, b4-0094, b4-0100, b4-0102, b4-0103, b4-0104, b4-0109, b4-0060, b4-0095</t>
        </is>
      </c>
      <c r="K258" s="15" t="inlineStr">
        <is>
          <t>Dan. 10:1, 14; Dan. 11:2-45; Dan. 12:1</t>
        </is>
      </c>
      <c r="L258" s="15" t="n"/>
      <c r="M258" s="16" t="n"/>
    </row>
    <row r="259">
      <c r="A259" s="15" t="inlineStr">
        <is>
          <t>kings-north-and-south</t>
        </is>
      </c>
      <c r="B259" s="15" t="n">
        <v>2</v>
      </c>
      <c r="C259" s="15" t="inlineStr">
        <is>
          <t>step</t>
        </is>
      </c>
      <c r="D259" s="15" t="inlineStr">
        <is>
          <t>Daniel 11:2-4: Persian kings and “a mighty king” of Greece</t>
        </is>
      </c>
      <c r="E259" s="15" t="inlineStr">
        <is>
          <t>Darius I, the third Persian king, puts down a Greek revolt</t>
        </is>
      </c>
      <c r="F259" s="15" t="inlineStr">
        <is>
          <t>b4-0051</t>
        </is>
      </c>
      <c r="G259" s="15" t="inlineStr">
        <is>
          <t>Point</t>
        </is>
      </c>
      <c r="H259" s="15" t="inlineStr">
        <is>
          <t>499 B.C.E.</t>
        </is>
      </c>
      <c r="I259" s="15" t="inlineStr">
        <is>
          <t>Darius I puts down revolt of Greek colonies</t>
        </is>
      </c>
      <c r="J259" s="15" t="n"/>
      <c r="K259" s="15" t="inlineStr">
        <is>
          <t>Dan. 11:2</t>
        </is>
      </c>
      <c r="L259" s="15" t="n"/>
      <c r="M259" s="16" t="n"/>
    </row>
    <row r="260">
      <c r="A260" s="15" t="inlineStr">
        <is>
          <t>kings-north-and-south</t>
        </is>
      </c>
      <c r="B260" s="15" t="n">
        <v>3</v>
      </c>
      <c r="C260" s="15" t="inlineStr">
        <is>
          <t>step</t>
        </is>
      </c>
      <c r="D260" s="15" t="inlineStr">
        <is>
          <t>Daniel 11:2-4: Persian kings and “a mighty king” of Greece</t>
        </is>
      </c>
      <c r="E260" s="15" t="inlineStr">
        <is>
          <t>Persians defeated at Marathon (490 B.C.E.)</t>
        </is>
      </c>
      <c r="F260" s="15" t="inlineStr">
        <is>
          <t>b4-0056</t>
        </is>
      </c>
      <c r="G260" s="15" t="inlineStr">
        <is>
          <t>Point</t>
        </is>
      </c>
      <c r="H260" s="15" t="inlineStr">
        <is>
          <t>490 B.C.E.</t>
        </is>
      </c>
      <c r="I260" s="15" t="inlineStr">
        <is>
          <t>Persians defeated at Marathon</t>
        </is>
      </c>
      <c r="J260" s="15" t="n"/>
      <c r="K260" s="15" t="inlineStr">
        <is>
          <t>Dan. 11:2</t>
        </is>
      </c>
      <c r="L260" s="15" t="n"/>
      <c r="M260" s="16" t="n"/>
    </row>
    <row r="261">
      <c r="A261" s="15" t="inlineStr">
        <is>
          <t>kings-north-and-south</t>
        </is>
      </c>
      <c r="B261" s="15" t="n">
        <v>4</v>
      </c>
      <c r="C261" s="15" t="inlineStr">
        <is>
          <t>fulfillment</t>
        </is>
      </c>
      <c r="D261" s="15" t="inlineStr">
        <is>
          <t>Daniel 11:2-4: Persian kings and “a mighty king” of Greece</t>
        </is>
      </c>
      <c r="E261" s="15" t="inlineStr">
        <is>
          <t>The fourth king, Xerxes, “rouses up everything against the kingdom of Greece”</t>
        </is>
      </c>
      <c r="F261" s="15" t="inlineStr">
        <is>
          <t>b4-0060</t>
        </is>
      </c>
      <c r="G261" s="15" t="inlineStr">
        <is>
          <t>Point</t>
        </is>
      </c>
      <c r="H261" s="15" t="inlineStr">
        <is>
          <t>480 B.C.E.</t>
        </is>
      </c>
      <c r="I261" s="15" t="inlineStr">
        <is>
          <t>Xerxes launches massive invasion of Greece</t>
        </is>
      </c>
      <c r="J261" s="15" t="inlineStr">
        <is>
          <t>b4-0032</t>
        </is>
      </c>
      <c r="K261" s="15" t="inlineStr">
        <is>
          <t>Dan. 11:2</t>
        </is>
      </c>
      <c r="L261" s="15" t="n"/>
      <c r="M261" s="16" t="n"/>
    </row>
    <row r="262">
      <c r="A262" s="15" t="inlineStr">
        <is>
          <t>kings-north-and-south</t>
        </is>
      </c>
      <c r="B262" s="15" t="n">
        <v>5</v>
      </c>
      <c r="C262" s="15" t="inlineStr">
        <is>
          <t>step</t>
        </is>
      </c>
      <c r="D262" s="15" t="inlineStr">
        <is>
          <t>Daniel 11:2-4: Persian kings and “a mighty king” of Greece</t>
        </is>
      </c>
      <c r="E262" s="15" t="inlineStr">
        <is>
          <t>“A mighty king” stands up: Alexander becomes king of Macedonia (336 B.C.E.)</t>
        </is>
      </c>
      <c r="F262" s="15" t="inlineStr">
        <is>
          <t>b4-0082</t>
        </is>
      </c>
      <c r="G262" s="15" t="inlineStr">
        <is>
          <t>Point</t>
        </is>
      </c>
      <c r="H262" s="15" t="inlineStr">
        <is>
          <t>336 B.C.E.</t>
        </is>
      </c>
      <c r="I262" s="15" t="inlineStr">
        <is>
          <t>Alexander becomes king of Macedonia</t>
        </is>
      </c>
      <c r="J262" s="15" t="n"/>
      <c r="K262" s="15" t="inlineStr">
        <is>
          <t>Dan. 11:3</t>
        </is>
      </c>
      <c r="L262" s="15" t="n"/>
      <c r="M262" s="16" t="n"/>
    </row>
    <row r="263">
      <c r="A263" s="15" t="inlineStr">
        <is>
          <t>kings-north-and-south</t>
        </is>
      </c>
      <c r="B263" s="15" t="n">
        <v>6</v>
      </c>
      <c r="C263" s="15" t="inlineStr">
        <is>
          <t>step</t>
        </is>
      </c>
      <c r="D263" s="15" t="inlineStr">
        <is>
          <t>Daniel 11:2-4: Persian kings and “a mighty king” of Greece</t>
        </is>
      </c>
      <c r="E263" s="15" t="inlineStr">
        <is>
          <t>His kingdom is broken: Alexander dies (323 B.C.E.)</t>
        </is>
      </c>
      <c r="F263" s="15" t="inlineStr">
        <is>
          <t>b4-0090</t>
        </is>
      </c>
      <c r="G263" s="15" t="inlineStr">
        <is>
          <t>Point</t>
        </is>
      </c>
      <c r="H263" s="15" t="inlineStr">
        <is>
          <t>323 B.C.E., June 13</t>
        </is>
      </c>
      <c r="I263" s="15" t="inlineStr">
        <is>
          <t>Death of Alexander the Great</t>
        </is>
      </c>
      <c r="J263" s="15" t="n"/>
      <c r="K263" s="15" t="inlineStr">
        <is>
          <t>Dan. 11:4</t>
        </is>
      </c>
      <c r="L263" s="15" t="n"/>
      <c r="M263" s="16" t="n"/>
    </row>
    <row r="264">
      <c r="A264" s="15" t="inlineStr">
        <is>
          <t>kings-north-and-south</t>
        </is>
      </c>
      <c r="B264" s="15" t="n">
        <v>7</v>
      </c>
      <c r="C264" s="15" t="inlineStr">
        <is>
          <t>step</t>
        </is>
      </c>
      <c r="D264" s="15" t="inlineStr">
        <is>
          <t>Daniel 11:2-4: Persian kings and “a mighty king” of Greece</t>
        </is>
      </c>
      <c r="E264" s="15" t="inlineStr">
        <is>
          <t>“Not to his posterity”: Alexander IV killed (311 B.C.E.)</t>
        </is>
      </c>
      <c r="F264" s="15" t="inlineStr">
        <is>
          <t>b4-0093</t>
        </is>
      </c>
      <c r="G264" s="15" t="inlineStr">
        <is>
          <t>Point</t>
        </is>
      </c>
      <c r="H264" s="15" t="inlineStr">
        <is>
          <t>311 B.C.E.</t>
        </is>
      </c>
      <c r="I264" s="15" t="inlineStr">
        <is>
          <t>Alexander IV killed by Cassander</t>
        </is>
      </c>
      <c r="J264" s="15" t="n"/>
      <c r="K264" s="15" t="inlineStr">
        <is>
          <t>Dan. 11:4</t>
        </is>
      </c>
      <c r="L264" s="15" t="n"/>
      <c r="M264" s="16" t="n"/>
    </row>
    <row r="265">
      <c r="A265" s="15" t="inlineStr">
        <is>
          <t>kings-north-and-south</t>
        </is>
      </c>
      <c r="B265" s="15" t="n">
        <v>8</v>
      </c>
      <c r="C265" s="15" t="inlineStr">
        <is>
          <t>fulfillment</t>
        </is>
      </c>
      <c r="D265" s="15" t="inlineStr">
        <is>
          <t>Daniel 11:2-4: Persian kings and “a mighty king” of Greece</t>
        </is>
      </c>
      <c r="E265" s="15" t="inlineStr">
        <is>
          <t>Kingdom “divided toward the four winds”: four generals (301 B.C.E.)</t>
        </is>
      </c>
      <c r="F265" s="15" t="inlineStr">
        <is>
          <t>b4-0095</t>
        </is>
      </c>
      <c r="G265" s="15" t="inlineStr">
        <is>
          <t>Point</t>
        </is>
      </c>
      <c r="H265" s="15" t="inlineStr">
        <is>
          <t>301 B.C.E.</t>
        </is>
      </c>
      <c r="I265" s="15" t="inlineStr">
        <is>
          <t>Four of Alexander's generals divide the empire</t>
        </is>
      </c>
      <c r="J265" s="15" t="inlineStr">
        <is>
          <t>b4-0032</t>
        </is>
      </c>
      <c r="K265" s="15" t="inlineStr">
        <is>
          <t>Dan. 11:4</t>
        </is>
      </c>
      <c r="L265" s="15" t="n"/>
      <c r="M265" s="16" t="n"/>
    </row>
    <row r="266">
      <c r="A266" s="15" t="inlineStr">
        <is>
          <t>kings-north-and-south</t>
        </is>
      </c>
      <c r="B266" s="15" t="n">
        <v>9</v>
      </c>
      <c r="C266" s="15" t="inlineStr">
        <is>
          <t>context</t>
        </is>
      </c>
      <c r="D266" s="15" t="inlineStr">
        <is>
          <t>Daniel 11:5: king of the north Seleucus I Nicator / king of the south Ptolemy I</t>
        </is>
      </c>
      <c r="E266" s="15" t="inlineStr">
        <is>
          <t>Seleucus Nicator conquers Babylon (312 B.C.E.)</t>
        </is>
      </c>
      <c r="F266" s="15" t="inlineStr">
        <is>
          <t>b4-0092</t>
        </is>
      </c>
      <c r="G266" s="15" t="inlineStr">
        <is>
          <t>Point</t>
        </is>
      </c>
      <c r="H266" s="15" t="inlineStr">
        <is>
          <t>312 B.C.E.</t>
        </is>
      </c>
      <c r="I266" s="15" t="inlineStr">
        <is>
          <t>Seleucus Nicator conquers Babylon</t>
        </is>
      </c>
      <c r="J266" s="15" t="n"/>
      <c r="K266" s="15" t="inlineStr">
        <is>
          <t>Dan. 11:5</t>
        </is>
      </c>
      <c r="L266" s="15" t="n"/>
      <c r="M266" s="16" t="n"/>
    </row>
    <row r="267">
      <c r="A267" s="15" t="inlineStr">
        <is>
          <t>kings-north-and-south</t>
        </is>
      </c>
      <c r="B267" s="15" t="n">
        <v>10</v>
      </c>
      <c r="C267" s="15" t="inlineStr">
        <is>
          <t>ruler</t>
        </is>
      </c>
      <c r="D267" s="15" t="inlineStr">
        <is>
          <t>Daniel 11:5: king of the north Seleucus I Nicator / king of the south Ptolemy I</t>
        </is>
      </c>
      <c r="E267" s="15" t="inlineStr">
        <is>
          <t>Ptolemy I assumes the title of king in Egypt (305 B.C.E.)</t>
        </is>
      </c>
      <c r="F267" s="15" t="inlineStr">
        <is>
          <t>b4-0094</t>
        </is>
      </c>
      <c r="G267" s="15" t="inlineStr">
        <is>
          <t>Point</t>
        </is>
      </c>
      <c r="H267" s="15" t="inlineStr">
        <is>
          <t>305 B.C.E.</t>
        </is>
      </c>
      <c r="I267" s="15" t="inlineStr">
        <is>
          <t>Ptolemy I assumes title of king in Egypt</t>
        </is>
      </c>
      <c r="J267" s="15" t="inlineStr">
        <is>
          <t>b4-0032</t>
        </is>
      </c>
      <c r="K267" s="15" t="inlineStr">
        <is>
          <t>Dan. 11:5</t>
        </is>
      </c>
      <c r="L267" s="15" t="n"/>
      <c r="M267" s="16" t="n"/>
    </row>
    <row r="268">
      <c r="A268" s="15" t="inlineStr">
        <is>
          <t>kings-north-and-south</t>
        </is>
      </c>
      <c r="B268" s="15" t="n">
        <v>11</v>
      </c>
      <c r="C268" s="15" t="inlineStr">
        <is>
          <t>step</t>
        </is>
      </c>
      <c r="D268" s="15" t="inlineStr">
        <is>
          <t>Daniel 11:5: king of the north Seleucus I Nicator / king of the south Ptolemy I</t>
        </is>
      </c>
      <c r="E268" s="15" t="inlineStr">
        <is>
          <t>Seleucus I gains most of the Asiatic territories (281 B.C.E.)</t>
        </is>
      </c>
      <c r="F268" s="15" t="inlineStr">
        <is>
          <t>b4-0097</t>
        </is>
      </c>
      <c r="G268" s="15" t="inlineStr">
        <is>
          <t>Point</t>
        </is>
      </c>
      <c r="H268" s="15" t="inlineStr">
        <is>
          <t>281 B.C.E.</t>
        </is>
      </c>
      <c r="I268" s="15" t="inlineStr">
        <is>
          <t>Lysimachus falls to Seleucus; Seleucus assassinated</t>
        </is>
      </c>
      <c r="J268" s="15" t="n"/>
      <c r="K268" s="15" t="inlineStr">
        <is>
          <t>Dan. 11:5</t>
        </is>
      </c>
      <c r="L268" s="15" t="n"/>
      <c r="M268" s="16" t="n"/>
    </row>
    <row r="269">
      <c r="A269" s="15" t="inlineStr">
        <is>
          <t>kings-north-and-south</t>
        </is>
      </c>
      <c r="B269" s="15" t="n">
        <v>12</v>
      </c>
      <c r="C269" s="15" t="inlineStr">
        <is>
          <t>fulfillment</t>
        </is>
      </c>
      <c r="D269" s="15" t="inlineStr">
        <is>
          <t>Daniel 11:6: king of the north Antiochus II / king of the south Ptolemy II</t>
        </is>
      </c>
      <c r="E269" s="15" t="inlineStr">
        <is>
          <t>Antiochus II and Ptolemy II make an “equitable arrangement” (250 B.C.E.)</t>
        </is>
      </c>
      <c r="F269" s="15" t="inlineStr">
        <is>
          <t>b4-0100</t>
        </is>
      </c>
      <c r="G269" s="15" t="inlineStr">
        <is>
          <t>Point</t>
        </is>
      </c>
      <c r="H269" s="15" t="inlineStr">
        <is>
          <t>250 B.C.E.</t>
        </is>
      </c>
      <c r="I269" s="15" t="inlineStr">
        <is>
          <t>Antiochus II and Ptolemy II make an 'equitable arrangement'</t>
        </is>
      </c>
      <c r="J269" s="15" t="inlineStr">
        <is>
          <t>b4-0032</t>
        </is>
      </c>
      <c r="K269" s="15" t="inlineStr">
        <is>
          <t>Dan. 11:6</t>
        </is>
      </c>
      <c r="L269" s="15" t="n"/>
      <c r="M269" s="16" t="n"/>
    </row>
    <row r="270">
      <c r="A270" s="15" t="inlineStr">
        <is>
          <t>kings-north-and-south</t>
        </is>
      </c>
      <c r="B270" s="15" t="n">
        <v>13</v>
      </c>
      <c r="C270" s="15" t="inlineStr">
        <is>
          <t>fulfillment</t>
        </is>
      </c>
      <c r="D270" s="15" t="inlineStr">
        <is>
          <t>Daniel 11:6: king of the north Antiochus II / king of the south Ptolemy II</t>
        </is>
      </c>
      <c r="E270" s="15" t="inlineStr">
        <is>
          <t>Berenice does not “retain the power of her arm” (246 B.C.E.)</t>
        </is>
      </c>
      <c r="F270" s="15" t="inlineStr">
        <is>
          <t>b4-0101</t>
        </is>
      </c>
      <c r="G270" s="15" t="inlineStr">
        <is>
          <t>Point</t>
        </is>
      </c>
      <c r="H270" s="15" t="inlineStr">
        <is>
          <t>246 B.C.E.</t>
        </is>
      </c>
      <c r="I270" s="15" t="inlineStr">
        <is>
          <t>Death of Antiochus II</t>
        </is>
      </c>
      <c r="J270" s="15" t="n"/>
      <c r="K270" s="15" t="inlineStr">
        <is>
          <t>Dan. 11:6</t>
        </is>
      </c>
      <c r="L270" s="15" t="n"/>
      <c r="M270" s="16" t="n"/>
    </row>
    <row r="271">
      <c r="A271" s="15" t="inlineStr">
        <is>
          <t>kings-north-and-south</t>
        </is>
      </c>
      <c r="B271" s="15" t="n">
        <v>14</v>
      </c>
      <c r="C271" s="15" t="inlineStr">
        <is>
          <t>fulfillment</t>
        </is>
      </c>
      <c r="D271" s="15" t="inlineStr">
        <is>
          <t>Daniel 11:7-9: king of the north Seleucus II / king of the south Ptolemy III</t>
        </is>
      </c>
      <c r="E271" s="15" t="inlineStr">
        <is>
          <t>Seleucus II “goes back to his own soil” (c. 242 B.C.E.)</t>
        </is>
      </c>
      <c r="F271" s="15" t="inlineStr">
        <is>
          <t>b4-0102</t>
        </is>
      </c>
      <c r="G271" s="15" t="inlineStr">
        <is>
          <t>Point</t>
        </is>
      </c>
      <c r="H271" s="15" t="inlineStr">
        <is>
          <t>c. 242 B.C.E.</t>
        </is>
      </c>
      <c r="I271" s="15" t="inlineStr">
        <is>
          <t>Seleucus II retreats to Antioch</t>
        </is>
      </c>
      <c r="J271" s="15" t="inlineStr">
        <is>
          <t>b4-0032</t>
        </is>
      </c>
      <c r="K271" s="15" t="inlineStr">
        <is>
          <t>Dan. 11:9</t>
        </is>
      </c>
      <c r="L271" s="15" t="n"/>
      <c r="M271" s="16" t="n"/>
    </row>
    <row r="272">
      <c r="A272" s="15" t="inlineStr">
        <is>
          <t>kings-north-and-south</t>
        </is>
      </c>
      <c r="B272" s="15" t="n">
        <v>15</v>
      </c>
      <c r="C272" s="15" t="inlineStr">
        <is>
          <t>fulfillment</t>
        </is>
      </c>
      <c r="D272" s="15" t="inlineStr">
        <is>
          <t>Daniel 11:10-12: king of the north Antiochus III / king of the south Ptolemy IV</t>
        </is>
      </c>
      <c r="E272" s="15" t="inlineStr">
        <is>
          <t>Antiochus III against Ptolemy IV (217 B.C.E.)</t>
        </is>
      </c>
      <c r="F272" s="15" t="inlineStr">
        <is>
          <t>b4-0103</t>
        </is>
      </c>
      <c r="G272" s="15" t="inlineStr">
        <is>
          <t>Point</t>
        </is>
      </c>
      <c r="H272" s="15" t="inlineStr">
        <is>
          <t>217 B.C.E. (spring)</t>
        </is>
      </c>
      <c r="I272" s="15" t="inlineStr">
        <is>
          <t>Antiochus III marches against Ptolemy IV</t>
        </is>
      </c>
      <c r="J272" s="15" t="inlineStr">
        <is>
          <t>b4-0032</t>
        </is>
      </c>
      <c r="K272" s="15" t="inlineStr">
        <is>
          <t>Dan. 11:10-12</t>
        </is>
      </c>
      <c r="L272" s="15" t="n"/>
      <c r="M272" s="16" t="n"/>
    </row>
    <row r="273">
      <c r="A273" s="15" t="inlineStr">
        <is>
          <t>kings-north-and-south</t>
        </is>
      </c>
      <c r="B273" s="15" t="n">
        <v>16</v>
      </c>
      <c r="C273" s="15" t="inlineStr">
        <is>
          <t>fulfillment</t>
        </is>
      </c>
      <c r="D273" s="15" t="inlineStr">
        <is>
          <t>Daniel 11:13-19: king of the north Antiochus III / king of the south Ptolemy V</t>
        </is>
      </c>
      <c r="E273" s="15" t="inlineStr">
        <is>
          <t>Antiochus III takes Sidon and Jerusalem; Judea passes to the king of the north (198 B.C.E.)</t>
        </is>
      </c>
      <c r="F273" s="15" t="inlineStr">
        <is>
          <t>b4-0104</t>
        </is>
      </c>
      <c r="G273" s="15" t="inlineStr">
        <is>
          <t>Point</t>
        </is>
      </c>
      <c r="H273" s="15" t="inlineStr">
        <is>
          <t>198 B.C.E.</t>
        </is>
      </c>
      <c r="I273" s="15" t="inlineStr">
        <is>
          <t>Antiochus III takes Sidon and Jerusalem; Judea passes to the Seleucids</t>
        </is>
      </c>
      <c r="J273" s="15" t="inlineStr">
        <is>
          <t>b4-0032</t>
        </is>
      </c>
      <c r="K273" s="15" t="inlineStr">
        <is>
          <t>Dan. 11:15, 16</t>
        </is>
      </c>
      <c r="L273" s="15" t="n"/>
      <c r="M273" s="16" t="n"/>
    </row>
    <row r="274">
      <c r="A274" s="15" t="inlineStr">
        <is>
          <t>kings-north-and-south</t>
        </is>
      </c>
      <c r="B274" s="15" t="n">
        <v>17</v>
      </c>
      <c r="C274" s="15" t="inlineStr">
        <is>
          <t>fulfillment</t>
        </is>
      </c>
      <c r="D274" s="15" t="inlineStr">
        <is>
          <t>Daniel 11:13-19: king of the north Antiochus III / king of the south Ptolemy V</t>
        </is>
      </c>
      <c r="E274" s="15" t="inlineStr">
        <is>
          <t>Cleopatra I given in marriage to Ptolemy V (193 B.C.E.)</t>
        </is>
      </c>
      <c r="F274" s="15" t="inlineStr">
        <is>
          <t>b4-0106</t>
        </is>
      </c>
      <c r="G274" s="15" t="inlineStr">
        <is>
          <t>Point</t>
        </is>
      </c>
      <c r="H274" s="15" t="inlineStr">
        <is>
          <t>193 B.C.E.</t>
        </is>
      </c>
      <c r="I274" s="15" t="inlineStr">
        <is>
          <t>Antiochus III's daughter marries Ptolemy V</t>
        </is>
      </c>
      <c r="J274" s="15" t="n"/>
      <c r="K274" s="15" t="inlineStr">
        <is>
          <t>Dan. 11:17</t>
        </is>
      </c>
      <c r="L274" s="15" t="n"/>
      <c r="M274" s="16" t="n"/>
    </row>
    <row r="275">
      <c r="A275" s="15" t="inlineStr">
        <is>
          <t>kings-north-and-south</t>
        </is>
      </c>
      <c r="B275" s="15" t="n">
        <v>18</v>
      </c>
      <c r="C275" s="15" t="inlineStr">
        <is>
          <t>step</t>
        </is>
      </c>
      <c r="D275" s="15" t="inlineStr">
        <is>
          <t>Daniel 11:13-19: king of the north Antiochus III / king of the south Ptolemy V</t>
        </is>
      </c>
      <c r="E275" s="15" t="inlineStr">
        <is>
          <t>Antiochus III turns to “the coastlands” (192 B.C.E.)</t>
        </is>
      </c>
      <c r="F275" s="15" t="inlineStr">
        <is>
          <t>b4-0107</t>
        </is>
      </c>
      <c r="G275" s="15" t="inlineStr">
        <is>
          <t>Point</t>
        </is>
      </c>
      <c r="H275" s="15" t="inlineStr">
        <is>
          <t>192 B.C.E.</t>
        </is>
      </c>
      <c r="I275" s="15" t="inlineStr">
        <is>
          <t>War in Greece draws in Antiochus III</t>
        </is>
      </c>
      <c r="J275" s="15" t="n"/>
      <c r="K275" s="15" t="inlineStr">
        <is>
          <t>Dan. 11:18</t>
        </is>
      </c>
      <c r="L275" s="15" t="n"/>
      <c r="M275" s="16" t="n"/>
    </row>
    <row r="276">
      <c r="A276" s="15" t="inlineStr">
        <is>
          <t>kings-north-and-south</t>
        </is>
      </c>
      <c r="B276" s="15" t="n">
        <v>19</v>
      </c>
      <c r="C276" s="15" t="inlineStr">
        <is>
          <t>fulfillment</t>
        </is>
      </c>
      <c r="D276" s="15" t="inlineStr">
        <is>
          <t>Daniel 11:13-19: king of the north Antiochus III / king of the south Ptolemy V</t>
        </is>
      </c>
      <c r="E276" s="15" t="inlineStr">
        <is>
          <t>Rome defeats Antiochus III at Magnesia (190 B.C.E.)</t>
        </is>
      </c>
      <c r="F276" s="15" t="inlineStr">
        <is>
          <t>b4-0108</t>
        </is>
      </c>
      <c r="G276" s="15" t="inlineStr">
        <is>
          <t>Point</t>
        </is>
      </c>
      <c r="H276" s="15" t="inlineStr">
        <is>
          <t>190 B.C.E.</t>
        </is>
      </c>
      <c r="I276" s="15" t="inlineStr">
        <is>
          <t>Antiochus III defeated by Rome at Magnesia</t>
        </is>
      </c>
      <c r="J276" s="15" t="n"/>
      <c r="K276" s="15" t="inlineStr">
        <is>
          <t>Dan. 11:18</t>
        </is>
      </c>
      <c r="L276" s="15" t="n"/>
      <c r="M276" s="16" t="n"/>
    </row>
    <row r="277">
      <c r="A277" s="15" t="inlineStr">
        <is>
          <t>kings-north-and-south</t>
        </is>
      </c>
      <c r="B277" s="15" t="n">
        <v>20</v>
      </c>
      <c r="C277" s="15" t="inlineStr">
        <is>
          <t>fulfillment</t>
        </is>
      </c>
      <c r="D277" s="15" t="inlineStr">
        <is>
          <t>Daniel 11:13-19: king of the north Antiochus III / king of the south Ptolemy V</t>
        </is>
      </c>
      <c r="E277" s="15" t="inlineStr">
        <is>
          <t>Antiochus III “stumbles and falls” (187 B.C.E.)</t>
        </is>
      </c>
      <c r="F277" s="15" t="inlineStr">
        <is>
          <t>b4-0109</t>
        </is>
      </c>
      <c r="G277" s="15" t="inlineStr">
        <is>
          <t>Point</t>
        </is>
      </c>
      <c r="H277" s="15" t="inlineStr">
        <is>
          <t>187 B.C.E.</t>
        </is>
      </c>
      <c r="I277" s="15" t="inlineStr">
        <is>
          <t>Death of Antiochus III</t>
        </is>
      </c>
      <c r="J277" s="15" t="inlineStr">
        <is>
          <t>b4-0032</t>
        </is>
      </c>
      <c r="K277" s="15" t="inlineStr">
        <is>
          <t>Dan. 11:19</t>
        </is>
      </c>
      <c r="L277" s="15" t="n"/>
      <c r="M277" s="16" t="n"/>
    </row>
    <row r="278">
      <c r="A278" s="15" t="inlineStr">
        <is>
          <t>kings-north-and-south</t>
        </is>
      </c>
      <c r="B278" s="15" t="n">
        <v>21</v>
      </c>
      <c r="C278" s="15" t="inlineStr">
        <is>
          <t>context</t>
        </is>
      </c>
      <c r="D278" s="15" t="inlineStr">
        <is>
          <t>Daniel 11:13-19: king of the north Antiochus III / king of the south Ptolemy V</t>
        </is>
      </c>
      <c r="E278" s="15" t="inlineStr">
        <is>
          <t>Antiochus IV bows to Rome’s demands (168 B.C.E.): the Syrian–Egyptian confrontation ends</t>
        </is>
      </c>
      <c r="F278" s="15" t="inlineStr">
        <is>
          <t>b4-0111</t>
        </is>
      </c>
      <c r="G278" s="15" t="inlineStr">
        <is>
          <t>Point</t>
        </is>
      </c>
      <c r="H278" s="15" t="inlineStr">
        <is>
          <t>168 B.C.E.</t>
        </is>
      </c>
      <c r="I278" s="15" t="inlineStr">
        <is>
          <t>Antiochus IV humiliated by Rome; Macedonia defeated</t>
        </is>
      </c>
      <c r="J278" s="15" t="n"/>
      <c r="K278" s="15" t="n"/>
      <c r="L278" s="15" t="n"/>
      <c r="M278" s="16" t="n"/>
    </row>
    <row r="279">
      <c r="A279" s="15" t="inlineStr">
        <is>
          <t>kings-north-and-south</t>
        </is>
      </c>
      <c r="B279" s="15" t="n">
        <v>22</v>
      </c>
      <c r="C279" s="15" t="inlineStr">
        <is>
          <t>context</t>
        </is>
      </c>
      <c r="D279" s="15" t="inlineStr">
        <is>
          <t>Daniel 11:13-19: king of the north Antiochus III / king of the south Ptolemy V</t>
        </is>
      </c>
      <c r="E279" s="15" t="inlineStr">
        <is>
          <t>Antiochus IV dies (163 B.C.E.); later Seleucid kings do not occupy the position of the king of the north</t>
        </is>
      </c>
      <c r="F279" s="15" t="inlineStr">
        <is>
          <t>b4-0114</t>
        </is>
      </c>
      <c r="G279" s="15" t="inlineStr">
        <is>
          <t>Point</t>
        </is>
      </c>
      <c r="H279" s="15" t="inlineStr">
        <is>
          <t>163 B.C.E.</t>
        </is>
      </c>
      <c r="I279" s="15" t="inlineStr">
        <is>
          <t>Death of Antiochus IV</t>
        </is>
      </c>
      <c r="J279" s="15" t="n"/>
      <c r="K279" s="15" t="n"/>
      <c r="L279" s="15" t="n"/>
      <c r="M279" s="16" t="n"/>
    </row>
    <row r="280">
      <c r="A280" s="15" t="inlineStr">
        <is>
          <t>kings-north-and-south</t>
        </is>
      </c>
      <c r="B280" s="15" t="n">
        <v>23</v>
      </c>
      <c r="C280" s="15" t="inlineStr">
        <is>
          <t>context</t>
        </is>
      </c>
      <c r="D280" s="15" t="inlineStr">
        <is>
          <t>Daniel 11:13-19: king of the north Antiochus III / king of the south Ptolemy V</t>
        </is>
      </c>
      <c r="E280" s="15" t="inlineStr">
        <is>
          <t>Actium (31 B.C.E.): Octavian defeats Cleopatra VII and Mark Antony</t>
        </is>
      </c>
      <c r="F280" s="15" t="inlineStr">
        <is>
          <t>b4-0130</t>
        </is>
      </c>
      <c r="G280" s="15" t="inlineStr">
        <is>
          <t>Point</t>
        </is>
      </c>
      <c r="H280" s="15" t="inlineStr">
        <is>
          <t>31 B.C.E. (September)</t>
        </is>
      </c>
      <c r="I280" s="15" t="inlineStr">
        <is>
          <t>Octavian defeats Antony and Cleopatra at Actium</t>
        </is>
      </c>
      <c r="J280" s="15" t="n"/>
      <c r="K280" s="15" t="inlineStr">
        <is>
          <t>Dan. 11:14</t>
        </is>
      </c>
      <c r="L280" s="15" t="n"/>
      <c r="M280" s="16" t="n"/>
    </row>
    <row r="281">
      <c r="A281" s="15" t="inlineStr">
        <is>
          <t>kings-north-and-south</t>
        </is>
      </c>
      <c r="B281" s="15" t="n">
        <v>24</v>
      </c>
      <c r="C281" s="15" t="inlineStr">
        <is>
          <t>fall</t>
        </is>
      </c>
      <c r="D281" s="15" t="inlineStr">
        <is>
          <t>Daniel 11:13-19: king of the north Antiochus III / king of the south Ptolemy V</t>
        </is>
      </c>
      <c r="E281" s="15" t="inlineStr">
        <is>
          <t>Egypt becomes a Roman province and no longer plays the role of the king of the south (30 B.C.E.)</t>
        </is>
      </c>
      <c r="F281" s="15" t="inlineStr">
        <is>
          <t>b4-0131</t>
        </is>
      </c>
      <c r="G281" s="15" t="inlineStr">
        <is>
          <t>Point</t>
        </is>
      </c>
      <c r="H281" s="15" t="inlineStr">
        <is>
          <t>30 B.C.E.</t>
        </is>
      </c>
      <c r="I281" s="15" t="inlineStr">
        <is>
          <t>Ptolemaic Egypt falls to Rome</t>
        </is>
      </c>
      <c r="J281" s="15" t="n"/>
      <c r="K281" s="15" t="n"/>
      <c r="L281" s="15" t="n"/>
      <c r="M281" s="16" t="n"/>
    </row>
    <row r="282">
      <c r="A282" s="15" t="inlineStr">
        <is>
          <t>kings-north-and-south</t>
        </is>
      </c>
      <c r="B282" s="15" t="n">
        <v>25</v>
      </c>
      <c r="C282" s="15" t="inlineStr">
        <is>
          <t>ruler</t>
        </is>
      </c>
      <c r="D282" s="15" t="inlineStr">
        <is>
          <t>Daniel 11:20: king of the north Augustus</t>
        </is>
      </c>
      <c r="E282" s="15" t="inlineStr">
        <is>
          <t>Augustus, king of the north</t>
        </is>
      </c>
      <c r="F282" s="15" t="inlineStr">
        <is>
          <t>b12-0039</t>
        </is>
      </c>
      <c r="G282" s="15" t="inlineStr">
        <is>
          <t>Span</t>
        </is>
      </c>
      <c r="H282" s="15" t="inlineStr">
        <is>
          <t>31 B.C.E.–14 C.E.</t>
        </is>
      </c>
      <c r="I282" s="15" t="inlineStr">
        <is>
          <t>Reign of Augustus (Octavian), Roman emperor</t>
        </is>
      </c>
      <c r="J282" s="15" t="n"/>
      <c r="K282" s="15" t="inlineStr">
        <is>
          <t>Dan. 11:20</t>
        </is>
      </c>
      <c r="L282" s="15" t="n"/>
      <c r="M282" s="16" t="n"/>
    </row>
    <row r="283">
      <c r="A283" s="15" t="inlineStr">
        <is>
          <t>kings-north-and-south</t>
        </is>
      </c>
      <c r="B283" s="15" t="n">
        <v>26</v>
      </c>
      <c r="C283" s="15" t="inlineStr">
        <is>
          <t>fulfillment</t>
        </is>
      </c>
      <c r="D283" s="15" t="inlineStr">
        <is>
          <t>Daniel 11:20: king of the north Augustus</t>
        </is>
      </c>
      <c r="E283" s="15" t="inlineStr">
        <is>
          <t>Augustus causes “an exactor to pass through the splendid kingdom” (2 B.C.E.)</t>
        </is>
      </c>
      <c r="F283" s="15" t="inlineStr">
        <is>
          <t>b14-0001</t>
        </is>
      </c>
      <c r="G283" s="15" t="inlineStr">
        <is>
          <t>Point</t>
        </is>
      </c>
      <c r="H283" s="15" t="inlineStr">
        <is>
          <t>2 B.C.E.</t>
        </is>
      </c>
      <c r="I283" s="15" t="inlineStr">
        <is>
          <t>Augustus sends out “an exactor” by ordering a registration</t>
        </is>
      </c>
      <c r="J283" s="15" t="inlineStr">
        <is>
          <t>b4-0032</t>
        </is>
      </c>
      <c r="K283" s="15" t="inlineStr">
        <is>
          <t>Dan. 11:20</t>
        </is>
      </c>
      <c r="L283" s="15" t="n"/>
      <c r="M283" s="16" t="n"/>
    </row>
    <row r="284">
      <c r="A284" s="15" t="inlineStr">
        <is>
          <t>kings-north-and-south</t>
        </is>
      </c>
      <c r="B284" s="15" t="n">
        <v>27</v>
      </c>
      <c r="C284" s="15" t="inlineStr">
        <is>
          <t>ruler</t>
        </is>
      </c>
      <c r="D284" s="15" t="inlineStr">
        <is>
          <t>Daniel 11:21-24: king of the north Tiberius</t>
        </is>
      </c>
      <c r="E284" s="15" t="inlineStr">
        <is>
          <t>Tiberius, “one who is to be despised”</t>
        </is>
      </c>
      <c r="F284" s="15" t="inlineStr">
        <is>
          <t>b12-0042</t>
        </is>
      </c>
      <c r="G284" s="15" t="inlineStr">
        <is>
          <t>Span</t>
        </is>
      </c>
      <c r="H284" s="15" t="inlineStr">
        <is>
          <t>14-37 C.E.</t>
        </is>
      </c>
      <c r="I284" s="15" t="inlineStr">
        <is>
          <t>Reign of Tiberius, Roman emperor</t>
        </is>
      </c>
      <c r="J284" s="15" t="n"/>
      <c r="K284" s="15" t="inlineStr">
        <is>
          <t>Dan. 11:21</t>
        </is>
      </c>
      <c r="L284" s="15" t="n"/>
      <c r="M284" s="16" t="n"/>
    </row>
    <row r="285">
      <c r="A285" s="15" t="inlineStr">
        <is>
          <t>kings-north-and-south</t>
        </is>
      </c>
      <c r="B285" s="15" t="n">
        <v>28</v>
      </c>
      <c r="C285" s="15" t="inlineStr">
        <is>
          <t>fulfillment</t>
        </is>
      </c>
      <c r="D285" s="15" t="inlineStr">
        <is>
          <t>Daniel 11:21-24: king of the north Tiberius</t>
        </is>
      </c>
      <c r="E285" s="15" t="inlineStr">
        <is>
          <t>“The Leader of the covenant” is broken (Nisan 14, 33 C.E.)</t>
        </is>
      </c>
      <c r="F285" s="15" t="inlineStr">
        <is>
          <t>b5-0163</t>
        </is>
      </c>
      <c r="G285" s="15" t="inlineStr">
        <is>
          <t>Point</t>
        </is>
      </c>
      <c r="H285" s="15" t="inlineStr">
        <is>
          <t>33 C.E., Nisan 14 (c. 3:00 p.m., Friday)</t>
        </is>
      </c>
      <c r="I285" s="15" t="inlineStr">
        <is>
          <t>Dies on torture stake</t>
        </is>
      </c>
      <c r="J285" s="15" t="inlineStr">
        <is>
          <t>b4-0032</t>
        </is>
      </c>
      <c r="K285" s="15" t="inlineStr">
        <is>
          <t>Dan. 11:22</t>
        </is>
      </c>
      <c r="L285" s="15" t="n"/>
      <c r="M285" s="16" t="n"/>
    </row>
    <row r="286">
      <c r="A286" s="15" t="inlineStr">
        <is>
          <t>kings-north-and-south</t>
        </is>
      </c>
      <c r="B286" s="15" t="n">
        <v>29</v>
      </c>
      <c r="C286" s="15" t="inlineStr">
        <is>
          <t>item</t>
        </is>
      </c>
      <c r="D286" s="15" t="inlineStr">
        <is>
          <t>King of the south: Britain (1870–1917)</t>
        </is>
      </c>
      <c r="E286" s="15" t="inlineStr">
        <is>
          <t>Britain, king of the south from 1870</t>
        </is>
      </c>
      <c r="F286" s="15" t="inlineStr">
        <is>
          <t>b14-0002</t>
        </is>
      </c>
      <c r="G286" s="15" t="inlineStr">
        <is>
          <t>Span</t>
        </is>
      </c>
      <c r="H286" s="15" t="inlineStr">
        <is>
          <t>1870–1917</t>
        </is>
      </c>
      <c r="I286" s="15" t="inlineStr">
        <is>
          <t>Britain as “the king of the south”</t>
        </is>
      </c>
      <c r="J286" s="15" t="inlineStr">
        <is>
          <t>b4-0032</t>
        </is>
      </c>
      <c r="K286" s="15" t="inlineStr">
        <is>
          <t>Dan. 7:7, 8</t>
        </is>
      </c>
      <c r="L286" s="15" t="n"/>
      <c r="M286" s="16" t="n"/>
    </row>
    <row r="287">
      <c r="A287" s="15" t="inlineStr">
        <is>
          <t>kings-north-and-south</t>
        </is>
      </c>
      <c r="B287" s="15" t="n">
        <v>30</v>
      </c>
      <c r="C287" s="15" t="inlineStr">
        <is>
          <t>rise</t>
        </is>
      </c>
      <c r="D287" s="15" t="inlineStr">
        <is>
          <t>King of the north: Germany (1871–1945)</t>
        </is>
      </c>
      <c r="E287" s="15" t="inlineStr">
        <is>
          <t>1871: the king of the north reappears as the German Empire</t>
        </is>
      </c>
      <c r="F287" s="15" t="inlineStr">
        <is>
          <t>b14-0003</t>
        </is>
      </c>
      <c r="G287" s="15" t="inlineStr">
        <is>
          <t>Point</t>
        </is>
      </c>
      <c r="H287" s="15" t="inlineStr">
        <is>
          <t>1871</t>
        </is>
      </c>
      <c r="I287" s="15" t="inlineStr">
        <is>
          <t>German Empire established; “the king of the north” reappears</t>
        </is>
      </c>
      <c r="J287" s="15" t="n"/>
      <c r="K287" s="15" t="inlineStr">
        <is>
          <t>Dan. 11:25</t>
        </is>
      </c>
      <c r="L287" s="15" t="n"/>
      <c r="M287" s="16" t="n"/>
    </row>
    <row r="288">
      <c r="A288" s="15" t="inlineStr">
        <is>
          <t>kings-north-and-south</t>
        </is>
      </c>
      <c r="B288" s="15" t="n">
        <v>31</v>
      </c>
      <c r="C288" s="15" t="inlineStr">
        <is>
          <t>item</t>
        </is>
      </c>
      <c r="D288" s="15" t="inlineStr">
        <is>
          <t>King of the north: Germany (1871–1945)</t>
        </is>
      </c>
      <c r="E288" s="15" t="inlineStr">
        <is>
          <t>Germany, king of the north until 1945</t>
        </is>
      </c>
      <c r="F288" s="15" t="inlineStr">
        <is>
          <t>b14-0004</t>
        </is>
      </c>
      <c r="G288" s="15" t="inlineStr">
        <is>
          <t>Span</t>
        </is>
      </c>
      <c r="H288" s="15" t="inlineStr">
        <is>
          <t>1871–1945</t>
        </is>
      </c>
      <c r="I288" s="15" t="inlineStr">
        <is>
          <t>Germany as “the king of the north”</t>
        </is>
      </c>
      <c r="J288" s="15" t="inlineStr">
        <is>
          <t>b4-0032</t>
        </is>
      </c>
      <c r="K288" s="15" t="inlineStr">
        <is>
          <t>Dan. 11:25-31</t>
        </is>
      </c>
      <c r="L288" s="15" t="n"/>
      <c r="M288" s="16" t="n"/>
    </row>
    <row r="289">
      <c r="A289" s="15" t="inlineStr">
        <is>
          <t>kings-north-and-south</t>
        </is>
      </c>
      <c r="B289" s="15" t="n">
        <v>32</v>
      </c>
      <c r="C289" s="15" t="inlineStr">
        <is>
          <t>fulfillment</t>
        </is>
      </c>
      <c r="D289" s="15" t="inlineStr">
        <is>
          <t>King of the north: Germany (1871–1945)</t>
        </is>
      </c>
      <c r="E289" s="15" t="inlineStr">
        <is>
          <t>World War I: the German army is “swept away”; the king of the north is defeated</t>
        </is>
      </c>
      <c r="F289" s="15" t="inlineStr">
        <is>
          <t>b12-0068</t>
        </is>
      </c>
      <c r="G289" s="15" t="inlineStr">
        <is>
          <t>Span</t>
        </is>
      </c>
      <c r="H289" s="15" t="inlineStr">
        <is>
          <t>1914-1918</t>
        </is>
      </c>
      <c r="I289" s="15" t="inlineStr">
        <is>
          <t>World War I</t>
        </is>
      </c>
      <c r="J289" s="15" t="n"/>
      <c r="K289" s="15" t="inlineStr">
        <is>
          <t>Dan. 11:25, 26; Dan. 11:29, 30</t>
        </is>
      </c>
      <c r="L289" s="15" t="n"/>
      <c r="M289" s="16" t="n"/>
    </row>
    <row r="290">
      <c r="A290" s="15" t="inlineStr">
        <is>
          <t>kings-north-and-south</t>
        </is>
      </c>
      <c r="B290" s="15" t="n">
        <v>33</v>
      </c>
      <c r="C290" s="15" t="inlineStr">
        <is>
          <t>item</t>
        </is>
      </c>
      <c r="D290" s="15" t="inlineStr">
        <is>
          <t>King of the south: the Anglo-American World Power (World War I onward)</t>
        </is>
      </c>
      <c r="E290" s="15" t="inlineStr">
        <is>
          <t>The Anglo-American World Power, king of the south throughout the last days</t>
        </is>
      </c>
      <c r="F290" s="15" t="inlineStr">
        <is>
          <t>b12-0066</t>
        </is>
      </c>
      <c r="G290" s="15" t="inlineStr">
        <is>
          <t>Span</t>
        </is>
      </c>
      <c r="H290" s="15" t="inlineStr">
        <is>
          <t>1914-1918 C.E.–</t>
        </is>
      </c>
      <c r="I290" s="15" t="inlineStr">
        <is>
          <t>Anglo-American dual world power, seventh world power</t>
        </is>
      </c>
      <c r="J290" s="15" t="inlineStr">
        <is>
          <t>b4-0032</t>
        </is>
      </c>
      <c r="K290" s="15" t="inlineStr">
        <is>
          <t>Dan. 11:25; Dan. 11:40</t>
        </is>
      </c>
      <c r="L290" s="15" t="inlineStr">
        <is>
          <t>The 2020 chart dates the change from Britain to the Anglo-American World Power to 1917.</t>
        </is>
      </c>
      <c r="M290" s="16" t="n"/>
    </row>
    <row r="291">
      <c r="A291" s="15" t="inlineStr">
        <is>
          <t>kings-north-and-south</t>
        </is>
      </c>
      <c r="B291" s="15" t="n">
        <v>34</v>
      </c>
      <c r="C291" s="15" t="inlineStr">
        <is>
          <t>fulfillment</t>
        </is>
      </c>
      <c r="D291" s="15" t="inlineStr">
        <is>
          <t>King of the north: Germany (1871–1945)</t>
        </is>
      </c>
      <c r="E291" s="15" t="inlineStr">
        <is>
          <t>Nazi Germany bans God’s people: it “profanes the sanctuary” and “removes the constant feature”</t>
        </is>
      </c>
      <c r="F291" s="15" t="inlineStr">
        <is>
          <t>b12-0080</t>
        </is>
      </c>
      <c r="G291" s="15" t="inlineStr">
        <is>
          <t>Span</t>
        </is>
      </c>
      <c r="H291" s="15" t="inlineStr">
        <is>
          <t>1933–1945</t>
        </is>
      </c>
      <c r="I291" s="15" t="inlineStr">
        <is>
          <t>Ban and persecution of Jehovah’s Witnesses in Nazi Germany</t>
        </is>
      </c>
      <c r="J291" s="15" t="n"/>
      <c r="K291" s="15" t="inlineStr">
        <is>
          <t>Dan. 11:30, 31</t>
        </is>
      </c>
      <c r="L291" s="15" t="n"/>
      <c r="M291" s="16" t="n"/>
    </row>
    <row r="292">
      <c r="A292" s="15" t="inlineStr">
        <is>
          <t>kings-north-and-south</t>
        </is>
      </c>
      <c r="B292" s="15" t="n">
        <v>35</v>
      </c>
      <c r="C292" s="15" t="inlineStr">
        <is>
          <t>step</t>
        </is>
      </c>
      <c r="D292" s="15" t="inlineStr">
        <is>
          <t>“The disgusting thing that causes desolation” (Dan. 11:31): the United Nations</t>
        </is>
      </c>
      <c r="E292" s="15" t="inlineStr">
        <is>
          <t>The League of Nations (1920), first form of the “disgusting thing”</t>
        </is>
      </c>
      <c r="F292" s="15" t="inlineStr">
        <is>
          <t>b14-0006</t>
        </is>
      </c>
      <c r="G292" s="15" t="inlineStr">
        <is>
          <t>Point</t>
        </is>
      </c>
      <c r="H292" s="15" t="inlineStr">
        <is>
          <t>January 10, 1920</t>
        </is>
      </c>
      <c r="I292" s="15" t="inlineStr">
        <is>
          <t>League of Nations comes into existence (“the wild beast . . . was”)</t>
        </is>
      </c>
      <c r="J292" s="15" t="n"/>
      <c r="K292" s="15" t="inlineStr">
        <is>
          <t>Dan. 11:31</t>
        </is>
      </c>
      <c r="L292" s="15" t="n"/>
      <c r="M292" s="16" t="n"/>
    </row>
    <row r="293">
      <c r="A293" s="15" t="inlineStr">
        <is>
          <t>kings-north-and-south</t>
        </is>
      </c>
      <c r="B293" s="15" t="n">
        <v>36</v>
      </c>
      <c r="C293" s="15" t="inlineStr">
        <is>
          <t>fulfillment</t>
        </is>
      </c>
      <c r="D293" s="15" t="inlineStr">
        <is>
          <t>“The disgusting thing that causes desolation” (Dan. 11:31): the United Nations</t>
        </is>
      </c>
      <c r="E293" s="15" t="inlineStr">
        <is>
          <t>The kings “put in place the disgusting thing that causes desolation”: the United Nations (1945)</t>
        </is>
      </c>
      <c r="F293" s="15" t="inlineStr">
        <is>
          <t>b14-0009</t>
        </is>
      </c>
      <c r="G293" s="15" t="inlineStr">
        <is>
          <t>Point</t>
        </is>
      </c>
      <c r="H293" s="15" t="inlineStr">
        <is>
          <t>June 26, 1945</t>
        </is>
      </c>
      <c r="I293" s="15" t="inlineStr">
        <is>
          <t>United Nations Charter accepted: the scarlet-colored wild beast ascends out of the abyss</t>
        </is>
      </c>
      <c r="J293" s="15" t="n"/>
      <c r="K293" s="15" t="inlineStr">
        <is>
          <t>Dan. 11:31</t>
        </is>
      </c>
      <c r="L293" s="15" t="n"/>
      <c r="M293" s="16" t="n"/>
    </row>
    <row r="294">
      <c r="A294" s="15" t="inlineStr">
        <is>
          <t>kings-north-and-south</t>
        </is>
      </c>
      <c r="B294" s="15" t="n">
        <v>37</v>
      </c>
      <c r="C294" s="15" t="inlineStr">
        <is>
          <t>item</t>
        </is>
      </c>
      <c r="D294" s="15" t="inlineStr">
        <is>
          <t>“The disgusting thing that causes desolation” (Dan. 11:31): the United Nations</t>
        </is>
      </c>
      <c r="E294" s="15" t="inlineStr">
        <is>
          <t>The United Nations</t>
        </is>
      </c>
      <c r="F294" s="15" t="inlineStr">
        <is>
          <t>b14-0010</t>
        </is>
      </c>
      <c r="G294" s="15" t="inlineStr">
        <is>
          <t>Span</t>
        </is>
      </c>
      <c r="H294" s="15" t="inlineStr">
        <is>
          <t>June 26, 1945–</t>
        </is>
      </c>
      <c r="I294" s="15" t="inlineStr">
        <is>
          <t>The United Nations (the image of the wild beast, “an eighth king”)</t>
        </is>
      </c>
      <c r="J294" s="15" t="inlineStr">
        <is>
          <t>b4-0032</t>
        </is>
      </c>
      <c r="K294" s="15" t="inlineStr">
        <is>
          <t>Dan. 11:31</t>
        </is>
      </c>
      <c r="L294" s="15" t="n"/>
      <c r="M294" s="16" t="n"/>
    </row>
    <row r="295">
      <c r="A295" s="15" t="inlineStr">
        <is>
          <t>kings-north-and-south</t>
        </is>
      </c>
      <c r="B295" s="15" t="n">
        <v>38</v>
      </c>
      <c r="C295" s="15" t="inlineStr">
        <is>
          <t>rise</t>
        </is>
      </c>
      <c r="D295" s="15" t="inlineStr">
        <is>
          <t>King of the north: the Soviet Union and its allies (1945–1991)</t>
        </is>
      </c>
      <c r="E295" s="15" t="inlineStr">
        <is>
          <t>1945: the Soviet Union and its allies become the king of the north</t>
        </is>
      </c>
      <c r="F295" s="15" t="inlineStr">
        <is>
          <t>b14-0011</t>
        </is>
      </c>
      <c r="G295" s="15" t="inlineStr">
        <is>
          <t>Point</t>
        </is>
      </c>
      <c r="H295" s="15" t="inlineStr">
        <is>
          <t>1945</t>
        </is>
      </c>
      <c r="I295" s="15" t="inlineStr">
        <is>
          <t>The Soviet Union and its allies become “the king of the north”</t>
        </is>
      </c>
      <c r="J295" s="15" t="n"/>
      <c r="K295" s="15" t="n"/>
      <c r="L295" s="15" t="n"/>
      <c r="M295" s="16" t="n"/>
    </row>
    <row r="296">
      <c r="A296" s="15" t="inlineStr">
        <is>
          <t>kings-north-and-south</t>
        </is>
      </c>
      <c r="B296" s="15" t="n">
        <v>39</v>
      </c>
      <c r="C296" s="15" t="inlineStr">
        <is>
          <t>item</t>
        </is>
      </c>
      <c r="D296" s="15" t="inlineStr">
        <is>
          <t>King of the north: the Soviet Union and its allies (1945–1991)</t>
        </is>
      </c>
      <c r="E296" s="15" t="inlineStr">
        <is>
          <t>The Soviet Union and its allies, king of the north until 1991</t>
        </is>
      </c>
      <c r="F296" s="15" t="inlineStr">
        <is>
          <t>b14-0012</t>
        </is>
      </c>
      <c r="G296" s="15" t="inlineStr">
        <is>
          <t>Span</t>
        </is>
      </c>
      <c r="H296" s="15" t="inlineStr">
        <is>
          <t>1945–1991</t>
        </is>
      </c>
      <c r="I296" s="15" t="inlineStr">
        <is>
          <t>The Soviet Union and its allies as “the king of the north”</t>
        </is>
      </c>
      <c r="J296" s="15" t="inlineStr">
        <is>
          <t>b4-0032</t>
        </is>
      </c>
      <c r="K296" s="15" t="inlineStr">
        <is>
          <t>Dan. 11:37-39</t>
        </is>
      </c>
      <c r="L296" s="15" t="n"/>
      <c r="M296" s="16" t="n"/>
    </row>
    <row r="297">
      <c r="A297" s="15" t="inlineStr">
        <is>
          <t>kings-north-and-south</t>
        </is>
      </c>
      <c r="B297" s="15" t="n">
        <v>40</v>
      </c>
      <c r="C297" s="15" t="inlineStr">
        <is>
          <t>fall</t>
        </is>
      </c>
      <c r="D297" s="15" t="inlineStr">
        <is>
          <t>King of the north: the Soviet Union and its allies (1945–1991)</t>
        </is>
      </c>
      <c r="E297" s="15" t="inlineStr">
        <is>
          <t>1991: the Soviet Union collapses; God’s people enjoy “a little help”</t>
        </is>
      </c>
      <c r="F297" s="15" t="inlineStr">
        <is>
          <t>b14-0013</t>
        </is>
      </c>
      <c r="G297" s="15" t="inlineStr">
        <is>
          <t>Point</t>
        </is>
      </c>
      <c r="H297" s="15" t="inlineStr">
        <is>
          <t>1991</t>
        </is>
      </c>
      <c r="I297" s="15" t="inlineStr">
        <is>
          <t>The Soviet Union collapses; God’s people there enjoy “a little help”</t>
        </is>
      </c>
      <c r="J297" s="15" t="inlineStr">
        <is>
          <t>b4-0032</t>
        </is>
      </c>
      <c r="K297" s="15" t="inlineStr">
        <is>
          <t>Dan. 11:34</t>
        </is>
      </c>
      <c r="L297" s="15" t="n"/>
      <c r="M297" s="16" t="n"/>
    </row>
    <row r="298">
      <c r="A298" s="15" t="inlineStr">
        <is>
          <t>kings-north-and-south</t>
        </is>
      </c>
      <c r="B298" s="15" t="n">
        <v>41</v>
      </c>
      <c r="C298" s="15" t="inlineStr">
        <is>
          <t>context</t>
        </is>
      </c>
      <c r="D298" s="15" t="inlineStr">
        <is>
          <t>King of the north: the Soviet Union and its allies (1945–1991)</t>
        </is>
      </c>
      <c r="E298" s="15" t="inlineStr">
        <is>
          <t>Witnesses registered in the Soviet Union (1991)</t>
        </is>
      </c>
      <c r="F298" s="15" t="inlineStr">
        <is>
          <t>b9-0178</t>
        </is>
      </c>
      <c r="G298" s="15" t="inlineStr">
        <is>
          <t>Point</t>
        </is>
      </c>
      <c r="H298" s="15" t="inlineStr">
        <is>
          <t>1991</t>
        </is>
      </c>
      <c r="I298" s="15" t="inlineStr">
        <is>
          <t>Witnesses registered in the Soviet Union</t>
        </is>
      </c>
      <c r="J298" s="15" t="n"/>
      <c r="K298" s="15" t="inlineStr">
        <is>
          <t>Dan. 11:34</t>
        </is>
      </c>
      <c r="L298" s="15" t="inlineStr">
        <is>
          <t>w20.05 Study Article 19, ftn. f: Christians under the king of the north experienced some relief when the Soviet Union collapsed in 1991.</t>
        </is>
      </c>
      <c r="M298" s="16" t="n"/>
    </row>
    <row r="299">
      <c r="A299" s="15" t="inlineStr">
        <is>
          <t>kings-north-and-south</t>
        </is>
      </c>
      <c r="B299" s="15" t="n">
        <v>42</v>
      </c>
      <c r="C299" s="15" t="inlineStr">
        <is>
          <t>item</t>
        </is>
      </c>
      <c r="D299" s="15" t="inlineStr">
        <is>
          <t>King of the north: Russia and its allies (after 1991–)</t>
        </is>
      </c>
      <c r="E299" s="15" t="inlineStr">
        <is>
          <t>Russia and its allies, king of the north</t>
        </is>
      </c>
      <c r="F299" s="15" t="inlineStr">
        <is>
          <t>b14-0014</t>
        </is>
      </c>
      <c r="G299" s="15" t="inlineStr">
        <is>
          <t>Span</t>
        </is>
      </c>
      <c r="H299" s="15" t="inlineStr">
        <is>
          <t>a. 1991–</t>
        </is>
      </c>
      <c r="I299" s="15" t="inlineStr">
        <is>
          <t>Russia and its allies as “the king of the north”</t>
        </is>
      </c>
      <c r="J299" s="15" t="inlineStr">
        <is>
          <t>b4-0032</t>
        </is>
      </c>
      <c r="K299" s="15" t="inlineStr">
        <is>
          <t>Dan. 11:40-45</t>
        </is>
      </c>
      <c r="L299" s="15" t="n"/>
      <c r="M299" s="16" t="n"/>
    </row>
    <row r="300">
      <c r="A300" s="15" t="inlineStr">
        <is>
          <t>kings-north-and-south</t>
        </is>
      </c>
      <c r="B300" s="15" t="n">
        <v>43</v>
      </c>
      <c r="C300" s="15" t="inlineStr">
        <is>
          <t>fulfillment</t>
        </is>
      </c>
      <c r="D300" s="15" t="inlineStr">
        <is>
          <t>King of the north: Russia and its allies (after 1991–)</t>
        </is>
      </c>
      <c r="E300" s="15" t="inlineStr">
        <is>
          <t>2017: the king of the north enters “the land of the Decoration” by banning the work of Jehovah’s people</t>
        </is>
      </c>
      <c r="F300" s="15" t="inlineStr">
        <is>
          <t>b9-0363</t>
        </is>
      </c>
      <c r="G300" s="15" t="inlineStr">
        <is>
          <t>Point</t>
        </is>
      </c>
      <c r="H300" s="15" t="inlineStr">
        <is>
          <t>2017, April 20</t>
        </is>
      </c>
      <c r="I300" s="15" t="inlineStr">
        <is>
          <t>Russia’s Supreme Court bans Jehovah’s Witnesses</t>
        </is>
      </c>
      <c r="J300" s="15" t="inlineStr">
        <is>
          <t>b4-0032</t>
        </is>
      </c>
      <c r="K300" s="15" t="inlineStr">
        <is>
          <t>Dan. 11:41</t>
        </is>
      </c>
      <c r="L300" s="15" t="n"/>
      <c r="M300" s="16" t="n"/>
    </row>
    <row r="301">
      <c r="A301" s="15" t="inlineStr">
        <is>
          <t>kings-north-and-south</t>
        </is>
      </c>
      <c r="B301" s="15" t="n">
        <v>44</v>
      </c>
      <c r="C301" s="15" t="inlineStr">
        <is>
          <t>step</t>
        </is>
      </c>
      <c r="D301" s="15" t="inlineStr">
        <is>
          <t>King of the north: Russia and its allies (after 1991–)</t>
        </is>
      </c>
      <c r="E301" s="15" t="inlineStr">
        <is>
          <t>2018: the Governing Body identifies Russia and its allies as the king of the north</t>
        </is>
      </c>
      <c r="F301" s="15" t="inlineStr">
        <is>
          <t>b14-0015</t>
        </is>
      </c>
      <c r="G301" s="15" t="inlineStr">
        <is>
          <t>Point</t>
        </is>
      </c>
      <c r="H301" s="15" t="inlineStr">
        <is>
          <t>2018</t>
        </is>
      </c>
      <c r="I301" s="15" t="inlineStr">
        <is>
          <t>Governing Body identifies Russia and its allies as “the king of the north”</t>
        </is>
      </c>
      <c r="J301" s="15" t="n"/>
      <c r="K301" s="15" t="n"/>
      <c r="L301" s="15" t="n"/>
      <c r="M301" s="16" t="n"/>
    </row>
    <row r="302">
      <c r="A302" s="15" t="inlineStr">
        <is>
          <t>kings-north-and-south</t>
        </is>
      </c>
      <c r="B302" s="15" t="n">
        <v>45</v>
      </c>
      <c r="C302" s="15" t="inlineStr">
        <is>
          <t>context</t>
        </is>
      </c>
      <c r="D302" s="15" t="inlineStr">
        <is>
          <t>King of the north: Russia and its allies (after 1991–)</t>
        </is>
      </c>
      <c r="E302" s="15" t="inlineStr">
        <is>
          <t>2020: understanding of the kings of the north and south clarified</t>
        </is>
      </c>
      <c r="F302" s="15" t="inlineStr">
        <is>
          <t>b9-0385</t>
        </is>
      </c>
      <c r="G302" s="15" t="inlineStr">
        <is>
          <t>Point</t>
        </is>
      </c>
      <c r="H302" s="15" t="inlineStr">
        <is>
          <t>2020</t>
        </is>
      </c>
      <c r="I302" s="15" t="inlineStr">
        <is>
          <t>Understanding clarified: kings of north and south (Dan. 11, 12)</t>
        </is>
      </c>
      <c r="J302" s="15" t="n"/>
      <c r="K302" s="15" t="inlineStr">
        <is>
          <t>Dan. 11; Dan. 12</t>
        </is>
      </c>
      <c r="L302" s="15" t="n"/>
      <c r="M302" s="16" t="n"/>
    </row>
    <row r="303">
      <c r="A303" s="15" t="inlineStr">
        <is>
          <t>kings-north-and-south</t>
        </is>
      </c>
      <c r="B303" s="15" t="n">
        <v>46</v>
      </c>
      <c r="C303" s="15" t="inlineStr">
        <is>
          <t>future fulfillment</t>
        </is>
      </c>
      <c r="D303" s="15" t="inlineStr">
        <is>
          <t>The end of the king of the north (Dan. 11:44–12:1)</t>
        </is>
      </c>
      <c r="E303" s="15" t="inlineStr">
        <is>
          <t>The king of the north, with the rest of the nations (Gog of Magog), makes a final attack on God’s people</t>
        </is>
      </c>
      <c r="F303" s="15" t="inlineStr">
        <is>
          <t>b10-0015</t>
        </is>
      </c>
      <c r="G303" s="15" t="inlineStr">
        <is>
          <t>Point</t>
        </is>
      </c>
      <c r="H303" s="15" t="inlineStr">
        <is>
          <t>Future (undated)</t>
        </is>
      </c>
      <c r="I303" s="15" t="inlineStr">
        <is>
          <t>Attack by Gog of Magog on God's people</t>
        </is>
      </c>
      <c r="J303" s="15" t="inlineStr">
        <is>
          <t>b4-0032</t>
        </is>
      </c>
      <c r="K303" s="15" t="inlineStr">
        <is>
          <t>Dan. 11:44, 45; Ezek. 38:10-23</t>
        </is>
      </c>
      <c r="L303" s="15" t="n"/>
      <c r="M303" s="16" t="n"/>
    </row>
    <row r="304">
      <c r="A304" s="15" t="inlineStr">
        <is>
          <t>kings-north-and-south</t>
        </is>
      </c>
      <c r="B304" s="15" t="n">
        <v>47</v>
      </c>
      <c r="C304" s="15" t="inlineStr">
        <is>
          <t>future fulfillment</t>
        </is>
      </c>
      <c r="D304" s="15" t="inlineStr">
        <is>
          <t>The end of the king of the north (Dan. 11:44–12:1)</t>
        </is>
      </c>
      <c r="E304" s="15" t="inlineStr">
        <is>
          <t>Armageddon: the king of the north “comes all the way to his end”; Michael “stands up”</t>
        </is>
      </c>
      <c r="F304" s="15" t="inlineStr">
        <is>
          <t>b10-0017</t>
        </is>
      </c>
      <c r="G304" s="15" t="inlineStr">
        <is>
          <t>Point</t>
        </is>
      </c>
      <c r="H304" s="15" t="inlineStr">
        <is>
          <t>Future (undated)</t>
        </is>
      </c>
      <c r="I304" s="15" t="inlineStr">
        <is>
          <t>War of Armageddon: the finale of the great tribulation</t>
        </is>
      </c>
      <c r="J304" s="15" t="inlineStr">
        <is>
          <t>b4-0032</t>
        </is>
      </c>
      <c r="K304" s="15" t="inlineStr">
        <is>
          <t>Dan. 11:45; Dan. 12:1; Rev. 16:14, 16</t>
        </is>
      </c>
      <c r="L304" s="15" t="n"/>
      <c r="M304" s="16" t="n"/>
    </row>
    <row r="305">
      <c r="A305" s="15" t="inlineStr">
        <is>
          <t>last-days-sign</t>
        </is>
      </c>
      <c r="B305" s="15" t="n">
        <v>1</v>
      </c>
      <c r="C305" s="15" t="inlineStr">
        <is>
          <t>start</t>
        </is>
      </c>
      <c r="D305" s="15" t="n"/>
      <c r="E305" s="15" t="inlineStr">
        <is>
          <t>The last days began in 1914, the year World War I began</t>
        </is>
      </c>
      <c r="F305" s="15" t="inlineStr">
        <is>
          <t>b12-0069</t>
        </is>
      </c>
      <c r="G305" s="15" t="inlineStr">
        <is>
          <t>Span</t>
        </is>
      </c>
      <c r="H305" s="15" t="inlineStr">
        <is>
          <t>1914–</t>
        </is>
      </c>
      <c r="I305" s="15" t="inlineStr">
        <is>
          <t>The last days (time of the end)</t>
        </is>
      </c>
      <c r="J305" s="15" t="n"/>
      <c r="K305" s="15" t="inlineStr">
        <is>
          <t>2 Tim. 3:1</t>
        </is>
      </c>
      <c r="L305" s="15" t="inlineStr">
        <is>
          <t>jw.org “What Is the Sign of ‘the Last Days,’ or ‘End Times’?”: “World conditions as well as Bible chronology indicate that the last days began in 1914, the year World War I began.”</t>
        </is>
      </c>
      <c r="M305" s="16" t="n"/>
    </row>
    <row r="306">
      <c r="A306" s="15" t="inlineStr">
        <is>
          <t>last-days-sign</t>
        </is>
      </c>
      <c r="B306" s="15" t="n">
        <v>2</v>
      </c>
      <c r="C306" s="15" t="inlineStr">
        <is>
          <t>start</t>
        </is>
      </c>
      <c r="D306" s="15" t="n"/>
      <c r="E306" s="15" t="inlineStr">
        <is>
          <t>World War I thrust mankind into the last days of this system of things</t>
        </is>
      </c>
      <c r="F306" s="15" t="inlineStr">
        <is>
          <t>b10-0003</t>
        </is>
      </c>
      <c r="G306" s="15" t="inlineStr">
        <is>
          <t>Point</t>
        </is>
      </c>
      <c r="H306" s="15" t="inlineStr">
        <is>
          <t>1914</t>
        </is>
      </c>
      <c r="I306" s="15" t="inlineStr">
        <is>
          <t>Last days begin; World War I breaks out and Satan's 'woe' comes upon the earth</t>
        </is>
      </c>
      <c r="J306" s="15" t="n"/>
      <c r="K306" s="15" t="inlineStr">
        <is>
          <t>Rev. 12:12</t>
        </is>
      </c>
      <c r="L306" s="15" t="n"/>
      <c r="M306" s="16" t="n"/>
    </row>
    <row r="307">
      <c r="A307" s="15" t="inlineStr">
        <is>
          <t>last-days-sign</t>
        </is>
      </c>
      <c r="B307" s="15" t="n">
        <v>3</v>
      </c>
      <c r="C307" s="15" t="inlineStr">
        <is>
          <t>prophecy</t>
        </is>
      </c>
      <c r="D307" s="15" t="inlineStr">
        <is>
          <t>The rider of the white horse: the heavenly King</t>
        </is>
      </c>
      <c r="E307" s="15" t="inlineStr">
        <is>
          <t>The white horse, whose rider is a heavenly king</t>
        </is>
      </c>
      <c r="F307" s="15" t="inlineStr">
        <is>
          <t>b11-0067</t>
        </is>
      </c>
      <c r="G307" s="15" t="inlineStr">
        <is>
          <t>Point</t>
        </is>
      </c>
      <c r="H307" s="15" t="inlineStr">
        <is>
          <t>c. 96 C.E.</t>
        </is>
      </c>
      <c r="I307" s="15" t="inlineStr">
        <is>
          <t>Writing of Revelation completed</t>
        </is>
      </c>
      <c r="J307" s="15" t="inlineStr">
        <is>
          <t>b10-0002</t>
        </is>
      </c>
      <c r="K307" s="15" t="inlineStr">
        <is>
          <t>Rev. 6:2</t>
        </is>
      </c>
      <c r="L307" s="15" t="inlineStr">
        <is>
          <t>Revelation is dated only as a book; anchored to its writing completed record (c. 96 C.E.).</t>
        </is>
      </c>
      <c r="M307" s="16" t="n"/>
    </row>
    <row r="308">
      <c r="A308" s="15" t="inlineStr">
        <is>
          <t>last-days-sign</t>
        </is>
      </c>
      <c r="B308" s="15" t="n">
        <v>4</v>
      </c>
      <c r="C308" s="15" t="inlineStr">
        <is>
          <t>fulfillment</t>
        </is>
      </c>
      <c r="D308" s="15" t="inlineStr">
        <is>
          <t>The rider of the white horse: the heavenly King</t>
        </is>
      </c>
      <c r="E308" s="15" t="inlineStr">
        <is>
          <t>God’s Kingdom was established in the heavens in 1914; the King’s first task is to rid the heavens of Satan and his demons</t>
        </is>
      </c>
      <c r="F308" s="15" t="inlineStr">
        <is>
          <t>b10-0002</t>
        </is>
      </c>
      <c r="G308" s="15" t="inlineStr">
        <is>
          <t>Point</t>
        </is>
      </c>
      <c r="H308" s="15" t="inlineStr">
        <is>
          <t>1914</t>
        </is>
      </c>
      <c r="I308" s="15" t="inlineStr">
        <is>
          <t>God's Kingdom born in heaven; Christ begins ruling as King</t>
        </is>
      </c>
      <c r="J308" s="15" t="inlineStr">
        <is>
          <t>b11-0067</t>
        </is>
      </c>
      <c r="K308" s="15" t="inlineStr">
        <is>
          <t>Rev. 6:2; Rev. 12:7-9</t>
        </is>
      </c>
      <c r="L308" s="15" t="n"/>
      <c r="M308" s="16" t="n"/>
    </row>
    <row r="309">
      <c r="A309" s="15" t="inlineStr">
        <is>
          <t>last-days-sign</t>
        </is>
      </c>
      <c r="B309" s="15" t="n">
        <v>5</v>
      </c>
      <c r="C309" s="15" t="inlineStr">
        <is>
          <t>prophecy</t>
        </is>
      </c>
      <c r="D309" s="15" t="inlineStr">
        <is>
          <t>“Nation will rise against nation”—war</t>
        </is>
      </c>
      <c r="E309" s="15" t="inlineStr">
        <is>
          <t>“Nation will rise against nation and kingdom against kingdom”</t>
        </is>
      </c>
      <c r="F309" s="15" t="inlineStr">
        <is>
          <t>b5-0144</t>
        </is>
      </c>
      <c r="G309" s="15" t="inlineStr">
        <is>
          <t>Point</t>
        </is>
      </c>
      <c r="H309" s="15" t="inlineStr">
        <is>
          <t>33 C.E., Nisan 11</t>
        </is>
      </c>
      <c r="I309" s="15" t="inlineStr">
        <is>
          <t>Gives sign of future presence</t>
        </is>
      </c>
      <c r="J309" s="15" t="inlineStr">
        <is>
          <t>b12-0068, b12-0084</t>
        </is>
      </c>
      <c r="K309" s="15" t="inlineStr">
        <is>
          <t>Matt. 24:7; Luke 21:10</t>
        </is>
      </c>
      <c r="L309" s="15" t="inlineStr">
        <is>
          <t>Jesus gives the sign of his presence on Nisan 11, 33 C.E. (b5-0144).</t>
        </is>
      </c>
      <c r="M309" s="16" t="n"/>
    </row>
    <row r="310">
      <c r="A310" s="15" t="inlineStr">
        <is>
          <t>last-days-sign</t>
        </is>
      </c>
      <c r="B310" s="15" t="n">
        <v>6</v>
      </c>
      <c r="C310" s="15" t="inlineStr">
        <is>
          <t>prophecy</t>
        </is>
      </c>
      <c r="D310" s="15" t="inlineStr">
        <is>
          <t>“Nation will rise against nation”—war</t>
        </is>
      </c>
      <c r="E310" s="15" t="inlineStr">
        <is>
          <t>The fiery-colored horse, whose rider has authority “to take peace away from the earth”</t>
        </is>
      </c>
      <c r="F310" s="15" t="inlineStr">
        <is>
          <t>b11-0067</t>
        </is>
      </c>
      <c r="G310" s="15" t="inlineStr">
        <is>
          <t>Point</t>
        </is>
      </c>
      <c r="H310" s="15" t="inlineStr">
        <is>
          <t>c. 96 C.E.</t>
        </is>
      </c>
      <c r="I310" s="15" t="inlineStr">
        <is>
          <t>Writing of Revelation completed</t>
        </is>
      </c>
      <c r="J310" s="15" t="inlineStr">
        <is>
          <t>b12-0068, b12-0084</t>
        </is>
      </c>
      <c r="K310" s="15" t="inlineStr">
        <is>
          <t>Rev. 6:4</t>
        </is>
      </c>
      <c r="L310" s="15" t="inlineStr">
        <is>
          <t>Revelation is dated only as a book; anchored to its writing completed record (c. 96 C.E.).</t>
        </is>
      </c>
      <c r="M310" s="16" t="n"/>
    </row>
    <row r="311">
      <c r="A311" s="15" t="inlineStr">
        <is>
          <t>last-days-sign</t>
        </is>
      </c>
      <c r="B311" s="15" t="n">
        <v>7</v>
      </c>
      <c r="C311" s="15" t="inlineStr">
        <is>
          <t>fulfillment</t>
        </is>
      </c>
      <c r="D311" s="15" t="inlineStr">
        <is>
          <t>“Nation will rise against nation”—war</t>
        </is>
      </c>
      <c r="E311" s="15" t="inlineStr">
        <is>
          <t>“The war that began in August 1914 and came to an end in November 1918 was a dramatic event”</t>
        </is>
      </c>
      <c r="F311" s="15" t="inlineStr">
        <is>
          <t>b12-0068</t>
        </is>
      </c>
      <c r="G311" s="15" t="inlineStr">
        <is>
          <t>Span</t>
        </is>
      </c>
      <c r="H311" s="15" t="inlineStr">
        <is>
          <t>1914-1918</t>
        </is>
      </c>
      <c r="I311" s="15" t="inlineStr">
        <is>
          <t>World War I</t>
        </is>
      </c>
      <c r="J311" s="15" t="inlineStr">
        <is>
          <t>b5-0144, b11-0067</t>
        </is>
      </c>
      <c r="K311" s="15" t="inlineStr">
        <is>
          <t>Matt. 24:7; Rev. 6:4</t>
        </is>
      </c>
      <c r="L311" s="15" t="inlineStr">
        <is>
          <t>Awake! October 2012: “The start of World War I shocked the world and began an era of unprecedented warfare.”</t>
        </is>
      </c>
      <c r="M311" s="16" t="n"/>
    </row>
    <row r="312">
      <c r="A312" s="15" t="inlineStr">
        <is>
          <t>last-days-sign</t>
        </is>
      </c>
      <c r="B312" s="15" t="n">
        <v>8</v>
      </c>
      <c r="C312" s="15" t="inlineStr">
        <is>
          <t>fulfillment</t>
        </is>
      </c>
      <c r="D312" s="15" t="inlineStr">
        <is>
          <t>“Nation will rise against nation”—war</t>
        </is>
      </c>
      <c r="E312" s="15" t="inlineStr">
        <is>
          <t>Just 21 years after World War I ended, a second world war broke out, killing far more people</t>
        </is>
      </c>
      <c r="F312" s="15" t="inlineStr">
        <is>
          <t>b12-0084</t>
        </is>
      </c>
      <c r="G312" s="15" t="inlineStr">
        <is>
          <t>Span</t>
        </is>
      </c>
      <c r="H312" s="15" t="inlineStr">
        <is>
          <t>1939-1945</t>
        </is>
      </c>
      <c r="I312" s="15" t="inlineStr">
        <is>
          <t>World War II</t>
        </is>
      </c>
      <c r="J312" s="15" t="inlineStr">
        <is>
          <t>b5-0144, b11-0067</t>
        </is>
      </c>
      <c r="K312" s="15" t="inlineStr">
        <is>
          <t>Rev. 6:4</t>
        </is>
      </c>
      <c r="L312" s="15" t="inlineStr">
        <is>
          <t>wp14 2/1: “in 1939, the second world war began.”</t>
        </is>
      </c>
      <c r="M312" s="16" t="n"/>
    </row>
    <row r="313">
      <c r="A313" s="15" t="inlineStr">
        <is>
          <t>last-days-sign</t>
        </is>
      </c>
      <c r="B313" s="15" t="n">
        <v>9</v>
      </c>
      <c r="C313" s="15" t="inlineStr">
        <is>
          <t>prophecy</t>
        </is>
      </c>
      <c r="D313" s="15" t="inlineStr">
        <is>
          <t>“There will be food shortages”</t>
        </is>
      </c>
      <c r="E313" s="15" t="inlineStr">
        <is>
          <t>“There will be food shortages”</t>
        </is>
      </c>
      <c r="F313" s="15" t="inlineStr">
        <is>
          <t>b5-0144</t>
        </is>
      </c>
      <c r="G313" s="15" t="inlineStr">
        <is>
          <t>Point</t>
        </is>
      </c>
      <c r="H313" s="15" t="inlineStr">
        <is>
          <t>33 C.E., Nisan 11</t>
        </is>
      </c>
      <c r="I313" s="15" t="inlineStr">
        <is>
          <t>Gives sign of future presence</t>
        </is>
      </c>
      <c r="J313" s="15" t="inlineStr">
        <is>
          <t>b15-0004, b15-0005, b15-0006</t>
        </is>
      </c>
      <c r="K313" s="15" t="inlineStr">
        <is>
          <t>Matt. 24:7</t>
        </is>
      </c>
      <c r="L313" s="15" t="n"/>
      <c r="M313" s="16" t="n"/>
    </row>
    <row r="314">
      <c r="A314" s="15" t="inlineStr">
        <is>
          <t>last-days-sign</t>
        </is>
      </c>
      <c r="B314" s="15" t="n">
        <v>10</v>
      </c>
      <c r="C314" s="15" t="inlineStr">
        <is>
          <t>prophecy</t>
        </is>
      </c>
      <c r="D314" s="15" t="inlineStr">
        <is>
          <t>“There will be food shortages”</t>
        </is>
      </c>
      <c r="E314" s="15" t="inlineStr">
        <is>
          <t>The black horse, whose rider has scales in his hand to depict famine</t>
        </is>
      </c>
      <c r="F314" s="15" t="inlineStr">
        <is>
          <t>b11-0067</t>
        </is>
      </c>
      <c r="G314" s="15" t="inlineStr">
        <is>
          <t>Point</t>
        </is>
      </c>
      <c r="H314" s="15" t="inlineStr">
        <is>
          <t>c. 96 C.E.</t>
        </is>
      </c>
      <c r="I314" s="15" t="inlineStr">
        <is>
          <t>Writing of Revelation completed</t>
        </is>
      </c>
      <c r="J314" s="15" t="inlineStr">
        <is>
          <t>b15-0004</t>
        </is>
      </c>
      <c r="K314" s="15" t="inlineStr">
        <is>
          <t>Rev. 6:5, 6</t>
        </is>
      </c>
      <c r="L314" s="15" t="inlineStr">
        <is>
          <t>Revelation is dated only as a book; anchored to its writing completed record (c. 96 C.E.).</t>
        </is>
      </c>
      <c r="M314" s="16" t="n"/>
    </row>
    <row r="315">
      <c r="A315" s="15" t="inlineStr">
        <is>
          <t>last-days-sign</t>
        </is>
      </c>
      <c r="B315" s="15" t="n">
        <v>11</v>
      </c>
      <c r="C315" s="15" t="inlineStr">
        <is>
          <t>fulfillment</t>
        </is>
      </c>
      <c r="D315" s="15" t="inlineStr">
        <is>
          <t>“There will be food shortages”</t>
        </is>
      </c>
      <c r="E315" s="15" t="inlineStr">
        <is>
          <t>Over two million Russians starved to death in 1921</t>
        </is>
      </c>
      <c r="F315" s="15" t="inlineStr">
        <is>
          <t>b15-0004</t>
        </is>
      </c>
      <c r="G315" s="15" t="inlineStr">
        <is>
          <t>Point</t>
        </is>
      </c>
      <c r="H315" s="15" t="inlineStr">
        <is>
          <t>1921</t>
        </is>
      </c>
      <c r="I315" s="15" t="inlineStr">
        <is>
          <t>Over two million Russians starve to death</t>
        </is>
      </c>
      <c r="J315" s="15" t="inlineStr">
        <is>
          <t>b5-0144, b11-0067</t>
        </is>
      </c>
      <c r="K315" s="15" t="inlineStr">
        <is>
          <t>Rev. 6:5, 6</t>
        </is>
      </c>
      <c r="L315" s="15" t="n"/>
      <c r="M315" s="16" t="n"/>
    </row>
    <row r="316">
      <c r="A316" s="15" t="inlineStr">
        <is>
          <t>last-days-sign</t>
        </is>
      </c>
      <c r="B316" s="15" t="n">
        <v>12</v>
      </c>
      <c r="C316" s="15" t="inlineStr">
        <is>
          <t>fulfillment</t>
        </is>
      </c>
      <c r="D316" s="15" t="inlineStr">
        <is>
          <t>“There will be food shortages”</t>
        </is>
      </c>
      <c r="E316" s="15" t="inlineStr">
        <is>
          <t>In Russia and Ukraine in 1933, “hordes of the starving wandered across the countryside”</t>
        </is>
      </c>
      <c r="F316" s="15" t="inlineStr">
        <is>
          <t>b15-0005</t>
        </is>
      </c>
      <c r="G316" s="15" t="inlineStr">
        <is>
          <t>Point</t>
        </is>
      </c>
      <c r="H316" s="15" t="inlineStr">
        <is>
          <t>1933</t>
        </is>
      </c>
      <c r="I316" s="15" t="inlineStr">
        <is>
          <t>Famine in Russia and Ukraine</t>
        </is>
      </c>
      <c r="J316" s="15" t="inlineStr">
        <is>
          <t>b5-0144</t>
        </is>
      </c>
      <c r="K316" s="15" t="inlineStr">
        <is>
          <t>Matt. 24:7</t>
        </is>
      </c>
      <c r="L316" s="15" t="n"/>
      <c r="M316" s="16" t="n"/>
    </row>
    <row r="317">
      <c r="A317" s="15" t="inlineStr">
        <is>
          <t>last-days-sign</t>
        </is>
      </c>
      <c r="B317" s="15" t="n">
        <v>13</v>
      </c>
      <c r="C317" s="15" t="inlineStr">
        <is>
          <t>fulfillment</t>
        </is>
      </c>
      <c r="D317" s="15" t="inlineStr">
        <is>
          <t>“There will be food shortages”</t>
        </is>
      </c>
      <c r="E317" s="15" t="inlineStr">
        <is>
          <t>In 1943 journalist T. H. White witnessed famine in the Chinese province of Henan</t>
        </is>
      </c>
      <c r="F317" s="15" t="inlineStr">
        <is>
          <t>b15-0006</t>
        </is>
      </c>
      <c r="G317" s="15" t="inlineStr">
        <is>
          <t>Point</t>
        </is>
      </c>
      <c r="H317" s="15" t="inlineStr">
        <is>
          <t>1943</t>
        </is>
      </c>
      <c r="I317" s="15" t="inlineStr">
        <is>
          <t>Famine in Henan province, China</t>
        </is>
      </c>
      <c r="J317" s="15" t="inlineStr">
        <is>
          <t>b5-0144</t>
        </is>
      </c>
      <c r="K317" s="15" t="inlineStr">
        <is>
          <t>Matt. 24:7</t>
        </is>
      </c>
      <c r="L317" s="15" t="n"/>
      <c r="M317" s="16" t="n"/>
    </row>
    <row r="318">
      <c r="A318" s="15" t="inlineStr">
        <is>
          <t>last-days-sign</t>
        </is>
      </c>
      <c r="B318" s="15" t="n">
        <v>14</v>
      </c>
      <c r="C318" s="15" t="inlineStr">
        <is>
          <t>prophecy</t>
        </is>
      </c>
      <c r="D318" s="15" t="inlineStr">
        <is>
          <t>“In one place after another pestilences”</t>
        </is>
      </c>
      <c r="E318" s="15" t="inlineStr">
        <is>
          <t>“In one place after another pestilences”</t>
        </is>
      </c>
      <c r="F318" s="15" t="inlineStr">
        <is>
          <t>b5-0144</t>
        </is>
      </c>
      <c r="G318" s="15" t="inlineStr">
        <is>
          <t>Point</t>
        </is>
      </c>
      <c r="H318" s="15" t="inlineStr">
        <is>
          <t>33 C.E., Nisan 11</t>
        </is>
      </c>
      <c r="I318" s="15" t="inlineStr">
        <is>
          <t>Gives sign of future presence</t>
        </is>
      </c>
      <c r="J318" s="15" t="inlineStr">
        <is>
          <t>b15-0003</t>
        </is>
      </c>
      <c r="K318" s="15" t="inlineStr">
        <is>
          <t>Luke 21:11</t>
        </is>
      </c>
      <c r="L318" s="15" t="n"/>
      <c r="M318" s="16" t="n"/>
    </row>
    <row r="319">
      <c r="A319" s="15" t="inlineStr">
        <is>
          <t>last-days-sign</t>
        </is>
      </c>
      <c r="B319" s="15" t="n">
        <v>15</v>
      </c>
      <c r="C319" s="15" t="inlineStr">
        <is>
          <t>prophecy</t>
        </is>
      </c>
      <c r="D319" s="15" t="inlineStr">
        <is>
          <t>“In one place after another pestilences”</t>
        </is>
      </c>
      <c r="E319" s="15" t="inlineStr">
        <is>
          <t>The pale horse, whose rider brings death by deadly plague</t>
        </is>
      </c>
      <c r="F319" s="15" t="inlineStr">
        <is>
          <t>b11-0067</t>
        </is>
      </c>
      <c r="G319" s="15" t="inlineStr">
        <is>
          <t>Point</t>
        </is>
      </c>
      <c r="H319" s="15" t="inlineStr">
        <is>
          <t>c. 96 C.E.</t>
        </is>
      </c>
      <c r="I319" s="15" t="inlineStr">
        <is>
          <t>Writing of Revelation completed</t>
        </is>
      </c>
      <c r="J319" s="15" t="inlineStr">
        <is>
          <t>b15-0003</t>
        </is>
      </c>
      <c r="K319" s="15" t="inlineStr">
        <is>
          <t>Rev. 6:8</t>
        </is>
      </c>
      <c r="L319" s="15" t="inlineStr">
        <is>
          <t>Revelation is dated only as a book; anchored to its writing completed record (c. 96 C.E.).</t>
        </is>
      </c>
      <c r="M319" s="16" t="n"/>
    </row>
    <row r="320">
      <c r="A320" s="15" t="inlineStr">
        <is>
          <t>last-days-sign</t>
        </is>
      </c>
      <c r="B320" s="15" t="n">
        <v>16</v>
      </c>
      <c r="C320" s="15" t="inlineStr">
        <is>
          <t>fulfillment</t>
        </is>
      </c>
      <c r="D320" s="15" t="inlineStr">
        <is>
          <t>“In one place after another pestilences”</t>
        </is>
      </c>
      <c r="E320" s="15" t="inlineStr">
        <is>
          <t>The Spanish influenza is estimated to have killed between 20 million and 50 million people in 1918</t>
        </is>
      </c>
      <c r="F320" s="15" t="inlineStr">
        <is>
          <t>b15-0003</t>
        </is>
      </c>
      <c r="G320" s="15" t="inlineStr">
        <is>
          <t>Point</t>
        </is>
      </c>
      <c r="H320" s="15" t="inlineStr">
        <is>
          <t>1918</t>
        </is>
      </c>
      <c r="I320" s="15" t="inlineStr">
        <is>
          <t>Spanish influenza kills tens of millions</t>
        </is>
      </c>
      <c r="J320" s="15" t="inlineStr">
        <is>
          <t>b5-0144, b11-0067</t>
        </is>
      </c>
      <c r="K320" s="15" t="inlineStr">
        <is>
          <t>Luke 21:11; Rev. 6:8</t>
        </is>
      </c>
      <c r="L320" s="15" t="inlineStr">
        <is>
          <t>wp14 2/1: “The first great 20th-century plague was the Spanish flu.”</t>
        </is>
      </c>
      <c r="M320" s="16" t="n"/>
    </row>
    <row r="321">
      <c r="A321" s="15" t="inlineStr">
        <is>
          <t>last-days-sign</t>
        </is>
      </c>
      <c r="B321" s="15" t="n">
        <v>17</v>
      </c>
      <c r="C321" s="15" t="inlineStr">
        <is>
          <t>prophecy</t>
        </is>
      </c>
      <c r="D321" s="15" t="inlineStr">
        <is>
          <t>“This good news of the kingdom will be preached in all the inhabited earth”</t>
        </is>
      </c>
      <c r="E321" s="15" t="inlineStr">
        <is>
          <t>“This good news of the kingdom will be preached in all the inhabited earth for a witness to all the nations”</t>
        </is>
      </c>
      <c r="F321" s="15" t="inlineStr">
        <is>
          <t>b5-0144</t>
        </is>
      </c>
      <c r="G321" s="15" t="inlineStr">
        <is>
          <t>Point</t>
        </is>
      </c>
      <c r="H321" s="15" t="inlineStr">
        <is>
          <t>33 C.E., Nisan 11</t>
        </is>
      </c>
      <c r="I321" s="15" t="inlineStr">
        <is>
          <t>Gives sign of future presence</t>
        </is>
      </c>
      <c r="J321" s="15" t="inlineStr">
        <is>
          <t>b15-0007, b15-0008</t>
        </is>
      </c>
      <c r="K321" s="15" t="inlineStr">
        <is>
          <t>Matt. 24:14</t>
        </is>
      </c>
      <c r="L321" s="15" t="n"/>
      <c r="M321" s="16" t="n"/>
    </row>
    <row r="322">
      <c r="A322" s="15" t="inlineStr">
        <is>
          <t>last-days-sign</t>
        </is>
      </c>
      <c r="B322" s="15" t="n">
        <v>18</v>
      </c>
      <c r="C322" s="15" t="inlineStr">
        <is>
          <t>fulfillment</t>
        </is>
      </c>
      <c r="D322" s="15" t="inlineStr">
        <is>
          <t>“This good news of the kingdom will be preached in all the inhabited earth”</t>
        </is>
      </c>
      <c r="E322" s="15" t="inlineStr">
        <is>
          <t>Currently, over six million Witnesses preach in 235 lands and in over 400 languages</t>
        </is>
      </c>
      <c r="F322" s="15" t="inlineStr">
        <is>
          <t>b15-0007</t>
        </is>
      </c>
      <c r="G322" s="15" t="inlineStr">
        <is>
          <t>Point</t>
        </is>
      </c>
      <c r="H322" s="15" t="inlineStr">
        <is>
          <t>2005 (“currently,” w05 10/1)</t>
        </is>
      </c>
      <c r="I322" s="15" t="inlineStr">
        <is>
          <t>Over six million Witnesses preach in 235 lands</t>
        </is>
      </c>
      <c r="J322" s="15" t="inlineStr">
        <is>
          <t>b5-0144</t>
        </is>
      </c>
      <c r="K322" s="15" t="inlineStr">
        <is>
          <t>Matt. 24:14</t>
        </is>
      </c>
      <c r="L322" s="15" t="inlineStr">
        <is>
          <t>Statement of October 1, 2005; the work is ongoing.</t>
        </is>
      </c>
      <c r="M322" s="16" t="n"/>
    </row>
    <row r="323">
      <c r="A323" s="15" t="inlineStr">
        <is>
          <t>last-days-sign</t>
        </is>
      </c>
      <c r="B323" s="15" t="n">
        <v>19</v>
      </c>
      <c r="C323" s="15" t="inlineStr">
        <is>
          <t>fulfillment</t>
        </is>
      </c>
      <c r="D323" s="15" t="inlineStr">
        <is>
          <t>“This good news of the kingdom will be preached in all the inhabited earth”</t>
        </is>
      </c>
      <c r="E323" s="15" t="inlineStr">
        <is>
          <t>Jehovah’s Witnesses, numbering more than seven million in more than 230 lands, teach others about God’s Kingdom</t>
        </is>
      </c>
      <c r="F323" s="15" t="inlineStr">
        <is>
          <t>b15-0008</t>
        </is>
      </c>
      <c r="G323" s="15" t="inlineStr">
        <is>
          <t>Point</t>
        </is>
      </c>
      <c r="H323" s="15" t="inlineStr">
        <is>
          <t>2012 (Awake!, October 2012)</t>
        </is>
      </c>
      <c r="I323" s="15" t="inlineStr">
        <is>
          <t>More than seven million Witnesses teach about God’s Kingdom in more than 230 lands</t>
        </is>
      </c>
      <c r="J323" s="15" t="inlineStr">
        <is>
          <t>b5-0144</t>
        </is>
      </c>
      <c r="K323" s="15" t="inlineStr">
        <is>
          <t>Matt. 24:14</t>
        </is>
      </c>
      <c r="L323" s="15" t="inlineStr">
        <is>
          <t>Statement of October 2012; the work is ongoing.</t>
        </is>
      </c>
      <c r="M323" s="16" t="n"/>
    </row>
    <row r="324">
      <c r="A324" s="15" t="inlineStr">
        <is>
          <t>messianic-line</t>
        </is>
      </c>
      <c r="B324" s="15" t="n">
        <v>1</v>
      </c>
      <c r="C324" s="15" t="inlineStr">
        <is>
          <t>item</t>
        </is>
      </c>
      <c r="D324" s="15" t="inlineStr">
        <is>
          <t>Adam to David (Genesis and Ruth, 1 Chronicles, Luke)</t>
        </is>
      </c>
      <c r="E324" s="15" t="inlineStr">
        <is>
          <t>Adam</t>
        </is>
      </c>
      <c r="F324" s="15" t="inlineStr">
        <is>
          <t>d1-0001</t>
        </is>
      </c>
      <c r="G324" s="15" t="inlineStr">
        <is>
          <t>Span</t>
        </is>
      </c>
      <c r="H324" s="15" t="inlineStr">
        <is>
          <t>4026 B.C.E. – 3096 B.C.E.</t>
        </is>
      </c>
      <c r="I324" s="15" t="inlineStr">
        <is>
          <t>Life of Adam</t>
        </is>
      </c>
      <c r="J324" s="15" t="n"/>
      <c r="K324" s="15" t="n"/>
      <c r="L324" s="15" t="n"/>
      <c r="M324" s="16" t="n"/>
    </row>
    <row r="325">
      <c r="A325" s="15" t="inlineStr">
        <is>
          <t>messianic-line</t>
        </is>
      </c>
      <c r="B325" s="15" t="n">
        <v>2</v>
      </c>
      <c r="C325" s="15" t="inlineStr">
        <is>
          <t>item</t>
        </is>
      </c>
      <c r="D325" s="15" t="inlineStr">
        <is>
          <t>Adam to David (Genesis and Ruth, 1 Chronicles, Luke)</t>
        </is>
      </c>
      <c r="E325" s="15" t="inlineStr">
        <is>
          <t>Seth</t>
        </is>
      </c>
      <c r="F325" s="15" t="inlineStr">
        <is>
          <t>d1-0002</t>
        </is>
      </c>
      <c r="G325" s="15" t="inlineStr">
        <is>
          <t>Span</t>
        </is>
      </c>
      <c r="H325" s="15" t="inlineStr">
        <is>
          <t>3896 B.C.E. – 2984 B.C.E.</t>
        </is>
      </c>
      <c r="I325" s="15" t="inlineStr">
        <is>
          <t>Life of Seth</t>
        </is>
      </c>
      <c r="J325" s="15" t="n"/>
      <c r="K325" s="15" t="n"/>
      <c r="L325" s="15" t="n"/>
      <c r="M325" s="16" t="n"/>
    </row>
    <row r="326">
      <c r="A326" s="15" t="inlineStr">
        <is>
          <t>messianic-line</t>
        </is>
      </c>
      <c r="B326" s="15" t="n">
        <v>6</v>
      </c>
      <c r="C326" s="15" t="inlineStr">
        <is>
          <t>item</t>
        </is>
      </c>
      <c r="D326" s="15" t="inlineStr">
        <is>
          <t>Adam to David (Genesis and Ruth, 1 Chronicles, Luke)</t>
        </is>
      </c>
      <c r="E326" s="15" t="inlineStr">
        <is>
          <t>Jared</t>
        </is>
      </c>
      <c r="F326" s="15" t="inlineStr">
        <is>
          <t>d1-0003</t>
        </is>
      </c>
      <c r="G326" s="15" t="inlineStr">
        <is>
          <t>Span</t>
        </is>
      </c>
      <c r="H326" s="15" t="inlineStr">
        <is>
          <t>3566 B.C.E. – 2604 B.C.E.</t>
        </is>
      </c>
      <c r="I326" s="15" t="inlineStr">
        <is>
          <t>Life of Jared</t>
        </is>
      </c>
      <c r="J326" s="15" t="n"/>
      <c r="K326" s="15" t="n"/>
      <c r="L326" s="15" t="n"/>
      <c r="M326" s="16" t="n"/>
    </row>
    <row r="327">
      <c r="A327" s="15" t="inlineStr">
        <is>
          <t>messianic-line</t>
        </is>
      </c>
      <c r="B327" s="15" t="n">
        <v>7</v>
      </c>
      <c r="C327" s="15" t="inlineStr">
        <is>
          <t>item</t>
        </is>
      </c>
      <c r="D327" s="15" t="inlineStr">
        <is>
          <t>Adam to David (Genesis and Ruth, 1 Chronicles, Luke)</t>
        </is>
      </c>
      <c r="E327" s="15" t="inlineStr">
        <is>
          <t>Enoch</t>
        </is>
      </c>
      <c r="F327" s="15" t="inlineStr">
        <is>
          <t>d1-0004</t>
        </is>
      </c>
      <c r="G327" s="15" t="inlineStr">
        <is>
          <t>Span</t>
        </is>
      </c>
      <c r="H327" s="15" t="inlineStr">
        <is>
          <t>3404 B.C.E. – 3039 B.C.E.</t>
        </is>
      </c>
      <c r="I327" s="15" t="inlineStr">
        <is>
          <t>Life of Enoch (until God took him)</t>
        </is>
      </c>
      <c r="J327" s="15" t="n"/>
      <c r="K327" s="15" t="n"/>
      <c r="L327" s="15" t="n"/>
      <c r="M327" s="16" t="n"/>
    </row>
    <row r="328">
      <c r="A328" s="15" t="inlineStr">
        <is>
          <t>messianic-line</t>
        </is>
      </c>
      <c r="B328" s="15" t="n">
        <v>8</v>
      </c>
      <c r="C328" s="15" t="inlineStr">
        <is>
          <t>item</t>
        </is>
      </c>
      <c r="D328" s="15" t="inlineStr">
        <is>
          <t>Adam to David (Genesis and Ruth, 1 Chronicles, Luke)</t>
        </is>
      </c>
      <c r="E328" s="15" t="inlineStr">
        <is>
          <t>Methuselah</t>
        </is>
      </c>
      <c r="F328" s="15" t="inlineStr">
        <is>
          <t>d1-0005</t>
        </is>
      </c>
      <c r="G328" s="15" t="inlineStr">
        <is>
          <t>Span</t>
        </is>
      </c>
      <c r="H328" s="15" t="inlineStr">
        <is>
          <t>3339 B.C.E. – 2370 B.C.E.</t>
        </is>
      </c>
      <c r="I328" s="15" t="inlineStr">
        <is>
          <t>Life of Methuselah</t>
        </is>
      </c>
      <c r="J328" s="15" t="n"/>
      <c r="K328" s="15" t="n"/>
      <c r="L328" s="15" t="n"/>
      <c r="M328" s="16" t="n"/>
    </row>
    <row r="329">
      <c r="A329" s="15" t="inlineStr">
        <is>
          <t>messianic-line</t>
        </is>
      </c>
      <c r="B329" s="15" t="n">
        <v>9</v>
      </c>
      <c r="C329" s="15" t="inlineStr">
        <is>
          <t>item</t>
        </is>
      </c>
      <c r="D329" s="15" t="inlineStr">
        <is>
          <t>Adam to David (Genesis and Ruth, 1 Chronicles, Luke)</t>
        </is>
      </c>
      <c r="E329" s="15" t="inlineStr">
        <is>
          <t>Lamech</t>
        </is>
      </c>
      <c r="F329" s="15" t="inlineStr">
        <is>
          <t>b1-0008</t>
        </is>
      </c>
      <c r="G329" s="15" t="inlineStr">
        <is>
          <t>Point</t>
        </is>
      </c>
      <c r="H329" s="15" t="inlineStr">
        <is>
          <t>3152 B.C.E.</t>
        </is>
      </c>
      <c r="I329" s="15" t="inlineStr">
        <is>
          <t>Birth of Lamech</t>
        </is>
      </c>
      <c r="J329" s="15" t="n"/>
      <c r="K329" s="15" t="n"/>
      <c r="L329" s="15" t="inlineStr">
        <is>
          <t>No lifespan record; birth record used (3152 B.C.E.).</t>
        </is>
      </c>
      <c r="M329" s="16" t="n"/>
    </row>
    <row r="330">
      <c r="A330" s="15" t="inlineStr">
        <is>
          <t>messianic-line</t>
        </is>
      </c>
      <c r="B330" s="15" t="n">
        <v>10</v>
      </c>
      <c r="C330" s="15" t="inlineStr">
        <is>
          <t>item</t>
        </is>
      </c>
      <c r="D330" s="15" t="inlineStr">
        <is>
          <t>Adam to David (Genesis and Ruth, 1 Chronicles, Luke)</t>
        </is>
      </c>
      <c r="E330" s="15" t="inlineStr">
        <is>
          <t>Noah</t>
        </is>
      </c>
      <c r="F330" s="15" t="inlineStr">
        <is>
          <t>d1-0006</t>
        </is>
      </c>
      <c r="G330" s="15" t="inlineStr">
        <is>
          <t>Span</t>
        </is>
      </c>
      <c r="H330" s="15" t="inlineStr">
        <is>
          <t>2970 B.C.E. – 2020 B.C.E.</t>
        </is>
      </c>
      <c r="I330" s="15" t="inlineStr">
        <is>
          <t>Life of Noah</t>
        </is>
      </c>
      <c r="J330" s="15" t="n"/>
      <c r="K330" s="15" t="n"/>
      <c r="L330" s="15" t="n"/>
      <c r="M330" s="16" t="n"/>
    </row>
    <row r="331">
      <c r="A331" s="15" t="inlineStr">
        <is>
          <t>messianic-line</t>
        </is>
      </c>
      <c r="B331" s="15" t="n">
        <v>11</v>
      </c>
      <c r="C331" s="15" t="inlineStr">
        <is>
          <t>item</t>
        </is>
      </c>
      <c r="D331" s="15" t="inlineStr">
        <is>
          <t>Adam to David (Genesis and Ruth, 1 Chronicles, Luke)</t>
        </is>
      </c>
      <c r="E331" s="15" t="inlineStr">
        <is>
          <t>Shem</t>
        </is>
      </c>
      <c r="F331" s="15" t="inlineStr">
        <is>
          <t>d1-0007</t>
        </is>
      </c>
      <c r="G331" s="15" t="inlineStr">
        <is>
          <t>Span</t>
        </is>
      </c>
      <c r="H331" s="15" t="inlineStr">
        <is>
          <t>2468 B.C.E. – 1868 B.C.E.</t>
        </is>
      </c>
      <c r="I331" s="15" t="inlineStr">
        <is>
          <t>Life of Shem</t>
        </is>
      </c>
      <c r="J331" s="15" t="n"/>
      <c r="K331" s="15" t="n"/>
      <c r="L331" s="15" t="inlineStr">
        <is>
          <t>Insight 'Seed': Noah had spoken of Jehovah as “Shem’s God” (Gen. 9:26), indicating God's favor on Shem, of whose line Abraham was.</t>
        </is>
      </c>
      <c r="M331" s="16" t="n"/>
    </row>
    <row r="332">
      <c r="A332" s="15" t="inlineStr">
        <is>
          <t>messianic-line</t>
        </is>
      </c>
      <c r="B332" s="15" t="n">
        <v>12</v>
      </c>
      <c r="C332" s="15" t="inlineStr">
        <is>
          <t>item</t>
        </is>
      </c>
      <c r="D332" s="15" t="inlineStr">
        <is>
          <t>Adam to David (Genesis and Ruth, 1 Chronicles, Luke)</t>
        </is>
      </c>
      <c r="E332" s="15" t="inlineStr">
        <is>
          <t>Arpachshad</t>
        </is>
      </c>
      <c r="F332" s="15" t="inlineStr">
        <is>
          <t>b1-0022</t>
        </is>
      </c>
      <c r="G332" s="15" t="inlineStr">
        <is>
          <t>Point</t>
        </is>
      </c>
      <c r="H332" s="15" t="inlineStr">
        <is>
          <t>2368 B.C.E.</t>
        </is>
      </c>
      <c r="I332" s="15" t="inlineStr">
        <is>
          <t>Birth of Arpachshad</t>
        </is>
      </c>
      <c r="J332" s="15" t="n"/>
      <c r="K332" s="15" t="n"/>
      <c r="L332" s="15" t="inlineStr">
        <is>
          <t>No lifespan record; birth record used (2368 B.C.E.). Luke 3:36 adds a second 'Cainan' after Arpachshad, which Insight 'Genealogy of Jesus Christ' explains as most likely a copyist's error; it is not counted here.</t>
        </is>
      </c>
      <c r="M332" s="16" t="n"/>
    </row>
    <row r="333">
      <c r="A333" s="15" t="inlineStr">
        <is>
          <t>messianic-line</t>
        </is>
      </c>
      <c r="B333" s="15" t="n">
        <v>13</v>
      </c>
      <c r="C333" s="15" t="inlineStr">
        <is>
          <t>item</t>
        </is>
      </c>
      <c r="D333" s="15" t="inlineStr">
        <is>
          <t>Adam to David (Genesis and Ruth, 1 Chronicles, Luke)</t>
        </is>
      </c>
      <c r="E333" s="15" t="inlineStr">
        <is>
          <t>Shelah</t>
        </is>
      </c>
      <c r="F333" s="15" t="inlineStr">
        <is>
          <t>d1-0008</t>
        </is>
      </c>
      <c r="G333" s="15" t="inlineStr">
        <is>
          <t>Span</t>
        </is>
      </c>
      <c r="H333" s="15" t="inlineStr">
        <is>
          <t>2333 B.C.E. – 1900 B.C.E.</t>
        </is>
      </c>
      <c r="I333" s="15" t="inlineStr">
        <is>
          <t>Life of Shelah</t>
        </is>
      </c>
      <c r="J333" s="15" t="n"/>
      <c r="K333" s="15" t="n"/>
      <c r="L333" s="15" t="n"/>
      <c r="M333" s="16" t="n"/>
    </row>
    <row r="334">
      <c r="A334" s="15" t="inlineStr">
        <is>
          <t>messianic-line</t>
        </is>
      </c>
      <c r="B334" s="15" t="n">
        <v>15</v>
      </c>
      <c r="C334" s="15" t="inlineStr">
        <is>
          <t>item</t>
        </is>
      </c>
      <c r="D334" s="15" t="inlineStr">
        <is>
          <t>Adam to David (Genesis and Ruth, 1 Chronicles, Luke)</t>
        </is>
      </c>
      <c r="E334" s="15" t="inlineStr">
        <is>
          <t>Peleg</t>
        </is>
      </c>
      <c r="F334" s="15" t="inlineStr">
        <is>
          <t>d1-0009</t>
        </is>
      </c>
      <c r="G334" s="15" t="inlineStr">
        <is>
          <t>Span</t>
        </is>
      </c>
      <c r="H334" s="15" t="inlineStr">
        <is>
          <t>2269 B.C.E. – 2030 B.C.E.</t>
        </is>
      </c>
      <c r="I334" s="15" t="inlineStr">
        <is>
          <t>Life of Peleg</t>
        </is>
      </c>
      <c r="J334" s="15" t="n"/>
      <c r="K334" s="15" t="n"/>
      <c r="L334" s="15" t="n"/>
      <c r="M334" s="16" t="n"/>
    </row>
    <row r="335">
      <c r="A335" s="15" t="inlineStr">
        <is>
          <t>messianic-line</t>
        </is>
      </c>
      <c r="B335" s="15" t="n">
        <v>16</v>
      </c>
      <c r="C335" s="15" t="inlineStr">
        <is>
          <t>item</t>
        </is>
      </c>
      <c r="D335" s="15" t="inlineStr">
        <is>
          <t>Adam to David (Genesis and Ruth, 1 Chronicles, Luke)</t>
        </is>
      </c>
      <c r="E335" s="15" t="inlineStr">
        <is>
          <t>Reu</t>
        </is>
      </c>
      <c r="F335" s="15" t="inlineStr">
        <is>
          <t>d1-0010</t>
        </is>
      </c>
      <c r="G335" s="15" t="inlineStr">
        <is>
          <t>Span</t>
        </is>
      </c>
      <c r="H335" s="15" t="inlineStr">
        <is>
          <t>2239 B.C.E. – 2000 B.C.E.</t>
        </is>
      </c>
      <c r="I335" s="15" t="inlineStr">
        <is>
          <t>Life of Reu</t>
        </is>
      </c>
      <c r="J335" s="15" t="n"/>
      <c r="K335" s="15" t="n"/>
      <c r="L335" s="15" t="n"/>
      <c r="M335" s="16" t="n"/>
    </row>
    <row r="336">
      <c r="A336" s="15" t="inlineStr">
        <is>
          <t>messianic-line</t>
        </is>
      </c>
      <c r="B336" s="15" t="n">
        <v>17</v>
      </c>
      <c r="C336" s="15" t="inlineStr">
        <is>
          <t>item</t>
        </is>
      </c>
      <c r="D336" s="15" t="inlineStr">
        <is>
          <t>Adam to David (Genesis and Ruth, 1 Chronicles, Luke)</t>
        </is>
      </c>
      <c r="E336" s="15" t="inlineStr">
        <is>
          <t>Serug</t>
        </is>
      </c>
      <c r="F336" s="15" t="inlineStr">
        <is>
          <t>d1-0011</t>
        </is>
      </c>
      <c r="G336" s="15" t="inlineStr">
        <is>
          <t>Span</t>
        </is>
      </c>
      <c r="H336" s="15" t="inlineStr">
        <is>
          <t>2207 B.C.E. – 1977 B.C.E.</t>
        </is>
      </c>
      <c r="I336" s="15" t="inlineStr">
        <is>
          <t>Life of Serug</t>
        </is>
      </c>
      <c r="J336" s="15" t="n"/>
      <c r="K336" s="15" t="n"/>
      <c r="L336" s="15" t="n"/>
      <c r="M336" s="16" t="n"/>
    </row>
    <row r="337">
      <c r="A337" s="15" t="inlineStr">
        <is>
          <t>messianic-line</t>
        </is>
      </c>
      <c r="B337" s="15" t="n">
        <v>18</v>
      </c>
      <c r="C337" s="15" t="inlineStr">
        <is>
          <t>item</t>
        </is>
      </c>
      <c r="D337" s="15" t="inlineStr">
        <is>
          <t>Adam to David (Genesis and Ruth, 1 Chronicles, Luke)</t>
        </is>
      </c>
      <c r="E337" s="15" t="inlineStr">
        <is>
          <t>Nahor</t>
        </is>
      </c>
      <c r="F337" s="15" t="inlineStr">
        <is>
          <t>d1-0012</t>
        </is>
      </c>
      <c r="G337" s="15" t="inlineStr">
        <is>
          <t>Span</t>
        </is>
      </c>
      <c r="H337" s="15" t="inlineStr">
        <is>
          <t>2177 B.C.E. – 2029 B.C.E.</t>
        </is>
      </c>
      <c r="I337" s="15" t="inlineStr">
        <is>
          <t>Life of Nahor</t>
        </is>
      </c>
      <c r="J337" s="15" t="n"/>
      <c r="K337" s="15" t="n"/>
      <c r="L337" s="15" t="n"/>
      <c r="M337" s="16" t="n"/>
    </row>
    <row r="338">
      <c r="A338" s="15" t="inlineStr">
        <is>
          <t>messianic-line</t>
        </is>
      </c>
      <c r="B338" s="15" t="n">
        <v>19</v>
      </c>
      <c r="C338" s="15" t="inlineStr">
        <is>
          <t>item</t>
        </is>
      </c>
      <c r="D338" s="15" t="inlineStr">
        <is>
          <t>Adam to David (Genesis and Ruth, 1 Chronicles, Luke)</t>
        </is>
      </c>
      <c r="E338" s="15" t="inlineStr">
        <is>
          <t>Terah</t>
        </is>
      </c>
      <c r="F338" s="15" t="inlineStr">
        <is>
          <t>b1-0035</t>
        </is>
      </c>
      <c r="G338" s="15" t="inlineStr">
        <is>
          <t>Point</t>
        </is>
      </c>
      <c r="H338" s="15" t="inlineStr">
        <is>
          <t>c. 1943 B.C.E.</t>
        </is>
      </c>
      <c r="I338" s="15" t="inlineStr">
        <is>
          <t>Death of Terah at Haran</t>
        </is>
      </c>
      <c r="J338" s="15" t="n"/>
      <c r="K338" s="15" t="n"/>
      <c r="L338" s="15" t="inlineStr">
        <is>
          <t>No lifespan record; death record used (c. 1943 B.C.E.).</t>
        </is>
      </c>
      <c r="M338" s="16" t="n"/>
    </row>
    <row r="339">
      <c r="A339" s="15" t="inlineStr">
        <is>
          <t>messianic-line</t>
        </is>
      </c>
      <c r="B339" s="15" t="n">
        <v>20</v>
      </c>
      <c r="C339" s="15" t="inlineStr">
        <is>
          <t>item</t>
        </is>
      </c>
      <c r="D339" s="15" t="inlineStr">
        <is>
          <t>Adam to David (Genesis and Ruth, 1 Chronicles, Luke)</t>
        </is>
      </c>
      <c r="E339" s="15" t="inlineStr">
        <is>
          <t>Abram (Abraham)</t>
        </is>
      </c>
      <c r="F339" s="15" t="inlineStr">
        <is>
          <t>d1-0013</t>
        </is>
      </c>
      <c r="G339" s="15" t="inlineStr">
        <is>
          <t>Span</t>
        </is>
      </c>
      <c r="H339" s="15" t="inlineStr">
        <is>
          <t>2018 B.C.E. – 1843 B.C.E.</t>
        </is>
      </c>
      <c r="I339" s="15" t="inlineStr">
        <is>
          <t>Life of Abraham</t>
        </is>
      </c>
      <c r="J339" s="15" t="n"/>
      <c r="K339" s="15" t="n"/>
      <c r="L339" s="15" t="inlineStr">
        <is>
          <t>B1 (1943 B.C.E.): Jehovah tells Abraham that the promised offspring will be one of his descendants (Gen. 22:18).</t>
        </is>
      </c>
      <c r="M339" s="16" t="n"/>
    </row>
    <row r="340">
      <c r="A340" s="15" t="inlineStr">
        <is>
          <t>messianic-line</t>
        </is>
      </c>
      <c r="B340" s="15" t="n">
        <v>21</v>
      </c>
      <c r="C340" s="15" t="inlineStr">
        <is>
          <t>item</t>
        </is>
      </c>
      <c r="D340" s="15" t="inlineStr">
        <is>
          <t>Adam to David (Genesis and Ruth, 1 Chronicles, Luke)</t>
        </is>
      </c>
      <c r="E340" s="15" t="inlineStr">
        <is>
          <t>Isaac</t>
        </is>
      </c>
      <c r="F340" s="15" t="inlineStr">
        <is>
          <t>d1-0015</t>
        </is>
      </c>
      <c r="G340" s="15" t="inlineStr">
        <is>
          <t>Span</t>
        </is>
      </c>
      <c r="H340" s="15" t="inlineStr">
        <is>
          <t>1918 B.C.E. – 1738 B.C.E.</t>
        </is>
      </c>
      <c r="I340" s="15" t="inlineStr">
        <is>
          <t>Life of Isaac</t>
        </is>
      </c>
      <c r="J340" s="15" t="n"/>
      <c r="K340" s="15" t="n"/>
      <c r="L340" s="15" t="inlineStr">
        <is>
          <t>Insight 'Seed': “It is by means of Isaac that what will be called your seed will be” (Gen. 21:12).</t>
        </is>
      </c>
      <c r="M340" s="16" t="n"/>
    </row>
    <row r="341">
      <c r="A341" s="15" t="inlineStr">
        <is>
          <t>messianic-line</t>
        </is>
      </c>
      <c r="B341" s="15" t="n">
        <v>22</v>
      </c>
      <c r="C341" s="15" t="inlineStr">
        <is>
          <t>item</t>
        </is>
      </c>
      <c r="D341" s="15" t="inlineStr">
        <is>
          <t>Adam to David (Genesis and Ruth, 1 Chronicles, Luke)</t>
        </is>
      </c>
      <c r="E341" s="15" t="inlineStr">
        <is>
          <t>Jacob (Israel)</t>
        </is>
      </c>
      <c r="F341" s="15" t="inlineStr">
        <is>
          <t>b1-0052</t>
        </is>
      </c>
      <c r="G341" s="15" t="inlineStr">
        <is>
          <t>Point</t>
        </is>
      </c>
      <c r="H341" s="15" t="inlineStr">
        <is>
          <t>1858 B.C.E.</t>
        </is>
      </c>
      <c r="I341" s="15" t="inlineStr">
        <is>
          <t>Birth of Esau and Jacob</t>
        </is>
      </c>
      <c r="J341" s="15" t="n"/>
      <c r="K341" s="15" t="n"/>
      <c r="L341" s="15" t="inlineStr">
        <is>
          <t>No lifespan record; birth record (1858 B.C.E., shared with Esau) used; his death is b2-0006 (1711 B.C.E.). Insight 'Seed': of Isaac's two sons, Jacob was specially blessed (Gen. 25:23; 28:14).</t>
        </is>
      </c>
      <c r="M341" s="16" t="n"/>
    </row>
    <row r="342">
      <c r="A342" s="15" t="inlineStr">
        <is>
          <t>messianic-line</t>
        </is>
      </c>
      <c r="B342" s="15" t="n">
        <v>29</v>
      </c>
      <c r="C342" s="15" t="inlineStr">
        <is>
          <t>context</t>
        </is>
      </c>
      <c r="D342" s="15" t="inlineStr">
        <is>
          <t>Adam to David (Genesis and Ruth, 1 Chronicles, Luke)</t>
        </is>
      </c>
      <c r="E342" s="15" t="inlineStr">
        <is>
          <t>Salmon (and Rahab)</t>
        </is>
      </c>
      <c r="F342" s="15" t="inlineStr">
        <is>
          <t>d1-0021</t>
        </is>
      </c>
      <c r="G342" s="15" t="inlineStr">
        <is>
          <t>Span</t>
        </is>
      </c>
      <c r="H342" s="15" t="inlineStr">
        <is>
          <t>c. 1500 B.C.E. – c. 1400 B.C.E.</t>
        </is>
      </c>
      <c r="I342" s="15" t="inlineStr">
        <is>
          <t>Life of Rahab</t>
        </is>
      </c>
      <c r="J342" s="15" t="n"/>
      <c r="K342" s="15" t="n"/>
      <c r="L342" s="15" t="inlineStr">
        <is>
          <t>No dated record for Salmon; the lifespan of his wife Rahab (c. 1500–c. 1400 B.C.E.), named in the line at Matt. 1:5, is used. role context.</t>
        </is>
      </c>
      <c r="M342" s="16" t="n"/>
    </row>
    <row r="343">
      <c r="A343" s="15" t="inlineStr">
        <is>
          <t>messianic-line</t>
        </is>
      </c>
      <c r="B343" s="15" t="n">
        <v>30</v>
      </c>
      <c r="C343" s="15" t="inlineStr">
        <is>
          <t>context</t>
        </is>
      </c>
      <c r="D343" s="15" t="inlineStr">
        <is>
          <t>Adam to David (Genesis and Ruth, 1 Chronicles, Luke)</t>
        </is>
      </c>
      <c r="E343" s="15" t="inlineStr">
        <is>
          <t>Boaz (and Ruth)</t>
        </is>
      </c>
      <c r="F343" s="15" t="inlineStr">
        <is>
          <t>b2-0064</t>
        </is>
      </c>
      <c r="G343" s="15" t="inlineStr">
        <is>
          <t>Span</t>
        </is>
      </c>
      <c r="H343" s="15" t="inlineStr">
        <is>
          <t>During the Judges (about 11 years; exact time not stated)</t>
        </is>
      </c>
      <c r="I343" s="15" t="inlineStr">
        <is>
          <t>Events of the book of Ruth</t>
        </is>
      </c>
      <c r="J343" s="15" t="n"/>
      <c r="K343" s="15" t="n"/>
      <c r="L343" s="15" t="inlineStr">
        <is>
          <t>No dated record for Boaz; the 'Events of the book of Ruth' record (during the Judges, Ruth 4:13-22) is used. role context.</t>
        </is>
      </c>
      <c r="M343" s="16" t="n"/>
    </row>
    <row r="344">
      <c r="A344" s="15" t="inlineStr">
        <is>
          <t>messianic-line</t>
        </is>
      </c>
      <c r="B344" s="15" t="n">
        <v>33</v>
      </c>
      <c r="C344" s="15" t="inlineStr">
        <is>
          <t>item</t>
        </is>
      </c>
      <c r="D344" s="15" t="inlineStr">
        <is>
          <t>Adam to David (Genesis and Ruth, 1 Chronicles, Luke)</t>
        </is>
      </c>
      <c r="E344" s="15" t="inlineStr">
        <is>
          <t>David</t>
        </is>
      </c>
      <c r="F344" s="15" t="inlineStr">
        <is>
          <t>b12-0011</t>
        </is>
      </c>
      <c r="G344" s="15" t="inlineStr">
        <is>
          <t>Span</t>
        </is>
      </c>
      <c r="H344" s="15" t="inlineStr">
        <is>
          <t>1107 B.C.E.–1037 B.C.E.</t>
        </is>
      </c>
      <c r="I344" s="15" t="inlineStr">
        <is>
          <t>Life of David</t>
        </is>
      </c>
      <c r="J344" s="15" t="n"/>
      <c r="K344" s="15" t="n"/>
      <c r="L344" s="15" t="inlineStr">
        <is>
          <t>Life of David (1107–1037 B.C.E.). Kingdom covenant: B1 (after 1070 B.C.E.) — Jehovah assures King David and later his son Solomon that the promised offspring would come through their family line (2 Sam. 7:12, 16); record b3-0009. Insight 'Seed': of all Judah, the coming seed was restricted to the line of David (2 Sam. 7:12-16). Here the lines of Matthew (through Solomon) and Luke (through Nathan) divide.</t>
        </is>
      </c>
      <c r="M344" s="16" t="n"/>
    </row>
    <row r="345">
      <c r="A345" s="15" t="inlineStr">
        <is>
          <t>messianic-line</t>
        </is>
      </c>
      <c r="B345" s="15" t="n">
        <v>34</v>
      </c>
      <c r="C345" s="15" t="inlineStr">
        <is>
          <t>item</t>
        </is>
      </c>
      <c r="D345" s="15" t="inlineStr">
        <is>
          <t>David to Jesus through Solomon and Joseph (Matthew 1; 1 Chronicles 3)</t>
        </is>
      </c>
      <c r="E345" s="15" t="inlineStr">
        <is>
          <t>Solomon</t>
        </is>
      </c>
      <c r="F345" s="15" t="inlineStr">
        <is>
          <t>b12-0013</t>
        </is>
      </c>
      <c r="G345" s="15" t="inlineStr">
        <is>
          <t>Span</t>
        </is>
      </c>
      <c r="H345" s="15" t="inlineStr">
        <is>
          <t>1037-998 B.C.E.</t>
        </is>
      </c>
      <c r="I345" s="15" t="inlineStr">
        <is>
          <t>Reign of Solomon</t>
        </is>
      </c>
      <c r="J345" s="15" t="n"/>
      <c r="K345" s="15" t="n"/>
      <c r="L345" s="15" t="inlineStr">
        <is>
          <t>No lifespan record; reign 1037–998 B.C.E. used. B1: the promise was confirmed to Solomon (1 Ki. 9:3-5).</t>
        </is>
      </c>
      <c r="M345" s="16" t="n"/>
    </row>
    <row r="346">
      <c r="A346" s="15" t="inlineStr">
        <is>
          <t>messianic-line</t>
        </is>
      </c>
      <c r="B346" s="15" t="n">
        <v>35</v>
      </c>
      <c r="C346" s="15" t="inlineStr">
        <is>
          <t>item</t>
        </is>
      </c>
      <c r="D346" s="15" t="inlineStr">
        <is>
          <t>David to Jesus through Solomon and Joseph (Matthew 1; 1 Chronicles 3)</t>
        </is>
      </c>
      <c r="E346" s="15" t="inlineStr">
        <is>
          <t>Rehoboam</t>
        </is>
      </c>
      <c r="F346" s="15" t="inlineStr">
        <is>
          <t>d1-0032</t>
        </is>
      </c>
      <c r="G346" s="15" t="inlineStr">
        <is>
          <t>Span</t>
        </is>
      </c>
      <c r="H346" s="15" t="inlineStr">
        <is>
          <t>997 B.C.E. – 980 B.C.E.</t>
        </is>
      </c>
      <c r="I346" s="15" t="inlineStr">
        <is>
          <t>Reign of Rehoboam (Judah)</t>
        </is>
      </c>
      <c r="J346" s="15" t="n"/>
      <c r="K346" s="15" t="n"/>
      <c r="L346" s="15" t="inlineStr">
        <is>
          <t>Reign record used.</t>
        </is>
      </c>
      <c r="M346" s="16" t="n"/>
    </row>
    <row r="347">
      <c r="A347" s="15" t="inlineStr">
        <is>
          <t>messianic-line</t>
        </is>
      </c>
      <c r="B347" s="15" t="n">
        <v>36</v>
      </c>
      <c r="C347" s="15" t="inlineStr">
        <is>
          <t>item</t>
        </is>
      </c>
      <c r="D347" s="15" t="inlineStr">
        <is>
          <t>David to Jesus through Solomon and Joseph (Matthew 1; 1 Chronicles 3)</t>
        </is>
      </c>
      <c r="E347" s="15" t="inlineStr">
        <is>
          <t>Abijah</t>
        </is>
      </c>
      <c r="F347" s="15" t="inlineStr">
        <is>
          <t>d1-0033</t>
        </is>
      </c>
      <c r="G347" s="15" t="inlineStr">
        <is>
          <t>Span</t>
        </is>
      </c>
      <c r="H347" s="15" t="inlineStr">
        <is>
          <t>980 B.C.E. – 978 B.C.E.</t>
        </is>
      </c>
      <c r="I347" s="15" t="inlineStr">
        <is>
          <t>Reign of Abijah (Judah)</t>
        </is>
      </c>
      <c r="J347" s="15" t="n"/>
      <c r="K347" s="15" t="n"/>
      <c r="L347" s="15" t="inlineStr">
        <is>
          <t>Reign record used.</t>
        </is>
      </c>
      <c r="M347" s="16" t="n"/>
    </row>
    <row r="348">
      <c r="A348" s="15" t="inlineStr">
        <is>
          <t>messianic-line</t>
        </is>
      </c>
      <c r="B348" s="15" t="n">
        <v>37</v>
      </c>
      <c r="C348" s="15" t="inlineStr">
        <is>
          <t>item</t>
        </is>
      </c>
      <c r="D348" s="15" t="inlineStr">
        <is>
          <t>David to Jesus through Solomon and Joseph (Matthew 1; 1 Chronicles 3)</t>
        </is>
      </c>
      <c r="E348" s="15" t="inlineStr">
        <is>
          <t>Asa</t>
        </is>
      </c>
      <c r="F348" s="15" t="inlineStr">
        <is>
          <t>d1-0034</t>
        </is>
      </c>
      <c r="G348" s="15" t="inlineStr">
        <is>
          <t>Span</t>
        </is>
      </c>
      <c r="H348" s="15" t="inlineStr">
        <is>
          <t>978 B.C.E. – 937 B.C.E.</t>
        </is>
      </c>
      <c r="I348" s="15" t="inlineStr">
        <is>
          <t>Reign of Asa (Judah)</t>
        </is>
      </c>
      <c r="J348" s="15" t="n"/>
      <c r="K348" s="15" t="n"/>
      <c r="L348" s="15" t="inlineStr">
        <is>
          <t>Reign record used.</t>
        </is>
      </c>
      <c r="M348" s="16" t="n"/>
    </row>
    <row r="349">
      <c r="A349" s="15" t="inlineStr">
        <is>
          <t>messianic-line</t>
        </is>
      </c>
      <c r="B349" s="15" t="n">
        <v>38</v>
      </c>
      <c r="C349" s="15" t="inlineStr">
        <is>
          <t>item</t>
        </is>
      </c>
      <c r="D349" s="15" t="inlineStr">
        <is>
          <t>David to Jesus through Solomon and Joseph (Matthew 1; 1 Chronicles 3)</t>
        </is>
      </c>
      <c r="E349" s="15" t="inlineStr">
        <is>
          <t>Jehoshaphat</t>
        </is>
      </c>
      <c r="F349" s="15" t="inlineStr">
        <is>
          <t>d1-0035</t>
        </is>
      </c>
      <c r="G349" s="15" t="inlineStr">
        <is>
          <t>Span</t>
        </is>
      </c>
      <c r="H349" s="15" t="inlineStr">
        <is>
          <t>937 B.C.E. – 913 B.C.E.</t>
        </is>
      </c>
      <c r="I349" s="15" t="inlineStr">
        <is>
          <t>Reign of Jehoshaphat (Judah)</t>
        </is>
      </c>
      <c r="J349" s="15" t="n"/>
      <c r="K349" s="15" t="n"/>
      <c r="L349" s="15" t="inlineStr">
        <is>
          <t>Reign record used.</t>
        </is>
      </c>
      <c r="M349" s="16" t="n"/>
    </row>
    <row r="350">
      <c r="A350" s="15" t="inlineStr">
        <is>
          <t>messianic-line</t>
        </is>
      </c>
      <c r="B350" s="15" t="n">
        <v>39</v>
      </c>
      <c r="C350" s="15" t="inlineStr">
        <is>
          <t>item</t>
        </is>
      </c>
      <c r="D350" s="15" t="inlineStr">
        <is>
          <t>David to Jesus through Solomon and Joseph (Matthew 1; 1 Chronicles 3)</t>
        </is>
      </c>
      <c r="E350" s="15" t="inlineStr">
        <is>
          <t>Jehoram</t>
        </is>
      </c>
      <c r="F350" s="15" t="inlineStr">
        <is>
          <t>d1-0036</t>
        </is>
      </c>
      <c r="G350" s="15" t="inlineStr">
        <is>
          <t>Span</t>
        </is>
      </c>
      <c r="H350" s="15" t="inlineStr">
        <is>
          <t>913 B.C.E. – c. 906 B.C.E.</t>
        </is>
      </c>
      <c r="I350" s="15" t="inlineStr">
        <is>
          <t>Reign of Jehoram (Judah)</t>
        </is>
      </c>
      <c r="J350" s="15" t="n"/>
      <c r="K350" s="15" t="n"/>
      <c r="L350" s="15" t="inlineStr">
        <is>
          <t>Reign record used.</t>
        </is>
      </c>
      <c r="M350" s="16" t="n"/>
    </row>
    <row r="351">
      <c r="A351" s="15" t="inlineStr">
        <is>
          <t>messianic-line</t>
        </is>
      </c>
      <c r="B351" s="15" t="n">
        <v>40</v>
      </c>
      <c r="C351" s="15" t="inlineStr">
        <is>
          <t>item</t>
        </is>
      </c>
      <c r="D351" s="15" t="inlineStr">
        <is>
          <t>David to Jesus through Solomon and Joseph (Matthew 1; 1 Chronicles 3)</t>
        </is>
      </c>
      <c r="E351" s="15" t="inlineStr">
        <is>
          <t>Ahaziah</t>
        </is>
      </c>
      <c r="F351" s="15" t="inlineStr">
        <is>
          <t>d1-0037</t>
        </is>
      </c>
      <c r="G351" s="15" t="inlineStr">
        <is>
          <t>Span</t>
        </is>
      </c>
      <c r="H351" s="15" t="inlineStr">
        <is>
          <t>c. 906 B.C.E. – c. 905 B.C.E.</t>
        </is>
      </c>
      <c r="I351" s="15" t="inlineStr">
        <is>
          <t>Reign of Ahaziah (Judah)</t>
        </is>
      </c>
      <c r="J351" s="15" t="n"/>
      <c r="K351" s="15" t="n"/>
      <c r="L351" s="15" t="inlineStr">
        <is>
          <t>Reign record used. Listed in 1 Chron. 3:11; Matthew omits Ahaziah, Jehoash and Amaziah (Insight: possibly because Jehoram married Athaliah of the house of Ahab). Tamil name from the Tamil NWT App. A6 (b3-0042).</t>
        </is>
      </c>
      <c r="M351" s="16" t="n"/>
    </row>
    <row r="352">
      <c r="A352" s="15" t="inlineStr">
        <is>
          <t>messianic-line</t>
        </is>
      </c>
      <c r="B352" s="15" t="n">
        <v>41</v>
      </c>
      <c r="C352" s="15" t="inlineStr">
        <is>
          <t>item</t>
        </is>
      </c>
      <c r="D352" s="15" t="inlineStr">
        <is>
          <t>David to Jesus through Solomon and Joseph (Matthew 1; 1 Chronicles 3)</t>
        </is>
      </c>
      <c r="E352" s="15" t="inlineStr">
        <is>
          <t>Jehoash</t>
        </is>
      </c>
      <c r="F352" s="15" t="inlineStr">
        <is>
          <t>d1-0039</t>
        </is>
      </c>
      <c r="G352" s="15" t="inlineStr">
        <is>
          <t>Span</t>
        </is>
      </c>
      <c r="H352" s="15" t="inlineStr">
        <is>
          <t>898 B.C.E. – 858 B.C.E.</t>
        </is>
      </c>
      <c r="I352" s="15" t="inlineStr">
        <is>
          <t>Reign of Jehoash (Judah)</t>
        </is>
      </c>
      <c r="J352" s="15" t="n"/>
      <c r="K352" s="15" t="n"/>
      <c r="L352" s="15" t="inlineStr">
        <is>
          <t>Reign record used. Listed in 1 Chron. 3:11; omitted in Matthew. Tamil name from the Tamil NWT App. A6 (b3-0045).</t>
        </is>
      </c>
      <c r="M352" s="16" t="n"/>
    </row>
    <row r="353">
      <c r="A353" s="15" t="inlineStr">
        <is>
          <t>messianic-line</t>
        </is>
      </c>
      <c r="B353" s="15" t="n">
        <v>42</v>
      </c>
      <c r="C353" s="15" t="inlineStr">
        <is>
          <t>item</t>
        </is>
      </c>
      <c r="D353" s="15" t="inlineStr">
        <is>
          <t>David to Jesus through Solomon and Joseph (Matthew 1; 1 Chronicles 3)</t>
        </is>
      </c>
      <c r="E353" s="15" t="inlineStr">
        <is>
          <t>Amaziah</t>
        </is>
      </c>
      <c r="F353" s="15" t="inlineStr">
        <is>
          <t>d1-0040</t>
        </is>
      </c>
      <c r="G353" s="15" t="inlineStr">
        <is>
          <t>Span</t>
        </is>
      </c>
      <c r="H353" s="15" t="inlineStr">
        <is>
          <t>858 B.C.E. – 829 B.C.E.</t>
        </is>
      </c>
      <c r="I353" s="15" t="inlineStr">
        <is>
          <t>Reign of Amaziah (Judah)</t>
        </is>
      </c>
      <c r="J353" s="15" t="n"/>
      <c r="K353" s="15" t="n"/>
      <c r="L353" s="15" t="inlineStr">
        <is>
          <t>Reign record used. Listed in 1 Chron. 3:12; omitted in Matthew. Tamil name from the Tamil NWT App. A6 (b3-0049).</t>
        </is>
      </c>
      <c r="M353" s="16" t="n"/>
    </row>
    <row r="354">
      <c r="A354" s="15" t="inlineStr">
        <is>
          <t>messianic-line</t>
        </is>
      </c>
      <c r="B354" s="15" t="n">
        <v>43</v>
      </c>
      <c r="C354" s="15" t="inlineStr">
        <is>
          <t>item</t>
        </is>
      </c>
      <c r="D354" s="15" t="inlineStr">
        <is>
          <t>David to Jesus through Solomon and Joseph (Matthew 1; 1 Chronicles 3)</t>
        </is>
      </c>
      <c r="E354" s="15" t="inlineStr">
        <is>
          <t>Uzziah (Azariah)</t>
        </is>
      </c>
      <c r="F354" s="15" t="inlineStr">
        <is>
          <t>d1-0041</t>
        </is>
      </c>
      <c r="G354" s="15" t="inlineStr">
        <is>
          <t>Span</t>
        </is>
      </c>
      <c r="H354" s="15" t="inlineStr">
        <is>
          <t>829 B.C.E. – 777 B.C.E.</t>
        </is>
      </c>
      <c r="I354" s="15" t="inlineStr">
        <is>
          <t>Reign of Uzziah (Azariah) (Judah)</t>
        </is>
      </c>
      <c r="J354" s="15" t="n"/>
      <c r="K354" s="15" t="n"/>
      <c r="L354" s="15" t="inlineStr">
        <is>
          <t>Reign record used.</t>
        </is>
      </c>
      <c r="M354" s="16" t="n"/>
    </row>
    <row r="355">
      <c r="A355" s="15" t="inlineStr">
        <is>
          <t>messianic-line</t>
        </is>
      </c>
      <c r="B355" s="15" t="n">
        <v>44</v>
      </c>
      <c r="C355" s="15" t="inlineStr">
        <is>
          <t>item</t>
        </is>
      </c>
      <c r="D355" s="15" t="inlineStr">
        <is>
          <t>David to Jesus through Solomon and Joseph (Matthew 1; 1 Chronicles 3)</t>
        </is>
      </c>
      <c r="E355" s="15" t="inlineStr">
        <is>
          <t>Jotham</t>
        </is>
      </c>
      <c r="F355" s="15" t="inlineStr">
        <is>
          <t>d1-0042</t>
        </is>
      </c>
      <c r="G355" s="15" t="inlineStr">
        <is>
          <t>Span</t>
        </is>
      </c>
      <c r="H355" s="15" t="inlineStr">
        <is>
          <t>777 B.C.E. – 762 B.C.E.</t>
        </is>
      </c>
      <c r="I355" s="15" t="inlineStr">
        <is>
          <t>Reign of Jotham (Judah)</t>
        </is>
      </c>
      <c r="J355" s="15" t="n"/>
      <c r="K355" s="15" t="n"/>
      <c r="L355" s="15" t="inlineStr">
        <is>
          <t>Reign record used.</t>
        </is>
      </c>
      <c r="M355" s="16" t="n"/>
    </row>
    <row r="356">
      <c r="A356" s="15" t="inlineStr">
        <is>
          <t>messianic-line</t>
        </is>
      </c>
      <c r="B356" s="15" t="n">
        <v>45</v>
      </c>
      <c r="C356" s="15" t="inlineStr">
        <is>
          <t>item</t>
        </is>
      </c>
      <c r="D356" s="15" t="inlineStr">
        <is>
          <t>David to Jesus through Solomon and Joseph (Matthew 1; 1 Chronicles 3)</t>
        </is>
      </c>
      <c r="E356" s="15" t="inlineStr">
        <is>
          <t>Ahaz</t>
        </is>
      </c>
      <c r="F356" s="15" t="inlineStr">
        <is>
          <t>d1-0043</t>
        </is>
      </c>
      <c r="G356" s="15" t="inlineStr">
        <is>
          <t>Span</t>
        </is>
      </c>
      <c r="H356" s="15" t="inlineStr">
        <is>
          <t>762 B.C.E. – 746 B.C.E.</t>
        </is>
      </c>
      <c r="I356" s="15" t="inlineStr">
        <is>
          <t>Reign of Ahaz (Judah)</t>
        </is>
      </c>
      <c r="J356" s="15" t="n"/>
      <c r="K356" s="15" t="n"/>
      <c r="L356" s="15" t="inlineStr">
        <is>
          <t>Reign record used.</t>
        </is>
      </c>
      <c r="M356" s="16" t="n"/>
    </row>
    <row r="357">
      <c r="A357" s="15" t="inlineStr">
        <is>
          <t>messianic-line</t>
        </is>
      </c>
      <c r="B357" s="15" t="n">
        <v>46</v>
      </c>
      <c r="C357" s="15" t="inlineStr">
        <is>
          <t>item</t>
        </is>
      </c>
      <c r="D357" s="15" t="inlineStr">
        <is>
          <t>David to Jesus through Solomon and Joseph (Matthew 1; 1 Chronicles 3)</t>
        </is>
      </c>
      <c r="E357" s="15" t="inlineStr">
        <is>
          <t>Hezekiah</t>
        </is>
      </c>
      <c r="F357" s="15" t="inlineStr">
        <is>
          <t>d1-0044</t>
        </is>
      </c>
      <c r="G357" s="15" t="inlineStr">
        <is>
          <t>Span</t>
        </is>
      </c>
      <c r="H357" s="15" t="inlineStr">
        <is>
          <t>746 B.C.E. – 716 B.C.E.</t>
        </is>
      </c>
      <c r="I357" s="15" t="inlineStr">
        <is>
          <t>Reign of Hezekiah (Judah)</t>
        </is>
      </c>
      <c r="J357" s="15" t="n"/>
      <c r="K357" s="15" t="n"/>
      <c r="L357" s="15" t="inlineStr">
        <is>
          <t>Reign record used.</t>
        </is>
      </c>
      <c r="M357" s="16" t="n"/>
    </row>
    <row r="358">
      <c r="A358" s="15" t="inlineStr">
        <is>
          <t>messianic-line</t>
        </is>
      </c>
      <c r="B358" s="15" t="n">
        <v>47</v>
      </c>
      <c r="C358" s="15" t="inlineStr">
        <is>
          <t>item</t>
        </is>
      </c>
      <c r="D358" s="15" t="inlineStr">
        <is>
          <t>David to Jesus through Solomon and Joseph (Matthew 1; 1 Chronicles 3)</t>
        </is>
      </c>
      <c r="E358" s="15" t="inlineStr">
        <is>
          <t>Manasseh</t>
        </is>
      </c>
      <c r="F358" s="15" t="inlineStr">
        <is>
          <t>d1-0045</t>
        </is>
      </c>
      <c r="G358" s="15" t="inlineStr">
        <is>
          <t>Span</t>
        </is>
      </c>
      <c r="H358" s="15" t="inlineStr">
        <is>
          <t>716 B.C.E. – 661 B.C.E.</t>
        </is>
      </c>
      <c r="I358" s="15" t="inlineStr">
        <is>
          <t>Reign of Manasseh (Judah)</t>
        </is>
      </c>
      <c r="J358" s="15" t="n"/>
      <c r="K358" s="15" t="n"/>
      <c r="L358" s="15" t="inlineStr">
        <is>
          <t>Reign record used.</t>
        </is>
      </c>
      <c r="M358" s="16" t="n"/>
    </row>
    <row r="359">
      <c r="A359" s="15" t="inlineStr">
        <is>
          <t>messianic-line</t>
        </is>
      </c>
      <c r="B359" s="15" t="n">
        <v>48</v>
      </c>
      <c r="C359" s="15" t="inlineStr">
        <is>
          <t>item</t>
        </is>
      </c>
      <c r="D359" s="15" t="inlineStr">
        <is>
          <t>David to Jesus through Solomon and Joseph (Matthew 1; 1 Chronicles 3)</t>
        </is>
      </c>
      <c r="E359" s="15" t="inlineStr">
        <is>
          <t>Amon</t>
        </is>
      </c>
      <c r="F359" s="15" t="inlineStr">
        <is>
          <t>d1-0046</t>
        </is>
      </c>
      <c r="G359" s="15" t="inlineStr">
        <is>
          <t>Span</t>
        </is>
      </c>
      <c r="H359" s="15" t="inlineStr">
        <is>
          <t>661 B.C.E. – 659 B.C.E.</t>
        </is>
      </c>
      <c r="I359" s="15" t="inlineStr">
        <is>
          <t>Reign of Amon (Judah)</t>
        </is>
      </c>
      <c r="J359" s="15" t="n"/>
      <c r="K359" s="15" t="n"/>
      <c r="L359" s="15" t="inlineStr">
        <is>
          <t>Reign record used.</t>
        </is>
      </c>
      <c r="M359" s="16" t="n"/>
    </row>
    <row r="360">
      <c r="A360" s="15" t="inlineStr">
        <is>
          <t>messianic-line</t>
        </is>
      </c>
      <c r="B360" s="15" t="n">
        <v>49</v>
      </c>
      <c r="C360" s="15" t="inlineStr">
        <is>
          <t>item</t>
        </is>
      </c>
      <c r="D360" s="15" t="inlineStr">
        <is>
          <t>David to Jesus through Solomon and Joseph (Matthew 1; 1 Chronicles 3)</t>
        </is>
      </c>
      <c r="E360" s="15" t="inlineStr">
        <is>
          <t>Josiah</t>
        </is>
      </c>
      <c r="F360" s="15" t="inlineStr">
        <is>
          <t>d1-0047</t>
        </is>
      </c>
      <c r="G360" s="15" t="inlineStr">
        <is>
          <t>Span</t>
        </is>
      </c>
      <c r="H360" s="15" t="inlineStr">
        <is>
          <t>659 B.C.E. – 628 B.C.E.</t>
        </is>
      </c>
      <c r="I360" s="15" t="inlineStr">
        <is>
          <t>Reign of Josiah (Judah)</t>
        </is>
      </c>
      <c r="J360" s="15" t="n"/>
      <c r="K360" s="15" t="n"/>
      <c r="L360" s="15" t="inlineStr">
        <is>
          <t>Reign record used.</t>
        </is>
      </c>
      <c r="M360" s="16" t="n"/>
    </row>
    <row r="361">
      <c r="A361" s="15" t="inlineStr">
        <is>
          <t>messianic-line</t>
        </is>
      </c>
      <c r="B361" s="15" t="n">
        <v>50</v>
      </c>
      <c r="C361" s="15" t="inlineStr">
        <is>
          <t>item</t>
        </is>
      </c>
      <c r="D361" s="15" t="inlineStr">
        <is>
          <t>David to Jesus through Solomon and Joseph (Matthew 1; 1 Chronicles 3)</t>
        </is>
      </c>
      <c r="E361" s="15" t="inlineStr">
        <is>
          <t>Jehoiakim</t>
        </is>
      </c>
      <c r="F361" s="15" t="inlineStr">
        <is>
          <t>d1-0049</t>
        </is>
      </c>
      <c r="G361" s="15" t="inlineStr">
        <is>
          <t>Span</t>
        </is>
      </c>
      <c r="H361" s="15" t="inlineStr">
        <is>
          <t>628 B.C.E. – 618 B.C.E.</t>
        </is>
      </c>
      <c r="I361" s="15" t="inlineStr">
        <is>
          <t>Reign of Jehoiakim (Judah)</t>
        </is>
      </c>
      <c r="J361" s="15" t="n"/>
      <c r="K361" s="15" t="n"/>
      <c r="L361" s="15" t="inlineStr">
        <is>
          <t>Reign record used. Listed in 1 Chron. 3:15, 16 (Insight chart, Chronicles column); Matthew goes from Josiah to Jeconiah. Tamil name from the Tamil NWT App. A6 (b3-0096).</t>
        </is>
      </c>
      <c r="M361" s="16" t="n"/>
    </row>
    <row r="362">
      <c r="A362" s="15" t="inlineStr">
        <is>
          <t>messianic-line</t>
        </is>
      </c>
      <c r="B362" s="15" t="n">
        <v>51</v>
      </c>
      <c r="C362" s="15" t="inlineStr">
        <is>
          <t>item</t>
        </is>
      </c>
      <c r="D362" s="15" t="inlineStr">
        <is>
          <t>David to Jesus through Solomon and Joseph (Matthew 1; 1 Chronicles 3)</t>
        </is>
      </c>
      <c r="E362" s="15" t="inlineStr">
        <is>
          <t>Jeconiah (Jehoiachin)</t>
        </is>
      </c>
      <c r="F362" s="15" t="inlineStr">
        <is>
          <t>d1-0050</t>
        </is>
      </c>
      <c r="G362" s="15" t="inlineStr">
        <is>
          <t>Span</t>
        </is>
      </c>
      <c r="H362" s="15" t="inlineStr">
        <is>
          <t>618 B.C.E.</t>
        </is>
      </c>
      <c r="I362" s="15" t="inlineStr">
        <is>
          <t>Reign of Jehoiachin (Judah)</t>
        </is>
      </c>
      <c r="J362" s="15" t="n"/>
      <c r="K362" s="15" t="n"/>
      <c r="L362" s="15" t="inlineStr">
        <is>
          <t>Reign record used (618 B.C.E.); his captivity in Babylon is b12-0021.</t>
        </is>
      </c>
      <c r="M362" s="16" t="n"/>
    </row>
    <row r="363">
      <c r="A363" s="15" t="inlineStr">
        <is>
          <t>messianic-line</t>
        </is>
      </c>
      <c r="B363" s="15" t="n">
        <v>53</v>
      </c>
      <c r="C363" s="15" t="inlineStr">
        <is>
          <t>item</t>
        </is>
      </c>
      <c r="D363" s="15" t="inlineStr">
        <is>
          <t>David to Jesus through Solomon and Joseph (Matthew 1; 1 Chronicles 3)</t>
        </is>
      </c>
      <c r="E363" s="15" t="inlineStr">
        <is>
          <t>Zerubbabel</t>
        </is>
      </c>
      <c r="F363" s="15" t="inlineStr">
        <is>
          <t>b12-0028</t>
        </is>
      </c>
      <c r="G363" s="15" t="inlineStr">
        <is>
          <t>Span</t>
        </is>
      </c>
      <c r="H363" s="15" t="inlineStr">
        <is>
          <t>536 B.C.E.–515 B.C.E.</t>
        </is>
      </c>
      <c r="I363" s="15" t="inlineStr">
        <is>
          <t>Rebuilding of the temple under Zerubbabel</t>
        </is>
      </c>
      <c r="J363" s="15" t="n"/>
      <c r="K363" s="15" t="n"/>
      <c r="L363" s="15" t="inlineStr">
        <is>
          <t>No lifespan record; the rebuilding of the temple under Zerubbabel (536–515 B.C.E.) is used. Insight: the lines of Matthew and Luke meet in Shealtiel and Zerubbabel, then diverge (Abiud in Matthew, Rhesa in Luke).</t>
        </is>
      </c>
      <c r="M363" s="16" t="n"/>
    </row>
    <row r="364">
      <c r="A364" s="15" t="inlineStr">
        <is>
          <t>messianic-line</t>
        </is>
      </c>
      <c r="B364" s="15" t="n">
        <v>64</v>
      </c>
      <c r="C364" s="15" t="inlineStr">
        <is>
          <t>item</t>
        </is>
      </c>
      <c r="D364" s="15" t="n"/>
      <c r="E364" s="15" t="inlineStr">
        <is>
          <t>Jesus</t>
        </is>
      </c>
      <c r="F364" s="15" t="inlineStr">
        <is>
          <t>d1-0024</t>
        </is>
      </c>
      <c r="G364" s="15" t="inlineStr">
        <is>
          <t>Span</t>
        </is>
      </c>
      <c r="H364" s="15" t="inlineStr">
        <is>
          <t>2 B.C.E., c. Oct. 1 – 33 C.E., Nisan 14 (c. 3:00 p.m., Friday)</t>
        </is>
      </c>
      <c r="I364" s="15" t="inlineStr">
        <is>
          <t>Jesus' earthly life</t>
        </is>
      </c>
      <c r="J364" s="15" t="n"/>
      <c r="K364" s="15" t="n"/>
      <c r="L364" s="15" t="inlineStr">
        <is>
          <t>Jesus' earthly life. Insight: Matthew shows Jesus' legal right to David's throne through his adoptive father Joseph; Luke shows his natural descent from David through his mother Mary (Luke 3:23, 'son, as the opinion was, of Joseph, son of Heli').</t>
        </is>
      </c>
      <c r="M364" s="16" t="n"/>
    </row>
    <row r="365">
      <c r="A365" s="15" t="inlineStr">
        <is>
          <t>messianic-prophecies</t>
        </is>
      </c>
      <c r="B365" s="15" t="n">
        <v>11</v>
      </c>
      <c r="C365" s="15" t="inlineStr">
        <is>
          <t>prophecy</t>
        </is>
      </c>
      <c r="D365" s="15" t="inlineStr">
        <is>
          <t>Born in Bethlehem</t>
        </is>
      </c>
      <c r="E365" s="15" t="inlineStr">
        <is>
          <t>Born in Bethlehem</t>
        </is>
      </c>
      <c r="F365" s="15" t="inlineStr">
        <is>
          <t>b11-0022</t>
        </is>
      </c>
      <c r="G365" s="15" t="inlineStr">
        <is>
          <t>Point</t>
        </is>
      </c>
      <c r="H365" s="15" t="inlineStr">
        <is>
          <t>b. 717 B.C.E.</t>
        </is>
      </c>
      <c r="I365" s="15" t="inlineStr">
        <is>
          <t>Writing of Micah completed</t>
        </is>
      </c>
      <c r="J365" s="15" t="inlineStr">
        <is>
          <t>b5-0006</t>
        </is>
      </c>
      <c r="K365" s="15" t="inlineStr">
        <is>
          <t>Mic. 5:2</t>
        </is>
      </c>
      <c r="L365" s="15" t="inlineStr">
        <is>
          <t>Anchored to the completion of Micah (b. 717 B.C.E.); the prophecy itself is not separately dated.</t>
        </is>
      </c>
      <c r="M365" s="16" t="n"/>
    </row>
    <row r="366">
      <c r="A366" s="15" t="inlineStr">
        <is>
          <t>messianic-prophecies</t>
        </is>
      </c>
      <c r="B366" s="15" t="n">
        <v>15</v>
      </c>
      <c r="C366" s="15" t="inlineStr">
        <is>
          <t>fulfillment</t>
        </is>
      </c>
      <c r="D366" s="15" t="inlineStr">
        <is>
          <t>Born in Bethlehem</t>
        </is>
      </c>
      <c r="E366" s="15" t="inlineStr">
        <is>
          <t>Born in Bethlehem</t>
        </is>
      </c>
      <c r="F366" s="15" t="inlineStr">
        <is>
          <t>b5-0006</t>
        </is>
      </c>
      <c r="G366" s="15" t="inlineStr">
        <is>
          <t>Point</t>
        </is>
      </c>
      <c r="H366" s="15" t="inlineStr">
        <is>
          <t>2 B.C.E., c. Oct. 1</t>
        </is>
      </c>
      <c r="I366" s="15" t="inlineStr">
        <is>
          <t>Jesus born; “the Word became flesh”</t>
        </is>
      </c>
      <c r="J366" s="15" t="inlineStr">
        <is>
          <t>b11-0022</t>
        </is>
      </c>
      <c r="K366" s="15" t="inlineStr">
        <is>
          <t>Luke 2:1-6</t>
        </is>
      </c>
      <c r="L366" s="15" t="n"/>
      <c r="M366" s="16" t="n"/>
    </row>
    <row r="367">
      <c r="A367" s="15" t="inlineStr">
        <is>
          <t>messianic-prophecies</t>
        </is>
      </c>
      <c r="B367" s="15" t="n">
        <v>21</v>
      </c>
      <c r="C367" s="15" t="inlineStr">
        <is>
          <t>prophecy</t>
        </is>
      </c>
      <c r="D367" s="15" t="inlineStr">
        <is>
          <t>Born of the tribe of Judah</t>
        </is>
      </c>
      <c r="E367" s="15" t="inlineStr">
        <is>
          <t>Born of the tribe of Judah</t>
        </is>
      </c>
      <c r="F367" s="15" t="inlineStr">
        <is>
          <t>b2-0006</t>
        </is>
      </c>
      <c r="G367" s="15" t="inlineStr">
        <is>
          <t>Point</t>
        </is>
      </c>
      <c r="H367" s="15" t="inlineStr">
        <is>
          <t>1711 B.C.E.</t>
        </is>
      </c>
      <c r="I367" s="15" t="inlineStr">
        <is>
          <t>Death of Jacob</t>
        </is>
      </c>
      <c r="J367" s="15" t="inlineStr">
        <is>
          <t>b5-0006</t>
        </is>
      </c>
      <c r="K367" s="15" t="inlineStr">
        <is>
          <t>Gen. 49:10</t>
        </is>
      </c>
      <c r="L367" s="15" t="inlineStr">
        <is>
          <t>Spoken by Jacob in his deathbed blessing of his sons (Gen. 49:1, 10, 33), anchored to Jacob's death in 1711 B.C.E. (the book of Genesis was completed in 1513 B.C.E., b11-0002).</t>
        </is>
      </c>
      <c r="M367" s="16" t="n"/>
    </row>
    <row r="368">
      <c r="A368" s="15" t="inlineStr">
        <is>
          <t>messianic-prophecies</t>
        </is>
      </c>
      <c r="B368" s="15" t="n">
        <v>25</v>
      </c>
      <c r="C368" s="15" t="inlineStr">
        <is>
          <t>fulfillment</t>
        </is>
      </c>
      <c r="D368" s="15" t="inlineStr">
        <is>
          <t>Born of the tribe of Judah</t>
        </is>
      </c>
      <c r="E368" s="15" t="inlineStr">
        <is>
          <t>Born of the tribe of Judah</t>
        </is>
      </c>
      <c r="F368" s="15" t="inlineStr">
        <is>
          <t>b5-0006</t>
        </is>
      </c>
      <c r="G368" s="15" t="inlineStr">
        <is>
          <t>Point</t>
        </is>
      </c>
      <c r="H368" s="15" t="inlineStr">
        <is>
          <t>2 B.C.E., c. Oct. 1</t>
        </is>
      </c>
      <c r="I368" s="15" t="inlineStr">
        <is>
          <t>Jesus born; “the Word became flesh”</t>
        </is>
      </c>
      <c r="J368" s="15" t="inlineStr">
        <is>
          <t>b2-0006</t>
        </is>
      </c>
      <c r="K368" s="15" t="inlineStr">
        <is>
          <t>Luke 3:23-33</t>
        </is>
      </c>
      <c r="L368" s="15" t="inlineStr">
        <is>
          <t>Fulfillment shown by Jesus' genealogy (Luke 3:23-33); anchored to his birth.</t>
        </is>
      </c>
      <c r="M368" s="16" t="n"/>
    </row>
    <row r="369">
      <c r="A369" s="15" t="inlineStr">
        <is>
          <t>messianic-prophecies</t>
        </is>
      </c>
      <c r="B369" s="15" t="n">
        <v>31</v>
      </c>
      <c r="C369" s="15" t="inlineStr">
        <is>
          <t>prophecy</t>
        </is>
      </c>
      <c r="D369" s="15" t="inlineStr">
        <is>
          <t>Born of a virgin</t>
        </is>
      </c>
      <c r="E369" s="15" t="inlineStr">
        <is>
          <t>Born of a virgin</t>
        </is>
      </c>
      <c r="F369" s="15" t="inlineStr">
        <is>
          <t>b11-0021</t>
        </is>
      </c>
      <c r="G369" s="15" t="inlineStr">
        <is>
          <t>Point</t>
        </is>
      </c>
      <c r="H369" s="15" t="inlineStr">
        <is>
          <t>a. 732 B.C.E.</t>
        </is>
      </c>
      <c r="I369" s="15" t="inlineStr">
        <is>
          <t>Writing of Isaiah completed</t>
        </is>
      </c>
      <c r="J369" s="15" t="inlineStr">
        <is>
          <t>b5-0006</t>
        </is>
      </c>
      <c r="K369" s="15" t="inlineStr">
        <is>
          <t>Isa. 7:14</t>
        </is>
      </c>
      <c r="L369" s="15" t="inlineStr">
        <is>
          <t>Anchored to the completion of Isaiah (a. 732 B.C.E.); the prophecy itself is not separately dated.</t>
        </is>
      </c>
      <c r="M369" s="16" t="n"/>
    </row>
    <row r="370">
      <c r="A370" s="15" t="inlineStr">
        <is>
          <t>messianic-prophecies</t>
        </is>
      </c>
      <c r="B370" s="15" t="n">
        <v>35</v>
      </c>
      <c r="C370" s="15" t="inlineStr">
        <is>
          <t>fulfillment</t>
        </is>
      </c>
      <c r="D370" s="15" t="inlineStr">
        <is>
          <t>Born of a virgin</t>
        </is>
      </c>
      <c r="E370" s="15" t="inlineStr">
        <is>
          <t>Born of a virgin</t>
        </is>
      </c>
      <c r="F370" s="15" t="inlineStr">
        <is>
          <t>b5-0006</t>
        </is>
      </c>
      <c r="G370" s="15" t="inlineStr">
        <is>
          <t>Point</t>
        </is>
      </c>
      <c r="H370" s="15" t="inlineStr">
        <is>
          <t>2 B.C.E., c. Oct. 1</t>
        </is>
      </c>
      <c r="I370" s="15" t="inlineStr">
        <is>
          <t>Jesus born; “the Word became flesh”</t>
        </is>
      </c>
      <c r="J370" s="15" t="inlineStr">
        <is>
          <t>b11-0021</t>
        </is>
      </c>
      <c r="K370" s="15" t="inlineStr">
        <is>
          <t>Matt. 1:18-25</t>
        </is>
      </c>
      <c r="L370" s="15" t="n"/>
      <c r="M370" s="16" t="n"/>
    </row>
    <row r="371">
      <c r="A371" s="15" t="inlineStr">
        <is>
          <t>messianic-prophecies</t>
        </is>
      </c>
      <c r="B371" s="15" t="n">
        <v>41</v>
      </c>
      <c r="C371" s="15" t="inlineStr">
        <is>
          <t>prophecy</t>
        </is>
      </c>
      <c r="D371" s="15" t="inlineStr">
        <is>
          <t>Descended from King David</t>
        </is>
      </c>
      <c r="E371" s="15" t="inlineStr">
        <is>
          <t>Descended from King David</t>
        </is>
      </c>
      <c r="F371" s="15" t="inlineStr">
        <is>
          <t>b11-0021</t>
        </is>
      </c>
      <c r="G371" s="15" t="inlineStr">
        <is>
          <t>Point</t>
        </is>
      </c>
      <c r="H371" s="15" t="inlineStr">
        <is>
          <t>a. 732 B.C.E.</t>
        </is>
      </c>
      <c r="I371" s="15" t="inlineStr">
        <is>
          <t>Writing of Isaiah completed</t>
        </is>
      </c>
      <c r="J371" s="15" t="inlineStr">
        <is>
          <t>b5-0006</t>
        </is>
      </c>
      <c r="K371" s="15" t="inlineStr">
        <is>
          <t>Isa. 9:7</t>
        </is>
      </c>
      <c r="L371" s="15" t="inlineStr">
        <is>
          <t>Anchored to the completion of Isaiah (a. 732 B.C.E.); the prophecy itself is not separately dated.</t>
        </is>
      </c>
      <c r="M371" s="16" t="n"/>
    </row>
    <row r="372">
      <c r="A372" s="15" t="inlineStr">
        <is>
          <t>messianic-prophecies</t>
        </is>
      </c>
      <c r="B372" s="15" t="n">
        <v>45</v>
      </c>
      <c r="C372" s="15" t="inlineStr">
        <is>
          <t>fulfillment</t>
        </is>
      </c>
      <c r="D372" s="15" t="inlineStr">
        <is>
          <t>Descended from King David</t>
        </is>
      </c>
      <c r="E372" s="15" t="inlineStr">
        <is>
          <t>Descended from King David</t>
        </is>
      </c>
      <c r="F372" s="15" t="inlineStr">
        <is>
          <t>b5-0006</t>
        </is>
      </c>
      <c r="G372" s="15" t="inlineStr">
        <is>
          <t>Point</t>
        </is>
      </c>
      <c r="H372" s="15" t="inlineStr">
        <is>
          <t>2 B.C.E., c. Oct. 1</t>
        </is>
      </c>
      <c r="I372" s="15" t="inlineStr">
        <is>
          <t>Jesus born; “the Word became flesh”</t>
        </is>
      </c>
      <c r="J372" s="15" t="inlineStr">
        <is>
          <t>b11-0021</t>
        </is>
      </c>
      <c r="K372" s="15" t="inlineStr">
        <is>
          <t>Matt. 1:1, 6-17</t>
        </is>
      </c>
      <c r="L372" s="15" t="inlineStr">
        <is>
          <t>Fulfillment shown by Jesus' genealogy (Matt. 1:1, 6-17); anchored to his birth.</t>
        </is>
      </c>
      <c r="M372" s="16" t="n"/>
    </row>
    <row r="373">
      <c r="A373" s="15" t="inlineStr">
        <is>
          <t>messianic-prophecies</t>
        </is>
      </c>
      <c r="B373" s="15" t="n">
        <v>51</v>
      </c>
      <c r="C373" s="15" t="inlineStr">
        <is>
          <t>prophecy</t>
        </is>
      </c>
      <c r="D373" s="15" t="inlineStr">
        <is>
          <t>Flight to and return from Egypt</t>
        </is>
      </c>
      <c r="E373" s="15" t="inlineStr">
        <is>
          <t>Flight to and return from Egypt</t>
        </is>
      </c>
      <c r="F373" s="15" t="inlineStr">
        <is>
          <t>b11-0020</t>
        </is>
      </c>
      <c r="G373" s="15" t="inlineStr">
        <is>
          <t>Point</t>
        </is>
      </c>
      <c r="H373" s="15" t="inlineStr">
        <is>
          <t>a. 745 B.C.E.</t>
        </is>
      </c>
      <c r="I373" s="15" t="inlineStr">
        <is>
          <t>Writing of Hosea completed</t>
        </is>
      </c>
      <c r="J373" s="15" t="inlineStr">
        <is>
          <t>b5-0011, b5-0013</t>
        </is>
      </c>
      <c r="K373" s="15" t="inlineStr">
        <is>
          <t>Hos. 11:1</t>
        </is>
      </c>
      <c r="L373" s="15" t="inlineStr">
        <is>
          <t>Anchored to the completion of Hosea (a. 745 B.C.E.); the prophecy itself is not separately dated.</t>
        </is>
      </c>
      <c r="M373" s="16" t="n"/>
    </row>
    <row r="374">
      <c r="A374" s="15" t="inlineStr">
        <is>
          <t>messianic-prophecies</t>
        </is>
      </c>
      <c r="B374" s="15" t="n">
        <v>55</v>
      </c>
      <c r="C374" s="15" t="inlineStr">
        <is>
          <t>fulfillment</t>
        </is>
      </c>
      <c r="D374" s="15" t="inlineStr">
        <is>
          <t>Flight to and return from Egypt</t>
        </is>
      </c>
      <c r="E374" s="15" t="inlineStr">
        <is>
          <t>Flight to and return from Egypt</t>
        </is>
      </c>
      <c r="F374" s="15" t="inlineStr">
        <is>
          <t>b5-0011</t>
        </is>
      </c>
      <c r="G374" s="15" t="inlineStr">
        <is>
          <t>Point</t>
        </is>
      </c>
      <c r="H374" s="15" t="inlineStr">
        <is>
          <t>1 B.C.E. or 1 C.E.</t>
        </is>
      </c>
      <c r="I374" s="15" t="inlineStr">
        <is>
          <t>Family flees to Egypt</t>
        </is>
      </c>
      <c r="J374" s="15" t="inlineStr">
        <is>
          <t>b11-0020</t>
        </is>
      </c>
      <c r="K374" s="15" t="inlineStr">
        <is>
          <t>Matt. 2:13-15, 19, 20</t>
        </is>
      </c>
      <c r="L374" s="15" t="n"/>
      <c r="M374" s="16" t="n"/>
    </row>
    <row r="375">
      <c r="A375" s="15" t="inlineStr">
        <is>
          <t>messianic-prophecies</t>
        </is>
      </c>
      <c r="B375" s="15" t="n">
        <v>55.1</v>
      </c>
      <c r="C375" s="15" t="inlineStr">
        <is>
          <t>fulfillment</t>
        </is>
      </c>
      <c r="D375" s="15" t="inlineStr">
        <is>
          <t>Flight to and return from Egypt</t>
        </is>
      </c>
      <c r="E375" s="15" t="inlineStr">
        <is>
          <t>Flight to and return from Egypt</t>
        </is>
      </c>
      <c r="F375" s="15" t="inlineStr">
        <is>
          <t>b5-0013</t>
        </is>
      </c>
      <c r="G375" s="15" t="inlineStr">
        <is>
          <t>Point</t>
        </is>
      </c>
      <c r="H375" s="15" t="inlineStr">
        <is>
          <t>1 B.C.E. or 1 C.E.</t>
        </is>
      </c>
      <c r="I375" s="15" t="inlineStr">
        <is>
          <t>Family returns from Egypt and settles in Nazareth</t>
        </is>
      </c>
      <c r="J375" s="15" t="inlineStr">
        <is>
          <t>b11-0020</t>
        </is>
      </c>
      <c r="K375" s="15" t="inlineStr">
        <is>
          <t>Matt. 2:13-15, 19, 20</t>
        </is>
      </c>
      <c r="L375" s="15" t="n"/>
      <c r="M375" s="16" t="n"/>
    </row>
    <row r="376">
      <c r="A376" s="15" t="inlineStr">
        <is>
          <t>messianic-prophecies</t>
        </is>
      </c>
      <c r="B376" s="15" t="n">
        <v>61</v>
      </c>
      <c r="C376" s="15" t="inlineStr">
        <is>
          <t>prophecy</t>
        </is>
      </c>
      <c r="D376" s="15" t="inlineStr">
        <is>
          <t>Mothers weep after their sons die in the attempt to kill young Jesus</t>
        </is>
      </c>
      <c r="E376" s="15" t="inlineStr">
        <is>
          <t>Mothers weep after their sons die in the attempt to kill young Jesus</t>
        </is>
      </c>
      <c r="F376" s="15" t="inlineStr">
        <is>
          <t>b11-0032</t>
        </is>
      </c>
      <c r="G376" s="15" t="inlineStr">
        <is>
          <t>Point</t>
        </is>
      </c>
      <c r="H376" s="15" t="inlineStr">
        <is>
          <t>580 B.C.E.</t>
        </is>
      </c>
      <c r="I376" s="15" t="inlineStr">
        <is>
          <t>Writing of Jeremiah completed</t>
        </is>
      </c>
      <c r="J376" s="15" t="inlineStr">
        <is>
          <t>b5-0012</t>
        </is>
      </c>
      <c r="K376" s="15" t="inlineStr">
        <is>
          <t>Jer. 31:15</t>
        </is>
      </c>
      <c r="L376" s="15" t="inlineStr">
        <is>
          <t>Anchored to the completion of Jeremiah (580 B.C.E.); the prophecy itself is not separately dated.</t>
        </is>
      </c>
      <c r="M376" s="16" t="n"/>
    </row>
    <row r="377">
      <c r="A377" s="15" t="inlineStr">
        <is>
          <t>messianic-prophecies</t>
        </is>
      </c>
      <c r="B377" s="15" t="n">
        <v>65</v>
      </c>
      <c r="C377" s="15" t="inlineStr">
        <is>
          <t>fulfillment</t>
        </is>
      </c>
      <c r="D377" s="15" t="inlineStr">
        <is>
          <t>Mothers weep after their sons die in the attempt to kill young Jesus</t>
        </is>
      </c>
      <c r="E377" s="15" t="inlineStr">
        <is>
          <t>Mothers weep after their sons die in the attempt to kill young Jesus</t>
        </is>
      </c>
      <c r="F377" s="15" t="inlineStr">
        <is>
          <t>b5-0012</t>
        </is>
      </c>
      <c r="G377" s="15" t="inlineStr">
        <is>
          <t>Point</t>
        </is>
      </c>
      <c r="H377" s="15" t="inlineStr">
        <is>
          <t>1 B.C.E. or 1 C.E.</t>
        </is>
      </c>
      <c r="I377" s="15" t="inlineStr">
        <is>
          <t>Herod kills young boys</t>
        </is>
      </c>
      <c r="J377" s="15" t="inlineStr">
        <is>
          <t>b11-0032</t>
        </is>
      </c>
      <c r="K377" s="15" t="inlineStr">
        <is>
          <t>Matt. 2:17, 18</t>
        </is>
      </c>
      <c r="L377" s="15" t="n"/>
      <c r="M377" s="16" t="n"/>
    </row>
    <row r="378">
      <c r="A378" s="15" t="inlineStr">
        <is>
          <t>messianic-prophecies</t>
        </is>
      </c>
      <c r="B378" s="15" t="n">
        <v>71</v>
      </c>
      <c r="C378" s="15" t="inlineStr">
        <is>
          <t>prophecy</t>
        </is>
      </c>
      <c r="D378" s="15" t="inlineStr">
        <is>
          <t>Declared by Jehovah to be his Son</t>
        </is>
      </c>
      <c r="E378" s="15" t="inlineStr">
        <is>
          <t>Declared by Jehovah to be his Son</t>
        </is>
      </c>
      <c r="F378" s="15" t="inlineStr">
        <is>
          <t>b11-0040</t>
        </is>
      </c>
      <c r="G378" s="15" t="inlineStr">
        <is>
          <t>Point</t>
        </is>
      </c>
      <c r="H378" s="15" t="inlineStr">
        <is>
          <t>c. 460 B.C.E.</t>
        </is>
      </c>
      <c r="I378" s="15" t="inlineStr">
        <is>
          <t>Writing of Psalms completed</t>
        </is>
      </c>
      <c r="J378" s="15" t="inlineStr">
        <is>
          <t>b5-0017</t>
        </is>
      </c>
      <c r="K378" s="15" t="inlineStr">
        <is>
          <t>Ps. 2:7</t>
        </is>
      </c>
      <c r="L378" s="15" t="inlineStr">
        <is>
          <t>Anchored to the completion of the book of Psalms (c. 460 B.C.E.); the individual psalm is not dated in the data.</t>
        </is>
      </c>
      <c r="M378" s="16" t="n"/>
    </row>
    <row r="379">
      <c r="A379" s="15" t="inlineStr">
        <is>
          <t>messianic-prophecies</t>
        </is>
      </c>
      <c r="B379" s="15" t="n">
        <v>75</v>
      </c>
      <c r="C379" s="15" t="inlineStr">
        <is>
          <t>fulfillment</t>
        </is>
      </c>
      <c r="D379" s="15" t="inlineStr">
        <is>
          <t>Declared by Jehovah to be his Son</t>
        </is>
      </c>
      <c r="E379" s="15" t="inlineStr">
        <is>
          <t>Declared by Jehovah to be his Son</t>
        </is>
      </c>
      <c r="F379" s="15" t="inlineStr">
        <is>
          <t>b5-0017</t>
        </is>
      </c>
      <c r="G379" s="15" t="inlineStr">
        <is>
          <t>Point</t>
        </is>
      </c>
      <c r="H379" s="15" t="inlineStr">
        <is>
          <t>29 C.E., fall</t>
        </is>
      </c>
      <c r="I379" s="15" t="inlineStr">
        <is>
          <t>Jesus baptized and anointed; Jehovah declares him his Son and approves him</t>
        </is>
      </c>
      <c r="J379" s="15" t="inlineStr">
        <is>
          <t>b11-0040</t>
        </is>
      </c>
      <c r="K379" s="15" t="inlineStr">
        <is>
          <t>Matt. 3:17</t>
        </is>
      </c>
      <c r="L379" s="15" t="n"/>
      <c r="M379" s="16" t="n"/>
    </row>
    <row r="380">
      <c r="A380" s="15" t="inlineStr">
        <is>
          <t>messianic-prophecies</t>
        </is>
      </c>
      <c r="B380" s="15" t="n">
        <v>81</v>
      </c>
      <c r="C380" s="15" t="inlineStr">
        <is>
          <t>prophecy</t>
        </is>
      </c>
      <c r="D380" s="15" t="inlineStr">
        <is>
          <t>Proclaims liberty to captives</t>
        </is>
      </c>
      <c r="E380" s="15" t="inlineStr">
        <is>
          <t>Proclaims liberty to captives</t>
        </is>
      </c>
      <c r="F380" s="15" t="inlineStr">
        <is>
          <t>b11-0021</t>
        </is>
      </c>
      <c r="G380" s="15" t="inlineStr">
        <is>
          <t>Point</t>
        </is>
      </c>
      <c r="H380" s="15" t="inlineStr">
        <is>
          <t>a. 732 B.C.E.</t>
        </is>
      </c>
      <c r="I380" s="15" t="inlineStr">
        <is>
          <t>Writing of Isaiah completed</t>
        </is>
      </c>
      <c r="J380" s="15" t="inlineStr">
        <is>
          <t>b5-0032</t>
        </is>
      </c>
      <c r="K380" s="15" t="inlineStr">
        <is>
          <t>Isa. 61:1, 2</t>
        </is>
      </c>
      <c r="L380" s="15" t="inlineStr">
        <is>
          <t>Anchored to the completion of Isaiah (a. 732 B.C.E.); the prophecy itself is not separately dated.</t>
        </is>
      </c>
      <c r="M380" s="16" t="n"/>
    </row>
    <row r="381">
      <c r="A381" s="15" t="inlineStr">
        <is>
          <t>messianic-prophecies</t>
        </is>
      </c>
      <c r="B381" s="15" t="n">
        <v>85</v>
      </c>
      <c r="C381" s="15" t="inlineStr">
        <is>
          <t>fulfillment</t>
        </is>
      </c>
      <c r="D381" s="15" t="inlineStr">
        <is>
          <t>Proclaims liberty to captives</t>
        </is>
      </c>
      <c r="E381" s="15" t="inlineStr">
        <is>
          <t>Proclaims liberty to captives</t>
        </is>
      </c>
      <c r="F381" s="15" t="inlineStr">
        <is>
          <t>b5-0032</t>
        </is>
      </c>
      <c r="G381" s="15" t="inlineStr">
        <is>
          <t>Point</t>
        </is>
      </c>
      <c r="H381" s="15" t="inlineStr">
        <is>
          <t>30 C.E.</t>
        </is>
      </c>
      <c r="I381" s="15" t="inlineStr">
        <is>
          <t>Jesus reads from Isaiah scroll</t>
        </is>
      </c>
      <c r="J381" s="15" t="inlineStr">
        <is>
          <t>b11-0021</t>
        </is>
      </c>
      <c r="K381" s="15" t="inlineStr">
        <is>
          <t>Luke 4:17-21</t>
        </is>
      </c>
      <c r="L381" s="15" t="n"/>
      <c r="M381" s="16" t="n"/>
    </row>
    <row r="382">
      <c r="A382" s="15" t="inlineStr">
        <is>
          <t>messianic-prophecies</t>
        </is>
      </c>
      <c r="B382" s="15" t="n">
        <v>91</v>
      </c>
      <c r="C382" s="15" t="inlineStr">
        <is>
          <t>prophecy</t>
        </is>
      </c>
      <c r="D382" s="15" t="inlineStr">
        <is>
          <t>Resides in Capernaum of Galilee</t>
        </is>
      </c>
      <c r="E382" s="15" t="inlineStr">
        <is>
          <t>Resides in Capernaum of Galilee</t>
        </is>
      </c>
      <c r="F382" s="15" t="inlineStr">
        <is>
          <t>b11-0021</t>
        </is>
      </c>
      <c r="G382" s="15" t="inlineStr">
        <is>
          <t>Point</t>
        </is>
      </c>
      <c r="H382" s="15" t="inlineStr">
        <is>
          <t>a. 732 B.C.E.</t>
        </is>
      </c>
      <c r="I382" s="15" t="inlineStr">
        <is>
          <t>Writing of Isaiah completed</t>
        </is>
      </c>
      <c r="J382" s="15" t="inlineStr">
        <is>
          <t>b5-0033</t>
        </is>
      </c>
      <c r="K382" s="15" t="inlineStr">
        <is>
          <t>Isa. 9:1, 2</t>
        </is>
      </c>
      <c r="L382" s="15" t="inlineStr">
        <is>
          <t>Anchored to the completion of Isaiah (a. 732 B.C.E.); the prophecy itself is not separately dated.</t>
        </is>
      </c>
      <c r="M382" s="16" t="n"/>
    </row>
    <row r="383">
      <c r="A383" s="15" t="inlineStr">
        <is>
          <t>messianic-prophecies</t>
        </is>
      </c>
      <c r="B383" s="15" t="n">
        <v>95</v>
      </c>
      <c r="C383" s="15" t="inlineStr">
        <is>
          <t>fulfillment</t>
        </is>
      </c>
      <c r="D383" s="15" t="inlineStr">
        <is>
          <t>Resides in Capernaum of Galilee</t>
        </is>
      </c>
      <c r="E383" s="15" t="inlineStr">
        <is>
          <t>Resides in Capernaum of Galilee</t>
        </is>
      </c>
      <c r="F383" s="15" t="inlineStr">
        <is>
          <t>b5-0033</t>
        </is>
      </c>
      <c r="G383" s="15" t="inlineStr">
        <is>
          <t>Point</t>
        </is>
      </c>
      <c r="H383" s="15" t="inlineStr">
        <is>
          <t>30 C.E.</t>
        </is>
      </c>
      <c r="I383" s="15" t="inlineStr">
        <is>
          <t>Jesus goes to Capernaum</t>
        </is>
      </c>
      <c r="J383" s="15" t="inlineStr">
        <is>
          <t>b11-0021</t>
        </is>
      </c>
      <c r="K383" s="15" t="inlineStr">
        <is>
          <t>Matt. 4:13-17</t>
        </is>
      </c>
      <c r="L383" s="15" t="n"/>
      <c r="M383" s="16" t="n"/>
    </row>
    <row r="384">
      <c r="A384" s="15" t="inlineStr">
        <is>
          <t>messianic-prophecies</t>
        </is>
      </c>
      <c r="B384" s="15" t="n">
        <v>101</v>
      </c>
      <c r="C384" s="15" t="inlineStr">
        <is>
          <t>prophecy</t>
        </is>
      </c>
      <c r="D384" s="15" t="inlineStr">
        <is>
          <t>Cures many who are sick</t>
        </is>
      </c>
      <c r="E384" s="15" t="inlineStr">
        <is>
          <t>Cures many who are sick</t>
        </is>
      </c>
      <c r="F384" s="15" t="inlineStr">
        <is>
          <t>b11-0021</t>
        </is>
      </c>
      <c r="G384" s="15" t="inlineStr">
        <is>
          <t>Point</t>
        </is>
      </c>
      <c r="H384" s="15" t="inlineStr">
        <is>
          <t>a. 732 B.C.E.</t>
        </is>
      </c>
      <c r="I384" s="15" t="inlineStr">
        <is>
          <t>Writing of Isaiah completed</t>
        </is>
      </c>
      <c r="J384" s="15" t="inlineStr">
        <is>
          <t>b5-0035</t>
        </is>
      </c>
      <c r="K384" s="15" t="inlineStr">
        <is>
          <t>Isa. 53:4</t>
        </is>
      </c>
      <c r="L384" s="15" t="inlineStr">
        <is>
          <t>Anchored to the completion of Isaiah (a. 732 B.C.E.); the prophecy itself is not separately dated.</t>
        </is>
      </c>
      <c r="M384" s="16" t="n"/>
    </row>
    <row r="385">
      <c r="A385" s="15" t="inlineStr">
        <is>
          <t>messianic-prophecies</t>
        </is>
      </c>
      <c r="B385" s="15" t="n">
        <v>105</v>
      </c>
      <c r="C385" s="15" t="inlineStr">
        <is>
          <t>fulfillment</t>
        </is>
      </c>
      <c r="D385" s="15" t="inlineStr">
        <is>
          <t>Cures many who are sick</t>
        </is>
      </c>
      <c r="E385" s="15" t="inlineStr">
        <is>
          <t>Cures many who are sick</t>
        </is>
      </c>
      <c r="F385" s="15" t="inlineStr">
        <is>
          <t>b5-0035</t>
        </is>
      </c>
      <c r="G385" s="15" t="inlineStr">
        <is>
          <t>Point</t>
        </is>
      </c>
      <c r="H385" s="15" t="inlineStr">
        <is>
          <t>30 C.E.</t>
        </is>
      </c>
      <c r="I385" s="15" t="inlineStr">
        <is>
          <t>Heals Simon’s mother-in-law and others</t>
        </is>
      </c>
      <c r="J385" s="15" t="inlineStr">
        <is>
          <t>b11-0021</t>
        </is>
      </c>
      <c r="K385" s="15" t="inlineStr">
        <is>
          <t>Matt. 8:16, 17</t>
        </is>
      </c>
      <c r="L385" s="15" t="n"/>
      <c r="M385" s="16" t="n"/>
    </row>
    <row r="386">
      <c r="A386" s="15" t="inlineStr">
        <is>
          <t>messianic-prophecies</t>
        </is>
      </c>
      <c r="B386" s="15" t="n">
        <v>111</v>
      </c>
      <c r="C386" s="15" t="inlineStr">
        <is>
          <t>prophecy</t>
        </is>
      </c>
      <c r="D386" s="15" t="inlineStr">
        <is>
          <t>Does not quarrel on the streets</t>
        </is>
      </c>
      <c r="E386" s="15" t="inlineStr">
        <is>
          <t>Does not quarrel on the streets</t>
        </is>
      </c>
      <c r="F386" s="15" t="inlineStr">
        <is>
          <t>b11-0021</t>
        </is>
      </c>
      <c r="G386" s="15" t="inlineStr">
        <is>
          <t>Point</t>
        </is>
      </c>
      <c r="H386" s="15" t="inlineStr">
        <is>
          <t>a. 732 B.C.E.</t>
        </is>
      </c>
      <c r="I386" s="15" t="inlineStr">
        <is>
          <t>Writing of Isaiah completed</t>
        </is>
      </c>
      <c r="J386" s="15" t="inlineStr">
        <is>
          <t>b5-0045</t>
        </is>
      </c>
      <c r="K386" s="15" t="inlineStr">
        <is>
          <t>Isa. 42:1-4</t>
        </is>
      </c>
      <c r="L386" s="15" t="inlineStr">
        <is>
          <t>Anchored to the completion of Isaiah (a. 732 B.C.E.); the prophecy itself is not separately dated.</t>
        </is>
      </c>
      <c r="M386" s="16" t="n"/>
    </row>
    <row r="387">
      <c r="A387" s="15" t="inlineStr">
        <is>
          <t>messianic-prophecies</t>
        </is>
      </c>
      <c r="B387" s="15" t="n">
        <v>115</v>
      </c>
      <c r="C387" s="15" t="inlineStr">
        <is>
          <t>fulfillment</t>
        </is>
      </c>
      <c r="D387" s="15" t="inlineStr">
        <is>
          <t>Does not quarrel on the streets</t>
        </is>
      </c>
      <c r="E387" s="15" t="inlineStr">
        <is>
          <t>Does not quarrel on the streets</t>
        </is>
      </c>
      <c r="F387" s="15" t="inlineStr">
        <is>
          <t>b5-0045</t>
        </is>
      </c>
      <c r="G387" s="15" t="inlineStr">
        <is>
          <t>Point</t>
        </is>
      </c>
      <c r="H387" s="15" t="inlineStr">
        <is>
          <t>31 C.E., Passover</t>
        </is>
      </c>
      <c r="I387" s="15" t="inlineStr">
        <is>
          <t>Heals man’s hand on the Sabbath; crowds follow; heals many more</t>
        </is>
      </c>
      <c r="J387" s="15" t="inlineStr">
        <is>
          <t>b11-0021</t>
        </is>
      </c>
      <c r="K387" s="15" t="inlineStr">
        <is>
          <t>Matt. 12:16-21</t>
        </is>
      </c>
      <c r="L387" s="15" t="n"/>
      <c r="M387" s="16" t="n"/>
    </row>
    <row r="388">
      <c r="A388" s="15" t="inlineStr">
        <is>
          <t>messianic-prophecies</t>
        </is>
      </c>
      <c r="B388" s="15" t="n">
        <v>121</v>
      </c>
      <c r="C388" s="15" t="inlineStr">
        <is>
          <t>prophecy</t>
        </is>
      </c>
      <c r="D388" s="15" t="inlineStr">
        <is>
          <t>Teaches by means of illustrations</t>
        </is>
      </c>
      <c r="E388" s="15" t="inlineStr">
        <is>
          <t>Teaches by means of illustrations</t>
        </is>
      </c>
      <c r="F388" s="15" t="inlineStr">
        <is>
          <t>b11-0040</t>
        </is>
      </c>
      <c r="G388" s="15" t="inlineStr">
        <is>
          <t>Point</t>
        </is>
      </c>
      <c r="H388" s="15" t="inlineStr">
        <is>
          <t>c. 460 B.C.E.</t>
        </is>
      </c>
      <c r="I388" s="15" t="inlineStr">
        <is>
          <t>Writing of Psalms completed</t>
        </is>
      </c>
      <c r="J388" s="15" t="inlineStr">
        <is>
          <t>b5-0058</t>
        </is>
      </c>
      <c r="K388" s="15" t="inlineStr">
        <is>
          <t>Ps. 78:2</t>
        </is>
      </c>
      <c r="L388" s="15" t="inlineStr">
        <is>
          <t>Anchored to the completion of the book of Psalms (c. 460 B.C.E.); the individual psalm is not dated in the data.</t>
        </is>
      </c>
      <c r="M388" s="16" t="n"/>
    </row>
    <row r="389">
      <c r="A389" s="15" t="inlineStr">
        <is>
          <t>messianic-prophecies</t>
        </is>
      </c>
      <c r="B389" s="15" t="n">
        <v>121.1</v>
      </c>
      <c r="C389" s="15" t="inlineStr">
        <is>
          <t>prophecy</t>
        </is>
      </c>
      <c r="D389" s="15" t="inlineStr">
        <is>
          <t>Teaches by means of illustrations</t>
        </is>
      </c>
      <c r="E389" s="15" t="inlineStr">
        <is>
          <t>Teaches by means of illustrations</t>
        </is>
      </c>
      <c r="F389" s="15" t="inlineStr">
        <is>
          <t>b11-0021</t>
        </is>
      </c>
      <c r="G389" s="15" t="inlineStr">
        <is>
          <t>Point</t>
        </is>
      </c>
      <c r="H389" s="15" t="inlineStr">
        <is>
          <t>a. 732 B.C.E.</t>
        </is>
      </c>
      <c r="I389" s="15" t="inlineStr">
        <is>
          <t>Writing of Isaiah completed</t>
        </is>
      </c>
      <c r="J389" s="15" t="inlineStr">
        <is>
          <t>b5-0058</t>
        </is>
      </c>
      <c r="K389" s="15" t="inlineStr">
        <is>
          <t>Isa. 6:9, 10</t>
        </is>
      </c>
      <c r="L389" s="15" t="inlineStr">
        <is>
          <t>Anchored to the completion of Isaiah (a. 732 B.C.E.); the prophecy itself is not separately dated.</t>
        </is>
      </c>
      <c r="M389" s="16" t="n"/>
    </row>
    <row r="390">
      <c r="A390" s="15" t="inlineStr">
        <is>
          <t>messianic-prophecies</t>
        </is>
      </c>
      <c r="B390" s="15" t="n">
        <v>125</v>
      </c>
      <c r="C390" s="15" t="inlineStr">
        <is>
          <t>fulfillment</t>
        </is>
      </c>
      <c r="D390" s="15" t="inlineStr">
        <is>
          <t>Teaches by means of illustrations</t>
        </is>
      </c>
      <c r="E390" s="15" t="inlineStr">
        <is>
          <t>Teaches by means of illustrations</t>
        </is>
      </c>
      <c r="F390" s="15" t="inlineStr">
        <is>
          <t>b5-0058</t>
        </is>
      </c>
      <c r="G390" s="15" t="inlineStr">
        <is>
          <t>Point</t>
        </is>
      </c>
      <c r="H390" s="15" t="inlineStr">
        <is>
          <t>31 or 32 C.E.</t>
        </is>
      </c>
      <c r="I390" s="15" t="inlineStr">
        <is>
          <t>Jesus gives Kingdom illustrations</t>
        </is>
      </c>
      <c r="J390" s="15" t="inlineStr">
        <is>
          <t>b11-0040, b11-0021</t>
        </is>
      </c>
      <c r="K390" s="15" t="inlineStr">
        <is>
          <t>Matt. 13:13-15, 34, 35</t>
        </is>
      </c>
      <c r="L390" s="15" t="n"/>
      <c r="M390" s="16" t="n"/>
    </row>
    <row r="391">
      <c r="A391" s="15" t="inlineStr">
        <is>
          <t>messianic-prophecies</t>
        </is>
      </c>
      <c r="B391" s="15" t="n">
        <v>131</v>
      </c>
      <c r="C391" s="15" t="inlineStr">
        <is>
          <t>prophecy</t>
        </is>
      </c>
      <c r="D391" s="15" t="inlineStr">
        <is>
          <t>Enters Jerusalem riding on a colt</t>
        </is>
      </c>
      <c r="E391" s="15" t="inlineStr">
        <is>
          <t>Enters Jerusalem riding on a colt</t>
        </is>
      </c>
      <c r="F391" s="15" t="inlineStr">
        <is>
          <t>b11-0035</t>
        </is>
      </c>
      <c r="G391" s="15" t="inlineStr">
        <is>
          <t>Point</t>
        </is>
      </c>
      <c r="H391" s="15" t="inlineStr">
        <is>
          <t>518 B.C.E.</t>
        </is>
      </c>
      <c r="I391" s="15" t="inlineStr">
        <is>
          <t>Writing of Zechariah completed</t>
        </is>
      </c>
      <c r="J391" s="15" t="inlineStr">
        <is>
          <t>b5-0131</t>
        </is>
      </c>
      <c r="K391" s="15" t="inlineStr">
        <is>
          <t>Zech. 9:9</t>
        </is>
      </c>
      <c r="L391" s="15" t="inlineStr">
        <is>
          <t>Anchored to the completion of Zechariah (518 B.C.E.); the prophecy itself is not separately dated.</t>
        </is>
      </c>
      <c r="M391" s="16" t="n"/>
    </row>
    <row r="392">
      <c r="A392" s="15" t="inlineStr">
        <is>
          <t>messianic-prophecies</t>
        </is>
      </c>
      <c r="B392" s="15" t="n">
        <v>135</v>
      </c>
      <c r="C392" s="15" t="inlineStr">
        <is>
          <t>fulfillment</t>
        </is>
      </c>
      <c r="D392" s="15" t="inlineStr">
        <is>
          <t>Enters Jerusalem riding on a colt</t>
        </is>
      </c>
      <c r="E392" s="15" t="inlineStr">
        <is>
          <t>Enters Jerusalem riding on a colt</t>
        </is>
      </c>
      <c r="F392" s="15" t="inlineStr">
        <is>
          <t>b5-0131</t>
        </is>
      </c>
      <c r="G392" s="15" t="inlineStr">
        <is>
          <t>Point</t>
        </is>
      </c>
      <c r="H392" s="15" t="inlineStr">
        <is>
          <t>33 C.E., Nisan 9</t>
        </is>
      </c>
      <c r="I392" s="15" t="inlineStr">
        <is>
          <t>Enters Jerusalem triumphantly, riding on a donkey</t>
        </is>
      </c>
      <c r="J392" s="15" t="inlineStr">
        <is>
          <t>b11-0035</t>
        </is>
      </c>
      <c r="K392" s="15" t="inlineStr">
        <is>
          <t>Matt. 21:1-9</t>
        </is>
      </c>
      <c r="L392" s="15" t="n"/>
      <c r="M392" s="16" t="n"/>
    </row>
    <row r="393">
      <c r="A393" s="15" t="inlineStr">
        <is>
          <t>messianic-prophecies</t>
        </is>
      </c>
      <c r="B393" s="15" t="n">
        <v>141</v>
      </c>
      <c r="C393" s="15" t="inlineStr">
        <is>
          <t>prophecy</t>
        </is>
      </c>
      <c r="D393" s="15" t="inlineStr">
        <is>
          <t>Many do not believe in him</t>
        </is>
      </c>
      <c r="E393" s="15" t="inlineStr">
        <is>
          <t>Many do not believe in him</t>
        </is>
      </c>
      <c r="F393" s="15" t="inlineStr">
        <is>
          <t>b11-0021</t>
        </is>
      </c>
      <c r="G393" s="15" t="inlineStr">
        <is>
          <t>Point</t>
        </is>
      </c>
      <c r="H393" s="15" t="inlineStr">
        <is>
          <t>a. 732 B.C.E.</t>
        </is>
      </c>
      <c r="I393" s="15" t="inlineStr">
        <is>
          <t>Writing of Isaiah completed</t>
        </is>
      </c>
      <c r="J393" s="15" t="inlineStr">
        <is>
          <t>b5-0135</t>
        </is>
      </c>
      <c r="K393" s="15" t="inlineStr">
        <is>
          <t>Isa. 6:10; Isa. 53:1</t>
        </is>
      </c>
      <c r="L393" s="15" t="inlineStr">
        <is>
          <t>Anchored to the completion of Isaiah (a. 732 B.C.E.); the prophecy itself is not separately dated.</t>
        </is>
      </c>
      <c r="M393" s="16" t="n"/>
    </row>
    <row r="394">
      <c r="A394" s="15" t="inlineStr">
        <is>
          <t>messianic-prophecies</t>
        </is>
      </c>
      <c r="B394" s="15" t="n">
        <v>145</v>
      </c>
      <c r="C394" s="15" t="inlineStr">
        <is>
          <t>fulfillment</t>
        </is>
      </c>
      <c r="D394" s="15" t="inlineStr">
        <is>
          <t>Many do not believe in him</t>
        </is>
      </c>
      <c r="E394" s="15" t="inlineStr">
        <is>
          <t>Many do not believe in him</t>
        </is>
      </c>
      <c r="F394" s="15" t="inlineStr">
        <is>
          <t>b5-0135</t>
        </is>
      </c>
      <c r="G394" s="15" t="inlineStr">
        <is>
          <t>Point</t>
        </is>
      </c>
      <c r="H394" s="15" t="inlineStr">
        <is>
          <t>33 C.E., Nisan 10</t>
        </is>
      </c>
      <c r="I394" s="15" t="inlineStr">
        <is>
          <t>Jehovah speaks; Jesus foretells his death; disbelief of Jews fulfills prophecy of Isaiah</t>
        </is>
      </c>
      <c r="J394" s="15" t="inlineStr">
        <is>
          <t>b11-0021</t>
        </is>
      </c>
      <c r="K394" s="15" t="inlineStr">
        <is>
          <t>John 12:37, 38</t>
        </is>
      </c>
      <c r="L394" s="15" t="n"/>
      <c r="M394" s="16" t="n"/>
    </row>
    <row r="395">
      <c r="A395" s="15" t="inlineStr">
        <is>
          <t>messianic-prophecies</t>
        </is>
      </c>
      <c r="B395" s="15" t="n">
        <v>151</v>
      </c>
      <c r="C395" s="15" t="inlineStr">
        <is>
          <t>prophecy</t>
        </is>
      </c>
      <c r="D395" s="15" t="inlineStr">
        <is>
          <t>Betrayed for 30 silver pieces</t>
        </is>
      </c>
      <c r="E395" s="15" t="inlineStr">
        <is>
          <t>Betrayed for 30 silver pieces</t>
        </is>
      </c>
      <c r="F395" s="15" t="inlineStr">
        <is>
          <t>b11-0035</t>
        </is>
      </c>
      <c r="G395" s="15" t="inlineStr">
        <is>
          <t>Point</t>
        </is>
      </c>
      <c r="H395" s="15" t="inlineStr">
        <is>
          <t>518 B.C.E.</t>
        </is>
      </c>
      <c r="I395" s="15" t="inlineStr">
        <is>
          <t>Writing of Zechariah completed</t>
        </is>
      </c>
      <c r="J395" s="15" t="inlineStr">
        <is>
          <t>b5-0147</t>
        </is>
      </c>
      <c r="K395" s="15" t="inlineStr">
        <is>
          <t>Zech. 11:12</t>
        </is>
      </c>
      <c r="L395" s="15" t="inlineStr">
        <is>
          <t>Anchored to the completion of Zechariah (518 B.C.E.); the prophecy itself is not separately dated.</t>
        </is>
      </c>
      <c r="M395" s="16" t="n"/>
    </row>
    <row r="396">
      <c r="A396" s="15" t="inlineStr">
        <is>
          <t>messianic-prophecies</t>
        </is>
      </c>
      <c r="B396" s="15" t="n">
        <v>155</v>
      </c>
      <c r="C396" s="15" t="inlineStr">
        <is>
          <t>fulfillment</t>
        </is>
      </c>
      <c r="D396" s="15" t="inlineStr">
        <is>
          <t>Betrayed for 30 silver pieces</t>
        </is>
      </c>
      <c r="E396" s="15" t="inlineStr">
        <is>
          <t>Betrayed for 30 silver pieces</t>
        </is>
      </c>
      <c r="F396" s="15" t="inlineStr">
        <is>
          <t>b5-0147</t>
        </is>
      </c>
      <c r="G396" s="15" t="inlineStr">
        <is>
          <t>Point</t>
        </is>
      </c>
      <c r="H396" s="15" t="inlineStr">
        <is>
          <t>33 C.E., Nisan 12</t>
        </is>
      </c>
      <c r="I396" s="15" t="inlineStr">
        <is>
          <t>Judas arranges betrayal</t>
        </is>
      </c>
      <c r="J396" s="15" t="inlineStr">
        <is>
          <t>b11-0035</t>
        </is>
      </c>
      <c r="K396" s="15" t="inlineStr">
        <is>
          <t>Matt. 26:14-16</t>
        </is>
      </c>
      <c r="L396" s="15" t="n"/>
      <c r="M396" s="16" t="n"/>
    </row>
    <row r="397">
      <c r="A397" s="15" t="inlineStr">
        <is>
          <t>messianic-prophecies</t>
        </is>
      </c>
      <c r="B397" s="15" t="n">
        <v>161</v>
      </c>
      <c r="C397" s="15" t="inlineStr">
        <is>
          <t>prophecy</t>
        </is>
      </c>
      <c r="D397" s="15" t="inlineStr">
        <is>
          <t>Trusted companion betrays him</t>
        </is>
      </c>
      <c r="E397" s="15" t="inlineStr">
        <is>
          <t>Trusted companion betrays him</t>
        </is>
      </c>
      <c r="F397" s="15" t="inlineStr">
        <is>
          <t>b11-0040</t>
        </is>
      </c>
      <c r="G397" s="15" t="inlineStr">
        <is>
          <t>Point</t>
        </is>
      </c>
      <c r="H397" s="15" t="inlineStr">
        <is>
          <t>c. 460 B.C.E.</t>
        </is>
      </c>
      <c r="I397" s="15" t="inlineStr">
        <is>
          <t>Writing of Psalms completed</t>
        </is>
      </c>
      <c r="J397" s="15" t="inlineStr">
        <is>
          <t>b5-0151, b5-0156</t>
        </is>
      </c>
      <c r="K397" s="15" t="inlineStr">
        <is>
          <t>Ps. 41:9</t>
        </is>
      </c>
      <c r="L397" s="15" t="inlineStr">
        <is>
          <t>Anchored to the completion of the book of Psalms (c. 460 B.C.E.); the individual psalm is not dated in the data.</t>
        </is>
      </c>
      <c r="M397" s="16" t="n"/>
    </row>
    <row r="398">
      <c r="A398" s="15" t="inlineStr">
        <is>
          <t>messianic-prophecies</t>
        </is>
      </c>
      <c r="B398" s="15" t="n">
        <v>165</v>
      </c>
      <c r="C398" s="15" t="inlineStr">
        <is>
          <t>fulfillment</t>
        </is>
      </c>
      <c r="D398" s="15" t="inlineStr">
        <is>
          <t>Trusted companion betrays him</t>
        </is>
      </c>
      <c r="E398" s="15" t="inlineStr">
        <is>
          <t>Trusted companion betrays him</t>
        </is>
      </c>
      <c r="F398" s="15" t="inlineStr">
        <is>
          <t>b5-0151</t>
        </is>
      </c>
      <c r="G398" s="15" t="inlineStr">
        <is>
          <t>Point</t>
        </is>
      </c>
      <c r="H398" s="15" t="inlineStr">
        <is>
          <t>33 C.E., Nisan 14</t>
        </is>
      </c>
      <c r="I398" s="15" t="inlineStr">
        <is>
          <t>Jesus identifies Judas as traitor and dismisses him</t>
        </is>
      </c>
      <c r="J398" s="15" t="inlineStr">
        <is>
          <t>b11-0040</t>
        </is>
      </c>
      <c r="K398" s="15" t="inlineStr">
        <is>
          <t>John 13:18, 21</t>
        </is>
      </c>
      <c r="L398" s="15" t="inlineStr">
        <is>
          <t>At the Passover meal Jesus identifies Judas as the betrayer (John 13:18, 21-30).</t>
        </is>
      </c>
      <c r="M398" s="16" t="n"/>
    </row>
    <row r="399">
      <c r="A399" s="15" t="inlineStr">
        <is>
          <t>messianic-prophecies</t>
        </is>
      </c>
      <c r="B399" s="15" t="n">
        <v>165.1</v>
      </c>
      <c r="C399" s="15" t="inlineStr">
        <is>
          <t>fulfillment</t>
        </is>
      </c>
      <c r="D399" s="15" t="inlineStr">
        <is>
          <t>Trusted companion betrays him</t>
        </is>
      </c>
      <c r="E399" s="15" t="inlineStr">
        <is>
          <t>Trusted companion betrays him</t>
        </is>
      </c>
      <c r="F399" s="15" t="inlineStr">
        <is>
          <t>b5-0156</t>
        </is>
      </c>
      <c r="G399" s="15" t="inlineStr">
        <is>
          <t>Point</t>
        </is>
      </c>
      <c r="H399" s="15" t="inlineStr">
        <is>
          <t>33 C.E., Nisan 14</t>
        </is>
      </c>
      <c r="I399" s="15" t="inlineStr">
        <is>
          <t>Jesus’ betrayal and arrest</t>
        </is>
      </c>
      <c r="J399" s="15" t="inlineStr">
        <is>
          <t>b11-0040</t>
        </is>
      </c>
      <c r="K399" s="15" t="inlineStr">
        <is>
          <t>John 13:18, 21</t>
        </is>
      </c>
      <c r="L399" s="15" t="inlineStr">
        <is>
          <t>The betrayal itself in Gethsemane.</t>
        </is>
      </c>
      <c r="M399" s="16" t="n"/>
    </row>
    <row r="400">
      <c r="A400" s="15" t="inlineStr">
        <is>
          <t>messianic-prophecies</t>
        </is>
      </c>
      <c r="B400" s="15" t="n">
        <v>171</v>
      </c>
      <c r="C400" s="15" t="inlineStr">
        <is>
          <t>prophecy</t>
        </is>
      </c>
      <c r="D400" s="15" t="inlineStr">
        <is>
          <t>Hated without cause</t>
        </is>
      </c>
      <c r="E400" s="15" t="inlineStr">
        <is>
          <t>Hated without cause</t>
        </is>
      </c>
      <c r="F400" s="15" t="inlineStr">
        <is>
          <t>b11-0040</t>
        </is>
      </c>
      <c r="G400" s="15" t="inlineStr">
        <is>
          <t>Point</t>
        </is>
      </c>
      <c r="H400" s="15" t="inlineStr">
        <is>
          <t>c. 460 B.C.E.</t>
        </is>
      </c>
      <c r="I400" s="15" t="inlineStr">
        <is>
          <t>Writing of Psalms completed</t>
        </is>
      </c>
      <c r="J400" s="15" t="inlineStr">
        <is>
          <t>b5-0154</t>
        </is>
      </c>
      <c r="K400" s="15" t="inlineStr">
        <is>
          <t>Ps. 35:19; Ps. 69:4</t>
        </is>
      </c>
      <c r="L400" s="15" t="inlineStr">
        <is>
          <t>Anchored to the completion of the book of Psalms (c. 460 B.C.E.); the individual psalm is not dated in the data.</t>
        </is>
      </c>
      <c r="M400" s="16" t="n"/>
    </row>
    <row r="401">
      <c r="A401" s="15" t="inlineStr">
        <is>
          <t>messianic-prophecies</t>
        </is>
      </c>
      <c r="B401" s="15" t="n">
        <v>175</v>
      </c>
      <c r="C401" s="15" t="inlineStr">
        <is>
          <t>fulfillment</t>
        </is>
      </c>
      <c r="D401" s="15" t="inlineStr">
        <is>
          <t>Hated without cause</t>
        </is>
      </c>
      <c r="E401" s="15" t="inlineStr">
        <is>
          <t>Hated without cause</t>
        </is>
      </c>
      <c r="F401" s="15" t="inlineStr">
        <is>
          <t>b5-0154</t>
        </is>
      </c>
      <c r="G401" s="15" t="inlineStr">
        <is>
          <t>Point</t>
        </is>
      </c>
      <c r="H401" s="15" t="inlineStr">
        <is>
          <t>33 C.E., Nisan 14</t>
        </is>
      </c>
      <c r="I401" s="15" t="inlineStr">
        <is>
          <t>Promises helper; illustration of true vine; gives command to love; last prayer with apostles</t>
        </is>
      </c>
      <c r="J401" s="15" t="inlineStr">
        <is>
          <t>b11-0040</t>
        </is>
      </c>
      <c r="K401" s="15" t="inlineStr">
        <is>
          <t>John 15:24, 25</t>
        </is>
      </c>
      <c r="L401" s="15" t="inlineStr">
        <is>
          <t>Jesus applies the psalm in his last discourse to the apostles (John 15:24, 25).</t>
        </is>
      </c>
      <c r="M401" s="16" t="n"/>
    </row>
    <row r="402">
      <c r="A402" s="15" t="inlineStr">
        <is>
          <t>messianic-prophecies</t>
        </is>
      </c>
      <c r="B402" s="15" t="n">
        <v>181</v>
      </c>
      <c r="C402" s="15" t="inlineStr">
        <is>
          <t>prophecy</t>
        </is>
      </c>
      <c r="D402" s="15" t="inlineStr">
        <is>
          <t>Disciples scatter, abandoning him</t>
        </is>
      </c>
      <c r="E402" s="15" t="inlineStr">
        <is>
          <t>Disciples scatter, abandoning him</t>
        </is>
      </c>
      <c r="F402" s="15" t="inlineStr">
        <is>
          <t>b11-0035</t>
        </is>
      </c>
      <c r="G402" s="15" t="inlineStr">
        <is>
          <t>Point</t>
        </is>
      </c>
      <c r="H402" s="15" t="inlineStr">
        <is>
          <t>518 B.C.E.</t>
        </is>
      </c>
      <c r="I402" s="15" t="inlineStr">
        <is>
          <t>Writing of Zechariah completed</t>
        </is>
      </c>
      <c r="J402" s="15" t="inlineStr">
        <is>
          <t>b5-0156</t>
        </is>
      </c>
      <c r="K402" s="15" t="inlineStr">
        <is>
          <t>Zech. 13:7</t>
        </is>
      </c>
      <c r="L402" s="15" t="inlineStr">
        <is>
          <t>Anchored to the completion of Zechariah (518 B.C.E.); the prophecy itself is not separately dated.</t>
        </is>
      </c>
      <c r="M402" s="16" t="n"/>
    </row>
    <row r="403">
      <c r="A403" s="15" t="inlineStr">
        <is>
          <t>messianic-prophecies</t>
        </is>
      </c>
      <c r="B403" s="15" t="n">
        <v>185</v>
      </c>
      <c r="C403" s="15" t="inlineStr">
        <is>
          <t>fulfillment</t>
        </is>
      </c>
      <c r="D403" s="15" t="inlineStr">
        <is>
          <t>Disciples scatter, abandoning him</t>
        </is>
      </c>
      <c r="E403" s="15" t="inlineStr">
        <is>
          <t>Disciples scatter, abandoning him</t>
        </is>
      </c>
      <c r="F403" s="15" t="inlineStr">
        <is>
          <t>b5-0156</t>
        </is>
      </c>
      <c r="G403" s="15" t="inlineStr">
        <is>
          <t>Point</t>
        </is>
      </c>
      <c r="H403" s="15" t="inlineStr">
        <is>
          <t>33 C.E., Nisan 14</t>
        </is>
      </c>
      <c r="I403" s="15" t="inlineStr">
        <is>
          <t>Jesus’ betrayal and arrest</t>
        </is>
      </c>
      <c r="J403" s="15" t="inlineStr">
        <is>
          <t>b11-0035</t>
        </is>
      </c>
      <c r="K403" s="15" t="inlineStr">
        <is>
          <t>Matt. 26:31, 54-56</t>
        </is>
      </c>
      <c r="L403" s="15" t="inlineStr">
        <is>
          <t>At Jesus' arrest the disciples abandon him and flee (Matt. 26:56); Jesus foretold this earlier that night (b5-0153, Matt. 26:31).</t>
        </is>
      </c>
      <c r="M403" s="16" t="n"/>
    </row>
    <row r="404">
      <c r="A404" s="15" t="inlineStr">
        <is>
          <t>messianic-prophecies</t>
        </is>
      </c>
      <c r="B404" s="15" t="n">
        <v>191</v>
      </c>
      <c r="C404" s="15" t="inlineStr">
        <is>
          <t>prophecy</t>
        </is>
      </c>
      <c r="D404" s="15" t="inlineStr">
        <is>
          <t>Silent before his accusers</t>
        </is>
      </c>
      <c r="E404" s="15" t="inlineStr">
        <is>
          <t>Silent before his accusers</t>
        </is>
      </c>
      <c r="F404" s="15" t="inlineStr">
        <is>
          <t>b11-0021</t>
        </is>
      </c>
      <c r="G404" s="15" t="inlineStr">
        <is>
          <t>Point</t>
        </is>
      </c>
      <c r="H404" s="15" t="inlineStr">
        <is>
          <t>a. 732 B.C.E.</t>
        </is>
      </c>
      <c r="I404" s="15" t="inlineStr">
        <is>
          <t>Writing of Isaiah completed</t>
        </is>
      </c>
      <c r="J404" s="15" t="inlineStr">
        <is>
          <t>b5-0160</t>
        </is>
      </c>
      <c r="K404" s="15" t="inlineStr">
        <is>
          <t>Isa. 53:7</t>
        </is>
      </c>
      <c r="L404" s="15" t="inlineStr">
        <is>
          <t>Anchored to the completion of Isaiah (a. 732 B.C.E.); the prophecy itself is not separately dated.</t>
        </is>
      </c>
      <c r="M404" s="16" t="n"/>
    </row>
    <row r="405">
      <c r="A405" s="15" t="inlineStr">
        <is>
          <t>messianic-prophecies</t>
        </is>
      </c>
      <c r="B405" s="15" t="n">
        <v>195</v>
      </c>
      <c r="C405" s="15" t="inlineStr">
        <is>
          <t>fulfillment</t>
        </is>
      </c>
      <c r="D405" s="15" t="inlineStr">
        <is>
          <t>Silent before his accusers</t>
        </is>
      </c>
      <c r="E405" s="15" t="inlineStr">
        <is>
          <t>Silent before his accusers</t>
        </is>
      </c>
      <c r="F405" s="15" t="inlineStr">
        <is>
          <t>b5-0160</t>
        </is>
      </c>
      <c r="G405" s="15" t="inlineStr">
        <is>
          <t>Point</t>
        </is>
      </c>
      <c r="H405" s="15" t="inlineStr">
        <is>
          <t>33 C.E., Nisan 14</t>
        </is>
      </c>
      <c r="I405" s="15" t="inlineStr">
        <is>
          <t>Before Pilate, then Herod, and back to Pilate</t>
        </is>
      </c>
      <c r="J405" s="15" t="inlineStr">
        <is>
          <t>b11-0021</t>
        </is>
      </c>
      <c r="K405" s="15" t="inlineStr">
        <is>
          <t>Matt. 27:11-14</t>
        </is>
      </c>
      <c r="L405" s="15" t="n"/>
      <c r="M405" s="16" t="n"/>
    </row>
    <row r="406">
      <c r="A406" s="15" t="inlineStr">
        <is>
          <t>messianic-prophecies</t>
        </is>
      </c>
      <c r="B406" s="15" t="n">
        <v>201</v>
      </c>
      <c r="C406" s="15" t="inlineStr">
        <is>
          <t>prophecy</t>
        </is>
      </c>
      <c r="D406" s="15" t="inlineStr">
        <is>
          <t>Soldiers divide up his garments</t>
        </is>
      </c>
      <c r="E406" s="15" t="inlineStr">
        <is>
          <t>Soldiers divide up his garments</t>
        </is>
      </c>
      <c r="F406" s="15" t="inlineStr">
        <is>
          <t>b11-0040</t>
        </is>
      </c>
      <c r="G406" s="15" t="inlineStr">
        <is>
          <t>Point</t>
        </is>
      </c>
      <c r="H406" s="15" t="inlineStr">
        <is>
          <t>c. 460 B.C.E.</t>
        </is>
      </c>
      <c r="I406" s="15" t="inlineStr">
        <is>
          <t>Writing of Psalms completed</t>
        </is>
      </c>
      <c r="J406" s="15" t="inlineStr">
        <is>
          <t>b5-0163</t>
        </is>
      </c>
      <c r="K406" s="15" t="inlineStr">
        <is>
          <t>Ps. 22:18</t>
        </is>
      </c>
      <c r="L406" s="15" t="inlineStr">
        <is>
          <t>Anchored to the completion of the book of Psalms (c. 460 B.C.E.); the individual psalm is not dated in the data.</t>
        </is>
      </c>
      <c r="M406" s="16" t="n"/>
    </row>
    <row r="407">
      <c r="A407" s="15" t="inlineStr">
        <is>
          <t>messianic-prophecies</t>
        </is>
      </c>
      <c r="B407" s="15" t="n">
        <v>205</v>
      </c>
      <c r="C407" s="15" t="inlineStr">
        <is>
          <t>fulfillment</t>
        </is>
      </c>
      <c r="D407" s="15" t="inlineStr">
        <is>
          <t>Soldiers divide up his garments</t>
        </is>
      </c>
      <c r="E407" s="15" t="inlineStr">
        <is>
          <t>Soldiers divide up his garments</t>
        </is>
      </c>
      <c r="F407" s="15" t="inlineStr">
        <is>
          <t>b5-0163</t>
        </is>
      </c>
      <c r="G407" s="15" t="inlineStr">
        <is>
          <t>Point</t>
        </is>
      </c>
      <c r="H407" s="15" t="inlineStr">
        <is>
          <t>33 C.E., Nisan 14 (c. 3:00 p.m., Friday)</t>
        </is>
      </c>
      <c r="I407" s="15" t="inlineStr">
        <is>
          <t>Dies on torture stake</t>
        </is>
      </c>
      <c r="J407" s="15" t="inlineStr">
        <is>
          <t>b11-0040</t>
        </is>
      </c>
      <c r="K407" s="15" t="inlineStr">
        <is>
          <t>John 19:23, 24</t>
        </is>
      </c>
      <c r="L407" s="15" t="inlineStr">
        <is>
          <t>Part of the events at the stake (John 19:23, 24).</t>
        </is>
      </c>
      <c r="M407" s="16" t="n"/>
    </row>
    <row r="408">
      <c r="A408" s="15" t="inlineStr">
        <is>
          <t>messianic-prophecies</t>
        </is>
      </c>
      <c r="B408" s="15" t="n">
        <v>211</v>
      </c>
      <c r="C408" s="15" t="inlineStr">
        <is>
          <t>prophecy</t>
        </is>
      </c>
      <c r="D408" s="15" t="inlineStr">
        <is>
          <t>Thirsty while on the stake</t>
        </is>
      </c>
      <c r="E408" s="15" t="inlineStr">
        <is>
          <t>Thirsty while on the stake</t>
        </is>
      </c>
      <c r="F408" s="15" t="inlineStr">
        <is>
          <t>b11-0040</t>
        </is>
      </c>
      <c r="G408" s="15" t="inlineStr">
        <is>
          <t>Point</t>
        </is>
      </c>
      <c r="H408" s="15" t="inlineStr">
        <is>
          <t>c. 460 B.C.E.</t>
        </is>
      </c>
      <c r="I408" s="15" t="inlineStr">
        <is>
          <t>Writing of Psalms completed</t>
        </is>
      </c>
      <c r="J408" s="15" t="inlineStr">
        <is>
          <t>b5-0163</t>
        </is>
      </c>
      <c r="K408" s="15" t="inlineStr">
        <is>
          <t>Ps. 22:15</t>
        </is>
      </c>
      <c r="L408" s="15" t="inlineStr">
        <is>
          <t>Anchored to the completion of the book of Psalms (c. 460 B.C.E.); the individual psalm is not dated in the data.</t>
        </is>
      </c>
      <c r="M408" s="16" t="n"/>
    </row>
    <row r="409">
      <c r="A409" s="15" t="inlineStr">
        <is>
          <t>messianic-prophecies</t>
        </is>
      </c>
      <c r="B409" s="15" t="n">
        <v>215</v>
      </c>
      <c r="C409" s="15" t="inlineStr">
        <is>
          <t>fulfillment</t>
        </is>
      </c>
      <c r="D409" s="15" t="inlineStr">
        <is>
          <t>Thirsty while on the stake</t>
        </is>
      </c>
      <c r="E409" s="15" t="inlineStr">
        <is>
          <t>Thirsty while on the stake</t>
        </is>
      </c>
      <c r="F409" s="15" t="inlineStr">
        <is>
          <t>b5-0163</t>
        </is>
      </c>
      <c r="G409" s="15" t="inlineStr">
        <is>
          <t>Point</t>
        </is>
      </c>
      <c r="H409" s="15" t="inlineStr">
        <is>
          <t>33 C.E., Nisan 14 (c. 3:00 p.m., Friday)</t>
        </is>
      </c>
      <c r="I409" s="15" t="inlineStr">
        <is>
          <t>Dies on torture stake</t>
        </is>
      </c>
      <c r="J409" s="15" t="inlineStr">
        <is>
          <t>b11-0040</t>
        </is>
      </c>
      <c r="K409" s="15" t="inlineStr">
        <is>
          <t>John 19:28</t>
        </is>
      </c>
      <c r="L409" s="15" t="inlineStr">
        <is>
          <t>John 19:28, just before Jesus dies.</t>
        </is>
      </c>
      <c r="M409" s="16" t="n"/>
    </row>
    <row r="410">
      <c r="A410" s="15" t="inlineStr">
        <is>
          <t>messianic-prophecies</t>
        </is>
      </c>
      <c r="B410" s="15" t="n">
        <v>221</v>
      </c>
      <c r="C410" s="15" t="inlineStr">
        <is>
          <t>prophecy</t>
        </is>
      </c>
      <c r="D410" s="15" t="inlineStr">
        <is>
          <t>Mocked while on the stake</t>
        </is>
      </c>
      <c r="E410" s="15" t="inlineStr">
        <is>
          <t>Mocked while on the stake</t>
        </is>
      </c>
      <c r="F410" s="15" t="inlineStr">
        <is>
          <t>b11-0040</t>
        </is>
      </c>
      <c r="G410" s="15" t="inlineStr">
        <is>
          <t>Point</t>
        </is>
      </c>
      <c r="H410" s="15" t="inlineStr">
        <is>
          <t>c. 460 B.C.E.</t>
        </is>
      </c>
      <c r="I410" s="15" t="inlineStr">
        <is>
          <t>Writing of Psalms completed</t>
        </is>
      </c>
      <c r="J410" s="15" t="inlineStr">
        <is>
          <t>b5-0163</t>
        </is>
      </c>
      <c r="K410" s="15" t="inlineStr">
        <is>
          <t>Ps. 22:7, 8</t>
        </is>
      </c>
      <c r="L410" s="15" t="inlineStr">
        <is>
          <t>Anchored to the completion of the book of Psalms (c. 460 B.C.E.); the individual psalm is not dated in the data.</t>
        </is>
      </c>
      <c r="M410" s="16" t="n"/>
    </row>
    <row r="411">
      <c r="A411" s="15" t="inlineStr">
        <is>
          <t>messianic-prophecies</t>
        </is>
      </c>
      <c r="B411" s="15" t="n">
        <v>225</v>
      </c>
      <c r="C411" s="15" t="inlineStr">
        <is>
          <t>fulfillment</t>
        </is>
      </c>
      <c r="D411" s="15" t="inlineStr">
        <is>
          <t>Mocked while on the stake</t>
        </is>
      </c>
      <c r="E411" s="15" t="inlineStr">
        <is>
          <t>Mocked while on the stake</t>
        </is>
      </c>
      <c r="F411" s="15" t="inlineStr">
        <is>
          <t>b5-0163</t>
        </is>
      </c>
      <c r="G411" s="15" t="inlineStr">
        <is>
          <t>Point</t>
        </is>
      </c>
      <c r="H411" s="15" t="inlineStr">
        <is>
          <t>33 C.E., Nisan 14 (c. 3:00 p.m., Friday)</t>
        </is>
      </c>
      <c r="I411" s="15" t="inlineStr">
        <is>
          <t>Dies on torture stake</t>
        </is>
      </c>
      <c r="J411" s="15" t="inlineStr">
        <is>
          <t>b11-0040</t>
        </is>
      </c>
      <c r="K411" s="15" t="inlineStr">
        <is>
          <t>Matt. 27:39-43</t>
        </is>
      </c>
      <c r="L411" s="15" t="inlineStr">
        <is>
          <t>Matt. 27:39-43, at the stake.</t>
        </is>
      </c>
      <c r="M411" s="16" t="n"/>
    </row>
    <row r="412">
      <c r="A412" s="15" t="inlineStr">
        <is>
          <t>messianic-prophecies</t>
        </is>
      </c>
      <c r="B412" s="15" t="n">
        <v>231</v>
      </c>
      <c r="C412" s="15" t="inlineStr">
        <is>
          <t>prophecy</t>
        </is>
      </c>
      <c r="D412" s="15" t="inlineStr">
        <is>
          <t>His body pierced after his death</t>
        </is>
      </c>
      <c r="E412" s="15" t="inlineStr">
        <is>
          <t>His body pierced after his death</t>
        </is>
      </c>
      <c r="F412" s="15" t="inlineStr">
        <is>
          <t>b11-0035</t>
        </is>
      </c>
      <c r="G412" s="15" t="inlineStr">
        <is>
          <t>Point</t>
        </is>
      </c>
      <c r="H412" s="15" t="inlineStr">
        <is>
          <t>518 B.C.E.</t>
        </is>
      </c>
      <c r="I412" s="15" t="inlineStr">
        <is>
          <t>Writing of Zechariah completed</t>
        </is>
      </c>
      <c r="J412" s="15" t="inlineStr">
        <is>
          <t>b5-0164</t>
        </is>
      </c>
      <c r="K412" s="15" t="inlineStr">
        <is>
          <t>Zech. 12:10</t>
        </is>
      </c>
      <c r="L412" s="15" t="inlineStr">
        <is>
          <t>Anchored to the completion of Zechariah (518 B.C.E.); the prophecy itself is not separately dated.</t>
        </is>
      </c>
      <c r="M412" s="16" t="n"/>
    </row>
    <row r="413">
      <c r="A413" s="15" t="inlineStr">
        <is>
          <t>messianic-prophecies</t>
        </is>
      </c>
      <c r="B413" s="15" t="n">
        <v>235</v>
      </c>
      <c r="C413" s="15" t="inlineStr">
        <is>
          <t>fulfillment</t>
        </is>
      </c>
      <c r="D413" s="15" t="inlineStr">
        <is>
          <t>His body pierced after his death</t>
        </is>
      </c>
      <c r="E413" s="15" t="inlineStr">
        <is>
          <t>His body pierced after his death</t>
        </is>
      </c>
      <c r="F413" s="15" t="inlineStr">
        <is>
          <t>b5-0164</t>
        </is>
      </c>
      <c r="G413" s="15" t="inlineStr">
        <is>
          <t>Point</t>
        </is>
      </c>
      <c r="H413" s="15" t="inlineStr">
        <is>
          <t>33 C.E., Nisan 14 (c. 3:00 p.m., Friday)</t>
        </is>
      </c>
      <c r="I413" s="15" t="inlineStr">
        <is>
          <t>Body taken from the stake and placed in tomb</t>
        </is>
      </c>
      <c r="J413" s="15" t="inlineStr">
        <is>
          <t>b11-0035</t>
        </is>
      </c>
      <c r="K413" s="15" t="inlineStr">
        <is>
          <t>John 19:34, 37</t>
        </is>
      </c>
      <c r="L413" s="15" t="inlineStr">
        <is>
          <t>John 19:34, 37 falls in the passage of this record (John 19:31-42), before the body is taken down.</t>
        </is>
      </c>
      <c r="M413" s="16" t="n"/>
    </row>
    <row r="414">
      <c r="A414" s="15" t="inlineStr">
        <is>
          <t>messianic-prophecies</t>
        </is>
      </c>
      <c r="B414" s="15" t="n">
        <v>241</v>
      </c>
      <c r="C414" s="15" t="inlineStr">
        <is>
          <t>prophecy</t>
        </is>
      </c>
      <c r="D414" s="15" t="inlineStr">
        <is>
          <t>Bones not broken before he dies</t>
        </is>
      </c>
      <c r="E414" s="15" t="inlineStr">
        <is>
          <t>Bones not broken before he dies</t>
        </is>
      </c>
      <c r="F414" s="15" t="inlineStr">
        <is>
          <t>b11-0040</t>
        </is>
      </c>
      <c r="G414" s="15" t="inlineStr">
        <is>
          <t>Point</t>
        </is>
      </c>
      <c r="H414" s="15" t="inlineStr">
        <is>
          <t>c. 460 B.C.E.</t>
        </is>
      </c>
      <c r="I414" s="15" t="inlineStr">
        <is>
          <t>Writing of Psalms completed</t>
        </is>
      </c>
      <c r="J414" s="15" t="inlineStr">
        <is>
          <t>b5-0164</t>
        </is>
      </c>
      <c r="K414" s="15" t="inlineStr">
        <is>
          <t>Ps. 34:20</t>
        </is>
      </c>
      <c r="L414" s="15" t="inlineStr">
        <is>
          <t>Anchored to the completion of the book of Psalms (c. 460 B.C.E.); the individual psalm is not dated in the data.</t>
        </is>
      </c>
      <c r="M414" s="16" t="n"/>
    </row>
    <row r="415">
      <c r="A415" s="15" t="inlineStr">
        <is>
          <t>messianic-prophecies</t>
        </is>
      </c>
      <c r="B415" s="15" t="n">
        <v>245</v>
      </c>
      <c r="C415" s="15" t="inlineStr">
        <is>
          <t>fulfillment</t>
        </is>
      </c>
      <c r="D415" s="15" t="inlineStr">
        <is>
          <t>Bones not broken before he dies</t>
        </is>
      </c>
      <c r="E415" s="15" t="inlineStr">
        <is>
          <t>Bones not broken before he dies</t>
        </is>
      </c>
      <c r="F415" s="15" t="inlineStr">
        <is>
          <t>b5-0164</t>
        </is>
      </c>
      <c r="G415" s="15" t="inlineStr">
        <is>
          <t>Point</t>
        </is>
      </c>
      <c r="H415" s="15" t="inlineStr">
        <is>
          <t>33 C.E., Nisan 14 (c. 3:00 p.m., Friday)</t>
        </is>
      </c>
      <c r="I415" s="15" t="inlineStr">
        <is>
          <t>Body taken from the stake and placed in tomb</t>
        </is>
      </c>
      <c r="J415" s="15" t="inlineStr">
        <is>
          <t>b11-0040</t>
        </is>
      </c>
      <c r="K415" s="15" t="inlineStr">
        <is>
          <t>John 19:36</t>
        </is>
      </c>
      <c r="L415" s="15" t="inlineStr">
        <is>
          <t>John 19:36 falls in the passage of this record (John 19:31-42).</t>
        </is>
      </c>
      <c r="M415" s="16" t="n"/>
    </row>
    <row r="416">
      <c r="A416" s="15" t="inlineStr">
        <is>
          <t>messianic-prophecies</t>
        </is>
      </c>
      <c r="B416" s="15" t="n">
        <v>251</v>
      </c>
      <c r="C416" s="15" t="inlineStr">
        <is>
          <t>prophecy</t>
        </is>
      </c>
      <c r="D416" s="15" t="inlineStr">
        <is>
          <t>Buried with the rich</t>
        </is>
      </c>
      <c r="E416" s="15" t="inlineStr">
        <is>
          <t>Buried with the rich</t>
        </is>
      </c>
      <c r="F416" s="15" t="inlineStr">
        <is>
          <t>b11-0021</t>
        </is>
      </c>
      <c r="G416" s="15" t="inlineStr">
        <is>
          <t>Point</t>
        </is>
      </c>
      <c r="H416" s="15" t="inlineStr">
        <is>
          <t>a. 732 B.C.E.</t>
        </is>
      </c>
      <c r="I416" s="15" t="inlineStr">
        <is>
          <t>Writing of Isaiah completed</t>
        </is>
      </c>
      <c r="J416" s="15" t="inlineStr">
        <is>
          <t>b5-0164</t>
        </is>
      </c>
      <c r="K416" s="15" t="inlineStr">
        <is>
          <t>Isa. 53:9</t>
        </is>
      </c>
      <c r="L416" s="15" t="inlineStr">
        <is>
          <t>Anchored to the completion of Isaiah (a. 732 B.C.E.); the prophecy itself is not separately dated.</t>
        </is>
      </c>
      <c r="M416" s="16" t="n"/>
    </row>
    <row r="417">
      <c r="A417" s="15" t="inlineStr">
        <is>
          <t>messianic-prophecies</t>
        </is>
      </c>
      <c r="B417" s="15" t="n">
        <v>255</v>
      </c>
      <c r="C417" s="15" t="inlineStr">
        <is>
          <t>fulfillment</t>
        </is>
      </c>
      <c r="D417" s="15" t="inlineStr">
        <is>
          <t>Buried with the rich</t>
        </is>
      </c>
      <c r="E417" s="15" t="inlineStr">
        <is>
          <t>Buried with the rich</t>
        </is>
      </c>
      <c r="F417" s="15" t="inlineStr">
        <is>
          <t>b5-0164</t>
        </is>
      </c>
      <c r="G417" s="15" t="inlineStr">
        <is>
          <t>Point</t>
        </is>
      </c>
      <c r="H417" s="15" t="inlineStr">
        <is>
          <t>33 C.E., Nisan 14 (c. 3:00 p.m., Friday)</t>
        </is>
      </c>
      <c r="I417" s="15" t="inlineStr">
        <is>
          <t>Body taken from the stake and placed in tomb</t>
        </is>
      </c>
      <c r="J417" s="15" t="inlineStr">
        <is>
          <t>b11-0021</t>
        </is>
      </c>
      <c r="K417" s="15" t="inlineStr">
        <is>
          <t>Matt. 27:57-60</t>
        </is>
      </c>
      <c r="L417" s="15" t="n"/>
      <c r="M417" s="16" t="n"/>
    </row>
    <row r="418">
      <c r="A418" s="15" t="inlineStr">
        <is>
          <t>messianic-prophecies</t>
        </is>
      </c>
      <c r="B418" s="15" t="n">
        <v>261</v>
      </c>
      <c r="C418" s="15" t="inlineStr">
        <is>
          <t>prophecy</t>
        </is>
      </c>
      <c r="D418" s="15" t="inlineStr">
        <is>
          <t>Raised before corruption</t>
        </is>
      </c>
      <c r="E418" s="15" t="inlineStr">
        <is>
          <t>Raised before corruption</t>
        </is>
      </c>
      <c r="F418" s="15" t="inlineStr">
        <is>
          <t>b11-0040</t>
        </is>
      </c>
      <c r="G418" s="15" t="inlineStr">
        <is>
          <t>Point</t>
        </is>
      </c>
      <c r="H418" s="15" t="inlineStr">
        <is>
          <t>c. 460 B.C.E.</t>
        </is>
      </c>
      <c r="I418" s="15" t="inlineStr">
        <is>
          <t>Writing of Psalms completed</t>
        </is>
      </c>
      <c r="J418" s="15" t="inlineStr">
        <is>
          <t>b5-0166</t>
        </is>
      </c>
      <c r="K418" s="15" t="inlineStr">
        <is>
          <t>Ps. 16:10</t>
        </is>
      </c>
      <c r="L418" s="15" t="inlineStr">
        <is>
          <t>Anchored to the completion of the book of Psalms (c. 460 B.C.E.); the individual psalm is not dated in the data.</t>
        </is>
      </c>
      <c r="M418" s="16" t="n"/>
    </row>
    <row r="419">
      <c r="A419" s="15" t="inlineStr">
        <is>
          <t>messianic-prophecies</t>
        </is>
      </c>
      <c r="B419" s="15" t="n">
        <v>265</v>
      </c>
      <c r="C419" s="15" t="inlineStr">
        <is>
          <t>fulfillment</t>
        </is>
      </c>
      <c r="D419" s="15" t="inlineStr">
        <is>
          <t>Raised before corruption</t>
        </is>
      </c>
      <c r="E419" s="15" t="inlineStr">
        <is>
          <t>Raised before corruption</t>
        </is>
      </c>
      <c r="F419" s="15" t="inlineStr">
        <is>
          <t>b5-0166</t>
        </is>
      </c>
      <c r="G419" s="15" t="inlineStr">
        <is>
          <t>Point</t>
        </is>
      </c>
      <c r="H419" s="15" t="inlineStr">
        <is>
          <t>33 C.E., Nisan 16</t>
        </is>
      </c>
      <c r="I419" s="15" t="inlineStr">
        <is>
          <t>Jesus resurrected</t>
        </is>
      </c>
      <c r="J419" s="15" t="inlineStr">
        <is>
          <t>b11-0040</t>
        </is>
      </c>
      <c r="K419" s="15" t="inlineStr">
        <is>
          <t>Acts 2:24, 27</t>
        </is>
      </c>
      <c r="L419" s="15" t="inlineStr">
        <is>
          <t>Acts 2:24, 27 is Peter's Pentecost explanation of the fulfillment; the event is the resurrection.</t>
        </is>
      </c>
      <c r="M419" s="16" t="n"/>
    </row>
    <row r="420">
      <c r="A420" s="15" t="inlineStr">
        <is>
          <t>messianic-prophecies</t>
        </is>
      </c>
      <c r="B420" s="15" t="n">
        <v>271</v>
      </c>
      <c r="C420" s="15" t="inlineStr">
        <is>
          <t>prophecy</t>
        </is>
      </c>
      <c r="D420" s="15" t="inlineStr">
        <is>
          <t>Exalted to God’s right hand</t>
        </is>
      </c>
      <c r="E420" s="15" t="inlineStr">
        <is>
          <t>Exalted to God’s right hand</t>
        </is>
      </c>
      <c r="F420" s="15" t="inlineStr">
        <is>
          <t>b11-0040</t>
        </is>
      </c>
      <c r="G420" s="15" t="inlineStr">
        <is>
          <t>Point</t>
        </is>
      </c>
      <c r="H420" s="15" t="inlineStr">
        <is>
          <t>c. 460 B.C.E.</t>
        </is>
      </c>
      <c r="I420" s="15" t="inlineStr">
        <is>
          <t>Writing of Psalms completed</t>
        </is>
      </c>
      <c r="J420" s="15" t="inlineStr">
        <is>
          <t>b6-0004</t>
        </is>
      </c>
      <c r="K420" s="15" t="inlineStr">
        <is>
          <t>Ps. 110:1</t>
        </is>
      </c>
      <c r="L420" s="15" t="inlineStr">
        <is>
          <t>Anchored to the completion of the book of Psalms (c. 460 B.C.E.); the individual psalm is not dated in the data.</t>
        </is>
      </c>
      <c r="M420" s="16" t="n"/>
    </row>
    <row r="421">
      <c r="A421" s="15" t="inlineStr">
        <is>
          <t>messianic-prophecies</t>
        </is>
      </c>
      <c r="B421" s="15" t="n">
        <v>275</v>
      </c>
      <c r="C421" s="15" t="inlineStr">
        <is>
          <t>fulfillment</t>
        </is>
      </c>
      <c r="D421" s="15" t="inlineStr">
        <is>
          <t>Exalted to God’s right hand</t>
        </is>
      </c>
      <c r="E421" s="15" t="inlineStr">
        <is>
          <t>Exalted to God’s right hand</t>
        </is>
      </c>
      <c r="F421" s="15" t="inlineStr">
        <is>
          <t>b6-0004</t>
        </is>
      </c>
      <c r="G421" s="15" t="inlineStr">
        <is>
          <t>Point</t>
        </is>
      </c>
      <c r="H421" s="15" t="inlineStr">
        <is>
          <t>c. 33-34 C.E.</t>
        </is>
      </c>
      <c r="I421" s="15" t="inlineStr">
        <is>
          <t>Stephen martyred</t>
        </is>
      </c>
      <c r="J421" s="15" t="inlineStr">
        <is>
          <t>b11-0040</t>
        </is>
      </c>
      <c r="K421" s="15" t="inlineStr">
        <is>
          <t>Acts 7:56</t>
        </is>
      </c>
      <c r="L421" s="15" t="inlineStr">
        <is>
          <t>Acts 7:56: Stephen, just before he is stoned, sees Jesus standing at God's right hand.</t>
        </is>
      </c>
      <c r="M421" s="16" t="n"/>
    </row>
    <row r="422">
      <c r="A422" s="15" t="inlineStr">
        <is>
          <t>patriarchs-travels</t>
        </is>
      </c>
      <c r="B422" s="15" t="n">
        <v>1</v>
      </c>
      <c r="C422" s="15" t="inlineStr">
        <is>
          <t>item</t>
        </is>
      </c>
      <c r="D422" s="15" t="n"/>
      <c r="E422" s="15" t="inlineStr">
        <is>
          <t>Adam created</t>
        </is>
      </c>
      <c r="F422" s="15" t="inlineStr">
        <is>
          <t>b1-0001</t>
        </is>
      </c>
      <c r="G422" s="15" t="inlineStr">
        <is>
          <t>Point</t>
        </is>
      </c>
      <c r="H422" s="15" t="inlineStr">
        <is>
          <t>4026 B.C.E.</t>
        </is>
      </c>
      <c r="I422" s="15" t="inlineStr">
        <is>
          <t>Creation of Adam</t>
        </is>
      </c>
      <c r="J422" s="15" t="n"/>
      <c r="K422" s="15" t="n"/>
      <c r="L422" s="15" t="inlineStr">
        <is>
          <t>Shown on the timeline of the map.</t>
        </is>
      </c>
      <c r="M422" s="16" t="n"/>
    </row>
    <row r="423">
      <c r="A423" s="15" t="inlineStr">
        <is>
          <t>patriarchs-travels</t>
        </is>
      </c>
      <c r="B423" s="15" t="n">
        <v>2</v>
      </c>
      <c r="C423" s="15" t="inlineStr">
        <is>
          <t>context</t>
        </is>
      </c>
      <c r="D423" s="15" t="n"/>
      <c r="E423" s="15" t="n"/>
      <c r="F423" s="15" t="inlineStr">
        <is>
          <t>b1-0035</t>
        </is>
      </c>
      <c r="G423" s="15" t="inlineStr">
        <is>
          <t>Point</t>
        </is>
      </c>
      <c r="H423" s="15" t="inlineStr">
        <is>
          <t>c. 1943 B.C.E.</t>
        </is>
      </c>
      <c r="I423" s="15" t="inlineStr">
        <is>
          <t>Death of Terah at Haran</t>
        </is>
      </c>
      <c r="J423" s="15" t="n"/>
      <c r="K423" s="15" t="n"/>
      <c r="L423" s="15" t="inlineStr">
        <is>
          <t>Haran is on the map.</t>
        </is>
      </c>
      <c r="M423" s="16" t="n"/>
    </row>
    <row r="424">
      <c r="A424" s="15" t="inlineStr">
        <is>
          <t>patriarchs-travels</t>
        </is>
      </c>
      <c r="B424" s="15" t="n">
        <v>3</v>
      </c>
      <c r="C424" s="15" t="inlineStr">
        <is>
          <t>context</t>
        </is>
      </c>
      <c r="D424" s="15" t="n"/>
      <c r="E424" s="15" t="n"/>
      <c r="F424" s="15" t="inlineStr">
        <is>
          <t>b1-0036</t>
        </is>
      </c>
      <c r="G424" s="15" t="inlineStr">
        <is>
          <t>Point</t>
        </is>
      </c>
      <c r="H424" s="15" t="inlineStr">
        <is>
          <t>1943 B.C.E., Nisan 14</t>
        </is>
      </c>
      <c r="I424" s="15" t="inlineStr">
        <is>
          <t>Abraham crosses the Euphrates on his way to Canaan</t>
        </is>
      </c>
      <c r="J424" s="15" t="n"/>
      <c r="K424" s="15" t="n"/>
      <c r="L424" s="15" t="inlineStr">
        <is>
          <t>Euphrates River, Haran and Canaan are on the map.</t>
        </is>
      </c>
      <c r="M424" s="16" t="n"/>
    </row>
    <row r="425">
      <c r="A425" s="15" t="inlineStr">
        <is>
          <t>patriarchs-travels</t>
        </is>
      </c>
      <c r="B425" s="15" t="n">
        <v>4</v>
      </c>
      <c r="C425" s="15" t="inlineStr">
        <is>
          <t>item</t>
        </is>
      </c>
      <c r="D425" s="15" t="n"/>
      <c r="E425" s="15" t="inlineStr">
        <is>
          <t>Abrahamic covenant validated</t>
        </is>
      </c>
      <c r="F425" s="15" t="inlineStr">
        <is>
          <t>b1-0037</t>
        </is>
      </c>
      <c r="G425" s="15" t="inlineStr">
        <is>
          <t>Point</t>
        </is>
      </c>
      <c r="H425" s="15" t="inlineStr">
        <is>
          <t>1943 B.C.E.</t>
        </is>
      </c>
      <c r="I425" s="15" t="inlineStr">
        <is>
          <t>Abrahamic covenant validated; 430-year period to the Law covenant begins</t>
        </is>
      </c>
      <c r="J425" s="15" t="n"/>
      <c r="K425" s="15" t="n"/>
      <c r="L425" s="15" t="inlineStr">
        <is>
          <t>Shown on the timeline of the map.</t>
        </is>
      </c>
      <c r="M425" s="16" t="n"/>
    </row>
    <row r="426">
      <c r="A426" s="15" t="inlineStr">
        <is>
          <t>patriarchs-travels</t>
        </is>
      </c>
      <c r="B426" s="15" t="n">
        <v>5</v>
      </c>
      <c r="C426" s="15" t="inlineStr">
        <is>
          <t>context</t>
        </is>
      </c>
      <c r="D426" s="15" t="n"/>
      <c r="E426" s="15" t="n"/>
      <c r="F426" s="15" t="inlineStr">
        <is>
          <t>b1-0038</t>
        </is>
      </c>
      <c r="G426" s="15" t="inlineStr">
        <is>
          <t>Point</t>
        </is>
      </c>
      <c r="H426" s="15" t="inlineStr">
        <is>
          <t>b. 1933 B.C.E.</t>
        </is>
      </c>
      <c r="I426" s="15" t="inlineStr">
        <is>
          <t>Abraham rescues Lot</t>
        </is>
      </c>
      <c r="J426" s="15" t="n"/>
      <c r="K426" s="15" t="n"/>
      <c r="L426" s="15" t="inlineStr">
        <is>
          <t>Dan and Hobah are on the map (Gen. 14:14, 15).</t>
        </is>
      </c>
      <c r="M426" s="16" t="n"/>
    </row>
    <row r="427">
      <c r="A427" s="15" t="inlineStr">
        <is>
          <t>patriarchs-travels</t>
        </is>
      </c>
      <c r="B427" s="15" t="n">
        <v>6</v>
      </c>
      <c r="C427" s="15" t="inlineStr">
        <is>
          <t>context</t>
        </is>
      </c>
      <c r="D427" s="15" t="n"/>
      <c r="E427" s="15" t="n"/>
      <c r="F427" s="15" t="inlineStr">
        <is>
          <t>b1-0039</t>
        </is>
      </c>
      <c r="G427" s="15" t="inlineStr">
        <is>
          <t>Point</t>
        </is>
      </c>
      <c r="H427" s="15" t="inlineStr">
        <is>
          <t>b. 1933 B.C.E.</t>
        </is>
      </c>
      <c r="I427" s="15" t="inlineStr">
        <is>
          <t>Abraham visits Melchizedek</t>
        </is>
      </c>
      <c r="J427" s="15" t="n"/>
      <c r="K427" s="15" t="n"/>
      <c r="L427" s="15" t="inlineStr">
        <is>
          <t>Salem (Jerusalem) and the Plain of Shaveh-kiriathaim are on the map inset.</t>
        </is>
      </c>
      <c r="M427" s="16" t="n"/>
    </row>
    <row r="428">
      <c r="A428" s="15" t="inlineStr">
        <is>
          <t>patriarchs-travels</t>
        </is>
      </c>
      <c r="B428" s="15" t="n">
        <v>7</v>
      </c>
      <c r="C428" s="15" t="inlineStr">
        <is>
          <t>context</t>
        </is>
      </c>
      <c r="D428" s="15" t="n"/>
      <c r="E428" s="15" t="n"/>
      <c r="F428" s="15" t="inlineStr">
        <is>
          <t>b1-0056</t>
        </is>
      </c>
      <c r="G428" s="15" t="inlineStr">
        <is>
          <t>Point</t>
        </is>
      </c>
      <c r="H428" s="15" t="inlineStr">
        <is>
          <t>1781 B.C.E.</t>
        </is>
      </c>
      <c r="I428" s="15" t="inlineStr">
        <is>
          <t>Jacob flees to Haran</t>
        </is>
      </c>
      <c r="J428" s="15" t="n"/>
      <c r="K428" s="15" t="n"/>
      <c r="L428" s="15" t="inlineStr">
        <is>
          <t>Haran and Paddan-aram are on the map.</t>
        </is>
      </c>
      <c r="M428" s="16" t="n"/>
    </row>
    <row r="429">
      <c r="A429" s="15" t="inlineStr">
        <is>
          <t>patriarchs-travels</t>
        </is>
      </c>
      <c r="B429" s="15" t="n">
        <v>8</v>
      </c>
      <c r="C429" s="15" t="inlineStr">
        <is>
          <t>context</t>
        </is>
      </c>
      <c r="D429" s="15" t="n"/>
      <c r="E429" s="15" t="n"/>
      <c r="F429" s="15" t="inlineStr">
        <is>
          <t>b1-0057</t>
        </is>
      </c>
      <c r="G429" s="15" t="inlineStr">
        <is>
          <t>Point</t>
        </is>
      </c>
      <c r="H429" s="15" t="inlineStr">
        <is>
          <t>1781 B.C.E.</t>
        </is>
      </c>
      <c r="I429" s="15" t="inlineStr">
        <is>
          <t>Jacob's vision at Bethel</t>
        </is>
      </c>
      <c r="J429" s="15" t="n"/>
      <c r="K429" s="15" t="n"/>
      <c r="L429" s="15" t="inlineStr">
        <is>
          <t>Bethel, Luz is on the map inset.</t>
        </is>
      </c>
      <c r="M429" s="16" t="n"/>
    </row>
    <row r="430">
      <c r="A430" s="15" t="inlineStr">
        <is>
          <t>patriarchs-travels</t>
        </is>
      </c>
      <c r="B430" s="15" t="n">
        <v>9</v>
      </c>
      <c r="C430" s="15" t="inlineStr">
        <is>
          <t>context</t>
        </is>
      </c>
      <c r="D430" s="15" t="n"/>
      <c r="E430" s="15" t="n"/>
      <c r="F430" s="15" t="inlineStr">
        <is>
          <t>b1-0060</t>
        </is>
      </c>
      <c r="G430" s="15" t="inlineStr">
        <is>
          <t>Point</t>
        </is>
      </c>
      <c r="H430" s="15" t="inlineStr">
        <is>
          <t>1761 B.C.E.</t>
        </is>
      </c>
      <c r="I430" s="15" t="inlineStr">
        <is>
          <t>Jacob returns to Canaan from Haran</t>
        </is>
      </c>
      <c r="J430" s="15" t="n"/>
      <c r="K430" s="15" t="n"/>
      <c r="L430" s="15" t="inlineStr">
        <is>
          <t>Mahanaim, Penuel and Succoth are on the map inset.</t>
        </is>
      </c>
      <c r="M430" s="16" t="n"/>
    </row>
    <row r="431">
      <c r="A431" s="15" t="inlineStr">
        <is>
          <t>patriarchs-travels</t>
        </is>
      </c>
      <c r="B431" s="15" t="n">
        <v>10</v>
      </c>
      <c r="C431" s="15" t="inlineStr">
        <is>
          <t>context</t>
        </is>
      </c>
      <c r="D431" s="15" t="n"/>
      <c r="E431" s="15" t="n"/>
      <c r="F431" s="15" t="inlineStr">
        <is>
          <t>b1-0061</t>
        </is>
      </c>
      <c r="G431" s="15" t="inlineStr">
        <is>
          <t>Point</t>
        </is>
      </c>
      <c r="H431" s="15" t="inlineStr">
        <is>
          <t>c. 1761 B.C.E.</t>
        </is>
      </c>
      <c r="I431" s="15" t="inlineStr">
        <is>
          <t>Jacob wrestles an angel and is named Israel</t>
        </is>
      </c>
      <c r="J431" s="15" t="n"/>
      <c r="K431" s="15" t="n"/>
      <c r="L431" s="15" t="inlineStr">
        <is>
          <t>Penuel, Peniel and the Wadi of Jabbok are on the map inset.</t>
        </is>
      </c>
      <c r="M431" s="16" t="n"/>
    </row>
    <row r="432">
      <c r="A432" s="15" t="inlineStr">
        <is>
          <t>patriarchs-travels</t>
        </is>
      </c>
      <c r="B432" s="15" t="n">
        <v>11</v>
      </c>
      <c r="C432" s="15" t="inlineStr">
        <is>
          <t>context</t>
        </is>
      </c>
      <c r="D432" s="15" t="n"/>
      <c r="E432" s="15" t="n"/>
      <c r="F432" s="15" t="inlineStr">
        <is>
          <t>b2-0001</t>
        </is>
      </c>
      <c r="G432" s="15" t="inlineStr">
        <is>
          <t>Point</t>
        </is>
      </c>
      <c r="H432" s="15" t="inlineStr">
        <is>
          <t>1750 B.C.E.</t>
        </is>
      </c>
      <c r="I432" s="15" t="inlineStr">
        <is>
          <t>Joseph sold as a slave by his brothers</t>
        </is>
      </c>
      <c r="J432" s="15" t="n"/>
      <c r="K432" s="15" t="n"/>
      <c r="L432" s="15" t="inlineStr">
        <is>
          <t>Dothan is on the map.</t>
        </is>
      </c>
      <c r="M432" s="16" t="n"/>
    </row>
    <row r="433">
      <c r="A433" s="15" t="inlineStr">
        <is>
          <t>patriarchs-travels</t>
        </is>
      </c>
      <c r="B433" s="15" t="n">
        <v>12</v>
      </c>
      <c r="C433" s="15" t="inlineStr">
        <is>
          <t>context</t>
        </is>
      </c>
      <c r="D433" s="15" t="n"/>
      <c r="E433" s="15" t="n"/>
      <c r="F433" s="15" t="inlineStr">
        <is>
          <t>b2-0005</t>
        </is>
      </c>
      <c r="G433" s="15" t="inlineStr">
        <is>
          <t>Point</t>
        </is>
      </c>
      <c r="H433" s="15" t="inlineStr">
        <is>
          <t>1728 B.C.E.</t>
        </is>
      </c>
      <c r="I433" s="15" t="inlineStr">
        <is>
          <t>Jacob with his whole family enters Egypt</t>
        </is>
      </c>
      <c r="J433" s="15" t="n"/>
      <c r="K433" s="15" t="n"/>
      <c r="L433" s="15" t="inlineStr">
        <is>
          <t>Goshen and Rameses are on the map.</t>
        </is>
      </c>
      <c r="M433" s="16" t="n"/>
    </row>
    <row r="434">
      <c r="A434" s="15" t="inlineStr">
        <is>
          <t>patriarchs-travels</t>
        </is>
      </c>
      <c r="B434" s="15" t="n">
        <v>13</v>
      </c>
      <c r="C434" s="15" t="inlineStr">
        <is>
          <t>item</t>
        </is>
      </c>
      <c r="D434" s="15" t="n"/>
      <c r="E434" s="15" t="inlineStr">
        <is>
          <t>Joseph dies</t>
        </is>
      </c>
      <c r="F434" s="15" t="inlineStr">
        <is>
          <t>b2-0007</t>
        </is>
      </c>
      <c r="G434" s="15" t="inlineStr">
        <is>
          <t>Point</t>
        </is>
      </c>
      <c r="H434" s="15" t="inlineStr">
        <is>
          <t>1657 B.C.E.</t>
        </is>
      </c>
      <c r="I434" s="15" t="inlineStr">
        <is>
          <t>Death of Joseph</t>
        </is>
      </c>
      <c r="J434" s="15" t="n"/>
      <c r="K434" s="15" t="n"/>
      <c r="L434" s="15" t="inlineStr">
        <is>
          <t>Shown on the timeline of the map.</t>
        </is>
      </c>
      <c r="M434" s="16" t="n"/>
    </row>
    <row r="435">
      <c r="A435" s="15" t="inlineStr">
        <is>
          <t>promised-offspring</t>
        </is>
      </c>
      <c r="B435" s="15" t="n">
        <v>1</v>
      </c>
      <c r="C435" s="15" t="inlineStr">
        <is>
          <t>prophecy</t>
        </is>
      </c>
      <c r="D435" s="15" t="n"/>
      <c r="E435" s="15" t="inlineStr">
        <is>
          <t>Jehovah promises to raise up an “offspring,” or a “seed,” who will eventually crush the serpent, Satan.</t>
        </is>
      </c>
      <c r="F435" s="15" t="inlineStr">
        <is>
          <t>b1-0002</t>
        </is>
      </c>
      <c r="G435" s="15" t="inlineStr">
        <is>
          <t>Point</t>
        </is>
      </c>
      <c r="H435" s="15" t="inlineStr">
        <is>
          <t>a. 4026 B.C.E.</t>
        </is>
      </c>
      <c r="I435" s="15" t="inlineStr">
        <is>
          <t>Edenic covenant made; first prophecy</t>
        </is>
      </c>
      <c r="J435" s="15" t="inlineStr">
        <is>
          <t>b5-0017, b5-0163, b5-0166, b6-0001, b13-0001, b10-0010, b12-0120, b10-0025</t>
        </is>
      </c>
      <c r="K435" s="15" t="inlineStr">
        <is>
          <t>Gen. 3:1-5, 15</t>
        </is>
      </c>
      <c r="L435" s="15" t="inlineStr">
        <is>
          <t>B1: After 4026 B.C.E. “The serpent” questions Jehovah’s right to rule; the offspring is promised.</t>
        </is>
      </c>
      <c r="M435" s="16" t="n"/>
    </row>
    <row r="436">
      <c r="A436" s="15" t="inlineStr">
        <is>
          <t>promised-offspring</t>
        </is>
      </c>
      <c r="B436" s="15" t="n">
        <v>2</v>
      </c>
      <c r="C436" s="15" t="inlineStr">
        <is>
          <t>step</t>
        </is>
      </c>
      <c r="D436" s="15" t="n"/>
      <c r="E436" s="15" t="inlineStr">
        <is>
          <t>Jehovah tells Abraham that the promised “offspring” will be one of his descendants.</t>
        </is>
      </c>
      <c r="F436" s="15" t="inlineStr">
        <is>
          <t>b1-0037</t>
        </is>
      </c>
      <c r="G436" s="15" t="inlineStr">
        <is>
          <t>Point</t>
        </is>
      </c>
      <c r="H436" s="15" t="inlineStr">
        <is>
          <t>1943 B.C.E.</t>
        </is>
      </c>
      <c r="I436" s="15" t="inlineStr">
        <is>
          <t>Abrahamic covenant validated; 430-year period to the Law covenant begins</t>
        </is>
      </c>
      <c r="J436" s="15" t="inlineStr">
        <is>
          <t>b5-0017</t>
        </is>
      </c>
      <c r="K436" s="15" t="inlineStr">
        <is>
          <t>Gen. 22:18</t>
        </is>
      </c>
      <c r="L436" s="15" t="inlineStr">
        <is>
          <t>B1 dates this step 1943 B.C.E.; w22.07 box A: 'God’s promise that the primary offspring would be one of Abraham’s descendants goes into effect' (Gen. 12:1-3; 22:15-18). Anchored to the Abrahamic covenant record of 1943 B.C.E.; see also b1-0036 (Abraham crosses the Euphrates).</t>
        </is>
      </c>
      <c r="M436" s="16" t="n"/>
    </row>
    <row r="437">
      <c r="A437" s="15" t="inlineStr">
        <is>
          <t>promised-offspring</t>
        </is>
      </c>
      <c r="B437" s="15" t="n">
        <v>3</v>
      </c>
      <c r="C437" s="15" t="inlineStr">
        <is>
          <t>step</t>
        </is>
      </c>
      <c r="D437" s="15" t="n"/>
      <c r="E437" s="15" t="inlineStr">
        <is>
          <t>Jehovah assures King David and later his son Solomon that the promised “offspring” would come through their family line.</t>
        </is>
      </c>
      <c r="F437" s="15" t="inlineStr">
        <is>
          <t>b3-0009</t>
        </is>
      </c>
      <c r="G437" s="15" t="inlineStr">
        <is>
          <t>Point</t>
        </is>
      </c>
      <c r="H437" s="15" t="inlineStr">
        <is>
          <t>a. 1070 B.C.E.</t>
        </is>
      </c>
      <c r="I437" s="15" t="inlineStr">
        <is>
          <t>Jehovah makes a covenant with David for a kingdom</t>
        </is>
      </c>
      <c r="J437" s="15" t="inlineStr">
        <is>
          <t>b5-0017</t>
        </is>
      </c>
      <c r="K437" s="15" t="inlineStr">
        <is>
          <t>2 Sam. 7:12, 16; 1 Ki. 9:3-5; Isa. 9:6, 7</t>
        </is>
      </c>
      <c r="L437" s="15" t="inlineStr">
        <is>
          <t>B1: After 1070 B.C.E. Anchored to the Kingdom covenant with David.</t>
        </is>
      </c>
      <c r="M437" s="16" t="n"/>
    </row>
    <row r="438">
      <c r="A438" s="15" t="inlineStr">
        <is>
          <t>promised-offspring</t>
        </is>
      </c>
      <c r="B438" s="15" t="n">
        <v>4</v>
      </c>
      <c r="C438" s="15" t="inlineStr">
        <is>
          <t>fulfillment</t>
        </is>
      </c>
      <c r="D438" s="15" t="inlineStr">
        <is>
          <t>Jesus, the primary part of the offspring of the woman</t>
        </is>
      </c>
      <c r="E438" s="15" t="inlineStr">
        <is>
          <t>Jehovah identifies Jesus as the promised “offspring” who is the Heir to David’s throne.</t>
        </is>
      </c>
      <c r="F438" s="15" t="inlineStr">
        <is>
          <t>b5-0017</t>
        </is>
      </c>
      <c r="G438" s="15" t="inlineStr">
        <is>
          <t>Point</t>
        </is>
      </c>
      <c r="H438" s="15" t="inlineStr">
        <is>
          <t>29 C.E., fall</t>
        </is>
      </c>
      <c r="I438" s="15" t="inlineStr">
        <is>
          <t>Jesus baptized and anointed; Jehovah declares him his Son and approves him</t>
        </is>
      </c>
      <c r="J438" s="15" t="inlineStr">
        <is>
          <t>b1-0002, b1-0037, b3-0009</t>
        </is>
      </c>
      <c r="K438" s="15" t="inlineStr">
        <is>
          <t>Gal. 3:16; Luke 1:31-33; Luke 3:21, 22</t>
        </is>
      </c>
      <c r="L438" s="15" t="inlineStr">
        <is>
          <t>B1: 29 C.E. w22.07 box B: 'Jesus is anointed, becoming the primary part of the offspring of the woman.' Insight 'Seed': he became the seed when begotten by holy spirit at his baptism.</t>
        </is>
      </c>
      <c r="M438" s="16" t="n"/>
    </row>
    <row r="439">
      <c r="A439" s="15" t="inlineStr">
        <is>
          <t>promised-offspring</t>
        </is>
      </c>
      <c r="B439" s="15" t="n">
        <v>5</v>
      </c>
      <c r="C439" s="15" t="inlineStr">
        <is>
          <t>fulfillment</t>
        </is>
      </c>
      <c r="D439" s="15" t="inlineStr">
        <is>
          <t>Jesus, the primary part of the offspring of the woman</t>
        </is>
      </c>
      <c r="E439" s="15" t="inlineStr">
        <is>
          <t>The serpent, Satan, briefly cripples the promised “offspring” by having Jesus killed.</t>
        </is>
      </c>
      <c r="F439" s="15" t="inlineStr">
        <is>
          <t>b5-0163</t>
        </is>
      </c>
      <c r="G439" s="15" t="inlineStr">
        <is>
          <t>Point</t>
        </is>
      </c>
      <c r="H439" s="15" t="inlineStr">
        <is>
          <t>33 C.E., Nisan 14 (c. 3:00 p.m., Friday)</t>
        </is>
      </c>
      <c r="I439" s="15" t="inlineStr">
        <is>
          <t>Dies on torture stake</t>
        </is>
      </c>
      <c r="J439" s="15" t="inlineStr">
        <is>
          <t>b1-0002</t>
        </is>
      </c>
      <c r="K439" s="15" t="inlineStr">
        <is>
          <t>Gen. 3:15</t>
        </is>
      </c>
      <c r="L439" s="15" t="inlineStr">
        <is>
          <t>B1: 33 C.E. The bruising of the heel (Gen. 3:15); w22.07 box C 'Passover 33 C.E.'</t>
        </is>
      </c>
      <c r="M439" s="16" t="n"/>
    </row>
    <row r="440">
      <c r="A440" s="15" t="inlineStr">
        <is>
          <t>promised-offspring</t>
        </is>
      </c>
      <c r="B440" s="15" t="n">
        <v>6</v>
      </c>
      <c r="C440" s="15" t="inlineStr">
        <is>
          <t>fulfillment</t>
        </is>
      </c>
      <c r="D440" s="15" t="inlineStr">
        <is>
          <t>Jesus, the primary part of the offspring of the woman</t>
        </is>
      </c>
      <c r="E440" s="15" t="inlineStr">
        <is>
          <t>Jehovah raises Jesus to life in heaven and accepts the value of Jesus’ perfect life, thus providing the basis to forgive sins and to give Adam’s descendants everlasting life.</t>
        </is>
      </c>
      <c r="F440" s="15" t="inlineStr">
        <is>
          <t>b5-0166</t>
        </is>
      </c>
      <c r="G440" s="15" t="inlineStr">
        <is>
          <t>Point</t>
        </is>
      </c>
      <c r="H440" s="15" t="inlineStr">
        <is>
          <t>33 C.E., Nisan 16</t>
        </is>
      </c>
      <c r="I440" s="15" t="inlineStr">
        <is>
          <t>Jesus resurrected</t>
        </is>
      </c>
      <c r="J440" s="15" t="inlineStr">
        <is>
          <t>b1-0002</t>
        </is>
      </c>
      <c r="K440" s="15" t="inlineStr">
        <is>
          <t>Acts 2:32-36; 1 Cor. 15:21, 22</t>
        </is>
      </c>
      <c r="L440" s="15" t="inlineStr">
        <is>
          <t>B1: 33 C.E. Anchored to the resurrection (Nisan 16); the heel wound heals 'three days later' (w22.07 box C). Jesus' ascension is b5-0169.</t>
        </is>
      </c>
      <c r="M440" s="16" t="n"/>
    </row>
    <row r="441">
      <c r="A441" s="15" t="inlineStr">
        <is>
          <t>promised-offspring</t>
        </is>
      </c>
      <c r="B441" s="15" t="n">
        <v>7</v>
      </c>
      <c r="C441" s="15" t="inlineStr">
        <is>
          <t>fulfillment</t>
        </is>
      </c>
      <c r="D441" s="15" t="inlineStr">
        <is>
          <t>The secondary part of the offspring: Christ's 144,000 anointed corulers</t>
        </is>
      </c>
      <c r="E441" s="15" t="inlineStr">
        <is>
          <t>The first ones of the secondary part of the woman’s offspring are anointed with holy spirit.</t>
        </is>
      </c>
      <c r="F441" s="15" t="inlineStr">
        <is>
          <t>b6-0001</t>
        </is>
      </c>
      <c r="G441" s="15" t="inlineStr">
        <is>
          <t>Point</t>
        </is>
      </c>
      <c r="H441" s="15" t="inlineStr">
        <is>
          <t>33 C.E., Sivan 6 (Pentecost)</t>
        </is>
      </c>
      <c r="I441" s="15" t="inlineStr">
        <is>
          <t>Pentecost: holy spirit poured out on the disciples in Jerusalem</t>
        </is>
      </c>
      <c r="J441" s="15" t="inlineStr">
        <is>
          <t>b1-0002</t>
        </is>
      </c>
      <c r="K441" s="15" t="inlineStr">
        <is>
          <t>Acts 2:1-4; Gal. 3:29</t>
        </is>
      </c>
      <c r="L441" s="15" t="inlineStr">
        <is>
          <t>Not one of the seven B1 steps. w22.07 box D 'Pentecost 33 C.E.'; Insight 'Seed': the addition of the associate seed began at Pentecost 33 C.E. (b5-0170 was merged into b6-0001).</t>
        </is>
      </c>
      <c r="M441" s="16" t="n"/>
    </row>
    <row r="442">
      <c r="A442" s="15" t="inlineStr">
        <is>
          <t>promised-offspring</t>
        </is>
      </c>
      <c r="B442" s="15" t="n">
        <v>8</v>
      </c>
      <c r="C442" s="15" t="inlineStr">
        <is>
          <t>fulfillment</t>
        </is>
      </c>
      <c r="D442" s="15" t="n"/>
      <c r="E442" s="15" t="inlineStr">
        <is>
          <t>Jesus hurls the serpent, Satan, to the earth, confining him there for a short time.</t>
        </is>
      </c>
      <c r="F442" s="15" t="inlineStr">
        <is>
          <t>b13-0001</t>
        </is>
      </c>
      <c r="G442" s="15" t="inlineStr">
        <is>
          <t>Point</t>
        </is>
      </c>
      <c r="H442" s="15" t="inlineStr">
        <is>
          <t>About 1914 C.E.</t>
        </is>
      </c>
      <c r="I442" s="15" t="inlineStr">
        <is>
          <t>Satan hurled out of heaven down to the earth</t>
        </is>
      </c>
      <c r="J442" s="15" t="inlineStr">
        <is>
          <t>b1-0002</t>
        </is>
      </c>
      <c r="K442" s="15" t="inlineStr">
        <is>
          <t>Rev. 12:7-9, 12</t>
        </is>
      </c>
      <c r="L442" s="15" t="inlineStr">
        <is>
          <t>B1: About 1914 C.E. New record b13-0001 (no existing record for Satan's ouster).</t>
        </is>
      </c>
      <c r="M442" s="16" t="n"/>
    </row>
    <row r="443">
      <c r="A443" s="15" t="inlineStr">
        <is>
          <t>promised-offspring</t>
        </is>
      </c>
      <c r="B443" s="15" t="n">
        <v>9</v>
      </c>
      <c r="C443" s="15" t="inlineStr">
        <is>
          <t>future fulfillment</t>
        </is>
      </c>
      <c r="D443" s="15" t="inlineStr">
        <is>
          <t>The secondary part of the offspring: Christ's 144,000 anointed corulers</t>
        </is>
      </c>
      <c r="E443" s="15" t="inlineStr">
        <is>
          <t>The selection of those making up the secondary part of the offspring is nearing completion.</t>
        </is>
      </c>
      <c r="F443" s="15" t="inlineStr">
        <is>
          <t>b10-0010</t>
        </is>
      </c>
      <c r="G443" s="15" t="inlineStr">
        <is>
          <t>Point</t>
        </is>
      </c>
      <c r="H443" s="15" t="inlineStr">
        <is>
          <t>Future (undated)</t>
        </is>
      </c>
      <c r="I443" s="15" t="inlineStr">
        <is>
          <t>Final sealing of the remnant of anointed Christians completed</t>
        </is>
      </c>
      <c r="J443" s="15" t="inlineStr">
        <is>
          <t>b1-0002</t>
        </is>
      </c>
      <c r="K443" s="15" t="inlineStr">
        <is>
          <t>Rev. 7:4-8; Rev. 14:1</t>
        </is>
      </c>
      <c r="L443" s="15" t="inlineStr">
        <is>
          <t>Not one of the seven B1 steps. w22.07 par. 19 (wording above); Insight 'Seed': those 'sealed' with God's spirit number 144,000 (Rev. 7:4-8). Anchored to the future record of the final sealing.</t>
        </is>
      </c>
      <c r="M443" s="16" t="n"/>
    </row>
    <row r="444">
      <c r="A444" s="15" t="inlineStr">
        <is>
          <t>promised-offspring</t>
        </is>
      </c>
      <c r="B444" s="15" t="n">
        <v>10</v>
      </c>
      <c r="C444" s="15" t="inlineStr">
        <is>
          <t>future fulfillment</t>
        </is>
      </c>
      <c r="D444" s="15" t="n"/>
      <c r="E444" s="15" t="inlineStr">
        <is>
          <t>Jesus imprisons Satan for 1,000 years</t>
        </is>
      </c>
      <c r="F444" s="15" t="inlineStr">
        <is>
          <t>b12-0120</t>
        </is>
      </c>
      <c r="G444" s="15" t="inlineStr">
        <is>
          <t>Span</t>
        </is>
      </c>
      <c r="H444" s="15" t="inlineStr">
        <is>
          <t>Future (undated)</t>
        </is>
      </c>
      <c r="I444" s="15" t="inlineStr">
        <is>
          <t>Satan and the demons abyssed for a thousand years</t>
        </is>
      </c>
      <c r="J444" s="15" t="inlineStr">
        <is>
          <t>b1-0002</t>
        </is>
      </c>
      <c r="K444" s="15" t="inlineStr">
        <is>
          <t>Rev. 20:1-3</t>
        </is>
      </c>
      <c r="L444" s="15" t="inlineStr">
        <is>
          <t>B1: Future (first half of the sentence). The 1,000-year span; its start point is b10-0019.</t>
        </is>
      </c>
      <c r="M444" s="16" t="n"/>
    </row>
    <row r="445">
      <c r="A445" s="15" t="inlineStr">
        <is>
          <t>promised-offspring</t>
        </is>
      </c>
      <c r="B445" s="15" t="n">
        <v>11</v>
      </c>
      <c r="C445" s="15" t="inlineStr">
        <is>
          <t>future fulfillment</t>
        </is>
      </c>
      <c r="D445" s="15" t="n"/>
      <c r="E445" s="15" t="inlineStr">
        <is>
          <t>and then destroys him, symbolically crushing his head. Jehovah’s original purpose for the earth and for mankind is fulfilled, his name is cleared of reproach, and his way of ruling is vindicated.</t>
        </is>
      </c>
      <c r="F445" s="15" t="inlineStr">
        <is>
          <t>b10-0025</t>
        </is>
      </c>
      <c r="G445" s="15" t="inlineStr">
        <is>
          <t>Point</t>
        </is>
      </c>
      <c r="H445" s="15" t="inlineStr">
        <is>
          <t>Future (undated)</t>
        </is>
      </c>
      <c r="I445" s="15" t="inlineStr">
        <is>
          <t>Satan, the demons and all rebels destroyed forever</t>
        </is>
      </c>
      <c r="J445" s="15" t="inlineStr">
        <is>
          <t>b1-0002</t>
        </is>
      </c>
      <c r="K445" s="15" t="inlineStr">
        <is>
          <t>Rev. 20:10; Rev. 21:3, 4</t>
        </is>
      </c>
      <c r="L445" s="15" t="inlineStr">
        <is>
          <t>B1: Future (second half). w22.07 box F 'End of the Thousand Year Reign: Satan is permanently crushed' (Rev. 20:7, 10).</t>
        </is>
      </c>
      <c r="M445" s="16" t="n"/>
    </row>
    <row r="446">
      <c r="A446" s="15" t="inlineStr">
        <is>
          <t>prophets-and-kings-a6</t>
        </is>
      </c>
      <c r="B446" s="15" t="n">
        <v>1</v>
      </c>
      <c r="C446" s="15" t="inlineStr">
        <is>
          <t>ruler</t>
        </is>
      </c>
      <c r="D446" s="15" t="inlineStr">
        <is>
          <t>Kings of Southern Two-Tribe Kingdom of Judah</t>
        </is>
      </c>
      <c r="E446" s="15" t="inlineStr">
        <is>
          <t>Rehoboam: 17 years</t>
        </is>
      </c>
      <c r="F446" s="15" t="inlineStr">
        <is>
          <t>d1-0032</t>
        </is>
      </c>
      <c r="G446" s="15" t="inlineStr">
        <is>
          <t>Span</t>
        </is>
      </c>
      <c r="H446" s="15" t="inlineStr">
        <is>
          <t>997 B.C.E. – 980 B.C.E.</t>
        </is>
      </c>
      <c r="I446" s="15" t="inlineStr">
        <is>
          <t>Reign of Rehoboam (Judah)</t>
        </is>
      </c>
      <c r="J446" s="15" t="n"/>
      <c r="K446" s="15" t="n"/>
      <c r="L446" s="15" t="n"/>
      <c r="M446" s="16" t="n"/>
    </row>
    <row r="447">
      <c r="A447" s="15" t="inlineStr">
        <is>
          <t>prophets-and-kings-a6</t>
        </is>
      </c>
      <c r="B447" s="15" t="n">
        <v>2</v>
      </c>
      <c r="C447" s="15" t="inlineStr">
        <is>
          <t>ruler</t>
        </is>
      </c>
      <c r="D447" s="15" t="inlineStr">
        <is>
          <t>Kings of Southern Two-Tribe Kingdom of Judah</t>
        </is>
      </c>
      <c r="E447" s="15" t="inlineStr">
        <is>
          <t>Abijah (Abijam): 3 years</t>
        </is>
      </c>
      <c r="F447" s="15" t="inlineStr">
        <is>
          <t>d1-0033</t>
        </is>
      </c>
      <c r="G447" s="15" t="inlineStr">
        <is>
          <t>Span</t>
        </is>
      </c>
      <c r="H447" s="15" t="inlineStr">
        <is>
          <t>980 B.C.E. – 978 B.C.E.</t>
        </is>
      </c>
      <c r="I447" s="15" t="inlineStr">
        <is>
          <t>Reign of Abijah (Judah)</t>
        </is>
      </c>
      <c r="J447" s="15" t="n"/>
      <c r="K447" s="15" t="n"/>
      <c r="L447" s="15" t="n"/>
      <c r="M447" s="16" t="n"/>
    </row>
    <row r="448">
      <c r="A448" s="15" t="inlineStr">
        <is>
          <t>prophets-and-kings-a6</t>
        </is>
      </c>
      <c r="B448" s="15" t="n">
        <v>3</v>
      </c>
      <c r="C448" s="15" t="inlineStr">
        <is>
          <t>ruler</t>
        </is>
      </c>
      <c r="D448" s="15" t="inlineStr">
        <is>
          <t>Kings of Southern Two-Tribe Kingdom of Judah</t>
        </is>
      </c>
      <c r="E448" s="15" t="inlineStr">
        <is>
          <t>Asa: 41 years</t>
        </is>
      </c>
      <c r="F448" s="15" t="inlineStr">
        <is>
          <t>d1-0034</t>
        </is>
      </c>
      <c r="G448" s="15" t="inlineStr">
        <is>
          <t>Span</t>
        </is>
      </c>
      <c r="H448" s="15" t="inlineStr">
        <is>
          <t>978 B.C.E. – 937 B.C.E.</t>
        </is>
      </c>
      <c r="I448" s="15" t="inlineStr">
        <is>
          <t>Reign of Asa (Judah)</t>
        </is>
      </c>
      <c r="J448" s="15" t="n"/>
      <c r="K448" s="15" t="n"/>
      <c r="L448" s="15" t="n"/>
      <c r="M448" s="16" t="n"/>
    </row>
    <row r="449">
      <c r="A449" s="15" t="inlineStr">
        <is>
          <t>prophets-and-kings-a6</t>
        </is>
      </c>
      <c r="B449" s="15" t="n">
        <v>4</v>
      </c>
      <c r="C449" s="15" t="inlineStr">
        <is>
          <t>ruler</t>
        </is>
      </c>
      <c r="D449" s="15" t="inlineStr">
        <is>
          <t>Kings of Southern Two-Tribe Kingdom of Judah</t>
        </is>
      </c>
      <c r="E449" s="15" t="inlineStr">
        <is>
          <t>Jehoshaphat: 25 years</t>
        </is>
      </c>
      <c r="F449" s="15" t="inlineStr">
        <is>
          <t>d1-0035</t>
        </is>
      </c>
      <c r="G449" s="15" t="inlineStr">
        <is>
          <t>Span</t>
        </is>
      </c>
      <c r="H449" s="15" t="inlineStr">
        <is>
          <t>937 B.C.E. – 913 B.C.E.</t>
        </is>
      </c>
      <c r="I449" s="15" t="inlineStr">
        <is>
          <t>Reign of Jehoshaphat (Judah)</t>
        </is>
      </c>
      <c r="J449" s="15" t="n"/>
      <c r="K449" s="15" t="n"/>
      <c r="L449" s="15" t="n"/>
      <c r="M449" s="16" t="n"/>
    </row>
    <row r="450">
      <c r="A450" s="15" t="inlineStr">
        <is>
          <t>prophets-and-kings-a6</t>
        </is>
      </c>
      <c r="B450" s="15" t="n">
        <v>5</v>
      </c>
      <c r="C450" s="15" t="inlineStr">
        <is>
          <t>ruler</t>
        </is>
      </c>
      <c r="D450" s="15" t="inlineStr">
        <is>
          <t>Kings of Southern Two-Tribe Kingdom of Judah</t>
        </is>
      </c>
      <c r="E450" s="15" t="inlineStr">
        <is>
          <t>Jehoram: 8 years</t>
        </is>
      </c>
      <c r="F450" s="15" t="inlineStr">
        <is>
          <t>d1-0036</t>
        </is>
      </c>
      <c r="G450" s="15" t="inlineStr">
        <is>
          <t>Span</t>
        </is>
      </c>
      <c r="H450" s="15" t="inlineStr">
        <is>
          <t>913 B.C.E. – c. 906 B.C.E.</t>
        </is>
      </c>
      <c r="I450" s="15" t="inlineStr">
        <is>
          <t>Reign of Jehoram (Judah)</t>
        </is>
      </c>
      <c r="J450" s="15" t="n"/>
      <c r="K450" s="15" t="n"/>
      <c r="L450" s="15" t="n"/>
      <c r="M450" s="16" t="n"/>
    </row>
    <row r="451">
      <c r="A451" s="15" t="inlineStr">
        <is>
          <t>prophets-and-kings-a6</t>
        </is>
      </c>
      <c r="B451" s="15" t="n">
        <v>6</v>
      </c>
      <c r="C451" s="15" t="inlineStr">
        <is>
          <t>ruler</t>
        </is>
      </c>
      <c r="D451" s="15" t="inlineStr">
        <is>
          <t>Kings of Southern Two-Tribe Kingdom of Judah</t>
        </is>
      </c>
      <c r="E451" s="15" t="inlineStr">
        <is>
          <t>Ahaziah: 1 year</t>
        </is>
      </c>
      <c r="F451" s="15" t="inlineStr">
        <is>
          <t>d1-0037</t>
        </is>
      </c>
      <c r="G451" s="15" t="inlineStr">
        <is>
          <t>Span</t>
        </is>
      </c>
      <c r="H451" s="15" t="inlineStr">
        <is>
          <t>c. 906 B.C.E. – c. 905 B.C.E.</t>
        </is>
      </c>
      <c r="I451" s="15" t="inlineStr">
        <is>
          <t>Reign of Ahaziah (Judah)</t>
        </is>
      </c>
      <c r="J451" s="15" t="n"/>
      <c r="K451" s="15" t="n"/>
      <c r="L451" s="15" t="n"/>
      <c r="M451" s="16" t="n"/>
    </row>
    <row r="452">
      <c r="A452" s="15" t="inlineStr">
        <is>
          <t>prophets-and-kings-a6</t>
        </is>
      </c>
      <c r="B452" s="15" t="n">
        <v>7</v>
      </c>
      <c r="C452" s="15" t="inlineStr">
        <is>
          <t>ruler</t>
        </is>
      </c>
      <c r="D452" s="15" t="inlineStr">
        <is>
          <t>Kings of Southern Two-Tribe Kingdom of Judah</t>
        </is>
      </c>
      <c r="E452" s="15" t="inlineStr">
        <is>
          <t>Queen Athaliah: 6 years</t>
        </is>
      </c>
      <c r="F452" s="15" t="inlineStr">
        <is>
          <t>d1-0038</t>
        </is>
      </c>
      <c r="G452" s="15" t="inlineStr">
        <is>
          <t>Span</t>
        </is>
      </c>
      <c r="H452" s="15" t="inlineStr">
        <is>
          <t>c. 905 B.C.E. – 898 B.C.E.</t>
        </is>
      </c>
      <c r="I452" s="15" t="inlineStr">
        <is>
          <t>Reign of Athaliah (Judah)</t>
        </is>
      </c>
      <c r="J452" s="15" t="n"/>
      <c r="K452" s="15" t="n"/>
      <c r="L452" s="15" t="n"/>
      <c r="M452" s="16" t="n"/>
    </row>
    <row r="453">
      <c r="A453" s="15" t="inlineStr">
        <is>
          <t>prophets-and-kings-a6</t>
        </is>
      </c>
      <c r="B453" s="15" t="n">
        <v>8</v>
      </c>
      <c r="C453" s="15" t="inlineStr">
        <is>
          <t>ruler</t>
        </is>
      </c>
      <c r="D453" s="15" t="inlineStr">
        <is>
          <t>Kings of Southern Two-Tribe Kingdom of Judah</t>
        </is>
      </c>
      <c r="E453" s="15" t="inlineStr">
        <is>
          <t>Jehoash: 40 years</t>
        </is>
      </c>
      <c r="F453" s="15" t="inlineStr">
        <is>
          <t>d1-0039</t>
        </is>
      </c>
      <c r="G453" s="15" t="inlineStr">
        <is>
          <t>Span</t>
        </is>
      </c>
      <c r="H453" s="15" t="inlineStr">
        <is>
          <t>898 B.C.E. – 858 B.C.E.</t>
        </is>
      </c>
      <c r="I453" s="15" t="inlineStr">
        <is>
          <t>Reign of Jehoash (Judah)</t>
        </is>
      </c>
      <c r="J453" s="15" t="n"/>
      <c r="K453" s="15" t="n"/>
      <c r="L453" s="15" t="n"/>
      <c r="M453" s="16" t="n"/>
    </row>
    <row r="454">
      <c r="A454" s="15" t="inlineStr">
        <is>
          <t>prophets-and-kings-a6</t>
        </is>
      </c>
      <c r="B454" s="15" t="n">
        <v>9</v>
      </c>
      <c r="C454" s="15" t="inlineStr">
        <is>
          <t>ruler</t>
        </is>
      </c>
      <c r="D454" s="15" t="inlineStr">
        <is>
          <t>Kings of Southern Two-Tribe Kingdom of Judah</t>
        </is>
      </c>
      <c r="E454" s="15" t="inlineStr">
        <is>
          <t>Amaziah: 29 years</t>
        </is>
      </c>
      <c r="F454" s="15" t="inlineStr">
        <is>
          <t>d1-0040</t>
        </is>
      </c>
      <c r="G454" s="15" t="inlineStr">
        <is>
          <t>Span</t>
        </is>
      </c>
      <c r="H454" s="15" t="inlineStr">
        <is>
          <t>858 B.C.E. – 829 B.C.E.</t>
        </is>
      </c>
      <c r="I454" s="15" t="inlineStr">
        <is>
          <t>Reign of Amaziah (Judah)</t>
        </is>
      </c>
      <c r="J454" s="15" t="n"/>
      <c r="K454" s="15" t="n"/>
      <c r="L454" s="15" t="n"/>
      <c r="M454" s="16" t="n"/>
    </row>
    <row r="455">
      <c r="A455" s="15" t="inlineStr">
        <is>
          <t>prophets-and-kings-a6</t>
        </is>
      </c>
      <c r="B455" s="15" t="n">
        <v>10</v>
      </c>
      <c r="C455" s="15" t="inlineStr">
        <is>
          <t>ruler</t>
        </is>
      </c>
      <c r="D455" s="15" t="inlineStr">
        <is>
          <t>Kings of Southern Two-Tribe Kingdom of Judah</t>
        </is>
      </c>
      <c r="E455" s="15" t="inlineStr">
        <is>
          <t>Uzziah (Azariah): 52 years</t>
        </is>
      </c>
      <c r="F455" s="15" t="inlineStr">
        <is>
          <t>d1-0041</t>
        </is>
      </c>
      <c r="G455" s="15" t="inlineStr">
        <is>
          <t>Span</t>
        </is>
      </c>
      <c r="H455" s="15" t="inlineStr">
        <is>
          <t>829 B.C.E. – 777 B.C.E.</t>
        </is>
      </c>
      <c r="I455" s="15" t="inlineStr">
        <is>
          <t>Reign of Uzziah (Azariah) (Judah)</t>
        </is>
      </c>
      <c r="J455" s="15" t="n"/>
      <c r="K455" s="15" t="n"/>
      <c r="L455" s="15" t="n"/>
      <c r="M455" s="16" t="n"/>
    </row>
    <row r="456">
      <c r="A456" s="15" t="inlineStr">
        <is>
          <t>prophets-and-kings-a6</t>
        </is>
      </c>
      <c r="B456" s="15" t="n">
        <v>11</v>
      </c>
      <c r="C456" s="15" t="inlineStr">
        <is>
          <t>ruler</t>
        </is>
      </c>
      <c r="D456" s="15" t="inlineStr">
        <is>
          <t>Kings of Southern Two-Tribe Kingdom of Judah</t>
        </is>
      </c>
      <c r="E456" s="15" t="inlineStr">
        <is>
          <t>Jotham: 16 years</t>
        </is>
      </c>
      <c r="F456" s="15" t="inlineStr">
        <is>
          <t>d1-0042</t>
        </is>
      </c>
      <c r="G456" s="15" t="inlineStr">
        <is>
          <t>Span</t>
        </is>
      </c>
      <c r="H456" s="15" t="inlineStr">
        <is>
          <t>777 B.C.E. – 762 B.C.E.</t>
        </is>
      </c>
      <c r="I456" s="15" t="inlineStr">
        <is>
          <t>Reign of Jotham (Judah)</t>
        </is>
      </c>
      <c r="J456" s="15" t="n"/>
      <c r="K456" s="15" t="n"/>
      <c r="L456" s="15" t="n"/>
      <c r="M456" s="16" t="n"/>
    </row>
    <row r="457">
      <c r="A457" s="15" t="inlineStr">
        <is>
          <t>prophets-and-kings-a6</t>
        </is>
      </c>
      <c r="B457" s="15" t="n">
        <v>12</v>
      </c>
      <c r="C457" s="15" t="inlineStr">
        <is>
          <t>ruler</t>
        </is>
      </c>
      <c r="D457" s="15" t="inlineStr">
        <is>
          <t>Kings of Southern Two-Tribe Kingdom of Judah</t>
        </is>
      </c>
      <c r="E457" s="15" t="inlineStr">
        <is>
          <t>Ahaz: 16 years</t>
        </is>
      </c>
      <c r="F457" s="15" t="inlineStr">
        <is>
          <t>d1-0043</t>
        </is>
      </c>
      <c r="G457" s="15" t="inlineStr">
        <is>
          <t>Span</t>
        </is>
      </c>
      <c r="H457" s="15" t="inlineStr">
        <is>
          <t>762 B.C.E. – 746 B.C.E.</t>
        </is>
      </c>
      <c r="I457" s="15" t="inlineStr">
        <is>
          <t>Reign of Ahaz (Judah)</t>
        </is>
      </c>
      <c r="J457" s="15" t="n"/>
      <c r="K457" s="15" t="n"/>
      <c r="L457" s="15" t="n"/>
      <c r="M457" s="16" t="n"/>
    </row>
    <row r="458">
      <c r="A458" s="15" t="inlineStr">
        <is>
          <t>prophets-and-kings-a6</t>
        </is>
      </c>
      <c r="B458" s="15" t="n">
        <v>13</v>
      </c>
      <c r="C458" s="15" t="inlineStr">
        <is>
          <t>ruler</t>
        </is>
      </c>
      <c r="D458" s="15" t="inlineStr">
        <is>
          <t>Kings of Southern Two-Tribe Kingdom of Judah</t>
        </is>
      </c>
      <c r="E458" s="15" t="inlineStr">
        <is>
          <t>Hezekiah: 29 years</t>
        </is>
      </c>
      <c r="F458" s="15" t="inlineStr">
        <is>
          <t>d1-0044</t>
        </is>
      </c>
      <c r="G458" s="15" t="inlineStr">
        <is>
          <t>Span</t>
        </is>
      </c>
      <c r="H458" s="15" t="inlineStr">
        <is>
          <t>746 B.C.E. – 716 B.C.E.</t>
        </is>
      </c>
      <c r="I458" s="15" t="inlineStr">
        <is>
          <t>Reign of Hezekiah (Judah)</t>
        </is>
      </c>
      <c r="J458" s="15" t="n"/>
      <c r="K458" s="15" t="n"/>
      <c r="L458" s="15" t="n"/>
      <c r="M458" s="16" t="n"/>
    </row>
    <row r="459">
      <c r="A459" s="15" t="inlineStr">
        <is>
          <t>prophets-and-kings-a6</t>
        </is>
      </c>
      <c r="B459" s="15" t="n">
        <v>14</v>
      </c>
      <c r="C459" s="15" t="inlineStr">
        <is>
          <t>ruler</t>
        </is>
      </c>
      <c r="D459" s="15" t="inlineStr">
        <is>
          <t>Kings of Southern Two-Tribe Kingdom of Judah</t>
        </is>
      </c>
      <c r="E459" s="15" t="inlineStr">
        <is>
          <t>Manasseh: 55 years</t>
        </is>
      </c>
      <c r="F459" s="15" t="inlineStr">
        <is>
          <t>d1-0045</t>
        </is>
      </c>
      <c r="G459" s="15" t="inlineStr">
        <is>
          <t>Span</t>
        </is>
      </c>
      <c r="H459" s="15" t="inlineStr">
        <is>
          <t>716 B.C.E. – 661 B.C.E.</t>
        </is>
      </c>
      <c r="I459" s="15" t="inlineStr">
        <is>
          <t>Reign of Manasseh (Judah)</t>
        </is>
      </c>
      <c r="J459" s="15" t="n"/>
      <c r="K459" s="15" t="n"/>
      <c r="L459" s="15" t="n"/>
      <c r="M459" s="16" t="n"/>
    </row>
    <row r="460">
      <c r="A460" s="15" t="inlineStr">
        <is>
          <t>prophets-and-kings-a6</t>
        </is>
      </c>
      <c r="B460" s="15" t="n">
        <v>15</v>
      </c>
      <c r="C460" s="15" t="inlineStr">
        <is>
          <t>ruler</t>
        </is>
      </c>
      <c r="D460" s="15" t="inlineStr">
        <is>
          <t>Kings of Southern Two-Tribe Kingdom of Judah</t>
        </is>
      </c>
      <c r="E460" s="15" t="inlineStr">
        <is>
          <t>Amon: 2 years</t>
        </is>
      </c>
      <c r="F460" s="15" t="inlineStr">
        <is>
          <t>d1-0046</t>
        </is>
      </c>
      <c r="G460" s="15" t="inlineStr">
        <is>
          <t>Span</t>
        </is>
      </c>
      <c r="H460" s="15" t="inlineStr">
        <is>
          <t>661 B.C.E. – 659 B.C.E.</t>
        </is>
      </c>
      <c r="I460" s="15" t="inlineStr">
        <is>
          <t>Reign of Amon (Judah)</t>
        </is>
      </c>
      <c r="J460" s="15" t="n"/>
      <c r="K460" s="15" t="n"/>
      <c r="L460" s="15" t="n"/>
      <c r="M460" s="16" t="n"/>
    </row>
    <row r="461">
      <c r="A461" s="15" t="inlineStr">
        <is>
          <t>prophets-and-kings-a6</t>
        </is>
      </c>
      <c r="B461" s="15" t="n">
        <v>16</v>
      </c>
      <c r="C461" s="15" t="inlineStr">
        <is>
          <t>ruler</t>
        </is>
      </c>
      <c r="D461" s="15" t="inlineStr">
        <is>
          <t>Kings of Southern Two-Tribe Kingdom of Judah</t>
        </is>
      </c>
      <c r="E461" s="15" t="inlineStr">
        <is>
          <t>Josiah: 31 years</t>
        </is>
      </c>
      <c r="F461" s="15" t="inlineStr">
        <is>
          <t>d1-0047</t>
        </is>
      </c>
      <c r="G461" s="15" t="inlineStr">
        <is>
          <t>Span</t>
        </is>
      </c>
      <c r="H461" s="15" t="inlineStr">
        <is>
          <t>659 B.C.E. – 628 B.C.E.</t>
        </is>
      </c>
      <c r="I461" s="15" t="inlineStr">
        <is>
          <t>Reign of Josiah (Judah)</t>
        </is>
      </c>
      <c r="J461" s="15" t="n"/>
      <c r="K461" s="15" t="n"/>
      <c r="L461" s="15" t="n"/>
      <c r="M461" s="16" t="n"/>
    </row>
    <row r="462">
      <c r="A462" s="15" t="inlineStr">
        <is>
          <t>prophets-and-kings-a6</t>
        </is>
      </c>
      <c r="B462" s="15" t="n">
        <v>17</v>
      </c>
      <c r="C462" s="15" t="inlineStr">
        <is>
          <t>ruler</t>
        </is>
      </c>
      <c r="D462" s="15" t="inlineStr">
        <is>
          <t>Kings of Southern Two-Tribe Kingdom of Judah</t>
        </is>
      </c>
      <c r="E462" s="15" t="inlineStr">
        <is>
          <t>Jehoahaz: 3 months</t>
        </is>
      </c>
      <c r="F462" s="15" t="inlineStr">
        <is>
          <t>d1-0048</t>
        </is>
      </c>
      <c r="G462" s="15" t="inlineStr">
        <is>
          <t>Span</t>
        </is>
      </c>
      <c r="H462" s="15" t="inlineStr">
        <is>
          <t>628 B.C.E.</t>
        </is>
      </c>
      <c r="I462" s="15" t="inlineStr">
        <is>
          <t>Reign of Jehoahaz (Judah)</t>
        </is>
      </c>
      <c r="J462" s="15" t="n"/>
      <c r="K462" s="15" t="n"/>
      <c r="L462" s="15" t="n"/>
      <c r="M462" s="16" t="n"/>
    </row>
    <row r="463">
      <c r="A463" s="15" t="inlineStr">
        <is>
          <t>prophets-and-kings-a6</t>
        </is>
      </c>
      <c r="B463" s="15" t="n">
        <v>18</v>
      </c>
      <c r="C463" s="15" t="inlineStr">
        <is>
          <t>ruler</t>
        </is>
      </c>
      <c r="D463" s="15" t="inlineStr">
        <is>
          <t>Kings of Southern Two-Tribe Kingdom of Judah</t>
        </is>
      </c>
      <c r="E463" s="15" t="inlineStr">
        <is>
          <t>Jehoiakim: 11 years</t>
        </is>
      </c>
      <c r="F463" s="15" t="inlineStr">
        <is>
          <t>d1-0049</t>
        </is>
      </c>
      <c r="G463" s="15" t="inlineStr">
        <is>
          <t>Span</t>
        </is>
      </c>
      <c r="H463" s="15" t="inlineStr">
        <is>
          <t>628 B.C.E. – 618 B.C.E.</t>
        </is>
      </c>
      <c r="I463" s="15" t="inlineStr">
        <is>
          <t>Reign of Jehoiakim (Judah)</t>
        </is>
      </c>
      <c r="J463" s="15" t="n"/>
      <c r="K463" s="15" t="n"/>
      <c r="L463" s="15" t="n"/>
      <c r="M463" s="16" t="n"/>
    </row>
    <row r="464">
      <c r="A464" s="15" t="inlineStr">
        <is>
          <t>prophets-and-kings-a6</t>
        </is>
      </c>
      <c r="B464" s="15" t="n">
        <v>19</v>
      </c>
      <c r="C464" s="15" t="inlineStr">
        <is>
          <t>ruler</t>
        </is>
      </c>
      <c r="D464" s="15" t="inlineStr">
        <is>
          <t>Kings of Southern Two-Tribe Kingdom of Judah</t>
        </is>
      </c>
      <c r="E464" s="15" t="inlineStr">
        <is>
          <t>Jehoiachin: 3 months, 10 days</t>
        </is>
      </c>
      <c r="F464" s="15" t="inlineStr">
        <is>
          <t>d1-0050</t>
        </is>
      </c>
      <c r="G464" s="15" t="inlineStr">
        <is>
          <t>Span</t>
        </is>
      </c>
      <c r="H464" s="15" t="inlineStr">
        <is>
          <t>618 B.C.E.</t>
        </is>
      </c>
      <c r="I464" s="15" t="inlineStr">
        <is>
          <t>Reign of Jehoiachin (Judah)</t>
        </is>
      </c>
      <c r="J464" s="15" t="n"/>
      <c r="K464" s="15" t="n"/>
      <c r="L464" s="15" t="n"/>
      <c r="M464" s="16" t="n"/>
    </row>
    <row r="465">
      <c r="A465" s="15" t="inlineStr">
        <is>
          <t>prophets-and-kings-a6</t>
        </is>
      </c>
      <c r="B465" s="15" t="n">
        <v>20</v>
      </c>
      <c r="C465" s="15" t="inlineStr">
        <is>
          <t>ruler</t>
        </is>
      </c>
      <c r="D465" s="15" t="inlineStr">
        <is>
          <t>Kings of Southern Two-Tribe Kingdom of Judah</t>
        </is>
      </c>
      <c r="E465" s="15" t="inlineStr">
        <is>
          <t>Zedekiah: 11 years</t>
        </is>
      </c>
      <c r="F465" s="15" t="inlineStr">
        <is>
          <t>d1-0051</t>
        </is>
      </c>
      <c r="G465" s="15" t="inlineStr">
        <is>
          <t>Span</t>
        </is>
      </c>
      <c r="H465" s="15" t="inlineStr">
        <is>
          <t>617 B.C.E. – 607 B.C.E.</t>
        </is>
      </c>
      <c r="I465" s="15" t="inlineStr">
        <is>
          <t>Reign of Zedekiah (Judah)</t>
        </is>
      </c>
      <c r="J465" s="15" t="n"/>
      <c r="K465" s="15" t="n"/>
      <c r="L465" s="15" t="n"/>
      <c r="M465" s="16" t="n"/>
    </row>
    <row r="466">
      <c r="A466" s="15" t="inlineStr">
        <is>
          <t>prophets-and-kings-a6</t>
        </is>
      </c>
      <c r="B466" s="15" t="n">
        <v>21</v>
      </c>
      <c r="C466" s="15" t="inlineStr">
        <is>
          <t>end</t>
        </is>
      </c>
      <c r="D466" s="15" t="inlineStr">
        <is>
          <t>Kings of Southern Two-Tribe Kingdom of Judah</t>
        </is>
      </c>
      <c r="E466" s="15" t="inlineStr">
        <is>
          <t>Jerusalem and its temple are destroyed by the invading Babylonians under Nebuchadnezzar. Zedekiah, the last earthly king in the Davidic line, is dethroned</t>
        </is>
      </c>
      <c r="F466" s="15" t="inlineStr">
        <is>
          <t>b3-0112</t>
        </is>
      </c>
      <c r="G466" s="15" t="inlineStr">
        <is>
          <t>Point</t>
        </is>
      </c>
      <c r="H466" s="15" t="inlineStr">
        <is>
          <t>607 B.C.E.</t>
        </is>
      </c>
      <c r="I466" s="15" t="inlineStr">
        <is>
          <t>Zedekiah dethroned — end of the Davidic kings in Jerusalem</t>
        </is>
      </c>
      <c r="J466" s="15" t="n"/>
      <c r="K466" s="15" t="n"/>
      <c r="L466" s="15" t="inlineStr">
        <is>
          <t>607 B.C.E. Destruction of Jerusalem is also b3-0113.</t>
        </is>
      </c>
      <c r="M466" s="16" t="n"/>
    </row>
    <row r="467">
      <c r="A467" s="15" t="inlineStr">
        <is>
          <t>prophets-and-kings-a6</t>
        </is>
      </c>
      <c r="B467" s="15" t="n">
        <v>22</v>
      </c>
      <c r="C467" s="15" t="inlineStr">
        <is>
          <t>ruler</t>
        </is>
      </c>
      <c r="D467" s="15" t="inlineStr">
        <is>
          <t>Kings of Northern Ten-Tribe Kingdom of Israel</t>
        </is>
      </c>
      <c r="E467" s="15" t="inlineStr">
        <is>
          <t>Jeroboam: 22 years</t>
        </is>
      </c>
      <c r="F467" s="15" t="inlineStr">
        <is>
          <t>d1-0052</t>
        </is>
      </c>
      <c r="G467" s="15" t="inlineStr">
        <is>
          <t>Span</t>
        </is>
      </c>
      <c r="H467" s="15" t="inlineStr">
        <is>
          <t>997 B.C.E. – c. 976 B.C.E.</t>
        </is>
      </c>
      <c r="I467" s="15" t="inlineStr">
        <is>
          <t>Reign of Jeroboam (Israel)</t>
        </is>
      </c>
      <c r="J467" s="15" t="n"/>
      <c r="K467" s="15" t="n"/>
      <c r="L467" s="15" t="n"/>
      <c r="M467" s="16" t="n"/>
    </row>
    <row r="468">
      <c r="A468" s="15" t="inlineStr">
        <is>
          <t>prophets-and-kings-a6</t>
        </is>
      </c>
      <c r="B468" s="15" t="n">
        <v>23</v>
      </c>
      <c r="C468" s="15" t="inlineStr">
        <is>
          <t>ruler</t>
        </is>
      </c>
      <c r="D468" s="15" t="inlineStr">
        <is>
          <t>Kings of Northern Ten-Tribe Kingdom of Israel</t>
        </is>
      </c>
      <c r="E468" s="15" t="inlineStr">
        <is>
          <t>Nadab: 2 years</t>
        </is>
      </c>
      <c r="F468" s="15" t="inlineStr">
        <is>
          <t>d1-0053</t>
        </is>
      </c>
      <c r="G468" s="15" t="inlineStr">
        <is>
          <t>Span</t>
        </is>
      </c>
      <c r="H468" s="15" t="inlineStr">
        <is>
          <t>c. 976 B.C.E. – c. 975 B.C.E.</t>
        </is>
      </c>
      <c r="I468" s="15" t="inlineStr">
        <is>
          <t>Reign of Nadab (Israel)</t>
        </is>
      </c>
      <c r="J468" s="15" t="n"/>
      <c r="K468" s="15" t="n"/>
      <c r="L468" s="15" t="n"/>
      <c r="M468" s="16" t="n"/>
    </row>
    <row r="469">
      <c r="A469" s="15" t="inlineStr">
        <is>
          <t>prophets-and-kings-a6</t>
        </is>
      </c>
      <c r="B469" s="15" t="n">
        <v>24</v>
      </c>
      <c r="C469" s="15" t="inlineStr">
        <is>
          <t>ruler</t>
        </is>
      </c>
      <c r="D469" s="15" t="inlineStr">
        <is>
          <t>Kings of Northern Ten-Tribe Kingdom of Israel</t>
        </is>
      </c>
      <c r="E469" s="15" t="inlineStr">
        <is>
          <t>Baasha: 24 years</t>
        </is>
      </c>
      <c r="F469" s="15" t="inlineStr">
        <is>
          <t>d1-0054</t>
        </is>
      </c>
      <c r="G469" s="15" t="inlineStr">
        <is>
          <t>Span</t>
        </is>
      </c>
      <c r="H469" s="15" t="inlineStr">
        <is>
          <t>c. 975 B.C.E. – c. 952 B.C.E.</t>
        </is>
      </c>
      <c r="I469" s="15" t="inlineStr">
        <is>
          <t>Reign of Baasha (Israel)</t>
        </is>
      </c>
      <c r="J469" s="15" t="n"/>
      <c r="K469" s="15" t="n"/>
      <c r="L469" s="15" t="n"/>
      <c r="M469" s="16" t="n"/>
    </row>
    <row r="470">
      <c r="A470" s="15" t="inlineStr">
        <is>
          <t>prophets-and-kings-a6</t>
        </is>
      </c>
      <c r="B470" s="15" t="n">
        <v>25</v>
      </c>
      <c r="C470" s="15" t="inlineStr">
        <is>
          <t>ruler</t>
        </is>
      </c>
      <c r="D470" s="15" t="inlineStr">
        <is>
          <t>Kings of Northern Ten-Tribe Kingdom of Israel</t>
        </is>
      </c>
      <c r="E470" s="15" t="inlineStr">
        <is>
          <t>Elah: 2 years</t>
        </is>
      </c>
      <c r="F470" s="15" t="inlineStr">
        <is>
          <t>d1-0055</t>
        </is>
      </c>
      <c r="G470" s="15" t="inlineStr">
        <is>
          <t>Span</t>
        </is>
      </c>
      <c r="H470" s="15" t="inlineStr">
        <is>
          <t>c. 952 B.C.E. – c. 951 B.C.E.</t>
        </is>
      </c>
      <c r="I470" s="15" t="inlineStr">
        <is>
          <t>Reign of Elah (Israel)</t>
        </is>
      </c>
      <c r="J470" s="15" t="n"/>
      <c r="K470" s="15" t="n"/>
      <c r="L470" s="15" t="n"/>
      <c r="M470" s="16" t="n"/>
    </row>
    <row r="471">
      <c r="A471" s="15" t="inlineStr">
        <is>
          <t>prophets-and-kings-a6</t>
        </is>
      </c>
      <c r="B471" s="15" t="n">
        <v>26</v>
      </c>
      <c r="C471" s="15" t="inlineStr">
        <is>
          <t>ruler</t>
        </is>
      </c>
      <c r="D471" s="15" t="inlineStr">
        <is>
          <t>Kings of Northern Ten-Tribe Kingdom of Israel</t>
        </is>
      </c>
      <c r="E471" s="15" t="inlineStr">
        <is>
          <t>Zimri: 7 days (c. 951)</t>
        </is>
      </c>
      <c r="F471" s="15" t="inlineStr">
        <is>
          <t>d1-0056</t>
        </is>
      </c>
      <c r="G471" s="15" t="inlineStr">
        <is>
          <t>Span</t>
        </is>
      </c>
      <c r="H471" s="15" t="inlineStr">
        <is>
          <t>c. 951 B.C.E.</t>
        </is>
      </c>
      <c r="I471" s="15" t="inlineStr">
        <is>
          <t>Reign of Zimri (Israel)</t>
        </is>
      </c>
      <c r="J471" s="15" t="n"/>
      <c r="K471" s="15" t="n"/>
      <c r="L471" s="15" t="n"/>
      <c r="M471" s="16" t="n"/>
    </row>
    <row r="472">
      <c r="A472" s="15" t="inlineStr">
        <is>
          <t>prophets-and-kings-a6</t>
        </is>
      </c>
      <c r="B472" s="15" t="n">
        <v>27</v>
      </c>
      <c r="C472" s="15" t="inlineStr">
        <is>
          <t>ruler</t>
        </is>
      </c>
      <c r="D472" s="15" t="inlineStr">
        <is>
          <t>Kings of Northern Ten-Tribe Kingdom of Israel</t>
        </is>
      </c>
      <c r="E472" s="15" t="inlineStr">
        <is>
          <t>Omri and Tibni: 4 years</t>
        </is>
      </c>
      <c r="F472" s="15" t="inlineStr">
        <is>
          <t>d1-0057</t>
        </is>
      </c>
      <c r="G472" s="15" t="inlineStr">
        <is>
          <t>Span</t>
        </is>
      </c>
      <c r="H472" s="15" t="inlineStr">
        <is>
          <t>c. 951 B.C.E. – c. 940 B.C.E.</t>
        </is>
      </c>
      <c r="I472" s="15" t="inlineStr">
        <is>
          <t>Reign of Omri (Israel)</t>
        </is>
      </c>
      <c r="J472" s="15" t="n"/>
      <c r="K472" s="15" t="n"/>
      <c r="L472" s="15" t="n"/>
      <c r="M472" s="16" t="n"/>
    </row>
    <row r="473">
      <c r="A473" s="15" t="inlineStr">
        <is>
          <t>prophets-and-kings-a6</t>
        </is>
      </c>
      <c r="B473" s="15" t="n">
        <v>28</v>
      </c>
      <c r="C473" s="15" t="inlineStr">
        <is>
          <t>item</t>
        </is>
      </c>
      <c r="D473" s="15" t="inlineStr">
        <is>
          <t>Kings of Northern Ten-Tribe Kingdom of Israel</t>
        </is>
      </c>
      <c r="E473" s="15" t="inlineStr">
        <is>
          <t>Omri (alone): 8 years</t>
        </is>
      </c>
      <c r="F473" s="15" t="inlineStr">
        <is>
          <t>b3-0030</t>
        </is>
      </c>
      <c r="G473" s="15" t="inlineStr">
        <is>
          <t>Point</t>
        </is>
      </c>
      <c r="H473" s="15" t="inlineStr">
        <is>
          <t>c. 947 B.C.E.</t>
        </is>
      </c>
      <c r="I473" s="15" t="inlineStr">
        <is>
          <t>Omri becomes sole king of Israel (8 years)</t>
        </is>
      </c>
      <c r="J473" s="15" t="n"/>
      <c r="K473" s="15" t="n"/>
      <c r="L473" s="15" t="inlineStr">
        <is>
          <t>Omri’s sole rule; his reign span d1-0057 covers both the rivalry with Tibni and the sole rule.</t>
        </is>
      </c>
      <c r="M473" s="16" t="n"/>
    </row>
    <row r="474">
      <c r="A474" s="15" t="inlineStr">
        <is>
          <t>prophets-and-kings-a6</t>
        </is>
      </c>
      <c r="B474" s="15" t="n">
        <v>29</v>
      </c>
      <c r="C474" s="15" t="inlineStr">
        <is>
          <t>ruler</t>
        </is>
      </c>
      <c r="D474" s="15" t="inlineStr">
        <is>
          <t>Kings of Northern Ten-Tribe Kingdom of Israel</t>
        </is>
      </c>
      <c r="E474" s="15" t="inlineStr">
        <is>
          <t>Ahab: 22 years</t>
        </is>
      </c>
      <c r="F474" s="15" t="inlineStr">
        <is>
          <t>d1-0058</t>
        </is>
      </c>
      <c r="G474" s="15" t="inlineStr">
        <is>
          <t>Span</t>
        </is>
      </c>
      <c r="H474" s="15" t="inlineStr">
        <is>
          <t>c. 940 B.C.E. – c. 920 B.C.E.</t>
        </is>
      </c>
      <c r="I474" s="15" t="inlineStr">
        <is>
          <t>Reign of Ahab (Israel)</t>
        </is>
      </c>
      <c r="J474" s="15" t="n"/>
      <c r="K474" s="15" t="n"/>
      <c r="L474" s="15" t="n"/>
      <c r="M474" s="16" t="n"/>
    </row>
    <row r="475">
      <c r="A475" s="15" t="inlineStr">
        <is>
          <t>prophets-and-kings-a6</t>
        </is>
      </c>
      <c r="B475" s="15" t="n">
        <v>30</v>
      </c>
      <c r="C475" s="15" t="inlineStr">
        <is>
          <t>ruler</t>
        </is>
      </c>
      <c r="D475" s="15" t="inlineStr">
        <is>
          <t>Kings of Northern Ten-Tribe Kingdom of Israel</t>
        </is>
      </c>
      <c r="E475" s="15" t="inlineStr">
        <is>
          <t>Ahaziah: 2 years</t>
        </is>
      </c>
      <c r="F475" s="15" t="inlineStr">
        <is>
          <t>d1-0059</t>
        </is>
      </c>
      <c r="G475" s="15" t="inlineStr">
        <is>
          <t>Span</t>
        </is>
      </c>
      <c r="H475" s="15" t="inlineStr">
        <is>
          <t>c. 920 B.C.E. – c. 917 B.C.E.</t>
        </is>
      </c>
      <c r="I475" s="15" t="inlineStr">
        <is>
          <t>Reign of Ahaziah (Israel)</t>
        </is>
      </c>
      <c r="J475" s="15" t="n"/>
      <c r="K475" s="15" t="n"/>
      <c r="L475" s="15" t="n"/>
      <c r="M475" s="16" t="n"/>
    </row>
    <row r="476">
      <c r="A476" s="15" t="inlineStr">
        <is>
          <t>prophets-and-kings-a6</t>
        </is>
      </c>
      <c r="B476" s="15" t="n">
        <v>31</v>
      </c>
      <c r="C476" s="15" t="inlineStr">
        <is>
          <t>ruler</t>
        </is>
      </c>
      <c r="D476" s="15" t="inlineStr">
        <is>
          <t>Kings of Northern Ten-Tribe Kingdom of Israel</t>
        </is>
      </c>
      <c r="E476" s="15" t="inlineStr">
        <is>
          <t>Jehoram: 12 years</t>
        </is>
      </c>
      <c r="F476" s="15" t="inlineStr">
        <is>
          <t>d1-0060</t>
        </is>
      </c>
      <c r="G476" s="15" t="inlineStr">
        <is>
          <t>Span</t>
        </is>
      </c>
      <c r="H476" s="15" t="inlineStr">
        <is>
          <t>c. 917 B.C.E. – c. 905 B.C.E.</t>
        </is>
      </c>
      <c r="I476" s="15" t="inlineStr">
        <is>
          <t>Reign of Jehoram (Israel)</t>
        </is>
      </c>
      <c r="J476" s="15" t="n"/>
      <c r="K476" s="15" t="n"/>
      <c r="L476" s="15" t="n"/>
      <c r="M476" s="16" t="n"/>
    </row>
    <row r="477">
      <c r="A477" s="15" t="inlineStr">
        <is>
          <t>prophets-and-kings-a6</t>
        </is>
      </c>
      <c r="B477" s="15" t="n">
        <v>32</v>
      </c>
      <c r="C477" s="15" t="inlineStr">
        <is>
          <t>ruler</t>
        </is>
      </c>
      <c r="D477" s="15" t="inlineStr">
        <is>
          <t>Kings of Northern Ten-Tribe Kingdom of Israel</t>
        </is>
      </c>
      <c r="E477" s="15" t="inlineStr">
        <is>
          <t>Jehu: 28 years</t>
        </is>
      </c>
      <c r="F477" s="15" t="inlineStr">
        <is>
          <t>d1-0061</t>
        </is>
      </c>
      <c r="G477" s="15" t="inlineStr">
        <is>
          <t>Span</t>
        </is>
      </c>
      <c r="H477" s="15" t="inlineStr">
        <is>
          <t>c. 905 B.C.E. – 876 B.C.E.</t>
        </is>
      </c>
      <c r="I477" s="15" t="inlineStr">
        <is>
          <t>Reign of Jehu (Israel)</t>
        </is>
      </c>
      <c r="J477" s="15" t="n"/>
      <c r="K477" s="15" t="n"/>
      <c r="L477" s="15" t="n"/>
      <c r="M477" s="16" t="n"/>
    </row>
    <row r="478">
      <c r="A478" s="15" t="inlineStr">
        <is>
          <t>prophets-and-kings-a6</t>
        </is>
      </c>
      <c r="B478" s="15" t="n">
        <v>33</v>
      </c>
      <c r="C478" s="15" t="inlineStr">
        <is>
          <t>ruler</t>
        </is>
      </c>
      <c r="D478" s="15" t="inlineStr">
        <is>
          <t>Kings of Northern Ten-Tribe Kingdom of Israel</t>
        </is>
      </c>
      <c r="E478" s="15" t="inlineStr">
        <is>
          <t>Jehoahaz: 14 years</t>
        </is>
      </c>
      <c r="F478" s="15" t="inlineStr">
        <is>
          <t>d1-0062</t>
        </is>
      </c>
      <c r="G478" s="15" t="inlineStr">
        <is>
          <t>Span</t>
        </is>
      </c>
      <c r="H478" s="15" t="inlineStr">
        <is>
          <t>876 B.C.E. – c. 859 B.C.E.</t>
        </is>
      </c>
      <c r="I478" s="15" t="inlineStr">
        <is>
          <t>Reign of Jehoahaz (Israel)</t>
        </is>
      </c>
      <c r="J478" s="15" t="n"/>
      <c r="K478" s="15" t="n"/>
      <c r="L478" s="15" t="n"/>
      <c r="M478" s="16" t="n"/>
    </row>
    <row r="479">
      <c r="A479" s="15" t="inlineStr">
        <is>
          <t>prophets-and-kings-a6</t>
        </is>
      </c>
      <c r="B479" s="15" t="n">
        <v>34</v>
      </c>
      <c r="C479" s="15" t="inlineStr">
        <is>
          <t>item</t>
        </is>
      </c>
      <c r="D479" s="15" t="inlineStr">
        <is>
          <t>Kings of Northern Ten-Tribe Kingdom of Israel</t>
        </is>
      </c>
      <c r="E479" s="15" t="inlineStr">
        <is>
          <t>Jehoahaz and Jehoash: 3 years</t>
        </is>
      </c>
      <c r="F479" s="15" t="inlineStr">
        <is>
          <t>b3-0047</t>
        </is>
      </c>
      <c r="G479" s="15" t="inlineStr">
        <is>
          <t>Point</t>
        </is>
      </c>
      <c r="H479" s="15" t="inlineStr">
        <is>
          <t>c. 862 B.C.E.</t>
        </is>
      </c>
      <c r="I479" s="15" t="inlineStr">
        <is>
          <t>Jehoahaz and Jehoash rule Israel jointly (3 years)</t>
        </is>
      </c>
      <c r="J479" s="15" t="n"/>
      <c r="K479" s="15" t="n"/>
      <c r="L479" s="15" t="inlineStr">
        <is>
          <t>Joint rule of Jehoahaz and Jehoash; within d1-0062 (Jehoahaz).</t>
        </is>
      </c>
      <c r="M479" s="16" t="n"/>
    </row>
    <row r="480">
      <c r="A480" s="15" t="inlineStr">
        <is>
          <t>prophets-and-kings-a6</t>
        </is>
      </c>
      <c r="B480" s="15" t="n">
        <v>35</v>
      </c>
      <c r="C480" s="15" t="inlineStr">
        <is>
          <t>ruler</t>
        </is>
      </c>
      <c r="D480" s="15" t="inlineStr">
        <is>
          <t>Kings of Northern Ten-Tribe Kingdom of Israel</t>
        </is>
      </c>
      <c r="E480" s="15" t="inlineStr">
        <is>
          <t>Jehoash (alone): 16 years</t>
        </is>
      </c>
      <c r="F480" s="15" t="inlineStr">
        <is>
          <t>d1-0063</t>
        </is>
      </c>
      <c r="G480" s="15" t="inlineStr">
        <is>
          <t>Span</t>
        </is>
      </c>
      <c r="H480" s="15" t="inlineStr">
        <is>
          <t>c. 859 B.C.E. – c. 844 B.C.E.</t>
        </is>
      </c>
      <c r="I480" s="15" t="inlineStr">
        <is>
          <t>Reign of Jehoash (Israel)</t>
        </is>
      </c>
      <c r="J480" s="15" t="n"/>
      <c r="K480" s="15" t="n"/>
      <c r="L480" s="15" t="n"/>
      <c r="M480" s="16" t="n"/>
    </row>
    <row r="481">
      <c r="A481" s="15" t="inlineStr">
        <is>
          <t>prophets-and-kings-a6</t>
        </is>
      </c>
      <c r="B481" s="15" t="n">
        <v>36</v>
      </c>
      <c r="C481" s="15" t="inlineStr">
        <is>
          <t>ruler</t>
        </is>
      </c>
      <c r="D481" s="15" t="inlineStr">
        <is>
          <t>Kings of Northern Ten-Tribe Kingdom of Israel</t>
        </is>
      </c>
      <c r="E481" s="15" t="inlineStr">
        <is>
          <t>Jeroboam II: 41 years</t>
        </is>
      </c>
      <c r="F481" s="15" t="inlineStr">
        <is>
          <t>d1-0064</t>
        </is>
      </c>
      <c r="G481" s="15" t="inlineStr">
        <is>
          <t>Span</t>
        </is>
      </c>
      <c r="H481" s="15" t="inlineStr">
        <is>
          <t>c. 844 B.C.E. – c. 803 B.C.E.</t>
        </is>
      </c>
      <c r="I481" s="15" t="inlineStr">
        <is>
          <t>Reign of Jeroboam II (Israel)</t>
        </is>
      </c>
      <c r="J481" s="15" t="n"/>
      <c r="K481" s="15" t="n"/>
      <c r="L481" s="15" t="n"/>
      <c r="M481" s="16" t="n"/>
    </row>
    <row r="482">
      <c r="A482" s="15" t="inlineStr">
        <is>
          <t>prophets-and-kings-a6</t>
        </is>
      </c>
      <c r="B482" s="15" t="n">
        <v>37</v>
      </c>
      <c r="C482" s="15" t="inlineStr">
        <is>
          <t>ruler</t>
        </is>
      </c>
      <c r="D482" s="15" t="inlineStr">
        <is>
          <t>Kings of Northern Ten-Tribe Kingdom of Israel</t>
        </is>
      </c>
      <c r="E482" s="15" t="inlineStr">
        <is>
          <t>Zechariah: recorded reign of only 6 months</t>
        </is>
      </c>
      <c r="F482" s="15" t="inlineStr">
        <is>
          <t>d1-0065</t>
        </is>
      </c>
      <c r="G482" s="15" t="inlineStr">
        <is>
          <t>Span</t>
        </is>
      </c>
      <c r="H482" s="15" t="inlineStr">
        <is>
          <t>c. 803 B.C.E. – c. 791 B.C.E.</t>
        </is>
      </c>
      <c r="I482" s="15" t="inlineStr">
        <is>
          <t>Reign of Zechariah (Israel)</t>
        </is>
      </c>
      <c r="J482" s="15" t="n"/>
      <c r="K482" s="15" t="n"/>
      <c r="L482" s="15" t="n"/>
      <c r="M482" s="16" t="n"/>
    </row>
    <row r="483">
      <c r="A483" s="15" t="inlineStr">
        <is>
          <t>prophets-and-kings-a6</t>
        </is>
      </c>
      <c r="B483" s="15" t="n">
        <v>38</v>
      </c>
      <c r="C483" s="15" t="inlineStr">
        <is>
          <t>context</t>
        </is>
      </c>
      <c r="D483" s="15" t="inlineStr">
        <is>
          <t>Kings of Northern Ten-Tribe Kingdom of Israel</t>
        </is>
      </c>
      <c r="E483" s="15" t="inlineStr">
        <is>
          <t>Zechariah began to reign in some sense, but evidently the kingship was not fully confirmed as his until c. 792</t>
        </is>
      </c>
      <c r="F483" s="15" t="inlineStr">
        <is>
          <t>b16-0001</t>
        </is>
      </c>
      <c r="G483" s="15" t="inlineStr">
        <is>
          <t>Point</t>
        </is>
      </c>
      <c r="H483" s="15" t="inlineStr">
        <is>
          <t>c. 792 B.C.E.</t>
        </is>
      </c>
      <c r="I483" s="15" t="inlineStr">
        <is>
          <t>Zechariah’s kingship over Israel evidently fully confirmed</t>
        </is>
      </c>
      <c r="J483" s="15" t="n"/>
      <c r="K483" s="15" t="n"/>
      <c r="L483" s="15" t="inlineStr">
        <is>
          <t>Chart footnote to Zechariah’s accession.</t>
        </is>
      </c>
      <c r="M483" s="16" t="n"/>
    </row>
    <row r="484">
      <c r="A484" s="15" t="inlineStr">
        <is>
          <t>prophets-and-kings-a6</t>
        </is>
      </c>
      <c r="B484" s="15" t="n">
        <v>39</v>
      </c>
      <c r="C484" s="15" t="inlineStr">
        <is>
          <t>ruler</t>
        </is>
      </c>
      <c r="D484" s="15" t="inlineStr">
        <is>
          <t>Kings of Northern Ten-Tribe Kingdom of Israel</t>
        </is>
      </c>
      <c r="E484" s="15" t="inlineStr">
        <is>
          <t>Shallum: 1 month</t>
        </is>
      </c>
      <c r="F484" s="15" t="inlineStr">
        <is>
          <t>d1-0066</t>
        </is>
      </c>
      <c r="G484" s="15" t="inlineStr">
        <is>
          <t>Span</t>
        </is>
      </c>
      <c r="H484" s="15" t="inlineStr">
        <is>
          <t>c. 791 B.C.E.</t>
        </is>
      </c>
      <c r="I484" s="15" t="inlineStr">
        <is>
          <t>Reign of Shallum (Israel)</t>
        </is>
      </c>
      <c r="J484" s="15" t="n"/>
      <c r="K484" s="15" t="n"/>
      <c r="L484" s="15" t="n"/>
      <c r="M484" s="16" t="n"/>
    </row>
    <row r="485">
      <c r="A485" s="15" t="inlineStr">
        <is>
          <t>prophets-and-kings-a6</t>
        </is>
      </c>
      <c r="B485" s="15" t="n">
        <v>40</v>
      </c>
      <c r="C485" s="15" t="inlineStr">
        <is>
          <t>ruler</t>
        </is>
      </c>
      <c r="D485" s="15" t="inlineStr">
        <is>
          <t>Kings of Northern Ten-Tribe Kingdom of Israel</t>
        </is>
      </c>
      <c r="E485" s="15" t="inlineStr">
        <is>
          <t>Menahem: 10 years</t>
        </is>
      </c>
      <c r="F485" s="15" t="inlineStr">
        <is>
          <t>d1-0067</t>
        </is>
      </c>
      <c r="G485" s="15" t="inlineStr">
        <is>
          <t>Span</t>
        </is>
      </c>
      <c r="H485" s="15" t="inlineStr">
        <is>
          <t>c. 791 B.C.E. – c. 780 B.C.E.</t>
        </is>
      </c>
      <c r="I485" s="15" t="inlineStr">
        <is>
          <t>Reign of Menahem (Israel)</t>
        </is>
      </c>
      <c r="J485" s="15" t="n"/>
      <c r="K485" s="15" t="n"/>
      <c r="L485" s="15" t="n"/>
      <c r="M485" s="16" t="n"/>
    </row>
    <row r="486">
      <c r="A486" s="15" t="inlineStr">
        <is>
          <t>prophets-and-kings-a6</t>
        </is>
      </c>
      <c r="B486" s="15" t="n">
        <v>41</v>
      </c>
      <c r="C486" s="15" t="inlineStr">
        <is>
          <t>ruler</t>
        </is>
      </c>
      <c r="D486" s="15" t="inlineStr">
        <is>
          <t>Kings of Northern Ten-Tribe Kingdom of Israel</t>
        </is>
      </c>
      <c r="E486" s="15" t="inlineStr">
        <is>
          <t>Pekahiah: 2 years</t>
        </is>
      </c>
      <c r="F486" s="15" t="inlineStr">
        <is>
          <t>d1-0068</t>
        </is>
      </c>
      <c r="G486" s="15" t="inlineStr">
        <is>
          <t>Span</t>
        </is>
      </c>
      <c r="H486" s="15" t="inlineStr">
        <is>
          <t>c. 780 B.C.E. – c. 778 B.C.E.</t>
        </is>
      </c>
      <c r="I486" s="15" t="inlineStr">
        <is>
          <t>Reign of Pekahiah (Israel)</t>
        </is>
      </c>
      <c r="J486" s="15" t="n"/>
      <c r="K486" s="15" t="n"/>
      <c r="L486" s="15" t="n"/>
      <c r="M486" s="16" t="n"/>
    </row>
    <row r="487">
      <c r="A487" s="15" t="inlineStr">
        <is>
          <t>prophets-and-kings-a6</t>
        </is>
      </c>
      <c r="B487" s="15" t="n">
        <v>42</v>
      </c>
      <c r="C487" s="15" t="inlineStr">
        <is>
          <t>ruler</t>
        </is>
      </c>
      <c r="D487" s="15" t="inlineStr">
        <is>
          <t>Kings of Northern Ten-Tribe Kingdom of Israel</t>
        </is>
      </c>
      <c r="E487" s="15" t="inlineStr">
        <is>
          <t>Pekah: 20 years</t>
        </is>
      </c>
      <c r="F487" s="15" t="inlineStr">
        <is>
          <t>d1-0069</t>
        </is>
      </c>
      <c r="G487" s="15" t="inlineStr">
        <is>
          <t>Span</t>
        </is>
      </c>
      <c r="H487" s="15" t="inlineStr">
        <is>
          <t>c. 778 B.C.E. – c. 758 B.C.E.</t>
        </is>
      </c>
      <c r="I487" s="15" t="inlineStr">
        <is>
          <t>Reign of Pekah (Israel)</t>
        </is>
      </c>
      <c r="J487" s="15" t="n"/>
      <c r="K487" s="15" t="n"/>
      <c r="L487" s="15" t="n"/>
      <c r="M487" s="16" t="n"/>
    </row>
    <row r="488">
      <c r="A488" s="15" t="inlineStr">
        <is>
          <t>prophets-and-kings-a6</t>
        </is>
      </c>
      <c r="B488" s="15" t="n">
        <v>43</v>
      </c>
      <c r="C488" s="15" t="inlineStr">
        <is>
          <t>ruler</t>
        </is>
      </c>
      <c r="D488" s="15" t="inlineStr">
        <is>
          <t>Kings of Northern Ten-Tribe Kingdom of Israel</t>
        </is>
      </c>
      <c r="E488" s="15" t="inlineStr">
        <is>
          <t>Hoshea: 9 years from c. 748</t>
        </is>
      </c>
      <c r="F488" s="15" t="inlineStr">
        <is>
          <t>d1-0070</t>
        </is>
      </c>
      <c r="G488" s="15" t="inlineStr">
        <is>
          <t>Span</t>
        </is>
      </c>
      <c r="H488" s="15" t="inlineStr">
        <is>
          <t>c. 758 B.C.E. – 740 B.C.E.</t>
        </is>
      </c>
      <c r="I488" s="15" t="inlineStr">
        <is>
          <t>Reign of Hoshea (Israel)</t>
        </is>
      </c>
      <c r="J488" s="15" t="n"/>
      <c r="K488" s="15" t="n"/>
      <c r="L488" s="15" t="n"/>
      <c r="M488" s="16" t="n"/>
    </row>
    <row r="489">
      <c r="A489" s="15" t="inlineStr">
        <is>
          <t>prophets-and-kings-a6</t>
        </is>
      </c>
      <c r="B489" s="15" t="n">
        <v>44</v>
      </c>
      <c r="C489" s="15" t="inlineStr">
        <is>
          <t>context</t>
        </is>
      </c>
      <c r="D489" s="15" t="inlineStr">
        <is>
          <t>Kings of Northern Ten-Tribe Kingdom of Israel</t>
        </is>
      </c>
      <c r="E489" s="15" t="inlineStr">
        <is>
          <t>It seems that Hoshea’s rule became fully established or possibly received the backing of the Assyrian monarch Tiglath-pileser III in c. 748</t>
        </is>
      </c>
      <c r="F489" s="15" t="inlineStr">
        <is>
          <t>b3-0072</t>
        </is>
      </c>
      <c r="G489" s="15" t="inlineStr">
        <is>
          <t>Point</t>
        </is>
      </c>
      <c r="H489" s="15" t="inlineStr">
        <is>
          <t>c. 748 B.C.E.</t>
        </is>
      </c>
      <c r="I489" s="15" t="inlineStr">
        <is>
          <t>Hoshea’s rule becomes fully established</t>
        </is>
      </c>
      <c r="J489" s="15" t="n"/>
      <c r="K489" s="15" t="n"/>
      <c r="L489" s="15" t="inlineStr">
        <is>
          <t>Chart footnote to Hoshea’s reign.</t>
        </is>
      </c>
      <c r="M489" s="16" t="n"/>
    </row>
    <row r="490">
      <c r="A490" s="15" t="inlineStr">
        <is>
          <t>prophets-and-kings-a6</t>
        </is>
      </c>
      <c r="B490" s="15" t="n">
        <v>45</v>
      </c>
      <c r="C490" s="15" t="inlineStr">
        <is>
          <t>end</t>
        </is>
      </c>
      <c r="D490" s="15" t="inlineStr">
        <is>
          <t>Kings of Northern Ten-Tribe Kingdom of Israel</t>
        </is>
      </c>
      <c r="E490" s="15" t="inlineStr">
        <is>
          <t>Assyria conquers Samaria, subjugates Israel; northern ten-tribe kingdom of Israel comes to its end</t>
        </is>
      </c>
      <c r="F490" s="15" t="inlineStr">
        <is>
          <t>b3-0076</t>
        </is>
      </c>
      <c r="G490" s="15" t="inlineStr">
        <is>
          <t>Point</t>
        </is>
      </c>
      <c r="H490" s="15" t="inlineStr">
        <is>
          <t>740 B.C.E.</t>
        </is>
      </c>
      <c r="I490" s="15" t="inlineStr">
        <is>
          <t>Assyria conquers Samaria; northern kingdom ends</t>
        </is>
      </c>
      <c r="J490" s="15" t="n"/>
      <c r="K490" s="15" t="n"/>
      <c r="L490" s="15" t="inlineStr">
        <is>
          <t>End of the northern kingdom, 740 B.C.E.</t>
        </is>
      </c>
      <c r="M490" s="16" t="n"/>
    </row>
    <row r="491">
      <c r="A491" s="15" t="inlineStr">
        <is>
          <t>prophets-and-kings-a6</t>
        </is>
      </c>
      <c r="B491" s="15" t="n">
        <v>46</v>
      </c>
      <c r="C491" s="15" t="inlineStr">
        <is>
          <t>item</t>
        </is>
      </c>
      <c r="D491" s="15" t="inlineStr">
        <is>
          <t>List of Prophets</t>
        </is>
      </c>
      <c r="E491" s="15" t="inlineStr">
        <is>
          <t>Joel</t>
        </is>
      </c>
      <c r="F491" s="15" t="inlineStr">
        <is>
          <t>b3-0056</t>
        </is>
      </c>
      <c r="G491" s="15" t="inlineStr">
        <is>
          <t>Point</t>
        </is>
      </c>
      <c r="H491" s="15" t="inlineStr">
        <is>
          <t>c. 820 B.C.E. (?)</t>
        </is>
      </c>
      <c r="I491" s="15" t="inlineStr">
        <is>
          <t>Prophetic activity of Joel</t>
        </is>
      </c>
      <c r="J491" s="15" t="n"/>
      <c r="K491" s="15" t="n"/>
      <c r="L491" s="15" t="inlineStr">
        <is>
          <t>Record date: c. 820 B.C.E. (?) (from the record’s sources; not printed on A6).</t>
        </is>
      </c>
      <c r="M491" s="16" t="n"/>
    </row>
    <row r="492">
      <c r="A492" s="15" t="inlineStr">
        <is>
          <t>prophets-and-kings-a6</t>
        </is>
      </c>
      <c r="B492" s="15" t="n">
        <v>47</v>
      </c>
      <c r="C492" s="15" t="inlineStr">
        <is>
          <t>item</t>
        </is>
      </c>
      <c r="D492" s="15" t="inlineStr">
        <is>
          <t>List of Prophets</t>
        </is>
      </c>
      <c r="E492" s="15" t="inlineStr">
        <is>
          <t>Elijah</t>
        </is>
      </c>
      <c r="F492" s="15" t="inlineStr">
        <is>
          <t>b3-0032</t>
        </is>
      </c>
      <c r="G492" s="15" t="inlineStr">
        <is>
          <t>Span</t>
        </is>
      </c>
      <c r="H492" s="15" t="inlineStr">
        <is>
          <t>c. 940–c. 906 B.C.E.</t>
        </is>
      </c>
      <c r="I492" s="15" t="inlineStr">
        <is>
          <t>Prophetic activity of Elijah</t>
        </is>
      </c>
      <c r="J492" s="15" t="n"/>
      <c r="K492" s="15" t="n"/>
      <c r="L492" s="15" t="inlineStr">
        <is>
          <t>Record date: c. 940–c. 906 B.C.E. (from the record’s sources; not printed on A6).</t>
        </is>
      </c>
      <c r="M492" s="16" t="n"/>
    </row>
    <row r="493">
      <c r="A493" s="15" t="inlineStr">
        <is>
          <t>prophets-and-kings-a6</t>
        </is>
      </c>
      <c r="B493" s="15" t="n">
        <v>48</v>
      </c>
      <c r="C493" s="15" t="inlineStr">
        <is>
          <t>item</t>
        </is>
      </c>
      <c r="D493" s="15" t="inlineStr">
        <is>
          <t>List of Prophets</t>
        </is>
      </c>
      <c r="E493" s="15" t="inlineStr">
        <is>
          <t>Elisha</t>
        </is>
      </c>
      <c r="F493" s="15" t="inlineStr">
        <is>
          <t>b3-0038</t>
        </is>
      </c>
      <c r="G493" s="15" t="inlineStr">
        <is>
          <t>Span</t>
        </is>
      </c>
      <c r="H493" s="15" t="inlineStr">
        <is>
          <t>c. 917–c. 857 B.C.E.</t>
        </is>
      </c>
      <c r="I493" s="15" t="inlineStr">
        <is>
          <t>Prophetic activity of Elisha</t>
        </is>
      </c>
      <c r="J493" s="15" t="n"/>
      <c r="K493" s="15" t="n"/>
      <c r="L493" s="15" t="inlineStr">
        <is>
          <t>Record date: c. 917–c. 857 B.C.E. (from the record’s sources; not printed on A6).</t>
        </is>
      </c>
      <c r="M493" s="16" t="n"/>
    </row>
    <row r="494">
      <c r="A494" s="15" t="inlineStr">
        <is>
          <t>prophets-and-kings-a6</t>
        </is>
      </c>
      <c r="B494" s="15" t="n">
        <v>49</v>
      </c>
      <c r="C494" s="15" t="inlineStr">
        <is>
          <t>item</t>
        </is>
      </c>
      <c r="D494" s="15" t="inlineStr">
        <is>
          <t>List of Prophets</t>
        </is>
      </c>
      <c r="E494" s="15" t="inlineStr">
        <is>
          <t>Jonah</t>
        </is>
      </c>
      <c r="F494" s="15" t="inlineStr">
        <is>
          <t>b3-0051</t>
        </is>
      </c>
      <c r="G494" s="15" t="inlineStr">
        <is>
          <t>Span</t>
        </is>
      </c>
      <c r="H494" s="15" t="inlineStr">
        <is>
          <t>c. 844 B.C.E. (reign of Jeroboam II)</t>
        </is>
      </c>
      <c r="I494" s="15" t="inlineStr">
        <is>
          <t>Prophetic activity of Jonah</t>
        </is>
      </c>
      <c r="J494" s="15" t="n"/>
      <c r="K494" s="15" t="n"/>
      <c r="L494" s="15" t="inlineStr">
        <is>
          <t>Record date: c. 844 B.C.E. (reign of Jeroboam II) (from the record’s sources; not printed on A6).</t>
        </is>
      </c>
      <c r="M494" s="16" t="n"/>
    </row>
    <row r="495">
      <c r="A495" s="15" t="inlineStr">
        <is>
          <t>prophets-and-kings-a6</t>
        </is>
      </c>
      <c r="B495" s="15" t="n">
        <v>50</v>
      </c>
      <c r="C495" s="15" t="inlineStr">
        <is>
          <t>item</t>
        </is>
      </c>
      <c r="D495" s="15" t="inlineStr">
        <is>
          <t>List of Prophets</t>
        </is>
      </c>
      <c r="E495" s="15" t="inlineStr">
        <is>
          <t>Amos</t>
        </is>
      </c>
      <c r="F495" s="15" t="inlineStr">
        <is>
          <t>b3-0054</t>
        </is>
      </c>
      <c r="G495" s="15" t="inlineStr">
        <is>
          <t>Span</t>
        </is>
      </c>
      <c r="H495" s="15" t="inlineStr">
        <is>
          <t>829–c. 804 B.C.E.</t>
        </is>
      </c>
      <c r="I495" s="15" t="inlineStr">
        <is>
          <t>Prophetic activity of Amos</t>
        </is>
      </c>
      <c r="J495" s="15" t="n"/>
      <c r="K495" s="15" t="n"/>
      <c r="L495" s="15" t="inlineStr">
        <is>
          <t>Record date: 829–c. 804 B.C.E. (from the record’s sources; not printed on A6).</t>
        </is>
      </c>
      <c r="M495" s="16" t="n"/>
    </row>
    <row r="496">
      <c r="A496" s="15" t="inlineStr">
        <is>
          <t>prophets-and-kings-a6</t>
        </is>
      </c>
      <c r="B496" s="15" t="n">
        <v>51</v>
      </c>
      <c r="C496" s="15" t="inlineStr">
        <is>
          <t>item</t>
        </is>
      </c>
      <c r="D496" s="15" t="inlineStr">
        <is>
          <t>List of Prophets</t>
        </is>
      </c>
      <c r="E496" s="15" t="inlineStr">
        <is>
          <t>Isaiah</t>
        </is>
      </c>
      <c r="F496" s="15" t="inlineStr">
        <is>
          <t>b3-0066</t>
        </is>
      </c>
      <c r="G496" s="15" t="inlineStr">
        <is>
          <t>Span</t>
        </is>
      </c>
      <c r="H496" s="15" t="inlineStr">
        <is>
          <t>c. 778–a. 732 B.C.E.</t>
        </is>
      </c>
      <c r="I496" s="15" t="inlineStr">
        <is>
          <t>Prophetic activity of Isaiah</t>
        </is>
      </c>
      <c r="J496" s="15" t="n"/>
      <c r="K496" s="15" t="n"/>
      <c r="L496" s="15" t="inlineStr">
        <is>
          <t>Record date: c. 778–a. 732 B.C.E. (from the record’s sources; not printed on A6).</t>
        </is>
      </c>
      <c r="M496" s="16" t="n"/>
    </row>
    <row r="497">
      <c r="A497" s="15" t="inlineStr">
        <is>
          <t>prophets-and-kings-a6</t>
        </is>
      </c>
      <c r="B497" s="15" t="n">
        <v>52</v>
      </c>
      <c r="C497" s="15" t="inlineStr">
        <is>
          <t>item</t>
        </is>
      </c>
      <c r="D497" s="15" t="inlineStr">
        <is>
          <t>List of Prophets</t>
        </is>
      </c>
      <c r="E497" s="15" t="inlineStr">
        <is>
          <t>Micah</t>
        </is>
      </c>
      <c r="F497" s="15" t="inlineStr">
        <is>
          <t>b3-0068</t>
        </is>
      </c>
      <c r="G497" s="15" t="inlineStr">
        <is>
          <t>Span</t>
        </is>
      </c>
      <c r="H497" s="15" t="inlineStr">
        <is>
          <t>c. 777–717 B.C.E.</t>
        </is>
      </c>
      <c r="I497" s="15" t="inlineStr">
        <is>
          <t>Prophetic activity of Micah</t>
        </is>
      </c>
      <c r="J497" s="15" t="n"/>
      <c r="K497" s="15" t="n"/>
      <c r="L497" s="15" t="inlineStr">
        <is>
          <t>Record date: c. 777–717 B.C.E. (from the record’s sources; not printed on A6).</t>
        </is>
      </c>
      <c r="M497" s="16" t="n"/>
    </row>
    <row r="498">
      <c r="A498" s="15" t="inlineStr">
        <is>
          <t>prophets-and-kings-a6</t>
        </is>
      </c>
      <c r="B498" s="15" t="n">
        <v>53</v>
      </c>
      <c r="C498" s="15" t="inlineStr">
        <is>
          <t>item</t>
        </is>
      </c>
      <c r="D498" s="15" t="inlineStr">
        <is>
          <t>List of Prophets</t>
        </is>
      </c>
      <c r="E498" s="15" t="inlineStr">
        <is>
          <t>Zephaniah</t>
        </is>
      </c>
      <c r="F498" s="15" t="inlineStr">
        <is>
          <t>b3-0084</t>
        </is>
      </c>
      <c r="G498" s="15" t="inlineStr">
        <is>
          <t>Span</t>
        </is>
      </c>
      <c r="H498" s="15" t="inlineStr">
        <is>
          <t>early in Josiah’s reign (659–b. 648 B.C.E.)</t>
        </is>
      </c>
      <c r="I498" s="15" t="inlineStr">
        <is>
          <t>Prophetic activity of Zephaniah</t>
        </is>
      </c>
      <c r="J498" s="15" t="n"/>
      <c r="K498" s="15" t="n"/>
      <c r="L498" s="15" t="inlineStr">
        <is>
          <t>Record date: early in Josiah’s reign (659–b. 648 B.C.E.) (from the record’s sources; not printed on A6).</t>
        </is>
      </c>
      <c r="M498" s="16" t="n"/>
    </row>
    <row r="499">
      <c r="A499" s="15" t="inlineStr">
        <is>
          <t>prophets-and-kings-a6</t>
        </is>
      </c>
      <c r="B499" s="15" t="n">
        <v>54</v>
      </c>
      <c r="C499" s="15" t="inlineStr">
        <is>
          <t>item</t>
        </is>
      </c>
      <c r="D499" s="15" t="inlineStr">
        <is>
          <t>List of Prophets</t>
        </is>
      </c>
      <c r="E499" s="15" t="inlineStr">
        <is>
          <t>Jeremiah</t>
        </is>
      </c>
      <c r="F499" s="15" t="inlineStr">
        <is>
          <t>b3-0088</t>
        </is>
      </c>
      <c r="G499" s="15" t="inlineStr">
        <is>
          <t>Span</t>
        </is>
      </c>
      <c r="H499" s="15" t="inlineStr">
        <is>
          <t>647–580 B.C.E.</t>
        </is>
      </c>
      <c r="I499" s="15" t="inlineStr">
        <is>
          <t>Prophetic activity of Jeremiah</t>
        </is>
      </c>
      <c r="J499" s="15" t="n"/>
      <c r="K499" s="15" t="n"/>
      <c r="L499" s="15" t="inlineStr">
        <is>
          <t>Record date: 647–580 B.C.E. (from the record’s sources; not printed on A6).</t>
        </is>
      </c>
      <c r="M499" s="16" t="n"/>
    </row>
    <row r="500">
      <c r="A500" s="15" t="inlineStr">
        <is>
          <t>prophets-and-kings-a6</t>
        </is>
      </c>
      <c r="B500" s="15" t="n">
        <v>55</v>
      </c>
      <c r="C500" s="15" t="inlineStr">
        <is>
          <t>item</t>
        </is>
      </c>
      <c r="D500" s="15" t="inlineStr">
        <is>
          <t>List of Prophets</t>
        </is>
      </c>
      <c r="E500" s="15" t="inlineStr">
        <is>
          <t>Nahum</t>
        </is>
      </c>
      <c r="F500" s="15" t="inlineStr">
        <is>
          <t>b3-0092</t>
        </is>
      </c>
      <c r="G500" s="15" t="inlineStr">
        <is>
          <t>Point</t>
        </is>
      </c>
      <c r="H500" s="15" t="inlineStr">
        <is>
          <t>b. 632 B.C.E.</t>
        </is>
      </c>
      <c r="I500" s="15" t="inlineStr">
        <is>
          <t>Prophetic activity of Nahum</t>
        </is>
      </c>
      <c r="J500" s="15" t="n"/>
      <c r="K500" s="15" t="n"/>
      <c r="L500" s="15" t="inlineStr">
        <is>
          <t>Record date: b. 632 B.C.E. (from the record’s sources; not printed on A6).</t>
        </is>
      </c>
      <c r="M500" s="16" t="n"/>
    </row>
    <row r="501">
      <c r="A501" s="15" t="inlineStr">
        <is>
          <t>prophets-and-kings-a6</t>
        </is>
      </c>
      <c r="B501" s="15" t="n">
        <v>56</v>
      </c>
      <c r="C501" s="15" t="inlineStr">
        <is>
          <t>item</t>
        </is>
      </c>
      <c r="D501" s="15" t="inlineStr">
        <is>
          <t>List of Prophets</t>
        </is>
      </c>
      <c r="E501" s="15" t="inlineStr">
        <is>
          <t>Habakkuk</t>
        </is>
      </c>
      <c r="F501" s="15" t="inlineStr">
        <is>
          <t>b3-0097</t>
        </is>
      </c>
      <c r="G501" s="15" t="inlineStr">
        <is>
          <t>Point</t>
        </is>
      </c>
      <c r="H501" s="15" t="inlineStr">
        <is>
          <t>c. 628 B.C.E. (?)</t>
        </is>
      </c>
      <c r="I501" s="15" t="inlineStr">
        <is>
          <t>Prophetic activity of Habakkuk</t>
        </is>
      </c>
      <c r="J501" s="15" t="n"/>
      <c r="K501" s="15" t="n"/>
      <c r="L501" s="15" t="inlineStr">
        <is>
          <t>Record date: c. 628 B.C.E. (?) (from the record’s sources; not printed on A6).</t>
        </is>
      </c>
      <c r="M501" s="16" t="n"/>
    </row>
    <row r="502">
      <c r="A502" s="15" t="inlineStr">
        <is>
          <t>prophets-and-kings-a6</t>
        </is>
      </c>
      <c r="B502" s="15" t="n">
        <v>57</v>
      </c>
      <c r="C502" s="15" t="inlineStr">
        <is>
          <t>item</t>
        </is>
      </c>
      <c r="D502" s="15" t="inlineStr">
        <is>
          <t>List of Prophets</t>
        </is>
      </c>
      <c r="E502" s="15" t="inlineStr">
        <is>
          <t>Daniel</t>
        </is>
      </c>
      <c r="F502" s="15" t="inlineStr">
        <is>
          <t>b3-0103</t>
        </is>
      </c>
      <c r="G502" s="15" t="inlineStr">
        <is>
          <t>Span</t>
        </is>
      </c>
      <c r="H502" s="15" t="inlineStr">
        <is>
          <t>618–c. 536 B.C.E.</t>
        </is>
      </c>
      <c r="I502" s="15" t="inlineStr">
        <is>
          <t>Prophetic activity of Daniel</t>
        </is>
      </c>
      <c r="J502" s="15" t="n"/>
      <c r="K502" s="15" t="n"/>
      <c r="L502" s="15" t="inlineStr">
        <is>
          <t>Record date: 618–c. 536 B.C.E. (from the record’s sources; not printed on A6).</t>
        </is>
      </c>
      <c r="M502" s="16" t="n"/>
    </row>
    <row r="503">
      <c r="A503" s="15" t="inlineStr">
        <is>
          <t>prophets-and-kings-a6</t>
        </is>
      </c>
      <c r="B503" s="15" t="n">
        <v>58</v>
      </c>
      <c r="C503" s="15" t="inlineStr">
        <is>
          <t>item</t>
        </is>
      </c>
      <c r="D503" s="15" t="inlineStr">
        <is>
          <t>List of Prophets</t>
        </is>
      </c>
      <c r="E503" s="15" t="inlineStr">
        <is>
          <t>Ezekiel</t>
        </is>
      </c>
      <c r="F503" s="15" t="inlineStr">
        <is>
          <t>b3-0109</t>
        </is>
      </c>
      <c r="G503" s="15" t="inlineStr">
        <is>
          <t>Span</t>
        </is>
      </c>
      <c r="H503" s="15" t="inlineStr">
        <is>
          <t>613–c. 591 B.C.E.</t>
        </is>
      </c>
      <c r="I503" s="15" t="inlineStr">
        <is>
          <t>Prophetic activity of Ezekiel</t>
        </is>
      </c>
      <c r="J503" s="15" t="n"/>
      <c r="K503" s="15" t="n"/>
      <c r="L503" s="15" t="inlineStr">
        <is>
          <t>Record date: 613–c. 591 B.C.E. (from the record’s sources; not printed on A6).</t>
        </is>
      </c>
      <c r="M503" s="16" t="n"/>
    </row>
    <row r="504">
      <c r="A504" s="15" t="inlineStr">
        <is>
          <t>prophets-and-kings-a6</t>
        </is>
      </c>
      <c r="B504" s="15" t="n">
        <v>59</v>
      </c>
      <c r="C504" s="15" t="inlineStr">
        <is>
          <t>item</t>
        </is>
      </c>
      <c r="D504" s="15" t="inlineStr">
        <is>
          <t>List of Prophets</t>
        </is>
      </c>
      <c r="E504" s="15" t="inlineStr">
        <is>
          <t>Obadiah</t>
        </is>
      </c>
      <c r="F504" s="15" t="inlineStr">
        <is>
          <t>b3-0120</t>
        </is>
      </c>
      <c r="G504" s="15" t="inlineStr">
        <is>
          <t>Point</t>
        </is>
      </c>
      <c r="H504" s="15" t="inlineStr">
        <is>
          <t>c. 607 B.C.E.</t>
        </is>
      </c>
      <c r="I504" s="15" t="inlineStr">
        <is>
          <t>Prophetic activity of Obadiah</t>
        </is>
      </c>
      <c r="J504" s="15" t="n"/>
      <c r="K504" s="15" t="n"/>
      <c r="L504" s="15" t="inlineStr">
        <is>
          <t>Record date: c. 607 B.C.E. (from the record’s sources; not printed on A6).</t>
        </is>
      </c>
      <c r="M504" s="16" t="n"/>
    </row>
    <row r="505">
      <c r="A505" s="15" t="inlineStr">
        <is>
          <t>prophets-and-kings-a6</t>
        </is>
      </c>
      <c r="B505" s="15" t="n">
        <v>60</v>
      </c>
      <c r="C505" s="15" t="inlineStr">
        <is>
          <t>item</t>
        </is>
      </c>
      <c r="D505" s="15" t="inlineStr">
        <is>
          <t>List of Prophets</t>
        </is>
      </c>
      <c r="E505" s="15" t="inlineStr">
        <is>
          <t>Hosea</t>
        </is>
      </c>
      <c r="F505" s="15" t="inlineStr">
        <is>
          <t>b3-0059</t>
        </is>
      </c>
      <c r="G505" s="15" t="inlineStr">
        <is>
          <t>Span</t>
        </is>
      </c>
      <c r="H505" s="15" t="inlineStr">
        <is>
          <t>b. 804–a. 745 B.C.E.</t>
        </is>
      </c>
      <c r="I505" s="15" t="inlineStr">
        <is>
          <t>Prophetic activity of Hosea</t>
        </is>
      </c>
      <c r="J505" s="15" t="n"/>
      <c r="K505" s="15" t="n"/>
      <c r="L505" s="15" t="inlineStr">
        <is>
          <t>Record date: b. 804–a. 745 B.C.E. (from the record’s sources; not printed on A6).</t>
        </is>
      </c>
      <c r="M505" s="16" t="n"/>
    </row>
    <row r="506">
      <c r="A506" s="15" t="inlineStr">
        <is>
          <t>settlement-of-the-land</t>
        </is>
      </c>
      <c r="B506" s="15" t="n">
        <v>1</v>
      </c>
      <c r="C506" s="15" t="inlineStr">
        <is>
          <t>item</t>
        </is>
      </c>
      <c r="D506" s="15" t="n"/>
      <c r="E506" s="15" t="inlineStr">
        <is>
          <t>Tribes receive land after conquest</t>
        </is>
      </c>
      <c r="F506" s="15" t="inlineStr">
        <is>
          <t>b2-0052</t>
        </is>
      </c>
      <c r="G506" s="15" t="inlineStr">
        <is>
          <t>Point</t>
        </is>
      </c>
      <c r="H506" s="15" t="inlineStr">
        <is>
          <t>1467 B.C.E.</t>
        </is>
      </c>
      <c r="I506" s="15" t="inlineStr">
        <is>
          <t>Tribes receive land after the conquest</t>
        </is>
      </c>
      <c r="J506" s="15" t="n"/>
      <c r="K506" s="15" t="n"/>
      <c r="L506" s="15" t="inlineStr">
        <is>
          <t>Shown on the timeline of the map.</t>
        </is>
      </c>
      <c r="M506" s="16" t="n"/>
    </row>
    <row r="507">
      <c r="A507" s="15" t="inlineStr">
        <is>
          <t>settlement-of-the-land</t>
        </is>
      </c>
      <c r="B507" s="15" t="n">
        <v>2</v>
      </c>
      <c r="C507" s="15" t="inlineStr">
        <is>
          <t>context</t>
        </is>
      </c>
      <c r="D507" s="15" t="n"/>
      <c r="E507" s="15" t="n"/>
      <c r="F507" s="15" t="inlineStr">
        <is>
          <t>b2-0053</t>
        </is>
      </c>
      <c r="G507" s="15" t="inlineStr">
        <is>
          <t>Point</t>
        </is>
      </c>
      <c r="H507" s="15" t="inlineStr">
        <is>
          <t>c. 1467 B.C.E.</t>
        </is>
      </c>
      <c r="I507" s="15" t="inlineStr">
        <is>
          <t>Ark of the covenant moved to Shiloh</t>
        </is>
      </c>
      <c r="J507" s="15" t="n"/>
      <c r="K507" s="15" t="n"/>
      <c r="L507" s="15" t="inlineStr">
        <is>
          <t>Shiloh is on the map.</t>
        </is>
      </c>
      <c r="M507" s="16" t="n"/>
    </row>
    <row r="508">
      <c r="A508" s="15" t="inlineStr">
        <is>
          <t>settlement-of-the-land</t>
        </is>
      </c>
      <c r="B508" s="15" t="n">
        <v>3</v>
      </c>
      <c r="C508" s="15" t="inlineStr">
        <is>
          <t>context</t>
        </is>
      </c>
      <c r="D508" s="15" t="n"/>
      <c r="E508" s="15" t="n"/>
      <c r="F508" s="15" t="inlineStr">
        <is>
          <t>b2-0057</t>
        </is>
      </c>
      <c r="G508" s="15" t="inlineStr">
        <is>
          <t>Span</t>
        </is>
      </c>
      <c r="H508" s="15" t="inlineStr">
        <is>
          <t>c. 1450–c. 1120 B.C.E.</t>
        </is>
      </c>
      <c r="I508" s="15" t="inlineStr">
        <is>
          <t>Period of the Judges</t>
        </is>
      </c>
      <c r="J508" s="15" t="n"/>
      <c r="K508" s="15" t="n"/>
      <c r="L508" s="15" t="inlineStr">
        <is>
          <t>The period between the two timeline entries.</t>
        </is>
      </c>
      <c r="M508" s="16" t="n"/>
    </row>
    <row r="509">
      <c r="A509" s="15" t="inlineStr">
        <is>
          <t>settlement-of-the-land</t>
        </is>
      </c>
      <c r="B509" s="15" t="n">
        <v>4</v>
      </c>
      <c r="C509" s="15" t="inlineStr">
        <is>
          <t>item</t>
        </is>
      </c>
      <c r="D509" s="15" t="inlineStr">
        <is>
          <t>Judges</t>
        </is>
      </c>
      <c r="E509" s="15" t="inlineStr">
        <is>
          <t>1 Othniel</t>
        </is>
      </c>
      <c r="F509" s="15" t="inlineStr">
        <is>
          <t>b2-0058</t>
        </is>
      </c>
      <c r="G509" s="15" t="inlineStr">
        <is>
          <t>Span</t>
        </is>
      </c>
      <c r="H509" s="15" t="inlineStr">
        <is>
          <t>Period of the Judges (c. 1450–c. 1120 B.C.E.; date not stated)</t>
        </is>
      </c>
      <c r="I509" s="15" t="inlineStr">
        <is>
          <t>Othniel delivers Israel from Cushan-rishathaim</t>
        </is>
      </c>
      <c r="J509" s="15" t="n"/>
      <c r="K509" s="15" t="n"/>
      <c r="L509" s="15" t="inlineStr">
        <is>
          <t>Numbered on the map legend ‘Judges’; no date printed.</t>
        </is>
      </c>
      <c r="M509" s="16" t="n"/>
    </row>
    <row r="510">
      <c r="A510" s="15" t="inlineStr">
        <is>
          <t>settlement-of-the-land</t>
        </is>
      </c>
      <c r="B510" s="15" t="n">
        <v>5</v>
      </c>
      <c r="C510" s="15" t="inlineStr">
        <is>
          <t>item</t>
        </is>
      </c>
      <c r="D510" s="15" t="inlineStr">
        <is>
          <t>Judges</t>
        </is>
      </c>
      <c r="E510" s="15" t="inlineStr">
        <is>
          <t>2 Ehud</t>
        </is>
      </c>
      <c r="F510" s="15" t="inlineStr">
        <is>
          <t>b2-0060</t>
        </is>
      </c>
      <c r="G510" s="15" t="inlineStr">
        <is>
          <t>Span</t>
        </is>
      </c>
      <c r="H510" s="15" t="inlineStr">
        <is>
          <t>Period of the Judges (c. 1450–c. 1120 B.C.E.; date not stated)</t>
        </is>
      </c>
      <c r="I510" s="15" t="inlineStr">
        <is>
          <t>Ehud delivers Israel from Moab</t>
        </is>
      </c>
      <c r="J510" s="15" t="n"/>
      <c r="K510" s="15" t="n"/>
      <c r="L510" s="15" t="inlineStr">
        <is>
          <t>Numbered on the map legend ‘Judges’; no date printed.</t>
        </is>
      </c>
      <c r="M510" s="16" t="n"/>
    </row>
    <row r="511">
      <c r="A511" s="15" t="inlineStr">
        <is>
          <t>settlement-of-the-land</t>
        </is>
      </c>
      <c r="B511" s="15" t="n">
        <v>6</v>
      </c>
      <c r="C511" s="15" t="inlineStr">
        <is>
          <t>item</t>
        </is>
      </c>
      <c r="D511" s="15" t="inlineStr">
        <is>
          <t>Judges</t>
        </is>
      </c>
      <c r="E511" s="15" t="inlineStr">
        <is>
          <t>3 Shamgar</t>
        </is>
      </c>
      <c r="F511" s="15" t="inlineStr">
        <is>
          <t>b2-0062</t>
        </is>
      </c>
      <c r="G511" s="15" t="inlineStr">
        <is>
          <t>Span</t>
        </is>
      </c>
      <c r="H511" s="15" t="inlineStr">
        <is>
          <t>Period of the Judges (c. 1450–c. 1120 B.C.E.; date not stated)</t>
        </is>
      </c>
      <c r="I511" s="15" t="inlineStr">
        <is>
          <t>Shamgar saves Israel from the Philistines</t>
        </is>
      </c>
      <c r="J511" s="15" t="n"/>
      <c r="K511" s="15" t="n"/>
      <c r="L511" s="15" t="inlineStr">
        <is>
          <t>Numbered on the map legend ‘Judges’; no date printed.</t>
        </is>
      </c>
      <c r="M511" s="16" t="n"/>
    </row>
    <row r="512">
      <c r="A512" s="15" t="inlineStr">
        <is>
          <t>settlement-of-the-land</t>
        </is>
      </c>
      <c r="B512" s="15" t="n">
        <v>7</v>
      </c>
      <c r="C512" s="15" t="inlineStr">
        <is>
          <t>item</t>
        </is>
      </c>
      <c r="D512" s="15" t="inlineStr">
        <is>
          <t>Judges</t>
        </is>
      </c>
      <c r="E512" s="15" t="inlineStr">
        <is>
          <t>4 Barak</t>
        </is>
      </c>
      <c r="F512" s="15" t="inlineStr">
        <is>
          <t>b2-0063</t>
        </is>
      </c>
      <c r="G512" s="15" t="inlineStr">
        <is>
          <t>Span</t>
        </is>
      </c>
      <c r="H512" s="15" t="inlineStr">
        <is>
          <t>Period of the Judges (c. 1450–c. 1120 B.C.E.; date not stated)</t>
        </is>
      </c>
      <c r="I512" s="15" t="inlineStr">
        <is>
          <t>Deborah and Barak defeat Jabin and Sisera</t>
        </is>
      </c>
      <c r="J512" s="15" t="n"/>
      <c r="K512" s="15" t="n"/>
      <c r="L512" s="15" t="inlineStr">
        <is>
          <t>Numbered on the map legend ‘Judges’; no date printed.</t>
        </is>
      </c>
      <c r="M512" s="16" t="n"/>
    </row>
    <row r="513">
      <c r="A513" s="15" t="inlineStr">
        <is>
          <t>settlement-of-the-land</t>
        </is>
      </c>
      <c r="B513" s="15" t="n">
        <v>8</v>
      </c>
      <c r="C513" s="15" t="inlineStr">
        <is>
          <t>item</t>
        </is>
      </c>
      <c r="D513" s="15" t="inlineStr">
        <is>
          <t>Judges</t>
        </is>
      </c>
      <c r="E513" s="15" t="inlineStr">
        <is>
          <t>5 Gideon</t>
        </is>
      </c>
      <c r="F513" s="15" t="inlineStr">
        <is>
          <t>b2-0065</t>
        </is>
      </c>
      <c r="G513" s="15" t="inlineStr">
        <is>
          <t>Span</t>
        </is>
      </c>
      <c r="H513" s="15" t="inlineStr">
        <is>
          <t>Period of the Judges (c. 1450–c. 1120 B.C.E.; date not stated)</t>
        </is>
      </c>
      <c r="I513" s="15" t="inlineStr">
        <is>
          <t>Gideon delivers Israel from Midian</t>
        </is>
      </c>
      <c r="J513" s="15" t="n"/>
      <c r="K513" s="15" t="n"/>
      <c r="L513" s="15" t="inlineStr">
        <is>
          <t>Numbered on the map legend ‘Judges’; no date printed.</t>
        </is>
      </c>
      <c r="M513" s="16" t="n"/>
    </row>
    <row r="514">
      <c r="A514" s="15" t="inlineStr">
        <is>
          <t>settlement-of-the-land</t>
        </is>
      </c>
      <c r="B514" s="15" t="n">
        <v>9</v>
      </c>
      <c r="C514" s="15" t="inlineStr">
        <is>
          <t>item</t>
        </is>
      </c>
      <c r="D514" s="15" t="inlineStr">
        <is>
          <t>Judges</t>
        </is>
      </c>
      <c r="E514" s="15" t="inlineStr">
        <is>
          <t>6 Tola</t>
        </is>
      </c>
      <c r="F514" s="15" t="inlineStr">
        <is>
          <t>b2-0067</t>
        </is>
      </c>
      <c r="G514" s="15" t="inlineStr">
        <is>
          <t>Span</t>
        </is>
      </c>
      <c r="H514" s="15" t="inlineStr">
        <is>
          <t>Period of the Judges (c. 1450–c. 1120 B.C.E.; date not stated)</t>
        </is>
      </c>
      <c r="I514" s="15" t="inlineStr">
        <is>
          <t>Tola judges Israel 23 years</t>
        </is>
      </c>
      <c r="J514" s="15" t="n"/>
      <c r="K514" s="15" t="n"/>
      <c r="L514" s="15" t="inlineStr">
        <is>
          <t>Numbered on the map legend ‘Judges’; no date printed.</t>
        </is>
      </c>
      <c r="M514" s="16" t="n"/>
    </row>
    <row r="515">
      <c r="A515" s="15" t="inlineStr">
        <is>
          <t>settlement-of-the-land</t>
        </is>
      </c>
      <c r="B515" s="15" t="n">
        <v>10</v>
      </c>
      <c r="C515" s="15" t="inlineStr">
        <is>
          <t>item</t>
        </is>
      </c>
      <c r="D515" s="15" t="inlineStr">
        <is>
          <t>Judges</t>
        </is>
      </c>
      <c r="E515" s="15" t="inlineStr">
        <is>
          <t>7 Jair</t>
        </is>
      </c>
      <c r="F515" s="15" t="inlineStr">
        <is>
          <t>b2-0068</t>
        </is>
      </c>
      <c r="G515" s="15" t="inlineStr">
        <is>
          <t>Span</t>
        </is>
      </c>
      <c r="H515" s="15" t="inlineStr">
        <is>
          <t>Period of the Judges (c. 1450–c. 1120 B.C.E.; date not stated)</t>
        </is>
      </c>
      <c r="I515" s="15" t="inlineStr">
        <is>
          <t>Jair judges Israel 22 years</t>
        </is>
      </c>
      <c r="J515" s="15" t="n"/>
      <c r="K515" s="15" t="n"/>
      <c r="L515" s="15" t="inlineStr">
        <is>
          <t>Numbered on the map legend ‘Judges’; no date printed.</t>
        </is>
      </c>
      <c r="M515" s="16" t="n"/>
    </row>
    <row r="516">
      <c r="A516" s="15" t="inlineStr">
        <is>
          <t>settlement-of-the-land</t>
        </is>
      </c>
      <c r="B516" s="15" t="n">
        <v>11</v>
      </c>
      <c r="C516" s="15" t="inlineStr">
        <is>
          <t>item</t>
        </is>
      </c>
      <c r="D516" s="15" t="inlineStr">
        <is>
          <t>Judges</t>
        </is>
      </c>
      <c r="E516" s="15" t="inlineStr">
        <is>
          <t>8 Jephthah</t>
        </is>
      </c>
      <c r="F516" s="15" t="inlineStr">
        <is>
          <t>b2-0071</t>
        </is>
      </c>
      <c r="G516" s="15" t="inlineStr">
        <is>
          <t>Point</t>
        </is>
      </c>
      <c r="H516" s="15" t="inlineStr">
        <is>
          <t>c. 1173 B.C.E.</t>
        </is>
      </c>
      <c r="I516" s="15" t="inlineStr">
        <is>
          <t>Jephthah defeats Ammon and begins six-year judgeship</t>
        </is>
      </c>
      <c r="J516" s="15" t="n"/>
      <c r="K516" s="15" t="n"/>
      <c r="L516" s="15" t="inlineStr">
        <is>
          <t>Numbered on the map legend ‘Judges’; no date printed.</t>
        </is>
      </c>
      <c r="M516" s="16" t="n"/>
    </row>
    <row r="517">
      <c r="A517" s="15" t="inlineStr">
        <is>
          <t>settlement-of-the-land</t>
        </is>
      </c>
      <c r="B517" s="15" t="n">
        <v>12</v>
      </c>
      <c r="C517" s="15" t="inlineStr">
        <is>
          <t>item</t>
        </is>
      </c>
      <c r="D517" s="15" t="inlineStr">
        <is>
          <t>Judges</t>
        </is>
      </c>
      <c r="E517" s="15" t="inlineStr">
        <is>
          <t>9 Ibzan</t>
        </is>
      </c>
      <c r="F517" s="15" t="inlineStr">
        <is>
          <t>b2-0072</t>
        </is>
      </c>
      <c r="G517" s="15" t="inlineStr">
        <is>
          <t>Span</t>
        </is>
      </c>
      <c r="H517" s="15" t="inlineStr">
        <is>
          <t>Period of the Judges (c. 1450–c. 1120 B.C.E.; date not stated)</t>
        </is>
      </c>
      <c r="I517" s="15" t="inlineStr">
        <is>
          <t>Ibzan judges Israel 7 years</t>
        </is>
      </c>
      <c r="J517" s="15" t="n"/>
      <c r="K517" s="15" t="n"/>
      <c r="L517" s="15" t="inlineStr">
        <is>
          <t>Numbered on the map legend ‘Judges’; no date printed.</t>
        </is>
      </c>
      <c r="M517" s="16" t="n"/>
    </row>
    <row r="518">
      <c r="A518" s="15" t="inlineStr">
        <is>
          <t>settlement-of-the-land</t>
        </is>
      </c>
      <c r="B518" s="15" t="n">
        <v>13</v>
      </c>
      <c r="C518" s="15" t="inlineStr">
        <is>
          <t>item</t>
        </is>
      </c>
      <c r="D518" s="15" t="inlineStr">
        <is>
          <t>Judges</t>
        </is>
      </c>
      <c r="E518" s="15" t="inlineStr">
        <is>
          <t>10 Elon</t>
        </is>
      </c>
      <c r="F518" s="15" t="inlineStr">
        <is>
          <t>b2-0073</t>
        </is>
      </c>
      <c r="G518" s="15" t="inlineStr">
        <is>
          <t>Span</t>
        </is>
      </c>
      <c r="H518" s="15" t="inlineStr">
        <is>
          <t>Period of the Judges (c. 1450–c. 1120 B.C.E.; date not stated)</t>
        </is>
      </c>
      <c r="I518" s="15" t="inlineStr">
        <is>
          <t>Elon judges Israel 10 years</t>
        </is>
      </c>
      <c r="J518" s="15" t="n"/>
      <c r="K518" s="15" t="n"/>
      <c r="L518" s="15" t="inlineStr">
        <is>
          <t>Numbered on the map legend ‘Judges’; no date printed.</t>
        </is>
      </c>
      <c r="M518" s="16" t="n"/>
    </row>
    <row r="519">
      <c r="A519" s="15" t="inlineStr">
        <is>
          <t>settlement-of-the-land</t>
        </is>
      </c>
      <c r="B519" s="15" t="n">
        <v>14</v>
      </c>
      <c r="C519" s="15" t="inlineStr">
        <is>
          <t>item</t>
        </is>
      </c>
      <c r="D519" s="15" t="inlineStr">
        <is>
          <t>Judges</t>
        </is>
      </c>
      <c r="E519" s="15" t="inlineStr">
        <is>
          <t>11 Abdon</t>
        </is>
      </c>
      <c r="F519" s="15" t="inlineStr">
        <is>
          <t>b2-0074</t>
        </is>
      </c>
      <c r="G519" s="15" t="inlineStr">
        <is>
          <t>Span</t>
        </is>
      </c>
      <c r="H519" s="15" t="inlineStr">
        <is>
          <t>Period of the Judges (c. 1450–c. 1120 B.C.E.; date not stated)</t>
        </is>
      </c>
      <c r="I519" s="15" t="inlineStr">
        <is>
          <t>Abdon judges Israel 8 years</t>
        </is>
      </c>
      <c r="J519" s="15" t="n"/>
      <c r="K519" s="15" t="n"/>
      <c r="L519" s="15" t="inlineStr">
        <is>
          <t>Numbered on the map legend ‘Judges’; no date printed.</t>
        </is>
      </c>
      <c r="M519" s="16" t="n"/>
    </row>
    <row r="520">
      <c r="A520" s="15" t="inlineStr">
        <is>
          <t>settlement-of-the-land</t>
        </is>
      </c>
      <c r="B520" s="15" t="n">
        <v>15</v>
      </c>
      <c r="C520" s="15" t="inlineStr">
        <is>
          <t>item</t>
        </is>
      </c>
      <c r="D520" s="15" t="inlineStr">
        <is>
          <t>Judges</t>
        </is>
      </c>
      <c r="E520" s="15" t="inlineStr">
        <is>
          <t>12 Samson</t>
        </is>
      </c>
      <c r="F520" s="15" t="inlineStr">
        <is>
          <t>b2-0075</t>
        </is>
      </c>
      <c r="G520" s="15" t="inlineStr">
        <is>
          <t>Span</t>
        </is>
      </c>
      <c r="H520" s="15" t="inlineStr">
        <is>
          <t>Period of the Judges (c. 1450–c. 1120 B.C.E.; date not stated)</t>
        </is>
      </c>
      <c r="I520" s="15" t="inlineStr">
        <is>
          <t>Samson judges Israel 20 years</t>
        </is>
      </c>
      <c r="J520" s="15" t="n"/>
      <c r="K520" s="15" t="n"/>
      <c r="L520" s="15" t="inlineStr">
        <is>
          <t>Numbered on the map legend ‘Judges’; no date printed.</t>
        </is>
      </c>
      <c r="M520" s="16" t="n"/>
    </row>
    <row r="521">
      <c r="A521" s="15" t="inlineStr">
        <is>
          <t>settlement-of-the-land</t>
        </is>
      </c>
      <c r="B521" s="15" t="n">
        <v>16</v>
      </c>
      <c r="C521" s="15" t="inlineStr">
        <is>
          <t>item</t>
        </is>
      </c>
      <c r="D521" s="15" t="n"/>
      <c r="E521" s="15" t="inlineStr">
        <is>
          <t>Saul anointed as king</t>
        </is>
      </c>
      <c r="F521" s="15" t="inlineStr">
        <is>
          <t>b3-0001</t>
        </is>
      </c>
      <c r="G521" s="15" t="inlineStr">
        <is>
          <t>Point</t>
        </is>
      </c>
      <c r="H521" s="15" t="inlineStr">
        <is>
          <t>1117 B.C.E.</t>
        </is>
      </c>
      <c r="I521" s="15" t="inlineStr">
        <is>
          <t>Samuel anoints Saul as king of Israel</t>
        </is>
      </c>
      <c r="J521" s="15" t="n"/>
      <c r="K521" s="15" t="n"/>
      <c r="L521" s="15" t="inlineStr">
        <is>
          <t>Shown on the timeline of the map.</t>
        </is>
      </c>
      <c r="M521" s="16" t="n"/>
    </row>
    <row r="522">
      <c r="A522" s="15" t="inlineStr">
        <is>
          <t>seven-heads-of-the-beast</t>
        </is>
      </c>
      <c r="B522" s="15" t="n">
        <v>1</v>
      </c>
      <c r="C522" s="15" t="inlineStr">
        <is>
          <t>prophecy</t>
        </is>
      </c>
      <c r="D522" s="15" t="n"/>
      <c r="E522" s="15" t="inlineStr">
        <is>
          <t>John receives Revelation: “five have fallen, one is, the other has not yet arrived” (Rev. 17:10)</t>
        </is>
      </c>
      <c r="F522" s="15" t="inlineStr">
        <is>
          <t>b11-0067</t>
        </is>
      </c>
      <c r="G522" s="15" t="inlineStr">
        <is>
          <t>Point</t>
        </is>
      </c>
      <c r="H522" s="15" t="inlineStr">
        <is>
          <t>c. 96 C.E.</t>
        </is>
      </c>
      <c r="I522" s="15" t="inlineStr">
        <is>
          <t>Writing of Revelation completed</t>
        </is>
      </c>
      <c r="J522" s="15" t="inlineStr">
        <is>
          <t>b12-0006, b12-0019, b12-0023, b12-0027, b12-0037, b12-0040, b12-0066, b14-0007, b14-0010</t>
        </is>
      </c>
      <c r="K522" s="15" t="inlineStr">
        <is>
          <t>Rev. 13:1-18; Rev. 17:3, 7-11</t>
        </is>
      </c>
      <c r="L522" s="15" t="inlineStr">
        <is>
          <t>When John wrote (c. 96 C.E.), five heads had fallen and Rome, the sixth, was ruling.</t>
        </is>
      </c>
      <c r="M522" s="16" t="n"/>
    </row>
    <row r="523">
      <c r="A523" s="15" t="inlineStr">
        <is>
          <t>seven-heads-of-the-beast</t>
        </is>
      </c>
      <c r="B523" s="15" t="n">
        <v>2</v>
      </c>
      <c r="C523" s="15" t="inlineStr">
        <is>
          <t>item</t>
        </is>
      </c>
      <c r="D523" s="15" t="inlineStr">
        <is>
          <t>Egypt</t>
        </is>
      </c>
      <c r="E523" s="15" t="inlineStr">
        <is>
          <t>Egypt</t>
        </is>
      </c>
      <c r="F523" s="15" t="inlineStr">
        <is>
          <t>b12-0006</t>
        </is>
      </c>
      <c r="G523" s="15" t="inlineStr">
        <is>
          <t>Span</t>
        </is>
      </c>
      <c r="H523" s="15" t="inlineStr">
        <is>
          <t>a. 1600 B.C.E.–(end not dated)</t>
        </is>
      </c>
      <c r="I523" s="15" t="inlineStr">
        <is>
          <t>Egypt, first world power of Bible history</t>
        </is>
      </c>
      <c r="J523" s="15" t="inlineStr">
        <is>
          <t>b11-0067</t>
        </is>
      </c>
      <c r="K523" s="15" t="n"/>
      <c r="L523" s="15" t="n"/>
      <c r="M523" s="16" t="n"/>
    </row>
    <row r="524">
      <c r="A524" s="15" t="inlineStr">
        <is>
          <t>seven-heads-of-the-beast</t>
        </is>
      </c>
      <c r="B524" s="15" t="n">
        <v>3</v>
      </c>
      <c r="C524" s="15" t="inlineStr">
        <is>
          <t>rise</t>
        </is>
      </c>
      <c r="D524" s="15" t="inlineStr">
        <is>
          <t>Egypt</t>
        </is>
      </c>
      <c r="E524" s="15" t="inlineStr">
        <is>
          <t>Egypt attains prominence as first world power</t>
        </is>
      </c>
      <c r="F524" s="15" t="inlineStr">
        <is>
          <t>b2-0009</t>
        </is>
      </c>
      <c r="G524" s="15" t="inlineStr">
        <is>
          <t>Point</t>
        </is>
      </c>
      <c r="H524" s="15" t="inlineStr">
        <is>
          <t>a. 1600 B.C.E.</t>
        </is>
      </c>
      <c r="I524" s="15" t="inlineStr">
        <is>
          <t>Egypt attains prominence as first world power</t>
        </is>
      </c>
      <c r="J524" s="15" t="n"/>
      <c r="K524" s="15" t="n"/>
      <c r="L524" s="15" t="n"/>
      <c r="M524" s="16" t="n"/>
    </row>
    <row r="525">
      <c r="A525" s="15" t="inlineStr">
        <is>
          <t>seven-heads-of-the-beast</t>
        </is>
      </c>
      <c r="B525" s="15" t="n">
        <v>4</v>
      </c>
      <c r="C525" s="15" t="inlineStr">
        <is>
          <t>item</t>
        </is>
      </c>
      <c r="D525" s="15" t="inlineStr">
        <is>
          <t>Assyria</t>
        </is>
      </c>
      <c r="E525" s="15" t="inlineStr">
        <is>
          <t>Assyria</t>
        </is>
      </c>
      <c r="F525" s="15" t="inlineStr">
        <is>
          <t>b12-0019</t>
        </is>
      </c>
      <c r="G525" s="15" t="inlineStr">
        <is>
          <t>Span</t>
        </is>
      </c>
      <c r="H525" s="15" t="inlineStr">
        <is>
          <t>(start not dated)–632 B.C.E.</t>
        </is>
      </c>
      <c r="I525" s="15" t="inlineStr">
        <is>
          <t>Assyria, second world power of Bible history</t>
        </is>
      </c>
      <c r="J525" s="15" t="inlineStr">
        <is>
          <t>b11-0067</t>
        </is>
      </c>
      <c r="K525" s="15" t="n"/>
      <c r="L525" s="15" t="n"/>
      <c r="M525" s="16" t="n"/>
    </row>
    <row r="526">
      <c r="A526" s="15" t="inlineStr">
        <is>
          <t>seven-heads-of-the-beast</t>
        </is>
      </c>
      <c r="B526" s="15" t="n">
        <v>5</v>
      </c>
      <c r="C526" s="15" t="inlineStr">
        <is>
          <t>fall</t>
        </is>
      </c>
      <c r="D526" s="15" t="inlineStr">
        <is>
          <t>Assyria</t>
        </is>
      </c>
      <c r="E526" s="15" t="inlineStr">
        <is>
          <t>Nineveh falls to the Chaldeans and Medes (632 B.C.E.)</t>
        </is>
      </c>
      <c r="F526" s="15" t="inlineStr">
        <is>
          <t>b3-0091</t>
        </is>
      </c>
      <c r="G526" s="15" t="inlineStr">
        <is>
          <t>Point</t>
        </is>
      </c>
      <c r="H526" s="15" t="inlineStr">
        <is>
          <t>632 B.C.E.</t>
        </is>
      </c>
      <c r="I526" s="15" t="inlineStr">
        <is>
          <t>Nineveh falls to the Chaldeans and Medes</t>
        </is>
      </c>
      <c r="J526" s="15" t="n"/>
      <c r="K526" s="15" t="n"/>
      <c r="L526" s="15" t="n"/>
      <c r="M526" s="16" t="n"/>
    </row>
    <row r="527">
      <c r="A527" s="15" t="inlineStr">
        <is>
          <t>seven-heads-of-the-beast</t>
        </is>
      </c>
      <c r="B527" s="15" t="n">
        <v>6</v>
      </c>
      <c r="C527" s="15" t="inlineStr">
        <is>
          <t>item</t>
        </is>
      </c>
      <c r="D527" s="15" t="inlineStr">
        <is>
          <t>Babylon</t>
        </is>
      </c>
      <c r="E527" s="15" t="inlineStr">
        <is>
          <t>Babylon</t>
        </is>
      </c>
      <c r="F527" s="15" t="inlineStr">
        <is>
          <t>b12-0023</t>
        </is>
      </c>
      <c r="G527" s="15" t="inlineStr">
        <is>
          <t>Span</t>
        </is>
      </c>
      <c r="H527" s="15" t="inlineStr">
        <is>
          <t>607 B.C.E.–539 B.C.E.</t>
        </is>
      </c>
      <c r="I527" s="15" t="inlineStr">
        <is>
          <t>Babylon, third world power</t>
        </is>
      </c>
      <c r="J527" s="15" t="inlineStr">
        <is>
          <t>b11-0067</t>
        </is>
      </c>
      <c r="K527" s="15" t="n"/>
      <c r="L527" s="15" t="n"/>
      <c r="M527" s="16" t="n"/>
    </row>
    <row r="528">
      <c r="A528" s="15" t="inlineStr">
        <is>
          <t>seven-heads-of-the-beast</t>
        </is>
      </c>
      <c r="B528" s="15" t="n">
        <v>7</v>
      </c>
      <c r="C528" s="15" t="inlineStr">
        <is>
          <t>rise</t>
        </is>
      </c>
      <c r="D528" s="15" t="inlineStr">
        <is>
          <t>Babylon</t>
        </is>
      </c>
      <c r="E528" s="15" t="inlineStr">
        <is>
          <t>Babylon destroys Jerusalem (607 B.C.E.)</t>
        </is>
      </c>
      <c r="F528" s="15" t="inlineStr">
        <is>
          <t>b3-0113</t>
        </is>
      </c>
      <c r="G528" s="15" t="inlineStr">
        <is>
          <t>Point</t>
        </is>
      </c>
      <c r="H528" s="15" t="inlineStr">
        <is>
          <t>607 B.C.E., Ab 10</t>
        </is>
      </c>
      <c r="I528" s="15" t="inlineStr">
        <is>
          <t>Jerusalem and the temple destroyed by Babylon</t>
        </is>
      </c>
      <c r="J528" s="15" t="n"/>
      <c r="K528" s="15" t="n"/>
      <c r="L528" s="15" t="n"/>
      <c r="M528" s="16" t="n"/>
    </row>
    <row r="529">
      <c r="A529" s="15" t="inlineStr">
        <is>
          <t>seven-heads-of-the-beast</t>
        </is>
      </c>
      <c r="B529" s="15" t="n">
        <v>8</v>
      </c>
      <c r="C529" s="15" t="inlineStr">
        <is>
          <t>fall</t>
        </is>
      </c>
      <c r="D529" s="15" t="inlineStr">
        <is>
          <t>Babylon</t>
        </is>
      </c>
      <c r="E529" s="15" t="inlineStr">
        <is>
          <t>Babylon falls to the Medes and Persians (539 B.C.E.)</t>
        </is>
      </c>
      <c r="F529" s="15" t="inlineStr">
        <is>
          <t>b4-0024</t>
        </is>
      </c>
      <c r="G529" s="15" t="inlineStr">
        <is>
          <t>Point</t>
        </is>
      </c>
      <c r="H529" s="15" t="inlineStr">
        <is>
          <t>539 B.C.E., Oct. 5 (Tishri 16)</t>
        </is>
      </c>
      <c r="I529" s="15" t="inlineStr">
        <is>
          <t>Babylon falls to the Medes and Persians</t>
        </is>
      </c>
      <c r="J529" s="15" t="n"/>
      <c r="K529" s="15" t="n"/>
      <c r="L529" s="15" t="n"/>
      <c r="M529" s="16" t="n"/>
    </row>
    <row r="530">
      <c r="A530" s="15" t="inlineStr">
        <is>
          <t>seven-heads-of-the-beast</t>
        </is>
      </c>
      <c r="B530" s="15" t="n">
        <v>9</v>
      </c>
      <c r="C530" s="15" t="inlineStr">
        <is>
          <t>item</t>
        </is>
      </c>
      <c r="D530" s="15" t="inlineStr">
        <is>
          <t>Medo-Persia</t>
        </is>
      </c>
      <c r="E530" s="15" t="inlineStr">
        <is>
          <t>Medo-Persia</t>
        </is>
      </c>
      <c r="F530" s="15" t="inlineStr">
        <is>
          <t>b12-0027</t>
        </is>
      </c>
      <c r="G530" s="15" t="inlineStr">
        <is>
          <t>Span</t>
        </is>
      </c>
      <c r="H530" s="15" t="inlineStr">
        <is>
          <t>539 B.C.E.–331 B.C.E.</t>
        </is>
      </c>
      <c r="I530" s="15" t="inlineStr">
        <is>
          <t>Medo-Persia, fourth world power</t>
        </is>
      </c>
      <c r="J530" s="15" t="inlineStr">
        <is>
          <t>b11-0067</t>
        </is>
      </c>
      <c r="K530" s="15" t="n"/>
      <c r="L530" s="15" t="n"/>
      <c r="M530" s="16" t="n"/>
    </row>
    <row r="531">
      <c r="A531" s="15" t="inlineStr">
        <is>
          <t>seven-heads-of-the-beast</t>
        </is>
      </c>
      <c r="B531" s="15" t="n">
        <v>10</v>
      </c>
      <c r="C531" s="15" t="inlineStr">
        <is>
          <t>rise</t>
        </is>
      </c>
      <c r="D531" s="15" t="inlineStr">
        <is>
          <t>Medo-Persia</t>
        </is>
      </c>
      <c r="E531" s="15" t="inlineStr">
        <is>
          <t>Medo-Persia conquers Babylon (539 B.C.E.)</t>
        </is>
      </c>
      <c r="F531" s="15" t="inlineStr">
        <is>
          <t>b4-0024</t>
        </is>
      </c>
      <c r="G531" s="15" t="inlineStr">
        <is>
          <t>Point</t>
        </is>
      </c>
      <c r="H531" s="15" t="inlineStr">
        <is>
          <t>539 B.C.E., Oct. 5 (Tishri 16)</t>
        </is>
      </c>
      <c r="I531" s="15" t="inlineStr">
        <is>
          <t>Babylon falls to the Medes and Persians</t>
        </is>
      </c>
      <c r="J531" s="15" t="n"/>
      <c r="K531" s="15" t="n"/>
      <c r="L531" s="15" t="n"/>
      <c r="M531" s="16" t="n"/>
    </row>
    <row r="532">
      <c r="A532" s="15" t="inlineStr">
        <is>
          <t>seven-heads-of-the-beast</t>
        </is>
      </c>
      <c r="B532" s="15" t="n">
        <v>11</v>
      </c>
      <c r="C532" s="15" t="inlineStr">
        <is>
          <t>fall</t>
        </is>
      </c>
      <c r="D532" s="15" t="inlineStr">
        <is>
          <t>Medo-Persia</t>
        </is>
      </c>
      <c r="E532" s="15" t="inlineStr">
        <is>
          <t>Persian Empire falls at Gaugamela (331 B.C.E.)</t>
        </is>
      </c>
      <c r="F532" s="15" t="inlineStr">
        <is>
          <t>b4-0087</t>
        </is>
      </c>
      <c r="G532" s="15" t="inlineStr">
        <is>
          <t>Point</t>
        </is>
      </c>
      <c r="H532" s="15" t="inlineStr">
        <is>
          <t>331 B.C.E.</t>
        </is>
      </c>
      <c r="I532" s="15" t="inlineStr">
        <is>
          <t>Battle of Gaugamela: Persian Empire falls</t>
        </is>
      </c>
      <c r="J532" s="15" t="n"/>
      <c r="K532" s="15" t="n"/>
      <c r="L532" s="15" t="n"/>
      <c r="M532" s="16" t="n"/>
    </row>
    <row r="533">
      <c r="A533" s="15" t="inlineStr">
        <is>
          <t>seven-heads-of-the-beast</t>
        </is>
      </c>
      <c r="B533" s="15" t="n">
        <v>12</v>
      </c>
      <c r="C533" s="15" t="inlineStr">
        <is>
          <t>item</t>
        </is>
      </c>
      <c r="D533" s="15" t="inlineStr">
        <is>
          <t>Greece</t>
        </is>
      </c>
      <c r="E533" s="15" t="inlineStr">
        <is>
          <t>Greece</t>
        </is>
      </c>
      <c r="F533" s="15" t="inlineStr">
        <is>
          <t>b12-0037</t>
        </is>
      </c>
      <c r="G533" s="15" t="inlineStr">
        <is>
          <t>Span</t>
        </is>
      </c>
      <c r="H533" s="15" t="inlineStr">
        <is>
          <t>331 B.C.E.–30 B.C.E.</t>
        </is>
      </c>
      <c r="I533" s="15" t="inlineStr">
        <is>
          <t>Greece, fifth world power</t>
        </is>
      </c>
      <c r="J533" s="15" t="inlineStr">
        <is>
          <t>b11-0067</t>
        </is>
      </c>
      <c r="K533" s="15" t="n"/>
      <c r="L533" s="15" t="n"/>
      <c r="M533" s="16" t="n"/>
    </row>
    <row r="534">
      <c r="A534" s="15" t="inlineStr">
        <is>
          <t>seven-heads-of-the-beast</t>
        </is>
      </c>
      <c r="B534" s="15" t="n">
        <v>13</v>
      </c>
      <c r="C534" s="15" t="inlineStr">
        <is>
          <t>rise</t>
        </is>
      </c>
      <c r="D534" s="15" t="inlineStr">
        <is>
          <t>Greece</t>
        </is>
      </c>
      <c r="E534" s="15" t="inlineStr">
        <is>
          <t>Alexander the Great conquers Persia (331 B.C.E.)</t>
        </is>
      </c>
      <c r="F534" s="15" t="inlineStr">
        <is>
          <t>b4-0087</t>
        </is>
      </c>
      <c r="G534" s="15" t="inlineStr">
        <is>
          <t>Point</t>
        </is>
      </c>
      <c r="H534" s="15" t="inlineStr">
        <is>
          <t>331 B.C.E.</t>
        </is>
      </c>
      <c r="I534" s="15" t="inlineStr">
        <is>
          <t>Battle of Gaugamela: Persian Empire falls</t>
        </is>
      </c>
      <c r="J534" s="15" t="n"/>
      <c r="K534" s="15" t="n"/>
      <c r="L534" s="15" t="n"/>
      <c r="M534" s="16" t="n"/>
    </row>
    <row r="535">
      <c r="A535" s="15" t="inlineStr">
        <is>
          <t>seven-heads-of-the-beast</t>
        </is>
      </c>
      <c r="B535" s="15" t="n">
        <v>14</v>
      </c>
      <c r="C535" s="15" t="inlineStr">
        <is>
          <t>fall</t>
        </is>
      </c>
      <c r="D535" s="15" t="inlineStr">
        <is>
          <t>Greece</t>
        </is>
      </c>
      <c r="E535" s="15" t="inlineStr">
        <is>
          <t>Ptolemaic Egypt falls to Rome (30 B.C.E.)</t>
        </is>
      </c>
      <c r="F535" s="15" t="inlineStr">
        <is>
          <t>b4-0131</t>
        </is>
      </c>
      <c r="G535" s="15" t="inlineStr">
        <is>
          <t>Point</t>
        </is>
      </c>
      <c r="H535" s="15" t="inlineStr">
        <is>
          <t>30 B.C.E.</t>
        </is>
      </c>
      <c r="I535" s="15" t="inlineStr">
        <is>
          <t>Ptolemaic Egypt falls to Rome</t>
        </is>
      </c>
      <c r="J535" s="15" t="n"/>
      <c r="K535" s="15" t="n"/>
      <c r="L535" s="15" t="n"/>
      <c r="M535" s="16" t="n"/>
    </row>
    <row r="536">
      <c r="A536" s="15" t="inlineStr">
        <is>
          <t>seven-heads-of-the-beast</t>
        </is>
      </c>
      <c r="B536" s="15" t="n">
        <v>15</v>
      </c>
      <c r="C536" s="15" t="inlineStr">
        <is>
          <t>item</t>
        </is>
      </c>
      <c r="D536" s="15" t="inlineStr">
        <is>
          <t>Rome</t>
        </is>
      </c>
      <c r="E536" s="15" t="inlineStr">
        <is>
          <t>Rome</t>
        </is>
      </c>
      <c r="F536" s="15" t="inlineStr">
        <is>
          <t>b12-0040</t>
        </is>
      </c>
      <c r="G536" s="15" t="inlineStr">
        <is>
          <t>Span</t>
        </is>
      </c>
      <c r="H536" s="15" t="inlineStr">
        <is>
          <t>30 B.C.E.–(end not dated)</t>
        </is>
      </c>
      <c r="I536" s="15" t="inlineStr">
        <is>
          <t>Rome, sixth world power</t>
        </is>
      </c>
      <c r="J536" s="15" t="inlineStr">
        <is>
          <t>b11-0067</t>
        </is>
      </c>
      <c r="K536" s="15" t="n"/>
      <c r="L536" s="15" t="n"/>
      <c r="M536" s="16" t="n"/>
    </row>
    <row r="537">
      <c r="A537" s="15" t="inlineStr">
        <is>
          <t>seven-heads-of-the-beast</t>
        </is>
      </c>
      <c r="B537" s="15" t="n">
        <v>16</v>
      </c>
      <c r="C537" s="15" t="inlineStr">
        <is>
          <t>rise</t>
        </is>
      </c>
      <c r="D537" s="15" t="inlineStr">
        <is>
          <t>Rome</t>
        </is>
      </c>
      <c r="E537" s="15" t="inlineStr">
        <is>
          <t>Rome rules over Israel (63 B.C.E.)</t>
        </is>
      </c>
      <c r="F537" s="15" t="inlineStr">
        <is>
          <t>b4-0122</t>
        </is>
      </c>
      <c r="G537" s="15" t="inlineStr">
        <is>
          <t>Point</t>
        </is>
      </c>
      <c r="H537" s="15" t="inlineStr">
        <is>
          <t>63 B.C.E.</t>
        </is>
      </c>
      <c r="I537" s="15" t="inlineStr">
        <is>
          <t>Pompey takes Jerusalem; Rome rules</t>
        </is>
      </c>
      <c r="J537" s="15" t="n"/>
      <c r="K537" s="15" t="n"/>
      <c r="L537" s="15" t="n"/>
      <c r="M537" s="16" t="n"/>
    </row>
    <row r="538">
      <c r="A538" s="15" t="inlineStr">
        <is>
          <t>seven-heads-of-the-beast</t>
        </is>
      </c>
      <c r="B538" s="15" t="n">
        <v>17</v>
      </c>
      <c r="C538" s="15" t="inlineStr">
        <is>
          <t>item</t>
        </is>
      </c>
      <c r="D538" s="15" t="inlineStr">
        <is>
          <t>Britain and the U.S.A. (Anglo-American World Power)</t>
        </is>
      </c>
      <c r="E538" s="15" t="inlineStr">
        <is>
          <t>Britain and the U.S.A.</t>
        </is>
      </c>
      <c r="F538" s="15" t="inlineStr">
        <is>
          <t>b12-0066</t>
        </is>
      </c>
      <c r="G538" s="15" t="inlineStr">
        <is>
          <t>Span</t>
        </is>
      </c>
      <c r="H538" s="15" t="inlineStr">
        <is>
          <t>1914-1918 C.E.–</t>
        </is>
      </c>
      <c r="I538" s="15" t="inlineStr">
        <is>
          <t>Anglo-American dual world power, seventh world power</t>
        </is>
      </c>
      <c r="J538" s="15" t="inlineStr">
        <is>
          <t>b11-0067</t>
        </is>
      </c>
      <c r="K538" s="15" t="n"/>
      <c r="L538" s="15" t="n"/>
      <c r="M538" s="16" t="n"/>
    </row>
    <row r="539">
      <c r="A539" s="15" t="inlineStr">
        <is>
          <t>seven-heads-of-the-beast</t>
        </is>
      </c>
      <c r="B539" s="15" t="n">
        <v>18</v>
      </c>
      <c r="C539" s="15" t="inlineStr">
        <is>
          <t>step</t>
        </is>
      </c>
      <c r="D539" s="15" t="inlineStr">
        <is>
          <t>Britain and the U.S.A. (Anglo-American World Power)</t>
        </is>
      </c>
      <c r="E539" s="15" t="inlineStr">
        <is>
          <t>World War I: the seventh head is wounded; from 1917 it is healed as Britain is joined by the United States</t>
        </is>
      </c>
      <c r="F539" s="15" t="inlineStr">
        <is>
          <t>b12-0068</t>
        </is>
      </c>
      <c r="G539" s="15" t="inlineStr">
        <is>
          <t>Span</t>
        </is>
      </c>
      <c r="H539" s="15" t="inlineStr">
        <is>
          <t>1914-1918</t>
        </is>
      </c>
      <c r="I539" s="15" t="inlineStr">
        <is>
          <t>World War I</t>
        </is>
      </c>
      <c r="J539" s="15" t="n"/>
      <c r="K539" s="15" t="inlineStr">
        <is>
          <t>Rev. 13:3</t>
        </is>
      </c>
      <c r="L539" s="15" t="n"/>
      <c r="M539" s="16" t="n"/>
    </row>
    <row r="540">
      <c r="A540" s="15" t="inlineStr">
        <is>
          <t>seven-heads-of-the-beast</t>
        </is>
      </c>
      <c r="B540" s="15" t="n">
        <v>19</v>
      </c>
      <c r="C540" s="15" t="inlineStr">
        <is>
          <t>step</t>
        </is>
      </c>
      <c r="D540" s="15" t="inlineStr">
        <is>
          <t>The image of the wild beast, “an eighth king”: League of Nations and United Nations</t>
        </is>
      </c>
      <c r="E540" s="15" t="inlineStr">
        <is>
          <t>January 1919: the League of Nations is officially proposed</t>
        </is>
      </c>
      <c r="F540" s="15" t="inlineStr">
        <is>
          <t>b14-0005</t>
        </is>
      </c>
      <c r="G540" s="15" t="inlineStr">
        <is>
          <t>Point</t>
        </is>
      </c>
      <c r="H540" s="15" t="inlineStr">
        <is>
          <t>January 1919</t>
        </is>
      </c>
      <c r="I540" s="15" t="inlineStr">
        <is>
          <t>League of Nations officially proposed; the 1,290 days begin</t>
        </is>
      </c>
      <c r="J540" s="15" t="n"/>
      <c r="K540" s="15" t="inlineStr">
        <is>
          <t>Rev. 13:14, 15</t>
        </is>
      </c>
      <c r="L540" s="15" t="n"/>
      <c r="M540" s="16" t="n"/>
    </row>
    <row r="541">
      <c r="A541" s="15" t="inlineStr">
        <is>
          <t>seven-heads-of-the-beast</t>
        </is>
      </c>
      <c r="B541" s="15" t="n">
        <v>20</v>
      </c>
      <c r="C541" s="15" t="inlineStr">
        <is>
          <t>rise</t>
        </is>
      </c>
      <c r="D541" s="15" t="inlineStr">
        <is>
          <t>The image of the wild beast, “an eighth king”: League of Nations and United Nations</t>
        </is>
      </c>
      <c r="E541" s="15" t="inlineStr">
        <is>
          <t>1920: the League of Nations is founded (“the wild beast . . . was”)</t>
        </is>
      </c>
      <c r="F541" s="15" t="inlineStr">
        <is>
          <t>b14-0006</t>
        </is>
      </c>
      <c r="G541" s="15" t="inlineStr">
        <is>
          <t>Point</t>
        </is>
      </c>
      <c r="H541" s="15" t="inlineStr">
        <is>
          <t>January 10, 1920</t>
        </is>
      </c>
      <c r="I541" s="15" t="inlineStr">
        <is>
          <t>League of Nations comes into existence (“the wild beast . . . was”)</t>
        </is>
      </c>
      <c r="J541" s="15" t="n"/>
      <c r="K541" s="15" t="inlineStr">
        <is>
          <t>Rev. 17:8</t>
        </is>
      </c>
      <c r="L541" s="15" t="n"/>
      <c r="M541" s="16" t="n"/>
    </row>
    <row r="542">
      <c r="A542" s="15" t="inlineStr">
        <is>
          <t>seven-heads-of-the-beast</t>
        </is>
      </c>
      <c r="B542" s="15" t="n">
        <v>21</v>
      </c>
      <c r="C542" s="15" t="inlineStr">
        <is>
          <t>item</t>
        </is>
      </c>
      <c r="D542" s="15" t="inlineStr">
        <is>
          <t>The image of the wild beast, “an eighth king”: League of Nations and United Nations</t>
        </is>
      </c>
      <c r="E542" s="15" t="inlineStr">
        <is>
          <t>League of Nations</t>
        </is>
      </c>
      <c r="F542" s="15" t="inlineStr">
        <is>
          <t>b14-0007</t>
        </is>
      </c>
      <c r="G542" s="15" t="inlineStr">
        <is>
          <t>Span</t>
        </is>
      </c>
      <c r="H542" s="15" t="inlineStr">
        <is>
          <t>January 10, 1920–September 1939</t>
        </is>
      </c>
      <c r="I542" s="15" t="inlineStr">
        <is>
          <t>The League of Nations (the image of the wild beast)</t>
        </is>
      </c>
      <c r="J542" s="15" t="inlineStr">
        <is>
          <t>b11-0067</t>
        </is>
      </c>
      <c r="K542" s="15" t="n"/>
      <c r="L542" s="15" t="n"/>
      <c r="M542" s="16" t="n"/>
    </row>
    <row r="543">
      <c r="A543" s="15" t="inlineStr">
        <is>
          <t>seven-heads-of-the-beast</t>
        </is>
      </c>
      <c r="B543" s="15" t="n">
        <v>22</v>
      </c>
      <c r="C543" s="15" t="inlineStr">
        <is>
          <t>context</t>
        </is>
      </c>
      <c r="D543" s="15" t="inlineStr">
        <is>
          <t>The image of the wild beast, “an eighth king”: League of Nations and United Nations</t>
        </is>
      </c>
      <c r="E543" s="15" t="inlineStr">
        <is>
          <t>World War II: the League plunges into an abyss of inactivity (“is not”)</t>
        </is>
      </c>
      <c r="F543" s="15" t="inlineStr">
        <is>
          <t>b12-0084</t>
        </is>
      </c>
      <c r="G543" s="15" t="inlineStr">
        <is>
          <t>Span</t>
        </is>
      </c>
      <c r="H543" s="15" t="inlineStr">
        <is>
          <t>1939-1945</t>
        </is>
      </c>
      <c r="I543" s="15" t="inlineStr">
        <is>
          <t>World War II</t>
        </is>
      </c>
      <c r="J543" s="15" t="n"/>
      <c r="K543" s="15" t="inlineStr">
        <is>
          <t>Rev. 17:8</t>
        </is>
      </c>
      <c r="L543" s="15" t="n"/>
      <c r="M543" s="16" t="n"/>
    </row>
    <row r="544">
      <c r="A544" s="15" t="inlineStr">
        <is>
          <t>seven-heads-of-the-beast</t>
        </is>
      </c>
      <c r="B544" s="15" t="n">
        <v>23</v>
      </c>
      <c r="C544" s="15" t="inlineStr">
        <is>
          <t>context</t>
        </is>
      </c>
      <c r="D544" s="15" t="inlineStr">
        <is>
          <t>The image of the wild beast, “an eighth king”: League of Nations and United Nations</t>
        </is>
      </c>
      <c r="E544" s="15" t="inlineStr">
        <is>
          <t>1942: talk “Peace—Can It Last?” identifies the scarlet-colored wild beast and foretells its rise from the abyss</t>
        </is>
      </c>
      <c r="F544" s="15" t="inlineStr">
        <is>
          <t>b8-0240</t>
        </is>
      </c>
      <c r="G544" s="15" t="inlineStr">
        <is>
          <t>Span</t>
        </is>
      </c>
      <c r="H544" s="15" t="inlineStr">
        <is>
          <t>September 18-20, 1942</t>
        </is>
      </c>
      <c r="I544" s="15" t="inlineStr">
        <is>
          <t>New World Theocratic Assembly; talk “Peace—Can It Last?”</t>
        </is>
      </c>
      <c r="J544" s="15" t="n"/>
      <c r="K544" s="15" t="inlineStr">
        <is>
          <t>Rev. 17:8</t>
        </is>
      </c>
      <c r="L544" s="15" t="n"/>
      <c r="M544" s="16" t="n"/>
    </row>
    <row r="545">
      <c r="A545" s="15" t="inlineStr">
        <is>
          <t>seven-heads-of-the-beast</t>
        </is>
      </c>
      <c r="B545" s="15" t="n">
        <v>24</v>
      </c>
      <c r="C545" s="15" t="inlineStr">
        <is>
          <t>rise</t>
        </is>
      </c>
      <c r="D545" s="15" t="inlineStr">
        <is>
          <t>The image of the wild beast, “an eighth king”: League of Nations and United Nations</t>
        </is>
      </c>
      <c r="E545" s="15" t="inlineStr">
        <is>
          <t>June 26, 1945: the image of the wild beast ascends out of the abyss as the United Nations</t>
        </is>
      </c>
      <c r="F545" s="15" t="inlineStr">
        <is>
          <t>b14-0009</t>
        </is>
      </c>
      <c r="G545" s="15" t="inlineStr">
        <is>
          <t>Point</t>
        </is>
      </c>
      <c r="H545" s="15" t="inlineStr">
        <is>
          <t>June 26, 1945</t>
        </is>
      </c>
      <c r="I545" s="15" t="inlineStr">
        <is>
          <t>United Nations Charter accepted: the scarlet-colored wild beast ascends out of the abyss</t>
        </is>
      </c>
      <c r="J545" s="15" t="n"/>
      <c r="K545" s="15" t="inlineStr">
        <is>
          <t>Rev. 17:8</t>
        </is>
      </c>
      <c r="L545" s="15" t="n"/>
      <c r="M545" s="16" t="n"/>
    </row>
    <row r="546">
      <c r="A546" s="15" t="inlineStr">
        <is>
          <t>seven-heads-of-the-beast</t>
        </is>
      </c>
      <c r="B546" s="15" t="n">
        <v>25</v>
      </c>
      <c r="C546" s="15" t="inlineStr">
        <is>
          <t>item</t>
        </is>
      </c>
      <c r="D546" s="15" t="inlineStr">
        <is>
          <t>The image of the wild beast, “an eighth king”: League of Nations and United Nations</t>
        </is>
      </c>
      <c r="E546" s="15" t="inlineStr">
        <is>
          <t>United Nations</t>
        </is>
      </c>
      <c r="F546" s="15" t="inlineStr">
        <is>
          <t>b14-0010</t>
        </is>
      </c>
      <c r="G546" s="15" t="inlineStr">
        <is>
          <t>Span</t>
        </is>
      </c>
      <c r="H546" s="15" t="inlineStr">
        <is>
          <t>June 26, 1945–</t>
        </is>
      </c>
      <c r="I546" s="15" t="inlineStr">
        <is>
          <t>The United Nations (the image of the wild beast, “an eighth king”)</t>
        </is>
      </c>
      <c r="J546" s="15" t="inlineStr">
        <is>
          <t>b11-0067</t>
        </is>
      </c>
      <c r="K546" s="15" t="n"/>
      <c r="L546" s="15" t="n"/>
      <c r="M546" s="16" t="n"/>
    </row>
    <row r="547">
      <c r="A547" s="15" t="inlineStr">
        <is>
          <t>seven-heads-of-the-beast</t>
        </is>
      </c>
      <c r="B547" s="15" t="n">
        <v>26</v>
      </c>
      <c r="C547" s="15" t="inlineStr">
        <is>
          <t>future fulfillment</t>
        </is>
      </c>
      <c r="D547" s="15" t="inlineStr">
        <is>
          <t>The image of the wild beast, “an eighth king”: League of Nations and United Nations</t>
        </is>
      </c>
      <c r="E547" s="15" t="inlineStr">
        <is>
          <t>The scarlet-colored wild beast and the ten horns devastate Babylon the Great</t>
        </is>
      </c>
      <c r="F547" s="15" t="inlineStr">
        <is>
          <t>b10-0011</t>
        </is>
      </c>
      <c r="G547" s="15" t="inlineStr">
        <is>
          <t>Point</t>
        </is>
      </c>
      <c r="H547" s="15" t="inlineStr">
        <is>
          <t>Future (undated)</t>
        </is>
      </c>
      <c r="I547" s="15" t="inlineStr">
        <is>
          <t>Attack on Babylon the Great: the great tribulation begins</t>
        </is>
      </c>
      <c r="J547" s="15" t="n"/>
      <c r="K547" s="15" t="inlineStr">
        <is>
          <t>Rev. 17:16, 17</t>
        </is>
      </c>
      <c r="L547" s="15" t="n"/>
      <c r="M547" s="16" t="n"/>
    </row>
    <row r="548">
      <c r="A548" s="15" t="inlineStr">
        <is>
          <t>seven-heads-of-the-beast</t>
        </is>
      </c>
      <c r="B548" s="15" t="n">
        <v>27</v>
      </c>
      <c r="C548" s="15" t="inlineStr">
        <is>
          <t>future fulfillment</t>
        </is>
      </c>
      <c r="D548" s="15" t="n"/>
      <c r="E548" s="15" t="inlineStr">
        <is>
          <t>The wild beast, its image and the two-horned wild beast are destroyed</t>
        </is>
      </c>
      <c r="F548" s="15" t="inlineStr">
        <is>
          <t>b10-0017</t>
        </is>
      </c>
      <c r="G548" s="15" t="inlineStr">
        <is>
          <t>Point</t>
        </is>
      </c>
      <c r="H548" s="15" t="inlineStr">
        <is>
          <t>Future (undated)</t>
        </is>
      </c>
      <c r="I548" s="15" t="inlineStr">
        <is>
          <t>War of Armageddon: the finale of the great tribulation</t>
        </is>
      </c>
      <c r="J548" s="15" t="n"/>
      <c r="K548" s="15" t="inlineStr">
        <is>
          <t>Rev. 19:19-21; Dan. 2:44</t>
        </is>
      </c>
      <c r="L548" s="15" t="n"/>
      <c r="M548" s="16" t="n"/>
    </row>
    <row r="549">
      <c r="A549" s="15" t="inlineStr">
        <is>
          <t>spread-of-christianity</t>
        </is>
      </c>
      <c r="B549" s="15" t="n">
        <v>1</v>
      </c>
      <c r="C549" s="15" t="inlineStr">
        <is>
          <t>item</t>
        </is>
      </c>
      <c r="D549" s="15" t="n"/>
      <c r="E549" s="15" t="inlineStr">
        <is>
          <t>Outpouring of holy spirit</t>
        </is>
      </c>
      <c r="F549" s="15" t="inlineStr">
        <is>
          <t>b6-0001</t>
        </is>
      </c>
      <c r="G549" s="15" t="inlineStr">
        <is>
          <t>Point</t>
        </is>
      </c>
      <c r="H549" s="15" t="inlineStr">
        <is>
          <t>33 C.E., Sivan 6 (Pentecost)</t>
        </is>
      </c>
      <c r="I549" s="15" t="inlineStr">
        <is>
          <t>Pentecost: holy spirit poured out on the disciples in Jerusalem</t>
        </is>
      </c>
      <c r="J549" s="15" t="n"/>
      <c r="K549" s="15" t="n"/>
      <c r="L549" s="15" t="inlineStr">
        <is>
          <t>Shown on the timeline of the map. Printed ‘Pentecost 33 C.E.’.</t>
        </is>
      </c>
      <c r="M549" s="16" t="n"/>
    </row>
    <row r="550">
      <c r="A550" s="15" t="inlineStr">
        <is>
          <t>spread-of-christianity</t>
        </is>
      </c>
      <c r="B550" s="15" t="n">
        <v>2</v>
      </c>
      <c r="C550" s="15" t="inlineStr">
        <is>
          <t>item</t>
        </is>
      </c>
      <c r="D550" s="15" t="inlineStr">
        <is>
          <t>Paul’s Travels</t>
        </is>
      </c>
      <c r="E550" s="15" t="inlineStr">
        <is>
          <t>1st missionary tour</t>
        </is>
      </c>
      <c r="F550" s="15" t="inlineStr">
        <is>
          <t>b6-0022</t>
        </is>
      </c>
      <c r="G550" s="15" t="inlineStr">
        <is>
          <t>Span</t>
        </is>
      </c>
      <c r="H550" s="15" t="inlineStr">
        <is>
          <t>c. 47-48 C.E.</t>
        </is>
      </c>
      <c r="I550" s="15" t="inlineStr">
        <is>
          <t>Paul’s first missionary journey</t>
        </is>
      </c>
      <c r="J550" s="15" t="n"/>
      <c r="K550" s="15" t="n"/>
      <c r="L550" s="15" t="inlineStr">
        <is>
          <t>Map legend ‘Paul’s Travels’: c. 47-48 C.E.</t>
        </is>
      </c>
      <c r="M550" s="16" t="n"/>
    </row>
    <row r="551">
      <c r="A551" s="15" t="inlineStr">
        <is>
          <t>spread-of-christianity</t>
        </is>
      </c>
      <c r="B551" s="15" t="n">
        <v>3</v>
      </c>
      <c r="C551" s="15" t="inlineStr">
        <is>
          <t>item</t>
        </is>
      </c>
      <c r="D551" s="15" t="inlineStr">
        <is>
          <t>Paul’s Travels</t>
        </is>
      </c>
      <c r="E551" s="15" t="inlineStr">
        <is>
          <t>2nd missionary tour</t>
        </is>
      </c>
      <c r="F551" s="15" t="inlineStr">
        <is>
          <t>b6-0026</t>
        </is>
      </c>
      <c r="G551" s="15" t="inlineStr">
        <is>
          <t>Span</t>
        </is>
      </c>
      <c r="H551" s="15" t="inlineStr">
        <is>
          <t>c. 49-52 C.E.</t>
        </is>
      </c>
      <c r="I551" s="15" t="inlineStr">
        <is>
          <t>Paul’s second missionary journey</t>
        </is>
      </c>
      <c r="J551" s="15" t="n"/>
      <c r="K551" s="15" t="n"/>
      <c r="L551" s="15" t="inlineStr">
        <is>
          <t>Map legend: c. 49-52 C.E.</t>
        </is>
      </c>
      <c r="M551" s="16" t="n"/>
    </row>
    <row r="552">
      <c r="A552" s="15" t="inlineStr">
        <is>
          <t>spread-of-christianity</t>
        </is>
      </c>
      <c r="B552" s="15" t="n">
        <v>4</v>
      </c>
      <c r="C552" s="15" t="inlineStr">
        <is>
          <t>item</t>
        </is>
      </c>
      <c r="D552" s="15" t="inlineStr">
        <is>
          <t>Paul’s Travels</t>
        </is>
      </c>
      <c r="E552" s="15" t="inlineStr">
        <is>
          <t>3rd missionary tour</t>
        </is>
      </c>
      <c r="F552" s="15" t="inlineStr">
        <is>
          <t>b6-0046</t>
        </is>
      </c>
      <c r="G552" s="15" t="inlineStr">
        <is>
          <t>Span</t>
        </is>
      </c>
      <c r="H552" s="15" t="inlineStr">
        <is>
          <t>c. 52-56 C.E.</t>
        </is>
      </c>
      <c r="I552" s="15" t="inlineStr">
        <is>
          <t>Paul’s third missionary journey</t>
        </is>
      </c>
      <c r="J552" s="15" t="n"/>
      <c r="K552" s="15" t="n"/>
      <c r="L552" s="15" t="inlineStr">
        <is>
          <t>Map legend: c. 52-56 C.E.</t>
        </is>
      </c>
      <c r="M552" s="16" t="n"/>
    </row>
    <row r="553">
      <c r="A553" s="15" t="inlineStr">
        <is>
          <t>spread-of-christianity</t>
        </is>
      </c>
      <c r="B553" s="15" t="n">
        <v>5</v>
      </c>
      <c r="C553" s="15" t="inlineStr">
        <is>
          <t>item</t>
        </is>
      </c>
      <c r="D553" s="15" t="inlineStr">
        <is>
          <t>Paul’s Travels</t>
        </is>
      </c>
      <c r="E553" s="15" t="inlineStr">
        <is>
          <t>Trip to Rome and imprisonment</t>
        </is>
      </c>
      <c r="F553" s="15" t="inlineStr">
        <is>
          <t>b16-0007</t>
        </is>
      </c>
      <c r="G553" s="15" t="inlineStr">
        <is>
          <t>Span</t>
        </is>
      </c>
      <c r="H553" s="15" t="inlineStr">
        <is>
          <t>c. 58-61 C.E.</t>
        </is>
      </c>
      <c r="I553" s="15" t="inlineStr">
        <is>
          <t>Paul’s trip to Rome and imprisonment</t>
        </is>
      </c>
      <c r="J553" s="15" t="n"/>
      <c r="K553" s="15" t="n"/>
      <c r="L553" s="15" t="inlineStr">
        <is>
          <t>Map legend: c. 58-61 C.E. New record.</t>
        </is>
      </c>
      <c r="M553" s="16" t="n"/>
    </row>
    <row r="554">
      <c r="A554" s="15" t="inlineStr">
        <is>
          <t>spread-of-christianity</t>
        </is>
      </c>
      <c r="B554" s="15" t="n">
        <v>6</v>
      </c>
      <c r="C554" s="15" t="inlineStr">
        <is>
          <t>context</t>
        </is>
      </c>
      <c r="D554" s="15" t="inlineStr">
        <is>
          <t>Paul’s Travels</t>
        </is>
      </c>
      <c r="E554" s="15" t="n"/>
      <c r="F554" s="15" t="inlineStr">
        <is>
          <t>b6-0064</t>
        </is>
      </c>
      <c r="G554" s="15" t="inlineStr">
        <is>
          <t>Point</t>
        </is>
      </c>
      <c r="H554" s="15" t="inlineStr">
        <is>
          <t>c. 58 C.E.</t>
        </is>
      </c>
      <c r="I554" s="15" t="inlineStr">
        <is>
          <t>Paul and other prisoners sent by ship toward Rome</t>
        </is>
      </c>
      <c r="J554" s="15" t="n"/>
      <c r="K554" s="15" t="n"/>
      <c r="L554" s="15" t="inlineStr">
        <is>
          <t>First leg of the trip to Rome.</t>
        </is>
      </c>
      <c r="M554" s="16" t="n"/>
    </row>
    <row r="555">
      <c r="A555" s="15" t="inlineStr">
        <is>
          <t>spread-of-christianity</t>
        </is>
      </c>
      <c r="B555" s="15" t="n">
        <v>7</v>
      </c>
      <c r="C555" s="15" t="inlineStr">
        <is>
          <t>context</t>
        </is>
      </c>
      <c r="D555" s="15" t="inlineStr">
        <is>
          <t>Paul’s Travels</t>
        </is>
      </c>
      <c r="E555" s="15" t="n"/>
      <c r="F555" s="15" t="inlineStr">
        <is>
          <t>b6-0065</t>
        </is>
      </c>
      <c r="G555" s="15" t="inlineStr">
        <is>
          <t>Span</t>
        </is>
      </c>
      <c r="H555" s="15" t="inlineStr">
        <is>
          <t>c. 58-59 C.E. (shipwreck and wintering)</t>
        </is>
      </c>
      <c r="I555" s="15" t="inlineStr">
        <is>
          <t>Shipwreck on Malta; Paul winters there</t>
        </is>
      </c>
      <c r="J555" s="15" t="n"/>
      <c r="K555" s="15" t="n"/>
      <c r="L555" s="15" t="inlineStr">
        <is>
          <t>Malta is on the route.</t>
        </is>
      </c>
      <c r="M555" s="16" t="n"/>
    </row>
    <row r="556">
      <c r="A556" s="15" t="inlineStr">
        <is>
          <t>spread-of-christianity</t>
        </is>
      </c>
      <c r="B556" s="15" t="n">
        <v>8</v>
      </c>
      <c r="C556" s="15" t="inlineStr">
        <is>
          <t>context</t>
        </is>
      </c>
      <c r="D556" s="15" t="inlineStr">
        <is>
          <t>Paul’s Travels</t>
        </is>
      </c>
      <c r="E556" s="15" t="n"/>
      <c r="F556" s="15" t="inlineStr">
        <is>
          <t>b6-0066</t>
        </is>
      </c>
      <c r="G556" s="15" t="inlineStr">
        <is>
          <t>Point</t>
        </is>
      </c>
      <c r="H556" s="15" t="inlineStr">
        <is>
          <t>c. 59 C.E.</t>
        </is>
      </c>
      <c r="I556" s="15" t="inlineStr">
        <is>
          <t>Paul arrives at Puteoli and Rome</t>
        </is>
      </c>
      <c r="J556" s="15" t="n"/>
      <c r="K556" s="15" t="n"/>
      <c r="L556" s="15" t="inlineStr">
        <is>
          <t>Puteoli and Rome are on the route.</t>
        </is>
      </c>
      <c r="M556" s="16" t="n"/>
    </row>
    <row r="557">
      <c r="A557" s="15" t="inlineStr">
        <is>
          <t>spread-of-christianity</t>
        </is>
      </c>
      <c r="B557" s="15" t="n">
        <v>9</v>
      </c>
      <c r="C557" s="15" t="inlineStr">
        <is>
          <t>context</t>
        </is>
      </c>
      <c r="D557" s="15" t="inlineStr">
        <is>
          <t>Paul’s Travels</t>
        </is>
      </c>
      <c r="E557" s="15" t="n"/>
      <c r="F557" s="15" t="inlineStr">
        <is>
          <t>b6-0067</t>
        </is>
      </c>
      <c r="G557" s="15" t="inlineStr">
        <is>
          <t>Span</t>
        </is>
      </c>
      <c r="H557" s="15" t="inlineStr">
        <is>
          <t>c. 59-61 C.E.</t>
        </is>
      </c>
      <c r="I557" s="15" t="inlineStr">
        <is>
          <t>Paul’s first imprisonment (house arrest) in Rome</t>
        </is>
      </c>
      <c r="J557" s="15" t="n"/>
      <c r="K557" s="15" t="n"/>
      <c r="L557" s="15" t="inlineStr">
        <is>
          <t>Imprisonment in Rome.</t>
        </is>
      </c>
      <c r="M557" s="16" t="n"/>
    </row>
    <row r="558">
      <c r="A558" s="15" t="inlineStr">
        <is>
          <t>tabernacle-and-high-priest</t>
        </is>
      </c>
      <c r="B558" s="15" t="n">
        <v>1</v>
      </c>
      <c r="C558" s="15" t="inlineStr">
        <is>
          <t>context</t>
        </is>
      </c>
      <c r="D558" s="15" t="n"/>
      <c r="E558" s="15" t="n"/>
      <c r="F558" s="15" t="inlineStr">
        <is>
          <t>b2-0023</t>
        </is>
      </c>
      <c r="G558" s="15" t="inlineStr">
        <is>
          <t>Point</t>
        </is>
      </c>
      <c r="H558" s="15" t="inlineStr">
        <is>
          <t>1513 B.C.E.</t>
        </is>
      </c>
      <c r="I558" s="15" t="inlineStr">
        <is>
          <t>Ark of the covenant made</t>
        </is>
      </c>
      <c r="J558" s="15" t="n"/>
      <c r="K558" s="15" t="n"/>
      <c r="L558" s="15" t="inlineStr">
        <is>
          <t>The ark (B5 feature 1, Ex 25:10-22).</t>
        </is>
      </c>
      <c r="M558" s="16" t="n"/>
    </row>
    <row r="559">
      <c r="A559" s="15" t="inlineStr">
        <is>
          <t>tabernacle-and-high-priest</t>
        </is>
      </c>
      <c r="B559" s="15" t="n">
        <v>2</v>
      </c>
      <c r="C559" s="15" t="inlineStr">
        <is>
          <t>item</t>
        </is>
      </c>
      <c r="D559" s="15" t="n"/>
      <c r="E559" s="15" t="inlineStr">
        <is>
          <t>Tabernacle completed</t>
        </is>
      </c>
      <c r="F559" s="15" t="inlineStr">
        <is>
          <t>b2-0025</t>
        </is>
      </c>
      <c r="G559" s="15" t="inlineStr">
        <is>
          <t>Point</t>
        </is>
      </c>
      <c r="H559" s="15" t="inlineStr">
        <is>
          <t>1512 B.C.E., Nisan 1</t>
        </is>
      </c>
      <c r="I559" s="15" t="inlineStr">
        <is>
          <t>Tabernacle construction completed and set up</t>
        </is>
      </c>
      <c r="J559" s="15" t="n"/>
      <c r="K559" s="15" t="n"/>
      <c r="L559" s="15" t="inlineStr">
        <is>
          <t>Shown on the timeline of the map.</t>
        </is>
      </c>
      <c r="M559" s="16" t="n"/>
    </row>
    <row r="560">
      <c r="A560" s="15" t="inlineStr">
        <is>
          <t>tabernacle-and-high-priest</t>
        </is>
      </c>
      <c r="B560" s="15" t="n">
        <v>3</v>
      </c>
      <c r="C560" s="15" t="inlineStr">
        <is>
          <t>context</t>
        </is>
      </c>
      <c r="D560" s="15" t="n"/>
      <c r="E560" s="15" t="n"/>
      <c r="F560" s="15" t="inlineStr">
        <is>
          <t>b2-0026</t>
        </is>
      </c>
      <c r="G560" s="15" t="inlineStr">
        <is>
          <t>Span</t>
        </is>
      </c>
      <c r="H560" s="15" t="inlineStr">
        <is>
          <t>1512 B.C.E., Nisan 1-7</t>
        </is>
      </c>
      <c r="I560" s="15" t="inlineStr">
        <is>
          <t>Installation of the Aaronic priesthood</t>
        </is>
      </c>
      <c r="J560" s="15" t="n"/>
      <c r="K560" s="15" t="n"/>
      <c r="L560" s="15" t="inlineStr">
        <is>
          <t>Installation of the priesthood; B5 shows the high priest’s garments (Ex 28).</t>
        </is>
      </c>
      <c r="M560" s="16" t="n"/>
    </row>
    <row r="561">
      <c r="A561" s="15" t="inlineStr">
        <is>
          <t>tabernacle-and-high-priest</t>
        </is>
      </c>
      <c r="B561" s="15" t="n">
        <v>4</v>
      </c>
      <c r="C561" s="15" t="inlineStr">
        <is>
          <t>item</t>
        </is>
      </c>
      <c r="D561" s="15" t="n"/>
      <c r="E561" s="15" t="inlineStr">
        <is>
          <t>Temple inaugurated</t>
        </is>
      </c>
      <c r="F561" s="15" t="inlineStr">
        <is>
          <t>b3-0014</t>
        </is>
      </c>
      <c r="G561" s="15" t="inlineStr">
        <is>
          <t>Point</t>
        </is>
      </c>
      <c r="H561" s="15" t="inlineStr">
        <is>
          <t>1026 B.C.E., Ethanim</t>
        </is>
      </c>
      <c r="I561" s="15" t="inlineStr">
        <is>
          <t>Inauguration of Solomon’s temple</t>
        </is>
      </c>
      <c r="J561" s="15" t="n"/>
      <c r="K561" s="15" t="n"/>
      <c r="L561" s="15" t="inlineStr">
        <is>
          <t>Shown on the timeline of the map.</t>
        </is>
      </c>
      <c r="M561" s="16" t="n"/>
    </row>
    <row r="562">
      <c r="A562" s="15" t="inlineStr">
        <is>
          <t>temple-built-by-solomon</t>
        </is>
      </c>
      <c r="B562" s="15" t="n">
        <v>1</v>
      </c>
      <c r="C562" s="15" t="inlineStr">
        <is>
          <t>context</t>
        </is>
      </c>
      <c r="D562" s="15" t="n"/>
      <c r="E562" s="15" t="n"/>
      <c r="F562" s="15" t="inlineStr">
        <is>
          <t>b12-0014</t>
        </is>
      </c>
      <c r="G562" s="15" t="inlineStr">
        <is>
          <t>Span</t>
        </is>
      </c>
      <c r="H562" s="15" t="inlineStr">
        <is>
          <t>spring 1034 B.C.E.–fall 1027 B.C.E.</t>
        </is>
      </c>
      <c r="I562" s="15" t="inlineStr">
        <is>
          <t>Construction of Solomon’s temple</t>
        </is>
      </c>
      <c r="J562" s="15" t="n"/>
      <c r="K562" s="15" t="n"/>
      <c r="L562" s="15" t="inlineStr">
        <is>
          <t>Construction of the temple, spring 1034–fall 1027 B.C.E.</t>
        </is>
      </c>
      <c r="M562" s="16" t="n"/>
    </row>
    <row r="563">
      <c r="A563" s="15" t="inlineStr">
        <is>
          <t>temple-built-by-solomon</t>
        </is>
      </c>
      <c r="B563" s="15" t="n">
        <v>2</v>
      </c>
      <c r="C563" s="15" t="inlineStr">
        <is>
          <t>context</t>
        </is>
      </c>
      <c r="D563" s="15" t="n"/>
      <c r="E563" s="15" t="n"/>
      <c r="F563" s="15" t="inlineStr">
        <is>
          <t>b3-0012</t>
        </is>
      </c>
      <c r="G563" s="15" t="inlineStr">
        <is>
          <t>Point</t>
        </is>
      </c>
      <c r="H563" s="15" t="inlineStr">
        <is>
          <t>1034 B.C.E., Ziv</t>
        </is>
      </c>
      <c r="I563" s="15" t="inlineStr">
        <is>
          <t>Solomon begins building the temple</t>
        </is>
      </c>
      <c r="J563" s="15" t="n"/>
      <c r="K563" s="15" t="n"/>
      <c r="L563" s="15" t="inlineStr">
        <is>
          <t>Construction begins.</t>
        </is>
      </c>
      <c r="M563" s="16" t="n"/>
    </row>
    <row r="564">
      <c r="A564" s="15" t="inlineStr">
        <is>
          <t>temple-built-by-solomon</t>
        </is>
      </c>
      <c r="B564" s="15" t="n">
        <v>3</v>
      </c>
      <c r="C564" s="15" t="inlineStr">
        <is>
          <t>context</t>
        </is>
      </c>
      <c r="D564" s="15" t="n"/>
      <c r="E564" s="15" t="n"/>
      <c r="F564" s="15" t="inlineStr">
        <is>
          <t>b3-0013</t>
        </is>
      </c>
      <c r="G564" s="15" t="inlineStr">
        <is>
          <t>Point</t>
        </is>
      </c>
      <c r="H564" s="15" t="inlineStr">
        <is>
          <t>1027 B.C.E., Bul</t>
        </is>
      </c>
      <c r="I564" s="15" t="inlineStr">
        <is>
          <t>Solomon’s temple completed</t>
        </is>
      </c>
      <c r="J564" s="15" t="n"/>
      <c r="K564" s="15" t="n"/>
      <c r="L564" s="15" t="inlineStr">
        <is>
          <t>Construction completed.</t>
        </is>
      </c>
      <c r="M564" s="16" t="n"/>
    </row>
    <row r="565">
      <c r="A565" s="15" t="inlineStr">
        <is>
          <t>temple-built-by-solomon</t>
        </is>
      </c>
      <c r="B565" s="15" t="n">
        <v>4</v>
      </c>
      <c r="C565" s="15" t="inlineStr">
        <is>
          <t>item</t>
        </is>
      </c>
      <c r="D565" s="15" t="n"/>
      <c r="E565" s="15" t="inlineStr">
        <is>
          <t>Temple inaugurated</t>
        </is>
      </c>
      <c r="F565" s="15" t="inlineStr">
        <is>
          <t>b3-0014</t>
        </is>
      </c>
      <c r="G565" s="15" t="inlineStr">
        <is>
          <t>Point</t>
        </is>
      </c>
      <c r="H565" s="15" t="inlineStr">
        <is>
          <t>1026 B.C.E., Ethanim</t>
        </is>
      </c>
      <c r="I565" s="15" t="inlineStr">
        <is>
          <t>Inauguration of Solomon’s temple</t>
        </is>
      </c>
      <c r="J565" s="15" t="n"/>
      <c r="K565" s="15" t="n"/>
      <c r="L565" s="15" t="inlineStr">
        <is>
          <t>Shown on the timeline of the map.</t>
        </is>
      </c>
      <c r="M565" s="16" t="n"/>
    </row>
    <row r="566">
      <c r="A566" s="15" t="inlineStr">
        <is>
          <t>temple-built-by-solomon</t>
        </is>
      </c>
      <c r="B566" s="15" t="n">
        <v>5</v>
      </c>
      <c r="C566" s="15" t="inlineStr">
        <is>
          <t>context</t>
        </is>
      </c>
      <c r="D566" s="15" t="n"/>
      <c r="E566" s="15" t="n"/>
      <c r="F566" s="15" t="inlineStr">
        <is>
          <t>b12-0015</t>
        </is>
      </c>
      <c r="G566" s="15" t="inlineStr">
        <is>
          <t>Span</t>
        </is>
      </c>
      <c r="H566" s="15" t="inlineStr">
        <is>
          <t>1027 B.C.E.–607 B.C.E.</t>
        </is>
      </c>
      <c r="I566" s="15" t="inlineStr">
        <is>
          <t>Solomon’s temple in service</t>
        </is>
      </c>
      <c r="J566" s="15" t="n"/>
      <c r="K566" s="15" t="n"/>
      <c r="L566" s="15" t="inlineStr">
        <is>
          <t>The temple in service until its destruction.</t>
        </is>
      </c>
      <c r="M566" s="16" t="n"/>
    </row>
    <row r="567">
      <c r="A567" s="15" t="inlineStr">
        <is>
          <t>temple-built-by-solomon</t>
        </is>
      </c>
      <c r="B567" s="15" t="n">
        <v>6</v>
      </c>
      <c r="C567" s="15" t="inlineStr">
        <is>
          <t>item</t>
        </is>
      </c>
      <c r="D567" s="15" t="n"/>
      <c r="E567" s="15" t="inlineStr">
        <is>
          <t>Temple destroyed</t>
        </is>
      </c>
      <c r="F567" s="15" t="inlineStr">
        <is>
          <t>b3-0113</t>
        </is>
      </c>
      <c r="G567" s="15" t="inlineStr">
        <is>
          <t>Point</t>
        </is>
      </c>
      <c r="H567" s="15" t="inlineStr">
        <is>
          <t>607 B.C.E., Ab 10</t>
        </is>
      </c>
      <c r="I567" s="15" t="inlineStr">
        <is>
          <t>Jerusalem and the temple destroyed by Babylon</t>
        </is>
      </c>
      <c r="J567" s="15" t="n"/>
      <c r="K567" s="15" t="n"/>
      <c r="L567" s="15" t="inlineStr">
        <is>
          <t>Shown on the timeline of the map.</t>
        </is>
      </c>
      <c r="M567" s="16" t="n"/>
    </row>
    <row r="568">
      <c r="A568" s="15" t="inlineStr">
        <is>
          <t>wheat-and-weeds</t>
        </is>
      </c>
      <c r="B568" s="15" t="n">
        <v>1</v>
      </c>
      <c r="C568" s="15" t="inlineStr">
        <is>
          <t>prophecy</t>
        </is>
      </c>
      <c r="D568" s="15" t="n"/>
      <c r="E568" s="15" t="inlineStr">
        <is>
          <t>Jehovah inspired his prophet Malachi to foretell events that are reflected in Jesus’ illustration (Mal. 3:1-4)</t>
        </is>
      </c>
      <c r="F568" s="15" t="inlineStr">
        <is>
          <t>b11-0042</t>
        </is>
      </c>
      <c r="G568" s="15" t="inlineStr">
        <is>
          <t>Point</t>
        </is>
      </c>
      <c r="H568" s="15" t="inlineStr">
        <is>
          <t>a. 443 B.C.E.</t>
        </is>
      </c>
      <c r="I568" s="15" t="inlineStr">
        <is>
          <t>Writing of Malachi completed</t>
        </is>
      </c>
      <c r="J568" s="15" t="inlineStr">
        <is>
          <t>b5-0016, b8-0004, b10-0005</t>
        </is>
      </c>
      <c r="K568" s="15" t="inlineStr">
        <is>
          <t>Mal. 3:1-4</t>
        </is>
      </c>
      <c r="L568" s="15" t="inlineStr">
        <is>
          <t>Prophecy anchored to the 'writing of Malachi completed' record (a. 443 B.C.E.), since the article gives no date for it. Par. 5-6: first fulfilled by John the Baptizer and Jesus; larger fulfillment in the work of C. T. Russell and associates and Jesus’ inspection of 1914–early 1919.</t>
        </is>
      </c>
      <c r="M568" s="16" t="n"/>
    </row>
    <row r="569">
      <c r="A569" s="15" t="inlineStr">
        <is>
          <t>wheat-and-weeds</t>
        </is>
      </c>
      <c r="B569" s="15" t="n">
        <v>2</v>
      </c>
      <c r="C569" s="15" t="inlineStr">
        <is>
          <t>fulfillment</t>
        </is>
      </c>
      <c r="D569" s="15" t="n"/>
      <c r="E569" s="15" t="inlineStr">
        <is>
          <t>John the Baptizer was the ‘messenger who cleared up the way.’ When he came in 29 C.E., a time of judgment for the nation of Israel had drawn close.</t>
        </is>
      </c>
      <c r="F569" s="15" t="inlineStr">
        <is>
          <t>b5-0016</t>
        </is>
      </c>
      <c r="G569" s="15" t="inlineStr">
        <is>
          <t>Point</t>
        </is>
      </c>
      <c r="H569" s="15" t="inlineStr">
        <is>
          <t>29 C.E., spring</t>
        </is>
      </c>
      <c r="I569" s="15" t="inlineStr">
        <is>
          <t>John the Baptist begins his ministry</t>
        </is>
      </c>
      <c r="J569" s="15" t="inlineStr">
        <is>
          <t>b11-0042</t>
        </is>
      </c>
      <c r="K569" s="15" t="inlineStr">
        <is>
          <t>Mal. 3:1; Matt. 11:10, 11</t>
        </is>
      </c>
      <c r="L569" s="15" t="inlineStr">
        <is>
          <t>First-century fulfillment of Malachi 3:1 (article par. 5). John is in the article but not on the chart 'The Wheat and the Weeds'.</t>
        </is>
      </c>
      <c r="M569" s="16" t="n"/>
    </row>
    <row r="570">
      <c r="A570" s="15" t="inlineStr">
        <is>
          <t>wheat-and-weeds</t>
        </is>
      </c>
      <c r="B570" s="15" t="n">
        <v>3</v>
      </c>
      <c r="C570" s="15" t="inlineStr">
        <is>
          <t>prophecy</t>
        </is>
      </c>
      <c r="D570" s="15" t="n"/>
      <c r="E570" s="15" t="inlineStr">
        <is>
          <t>Jesus gives the illustration of a farmer who sows fine seed of wheat and an enemy who sows weeds among it (Matt. 13:24-30, 36-43)</t>
        </is>
      </c>
      <c r="F570" s="15" t="inlineStr">
        <is>
          <t>b5-0058</t>
        </is>
      </c>
      <c r="G570" s="15" t="inlineStr">
        <is>
          <t>Point</t>
        </is>
      </c>
      <c r="H570" s="15" t="inlineStr">
        <is>
          <t>31 or 32 C.E.</t>
        </is>
      </c>
      <c r="I570" s="15" t="inlineStr">
        <is>
          <t>Jesus gives Kingdom illustrations</t>
        </is>
      </c>
      <c r="J570" s="15" t="inlineStr">
        <is>
          <t>b6-0001, b17-0002, b10-0004, b17-0009, b10-0014, b10-0016, b10-0017</t>
        </is>
      </c>
      <c r="K570" s="15" t="inlineStr">
        <is>
          <t>Matt. 13:24-30; Matt. 13:36-43</t>
        </is>
      </c>
      <c r="L570" s="15" t="inlineStr">
        <is>
          <t>Anchored to NWT App. A7 'Jesus gives Kingdom illustrations' (31 or 32 C.E., Matt. 13:1-53), when the illustration was spoken.</t>
        </is>
      </c>
      <c r="M570" s="16" t="n"/>
    </row>
    <row r="571">
      <c r="A571" s="15" t="inlineStr">
        <is>
          <t>wheat-and-weeds</t>
        </is>
      </c>
      <c r="B571" s="15" t="n">
        <v>4</v>
      </c>
      <c r="C571" s="15" t="inlineStr">
        <is>
          <t>fulfillment</t>
        </is>
      </c>
      <c r="D571" s="15" t="inlineStr">
        <is>
          <t>Sowing</t>
        </is>
      </c>
      <c r="E571" s="15" t="inlineStr">
        <is>
          <t>33 C.E. Sowing begins: the sowing began at Pentecost 33 C.E. (fine seed is sown: anointing with holy spirit)</t>
        </is>
      </c>
      <c r="F571" s="15" t="inlineStr">
        <is>
          <t>b6-0001</t>
        </is>
      </c>
      <c r="G571" s="15" t="inlineStr">
        <is>
          <t>Point</t>
        </is>
      </c>
      <c r="H571" s="15" t="inlineStr">
        <is>
          <t>33 C.E., Sivan 6 (Pentecost)</t>
        </is>
      </c>
      <c r="I571" s="15" t="inlineStr">
        <is>
          <t>Pentecost: holy spirit poured out on the disciples in Jerusalem</t>
        </is>
      </c>
      <c r="J571" s="15" t="inlineStr">
        <is>
          <t>b5-0058</t>
        </is>
      </c>
      <c r="K571" s="15" t="inlineStr">
        <is>
          <t>Matt. 13:24, 37, 38</t>
        </is>
      </c>
      <c r="L571" s="15" t="inlineStr">
        <is>
          <t>Chart: '33 C.E. Sowing begins'; 'Fine seed is sown: Anointing with holy spirit'; ‘A man sowed fine seed in his field’ (Matt. 13:24). Article par. 2.</t>
        </is>
      </c>
      <c r="M571" s="16" t="n"/>
    </row>
    <row r="572">
      <c r="A572" s="15" t="inlineStr">
        <is>
          <t>wheat-and-weeds</t>
        </is>
      </c>
      <c r="B572" s="15" t="n">
        <v>5</v>
      </c>
      <c r="C572" s="15" t="inlineStr">
        <is>
          <t>step</t>
        </is>
      </c>
      <c r="D572" s="15" t="inlineStr">
        <is>
          <t>Growth: both grow together until the harvest</t>
        </is>
      </c>
      <c r="E572" s="15" t="inlineStr">
        <is>
          <t>“Both grow together until the harvest” (Matt. 13:30)</t>
        </is>
      </c>
      <c r="F572" s="15" t="inlineStr">
        <is>
          <t>b17-0002</t>
        </is>
      </c>
      <c r="G572" s="15" t="inlineStr">
        <is>
          <t>Span</t>
        </is>
      </c>
      <c r="H572" s="15" t="inlineStr">
        <is>
          <t>33 C.E.–1914</t>
        </is>
      </c>
      <c r="I572" s="15" t="inlineStr">
        <is>
          <t>Wheat and weeds grow together until the harvest</t>
        </is>
      </c>
      <c r="J572" s="15" t="inlineStr">
        <is>
          <t>b5-0058</t>
        </is>
      </c>
      <c r="K572" s="15" t="inlineStr">
        <is>
          <t>Matt. 13:30; Matt. 28:20</t>
        </is>
      </c>
      <c r="L572" s="15" t="inlineStr">
        <is>
          <t>Article par. 4: from the first century until today there have always been some anointed wheatlike Christians on earth (Matt. 28:20).</t>
        </is>
      </c>
      <c r="M572" s="16" t="n"/>
    </row>
    <row r="573">
      <c r="A573" s="15" t="inlineStr">
        <is>
          <t>wheat-and-weeds</t>
        </is>
      </c>
      <c r="B573" s="15" t="n">
        <v>6</v>
      </c>
      <c r="C573" s="15" t="inlineStr">
        <is>
          <t>step</t>
        </is>
      </c>
      <c r="D573" s="15" t="inlineStr">
        <is>
          <t>Sowing</t>
        </is>
      </c>
      <c r="E573" s="15" t="inlineStr">
        <is>
          <t>Men were sleeping: death of the apostles — ‘While men were sleeping, the enemy oversowed weeds’ (Matt. 13:25)</t>
        </is>
      </c>
      <c r="F573" s="15" t="inlineStr">
        <is>
          <t>b7-0001</t>
        </is>
      </c>
      <c r="G573" s="15" t="inlineStr">
        <is>
          <t>Point</t>
        </is>
      </c>
      <c r="H573" s="15" t="inlineStr">
        <is>
          <t>c. 100 C.E.</t>
        </is>
      </c>
      <c r="I573" s="15" t="inlineStr">
        <is>
          <t>Last apostle, John, dies; apostasy no longer restrained</t>
        </is>
      </c>
      <c r="J573" s="15" t="n"/>
      <c r="K573" s="15" t="inlineStr">
        <is>
          <t>Matt. 13:25</t>
        </is>
      </c>
      <c r="L573" s="15" t="inlineStr">
        <is>
          <t>Chart caption 'Men were sleeping: Death of the apostles'. The chart gives no date; mapped to the b7 record for the death of the last apostle, John (c. 100 C.E.).</t>
        </is>
      </c>
      <c r="M573" s="16" t="n"/>
    </row>
    <row r="574">
      <c r="A574" s="15" t="inlineStr">
        <is>
          <t>wheat-and-weeds</t>
        </is>
      </c>
      <c r="B574" s="15" t="n">
        <v>7</v>
      </c>
      <c r="C574" s="15" t="inlineStr">
        <is>
          <t>step</t>
        </is>
      </c>
      <c r="D574" s="15" t="inlineStr">
        <is>
          <t>Growth: both grow together until the harvest</t>
        </is>
      </c>
      <c r="E574" s="15" t="inlineStr">
        <is>
          <t>At the dawn of the second century C.E., “the weeds appeared” when imitation Christians became visible in the world field</t>
        </is>
      </c>
      <c r="F574" s="15" t="inlineStr">
        <is>
          <t>b17-0003</t>
        </is>
      </c>
      <c r="G574" s="15" t="inlineStr">
        <is>
          <t>Point</t>
        </is>
      </c>
      <c r="H574" s="15" t="inlineStr">
        <is>
          <t>dawn of the 2nd century C.E.</t>
        </is>
      </c>
      <c r="I574" s="15" t="inlineStr">
        <is>
          <t>“The weeds appeared”: imitation Christians become visible</t>
        </is>
      </c>
      <c r="J574" s="15" t="n"/>
      <c r="K574" s="15" t="inlineStr">
        <is>
          <t>Matt. 13:26</t>
        </is>
      </c>
      <c r="L574" s="15" t="n"/>
      <c r="M574" s="16" t="n"/>
    </row>
    <row r="575">
      <c r="A575" s="15" t="inlineStr">
        <is>
          <t>wheat-and-weeds</t>
        </is>
      </c>
      <c r="B575" s="15" t="n">
        <v>8</v>
      </c>
      <c r="C575" s="15" t="inlineStr">
        <is>
          <t>context</t>
        </is>
      </c>
      <c r="D575" s="15" t="inlineStr">
        <is>
          <t>Growth: both grow together until the harvest</t>
        </is>
      </c>
      <c r="E575" s="15" t="inlineStr">
        <is>
          <t>Constantine legalizes “Christianity” (313 C.E.) — Christendom begins</t>
        </is>
      </c>
      <c r="F575" s="15" t="inlineStr">
        <is>
          <t>b7-0021</t>
        </is>
      </c>
      <c r="G575" s="15" t="inlineStr">
        <is>
          <t>Point</t>
        </is>
      </c>
      <c r="H575" s="15" t="inlineStr">
        <is>
          <t>313 C.E.</t>
        </is>
      </c>
      <c r="I575" s="15" t="inlineStr">
        <is>
          <t>Constantine legalizes "Christianity" — Christendom begins</t>
        </is>
      </c>
      <c r="J575" s="15" t="n"/>
      <c r="K575" s="15" t="n"/>
      <c r="L575" s="15" t="inlineStr">
        <is>
          <t>Context only: the article does not name this event. It identifies the weeds as imitation Christians, including all those within the churches of Christendom (par. 8).</t>
        </is>
      </c>
      <c r="M575" s="16" t="n"/>
    </row>
    <row r="576">
      <c r="A576" s="15" t="inlineStr">
        <is>
          <t>wheat-and-weeds</t>
        </is>
      </c>
      <c r="B576" s="15" t="n">
        <v>9</v>
      </c>
      <c r="C576" s="15" t="inlineStr">
        <is>
          <t>context</t>
        </is>
      </c>
      <c r="D576" s="15" t="inlineStr">
        <is>
          <t>Growth: both grow together until the harvest</t>
        </is>
      </c>
      <c r="E576" s="15" t="inlineStr">
        <is>
          <t>Council of Nicaea under Constantine (325 C.E.)</t>
        </is>
      </c>
      <c r="F576" s="15" t="inlineStr">
        <is>
          <t>b7-0023</t>
        </is>
      </c>
      <c r="G576" s="15" t="inlineStr">
        <is>
          <t>Point</t>
        </is>
      </c>
      <c r="H576" s="15" t="inlineStr">
        <is>
          <t>325 C.E.</t>
        </is>
      </c>
      <c r="I576" s="15" t="inlineStr">
        <is>
          <t>Council of Nicaea under Constantine; Nicene Creed</t>
        </is>
      </c>
      <c r="J576" s="15" t="n"/>
      <c r="K576" s="15" t="n"/>
      <c r="L576" s="15" t="inlineStr">
        <is>
          <t>Context only: not named in the article; 4th-century growth of imitation Christianity.</t>
        </is>
      </c>
      <c r="M576" s="16" t="n"/>
    </row>
    <row r="577">
      <c r="A577" s="15" t="inlineStr">
        <is>
          <t>wheat-and-weeds</t>
        </is>
      </c>
      <c r="B577" s="15" t="n">
        <v>10</v>
      </c>
      <c r="C577" s="15" t="inlineStr">
        <is>
          <t>step</t>
        </is>
      </c>
      <c r="D577" s="15" t="inlineStr">
        <is>
          <t>Growth: both grow together until the harvest</t>
        </is>
      </c>
      <c r="E577" s="15" t="inlineStr">
        <is>
          <t>By the fourth century, weedlike Christians had greatly outnumbered anointed Christians</t>
        </is>
      </c>
      <c r="F577" s="15" t="inlineStr">
        <is>
          <t>b17-0004</t>
        </is>
      </c>
      <c r="G577" s="15" t="inlineStr">
        <is>
          <t>Point</t>
        </is>
      </c>
      <c r="H577" s="15" t="inlineStr">
        <is>
          <t>by the 4th century C.E.</t>
        </is>
      </c>
      <c r="I577" s="15" t="inlineStr">
        <is>
          <t>Weedlike Christians greatly outnumber anointed Christians</t>
        </is>
      </c>
      <c r="J577" s="15" t="n"/>
      <c r="K577" s="15" t="inlineStr">
        <is>
          <t>Matt. 13:28</t>
        </is>
      </c>
      <c r="L577" s="15" t="n"/>
      <c r="M577" s="16" t="n"/>
    </row>
    <row r="578">
      <c r="A578" s="15" t="inlineStr">
        <is>
          <t>wheat-and-weeds</t>
        </is>
      </c>
      <c r="B578" s="15" t="n">
        <v>11</v>
      </c>
      <c r="C578" s="15" t="inlineStr">
        <is>
          <t>fulfillment</t>
        </is>
      </c>
      <c r="D578" s="15" t="inlineStr">
        <is>
          <t>Growth: both grow together until the harvest</t>
        </is>
      </c>
      <c r="E578" s="15" t="inlineStr">
        <is>
          <t>During the decades leading up to 1914, C. T. Russell and his close associates did a work like that of John the Baptizer, restoring Bible truths: some decades before the start of the harvest season, the wheat class became discernible</t>
        </is>
      </c>
      <c r="F578" s="15" t="inlineStr">
        <is>
          <t>b8-0004</t>
        </is>
      </c>
      <c r="G578" s="15" t="inlineStr">
        <is>
          <t>Point</t>
        </is>
      </c>
      <c r="H578" s="15" t="inlineStr">
        <is>
          <t>1870</t>
        </is>
      </c>
      <c r="I578" s="15" t="inlineStr">
        <is>
          <t>Russell and associates begin systematic Bible study in Pittsburgh</t>
        </is>
      </c>
      <c r="J578" s="15" t="inlineStr">
        <is>
          <t>b11-0042</t>
        </is>
      </c>
      <c r="K578" s="15" t="inlineStr">
        <is>
          <t>Mal. 3:1</t>
        </is>
      </c>
      <c r="L578" s="15" t="inlineStr">
        <is>
          <t>Larger fulfillment of Malachi 3:1 (par. 4, 6). The article gives no start year; anchored to 1870, when Russell and associates began systematic Bible study. The Tamil edition (par. 4) says 'about 30 years before the harvest season' where the English says 'some decades before'.</t>
        </is>
      </c>
      <c r="M578" s="16" t="n"/>
    </row>
    <row r="579">
      <c r="A579" s="15" t="inlineStr">
        <is>
          <t>wheat-and-weeds</t>
        </is>
      </c>
      <c r="B579" s="15" t="n">
        <v>12</v>
      </c>
      <c r="C579" s="15" t="inlineStr">
        <is>
          <t>context</t>
        </is>
      </c>
      <c r="D579" s="15" t="inlineStr">
        <is>
          <t>Growth: both grow together until the harvest</t>
        </is>
      </c>
      <c r="E579" s="15" t="inlineStr">
        <is>
          <t>The Bible Students taught the true meaning of Christ’s ransom sacrifice</t>
        </is>
      </c>
      <c r="F579" s="15" t="inlineStr">
        <is>
          <t>b8-0006</t>
        </is>
      </c>
      <c r="G579" s="15" t="inlineStr">
        <is>
          <t>Point</t>
        </is>
      </c>
      <c r="H579" s="15" t="inlineStr">
        <is>
          <t>1872</t>
        </is>
      </c>
      <c r="I579" s="15" t="inlineStr">
        <is>
          <t>Russell’s study group comes to appreciate the ransom</t>
        </is>
      </c>
      <c r="J579" s="15" t="n"/>
      <c r="K579" s="15" t="n"/>
      <c r="L579" s="15" t="inlineStr">
        <is>
          <t>One of the three restored truths the article names (par. 6).</t>
        </is>
      </c>
      <c r="M579" s="16" t="n"/>
    </row>
    <row r="580">
      <c r="A580" s="15" t="inlineStr">
        <is>
          <t>wheat-and-weeds</t>
        </is>
      </c>
      <c r="B580" s="15" t="n">
        <v>13</v>
      </c>
      <c r="C580" s="15" t="inlineStr">
        <is>
          <t>context</t>
        </is>
      </c>
      <c r="D580" s="15" t="inlineStr">
        <is>
          <t>Growth: both grow together until the harvest</t>
        </is>
      </c>
      <c r="E580" s="15" t="inlineStr">
        <is>
          <t>…and proclaimed the coming end of the Gentile Times</t>
        </is>
      </c>
      <c r="F580" s="15" t="inlineStr">
        <is>
          <t>b8-0009</t>
        </is>
      </c>
      <c r="G580" s="15" t="inlineStr">
        <is>
          <t>Point</t>
        </is>
      </c>
      <c r="H580" s="15" t="inlineStr">
        <is>
          <t>October 1876</t>
        </is>
      </c>
      <c r="I580" s="15" t="inlineStr">
        <is>
          <t>Russell’s Bible Examiner article points to 1914 as end of Gentile Times</t>
        </is>
      </c>
      <c r="J580" s="15" t="n"/>
      <c r="K580" s="15" t="n"/>
      <c r="L580" s="15" t="inlineStr">
        <is>
          <t>Par. 6.</t>
        </is>
      </c>
      <c r="M580" s="16" t="n"/>
    </row>
    <row r="581">
      <c r="A581" s="15" t="inlineStr">
        <is>
          <t>wheat-and-weeds</t>
        </is>
      </c>
      <c r="B581" s="15" t="n">
        <v>14</v>
      </c>
      <c r="C581" s="15" t="inlineStr">
        <is>
          <t>context</t>
        </is>
      </c>
      <c r="D581" s="15" t="inlineStr">
        <is>
          <t>Growth: both grow together until the harvest</t>
        </is>
      </c>
      <c r="E581" s="15" t="inlineStr">
        <is>
          <t>…exposed the hellfire lie</t>
        </is>
      </c>
      <c r="F581" s="15" t="inlineStr">
        <is>
          <t>b8-0060</t>
        </is>
      </c>
      <c r="G581" s="15" t="inlineStr">
        <is>
          <t>Point</t>
        </is>
      </c>
      <c r="H581" s="15" t="inlineStr">
        <is>
          <t>1896</t>
        </is>
      </c>
      <c r="I581" s="15" t="inlineStr">
        <is>
          <t>Booklet What Say the Scriptures About Hell? published</t>
        </is>
      </c>
      <c r="J581" s="15" t="n"/>
      <c r="K581" s="15" t="n"/>
      <c r="L581" s="15" t="inlineStr">
        <is>
          <t>Par. 6; anchored to the 1896 booklet What Say the Scriptures About Hell?</t>
        </is>
      </c>
      <c r="M581" s="16" t="n"/>
    </row>
    <row r="582">
      <c r="A582" s="15" t="inlineStr">
        <is>
          <t>wheat-and-weeds</t>
        </is>
      </c>
      <c r="B582" s="15" t="n">
        <v>15</v>
      </c>
      <c r="C582" s="15" t="inlineStr">
        <is>
          <t>fulfillment</t>
        </is>
      </c>
      <c r="D582" s="15" t="inlineStr">
        <is>
          <t>Harvest season</t>
        </is>
      </c>
      <c r="E582" s="15" t="inlineStr">
        <is>
          <t>1914 Harvest begins: “The harvest is a conclusion of a system of things” — the weeds are collected and bundled (Matt. 13:30)</t>
        </is>
      </c>
      <c r="F582" s="15" t="inlineStr">
        <is>
          <t>b10-0004</t>
        </is>
      </c>
      <c r="G582" s="15" t="inlineStr">
        <is>
          <t>Point</t>
        </is>
      </c>
      <c r="H582" s="15" t="inlineStr">
        <is>
          <t>1914</t>
        </is>
      </c>
      <c r="I582" s="15" t="inlineStr">
        <is>
          <t>Harvest season begins: separating of 'wheat' from 'weeds'</t>
        </is>
      </c>
      <c r="J582" s="15" t="inlineStr">
        <is>
          <t>b5-0058</t>
        </is>
      </c>
      <c r="K582" s="15" t="inlineStr">
        <is>
          <t>Matt. 13:30, 39-41</t>
        </is>
      </c>
      <c r="L582" s="15" t="inlineStr">
        <is>
          <t>Chart: '1914 Harvest begins'; 'Slaves/Reapers: Angels'; 'Weedlike Christians are separated from the anointed “sons of the kingdom.”' Article par. 9-10: first development, collecting the weeds, after 1914.</t>
        </is>
      </c>
      <c r="M582" s="16" t="n"/>
    </row>
    <row r="583">
      <c r="A583" s="15" t="inlineStr">
        <is>
          <t>wheat-and-weeds</t>
        </is>
      </c>
      <c r="B583" s="15" t="n">
        <v>16</v>
      </c>
      <c r="C583" s="15" t="inlineStr">
        <is>
          <t>fulfillment</t>
        </is>
      </c>
      <c r="D583" s="15" t="inlineStr">
        <is>
          <t>Harvest season</t>
        </is>
      </c>
      <c r="E583" s="15" t="inlineStr">
        <is>
          <t>Jesus began to inspect the spiritual temple in 1914; that inspection and cleansing work involved a period of time—from 1914 to the early part of 1919</t>
        </is>
      </c>
      <c r="F583" s="15" t="inlineStr">
        <is>
          <t>b10-0005</t>
        </is>
      </c>
      <c r="G583" s="15" t="inlineStr">
        <is>
          <t>Span</t>
        </is>
      </c>
      <c r="H583" s="15" t="inlineStr">
        <is>
          <t>1914–early 1919</t>
        </is>
      </c>
      <c r="I583" s="15" t="inlineStr">
        <is>
          <t>Jehovah and Jesus inspect and refine the spiritual temple</t>
        </is>
      </c>
      <c r="J583" s="15" t="inlineStr">
        <is>
          <t>b11-0042</t>
        </is>
      </c>
      <c r="K583" s="15" t="inlineStr">
        <is>
          <t>Mal. 3:1-4; 1 Pet. 4:17</t>
        </is>
      </c>
      <c r="L583" s="15" t="inlineStr">
        <is>
          <t>Article par. 6, endnote c: an adjustment in understanding; previously the inspection was thought to have taken place in 1918.</t>
        </is>
      </c>
      <c r="M583" s="16" t="n"/>
    </row>
    <row r="584">
      <c r="A584" s="15" t="inlineStr">
        <is>
          <t>wheat-and-weeds</t>
        </is>
      </c>
      <c r="B584" s="15" t="n">
        <v>17</v>
      </c>
      <c r="C584" s="15" t="inlineStr">
        <is>
          <t>context</t>
        </is>
      </c>
      <c r="D584" s="15" t="inlineStr">
        <is>
          <t>Harvest season</t>
        </is>
      </c>
      <c r="E584" s="15" t="inlineStr">
        <is>
          <t>After Brother Russell’s death in October 1916, opposition arose from inside the organization</t>
        </is>
      </c>
      <c r="F584" s="15" t="inlineStr">
        <is>
          <t>b8-0101</t>
        </is>
      </c>
      <c r="G584" s="15" t="inlineStr">
        <is>
          <t>Point</t>
        </is>
      </c>
      <c r="H584" s="15" t="inlineStr">
        <is>
          <t>October 31, 1916</t>
        </is>
      </c>
      <c r="I584" s="15" t="inlineStr">
        <is>
          <t>C. T. Russell dies at age 64</t>
        </is>
      </c>
      <c r="J584" s="15" t="n"/>
      <c r="K584" s="15" t="n"/>
      <c r="L584" s="15" t="inlineStr">
        <is>
          <t>Par. 8 (cleansing of 'the sons of Levi', Mal. 3:3).</t>
        </is>
      </c>
      <c r="M584" s="16" t="n"/>
    </row>
    <row r="585">
      <c r="A585" s="15" t="inlineStr">
        <is>
          <t>wheat-and-weeds</t>
        </is>
      </c>
      <c r="B585" s="15" t="n">
        <v>18</v>
      </c>
      <c r="C585" s="15" t="inlineStr">
        <is>
          <t>context</t>
        </is>
      </c>
      <c r="D585" s="15" t="inlineStr">
        <is>
          <t>Harvest season</t>
        </is>
      </c>
      <c r="E585" s="15" t="inlineStr">
        <is>
          <t>Four of the seven directors rebelled; in August 1917 they left Bethel—a cleansing indeed!</t>
        </is>
      </c>
      <c r="F585" s="15" t="inlineStr">
        <is>
          <t>b8-0107</t>
        </is>
      </c>
      <c r="G585" s="15" t="inlineStr">
        <is>
          <t>Point</t>
        </is>
      </c>
      <c r="H585" s="15" t="inlineStr">
        <is>
          <t>July 1917 onward</t>
        </is>
      </c>
      <c r="I585" s="15" t="inlineStr">
        <is>
          <t>Opposition from four directors; congregations split</t>
        </is>
      </c>
      <c r="J585" s="15" t="n"/>
      <c r="K585" s="15" t="n"/>
      <c r="L585" s="15" t="inlineStr">
        <is>
          <t>Par. 8. The b8 record is dated 'July 1917 onward' (start of the opposition); the article dates their leaving Bethel to August 1917.</t>
        </is>
      </c>
      <c r="M585" s="16" t="n"/>
    </row>
    <row r="586">
      <c r="A586" s="15" t="inlineStr">
        <is>
          <t>wheat-and-weeds</t>
        </is>
      </c>
      <c r="B586" s="15" t="n">
        <v>19</v>
      </c>
      <c r="C586" s="15" t="inlineStr">
        <is>
          <t>fulfillment</t>
        </is>
      </c>
      <c r="D586" s="15" t="inlineStr">
        <is>
          <t>Harvest season</t>
        </is>
      </c>
      <c r="E586" s="15" t="inlineStr">
        <is>
          <t>By 1919, it became evident that Babylon the Great had fallen</t>
        </is>
      </c>
      <c r="F586" s="15" t="inlineStr">
        <is>
          <t>b17-0007</t>
        </is>
      </c>
      <c r="G586" s="15" t="inlineStr">
        <is>
          <t>Point</t>
        </is>
      </c>
      <c r="H586" s="15" t="inlineStr">
        <is>
          <t>by 1919</t>
        </is>
      </c>
      <c r="I586" s="15" t="inlineStr">
        <is>
          <t>Babylon the Great evidently fallen</t>
        </is>
      </c>
      <c r="J586" s="15" t="n"/>
      <c r="K586" s="15" t="inlineStr">
        <is>
          <t>Rev. 18:1, 4</t>
        </is>
      </c>
      <c r="L586" s="15" t="inlineStr">
        <is>
          <t>Par. 11.</t>
        </is>
      </c>
      <c r="M586" s="16" t="n"/>
    </row>
    <row r="587">
      <c r="A587" s="15" t="inlineStr">
        <is>
          <t>wheat-and-weeds</t>
        </is>
      </c>
      <c r="B587" s="15" t="n">
        <v>20</v>
      </c>
      <c r="C587" s="15" t="inlineStr">
        <is>
          <t>step</t>
        </is>
      </c>
      <c r="D587" s="15" t="inlineStr">
        <is>
          <t>Harvest season</t>
        </is>
      </c>
      <c r="E587" s="15" t="inlineStr">
        <is>
          <t>To Whom the Work Is Entrusted (1919) urged all anointed Christians to preach from house to house</t>
        </is>
      </c>
      <c r="F587" s="15" t="inlineStr">
        <is>
          <t>b17-0008</t>
        </is>
      </c>
      <c r="G587" s="15" t="inlineStr">
        <is>
          <t>Point</t>
        </is>
      </c>
      <c r="H587" s="15" t="inlineStr">
        <is>
          <t>1919</t>
        </is>
      </c>
      <c r="I587" s="15" t="inlineStr">
        <is>
          <t>Pamphlet To Whom the Work Is Entrusted urges house-to-house preaching</t>
        </is>
      </c>
      <c r="J587" s="15" t="n"/>
      <c r="K587" s="15" t="n"/>
      <c r="L587" s="15" t="inlineStr">
        <is>
          <t>Par. 11: the preaching work especially set true Christians apart from imitation ones.</t>
        </is>
      </c>
      <c r="M587" s="16" t="n"/>
    </row>
    <row r="588">
      <c r="A588" s="15" t="inlineStr">
        <is>
          <t>wheat-and-weeds</t>
        </is>
      </c>
      <c r="B588" s="15" t="n">
        <v>21</v>
      </c>
      <c r="C588" s="15" t="inlineStr">
        <is>
          <t>fulfillment</t>
        </is>
      </c>
      <c r="D588" s="15" t="inlineStr">
        <is>
          <t>Harvest season</t>
        </is>
      </c>
      <c r="E588" s="15" t="inlineStr">
        <is>
          <t>1919 Gathering into the storehouse: Anointed Christians are gathered into the restored congregation — ‘Gathering the wheat into the storehouse’ (Matt. 13:30)</t>
        </is>
      </c>
      <c r="F588" s="15" t="inlineStr">
        <is>
          <t>b17-0009</t>
        </is>
      </c>
      <c r="G588" s="15" t="inlineStr">
        <is>
          <t>Span</t>
        </is>
      </c>
      <c r="H588" s="15" t="inlineStr">
        <is>
          <t>1919–</t>
        </is>
      </c>
      <c r="I588" s="15" t="inlineStr">
        <is>
          <t>Wheat gathered into the storehouse: anointed gathered into the restored congregation</t>
        </is>
      </c>
      <c r="J588" s="15" t="inlineStr">
        <is>
          <t>b5-0058</t>
        </is>
      </c>
      <c r="K588" s="15" t="inlineStr">
        <is>
          <t>Matt. 13:30</t>
        </is>
      </c>
      <c r="L588" s="15" t="inlineStr">
        <is>
          <t>Chart and par. 12 (second development).</t>
        </is>
      </c>
      <c r="M588" s="16" t="n"/>
    </row>
    <row r="589">
      <c r="A589" s="15" t="inlineStr">
        <is>
          <t>wheat-and-weeds</t>
        </is>
      </c>
      <c r="B589" s="15" t="n">
        <v>22</v>
      </c>
      <c r="C589" s="15" t="inlineStr">
        <is>
          <t>context</t>
        </is>
      </c>
      <c r="D589" s="15" t="inlineStr">
        <is>
          <t>Harvest season</t>
        </is>
      </c>
      <c r="E589" s="15" t="inlineStr">
        <is>
          <t>Knowing who the wheatlike Christians are is essential to answering: “Who really is the faithful and discreet slave?” (Matt. 24:45)</t>
        </is>
      </c>
      <c r="F589" s="15" t="inlineStr">
        <is>
          <t>b10-0007</t>
        </is>
      </c>
      <c r="G589" s="15" t="inlineStr">
        <is>
          <t>Point</t>
        </is>
      </c>
      <c r="H589" s="15" t="inlineStr">
        <is>
          <t>1919</t>
        </is>
      </c>
      <c r="I589" s="15" t="inlineStr">
        <is>
          <t>Christ appoints the faithful and discreet slave over his domestics</t>
        </is>
      </c>
      <c r="J589" s="15" t="n"/>
      <c r="K589" s="15" t="inlineStr">
        <is>
          <t>Matt. 24:45</t>
        </is>
      </c>
      <c r="L589" s="15" t="inlineStr">
        <is>
          <t>Par. 19 points to the following articles (w13 7/15 'Who Really Is the Faithful and Discreet Slave?', docid 2013533), which date the appointment of the slave to 1919.</t>
        </is>
      </c>
      <c r="M589" s="16" t="n"/>
    </row>
    <row r="590">
      <c r="A590" s="15" t="inlineStr">
        <is>
          <t>wheat-and-weeds</t>
        </is>
      </c>
      <c r="B590" s="15" t="n">
        <v>23</v>
      </c>
      <c r="C590" s="15" t="inlineStr">
        <is>
          <t>future fulfillment</t>
        </is>
      </c>
      <c r="D590" s="15" t="inlineStr">
        <is>
          <t>Still ahead: the great tribulation and Armageddon</t>
        </is>
      </c>
      <c r="E590" s="15" t="inlineStr">
        <is>
          <t>All faithful anointed ones still on earth after the initial part of the great tribulation will already have received their final sealing</t>
        </is>
      </c>
      <c r="F590" s="15" t="inlineStr">
        <is>
          <t>b10-0010</t>
        </is>
      </c>
      <c r="G590" s="15" t="inlineStr">
        <is>
          <t>Point</t>
        </is>
      </c>
      <c r="H590" s="15" t="inlineStr">
        <is>
          <t>Future (undated)</t>
        </is>
      </c>
      <c r="I590" s="15" t="inlineStr">
        <is>
          <t>Final sealing of the remnant of anointed Christians completed</t>
        </is>
      </c>
      <c r="J590" s="15" t="n"/>
      <c r="K590" s="15" t="inlineStr">
        <is>
          <t>Rev. 7:1-4</t>
        </is>
      </c>
      <c r="L590" s="15" t="inlineStr">
        <is>
          <t>Par. 2, 17.</t>
        </is>
      </c>
      <c r="M590" s="16" t="n"/>
    </row>
    <row r="591">
      <c r="A591" s="15" t="inlineStr">
        <is>
          <t>wheat-and-weeds</t>
        </is>
      </c>
      <c r="B591" s="15" t="n">
        <v>24</v>
      </c>
      <c r="C591" s="15" t="inlineStr">
        <is>
          <t>context</t>
        </is>
      </c>
      <c r="D591" s="15" t="inlineStr">
        <is>
          <t>Still ahead: the great tribulation and Armageddon</t>
        </is>
      </c>
      <c r="E591" s="15" t="inlineStr">
        <is>
          <t>During the great tribulation, after all organized false religion has been destroyed, former adherents will run for cover</t>
        </is>
      </c>
      <c r="F591" s="15" t="inlineStr">
        <is>
          <t>b10-0011</t>
        </is>
      </c>
      <c r="G591" s="15" t="inlineStr">
        <is>
          <t>Point</t>
        </is>
      </c>
      <c r="H591" s="15" t="inlineStr">
        <is>
          <t>Future (undated)</t>
        </is>
      </c>
      <c r="I591" s="15" t="inlineStr">
        <is>
          <t>Attack on Babylon the Great: the great tribulation begins</t>
        </is>
      </c>
      <c r="J591" s="15" t="n"/>
      <c r="K591" s="15" t="inlineStr">
        <is>
          <t>Luke 23:30; Rev. 6:15-17</t>
        </is>
      </c>
      <c r="L591" s="15" t="inlineStr">
        <is>
          <t>Par. 14.</t>
        </is>
      </c>
      <c r="M591" s="16" t="n"/>
    </row>
    <row r="592">
      <c r="A592" s="15" t="inlineStr">
        <is>
          <t>wheat-and-weeds</t>
        </is>
      </c>
      <c r="B592" s="15" t="n">
        <v>25</v>
      </c>
      <c r="C592" s="15" t="inlineStr">
        <is>
          <t>future fulfillment</t>
        </is>
      </c>
      <c r="D592" s="15" t="inlineStr">
        <is>
          <t>Still ahead: the great tribulation and Armageddon</t>
        </is>
      </c>
      <c r="E592" s="15" t="inlineStr">
        <is>
          <t>Third, weeping and gnashing: realizing there is no escape, they will weep in desperation and ‘gnash their teeth’; they “will beat themselves in lamentation”</t>
        </is>
      </c>
      <c r="F592" s="15" t="inlineStr">
        <is>
          <t>b10-0014</t>
        </is>
      </c>
      <c r="G592" s="15" t="inlineStr">
        <is>
          <t>Point</t>
        </is>
      </c>
      <c r="H592" s="15" t="inlineStr">
        <is>
          <t>Future (undated)</t>
        </is>
      </c>
      <c r="I592" s="15" t="inlineStr">
        <is>
          <t>Sign of the Son of man; Jesus comes in glory and judges the sheep and the goats</t>
        </is>
      </c>
      <c r="J592" s="15" t="inlineStr">
        <is>
          <t>b5-0058</t>
        </is>
      </c>
      <c r="K592" s="15" t="inlineStr">
        <is>
          <t>Matt. 13:42; Matt. 24:30; Rev. 1:7</t>
        </is>
      </c>
      <c r="L592" s="15" t="inlineStr">
        <is>
          <t>Par. 13-14 and endnote e: an adjustment; previously the weeping and gnashing was thought to have been going on for decades. Anchored to the sign of the Son of man (Matt. 24:30), when they 'beat themselves in lamentation'.</t>
        </is>
      </c>
      <c r="M592" s="16" t="n"/>
    </row>
    <row r="593">
      <c r="A593" s="15" t="inlineStr">
        <is>
          <t>wheat-and-weeds</t>
        </is>
      </c>
      <c r="B593" s="15" t="n">
        <v>26</v>
      </c>
      <c r="C593" s="15" t="inlineStr">
        <is>
          <t>future fulfillment</t>
        </is>
      </c>
      <c r="D593" s="15" t="inlineStr">
        <is>
          <t>Still ahead: the great tribulation and Armageddon</t>
        </is>
      </c>
      <c r="E593" s="15" t="inlineStr">
        <is>
          <t>Shining brightly: Shortly before Armageddon, the remaining faithful anointed ones are gathered to the heavens — the righteous ones shine brightly in the Kingdom (Matt. 13:43)</t>
        </is>
      </c>
      <c r="F593" s="15" t="inlineStr">
        <is>
          <t>b10-0016</t>
        </is>
      </c>
      <c r="G593" s="15" t="inlineStr">
        <is>
          <t>Point</t>
        </is>
      </c>
      <c r="H593" s="15" t="inlineStr">
        <is>
          <t>Future (undated)</t>
        </is>
      </c>
      <c r="I593" s="15" t="inlineStr">
        <is>
          <t>Remaining anointed ones gathered to heaven</t>
        </is>
      </c>
      <c r="J593" s="15" t="inlineStr">
        <is>
          <t>b5-0058</t>
        </is>
      </c>
      <c r="K593" s="15" t="inlineStr">
        <is>
          <t>Matt. 13:43; Matt. 24:31; Dan. 12:3</t>
        </is>
      </c>
      <c r="L593" s="15" t="inlineStr">
        <is>
          <t>Chart and par. 16-17 (fifth development; endnote f: an adjustment, Matt. 13:43 is a future event in heaven, not the preaching work). Also the final gathering of the wheat (par. 2, 12).</t>
        </is>
      </c>
      <c r="M593" s="16" t="n"/>
    </row>
    <row r="594">
      <c r="A594" s="15" t="inlineStr">
        <is>
          <t>wheat-and-weeds</t>
        </is>
      </c>
      <c r="B594" s="15" t="n">
        <v>27</v>
      </c>
      <c r="C594" s="15" t="inlineStr">
        <is>
          <t>future fulfillment</t>
        </is>
      </c>
      <c r="D594" s="15" t="inlineStr">
        <is>
          <t>Still ahead: the great tribulation and Armageddon</t>
        </is>
      </c>
      <c r="E594" s="15" t="inlineStr">
        <is>
          <t>Armageddon: At Armageddon, the weeds are pitched into the fire — ‘The weeds are pitched into the fiery furnace’ (Matt. 13:42)</t>
        </is>
      </c>
      <c r="F594" s="15" t="inlineStr">
        <is>
          <t>b10-0017</t>
        </is>
      </c>
      <c r="G594" s="15" t="inlineStr">
        <is>
          <t>Point</t>
        </is>
      </c>
      <c r="H594" s="15" t="inlineStr">
        <is>
          <t>Future (undated)</t>
        </is>
      </c>
      <c r="I594" s="15" t="inlineStr">
        <is>
          <t>War of Armageddon: the finale of the great tribulation</t>
        </is>
      </c>
      <c r="J594" s="15" t="inlineStr">
        <is>
          <t>b5-0058</t>
        </is>
      </c>
      <c r="K594" s="15" t="inlineStr">
        <is>
          <t>Matt. 13:42; Mal. 4:1</t>
        </is>
      </c>
      <c r="L594" s="15" t="inlineStr">
        <is>
          <t>Chart and par. 15 (fourth development): former adherents of false religion destroyed during the final part of the great tribulation, Armageddon.</t>
        </is>
      </c>
      <c r="M594" s="16" t="n"/>
    </row>
    <row r="595">
      <c r="A595" s="15" t="inlineStr">
        <is>
          <t>wheat-and-weeds</t>
        </is>
      </c>
      <c r="B595" s="15" t="n">
        <v>28</v>
      </c>
      <c r="C595" s="15" t="inlineStr">
        <is>
          <t>context</t>
        </is>
      </c>
      <c r="D595" s="15" t="inlineStr">
        <is>
          <t>Still ahead: the great tribulation and Armageddon</t>
        </is>
      </c>
      <c r="E595" s="15" t="inlineStr">
        <is>
          <t>Shortly after the battle of Armageddon, they will share as Jesus’ joyous bride in “the marriage of the Lamb”</t>
        </is>
      </c>
      <c r="F595" s="15" t="inlineStr">
        <is>
          <t>b10-0018</t>
        </is>
      </c>
      <c r="G595" s="15" t="inlineStr">
        <is>
          <t>Point</t>
        </is>
      </c>
      <c r="H595" s="15" t="inlineStr">
        <is>
          <t>Future (undated)</t>
        </is>
      </c>
      <c r="I595" s="15" t="inlineStr">
        <is>
          <t>Marriage of the Lamb takes place in heaven</t>
        </is>
      </c>
      <c r="J595" s="15" t="n"/>
      <c r="K595" s="15" t="inlineStr">
        <is>
          <t>Rev. 19:6-9</t>
        </is>
      </c>
      <c r="L595" s="15" t="inlineStr">
        <is>
          <t>Par. 17.</t>
        </is>
      </c>
      <c r="M595" s="16" t="n"/>
    </row>
    <row r="596">
      <c r="A596" s="15" t="inlineStr">
        <is>
          <t>world-powers-daniel</t>
        </is>
      </c>
      <c r="B596" s="15" t="n">
        <v>1</v>
      </c>
      <c r="C596" s="15" t="inlineStr">
        <is>
          <t>prophecy</t>
        </is>
      </c>
      <c r="D596" s="15" t="n"/>
      <c r="E596" s="15" t="inlineStr">
        <is>
          <t>Nebuchadnezzar’s dream of an immense image (Dan. 2)</t>
        </is>
      </c>
      <c r="F596" s="15" t="inlineStr">
        <is>
          <t>b4-0008</t>
        </is>
      </c>
      <c r="G596" s="15" t="inlineStr">
        <is>
          <t>Point</t>
        </is>
      </c>
      <c r="H596" s="15" t="inlineStr">
        <is>
          <t>606/605 B.C.E.</t>
        </is>
      </c>
      <c r="I596" s="15" t="inlineStr">
        <is>
          <t>Nebuchadnezzar's dream of the immense image</t>
        </is>
      </c>
      <c r="J596" s="15" t="inlineStr">
        <is>
          <t>b12-0023, b12-0027, b12-0037, b12-0040, b12-0066, b10-0002, b10-0017</t>
        </is>
      </c>
      <c r="K596" s="15" t="inlineStr">
        <is>
          <t>Dan. 2:31-45</t>
        </is>
      </c>
      <c r="L596" s="15" t="inlineStr">
        <is>
          <t>Dated 606/605 B.C.E., the second year of Nebuchadnezzar’s reign as world ruler (dp ch. 4 par. 2).</t>
        </is>
      </c>
      <c r="M596" s="16" t="n"/>
    </row>
    <row r="597">
      <c r="A597" s="15" t="inlineStr">
        <is>
          <t>world-powers-daniel</t>
        </is>
      </c>
      <c r="B597" s="15" t="n">
        <v>2</v>
      </c>
      <c r="C597" s="15" t="inlineStr">
        <is>
          <t>prophecy</t>
        </is>
      </c>
      <c r="D597" s="15" t="n"/>
      <c r="E597" s="15" t="inlineStr">
        <is>
          <t>Daniel’s dream of four beasts out of the sea (Dan. 7)</t>
        </is>
      </c>
      <c r="F597" s="15" t="inlineStr">
        <is>
          <t>b4-0020</t>
        </is>
      </c>
      <c r="G597" s="15" t="inlineStr">
        <is>
          <t>Point</t>
        </is>
      </c>
      <c r="H597" s="15" t="inlineStr">
        <is>
          <t>553 B.C.E.</t>
        </is>
      </c>
      <c r="I597" s="15" t="inlineStr">
        <is>
          <t>First year of Belshazzar: Daniel's dream of four beasts</t>
        </is>
      </c>
      <c r="J597" s="15" t="inlineStr">
        <is>
          <t>b12-0023, b12-0027, b12-0037, b12-0040, b12-0066</t>
        </is>
      </c>
      <c r="K597" s="15" t="inlineStr">
        <is>
          <t>Dan. 7:1-8, 17, 23-25</t>
        </is>
      </c>
      <c r="L597" s="15" t="n"/>
      <c r="M597" s="16" t="n"/>
    </row>
    <row r="598">
      <c r="A598" s="15" t="inlineStr">
        <is>
          <t>world-powers-daniel</t>
        </is>
      </c>
      <c r="B598" s="15" t="n">
        <v>3</v>
      </c>
      <c r="C598" s="15" t="inlineStr">
        <is>
          <t>prophecy</t>
        </is>
      </c>
      <c r="D598" s="15" t="n"/>
      <c r="E598" s="15" t="inlineStr">
        <is>
          <t>Vision of the ram and the male goat (Dan. 8)</t>
        </is>
      </c>
      <c r="F598" s="15" t="inlineStr">
        <is>
          <t>b11-0033</t>
        </is>
      </c>
      <c r="G598" s="15" t="inlineStr">
        <is>
          <t>Point</t>
        </is>
      </c>
      <c r="H598" s="15" t="inlineStr">
        <is>
          <t>c. 536 B.C.E.</t>
        </is>
      </c>
      <c r="I598" s="15" t="inlineStr">
        <is>
          <t>Writing of Daniel completed</t>
        </is>
      </c>
      <c r="J598" s="15" t="inlineStr">
        <is>
          <t>b12-0027, b12-0037, b4-0090, b4-0095, b12-0066</t>
        </is>
      </c>
      <c r="K598" s="15" t="inlineStr">
        <is>
          <t>Dan. 8:3-25</t>
        </is>
      </c>
      <c r="L598" s="15" t="inlineStr">
        <is>
          <t>The vision came “in the third year of the kingship of Belshazzar” (Dan. 8:1); jw.org gives no year for it, so it is anchored to the completion of the book of Daniel (c. 536 B.C.E.).</t>
        </is>
      </c>
      <c r="M598" s="16" t="n"/>
    </row>
    <row r="599">
      <c r="A599" s="15" t="inlineStr">
        <is>
          <t>world-powers-daniel</t>
        </is>
      </c>
      <c r="B599" s="15" t="n">
        <v>4</v>
      </c>
      <c r="C599" s="15" t="inlineStr">
        <is>
          <t>item</t>
        </is>
      </c>
      <c r="D599" s="15" t="inlineStr">
        <is>
          <t>Babylon</t>
        </is>
      </c>
      <c r="E599" s="15" t="inlineStr">
        <is>
          <t>Babylon</t>
        </is>
      </c>
      <c r="F599" s="15" t="inlineStr">
        <is>
          <t>b12-0023</t>
        </is>
      </c>
      <c r="G599" s="15" t="inlineStr">
        <is>
          <t>Span</t>
        </is>
      </c>
      <c r="H599" s="15" t="inlineStr">
        <is>
          <t>607 B.C.E.–539 B.C.E.</t>
        </is>
      </c>
      <c r="I599" s="15" t="inlineStr">
        <is>
          <t>Babylon, third world power</t>
        </is>
      </c>
      <c r="J599" s="15" t="inlineStr">
        <is>
          <t>b4-0008, b4-0020</t>
        </is>
      </c>
      <c r="K599" s="15" t="n"/>
      <c r="L599" s="15" t="n"/>
      <c r="M599" s="16" t="n"/>
    </row>
    <row r="600">
      <c r="A600" s="15" t="inlineStr">
        <is>
          <t>world-powers-daniel</t>
        </is>
      </c>
      <c r="B600" s="15" t="n">
        <v>5</v>
      </c>
      <c r="C600" s="15" t="inlineStr">
        <is>
          <t>rise</t>
        </is>
      </c>
      <c r="D600" s="15" t="inlineStr">
        <is>
          <t>Babylon</t>
        </is>
      </c>
      <c r="E600" s="15" t="inlineStr">
        <is>
          <t>607 B.C.E. King Nebuchadnezzar destroys Jerusalem</t>
        </is>
      </c>
      <c r="F600" s="15" t="inlineStr">
        <is>
          <t>b3-0113</t>
        </is>
      </c>
      <c r="G600" s="15" t="inlineStr">
        <is>
          <t>Point</t>
        </is>
      </c>
      <c r="H600" s="15" t="inlineStr">
        <is>
          <t>607 B.C.E., Ab 10</t>
        </is>
      </c>
      <c r="I600" s="15" t="inlineStr">
        <is>
          <t>Jerusalem and the temple destroyed by Babylon</t>
        </is>
      </c>
      <c r="J600" s="15" t="n"/>
      <c r="K600" s="15" t="n"/>
      <c r="L600" s="15" t="n"/>
      <c r="M600" s="16" t="n"/>
    </row>
    <row r="601">
      <c r="A601" s="15" t="inlineStr">
        <is>
          <t>world-powers-daniel</t>
        </is>
      </c>
      <c r="B601" s="15" t="n">
        <v>6</v>
      </c>
      <c r="C601" s="15" t="inlineStr">
        <is>
          <t>fall</t>
        </is>
      </c>
      <c r="D601" s="15" t="inlineStr">
        <is>
          <t>Babylon</t>
        </is>
      </c>
      <c r="E601" s="15" t="inlineStr">
        <is>
          <t>539 B.C.E. Medo-Persia conquers Babylon</t>
        </is>
      </c>
      <c r="F601" s="15" t="inlineStr">
        <is>
          <t>b4-0024</t>
        </is>
      </c>
      <c r="G601" s="15" t="inlineStr">
        <is>
          <t>Point</t>
        </is>
      </c>
      <c r="H601" s="15" t="inlineStr">
        <is>
          <t>539 B.C.E., Oct. 5 (Tishri 16)</t>
        </is>
      </c>
      <c r="I601" s="15" t="inlineStr">
        <is>
          <t>Babylon falls to the Medes and Persians</t>
        </is>
      </c>
      <c r="J601" s="15" t="n"/>
      <c r="K601" s="15" t="n"/>
      <c r="L601" s="15" t="inlineStr">
        <is>
          <t>dp ch. 4 par. 11: with the death of Belshazzar, the golden head of the image ceased to exist.</t>
        </is>
      </c>
      <c r="M601" s="16" t="n"/>
    </row>
    <row r="602">
      <c r="A602" s="15" t="inlineStr">
        <is>
          <t>world-powers-daniel</t>
        </is>
      </c>
      <c r="B602" s="15" t="n">
        <v>7</v>
      </c>
      <c r="C602" s="15" t="inlineStr">
        <is>
          <t>item</t>
        </is>
      </c>
      <c r="D602" s="15" t="inlineStr">
        <is>
          <t>Medo-Persia</t>
        </is>
      </c>
      <c r="E602" s="15" t="inlineStr">
        <is>
          <t>Medo-Persia</t>
        </is>
      </c>
      <c r="F602" s="15" t="inlineStr">
        <is>
          <t>b12-0027</t>
        </is>
      </c>
      <c r="G602" s="15" t="inlineStr">
        <is>
          <t>Span</t>
        </is>
      </c>
      <c r="H602" s="15" t="inlineStr">
        <is>
          <t>539 B.C.E.–331 B.C.E.</t>
        </is>
      </c>
      <c r="I602" s="15" t="inlineStr">
        <is>
          <t>Medo-Persia, fourth world power</t>
        </is>
      </c>
      <c r="J602" s="15" t="inlineStr">
        <is>
          <t>b4-0008, b4-0020, b11-0033</t>
        </is>
      </c>
      <c r="K602" s="15" t="n"/>
      <c r="L602" s="15" t="n"/>
      <c r="M602" s="16" t="n"/>
    </row>
    <row r="603">
      <c r="A603" s="15" t="inlineStr">
        <is>
          <t>world-powers-daniel</t>
        </is>
      </c>
      <c r="B603" s="15" t="n">
        <v>8</v>
      </c>
      <c r="C603" s="15" t="inlineStr">
        <is>
          <t>rise</t>
        </is>
      </c>
      <c r="D603" s="15" t="inlineStr">
        <is>
          <t>Medo-Persia</t>
        </is>
      </c>
      <c r="E603" s="15" t="inlineStr">
        <is>
          <t>539 B.C.E. Conquers Babylon</t>
        </is>
      </c>
      <c r="F603" s="15" t="inlineStr">
        <is>
          <t>b4-0024</t>
        </is>
      </c>
      <c r="G603" s="15" t="inlineStr">
        <is>
          <t>Point</t>
        </is>
      </c>
      <c r="H603" s="15" t="inlineStr">
        <is>
          <t>539 B.C.E., Oct. 5 (Tishri 16)</t>
        </is>
      </c>
      <c r="I603" s="15" t="inlineStr">
        <is>
          <t>Babylon falls to the Medes and Persians</t>
        </is>
      </c>
      <c r="J603" s="15" t="n"/>
      <c r="K603" s="15" t="n"/>
      <c r="L603" s="15" t="n"/>
      <c r="M603" s="16" t="n"/>
    </row>
    <row r="604">
      <c r="A604" s="15" t="inlineStr">
        <is>
          <t>world-powers-daniel</t>
        </is>
      </c>
      <c r="B604" s="15" t="n">
        <v>9</v>
      </c>
      <c r="C604" s="15" t="inlineStr">
        <is>
          <t>step</t>
        </is>
      </c>
      <c r="D604" s="15" t="inlineStr">
        <is>
          <t>Medo-Persia</t>
        </is>
      </c>
      <c r="E604" s="15" t="inlineStr">
        <is>
          <t>537 B.C.E. Cyrus decrees return of Jews to Jerusalem</t>
        </is>
      </c>
      <c r="F604" s="15" t="inlineStr">
        <is>
          <t>b4-0027</t>
        </is>
      </c>
      <c r="G604" s="15" t="inlineStr">
        <is>
          <t>Point</t>
        </is>
      </c>
      <c r="H604" s="15" t="inlineStr">
        <is>
          <t>late 538 or early 537 B.C.E.</t>
        </is>
      </c>
      <c r="I604" s="15" t="inlineStr">
        <is>
          <t>Cyrus issues decree freeing the Jews</t>
        </is>
      </c>
      <c r="J604" s="15" t="n"/>
      <c r="K604" s="15" t="n"/>
      <c r="L604" s="15" t="inlineStr">
        <is>
          <t>The decree record is dated “late 538 or early 537 B.C.E.”; B9 shows 537 B.C.E.</t>
        </is>
      </c>
      <c r="M604" s="16" t="n"/>
    </row>
    <row r="605">
      <c r="A605" s="15" t="inlineStr">
        <is>
          <t>world-powers-daniel</t>
        </is>
      </c>
      <c r="B605" s="15" t="n">
        <v>10</v>
      </c>
      <c r="C605" s="15" t="inlineStr">
        <is>
          <t>fall</t>
        </is>
      </c>
      <c r="D605" s="15" t="inlineStr">
        <is>
          <t>Medo-Persia</t>
        </is>
      </c>
      <c r="E605" s="15" t="inlineStr">
        <is>
          <t>331 B.C.E. Alexander defeats Darius III at Gaugamela</t>
        </is>
      </c>
      <c r="F605" s="15" t="inlineStr">
        <is>
          <t>b4-0087</t>
        </is>
      </c>
      <c r="G605" s="15" t="inlineStr">
        <is>
          <t>Point</t>
        </is>
      </c>
      <c r="H605" s="15" t="inlineStr">
        <is>
          <t>331 B.C.E.</t>
        </is>
      </c>
      <c r="I605" s="15" t="inlineStr">
        <is>
          <t>Battle of Gaugamela: Persian Empire falls</t>
        </is>
      </c>
      <c r="J605" s="15" t="n"/>
      <c r="K605" s="15" t="n"/>
      <c r="L605" s="15" t="inlineStr">
        <is>
          <t>dp ch. 4 par. 16: this defeat ended the Medo-Persian World Power, the silver part of the image.</t>
        </is>
      </c>
      <c r="M605" s="16" t="n"/>
    </row>
    <row r="606">
      <c r="A606" s="15" t="inlineStr">
        <is>
          <t>world-powers-daniel</t>
        </is>
      </c>
      <c r="B606" s="15" t="n">
        <v>11</v>
      </c>
      <c r="C606" s="15" t="inlineStr">
        <is>
          <t>item</t>
        </is>
      </c>
      <c r="D606" s="15" t="inlineStr">
        <is>
          <t>Greece</t>
        </is>
      </c>
      <c r="E606" s="15" t="inlineStr">
        <is>
          <t>Greece</t>
        </is>
      </c>
      <c r="F606" s="15" t="inlineStr">
        <is>
          <t>b12-0037</t>
        </is>
      </c>
      <c r="G606" s="15" t="inlineStr">
        <is>
          <t>Span</t>
        </is>
      </c>
      <c r="H606" s="15" t="inlineStr">
        <is>
          <t>331 B.C.E.–30 B.C.E.</t>
        </is>
      </c>
      <c r="I606" s="15" t="inlineStr">
        <is>
          <t>Greece, fifth world power</t>
        </is>
      </c>
      <c r="J606" s="15" t="inlineStr">
        <is>
          <t>b4-0008, b4-0020, b11-0033</t>
        </is>
      </c>
      <c r="K606" s="15" t="n"/>
      <c r="L606" s="15" t="n"/>
      <c r="M606" s="16" t="n"/>
    </row>
    <row r="607">
      <c r="A607" s="15" t="inlineStr">
        <is>
          <t>world-powers-daniel</t>
        </is>
      </c>
      <c r="B607" s="15" t="n">
        <v>12</v>
      </c>
      <c r="C607" s="15" t="inlineStr">
        <is>
          <t>rise</t>
        </is>
      </c>
      <c r="D607" s="15" t="inlineStr">
        <is>
          <t>Greece</t>
        </is>
      </c>
      <c r="E607" s="15" t="inlineStr">
        <is>
          <t>331 B.C.E. Alexander the Great conquers Persia</t>
        </is>
      </c>
      <c r="F607" s="15" t="inlineStr">
        <is>
          <t>b4-0087</t>
        </is>
      </c>
      <c r="G607" s="15" t="inlineStr">
        <is>
          <t>Point</t>
        </is>
      </c>
      <c r="H607" s="15" t="inlineStr">
        <is>
          <t>331 B.C.E.</t>
        </is>
      </c>
      <c r="I607" s="15" t="inlineStr">
        <is>
          <t>Battle of Gaugamela: Persian Empire falls</t>
        </is>
      </c>
      <c r="J607" s="15" t="n"/>
      <c r="K607" s="15" t="n"/>
      <c r="L607" s="15" t="n"/>
      <c r="M607" s="16" t="n"/>
    </row>
    <row r="608">
      <c r="A608" s="15" t="inlineStr">
        <is>
          <t>world-powers-daniel</t>
        </is>
      </c>
      <c r="B608" s="15" t="n">
        <v>13</v>
      </c>
      <c r="C608" s="15" t="inlineStr">
        <is>
          <t>step</t>
        </is>
      </c>
      <c r="D608" s="15" t="inlineStr">
        <is>
          <t>Greece</t>
        </is>
      </c>
      <c r="E608" s="15" t="inlineStr">
        <is>
          <t>The great horn is broken: Alexander dies (323 B.C.E.)</t>
        </is>
      </c>
      <c r="F608" s="15" t="inlineStr">
        <is>
          <t>b4-0090</t>
        </is>
      </c>
      <c r="G608" s="15" t="inlineStr">
        <is>
          <t>Point</t>
        </is>
      </c>
      <c r="H608" s="15" t="inlineStr">
        <is>
          <t>323 B.C.E., June 13</t>
        </is>
      </c>
      <c r="I608" s="15" t="inlineStr">
        <is>
          <t>Death of Alexander the Great</t>
        </is>
      </c>
      <c r="J608" s="15" t="inlineStr">
        <is>
          <t>b11-0033</t>
        </is>
      </c>
      <c r="K608" s="15" t="inlineStr">
        <is>
          <t>Dan. 8:8, 21, 22</t>
        </is>
      </c>
      <c r="L608" s="15" t="n"/>
      <c r="M608" s="16" t="n"/>
    </row>
    <row r="609">
      <c r="A609" s="15" t="inlineStr">
        <is>
          <t>world-powers-daniel</t>
        </is>
      </c>
      <c r="B609" s="15" t="n">
        <v>14</v>
      </c>
      <c r="C609" s="15" t="inlineStr">
        <is>
          <t>step</t>
        </is>
      </c>
      <c r="D609" s="15" t="inlineStr">
        <is>
          <t>Greece</t>
        </is>
      </c>
      <c r="E609" s="15" t="inlineStr">
        <is>
          <t>Four kingdoms stand up in place of the great horn (301 B.C.E.)</t>
        </is>
      </c>
      <c r="F609" s="15" t="inlineStr">
        <is>
          <t>b4-0095</t>
        </is>
      </c>
      <c r="G609" s="15" t="inlineStr">
        <is>
          <t>Point</t>
        </is>
      </c>
      <c r="H609" s="15" t="inlineStr">
        <is>
          <t>301 B.C.E.</t>
        </is>
      </c>
      <c r="I609" s="15" t="inlineStr">
        <is>
          <t>Four of Alexander's generals divide the empire</t>
        </is>
      </c>
      <c r="J609" s="15" t="inlineStr">
        <is>
          <t>b11-0033</t>
        </is>
      </c>
      <c r="K609" s="15" t="inlineStr">
        <is>
          <t>Dan. 8:8, 22; Dan. 7:6</t>
        </is>
      </c>
      <c r="L609" s="15" t="n"/>
      <c r="M609" s="16" t="n"/>
    </row>
    <row r="610">
      <c r="A610" s="15" t="inlineStr">
        <is>
          <t>world-powers-daniel</t>
        </is>
      </c>
      <c r="B610" s="15" t="n">
        <v>15</v>
      </c>
      <c r="C610" s="15" t="inlineStr">
        <is>
          <t>fall</t>
        </is>
      </c>
      <c r="D610" s="15" t="inlineStr">
        <is>
          <t>Greece</t>
        </is>
      </c>
      <c r="E610" s="15" t="inlineStr">
        <is>
          <t>30 B.C.E. Ptolemaic Egypt, the last Hellenistic kingdom, falls to Rome</t>
        </is>
      </c>
      <c r="F610" s="15" t="inlineStr">
        <is>
          <t>b4-0131</t>
        </is>
      </c>
      <c r="G610" s="15" t="inlineStr">
        <is>
          <t>Point</t>
        </is>
      </c>
      <c r="H610" s="15" t="inlineStr">
        <is>
          <t>30 B.C.E.</t>
        </is>
      </c>
      <c r="I610" s="15" t="inlineStr">
        <is>
          <t>Ptolemaic Egypt falls to Rome</t>
        </is>
      </c>
      <c r="J610" s="15" t="n"/>
      <c r="K610" s="15" t="n"/>
      <c r="L610" s="15" t="inlineStr">
        <is>
          <t>dp ch. 4 par. 20: the copperlike world power continued only until 30 B.C.E.</t>
        </is>
      </c>
      <c r="M610" s="16" t="n"/>
    </row>
    <row r="611">
      <c r="A611" s="15" t="inlineStr">
        <is>
          <t>world-powers-daniel</t>
        </is>
      </c>
      <c r="B611" s="15" t="n">
        <v>16</v>
      </c>
      <c r="C611" s="15" t="inlineStr">
        <is>
          <t>item</t>
        </is>
      </c>
      <c r="D611" s="15" t="inlineStr">
        <is>
          <t>Rome</t>
        </is>
      </c>
      <c r="E611" s="15" t="inlineStr">
        <is>
          <t>Rome</t>
        </is>
      </c>
      <c r="F611" s="15" t="inlineStr">
        <is>
          <t>b12-0040</t>
        </is>
      </c>
      <c r="G611" s="15" t="inlineStr">
        <is>
          <t>Span</t>
        </is>
      </c>
      <c r="H611" s="15" t="inlineStr">
        <is>
          <t>30 B.C.E.–(end not dated)</t>
        </is>
      </c>
      <c r="I611" s="15" t="inlineStr">
        <is>
          <t>Rome, sixth world power</t>
        </is>
      </c>
      <c r="J611" s="15" t="inlineStr">
        <is>
          <t>b4-0008, b4-0020</t>
        </is>
      </c>
      <c r="K611" s="15" t="n"/>
      <c r="L611" s="15" t="inlineStr">
        <is>
          <t>The span record starts in 30 B.C.E. (dp chart “ROME from 30 B.C.E.”); B9 marks 63 B.C.E., when Rome rules over Israel.</t>
        </is>
      </c>
      <c r="M611" s="16" t="n"/>
    </row>
    <row r="612">
      <c r="A612" s="15" t="inlineStr">
        <is>
          <t>world-powers-daniel</t>
        </is>
      </c>
      <c r="B612" s="15" t="n">
        <v>17</v>
      </c>
      <c r="C612" s="15" t="inlineStr">
        <is>
          <t>rise</t>
        </is>
      </c>
      <c r="D612" s="15" t="inlineStr">
        <is>
          <t>Rome</t>
        </is>
      </c>
      <c r="E612" s="15" t="inlineStr">
        <is>
          <t>63 B.C.E. Rules over Israel</t>
        </is>
      </c>
      <c r="F612" s="15" t="inlineStr">
        <is>
          <t>b4-0122</t>
        </is>
      </c>
      <c r="G612" s="15" t="inlineStr">
        <is>
          <t>Point</t>
        </is>
      </c>
      <c r="H612" s="15" t="inlineStr">
        <is>
          <t>63 B.C.E.</t>
        </is>
      </c>
      <c r="I612" s="15" t="inlineStr">
        <is>
          <t>Pompey takes Jerusalem; Rome rules</t>
        </is>
      </c>
      <c r="J612" s="15" t="n"/>
      <c r="K612" s="15" t="n"/>
      <c r="L612" s="15" t="n"/>
      <c r="M612" s="16" t="n"/>
    </row>
    <row r="613">
      <c r="A613" s="15" t="inlineStr">
        <is>
          <t>world-powers-daniel</t>
        </is>
      </c>
      <c r="B613" s="15" t="n">
        <v>18</v>
      </c>
      <c r="C613" s="15" t="inlineStr">
        <is>
          <t>step</t>
        </is>
      </c>
      <c r="D613" s="15" t="inlineStr">
        <is>
          <t>Rome</t>
        </is>
      </c>
      <c r="E613" s="15" t="inlineStr">
        <is>
          <t>70 C.E. Destroys Jerusalem</t>
        </is>
      </c>
      <c r="F613" s="15" t="inlineStr">
        <is>
          <t>b6-0096</t>
        </is>
      </c>
      <c r="G613" s="15" t="inlineStr">
        <is>
          <t>Point</t>
        </is>
      </c>
      <c r="H613" s="15" t="inlineStr">
        <is>
          <t>70 C.E. (conquest completed August 30)</t>
        </is>
      </c>
      <c r="I613" s="15" t="inlineStr">
        <is>
          <t>Jerusalem and its temple destroyed by the Romans</t>
        </is>
      </c>
      <c r="J613" s="15" t="n"/>
      <c r="K613" s="15" t="n"/>
      <c r="L613" s="15" t="n"/>
      <c r="M613" s="16" t="n"/>
    </row>
    <row r="614">
      <c r="A614" s="15" t="inlineStr">
        <is>
          <t>world-powers-daniel</t>
        </is>
      </c>
      <c r="B614" s="15" t="n">
        <v>19</v>
      </c>
      <c r="C614" s="15" t="inlineStr">
        <is>
          <t>item</t>
        </is>
      </c>
      <c r="D614" s="15" t="inlineStr">
        <is>
          <t>Anglo-America</t>
        </is>
      </c>
      <c r="E614" s="15" t="inlineStr">
        <is>
          <t>Anglo-America</t>
        </is>
      </c>
      <c r="F614" s="15" t="inlineStr">
        <is>
          <t>b12-0066</t>
        </is>
      </c>
      <c r="G614" s="15" t="inlineStr">
        <is>
          <t>Span</t>
        </is>
      </c>
      <c r="H614" s="15" t="inlineStr">
        <is>
          <t>1914-1918 C.E.–</t>
        </is>
      </c>
      <c r="I614" s="15" t="inlineStr">
        <is>
          <t>Anglo-American dual world power, seventh world power</t>
        </is>
      </c>
      <c r="J614" s="15" t="inlineStr">
        <is>
          <t>b4-0008, b4-0020, b11-0033</t>
        </is>
      </c>
      <c r="K614" s="15" t="n"/>
      <c r="L614" s="15" t="n"/>
      <c r="M614" s="16" t="n"/>
    </row>
    <row r="615">
      <c r="A615" s="15" t="inlineStr">
        <is>
          <t>world-powers-daniel</t>
        </is>
      </c>
      <c r="B615" s="15" t="n">
        <v>20</v>
      </c>
      <c r="C615" s="15" t="inlineStr">
        <is>
          <t>rise</t>
        </is>
      </c>
      <c r="D615" s="15" t="inlineStr">
        <is>
          <t>Anglo-America</t>
        </is>
      </c>
      <c r="E615" s="15" t="inlineStr">
        <is>
          <t>1914-1918 C.E. During World War I, Anglo-American World Power comes into being</t>
        </is>
      </c>
      <c r="F615" s="15" t="inlineStr">
        <is>
          <t>b12-0068</t>
        </is>
      </c>
      <c r="G615" s="15" t="inlineStr">
        <is>
          <t>Span</t>
        </is>
      </c>
      <c r="H615" s="15" t="inlineStr">
        <is>
          <t>1914-1918</t>
        </is>
      </c>
      <c r="I615" s="15" t="inlineStr">
        <is>
          <t>World War I</t>
        </is>
      </c>
      <c r="J615" s="15" t="n"/>
      <c r="K615" s="15" t="n"/>
      <c r="L615" s="15" t="n"/>
      <c r="M615" s="16" t="n"/>
    </row>
    <row r="616">
      <c r="A616" s="15" t="inlineStr">
        <is>
          <t>world-powers-daniel</t>
        </is>
      </c>
      <c r="B616" s="15" t="n">
        <v>21</v>
      </c>
      <c r="C616" s="15" t="inlineStr">
        <is>
          <t>fulfillment</t>
        </is>
      </c>
      <c r="D616" s="15" t="inlineStr">
        <is>
          <t>The stone cut out of the mountain: God’s Kingdom</t>
        </is>
      </c>
      <c r="E616" s="15" t="inlineStr">
        <is>
          <t>October 1914: the Messianic Kingdom “stone” is cut out of the “mountain” of Jehovah’s universal sovereignty</t>
        </is>
      </c>
      <c r="F616" s="15" t="inlineStr">
        <is>
          <t>b10-0002</t>
        </is>
      </c>
      <c r="G616" s="15" t="inlineStr">
        <is>
          <t>Point</t>
        </is>
      </c>
      <c r="H616" s="15" t="inlineStr">
        <is>
          <t>1914</t>
        </is>
      </c>
      <c r="I616" s="15" t="inlineStr">
        <is>
          <t>God's Kingdom born in heaven; Christ begins ruling as King</t>
        </is>
      </c>
      <c r="J616" s="15" t="inlineStr">
        <is>
          <t>b4-0008</t>
        </is>
      </c>
      <c r="K616" s="15" t="inlineStr">
        <is>
          <t>Dan. 2:34, 44, 45</t>
        </is>
      </c>
      <c r="L616" s="15" t="n"/>
      <c r="M616" s="16" t="n"/>
    </row>
    <row r="617">
      <c r="A617" s="15" t="inlineStr">
        <is>
          <t>world-powers-daniel</t>
        </is>
      </c>
      <c r="B617" s="15" t="n">
        <v>22</v>
      </c>
      <c r="C617" s="15" t="inlineStr">
        <is>
          <t>future fulfillment</t>
        </is>
      </c>
      <c r="D617" s="15" t="inlineStr">
        <is>
          <t>The stone cut out of the mountain: God’s Kingdom</t>
        </is>
      </c>
      <c r="E617" s="15" t="inlineStr">
        <is>
          <t>At Armageddon the “stone” strikes the image on its feet and crushes all these kingdoms</t>
        </is>
      </c>
      <c r="F617" s="15" t="inlineStr">
        <is>
          <t>b10-0017</t>
        </is>
      </c>
      <c r="G617" s="15" t="inlineStr">
        <is>
          <t>Point</t>
        </is>
      </c>
      <c r="H617" s="15" t="inlineStr">
        <is>
          <t>Future (undated)</t>
        </is>
      </c>
      <c r="I617" s="15" t="inlineStr">
        <is>
          <t>War of Armageddon: the finale of the great tribulation</t>
        </is>
      </c>
      <c r="J617" s="15" t="inlineStr">
        <is>
          <t>b4-0008</t>
        </is>
      </c>
      <c r="K617" s="15" t="inlineStr">
        <is>
          <t>Dan. 2:34, 35, 44, 45; Rev. 16:14, 16</t>
        </is>
      </c>
      <c r="L617" s="15" t="inlineStr">
        <is>
          <t>w12 6/15 p. 17 box: Dan. 2:44 refers to the kingdoms pictured by the image; Revelation shows that all other human governments will also be destroyed at Armageddon.</t>
        </is>
      </c>
      <c r="M617" s="16" t="n"/>
    </row>
    <row r="618">
      <c r="A618" s="15" t="inlineStr">
        <is>
          <t>bible-books-written</t>
        </is>
      </c>
      <c r="B618" s="15" t="n">
        <v>1</v>
      </c>
      <c r="C618" s="15" t="inlineStr">
        <is>
          <t>item</t>
        </is>
      </c>
      <c r="D618" s="15" t="n"/>
      <c r="E618" s="15" t="inlineStr">
        <is>
          <t>Writing of Genesis completed</t>
        </is>
      </c>
      <c r="F618" s="15" t="inlineStr">
        <is>
          <t>b11-0002</t>
        </is>
      </c>
      <c r="G618" s="15" t="inlineStr">
        <is>
          <t>Point</t>
        </is>
      </c>
      <c r="H618" s="15" t="inlineStr">
        <is>
          <t>1513 B.C.E.</t>
        </is>
      </c>
      <c r="I618" s="15" t="inlineStr">
        <is>
          <t>Writing of Genesis completed</t>
        </is>
      </c>
      <c r="J618" s="15" t="n"/>
      <c r="K618" s="15" t="n"/>
      <c r="L618" s="15" t="n"/>
      <c r="M618" s="16" t="n"/>
    </row>
    <row r="619">
      <c r="A619" s="15" t="inlineStr">
        <is>
          <t>bible-books-written</t>
        </is>
      </c>
      <c r="B619" s="15" t="n">
        <v>2</v>
      </c>
      <c r="C619" s="15" t="inlineStr">
        <is>
          <t>item</t>
        </is>
      </c>
      <c r="D619" s="15" t="n"/>
      <c r="E619" s="15" t="inlineStr">
        <is>
          <t>Writing of Exodus completed</t>
        </is>
      </c>
      <c r="F619" s="15" t="inlineStr">
        <is>
          <t>b11-0003</t>
        </is>
      </c>
      <c r="G619" s="15" t="inlineStr">
        <is>
          <t>Point</t>
        </is>
      </c>
      <c r="H619" s="15" t="inlineStr">
        <is>
          <t>1512 B.C.E.</t>
        </is>
      </c>
      <c r="I619" s="15" t="inlineStr">
        <is>
          <t>Writing of Exodus completed</t>
        </is>
      </c>
      <c r="J619" s="15" t="n"/>
      <c r="K619" s="15" t="n"/>
      <c r="L619" s="15" t="n"/>
      <c r="M619" s="16" t="n"/>
    </row>
    <row r="620">
      <c r="A620" s="15" t="inlineStr">
        <is>
          <t>bible-books-written</t>
        </is>
      </c>
      <c r="B620" s="15" t="n">
        <v>3</v>
      </c>
      <c r="C620" s="15" t="inlineStr">
        <is>
          <t>item</t>
        </is>
      </c>
      <c r="D620" s="15" t="n"/>
      <c r="E620" s="15" t="inlineStr">
        <is>
          <t>Writing of Leviticus completed</t>
        </is>
      </c>
      <c r="F620" s="15" t="inlineStr">
        <is>
          <t>b11-0004</t>
        </is>
      </c>
      <c r="G620" s="15" t="inlineStr">
        <is>
          <t>Point</t>
        </is>
      </c>
      <c r="H620" s="15" t="inlineStr">
        <is>
          <t>1512 B.C.E.</t>
        </is>
      </c>
      <c r="I620" s="15" t="inlineStr">
        <is>
          <t>Writing of Leviticus completed</t>
        </is>
      </c>
      <c r="J620" s="15" t="n"/>
      <c r="K620" s="15" t="n"/>
      <c r="L620" s="15" t="n"/>
      <c r="M620" s="16" t="n"/>
    </row>
    <row r="621">
      <c r="A621" s="15" t="inlineStr">
        <is>
          <t>bible-books-written</t>
        </is>
      </c>
      <c r="B621" s="15" t="n">
        <v>4</v>
      </c>
      <c r="C621" s="15" t="inlineStr">
        <is>
          <t>item</t>
        </is>
      </c>
      <c r="D621" s="15" t="n"/>
      <c r="E621" s="15" t="inlineStr">
        <is>
          <t>Writing of Numbers completed</t>
        </is>
      </c>
      <c r="F621" s="15" t="inlineStr">
        <is>
          <t>b11-0005</t>
        </is>
      </c>
      <c r="G621" s="15" t="inlineStr">
        <is>
          <t>Point</t>
        </is>
      </c>
      <c r="H621" s="15" t="inlineStr">
        <is>
          <t>1473 B.C.E.</t>
        </is>
      </c>
      <c r="I621" s="15" t="inlineStr">
        <is>
          <t>Writing of Numbers completed</t>
        </is>
      </c>
      <c r="J621" s="15" t="n"/>
      <c r="K621" s="15" t="n"/>
      <c r="L621" s="15" t="n"/>
      <c r="M621" s="16" t="n"/>
    </row>
    <row r="622">
      <c r="A622" s="15" t="inlineStr">
        <is>
          <t>bible-books-written</t>
        </is>
      </c>
      <c r="B622" s="15" t="n">
        <v>5</v>
      </c>
      <c r="C622" s="15" t="inlineStr">
        <is>
          <t>item</t>
        </is>
      </c>
      <c r="D622" s="15" t="n"/>
      <c r="E622" s="15" t="inlineStr">
        <is>
          <t>Writing of Deuteronomy completed</t>
        </is>
      </c>
      <c r="F622" s="15" t="inlineStr">
        <is>
          <t>b11-0006</t>
        </is>
      </c>
      <c r="G622" s="15" t="inlineStr">
        <is>
          <t>Point</t>
        </is>
      </c>
      <c r="H622" s="15" t="inlineStr">
        <is>
          <t>1473 B.C.E.</t>
        </is>
      </c>
      <c r="I622" s="15" t="inlineStr">
        <is>
          <t>Writing of Deuteronomy completed</t>
        </is>
      </c>
      <c r="J622" s="15" t="n"/>
      <c r="K622" s="15" t="n"/>
      <c r="L622" s="15" t="n"/>
      <c r="M622" s="16" t="n"/>
    </row>
    <row r="623">
      <c r="A623" s="15" t="inlineStr">
        <is>
          <t>bible-books-written</t>
        </is>
      </c>
      <c r="B623" s="15" t="n">
        <v>6</v>
      </c>
      <c r="C623" s="15" t="inlineStr">
        <is>
          <t>item</t>
        </is>
      </c>
      <c r="D623" s="15" t="n"/>
      <c r="E623" s="15" t="inlineStr">
        <is>
          <t>Writing of Joshua completed</t>
        </is>
      </c>
      <c r="F623" s="15" t="inlineStr">
        <is>
          <t>b11-0009</t>
        </is>
      </c>
      <c r="G623" s="15" t="inlineStr">
        <is>
          <t>Point</t>
        </is>
      </c>
      <c r="H623" s="15" t="inlineStr">
        <is>
          <t>c. 1450 B.C.E.</t>
        </is>
      </c>
      <c r="I623" s="15" t="inlineStr">
        <is>
          <t>Writing of Joshua completed</t>
        </is>
      </c>
      <c r="J623" s="15" t="n"/>
      <c r="K623" s="15" t="n"/>
      <c r="L623" s="15" t="n"/>
      <c r="M623" s="16" t="n"/>
    </row>
    <row r="624">
      <c r="A624" s="15" t="inlineStr">
        <is>
          <t>bible-books-written</t>
        </is>
      </c>
      <c r="B624" s="15" t="n">
        <v>7</v>
      </c>
      <c r="C624" s="15" t="inlineStr">
        <is>
          <t>item</t>
        </is>
      </c>
      <c r="D624" s="15" t="n"/>
      <c r="E624" s="15" t="inlineStr">
        <is>
          <t>Writing of Judges completed</t>
        </is>
      </c>
      <c r="F624" s="15" t="inlineStr">
        <is>
          <t>b11-0011</t>
        </is>
      </c>
      <c r="G624" s="15" t="inlineStr">
        <is>
          <t>Point</t>
        </is>
      </c>
      <c r="H624" s="15" t="inlineStr">
        <is>
          <t>c. 1100 B.C.E.</t>
        </is>
      </c>
      <c r="I624" s="15" t="inlineStr">
        <is>
          <t>Writing of Judges completed</t>
        </is>
      </c>
      <c r="J624" s="15" t="n"/>
      <c r="K624" s="15" t="n"/>
      <c r="L624" s="15" t="n"/>
      <c r="M624" s="16" t="n"/>
    </row>
    <row r="625">
      <c r="A625" s="15" t="inlineStr">
        <is>
          <t>bible-books-written</t>
        </is>
      </c>
      <c r="B625" s="15" t="n">
        <v>8</v>
      </c>
      <c r="C625" s="15" t="inlineStr">
        <is>
          <t>item</t>
        </is>
      </c>
      <c r="D625" s="15" t="n"/>
      <c r="E625" s="15" t="inlineStr">
        <is>
          <t>Writing of Ruth completed</t>
        </is>
      </c>
      <c r="F625" s="15" t="inlineStr">
        <is>
          <t>b11-0012</t>
        </is>
      </c>
      <c r="G625" s="15" t="inlineStr">
        <is>
          <t>Point</t>
        </is>
      </c>
      <c r="H625" s="15" t="inlineStr">
        <is>
          <t>c. 1090 B.C.E.</t>
        </is>
      </c>
      <c r="I625" s="15" t="inlineStr">
        <is>
          <t>Writing of Ruth completed</t>
        </is>
      </c>
      <c r="J625" s="15" t="n"/>
      <c r="K625" s="15" t="n"/>
      <c r="L625" s="15" t="n"/>
      <c r="M625" s="16" t="n"/>
    </row>
    <row r="626">
      <c r="A626" s="15" t="inlineStr">
        <is>
          <t>bible-books-written</t>
        </is>
      </c>
      <c r="B626" s="15" t="n">
        <v>9</v>
      </c>
      <c r="C626" s="15" t="inlineStr">
        <is>
          <t>item</t>
        </is>
      </c>
      <c r="D626" s="15" t="n"/>
      <c r="E626" s="15" t="inlineStr">
        <is>
          <t>Writing of 1 Samuel completed</t>
        </is>
      </c>
      <c r="F626" s="15" t="inlineStr">
        <is>
          <t>b11-0013</t>
        </is>
      </c>
      <c r="G626" s="15" t="inlineStr">
        <is>
          <t>Point</t>
        </is>
      </c>
      <c r="H626" s="15" t="inlineStr">
        <is>
          <t>c. 1078 B.C.E.</t>
        </is>
      </c>
      <c r="I626" s="15" t="inlineStr">
        <is>
          <t>Writing of 1 Samuel completed</t>
        </is>
      </c>
      <c r="J626" s="15" t="n"/>
      <c r="K626" s="15" t="n"/>
      <c r="L626" s="15" t="n"/>
      <c r="M626" s="16" t="n"/>
    </row>
    <row r="627">
      <c r="A627" s="15" t="inlineStr">
        <is>
          <t>bible-books-written</t>
        </is>
      </c>
      <c r="B627" s="15" t="n">
        <v>10</v>
      </c>
      <c r="C627" s="15" t="inlineStr">
        <is>
          <t>item</t>
        </is>
      </c>
      <c r="D627" s="15" t="n"/>
      <c r="E627" s="15" t="inlineStr">
        <is>
          <t>Writing of 2 Samuel completed</t>
        </is>
      </c>
      <c r="F627" s="15" t="inlineStr">
        <is>
          <t>b11-0014</t>
        </is>
      </c>
      <c r="G627" s="15" t="inlineStr">
        <is>
          <t>Point</t>
        </is>
      </c>
      <c r="H627" s="15" t="inlineStr">
        <is>
          <t>c. 1040 B.C.E.</t>
        </is>
      </c>
      <c r="I627" s="15" t="inlineStr">
        <is>
          <t>Writing of 2 Samuel completed</t>
        </is>
      </c>
      <c r="J627" s="15" t="n"/>
      <c r="K627" s="15" t="n"/>
      <c r="L627" s="15" t="n"/>
      <c r="M627" s="16" t="n"/>
    </row>
    <row r="628">
      <c r="A628" s="15" t="inlineStr">
        <is>
          <t>bible-books-written</t>
        </is>
      </c>
      <c r="B628" s="15" t="n">
        <v>11</v>
      </c>
      <c r="C628" s="15" t="inlineStr">
        <is>
          <t>item</t>
        </is>
      </c>
      <c r="D628" s="15" t="n"/>
      <c r="E628" s="15" t="inlineStr">
        <is>
          <t>Writing of 1 Kings completed</t>
        </is>
      </c>
      <c r="F628" s="15" t="inlineStr">
        <is>
          <t>b11-0030</t>
        </is>
      </c>
      <c r="G628" s="15" t="inlineStr">
        <is>
          <t>Point</t>
        </is>
      </c>
      <c r="H628" s="15" t="inlineStr">
        <is>
          <t>580 B.C.E.</t>
        </is>
      </c>
      <c r="I628" s="15" t="inlineStr">
        <is>
          <t>Writing of 1 Kings completed</t>
        </is>
      </c>
      <c r="J628" s="15" t="n"/>
      <c r="K628" s="15" t="n"/>
      <c r="L628" s="15" t="n"/>
      <c r="M628" s="16" t="n"/>
    </row>
    <row r="629">
      <c r="A629" s="15" t="inlineStr">
        <is>
          <t>bible-books-written</t>
        </is>
      </c>
      <c r="B629" s="15" t="n">
        <v>12</v>
      </c>
      <c r="C629" s="15" t="inlineStr">
        <is>
          <t>item</t>
        </is>
      </c>
      <c r="D629" s="15" t="n"/>
      <c r="E629" s="15" t="inlineStr">
        <is>
          <t>Writing of 2 Kings completed</t>
        </is>
      </c>
      <c r="F629" s="15" t="inlineStr">
        <is>
          <t>b11-0031</t>
        </is>
      </c>
      <c r="G629" s="15" t="inlineStr">
        <is>
          <t>Point</t>
        </is>
      </c>
      <c r="H629" s="15" t="inlineStr">
        <is>
          <t>580 B.C.E.</t>
        </is>
      </c>
      <c r="I629" s="15" t="inlineStr">
        <is>
          <t>Writing of 2 Kings completed</t>
        </is>
      </c>
      <c r="J629" s="15" t="n"/>
      <c r="K629" s="15" t="n"/>
      <c r="L629" s="15" t="n"/>
      <c r="M629" s="16" t="n"/>
    </row>
    <row r="630">
      <c r="A630" s="15" t="inlineStr">
        <is>
          <t>bible-books-written</t>
        </is>
      </c>
      <c r="B630" s="15" t="n">
        <v>13</v>
      </c>
      <c r="C630" s="15" t="inlineStr">
        <is>
          <t>item</t>
        </is>
      </c>
      <c r="D630" s="15" t="n"/>
      <c r="E630" s="15" t="inlineStr">
        <is>
          <t>Writing of 1 Chronicles completed</t>
        </is>
      </c>
      <c r="F630" s="15" t="inlineStr">
        <is>
          <t>b11-0037</t>
        </is>
      </c>
      <c r="G630" s="15" t="inlineStr">
        <is>
          <t>Point</t>
        </is>
      </c>
      <c r="H630" s="15" t="inlineStr">
        <is>
          <t>c. 460 B.C.E.</t>
        </is>
      </c>
      <c r="I630" s="15" t="inlineStr">
        <is>
          <t>Writing of 1 Chronicles completed</t>
        </is>
      </c>
      <c r="J630" s="15" t="n"/>
      <c r="K630" s="15" t="n"/>
      <c r="L630" s="15" t="n"/>
      <c r="M630" s="16" t="n"/>
    </row>
    <row r="631">
      <c r="A631" s="15" t="inlineStr">
        <is>
          <t>bible-books-written</t>
        </is>
      </c>
      <c r="B631" s="15" t="n">
        <v>14</v>
      </c>
      <c r="C631" s="15" t="inlineStr">
        <is>
          <t>item</t>
        </is>
      </c>
      <c r="D631" s="15" t="n"/>
      <c r="E631" s="15" t="inlineStr">
        <is>
          <t>Writing of 2 Chronicles completed</t>
        </is>
      </c>
      <c r="F631" s="15" t="inlineStr">
        <is>
          <t>b11-0038</t>
        </is>
      </c>
      <c r="G631" s="15" t="inlineStr">
        <is>
          <t>Point</t>
        </is>
      </c>
      <c r="H631" s="15" t="inlineStr">
        <is>
          <t>c. 460 B.C.E.</t>
        </is>
      </c>
      <c r="I631" s="15" t="inlineStr">
        <is>
          <t>Writing of 2 Chronicles completed</t>
        </is>
      </c>
      <c r="J631" s="15" t="n"/>
      <c r="K631" s="15" t="n"/>
      <c r="L631" s="15" t="n"/>
      <c r="M631" s="16" t="n"/>
    </row>
    <row r="632">
      <c r="A632" s="15" t="inlineStr">
        <is>
          <t>bible-books-written</t>
        </is>
      </c>
      <c r="B632" s="15" t="n">
        <v>15</v>
      </c>
      <c r="C632" s="15" t="inlineStr">
        <is>
          <t>item</t>
        </is>
      </c>
      <c r="D632" s="15" t="n"/>
      <c r="E632" s="15" t="inlineStr">
        <is>
          <t>Writing of Ezra completed</t>
        </is>
      </c>
      <c r="F632" s="15" t="inlineStr">
        <is>
          <t>b11-0039</t>
        </is>
      </c>
      <c r="G632" s="15" t="inlineStr">
        <is>
          <t>Point</t>
        </is>
      </c>
      <c r="H632" s="15" t="inlineStr">
        <is>
          <t>c. 460 B.C.E.</t>
        </is>
      </c>
      <c r="I632" s="15" t="inlineStr">
        <is>
          <t>Writing of Ezra completed</t>
        </is>
      </c>
      <c r="J632" s="15" t="n"/>
      <c r="K632" s="15" t="n"/>
      <c r="L632" s="15" t="n"/>
      <c r="M632" s="16" t="n"/>
    </row>
    <row r="633">
      <c r="A633" s="15" t="inlineStr">
        <is>
          <t>bible-books-written</t>
        </is>
      </c>
      <c r="B633" s="15" t="n">
        <v>16</v>
      </c>
      <c r="C633" s="15" t="inlineStr">
        <is>
          <t>item</t>
        </is>
      </c>
      <c r="D633" s="15" t="n"/>
      <c r="E633" s="15" t="inlineStr">
        <is>
          <t>Writing of Nehemiah completed</t>
        </is>
      </c>
      <c r="F633" s="15" t="inlineStr">
        <is>
          <t>b11-0041</t>
        </is>
      </c>
      <c r="G633" s="15" t="inlineStr">
        <is>
          <t>Point</t>
        </is>
      </c>
      <c r="H633" s="15" t="inlineStr">
        <is>
          <t>a. 443 B.C.E.</t>
        </is>
      </c>
      <c r="I633" s="15" t="inlineStr">
        <is>
          <t>Writing of Nehemiah completed</t>
        </is>
      </c>
      <c r="J633" s="15" t="n"/>
      <c r="K633" s="15" t="n"/>
      <c r="L633" s="15" t="n"/>
      <c r="M633" s="16" t="n"/>
    </row>
    <row r="634">
      <c r="A634" s="15" t="inlineStr">
        <is>
          <t>bible-books-written</t>
        </is>
      </c>
      <c r="B634" s="15" t="n">
        <v>17</v>
      </c>
      <c r="C634" s="15" t="inlineStr">
        <is>
          <t>item</t>
        </is>
      </c>
      <c r="D634" s="15" t="n"/>
      <c r="E634" s="15" t="inlineStr">
        <is>
          <t>Writing of Esther completed</t>
        </is>
      </c>
      <c r="F634" s="15" t="inlineStr">
        <is>
          <t>b11-0036</t>
        </is>
      </c>
      <c r="G634" s="15" t="inlineStr">
        <is>
          <t>Point</t>
        </is>
      </c>
      <c r="H634" s="15" t="inlineStr">
        <is>
          <t>c. 475 B.C.E.</t>
        </is>
      </c>
      <c r="I634" s="15" t="inlineStr">
        <is>
          <t>Writing of Esther completed</t>
        </is>
      </c>
      <c r="J634" s="15" t="n"/>
      <c r="K634" s="15" t="n"/>
      <c r="L634" s="15" t="n"/>
      <c r="M634" s="16" t="n"/>
    </row>
    <row r="635">
      <c r="A635" s="15" t="inlineStr">
        <is>
          <t>bible-books-written</t>
        </is>
      </c>
      <c r="B635" s="15" t="n">
        <v>18</v>
      </c>
      <c r="C635" s="15" t="inlineStr">
        <is>
          <t>item</t>
        </is>
      </c>
      <c r="D635" s="15" t="n"/>
      <c r="E635" s="15" t="inlineStr">
        <is>
          <t>Writing of Job completed</t>
        </is>
      </c>
      <c r="F635" s="15" t="inlineStr">
        <is>
          <t>b11-0007</t>
        </is>
      </c>
      <c r="G635" s="15" t="inlineStr">
        <is>
          <t>Point</t>
        </is>
      </c>
      <c r="H635" s="15" t="inlineStr">
        <is>
          <t>c. 1473 B.C.E.</t>
        </is>
      </c>
      <c r="I635" s="15" t="inlineStr">
        <is>
          <t>Writing of Job completed</t>
        </is>
      </c>
      <c r="J635" s="15" t="n"/>
      <c r="K635" s="15" t="n"/>
      <c r="L635" s="15" t="n"/>
      <c r="M635" s="16" t="n"/>
    </row>
    <row r="636">
      <c r="A636" s="15" t="inlineStr">
        <is>
          <t>bible-books-written</t>
        </is>
      </c>
      <c r="B636" s="15" t="n">
        <v>19</v>
      </c>
      <c r="C636" s="15" t="inlineStr">
        <is>
          <t>item</t>
        </is>
      </c>
      <c r="D636" s="15" t="n"/>
      <c r="E636" s="15" t="inlineStr">
        <is>
          <t>Writing of Psalms completed</t>
        </is>
      </c>
      <c r="F636" s="15" t="inlineStr">
        <is>
          <t>b11-0040</t>
        </is>
      </c>
      <c r="G636" s="15" t="inlineStr">
        <is>
          <t>Point</t>
        </is>
      </c>
      <c r="H636" s="15" t="inlineStr">
        <is>
          <t>c. 460 B.C.E.</t>
        </is>
      </c>
      <c r="I636" s="15" t="inlineStr">
        <is>
          <t>Writing of Psalms completed</t>
        </is>
      </c>
      <c r="J636" s="15" t="n"/>
      <c r="K636" s="15" t="n"/>
      <c r="L636" s="15" t="n"/>
      <c r="M636" s="16" t="n"/>
    </row>
    <row r="637">
      <c r="A637" s="15" t="inlineStr">
        <is>
          <t>bible-books-written</t>
        </is>
      </c>
      <c r="B637" s="15" t="n">
        <v>20</v>
      </c>
      <c r="C637" s="15" t="inlineStr">
        <is>
          <t>item</t>
        </is>
      </c>
      <c r="D637" s="15" t="n"/>
      <c r="E637" s="15" t="inlineStr">
        <is>
          <t>Writing of Proverbs completed</t>
        </is>
      </c>
      <c r="F637" s="15" t="inlineStr">
        <is>
          <t>b11-0023</t>
        </is>
      </c>
      <c r="G637" s="15" t="inlineStr">
        <is>
          <t>Point</t>
        </is>
      </c>
      <c r="H637" s="15" t="inlineStr">
        <is>
          <t>c. 717 B.C.E.</t>
        </is>
      </c>
      <c r="I637" s="15" t="inlineStr">
        <is>
          <t>Writing of Proverbs completed</t>
        </is>
      </c>
      <c r="J637" s="15" t="n"/>
      <c r="K637" s="15" t="n"/>
      <c r="L637" s="15" t="n"/>
      <c r="M637" s="16" t="n"/>
    </row>
    <row r="638">
      <c r="A638" s="15" t="inlineStr">
        <is>
          <t>bible-books-written</t>
        </is>
      </c>
      <c r="B638" s="15" t="n">
        <v>21</v>
      </c>
      <c r="C638" s="15" t="inlineStr">
        <is>
          <t>item</t>
        </is>
      </c>
      <c r="D638" s="15" t="n"/>
      <c r="E638" s="15" t="inlineStr">
        <is>
          <t>Writing of Ecclesiastes completed</t>
        </is>
      </c>
      <c r="F638" s="15" t="inlineStr">
        <is>
          <t>b11-0016</t>
        </is>
      </c>
      <c r="G638" s="15" t="inlineStr">
        <is>
          <t>Point</t>
        </is>
      </c>
      <c r="H638" s="15" t="inlineStr">
        <is>
          <t>b. 1000 B.C.E.</t>
        </is>
      </c>
      <c r="I638" s="15" t="inlineStr">
        <is>
          <t>Writing of Ecclesiastes completed</t>
        </is>
      </c>
      <c r="J638" s="15" t="n"/>
      <c r="K638" s="15" t="n"/>
      <c r="L638" s="15" t="n"/>
      <c r="M638" s="16" t="n"/>
    </row>
    <row r="639">
      <c r="A639" s="15" t="inlineStr">
        <is>
          <t>bible-books-written</t>
        </is>
      </c>
      <c r="B639" s="15" t="n">
        <v>22</v>
      </c>
      <c r="C639" s="15" t="inlineStr">
        <is>
          <t>item</t>
        </is>
      </c>
      <c r="D639" s="15" t="n"/>
      <c r="E639" s="15" t="inlineStr">
        <is>
          <t>Writing of Song of Solomon completed</t>
        </is>
      </c>
      <c r="F639" s="15" t="inlineStr">
        <is>
          <t>b11-0015</t>
        </is>
      </c>
      <c r="G639" s="15" t="inlineStr">
        <is>
          <t>Point</t>
        </is>
      </c>
      <c r="H639" s="15" t="inlineStr">
        <is>
          <t>c. 1020 B.C.E.</t>
        </is>
      </c>
      <c r="I639" s="15" t="inlineStr">
        <is>
          <t>Writing of Song of Solomon completed</t>
        </is>
      </c>
      <c r="J639" s="15" t="n"/>
      <c r="K639" s="15" t="n"/>
      <c r="L639" s="15" t="n"/>
      <c r="M639" s="16" t="n"/>
    </row>
    <row r="640">
      <c r="A640" s="15" t="inlineStr">
        <is>
          <t>bible-books-written</t>
        </is>
      </c>
      <c r="B640" s="15" t="n">
        <v>23</v>
      </c>
      <c r="C640" s="15" t="inlineStr">
        <is>
          <t>item</t>
        </is>
      </c>
      <c r="D640" s="15" t="n"/>
      <c r="E640" s="15" t="inlineStr">
        <is>
          <t>Writing of Isaiah completed</t>
        </is>
      </c>
      <c r="F640" s="15" t="inlineStr">
        <is>
          <t>b11-0021</t>
        </is>
      </c>
      <c r="G640" s="15" t="inlineStr">
        <is>
          <t>Point</t>
        </is>
      </c>
      <c r="H640" s="15" t="inlineStr">
        <is>
          <t>a. 732 B.C.E.</t>
        </is>
      </c>
      <c r="I640" s="15" t="inlineStr">
        <is>
          <t>Writing of Isaiah completed</t>
        </is>
      </c>
      <c r="J640" s="15" t="n"/>
      <c r="K640" s="15" t="n"/>
      <c r="L640" s="15" t="n"/>
      <c r="M640" s="16" t="n"/>
    </row>
    <row r="641">
      <c r="A641" s="15" t="inlineStr">
        <is>
          <t>bible-books-written</t>
        </is>
      </c>
      <c r="B641" s="15" t="n">
        <v>24</v>
      </c>
      <c r="C641" s="15" t="inlineStr">
        <is>
          <t>item</t>
        </is>
      </c>
      <c r="D641" s="15" t="n"/>
      <c r="E641" s="15" t="inlineStr">
        <is>
          <t>Writing of Jeremiah completed</t>
        </is>
      </c>
      <c r="F641" s="15" t="inlineStr">
        <is>
          <t>b11-0032</t>
        </is>
      </c>
      <c r="G641" s="15" t="inlineStr">
        <is>
          <t>Point</t>
        </is>
      </c>
      <c r="H641" s="15" t="inlineStr">
        <is>
          <t>580 B.C.E.</t>
        </is>
      </c>
      <c r="I641" s="15" t="inlineStr">
        <is>
          <t>Writing of Jeremiah completed</t>
        </is>
      </c>
      <c r="J641" s="15" t="n"/>
      <c r="K641" s="15" t="n"/>
      <c r="L641" s="15" t="n"/>
      <c r="M641" s="16" t="n"/>
    </row>
    <row r="642">
      <c r="A642" s="15" t="inlineStr">
        <is>
          <t>bible-books-written</t>
        </is>
      </c>
      <c r="B642" s="15" t="n">
        <v>25</v>
      </c>
      <c r="C642" s="15" t="inlineStr">
        <is>
          <t>item</t>
        </is>
      </c>
      <c r="D642" s="15" t="n"/>
      <c r="E642" s="15" t="inlineStr">
        <is>
          <t>Writing of Lamentations completed</t>
        </is>
      </c>
      <c r="F642" s="15" t="inlineStr">
        <is>
          <t>b11-0027</t>
        </is>
      </c>
      <c r="G642" s="15" t="inlineStr">
        <is>
          <t>Point</t>
        </is>
      </c>
      <c r="H642" s="15" t="inlineStr">
        <is>
          <t>607 B.C.E.</t>
        </is>
      </c>
      <c r="I642" s="15" t="inlineStr">
        <is>
          <t>Writing of Lamentations completed</t>
        </is>
      </c>
      <c r="J642" s="15" t="n"/>
      <c r="K642" s="15" t="n"/>
      <c r="L642" s="15" t="n"/>
      <c r="M642" s="16" t="n"/>
    </row>
    <row r="643">
      <c r="A643" s="15" t="inlineStr">
        <is>
          <t>bible-books-written</t>
        </is>
      </c>
      <c r="B643" s="15" t="n">
        <v>26</v>
      </c>
      <c r="C643" s="15" t="inlineStr">
        <is>
          <t>item</t>
        </is>
      </c>
      <c r="D643" s="15" t="n"/>
      <c r="E643" s="15" t="inlineStr">
        <is>
          <t>Writing of Ezekiel completed</t>
        </is>
      </c>
      <c r="F643" s="15" t="inlineStr">
        <is>
          <t>b11-0029</t>
        </is>
      </c>
      <c r="G643" s="15" t="inlineStr">
        <is>
          <t>Point</t>
        </is>
      </c>
      <c r="H643" s="15" t="inlineStr">
        <is>
          <t>c. 591 B.C.E.</t>
        </is>
      </c>
      <c r="I643" s="15" t="inlineStr">
        <is>
          <t>Writing of Ezekiel completed</t>
        </is>
      </c>
      <c r="J643" s="15" t="n"/>
      <c r="K643" s="15" t="n"/>
      <c r="L643" s="15" t="n"/>
      <c r="M643" s="16" t="n"/>
    </row>
    <row r="644">
      <c r="A644" s="15" t="inlineStr">
        <is>
          <t>bible-books-written</t>
        </is>
      </c>
      <c r="B644" s="15" t="n">
        <v>27</v>
      </c>
      <c r="C644" s="15" t="inlineStr">
        <is>
          <t>item</t>
        </is>
      </c>
      <c r="D644" s="15" t="n"/>
      <c r="E644" s="15" t="inlineStr">
        <is>
          <t>Writing of Daniel completed</t>
        </is>
      </c>
      <c r="F644" s="15" t="inlineStr">
        <is>
          <t>b11-0033</t>
        </is>
      </c>
      <c r="G644" s="15" t="inlineStr">
        <is>
          <t>Point</t>
        </is>
      </c>
      <c r="H644" s="15" t="inlineStr">
        <is>
          <t>c. 536 B.C.E.</t>
        </is>
      </c>
      <c r="I644" s="15" t="inlineStr">
        <is>
          <t>Writing of Daniel completed</t>
        </is>
      </c>
      <c r="J644" s="15" t="n"/>
      <c r="K644" s="15" t="n"/>
      <c r="L644" s="15" t="n"/>
      <c r="M644" s="16" t="n"/>
    </row>
    <row r="645">
      <c r="A645" s="15" t="inlineStr">
        <is>
          <t>bible-books-written</t>
        </is>
      </c>
      <c r="B645" s="15" t="n">
        <v>28</v>
      </c>
      <c r="C645" s="15" t="inlineStr">
        <is>
          <t>item</t>
        </is>
      </c>
      <c r="D645" s="15" t="n"/>
      <c r="E645" s="15" t="inlineStr">
        <is>
          <t>Writing of Hosea completed</t>
        </is>
      </c>
      <c r="F645" s="15" t="inlineStr">
        <is>
          <t>b11-0020</t>
        </is>
      </c>
      <c r="G645" s="15" t="inlineStr">
        <is>
          <t>Point</t>
        </is>
      </c>
      <c r="H645" s="15" t="inlineStr">
        <is>
          <t>a. 745 B.C.E.</t>
        </is>
      </c>
      <c r="I645" s="15" t="inlineStr">
        <is>
          <t>Writing of Hosea completed</t>
        </is>
      </c>
      <c r="J645" s="15" t="n"/>
      <c r="K645" s="15" t="n"/>
      <c r="L645" s="15" t="n"/>
      <c r="M645" s="16" t="n"/>
    </row>
    <row r="646">
      <c r="A646" s="15" t="inlineStr">
        <is>
          <t>bible-books-written</t>
        </is>
      </c>
      <c r="B646" s="15" t="n">
        <v>29</v>
      </c>
      <c r="C646" s="15" t="inlineStr">
        <is>
          <t>item</t>
        </is>
      </c>
      <c r="D646" s="15" t="n"/>
      <c r="E646" s="15" t="inlineStr">
        <is>
          <t>Writing of Joel completed</t>
        </is>
      </c>
      <c r="F646" s="15" t="inlineStr">
        <is>
          <t>b11-0018</t>
        </is>
      </c>
      <c r="G646" s="15" t="inlineStr">
        <is>
          <t>Point</t>
        </is>
      </c>
      <c r="H646" s="15" t="inlineStr">
        <is>
          <t>c. 820 (?) B.C.E.</t>
        </is>
      </c>
      <c r="I646" s="15" t="inlineStr">
        <is>
          <t>Writing of Joel completed</t>
        </is>
      </c>
      <c r="J646" s="15" t="n"/>
      <c r="K646" s="15" t="n"/>
      <c r="L646" s="15" t="n"/>
      <c r="M646" s="16" t="n"/>
    </row>
    <row r="647">
      <c r="A647" s="15" t="inlineStr">
        <is>
          <t>bible-books-written</t>
        </is>
      </c>
      <c r="B647" s="15" t="n">
        <v>30</v>
      </c>
      <c r="C647" s="15" t="inlineStr">
        <is>
          <t>item</t>
        </is>
      </c>
      <c r="D647" s="15" t="n"/>
      <c r="E647" s="15" t="inlineStr">
        <is>
          <t>Writing of Amos completed</t>
        </is>
      </c>
      <c r="F647" s="15" t="inlineStr">
        <is>
          <t>b11-0019</t>
        </is>
      </c>
      <c r="G647" s="15" t="inlineStr">
        <is>
          <t>Point</t>
        </is>
      </c>
      <c r="H647" s="15" t="inlineStr">
        <is>
          <t>c. 804 B.C.E.</t>
        </is>
      </c>
      <c r="I647" s="15" t="inlineStr">
        <is>
          <t>Writing of Amos completed</t>
        </is>
      </c>
      <c r="J647" s="15" t="n"/>
      <c r="K647" s="15" t="n"/>
      <c r="L647" s="15" t="n"/>
      <c r="M647" s="16" t="n"/>
    </row>
    <row r="648">
      <c r="A648" s="15" t="inlineStr">
        <is>
          <t>bible-books-written</t>
        </is>
      </c>
      <c r="B648" s="15" t="n">
        <v>31</v>
      </c>
      <c r="C648" s="15" t="inlineStr">
        <is>
          <t>item</t>
        </is>
      </c>
      <c r="D648" s="15" t="n"/>
      <c r="E648" s="15" t="inlineStr">
        <is>
          <t>Writing of Obadiah completed</t>
        </is>
      </c>
      <c r="F648" s="15" t="inlineStr">
        <is>
          <t>b11-0028</t>
        </is>
      </c>
      <c r="G648" s="15" t="inlineStr">
        <is>
          <t>Point</t>
        </is>
      </c>
      <c r="H648" s="15" t="inlineStr">
        <is>
          <t>c. 607 B.C.E.</t>
        </is>
      </c>
      <c r="I648" s="15" t="inlineStr">
        <is>
          <t>Writing of Obadiah completed</t>
        </is>
      </c>
      <c r="J648" s="15" t="n"/>
      <c r="K648" s="15" t="n"/>
      <c r="L648" s="15" t="n"/>
      <c r="M648" s="16" t="n"/>
    </row>
    <row r="649">
      <c r="A649" s="15" t="inlineStr">
        <is>
          <t>bible-books-written</t>
        </is>
      </c>
      <c r="B649" s="15" t="n">
        <v>32</v>
      </c>
      <c r="C649" s="15" t="inlineStr">
        <is>
          <t>item</t>
        </is>
      </c>
      <c r="D649" s="15" t="n"/>
      <c r="E649" s="15" t="inlineStr">
        <is>
          <t>Writing of Jonah completed</t>
        </is>
      </c>
      <c r="F649" s="15" t="inlineStr">
        <is>
          <t>b11-0017</t>
        </is>
      </c>
      <c r="G649" s="15" t="inlineStr">
        <is>
          <t>Point</t>
        </is>
      </c>
      <c r="H649" s="15" t="inlineStr">
        <is>
          <t>c. 844 B.C.E.</t>
        </is>
      </c>
      <c r="I649" s="15" t="inlineStr">
        <is>
          <t>Writing of Jonah completed</t>
        </is>
      </c>
      <c r="J649" s="15" t="n"/>
      <c r="K649" s="15" t="n"/>
      <c r="L649" s="15" t="n"/>
      <c r="M649" s="16" t="n"/>
    </row>
    <row r="650">
      <c r="A650" s="15" t="inlineStr">
        <is>
          <t>bible-books-written</t>
        </is>
      </c>
      <c r="B650" s="15" t="n">
        <v>33</v>
      </c>
      <c r="C650" s="15" t="inlineStr">
        <is>
          <t>item</t>
        </is>
      </c>
      <c r="D650" s="15" t="n"/>
      <c r="E650" s="15" t="inlineStr">
        <is>
          <t>Writing of Micah completed</t>
        </is>
      </c>
      <c r="F650" s="15" t="inlineStr">
        <is>
          <t>b11-0022</t>
        </is>
      </c>
      <c r="G650" s="15" t="inlineStr">
        <is>
          <t>Point</t>
        </is>
      </c>
      <c r="H650" s="15" t="inlineStr">
        <is>
          <t>b. 717 B.C.E.</t>
        </is>
      </c>
      <c r="I650" s="15" t="inlineStr">
        <is>
          <t>Writing of Micah completed</t>
        </is>
      </c>
      <c r="J650" s="15" t="n"/>
      <c r="K650" s="15" t="n"/>
      <c r="L650" s="15" t="n"/>
      <c r="M650" s="16" t="n"/>
    </row>
    <row r="651">
      <c r="A651" s="15" t="inlineStr">
        <is>
          <t>bible-books-written</t>
        </is>
      </c>
      <c r="B651" s="15" t="n">
        <v>34</v>
      </c>
      <c r="C651" s="15" t="inlineStr">
        <is>
          <t>item</t>
        </is>
      </c>
      <c r="D651" s="15" t="n"/>
      <c r="E651" s="15" t="inlineStr">
        <is>
          <t>Writing of Nahum completed</t>
        </is>
      </c>
      <c r="F651" s="15" t="inlineStr">
        <is>
          <t>b11-0025</t>
        </is>
      </c>
      <c r="G651" s="15" t="inlineStr">
        <is>
          <t>Point</t>
        </is>
      </c>
      <c r="H651" s="15" t="inlineStr">
        <is>
          <t>b. 632 B.C.E.</t>
        </is>
      </c>
      <c r="I651" s="15" t="inlineStr">
        <is>
          <t>Writing of Nahum completed</t>
        </is>
      </c>
      <c r="J651" s="15" t="n"/>
      <c r="K651" s="15" t="n"/>
      <c r="L651" s="15" t="n"/>
      <c r="M651" s="16" t="n"/>
    </row>
    <row r="652">
      <c r="A652" s="15" t="inlineStr">
        <is>
          <t>bible-books-written</t>
        </is>
      </c>
      <c r="B652" s="15" t="n">
        <v>35</v>
      </c>
      <c r="C652" s="15" t="inlineStr">
        <is>
          <t>item</t>
        </is>
      </c>
      <c r="D652" s="15" t="n"/>
      <c r="E652" s="15" t="inlineStr">
        <is>
          <t>Writing of Habakkuk completed</t>
        </is>
      </c>
      <c r="F652" s="15" t="inlineStr">
        <is>
          <t>b11-0026</t>
        </is>
      </c>
      <c r="G652" s="15" t="inlineStr">
        <is>
          <t>Point</t>
        </is>
      </c>
      <c r="H652" s="15" t="inlineStr">
        <is>
          <t>c. 628 (?) B.C.E.</t>
        </is>
      </c>
      <c r="I652" s="15" t="inlineStr">
        <is>
          <t>Writing of Habakkuk completed</t>
        </is>
      </c>
      <c r="J652" s="15" t="n"/>
      <c r="K652" s="15" t="n"/>
      <c r="L652" s="15" t="n"/>
      <c r="M652" s="16" t="n"/>
    </row>
    <row r="653">
      <c r="A653" s="15" t="inlineStr">
        <is>
          <t>bible-books-written</t>
        </is>
      </c>
      <c r="B653" s="15" t="n">
        <v>36</v>
      </c>
      <c r="C653" s="15" t="inlineStr">
        <is>
          <t>item</t>
        </is>
      </c>
      <c r="D653" s="15" t="n"/>
      <c r="E653" s="15" t="inlineStr">
        <is>
          <t>Writing of Zephaniah completed</t>
        </is>
      </c>
      <c r="F653" s="15" t="inlineStr">
        <is>
          <t>b11-0024</t>
        </is>
      </c>
      <c r="G653" s="15" t="inlineStr">
        <is>
          <t>Point</t>
        </is>
      </c>
      <c r="H653" s="15" t="inlineStr">
        <is>
          <t>b. 648 B.C.E.</t>
        </is>
      </c>
      <c r="I653" s="15" t="inlineStr">
        <is>
          <t>Writing of Zephaniah completed</t>
        </is>
      </c>
      <c r="J653" s="15" t="n"/>
      <c r="K653" s="15" t="n"/>
      <c r="L653" s="15" t="n"/>
      <c r="M653" s="16" t="n"/>
    </row>
    <row r="654">
      <c r="A654" s="15" t="inlineStr">
        <is>
          <t>bible-books-written</t>
        </is>
      </c>
      <c r="B654" s="15" t="n">
        <v>37</v>
      </c>
      <c r="C654" s="15" t="inlineStr">
        <is>
          <t>item</t>
        </is>
      </c>
      <c r="D654" s="15" t="n"/>
      <c r="E654" s="15" t="inlineStr">
        <is>
          <t>Writing of Haggai completed</t>
        </is>
      </c>
      <c r="F654" s="15" t="inlineStr">
        <is>
          <t>b11-0034</t>
        </is>
      </c>
      <c r="G654" s="15" t="inlineStr">
        <is>
          <t>Point</t>
        </is>
      </c>
      <c r="H654" s="15" t="inlineStr">
        <is>
          <t>520 B.C.E.</t>
        </is>
      </c>
      <c r="I654" s="15" t="inlineStr">
        <is>
          <t>Writing of Haggai completed</t>
        </is>
      </c>
      <c r="J654" s="15" t="n"/>
      <c r="K654" s="15" t="n"/>
      <c r="L654" s="15" t="n"/>
      <c r="M654" s="16" t="n"/>
    </row>
    <row r="655">
      <c r="A655" s="15" t="inlineStr">
        <is>
          <t>bible-books-written</t>
        </is>
      </c>
      <c r="B655" s="15" t="n">
        <v>38</v>
      </c>
      <c r="C655" s="15" t="inlineStr">
        <is>
          <t>item</t>
        </is>
      </c>
      <c r="D655" s="15" t="n"/>
      <c r="E655" s="15" t="inlineStr">
        <is>
          <t>Writing of Zechariah completed</t>
        </is>
      </c>
      <c r="F655" s="15" t="inlineStr">
        <is>
          <t>b11-0035</t>
        </is>
      </c>
      <c r="G655" s="15" t="inlineStr">
        <is>
          <t>Point</t>
        </is>
      </c>
      <c r="H655" s="15" t="inlineStr">
        <is>
          <t>518 B.C.E.</t>
        </is>
      </c>
      <c r="I655" s="15" t="inlineStr">
        <is>
          <t>Writing of Zechariah completed</t>
        </is>
      </c>
      <c r="J655" s="15" t="n"/>
      <c r="K655" s="15" t="n"/>
      <c r="L655" s="15" t="n"/>
      <c r="M655" s="16" t="n"/>
    </row>
    <row r="656">
      <c r="A656" s="15" t="inlineStr">
        <is>
          <t>bible-books-written</t>
        </is>
      </c>
      <c r="B656" s="15" t="n">
        <v>39</v>
      </c>
      <c r="C656" s="15" t="inlineStr">
        <is>
          <t>item</t>
        </is>
      </c>
      <c r="D656" s="15" t="n"/>
      <c r="E656" s="15" t="inlineStr">
        <is>
          <t>Writing of Malachi completed</t>
        </is>
      </c>
      <c r="F656" s="15" t="inlineStr">
        <is>
          <t>b11-0042</t>
        </is>
      </c>
      <c r="G656" s="15" t="inlineStr">
        <is>
          <t>Point</t>
        </is>
      </c>
      <c r="H656" s="15" t="inlineStr">
        <is>
          <t>a. 443 B.C.E.</t>
        </is>
      </c>
      <c r="I656" s="15" t="inlineStr">
        <is>
          <t>Writing of Malachi completed</t>
        </is>
      </c>
      <c r="J656" s="15" t="n"/>
      <c r="K656" s="15" t="n"/>
      <c r="L656" s="15" t="n"/>
      <c r="M656" s="16" t="n"/>
    </row>
    <row r="657">
      <c r="A657" s="15" t="inlineStr">
        <is>
          <t>bible-books-written</t>
        </is>
      </c>
      <c r="B657" s="15" t="n">
        <v>40</v>
      </c>
      <c r="C657" s="15" t="inlineStr">
        <is>
          <t>item</t>
        </is>
      </c>
      <c r="D657" s="15" t="n"/>
      <c r="E657" s="15" t="inlineStr">
        <is>
          <t>Writing of Matthew completed</t>
        </is>
      </c>
      <c r="F657" s="15" t="inlineStr">
        <is>
          <t>b11-0043</t>
        </is>
      </c>
      <c r="G657" s="15" t="inlineStr">
        <is>
          <t>Point</t>
        </is>
      </c>
      <c r="H657" s="15" t="inlineStr">
        <is>
          <t>c. 41 C.E.</t>
        </is>
      </c>
      <c r="I657" s="15" t="inlineStr">
        <is>
          <t>Writing of Matthew completed</t>
        </is>
      </c>
      <c r="J657" s="15" t="n"/>
      <c r="K657" s="15" t="n"/>
      <c r="L657" s="15" t="n"/>
      <c r="M657" s="16" t="n"/>
    </row>
    <row r="658">
      <c r="A658" s="15" t="inlineStr">
        <is>
          <t>bible-books-written</t>
        </is>
      </c>
      <c r="B658" s="15" t="n">
        <v>41</v>
      </c>
      <c r="C658" s="15" t="inlineStr">
        <is>
          <t>item</t>
        </is>
      </c>
      <c r="D658" s="15" t="n"/>
      <c r="E658" s="15" t="inlineStr">
        <is>
          <t>Writing of Mark completed</t>
        </is>
      </c>
      <c r="F658" s="15" t="inlineStr">
        <is>
          <t>b11-0051</t>
        </is>
      </c>
      <c r="G658" s="15" t="inlineStr">
        <is>
          <t>Point</t>
        </is>
      </c>
      <c r="H658" s="15" t="inlineStr">
        <is>
          <t>c. 60-65 C.E.</t>
        </is>
      </c>
      <c r="I658" s="15" t="inlineStr">
        <is>
          <t>Writing of Mark completed</t>
        </is>
      </c>
      <c r="J658" s="15" t="n"/>
      <c r="K658" s="15" t="n"/>
      <c r="L658" s="15" t="n"/>
      <c r="M658" s="16" t="n"/>
    </row>
    <row r="659">
      <c r="A659" s="15" t="inlineStr">
        <is>
          <t>bible-books-written</t>
        </is>
      </c>
      <c r="B659" s="15" t="n">
        <v>42</v>
      </c>
      <c r="C659" s="15" t="inlineStr">
        <is>
          <t>item</t>
        </is>
      </c>
      <c r="D659" s="15" t="n"/>
      <c r="E659" s="15" t="inlineStr">
        <is>
          <t>Writing of Luke completed</t>
        </is>
      </c>
      <c r="F659" s="15" t="inlineStr">
        <is>
          <t>b11-0049</t>
        </is>
      </c>
      <c r="G659" s="15" t="inlineStr">
        <is>
          <t>Point</t>
        </is>
      </c>
      <c r="H659" s="15" t="inlineStr">
        <is>
          <t>c. 56-58 C.E.</t>
        </is>
      </c>
      <c r="I659" s="15" t="inlineStr">
        <is>
          <t>Writing of Luke completed</t>
        </is>
      </c>
      <c r="J659" s="15" t="n"/>
      <c r="K659" s="15" t="n"/>
      <c r="L659" s="15" t="n"/>
      <c r="M659" s="16" t="n"/>
    </row>
    <row r="660">
      <c r="A660" s="15" t="inlineStr">
        <is>
          <t>bible-books-written</t>
        </is>
      </c>
      <c r="B660" s="15" t="n">
        <v>43</v>
      </c>
      <c r="C660" s="15" t="inlineStr">
        <is>
          <t>item</t>
        </is>
      </c>
      <c r="D660" s="15" t="n"/>
      <c r="E660" s="15" t="inlineStr">
        <is>
          <t>Writing of John completed</t>
        </is>
      </c>
      <c r="F660" s="15" t="inlineStr">
        <is>
          <t>b11-0068</t>
        </is>
      </c>
      <c r="G660" s="15" t="inlineStr">
        <is>
          <t>Point</t>
        </is>
      </c>
      <c r="H660" s="15" t="inlineStr">
        <is>
          <t>c. 98 C.E.</t>
        </is>
      </c>
      <c r="I660" s="15" t="inlineStr">
        <is>
          <t>Writing of John completed</t>
        </is>
      </c>
      <c r="J660" s="15" t="n"/>
      <c r="K660" s="15" t="n"/>
      <c r="L660" s="15" t="n"/>
      <c r="M660" s="16" t="n"/>
    </row>
    <row r="661">
      <c r="A661" s="15" t="inlineStr">
        <is>
          <t>bible-books-written</t>
        </is>
      </c>
      <c r="B661" s="15" t="n">
        <v>44</v>
      </c>
      <c r="C661" s="15" t="inlineStr">
        <is>
          <t>item</t>
        </is>
      </c>
      <c r="D661" s="15" t="n"/>
      <c r="E661" s="15" t="inlineStr">
        <is>
          <t>Writing of Acts completed</t>
        </is>
      </c>
      <c r="F661" s="15" t="inlineStr">
        <is>
          <t>b11-0056</t>
        </is>
      </c>
      <c r="G661" s="15" t="inlineStr">
        <is>
          <t>Point</t>
        </is>
      </c>
      <c r="H661" s="15" t="inlineStr">
        <is>
          <t>c. 61 C.E.</t>
        </is>
      </c>
      <c r="I661" s="15" t="inlineStr">
        <is>
          <t>Writing of Acts completed</t>
        </is>
      </c>
      <c r="J661" s="15" t="n"/>
      <c r="K661" s="15" t="n"/>
      <c r="L661" s="15" t="n"/>
      <c r="M661" s="16" t="n"/>
    </row>
    <row r="662">
      <c r="A662" s="15" t="inlineStr">
        <is>
          <t>bible-books-written</t>
        </is>
      </c>
      <c r="B662" s="15" t="n">
        <v>45</v>
      </c>
      <c r="C662" s="15" t="inlineStr">
        <is>
          <t>item</t>
        </is>
      </c>
      <c r="D662" s="15" t="n"/>
      <c r="E662" s="15" t="inlineStr">
        <is>
          <t>Writing of Romans completed</t>
        </is>
      </c>
      <c r="F662" s="15" t="inlineStr">
        <is>
          <t>b11-0050</t>
        </is>
      </c>
      <c r="G662" s="15" t="inlineStr">
        <is>
          <t>Point</t>
        </is>
      </c>
      <c r="H662" s="15" t="inlineStr">
        <is>
          <t>c. 56 C.E.</t>
        </is>
      </c>
      <c r="I662" s="15" t="inlineStr">
        <is>
          <t>Writing of Romans completed</t>
        </is>
      </c>
      <c r="J662" s="15" t="n"/>
      <c r="K662" s="15" t="n"/>
      <c r="L662" s="15" t="n"/>
      <c r="M662" s="16" t="n"/>
    </row>
    <row r="663">
      <c r="A663" s="15" t="inlineStr">
        <is>
          <t>bible-books-written</t>
        </is>
      </c>
      <c r="B663" s="15" t="n">
        <v>46</v>
      </c>
      <c r="C663" s="15" t="inlineStr">
        <is>
          <t>item</t>
        </is>
      </c>
      <c r="D663" s="15" t="n"/>
      <c r="E663" s="15" t="inlineStr">
        <is>
          <t>Writing of 1 Corinthians completed</t>
        </is>
      </c>
      <c r="F663" s="15" t="inlineStr">
        <is>
          <t>b11-0047</t>
        </is>
      </c>
      <c r="G663" s="15" t="inlineStr">
        <is>
          <t>Point</t>
        </is>
      </c>
      <c r="H663" s="15" t="inlineStr">
        <is>
          <t>c. 55 C.E.</t>
        </is>
      </c>
      <c r="I663" s="15" t="inlineStr">
        <is>
          <t>Writing of 1 Corinthians completed</t>
        </is>
      </c>
      <c r="J663" s="15" t="n"/>
      <c r="K663" s="15" t="n"/>
      <c r="L663" s="15" t="n"/>
      <c r="M663" s="16" t="n"/>
    </row>
    <row r="664">
      <c r="A664" s="15" t="inlineStr">
        <is>
          <t>bible-books-written</t>
        </is>
      </c>
      <c r="B664" s="15" t="n">
        <v>47</v>
      </c>
      <c r="C664" s="15" t="inlineStr">
        <is>
          <t>item</t>
        </is>
      </c>
      <c r="D664" s="15" t="n"/>
      <c r="E664" s="15" t="inlineStr">
        <is>
          <t>Writing of 2 Corinthians completed</t>
        </is>
      </c>
      <c r="F664" s="15" t="inlineStr">
        <is>
          <t>b11-0048</t>
        </is>
      </c>
      <c r="G664" s="15" t="inlineStr">
        <is>
          <t>Point</t>
        </is>
      </c>
      <c r="H664" s="15" t="inlineStr">
        <is>
          <t>c. 55 C.E.</t>
        </is>
      </c>
      <c r="I664" s="15" t="inlineStr">
        <is>
          <t>Writing of 2 Corinthians completed</t>
        </is>
      </c>
      <c r="J664" s="15" t="n"/>
      <c r="K664" s="15" t="n"/>
      <c r="L664" s="15" t="n"/>
      <c r="M664" s="16" t="n"/>
    </row>
    <row r="665">
      <c r="A665" s="15" t="inlineStr">
        <is>
          <t>bible-books-written</t>
        </is>
      </c>
      <c r="B665" s="15" t="n">
        <v>48</v>
      </c>
      <c r="C665" s="15" t="inlineStr">
        <is>
          <t>item</t>
        </is>
      </c>
      <c r="D665" s="15" t="n"/>
      <c r="E665" s="15" t="inlineStr">
        <is>
          <t>Writing of Galatians completed</t>
        </is>
      </c>
      <c r="F665" s="15" t="inlineStr">
        <is>
          <t>b11-0044</t>
        </is>
      </c>
      <c r="G665" s="15" t="inlineStr">
        <is>
          <t>Point</t>
        </is>
      </c>
      <c r="H665" s="15" t="inlineStr">
        <is>
          <t>c. 50-52 C.E.</t>
        </is>
      </c>
      <c r="I665" s="15" t="inlineStr">
        <is>
          <t>Writing of Galatians completed</t>
        </is>
      </c>
      <c r="J665" s="15" t="n"/>
      <c r="K665" s="15" t="n"/>
      <c r="L665" s="15" t="n"/>
      <c r="M665" s="16" t="n"/>
    </row>
    <row r="666">
      <c r="A666" s="15" t="inlineStr">
        <is>
          <t>bible-books-written</t>
        </is>
      </c>
      <c r="B666" s="15" t="n">
        <v>49</v>
      </c>
      <c r="C666" s="15" t="inlineStr">
        <is>
          <t>item</t>
        </is>
      </c>
      <c r="D666" s="15" t="n"/>
      <c r="E666" s="15" t="inlineStr">
        <is>
          <t>Writing of Ephesians completed</t>
        </is>
      </c>
      <c r="F666" s="15" t="inlineStr">
        <is>
          <t>b11-0052</t>
        </is>
      </c>
      <c r="G666" s="15" t="inlineStr">
        <is>
          <t>Point</t>
        </is>
      </c>
      <c r="H666" s="15" t="inlineStr">
        <is>
          <t>c. 60-61 C.E.</t>
        </is>
      </c>
      <c r="I666" s="15" t="inlineStr">
        <is>
          <t>Writing of Ephesians completed</t>
        </is>
      </c>
      <c r="J666" s="15" t="n"/>
      <c r="K666" s="15" t="n"/>
      <c r="L666" s="15" t="n"/>
      <c r="M666" s="16" t="n"/>
    </row>
    <row r="667">
      <c r="A667" s="15" t="inlineStr">
        <is>
          <t>bible-books-written</t>
        </is>
      </c>
      <c r="B667" s="15" t="n">
        <v>50</v>
      </c>
      <c r="C667" s="15" t="inlineStr">
        <is>
          <t>item</t>
        </is>
      </c>
      <c r="D667" s="15" t="n"/>
      <c r="E667" s="15" t="inlineStr">
        <is>
          <t>Writing of Philippians completed</t>
        </is>
      </c>
      <c r="F667" s="15" t="inlineStr">
        <is>
          <t>b11-0053</t>
        </is>
      </c>
      <c r="G667" s="15" t="inlineStr">
        <is>
          <t>Point</t>
        </is>
      </c>
      <c r="H667" s="15" t="inlineStr">
        <is>
          <t>c. 60-61 C.E.</t>
        </is>
      </c>
      <c r="I667" s="15" t="inlineStr">
        <is>
          <t>Writing of Philippians completed</t>
        </is>
      </c>
      <c r="J667" s="15" t="n"/>
      <c r="K667" s="15" t="n"/>
      <c r="L667" s="15" t="n"/>
      <c r="M667" s="16" t="n"/>
    </row>
    <row r="668">
      <c r="A668" s="15" t="inlineStr">
        <is>
          <t>bible-books-written</t>
        </is>
      </c>
      <c r="B668" s="15" t="n">
        <v>51</v>
      </c>
      <c r="C668" s="15" t="inlineStr">
        <is>
          <t>item</t>
        </is>
      </c>
      <c r="D668" s="15" t="n"/>
      <c r="E668" s="15" t="inlineStr">
        <is>
          <t>Writing of Colossians completed</t>
        </is>
      </c>
      <c r="F668" s="15" t="inlineStr">
        <is>
          <t>b11-0054</t>
        </is>
      </c>
      <c r="G668" s="15" t="inlineStr">
        <is>
          <t>Point</t>
        </is>
      </c>
      <c r="H668" s="15" t="inlineStr">
        <is>
          <t>c. 60-61 C.E.</t>
        </is>
      </c>
      <c r="I668" s="15" t="inlineStr">
        <is>
          <t>Writing of Colossians completed</t>
        </is>
      </c>
      <c r="J668" s="15" t="n"/>
      <c r="K668" s="15" t="n"/>
      <c r="L668" s="15" t="n"/>
      <c r="M668" s="16" t="n"/>
    </row>
    <row r="669">
      <c r="A669" s="15" t="inlineStr">
        <is>
          <t>bible-books-written</t>
        </is>
      </c>
      <c r="B669" s="15" t="n">
        <v>52</v>
      </c>
      <c r="C669" s="15" t="inlineStr">
        <is>
          <t>item</t>
        </is>
      </c>
      <c r="D669" s="15" t="n"/>
      <c r="E669" s="15" t="inlineStr">
        <is>
          <t>Writing of 1 Thessalonians completed</t>
        </is>
      </c>
      <c r="F669" s="15" t="inlineStr">
        <is>
          <t>b11-0045</t>
        </is>
      </c>
      <c r="G669" s="15" t="inlineStr">
        <is>
          <t>Point</t>
        </is>
      </c>
      <c r="H669" s="15" t="inlineStr">
        <is>
          <t>c. 50 C.E.</t>
        </is>
      </c>
      <c r="I669" s="15" t="inlineStr">
        <is>
          <t>Writing of 1 Thessalonians completed</t>
        </is>
      </c>
      <c r="J669" s="15" t="n"/>
      <c r="K669" s="15" t="n"/>
      <c r="L669" s="15" t="n"/>
      <c r="M669" s="16" t="n"/>
    </row>
    <row r="670">
      <c r="A670" s="15" t="inlineStr">
        <is>
          <t>bible-books-written</t>
        </is>
      </c>
      <c r="B670" s="15" t="n">
        <v>53</v>
      </c>
      <c r="C670" s="15" t="inlineStr">
        <is>
          <t>item</t>
        </is>
      </c>
      <c r="D670" s="15" t="n"/>
      <c r="E670" s="15" t="inlineStr">
        <is>
          <t>Writing of 2 Thessalonians completed</t>
        </is>
      </c>
      <c r="F670" s="15" t="inlineStr">
        <is>
          <t>b11-0046</t>
        </is>
      </c>
      <c r="G670" s="15" t="inlineStr">
        <is>
          <t>Point</t>
        </is>
      </c>
      <c r="H670" s="15" t="inlineStr">
        <is>
          <t>c. 51 C.E.</t>
        </is>
      </c>
      <c r="I670" s="15" t="inlineStr">
        <is>
          <t>Writing of 2 Thessalonians completed</t>
        </is>
      </c>
      <c r="J670" s="15" t="n"/>
      <c r="K670" s="15" t="n"/>
      <c r="L670" s="15" t="n"/>
      <c r="M670" s="16" t="n"/>
    </row>
    <row r="671">
      <c r="A671" s="15" t="inlineStr">
        <is>
          <t>bible-books-written</t>
        </is>
      </c>
      <c r="B671" s="15" t="n">
        <v>54</v>
      </c>
      <c r="C671" s="15" t="inlineStr">
        <is>
          <t>item</t>
        </is>
      </c>
      <c r="D671" s="15" t="n"/>
      <c r="E671" s="15" t="inlineStr">
        <is>
          <t>Writing of 1 Timothy completed</t>
        </is>
      </c>
      <c r="F671" s="15" t="inlineStr">
        <is>
          <t>b11-0057</t>
        </is>
      </c>
      <c r="G671" s="15" t="inlineStr">
        <is>
          <t>Point</t>
        </is>
      </c>
      <c r="H671" s="15" t="inlineStr">
        <is>
          <t>c. 61-64 C.E.</t>
        </is>
      </c>
      <c r="I671" s="15" t="inlineStr">
        <is>
          <t>Writing of 1 Timothy completed</t>
        </is>
      </c>
      <c r="J671" s="15" t="n"/>
      <c r="K671" s="15" t="n"/>
      <c r="L671" s="15" t="n"/>
      <c r="M671" s="16" t="n"/>
    </row>
    <row r="672">
      <c r="A672" s="15" t="inlineStr">
        <is>
          <t>bible-books-written</t>
        </is>
      </c>
      <c r="B672" s="15" t="n">
        <v>55</v>
      </c>
      <c r="C672" s="15" t="inlineStr">
        <is>
          <t>item</t>
        </is>
      </c>
      <c r="D672" s="15" t="n"/>
      <c r="E672" s="15" t="inlineStr">
        <is>
          <t>Writing of 2 Timothy completed</t>
        </is>
      </c>
      <c r="F672" s="15" t="inlineStr">
        <is>
          <t>b11-0064</t>
        </is>
      </c>
      <c r="G672" s="15" t="inlineStr">
        <is>
          <t>Point</t>
        </is>
      </c>
      <c r="H672" s="15" t="inlineStr">
        <is>
          <t>c. 65 C.E.</t>
        </is>
      </c>
      <c r="I672" s="15" t="inlineStr">
        <is>
          <t>Writing of 2 Timothy completed</t>
        </is>
      </c>
      <c r="J672" s="15" t="n"/>
      <c r="K672" s="15" t="n"/>
      <c r="L672" s="15" t="n"/>
      <c r="M672" s="16" t="n"/>
    </row>
    <row r="673">
      <c r="A673" s="15" t="inlineStr">
        <is>
          <t>bible-books-written</t>
        </is>
      </c>
      <c r="B673" s="15" t="n">
        <v>56</v>
      </c>
      <c r="C673" s="15" t="inlineStr">
        <is>
          <t>item</t>
        </is>
      </c>
      <c r="D673" s="15" t="n"/>
      <c r="E673" s="15" t="inlineStr">
        <is>
          <t>Writing of Titus completed</t>
        </is>
      </c>
      <c r="F673" s="15" t="inlineStr">
        <is>
          <t>b11-0058</t>
        </is>
      </c>
      <c r="G673" s="15" t="inlineStr">
        <is>
          <t>Point</t>
        </is>
      </c>
      <c r="H673" s="15" t="inlineStr">
        <is>
          <t>c. 61-64 C.E.</t>
        </is>
      </c>
      <c r="I673" s="15" t="inlineStr">
        <is>
          <t>Writing of Titus completed</t>
        </is>
      </c>
      <c r="J673" s="15" t="n"/>
      <c r="K673" s="15" t="n"/>
      <c r="L673" s="15" t="n"/>
      <c r="M673" s="16" t="n"/>
    </row>
    <row r="674">
      <c r="A674" s="15" t="inlineStr">
        <is>
          <t>bible-books-written</t>
        </is>
      </c>
      <c r="B674" s="15" t="n">
        <v>57</v>
      </c>
      <c r="C674" s="15" t="inlineStr">
        <is>
          <t>item</t>
        </is>
      </c>
      <c r="D674" s="15" t="n"/>
      <c r="E674" s="15" t="inlineStr">
        <is>
          <t>Writing of Philemon completed</t>
        </is>
      </c>
      <c r="F674" s="15" t="inlineStr">
        <is>
          <t>b11-0055</t>
        </is>
      </c>
      <c r="G674" s="15" t="inlineStr">
        <is>
          <t>Point</t>
        </is>
      </c>
      <c r="H674" s="15" t="inlineStr">
        <is>
          <t>c. 60-61 C.E.</t>
        </is>
      </c>
      <c r="I674" s="15" t="inlineStr">
        <is>
          <t>Writing of Philemon completed</t>
        </is>
      </c>
      <c r="J674" s="15" t="n"/>
      <c r="K674" s="15" t="n"/>
      <c r="L674" s="15" t="n"/>
      <c r="M674" s="16" t="n"/>
    </row>
    <row r="675">
      <c r="A675" s="15" t="inlineStr">
        <is>
          <t>bible-books-written</t>
        </is>
      </c>
      <c r="B675" s="15" t="n">
        <v>58</v>
      </c>
      <c r="C675" s="15" t="inlineStr">
        <is>
          <t>item</t>
        </is>
      </c>
      <c r="D675" s="15" t="n"/>
      <c r="E675" s="15" t="inlineStr">
        <is>
          <t>Writing of Hebrews completed</t>
        </is>
      </c>
      <c r="F675" s="15" t="inlineStr">
        <is>
          <t>b11-0059</t>
        </is>
      </c>
      <c r="G675" s="15" t="inlineStr">
        <is>
          <t>Point</t>
        </is>
      </c>
      <c r="H675" s="15" t="inlineStr">
        <is>
          <t>c. 61 C.E.</t>
        </is>
      </c>
      <c r="I675" s="15" t="inlineStr">
        <is>
          <t>Writing of Hebrews completed</t>
        </is>
      </c>
      <c r="J675" s="15" t="n"/>
      <c r="K675" s="15" t="n"/>
      <c r="L675" s="15" t="n"/>
      <c r="M675" s="16" t="n"/>
    </row>
    <row r="676">
      <c r="A676" s="15" t="inlineStr">
        <is>
          <t>bible-books-written</t>
        </is>
      </c>
      <c r="B676" s="15" t="n">
        <v>59</v>
      </c>
      <c r="C676" s="15" t="inlineStr">
        <is>
          <t>item</t>
        </is>
      </c>
      <c r="D676" s="15" t="n"/>
      <c r="E676" s="15" t="inlineStr">
        <is>
          <t>Writing of James completed</t>
        </is>
      </c>
      <c r="F676" s="15" t="inlineStr">
        <is>
          <t>b11-0060</t>
        </is>
      </c>
      <c r="G676" s="15" t="inlineStr">
        <is>
          <t>Point</t>
        </is>
      </c>
      <c r="H676" s="15" t="inlineStr">
        <is>
          <t>b. 62 C.E.</t>
        </is>
      </c>
      <c r="I676" s="15" t="inlineStr">
        <is>
          <t>Writing of James completed</t>
        </is>
      </c>
      <c r="J676" s="15" t="n"/>
      <c r="K676" s="15" t="n"/>
      <c r="L676" s="15" t="n"/>
      <c r="M676" s="16" t="n"/>
    </row>
    <row r="677">
      <c r="A677" s="15" t="inlineStr">
        <is>
          <t>bible-books-written</t>
        </is>
      </c>
      <c r="B677" s="15" t="n">
        <v>60</v>
      </c>
      <c r="C677" s="15" t="inlineStr">
        <is>
          <t>item</t>
        </is>
      </c>
      <c r="D677" s="15" t="n"/>
      <c r="E677" s="15" t="inlineStr">
        <is>
          <t>Writing of 1 Peter completed</t>
        </is>
      </c>
      <c r="F677" s="15" t="inlineStr">
        <is>
          <t>b11-0061</t>
        </is>
      </c>
      <c r="G677" s="15" t="inlineStr">
        <is>
          <t>Point</t>
        </is>
      </c>
      <c r="H677" s="15" t="inlineStr">
        <is>
          <t>c. 62-64 C.E.</t>
        </is>
      </c>
      <c r="I677" s="15" t="inlineStr">
        <is>
          <t>Writing of 1 Peter completed</t>
        </is>
      </c>
      <c r="J677" s="15" t="n"/>
      <c r="K677" s="15" t="n"/>
      <c r="L677" s="15" t="n"/>
      <c r="M677" s="16" t="n"/>
    </row>
    <row r="678">
      <c r="A678" s="15" t="inlineStr">
        <is>
          <t>bible-books-written</t>
        </is>
      </c>
      <c r="B678" s="15" t="n">
        <v>61</v>
      </c>
      <c r="C678" s="15" t="inlineStr">
        <is>
          <t>item</t>
        </is>
      </c>
      <c r="D678" s="15" t="n"/>
      <c r="E678" s="15" t="inlineStr">
        <is>
          <t>Writing of 2 Peter completed</t>
        </is>
      </c>
      <c r="F678" s="15" t="inlineStr">
        <is>
          <t>b11-0063</t>
        </is>
      </c>
      <c r="G678" s="15" t="inlineStr">
        <is>
          <t>Point</t>
        </is>
      </c>
      <c r="H678" s="15" t="inlineStr">
        <is>
          <t>c. 64 C.E.</t>
        </is>
      </c>
      <c r="I678" s="15" t="inlineStr">
        <is>
          <t>Writing of 2 Peter completed</t>
        </is>
      </c>
      <c r="J678" s="15" t="n"/>
      <c r="K678" s="15" t="n"/>
      <c r="L678" s="15" t="n"/>
      <c r="M678" s="16" t="n"/>
    </row>
    <row r="679">
      <c r="A679" s="15" t="inlineStr">
        <is>
          <t>bible-books-written</t>
        </is>
      </c>
      <c r="B679" s="15" t="n">
        <v>62</v>
      </c>
      <c r="C679" s="15" t="inlineStr">
        <is>
          <t>item</t>
        </is>
      </c>
      <c r="D679" s="15" t="n"/>
      <c r="E679" s="15" t="inlineStr">
        <is>
          <t>Writing of 1 John completed</t>
        </is>
      </c>
      <c r="F679" s="15" t="inlineStr">
        <is>
          <t>b11-0069</t>
        </is>
      </c>
      <c r="G679" s="15" t="inlineStr">
        <is>
          <t>Point</t>
        </is>
      </c>
      <c r="H679" s="15" t="inlineStr">
        <is>
          <t>c. 98 C.E.</t>
        </is>
      </c>
      <c r="I679" s="15" t="inlineStr">
        <is>
          <t>Writing of 1 John completed</t>
        </is>
      </c>
      <c r="J679" s="15" t="n"/>
      <c r="K679" s="15" t="n"/>
      <c r="L679" s="15" t="n"/>
      <c r="M679" s="16" t="n"/>
    </row>
    <row r="680">
      <c r="A680" s="15" t="inlineStr">
        <is>
          <t>bible-books-written</t>
        </is>
      </c>
      <c r="B680" s="15" t="n">
        <v>63</v>
      </c>
      <c r="C680" s="15" t="inlineStr">
        <is>
          <t>item</t>
        </is>
      </c>
      <c r="D680" s="15" t="n"/>
      <c r="E680" s="15" t="inlineStr">
        <is>
          <t>Writing of 2 John completed</t>
        </is>
      </c>
      <c r="F680" s="15" t="inlineStr">
        <is>
          <t>b11-0070</t>
        </is>
      </c>
      <c r="G680" s="15" t="inlineStr">
        <is>
          <t>Point</t>
        </is>
      </c>
      <c r="H680" s="15" t="inlineStr">
        <is>
          <t>c. 98 C.E.</t>
        </is>
      </c>
      <c r="I680" s="15" t="inlineStr">
        <is>
          <t>Writing of 2 John completed</t>
        </is>
      </c>
      <c r="J680" s="15" t="n"/>
      <c r="K680" s="15" t="n"/>
      <c r="L680" s="15" t="n"/>
      <c r="M680" s="16" t="n"/>
    </row>
    <row r="681">
      <c r="A681" s="15" t="inlineStr">
        <is>
          <t>bible-books-written</t>
        </is>
      </c>
      <c r="B681" s="15" t="n">
        <v>64</v>
      </c>
      <c r="C681" s="15" t="inlineStr">
        <is>
          <t>item</t>
        </is>
      </c>
      <c r="D681" s="15" t="n"/>
      <c r="E681" s="15" t="inlineStr">
        <is>
          <t>Writing of 3 John completed</t>
        </is>
      </c>
      <c r="F681" s="15" t="inlineStr">
        <is>
          <t>b11-0071</t>
        </is>
      </c>
      <c r="G681" s="15" t="inlineStr">
        <is>
          <t>Point</t>
        </is>
      </c>
      <c r="H681" s="15" t="inlineStr">
        <is>
          <t>c. 98 C.E.</t>
        </is>
      </c>
      <c r="I681" s="15" t="inlineStr">
        <is>
          <t>Writing of 3 John completed</t>
        </is>
      </c>
      <c r="J681" s="15" t="n"/>
      <c r="K681" s="15" t="n"/>
      <c r="L681" s="15" t="n"/>
      <c r="M681" s="16" t="n"/>
    </row>
    <row r="682">
      <c r="A682" s="15" t="inlineStr">
        <is>
          <t>bible-books-written</t>
        </is>
      </c>
      <c r="B682" s="15" t="n">
        <v>65</v>
      </c>
      <c r="C682" s="15" t="inlineStr">
        <is>
          <t>item</t>
        </is>
      </c>
      <c r="D682" s="15" t="n"/>
      <c r="E682" s="15" t="inlineStr">
        <is>
          <t>Writing of Jude completed</t>
        </is>
      </c>
      <c r="F682" s="15" t="inlineStr">
        <is>
          <t>b11-0065</t>
        </is>
      </c>
      <c r="G682" s="15" t="inlineStr">
        <is>
          <t>Point</t>
        </is>
      </c>
      <c r="H682" s="15" t="inlineStr">
        <is>
          <t>c. 65 C.E.</t>
        </is>
      </c>
      <c r="I682" s="15" t="inlineStr">
        <is>
          <t>Writing of Jude completed</t>
        </is>
      </c>
      <c r="J682" s="15" t="n"/>
      <c r="K682" s="15" t="n"/>
      <c r="L682" s="15" t="n"/>
      <c r="M682" s="16" t="n"/>
    </row>
    <row r="683">
      <c r="A683" s="15" t="inlineStr">
        <is>
          <t>bible-books-written</t>
        </is>
      </c>
      <c r="B683" s="15" t="n">
        <v>66</v>
      </c>
      <c r="C683" s="15" t="inlineStr">
        <is>
          <t>item</t>
        </is>
      </c>
      <c r="D683" s="15" t="n"/>
      <c r="E683" s="15" t="inlineStr">
        <is>
          <t>Writing of Revelation completed</t>
        </is>
      </c>
      <c r="F683" s="15" t="inlineStr">
        <is>
          <t>b11-0067</t>
        </is>
      </c>
      <c r="G683" s="15" t="inlineStr">
        <is>
          <t>Point</t>
        </is>
      </c>
      <c r="H683" s="15" t="inlineStr">
        <is>
          <t>c. 96 C.E.</t>
        </is>
      </c>
      <c r="I683" s="15" t="inlineStr">
        <is>
          <t>Writing of Revelation completed</t>
        </is>
      </c>
      <c r="J683" s="15" t="n"/>
      <c r="K683" s="15" t="n"/>
      <c r="L683" s="15" t="n"/>
      <c r="M683" s="16" t="n"/>
    </row>
    <row r="684">
      <c r="A684" s="15" t="inlineStr">
        <is>
          <t>governing-body</t>
        </is>
      </c>
      <c r="B684" s="15" t="n">
        <v>1</v>
      </c>
      <c r="C684" s="15" t="inlineStr">
        <is>
          <t>ruler</t>
        </is>
      </c>
      <c r="D684" s="15" t="n"/>
      <c r="E684" s="15" t="inlineStr">
        <is>
          <t>Theodore Jaracz serves on the Governing Body</t>
        </is>
      </c>
      <c r="F684" s="15" t="inlineStr">
        <is>
          <t>b12-0095</t>
        </is>
      </c>
      <c r="G684" s="15" t="inlineStr">
        <is>
          <t>Span</t>
        </is>
      </c>
      <c r="H684" s="15" t="inlineStr">
        <is>
          <t>late 1974–June 9, 2010</t>
        </is>
      </c>
      <c r="I684" s="15" t="inlineStr">
        <is>
          <t>Theodore Jaracz serves on the Governing Body</t>
        </is>
      </c>
      <c r="J684" s="15" t="n"/>
      <c r="K684" s="15" t="n"/>
      <c r="L684" s="15" t="n"/>
      <c r="M684" s="16" t="n"/>
    </row>
    <row r="685">
      <c r="A685" s="15" t="inlineStr">
        <is>
          <t>governing-body</t>
        </is>
      </c>
      <c r="B685" s="15" t="n">
        <v>2</v>
      </c>
      <c r="C685" s="15" t="inlineStr">
        <is>
          <t>ruler</t>
        </is>
      </c>
      <c r="D685" s="15" t="n"/>
      <c r="E685" s="15" t="inlineStr">
        <is>
          <t>Daniel Sydlik serves on the Governing Body</t>
        </is>
      </c>
      <c r="F685" s="15" t="inlineStr">
        <is>
          <t>b12-0096</t>
        </is>
      </c>
      <c r="G685" s="15" t="inlineStr">
        <is>
          <t>Span</t>
        </is>
      </c>
      <c r="H685" s="15" t="inlineStr">
        <is>
          <t>November 1974–April 18, 2006</t>
        </is>
      </c>
      <c r="I685" s="15" t="inlineStr">
        <is>
          <t>Daniel Sydlik serves on the Governing Body</t>
        </is>
      </c>
      <c r="J685" s="15" t="n"/>
      <c r="K685" s="15" t="n"/>
      <c r="L685" s="15" t="n"/>
      <c r="M685" s="16" t="n"/>
    </row>
    <row r="686">
      <c r="A686" s="15" t="inlineStr">
        <is>
          <t>governing-body</t>
        </is>
      </c>
      <c r="B686" s="15" t="n">
        <v>3</v>
      </c>
      <c r="C686" s="15" t="inlineStr">
        <is>
          <t>ruler</t>
        </is>
      </c>
      <c r="D686" s="15" t="n"/>
      <c r="E686" s="15" t="inlineStr">
        <is>
          <t>Martin Poetzinger serves on the Governing Body</t>
        </is>
      </c>
      <c r="F686" s="15" t="inlineStr">
        <is>
          <t>b12-0098</t>
        </is>
      </c>
      <c r="G686" s="15" t="inlineStr">
        <is>
          <t>Span</t>
        </is>
      </c>
      <c r="H686" s="15" t="inlineStr">
        <is>
          <t>September 1977–June 16, 1988</t>
        </is>
      </c>
      <c r="I686" s="15" t="inlineStr">
        <is>
          <t>Martin Poetzinger serves on the Governing Body</t>
        </is>
      </c>
      <c r="J686" s="15" t="n"/>
      <c r="K686" s="15" t="n"/>
      <c r="L686" s="15" t="n"/>
      <c r="M686" s="16" t="n"/>
    </row>
    <row r="687">
      <c r="A687" s="15" t="inlineStr">
        <is>
          <t>governing-body</t>
        </is>
      </c>
      <c r="B687" s="15" t="n">
        <v>4</v>
      </c>
      <c r="C687" s="15" t="inlineStr">
        <is>
          <t>ruler</t>
        </is>
      </c>
      <c r="D687" s="15" t="n"/>
      <c r="E687" s="15" t="inlineStr">
        <is>
          <t>Gerrit Lösch serves on the Governing Body</t>
        </is>
      </c>
      <c r="F687" s="15" t="inlineStr">
        <is>
          <t>b12-0101</t>
        </is>
      </c>
      <c r="G687" s="15" t="inlineStr">
        <is>
          <t>Span</t>
        </is>
      </c>
      <c r="H687" s="15" t="inlineStr">
        <is>
          <t>July 1, 1994–</t>
        </is>
      </c>
      <c r="I687" s="15" t="inlineStr">
        <is>
          <t>Gerrit Lösch serves on the Governing Body</t>
        </is>
      </c>
      <c r="J687" s="15" t="n"/>
      <c r="K687" s="15" t="n"/>
      <c r="L687" s="15" t="n"/>
      <c r="M687" s="16" t="n"/>
    </row>
    <row r="688">
      <c r="A688" s="15" t="inlineStr">
        <is>
          <t>governing-body</t>
        </is>
      </c>
      <c r="B688" s="15" t="n">
        <v>5</v>
      </c>
      <c r="C688" s="15" t="inlineStr">
        <is>
          <t>ruler</t>
        </is>
      </c>
      <c r="D688" s="15" t="n"/>
      <c r="E688" s="15" t="inlineStr">
        <is>
          <t>Guy H. Pierce serves on the Governing Body</t>
        </is>
      </c>
      <c r="F688" s="15" t="inlineStr">
        <is>
          <t>b12-0102</t>
        </is>
      </c>
      <c r="G688" s="15" t="inlineStr">
        <is>
          <t>Span</t>
        </is>
      </c>
      <c r="H688" s="15" t="inlineStr">
        <is>
          <t>October 2, 1999–March 18, 2014</t>
        </is>
      </c>
      <c r="I688" s="15" t="inlineStr">
        <is>
          <t>Guy H. Pierce serves on the Governing Body</t>
        </is>
      </c>
      <c r="J688" s="15" t="n"/>
      <c r="K688" s="15" t="n"/>
      <c r="L688" s="15" t="n"/>
      <c r="M688" s="16" t="n"/>
    </row>
    <row r="689">
      <c r="A689" s="15" t="inlineStr">
        <is>
          <t>governing-body</t>
        </is>
      </c>
      <c r="B689" s="15" t="n">
        <v>6</v>
      </c>
      <c r="C689" s="15" t="inlineStr">
        <is>
          <t>ruler</t>
        </is>
      </c>
      <c r="D689" s="15" t="n"/>
      <c r="E689" s="15" t="inlineStr">
        <is>
          <t>Samuel F. Herd serves on the Governing Body</t>
        </is>
      </c>
      <c r="F689" s="15" t="inlineStr">
        <is>
          <t>b12-0103</t>
        </is>
      </c>
      <c r="G689" s="15" t="inlineStr">
        <is>
          <t>Span</t>
        </is>
      </c>
      <c r="H689" s="15" t="inlineStr">
        <is>
          <t>October 2, 1999–</t>
        </is>
      </c>
      <c r="I689" s="15" t="inlineStr">
        <is>
          <t>Samuel F. Herd serves on the Governing Body</t>
        </is>
      </c>
      <c r="J689" s="15" t="n"/>
      <c r="K689" s="15" t="n"/>
      <c r="L689" s="15" t="n"/>
      <c r="M689" s="16" t="n"/>
    </row>
    <row r="690">
      <c r="A690" s="15" t="inlineStr">
        <is>
          <t>governing-body</t>
        </is>
      </c>
      <c r="B690" s="15" t="n">
        <v>7</v>
      </c>
      <c r="C690" s="15" t="inlineStr">
        <is>
          <t>ruler</t>
        </is>
      </c>
      <c r="D690" s="15" t="n"/>
      <c r="E690" s="15" t="inlineStr">
        <is>
          <t>M. Stephen Lett serves on the Governing Body</t>
        </is>
      </c>
      <c r="F690" s="15" t="inlineStr">
        <is>
          <t>b12-0104</t>
        </is>
      </c>
      <c r="G690" s="15" t="inlineStr">
        <is>
          <t>Span</t>
        </is>
      </c>
      <c r="H690" s="15" t="inlineStr">
        <is>
          <t>October 2, 1999–</t>
        </is>
      </c>
      <c r="I690" s="15" t="inlineStr">
        <is>
          <t>M. Stephen Lett serves on the Governing Body</t>
        </is>
      </c>
      <c r="J690" s="15" t="n"/>
      <c r="K690" s="15" t="n"/>
      <c r="L690" s="15" t="n"/>
      <c r="M690" s="16" t="n"/>
    </row>
    <row r="691">
      <c r="A691" s="15" t="inlineStr">
        <is>
          <t>governing-body</t>
        </is>
      </c>
      <c r="B691" s="15" t="n">
        <v>8</v>
      </c>
      <c r="C691" s="15" t="inlineStr">
        <is>
          <t>ruler</t>
        </is>
      </c>
      <c r="D691" s="15" t="n"/>
      <c r="E691" s="15" t="inlineStr">
        <is>
          <t>David H. Splane serves on the Governing Body</t>
        </is>
      </c>
      <c r="F691" s="15" t="inlineStr">
        <is>
          <t>b12-0105</t>
        </is>
      </c>
      <c r="G691" s="15" t="inlineStr">
        <is>
          <t>Span</t>
        </is>
      </c>
      <c r="H691" s="15" t="inlineStr">
        <is>
          <t>October 2, 1999–</t>
        </is>
      </c>
      <c r="I691" s="15" t="inlineStr">
        <is>
          <t>David H. Splane serves on the Governing Body</t>
        </is>
      </c>
      <c r="J691" s="15" t="n"/>
      <c r="K691" s="15" t="n"/>
      <c r="L691" s="15" t="n"/>
      <c r="M691" s="16" t="n"/>
    </row>
    <row r="692">
      <c r="A692" s="15" t="inlineStr">
        <is>
          <t>governing-body</t>
        </is>
      </c>
      <c r="B692" s="15" t="n">
        <v>9</v>
      </c>
      <c r="C692" s="15" t="inlineStr">
        <is>
          <t>ruler</t>
        </is>
      </c>
      <c r="D692" s="15" t="n"/>
      <c r="E692" s="15" t="inlineStr">
        <is>
          <t>Anthony Morris III serves on the Governing Body</t>
        </is>
      </c>
      <c r="F692" s="15" t="inlineStr">
        <is>
          <t>b12-0106</t>
        </is>
      </c>
      <c r="G692" s="15" t="inlineStr">
        <is>
          <t>Span</t>
        </is>
      </c>
      <c r="H692" s="15" t="inlineStr">
        <is>
          <t>September 1, 2005–(end not dated)</t>
        </is>
      </c>
      <c r="I692" s="15" t="inlineStr">
        <is>
          <t>Anthony Morris III serves on the Governing Body</t>
        </is>
      </c>
      <c r="J692" s="15" t="n"/>
      <c r="K692" s="15" t="n"/>
      <c r="L692" s="15" t="n"/>
      <c r="M692" s="16" t="n"/>
    </row>
    <row r="693">
      <c r="A693" s="15" t="inlineStr">
        <is>
          <t>governing-body</t>
        </is>
      </c>
      <c r="B693" s="15" t="n">
        <v>10</v>
      </c>
      <c r="C693" s="15" t="inlineStr">
        <is>
          <t>ruler</t>
        </is>
      </c>
      <c r="D693" s="15" t="n"/>
      <c r="E693" s="15" t="inlineStr">
        <is>
          <t>Geoffrey W. Jackson serves on the Governing Body</t>
        </is>
      </c>
      <c r="F693" s="15" t="inlineStr">
        <is>
          <t>b12-0107</t>
        </is>
      </c>
      <c r="G693" s="15" t="inlineStr">
        <is>
          <t>Span</t>
        </is>
      </c>
      <c r="H693" s="15" t="inlineStr">
        <is>
          <t>September 1, 2005–</t>
        </is>
      </c>
      <c r="I693" s="15" t="inlineStr">
        <is>
          <t>Geoffrey W. Jackson serves on the Governing Body</t>
        </is>
      </c>
      <c r="J693" s="15" t="n"/>
      <c r="K693" s="15" t="n"/>
      <c r="L693" s="15" t="n"/>
      <c r="M693" s="16" t="n"/>
    </row>
    <row r="694">
      <c r="A694" s="15" t="inlineStr">
        <is>
          <t>governing-body</t>
        </is>
      </c>
      <c r="B694" s="15" t="n">
        <v>11</v>
      </c>
      <c r="C694" s="15" t="inlineStr">
        <is>
          <t>ruler</t>
        </is>
      </c>
      <c r="D694" s="15" t="n"/>
      <c r="E694" s="15" t="inlineStr">
        <is>
          <t>Mark Sanderson serves on the Governing Body</t>
        </is>
      </c>
      <c r="F694" s="15" t="inlineStr">
        <is>
          <t>b12-0108</t>
        </is>
      </c>
      <c r="G694" s="15" t="inlineStr">
        <is>
          <t>Span</t>
        </is>
      </c>
      <c r="H694" s="15" t="inlineStr">
        <is>
          <t>September 1, 2012–</t>
        </is>
      </c>
      <c r="I694" s="15" t="inlineStr">
        <is>
          <t>Mark Sanderson serves on the Governing Body</t>
        </is>
      </c>
      <c r="J694" s="15" t="n"/>
      <c r="K694" s="15" t="n"/>
      <c r="L694" s="15" t="n"/>
      <c r="M694" s="16" t="n"/>
    </row>
    <row r="695">
      <c r="A695" s="15" t="inlineStr">
        <is>
          <t>governing-body</t>
        </is>
      </c>
      <c r="B695" s="15" t="n">
        <v>12</v>
      </c>
      <c r="C695" s="15" t="inlineStr">
        <is>
          <t>ruler</t>
        </is>
      </c>
      <c r="D695" s="15" t="n"/>
      <c r="E695" s="15" t="inlineStr">
        <is>
          <t>Kenneth Cook, Jr. serves on the Governing Body</t>
        </is>
      </c>
      <c r="F695" s="15" t="inlineStr">
        <is>
          <t>b12-0112</t>
        </is>
      </c>
      <c r="G695" s="15" t="inlineStr">
        <is>
          <t>Span</t>
        </is>
      </c>
      <c r="H695" s="15" t="inlineStr">
        <is>
          <t>January 24, 2018–</t>
        </is>
      </c>
      <c r="I695" s="15" t="inlineStr">
        <is>
          <t>Kenneth Cook, Jr. serves on the Governing Body</t>
        </is>
      </c>
      <c r="J695" s="15" t="n"/>
      <c r="K695" s="15" t="n"/>
      <c r="L695" s="15" t="n"/>
      <c r="M695" s="16" t="n"/>
    </row>
    <row r="696">
      <c r="A696" s="15" t="inlineStr">
        <is>
          <t>governing-body</t>
        </is>
      </c>
      <c r="B696" s="15" t="n">
        <v>13</v>
      </c>
      <c r="C696" s="15" t="inlineStr">
        <is>
          <t>ruler</t>
        </is>
      </c>
      <c r="D696" s="15" t="n"/>
      <c r="E696" s="15" t="inlineStr">
        <is>
          <t>Gage Fleegle serves on the Governing Body</t>
        </is>
      </c>
      <c r="F696" s="15" t="inlineStr">
        <is>
          <t>b12-0114</t>
        </is>
      </c>
      <c r="G696" s="15" t="inlineStr">
        <is>
          <t>Span</t>
        </is>
      </c>
      <c r="H696" s="15" t="inlineStr">
        <is>
          <t>January 18, 2023–</t>
        </is>
      </c>
      <c r="I696" s="15" t="inlineStr">
        <is>
          <t>Gage Fleegle serves on the Governing Body</t>
        </is>
      </c>
      <c r="J696" s="15" t="n"/>
      <c r="K696" s="15" t="n"/>
      <c r="L696" s="15" t="n"/>
      <c r="M696" s="16" t="n"/>
    </row>
    <row r="697">
      <c r="A697" s="15" t="inlineStr">
        <is>
          <t>governing-body</t>
        </is>
      </c>
      <c r="B697" s="15" t="n">
        <v>14</v>
      </c>
      <c r="C697" s="15" t="inlineStr">
        <is>
          <t>ruler</t>
        </is>
      </c>
      <c r="D697" s="15" t="n"/>
      <c r="E697" s="15" t="inlineStr">
        <is>
          <t>Jeffrey Winder serves on the Governing Body</t>
        </is>
      </c>
      <c r="F697" s="15" t="inlineStr">
        <is>
          <t>b12-0115</t>
        </is>
      </c>
      <c r="G697" s="15" t="inlineStr">
        <is>
          <t>Span</t>
        </is>
      </c>
      <c r="H697" s="15" t="inlineStr">
        <is>
          <t>January 18, 2023–</t>
        </is>
      </c>
      <c r="I697" s="15" t="inlineStr">
        <is>
          <t>Jeffrey Winder serves on the Governing Body</t>
        </is>
      </c>
      <c r="J697" s="15" t="n"/>
      <c r="K697" s="15" t="n"/>
      <c r="L697" s="15" t="n"/>
      <c r="M697" s="16" t="n"/>
    </row>
    <row r="698">
      <c r="A698" s="15" t="inlineStr">
        <is>
          <t>governing-body</t>
        </is>
      </c>
      <c r="B698" s="15" t="n">
        <v>15</v>
      </c>
      <c r="C698" s="15" t="inlineStr">
        <is>
          <t>ruler</t>
        </is>
      </c>
      <c r="D698" s="15" t="n"/>
      <c r="E698" s="15" t="inlineStr">
        <is>
          <t>Jody Jedele serves on the Governing Body</t>
        </is>
      </c>
      <c r="F698" s="15" t="inlineStr">
        <is>
          <t>b12-0116</t>
        </is>
      </c>
      <c r="G698" s="15" t="inlineStr">
        <is>
          <t>Span</t>
        </is>
      </c>
      <c r="H698" s="15" t="inlineStr">
        <is>
          <t>October 5, 2024–</t>
        </is>
      </c>
      <c r="I698" s="15" t="inlineStr">
        <is>
          <t>Jody Jedele serves on the Governing Body</t>
        </is>
      </c>
      <c r="J698" s="15" t="n"/>
      <c r="K698" s="15" t="n"/>
      <c r="L698" s="15" t="n"/>
      <c r="M698" s="16" t="n"/>
    </row>
    <row r="699">
      <c r="A699" s="15" t="inlineStr">
        <is>
          <t>governing-body</t>
        </is>
      </c>
      <c r="B699" s="15" t="n">
        <v>16</v>
      </c>
      <c r="C699" s="15" t="inlineStr">
        <is>
          <t>ruler</t>
        </is>
      </c>
      <c r="D699" s="15" t="n"/>
      <c r="E699" s="15" t="inlineStr">
        <is>
          <t>Jacob Rumph serves on the Governing Body</t>
        </is>
      </c>
      <c r="F699" s="15" t="inlineStr">
        <is>
          <t>b12-0117</t>
        </is>
      </c>
      <c r="G699" s="15" t="inlineStr">
        <is>
          <t>Span</t>
        </is>
      </c>
      <c r="H699" s="15" t="inlineStr">
        <is>
          <t>October 5, 2024–</t>
        </is>
      </c>
      <c r="I699" s="15" t="inlineStr">
        <is>
          <t>Jacob Rumph serves on the Governing Body</t>
        </is>
      </c>
      <c r="J699" s="15" t="n"/>
      <c r="K699" s="15" t="n"/>
      <c r="L699" s="15" t="n"/>
      <c r="M699" s="16" t="n"/>
    </row>
    <row r="700">
      <c r="A700" s="15" t="inlineStr">
        <is>
          <t>judges-of-israel</t>
        </is>
      </c>
      <c r="B700" s="15" t="n">
        <v>1</v>
      </c>
      <c r="C700" s="15" t="inlineStr">
        <is>
          <t>ruler</t>
        </is>
      </c>
      <c r="D700" s="15" t="n"/>
      <c r="E700" s="15" t="inlineStr">
        <is>
          <t>Othniel delivers Israel from Cushan-rishathaim</t>
        </is>
      </c>
      <c r="F700" s="15" t="inlineStr">
        <is>
          <t>b2-0058</t>
        </is>
      </c>
      <c r="G700" s="15" t="inlineStr">
        <is>
          <t>Span</t>
        </is>
      </c>
      <c r="H700" s="15" t="inlineStr">
        <is>
          <t>Period of the Judges (c. 1450–c. 1120 B.C.E.; date not stated)</t>
        </is>
      </c>
      <c r="I700" s="15" t="inlineStr">
        <is>
          <t>Othniel delivers Israel from Cushan-rishathaim</t>
        </is>
      </c>
      <c r="J700" s="15" t="n"/>
      <c r="K700" s="15" t="n"/>
      <c r="L700" s="15" t="n"/>
      <c r="M700" s="16" t="n"/>
    </row>
    <row r="701">
      <c r="A701" s="15" t="inlineStr">
        <is>
          <t>judges-of-israel</t>
        </is>
      </c>
      <c r="B701" s="15" t="n">
        <v>2</v>
      </c>
      <c r="C701" s="15" t="inlineStr">
        <is>
          <t>ruler</t>
        </is>
      </c>
      <c r="D701" s="15" t="n"/>
      <c r="E701" s="15" t="inlineStr">
        <is>
          <t>Ehud delivers Israel from Moab</t>
        </is>
      </c>
      <c r="F701" s="15" t="inlineStr">
        <is>
          <t>b2-0060</t>
        </is>
      </c>
      <c r="G701" s="15" t="inlineStr">
        <is>
          <t>Span</t>
        </is>
      </c>
      <c r="H701" s="15" t="inlineStr">
        <is>
          <t>Period of the Judges (c. 1450–c. 1120 B.C.E.; date not stated)</t>
        </is>
      </c>
      <c r="I701" s="15" t="inlineStr">
        <is>
          <t>Ehud delivers Israel from Moab</t>
        </is>
      </c>
      <c r="J701" s="15" t="n"/>
      <c r="K701" s="15" t="n"/>
      <c r="L701" s="15" t="n"/>
      <c r="M701" s="16" t="n"/>
    </row>
    <row r="702">
      <c r="A702" s="15" t="inlineStr">
        <is>
          <t>judges-of-israel</t>
        </is>
      </c>
      <c r="B702" s="15" t="n">
        <v>3</v>
      </c>
      <c r="C702" s="15" t="inlineStr">
        <is>
          <t>ruler</t>
        </is>
      </c>
      <c r="D702" s="15" t="n"/>
      <c r="E702" s="15" t="inlineStr">
        <is>
          <t>Shamgar saves Israel from the Philistines</t>
        </is>
      </c>
      <c r="F702" s="15" t="inlineStr">
        <is>
          <t>b2-0062</t>
        </is>
      </c>
      <c r="G702" s="15" t="inlineStr">
        <is>
          <t>Span</t>
        </is>
      </c>
      <c r="H702" s="15" t="inlineStr">
        <is>
          <t>Period of the Judges (c. 1450–c. 1120 B.C.E.; date not stated)</t>
        </is>
      </c>
      <c r="I702" s="15" t="inlineStr">
        <is>
          <t>Shamgar saves Israel from the Philistines</t>
        </is>
      </c>
      <c r="J702" s="15" t="n"/>
      <c r="K702" s="15" t="n"/>
      <c r="L702" s="15" t="n"/>
      <c r="M702" s="16" t="n"/>
    </row>
    <row r="703">
      <c r="A703" s="15" t="inlineStr">
        <is>
          <t>judges-of-israel</t>
        </is>
      </c>
      <c r="B703" s="15" t="n">
        <v>4</v>
      </c>
      <c r="C703" s="15" t="inlineStr">
        <is>
          <t>ruler</t>
        </is>
      </c>
      <c r="D703" s="15" t="n"/>
      <c r="E703" s="15" t="inlineStr">
        <is>
          <t>Deborah and Barak defeat Jabin and Sisera</t>
        </is>
      </c>
      <c r="F703" s="15" t="inlineStr">
        <is>
          <t>b2-0063</t>
        </is>
      </c>
      <c r="G703" s="15" t="inlineStr">
        <is>
          <t>Span</t>
        </is>
      </c>
      <c r="H703" s="15" t="inlineStr">
        <is>
          <t>Period of the Judges (c. 1450–c. 1120 B.C.E.; date not stated)</t>
        </is>
      </c>
      <c r="I703" s="15" t="inlineStr">
        <is>
          <t>Deborah and Barak defeat Jabin and Sisera</t>
        </is>
      </c>
      <c r="J703" s="15" t="n"/>
      <c r="K703" s="15" t="n"/>
      <c r="L703" s="15" t="n"/>
      <c r="M703" s="16" t="n"/>
    </row>
    <row r="704">
      <c r="A704" s="15" t="inlineStr">
        <is>
          <t>judges-of-israel</t>
        </is>
      </c>
      <c r="B704" s="15" t="n">
        <v>5</v>
      </c>
      <c r="C704" s="15" t="inlineStr">
        <is>
          <t>ruler</t>
        </is>
      </c>
      <c r="D704" s="15" t="n"/>
      <c r="E704" s="15" t="inlineStr">
        <is>
          <t>Gideon delivers Israel from Midian</t>
        </is>
      </c>
      <c r="F704" s="15" t="inlineStr">
        <is>
          <t>b2-0065</t>
        </is>
      </c>
      <c r="G704" s="15" t="inlineStr">
        <is>
          <t>Span</t>
        </is>
      </c>
      <c r="H704" s="15" t="inlineStr">
        <is>
          <t>Period of the Judges (c. 1450–c. 1120 B.C.E.; date not stated)</t>
        </is>
      </c>
      <c r="I704" s="15" t="inlineStr">
        <is>
          <t>Gideon delivers Israel from Midian</t>
        </is>
      </c>
      <c r="J704" s="15" t="n"/>
      <c r="K704" s="15" t="n"/>
      <c r="L704" s="15" t="n"/>
      <c r="M704" s="16" t="n"/>
    </row>
    <row r="705">
      <c r="A705" s="15" t="inlineStr">
        <is>
          <t>judges-of-israel</t>
        </is>
      </c>
      <c r="B705" s="15" t="n">
        <v>6</v>
      </c>
      <c r="C705" s="15" t="inlineStr">
        <is>
          <t>ruler</t>
        </is>
      </c>
      <c r="D705" s="15" t="n"/>
      <c r="E705" s="15" t="inlineStr">
        <is>
          <t>Tola judges Israel 23 years</t>
        </is>
      </c>
      <c r="F705" s="15" t="inlineStr">
        <is>
          <t>b2-0067</t>
        </is>
      </c>
      <c r="G705" s="15" t="inlineStr">
        <is>
          <t>Span</t>
        </is>
      </c>
      <c r="H705" s="15" t="inlineStr">
        <is>
          <t>Period of the Judges (c. 1450–c. 1120 B.C.E.; date not stated)</t>
        </is>
      </c>
      <c r="I705" s="15" t="inlineStr">
        <is>
          <t>Tola judges Israel 23 years</t>
        </is>
      </c>
      <c r="J705" s="15" t="n"/>
      <c r="K705" s="15" t="n"/>
      <c r="L705" s="15" t="n"/>
      <c r="M705" s="16" t="n"/>
    </row>
    <row r="706">
      <c r="A706" s="15" t="inlineStr">
        <is>
          <t>judges-of-israel</t>
        </is>
      </c>
      <c r="B706" s="15" t="n">
        <v>7</v>
      </c>
      <c r="C706" s="15" t="inlineStr">
        <is>
          <t>ruler</t>
        </is>
      </c>
      <c r="D706" s="15" t="n"/>
      <c r="E706" s="15" t="inlineStr">
        <is>
          <t>Jair judges Israel 22 years</t>
        </is>
      </c>
      <c r="F706" s="15" t="inlineStr">
        <is>
          <t>b2-0068</t>
        </is>
      </c>
      <c r="G706" s="15" t="inlineStr">
        <is>
          <t>Span</t>
        </is>
      </c>
      <c r="H706" s="15" t="inlineStr">
        <is>
          <t>Period of the Judges (c. 1450–c. 1120 B.C.E.; date not stated)</t>
        </is>
      </c>
      <c r="I706" s="15" t="inlineStr">
        <is>
          <t>Jair judges Israel 22 years</t>
        </is>
      </c>
      <c r="J706" s="15" t="n"/>
      <c r="K706" s="15" t="n"/>
      <c r="L706" s="15" t="n"/>
      <c r="M706" s="16" t="n"/>
    </row>
    <row r="707">
      <c r="A707" s="15" t="inlineStr">
        <is>
          <t>judges-of-israel</t>
        </is>
      </c>
      <c r="B707" s="15" t="n">
        <v>8</v>
      </c>
      <c r="C707" s="15" t="inlineStr">
        <is>
          <t>ruler</t>
        </is>
      </c>
      <c r="D707" s="15" t="n"/>
      <c r="E707" s="15" t="inlineStr">
        <is>
          <t>Jephthah defeats Ammon and begins six-year judgeship</t>
        </is>
      </c>
      <c r="F707" s="15" t="inlineStr">
        <is>
          <t>b2-0071</t>
        </is>
      </c>
      <c r="G707" s="15" t="inlineStr">
        <is>
          <t>Point</t>
        </is>
      </c>
      <c r="H707" s="15" t="inlineStr">
        <is>
          <t>c. 1173 B.C.E.</t>
        </is>
      </c>
      <c r="I707" s="15" t="inlineStr">
        <is>
          <t>Jephthah defeats Ammon and begins six-year judgeship</t>
        </is>
      </c>
      <c r="J707" s="15" t="n"/>
      <c r="K707" s="15" t="n"/>
      <c r="L707" s="15" t="n"/>
      <c r="M707" s="16" t="n"/>
    </row>
    <row r="708">
      <c r="A708" s="15" t="inlineStr">
        <is>
          <t>judges-of-israel</t>
        </is>
      </c>
      <c r="B708" s="15" t="n">
        <v>9</v>
      </c>
      <c r="C708" s="15" t="inlineStr">
        <is>
          <t>ruler</t>
        </is>
      </c>
      <c r="D708" s="15" t="n"/>
      <c r="E708" s="15" t="inlineStr">
        <is>
          <t>Ibzan judges Israel 7 years</t>
        </is>
      </c>
      <c r="F708" s="15" t="inlineStr">
        <is>
          <t>b2-0072</t>
        </is>
      </c>
      <c r="G708" s="15" t="inlineStr">
        <is>
          <t>Span</t>
        </is>
      </c>
      <c r="H708" s="15" t="inlineStr">
        <is>
          <t>Period of the Judges (c. 1450–c. 1120 B.C.E.; date not stated)</t>
        </is>
      </c>
      <c r="I708" s="15" t="inlineStr">
        <is>
          <t>Ibzan judges Israel 7 years</t>
        </is>
      </c>
      <c r="J708" s="15" t="n"/>
      <c r="K708" s="15" t="n"/>
      <c r="L708" s="15" t="n"/>
      <c r="M708" s="16" t="n"/>
    </row>
    <row r="709">
      <c r="A709" s="15" t="inlineStr">
        <is>
          <t>judges-of-israel</t>
        </is>
      </c>
      <c r="B709" s="15" t="n">
        <v>10</v>
      </c>
      <c r="C709" s="15" t="inlineStr">
        <is>
          <t>ruler</t>
        </is>
      </c>
      <c r="D709" s="15" t="n"/>
      <c r="E709" s="15" t="inlineStr">
        <is>
          <t>Elon judges Israel 10 years</t>
        </is>
      </c>
      <c r="F709" s="15" t="inlineStr">
        <is>
          <t>b2-0073</t>
        </is>
      </c>
      <c r="G709" s="15" t="inlineStr">
        <is>
          <t>Span</t>
        </is>
      </c>
      <c r="H709" s="15" t="inlineStr">
        <is>
          <t>Period of the Judges (c. 1450–c. 1120 B.C.E.; date not stated)</t>
        </is>
      </c>
      <c r="I709" s="15" t="inlineStr">
        <is>
          <t>Elon judges Israel 10 years</t>
        </is>
      </c>
      <c r="J709" s="15" t="n"/>
      <c r="K709" s="15" t="n"/>
      <c r="L709" s="15" t="n"/>
      <c r="M709" s="16" t="n"/>
    </row>
    <row r="710">
      <c r="A710" s="15" t="inlineStr">
        <is>
          <t>judges-of-israel</t>
        </is>
      </c>
      <c r="B710" s="15" t="n">
        <v>11</v>
      </c>
      <c r="C710" s="15" t="inlineStr">
        <is>
          <t>ruler</t>
        </is>
      </c>
      <c r="D710" s="15" t="n"/>
      <c r="E710" s="15" t="inlineStr">
        <is>
          <t>Abdon judges Israel 8 years</t>
        </is>
      </c>
      <c r="F710" s="15" t="inlineStr">
        <is>
          <t>b2-0074</t>
        </is>
      </c>
      <c r="G710" s="15" t="inlineStr">
        <is>
          <t>Span</t>
        </is>
      </c>
      <c r="H710" s="15" t="inlineStr">
        <is>
          <t>Period of the Judges (c. 1450–c. 1120 B.C.E.; date not stated)</t>
        </is>
      </c>
      <c r="I710" s="15" t="inlineStr">
        <is>
          <t>Abdon judges Israel 8 years</t>
        </is>
      </c>
      <c r="J710" s="15" t="n"/>
      <c r="K710" s="15" t="n"/>
      <c r="L710" s="15" t="n"/>
      <c r="M710" s="16" t="n"/>
    </row>
    <row r="711">
      <c r="A711" s="15" t="inlineStr">
        <is>
          <t>judges-of-israel</t>
        </is>
      </c>
      <c r="B711" s="15" t="n">
        <v>12</v>
      </c>
      <c r="C711" s="15" t="inlineStr">
        <is>
          <t>ruler</t>
        </is>
      </c>
      <c r="D711" s="15" t="n"/>
      <c r="E711" s="15" t="inlineStr">
        <is>
          <t>Samson judges Israel 20 years</t>
        </is>
      </c>
      <c r="F711" s="15" t="inlineStr">
        <is>
          <t>b2-0075</t>
        </is>
      </c>
      <c r="G711" s="15" t="inlineStr">
        <is>
          <t>Span</t>
        </is>
      </c>
      <c r="H711" s="15" t="inlineStr">
        <is>
          <t>Period of the Judges (c. 1450–c. 1120 B.C.E.; date not stated)</t>
        </is>
      </c>
      <c r="I711" s="15" t="inlineStr">
        <is>
          <t>Samson judges Israel 20 years</t>
        </is>
      </c>
      <c r="J711" s="15" t="n"/>
      <c r="K711" s="15" t="n"/>
      <c r="L711" s="15" t="n"/>
      <c r="M711" s="16" t="n"/>
    </row>
    <row r="712">
      <c r="A712" s="15" t="inlineStr">
        <is>
          <t>kings-of-israel</t>
        </is>
      </c>
      <c r="B712" s="15" t="n">
        <v>1</v>
      </c>
      <c r="C712" s="15" t="inlineStr">
        <is>
          <t>ruler</t>
        </is>
      </c>
      <c r="D712" s="15" t="n"/>
      <c r="E712" s="15" t="inlineStr">
        <is>
          <t>Reign of Jeroboam (Israel)</t>
        </is>
      </c>
      <c r="F712" s="15" t="inlineStr">
        <is>
          <t>d1-0052</t>
        </is>
      </c>
      <c r="G712" s="15" t="inlineStr">
        <is>
          <t>Span</t>
        </is>
      </c>
      <c r="H712" s="15" t="inlineStr">
        <is>
          <t>997 B.C.E. – c. 976 B.C.E.</t>
        </is>
      </c>
      <c r="I712" s="15" t="inlineStr">
        <is>
          <t>Reign of Jeroboam (Israel)</t>
        </is>
      </c>
      <c r="J712" s="15" t="n"/>
      <c r="K712" s="15" t="n"/>
      <c r="L712" s="15" t="n"/>
      <c r="M712" s="16" t="n"/>
    </row>
    <row r="713">
      <c r="A713" s="15" t="inlineStr">
        <is>
          <t>kings-of-israel</t>
        </is>
      </c>
      <c r="B713" s="15" t="n">
        <v>2</v>
      </c>
      <c r="C713" s="15" t="inlineStr">
        <is>
          <t>ruler</t>
        </is>
      </c>
      <c r="D713" s="15" t="n"/>
      <c r="E713" s="15" t="inlineStr">
        <is>
          <t>Reign of Nadab (Israel)</t>
        </is>
      </c>
      <c r="F713" s="15" t="inlineStr">
        <is>
          <t>d1-0053</t>
        </is>
      </c>
      <c r="G713" s="15" t="inlineStr">
        <is>
          <t>Span</t>
        </is>
      </c>
      <c r="H713" s="15" t="inlineStr">
        <is>
          <t>c. 976 B.C.E. – c. 975 B.C.E.</t>
        </is>
      </c>
      <c r="I713" s="15" t="inlineStr">
        <is>
          <t>Reign of Nadab (Israel)</t>
        </is>
      </c>
      <c r="J713" s="15" t="n"/>
      <c r="K713" s="15" t="n"/>
      <c r="L713" s="15" t="n"/>
      <c r="M713" s="16" t="n"/>
    </row>
    <row r="714">
      <c r="A714" s="15" t="inlineStr">
        <is>
          <t>kings-of-israel</t>
        </is>
      </c>
      <c r="B714" s="15" t="n">
        <v>3</v>
      </c>
      <c r="C714" s="15" t="inlineStr">
        <is>
          <t>ruler</t>
        </is>
      </c>
      <c r="D714" s="15" t="n"/>
      <c r="E714" s="15" t="inlineStr">
        <is>
          <t>Reign of Baasha (Israel)</t>
        </is>
      </c>
      <c r="F714" s="15" t="inlineStr">
        <is>
          <t>d1-0054</t>
        </is>
      </c>
      <c r="G714" s="15" t="inlineStr">
        <is>
          <t>Span</t>
        </is>
      </c>
      <c r="H714" s="15" t="inlineStr">
        <is>
          <t>c. 975 B.C.E. – c. 952 B.C.E.</t>
        </is>
      </c>
      <c r="I714" s="15" t="inlineStr">
        <is>
          <t>Reign of Baasha (Israel)</t>
        </is>
      </c>
      <c r="J714" s="15" t="n"/>
      <c r="K714" s="15" t="n"/>
      <c r="L714" s="15" t="n"/>
      <c r="M714" s="16" t="n"/>
    </row>
    <row r="715">
      <c r="A715" s="15" t="inlineStr">
        <is>
          <t>kings-of-israel</t>
        </is>
      </c>
      <c r="B715" s="15" t="n">
        <v>4</v>
      </c>
      <c r="C715" s="15" t="inlineStr">
        <is>
          <t>ruler</t>
        </is>
      </c>
      <c r="D715" s="15" t="n"/>
      <c r="E715" s="15" t="inlineStr">
        <is>
          <t>Reign of Elah (Israel)</t>
        </is>
      </c>
      <c r="F715" s="15" t="inlineStr">
        <is>
          <t>d1-0055</t>
        </is>
      </c>
      <c r="G715" s="15" t="inlineStr">
        <is>
          <t>Span</t>
        </is>
      </c>
      <c r="H715" s="15" t="inlineStr">
        <is>
          <t>c. 952 B.C.E. – c. 951 B.C.E.</t>
        </is>
      </c>
      <c r="I715" s="15" t="inlineStr">
        <is>
          <t>Reign of Elah (Israel)</t>
        </is>
      </c>
      <c r="J715" s="15" t="n"/>
      <c r="K715" s="15" t="n"/>
      <c r="L715" s="15" t="n"/>
      <c r="M715" s="16" t="n"/>
    </row>
    <row r="716">
      <c r="A716" s="15" t="inlineStr">
        <is>
          <t>kings-of-israel</t>
        </is>
      </c>
      <c r="B716" s="15" t="n">
        <v>5</v>
      </c>
      <c r="C716" s="15" t="inlineStr">
        <is>
          <t>ruler</t>
        </is>
      </c>
      <c r="D716" s="15" t="n"/>
      <c r="E716" s="15" t="inlineStr">
        <is>
          <t>Reign of Zimri (Israel)</t>
        </is>
      </c>
      <c r="F716" s="15" t="inlineStr">
        <is>
          <t>d1-0056</t>
        </is>
      </c>
      <c r="G716" s="15" t="inlineStr">
        <is>
          <t>Span</t>
        </is>
      </c>
      <c r="H716" s="15" t="inlineStr">
        <is>
          <t>c. 951 B.C.E.</t>
        </is>
      </c>
      <c r="I716" s="15" t="inlineStr">
        <is>
          <t>Reign of Zimri (Israel)</t>
        </is>
      </c>
      <c r="J716" s="15" t="n"/>
      <c r="K716" s="15" t="n"/>
      <c r="L716" s="15" t="n"/>
      <c r="M716" s="16" t="n"/>
    </row>
    <row r="717">
      <c r="A717" s="15" t="inlineStr">
        <is>
          <t>kings-of-israel</t>
        </is>
      </c>
      <c r="B717" s="15" t="n">
        <v>6</v>
      </c>
      <c r="C717" s="15" t="inlineStr">
        <is>
          <t>ruler</t>
        </is>
      </c>
      <c r="D717" s="15" t="n"/>
      <c r="E717" s="15" t="inlineStr">
        <is>
          <t>Reign of Omri (Israel)</t>
        </is>
      </c>
      <c r="F717" s="15" t="inlineStr">
        <is>
          <t>d1-0057</t>
        </is>
      </c>
      <c r="G717" s="15" t="inlineStr">
        <is>
          <t>Span</t>
        </is>
      </c>
      <c r="H717" s="15" t="inlineStr">
        <is>
          <t>c. 951 B.C.E. – c. 940 B.C.E.</t>
        </is>
      </c>
      <c r="I717" s="15" t="inlineStr">
        <is>
          <t>Reign of Omri (Israel)</t>
        </is>
      </c>
      <c r="J717" s="15" t="n"/>
      <c r="K717" s="15" t="n"/>
      <c r="L717" s="15" t="n"/>
      <c r="M717" s="16" t="n"/>
    </row>
    <row r="718">
      <c r="A718" s="15" t="inlineStr">
        <is>
          <t>kings-of-israel</t>
        </is>
      </c>
      <c r="B718" s="15" t="n">
        <v>7</v>
      </c>
      <c r="C718" s="15" t="inlineStr">
        <is>
          <t>ruler</t>
        </is>
      </c>
      <c r="D718" s="15" t="n"/>
      <c r="E718" s="15" t="inlineStr">
        <is>
          <t>Reign of Ahab (Israel)</t>
        </is>
      </c>
      <c r="F718" s="15" t="inlineStr">
        <is>
          <t>d1-0058</t>
        </is>
      </c>
      <c r="G718" s="15" t="inlineStr">
        <is>
          <t>Span</t>
        </is>
      </c>
      <c r="H718" s="15" t="inlineStr">
        <is>
          <t>c. 940 B.C.E. – c. 920 B.C.E.</t>
        </is>
      </c>
      <c r="I718" s="15" t="inlineStr">
        <is>
          <t>Reign of Ahab (Israel)</t>
        </is>
      </c>
      <c r="J718" s="15" t="n"/>
      <c r="K718" s="15" t="n"/>
      <c r="L718" s="15" t="n"/>
      <c r="M718" s="16" t="n"/>
    </row>
    <row r="719">
      <c r="A719" s="15" t="inlineStr">
        <is>
          <t>kings-of-israel</t>
        </is>
      </c>
      <c r="B719" s="15" t="n">
        <v>8</v>
      </c>
      <c r="C719" s="15" t="inlineStr">
        <is>
          <t>ruler</t>
        </is>
      </c>
      <c r="D719" s="15" t="n"/>
      <c r="E719" s="15" t="inlineStr">
        <is>
          <t>Reign of Ahaziah (Israel)</t>
        </is>
      </c>
      <c r="F719" s="15" t="inlineStr">
        <is>
          <t>d1-0059</t>
        </is>
      </c>
      <c r="G719" s="15" t="inlineStr">
        <is>
          <t>Span</t>
        </is>
      </c>
      <c r="H719" s="15" t="inlineStr">
        <is>
          <t>c. 920 B.C.E. – c. 917 B.C.E.</t>
        </is>
      </c>
      <c r="I719" s="15" t="inlineStr">
        <is>
          <t>Reign of Ahaziah (Israel)</t>
        </is>
      </c>
      <c r="J719" s="15" t="n"/>
      <c r="K719" s="15" t="n"/>
      <c r="L719" s="15" t="n"/>
      <c r="M719" s="16" t="n"/>
    </row>
    <row r="720">
      <c r="A720" s="15" t="inlineStr">
        <is>
          <t>kings-of-israel</t>
        </is>
      </c>
      <c r="B720" s="15" t="n">
        <v>9</v>
      </c>
      <c r="C720" s="15" t="inlineStr">
        <is>
          <t>ruler</t>
        </is>
      </c>
      <c r="D720" s="15" t="n"/>
      <c r="E720" s="15" t="inlineStr">
        <is>
          <t>Reign of Jehoram (Israel)</t>
        </is>
      </c>
      <c r="F720" s="15" t="inlineStr">
        <is>
          <t>d1-0060</t>
        </is>
      </c>
      <c r="G720" s="15" t="inlineStr">
        <is>
          <t>Span</t>
        </is>
      </c>
      <c r="H720" s="15" t="inlineStr">
        <is>
          <t>c. 917 B.C.E. – c. 905 B.C.E.</t>
        </is>
      </c>
      <c r="I720" s="15" t="inlineStr">
        <is>
          <t>Reign of Jehoram (Israel)</t>
        </is>
      </c>
      <c r="J720" s="15" t="n"/>
      <c r="K720" s="15" t="n"/>
      <c r="L720" s="15" t="n"/>
      <c r="M720" s="16" t="n"/>
    </row>
    <row r="721">
      <c r="A721" s="15" t="inlineStr">
        <is>
          <t>kings-of-israel</t>
        </is>
      </c>
      <c r="B721" s="15" t="n">
        <v>10</v>
      </c>
      <c r="C721" s="15" t="inlineStr">
        <is>
          <t>ruler</t>
        </is>
      </c>
      <c r="D721" s="15" t="n"/>
      <c r="E721" s="15" t="inlineStr">
        <is>
          <t>Reign of Jehu (Israel)</t>
        </is>
      </c>
      <c r="F721" s="15" t="inlineStr">
        <is>
          <t>d1-0061</t>
        </is>
      </c>
      <c r="G721" s="15" t="inlineStr">
        <is>
          <t>Span</t>
        </is>
      </c>
      <c r="H721" s="15" t="inlineStr">
        <is>
          <t>c. 905 B.C.E. – 876 B.C.E.</t>
        </is>
      </c>
      <c r="I721" s="15" t="inlineStr">
        <is>
          <t>Reign of Jehu (Israel)</t>
        </is>
      </c>
      <c r="J721" s="15" t="n"/>
      <c r="K721" s="15" t="n"/>
      <c r="L721" s="15" t="n"/>
      <c r="M721" s="16" t="n"/>
    </row>
    <row r="722">
      <c r="A722" s="15" t="inlineStr">
        <is>
          <t>kings-of-israel</t>
        </is>
      </c>
      <c r="B722" s="15" t="n">
        <v>11</v>
      </c>
      <c r="C722" s="15" t="inlineStr">
        <is>
          <t>ruler</t>
        </is>
      </c>
      <c r="D722" s="15" t="n"/>
      <c r="E722" s="15" t="inlineStr">
        <is>
          <t>Reign of Jehoahaz (Israel)</t>
        </is>
      </c>
      <c r="F722" s="15" t="inlineStr">
        <is>
          <t>d1-0062</t>
        </is>
      </c>
      <c r="G722" s="15" t="inlineStr">
        <is>
          <t>Span</t>
        </is>
      </c>
      <c r="H722" s="15" t="inlineStr">
        <is>
          <t>876 B.C.E. – c. 859 B.C.E.</t>
        </is>
      </c>
      <c r="I722" s="15" t="inlineStr">
        <is>
          <t>Reign of Jehoahaz (Israel)</t>
        </is>
      </c>
      <c r="J722" s="15" t="n"/>
      <c r="K722" s="15" t="n"/>
      <c r="L722" s="15" t="n"/>
      <c r="M722" s="16" t="n"/>
    </row>
    <row r="723">
      <c r="A723" s="15" t="inlineStr">
        <is>
          <t>kings-of-israel</t>
        </is>
      </c>
      <c r="B723" s="15" t="n">
        <v>12</v>
      </c>
      <c r="C723" s="15" t="inlineStr">
        <is>
          <t>ruler</t>
        </is>
      </c>
      <c r="D723" s="15" t="n"/>
      <c r="E723" s="15" t="inlineStr">
        <is>
          <t>Reign of Jehoash (Israel)</t>
        </is>
      </c>
      <c r="F723" s="15" t="inlineStr">
        <is>
          <t>d1-0063</t>
        </is>
      </c>
      <c r="G723" s="15" t="inlineStr">
        <is>
          <t>Span</t>
        </is>
      </c>
      <c r="H723" s="15" t="inlineStr">
        <is>
          <t>c. 859 B.C.E. – c. 844 B.C.E.</t>
        </is>
      </c>
      <c r="I723" s="15" t="inlineStr">
        <is>
          <t>Reign of Jehoash (Israel)</t>
        </is>
      </c>
      <c r="J723" s="15" t="n"/>
      <c r="K723" s="15" t="n"/>
      <c r="L723" s="15" t="n"/>
      <c r="M723" s="16" t="n"/>
    </row>
    <row r="724">
      <c r="A724" s="15" t="inlineStr">
        <is>
          <t>kings-of-israel</t>
        </is>
      </c>
      <c r="B724" s="15" t="n">
        <v>13</v>
      </c>
      <c r="C724" s="15" t="inlineStr">
        <is>
          <t>ruler</t>
        </is>
      </c>
      <c r="D724" s="15" t="n"/>
      <c r="E724" s="15" t="inlineStr">
        <is>
          <t>Reign of Jeroboam II (Israel)</t>
        </is>
      </c>
      <c r="F724" s="15" t="inlineStr">
        <is>
          <t>d1-0064</t>
        </is>
      </c>
      <c r="G724" s="15" t="inlineStr">
        <is>
          <t>Span</t>
        </is>
      </c>
      <c r="H724" s="15" t="inlineStr">
        <is>
          <t>c. 844 B.C.E. – c. 803 B.C.E.</t>
        </is>
      </c>
      <c r="I724" s="15" t="inlineStr">
        <is>
          <t>Reign of Jeroboam II (Israel)</t>
        </is>
      </c>
      <c r="J724" s="15" t="n"/>
      <c r="K724" s="15" t="n"/>
      <c r="L724" s="15" t="n"/>
      <c r="M724" s="16" t="n"/>
    </row>
    <row r="725">
      <c r="A725" s="15" t="inlineStr">
        <is>
          <t>kings-of-israel</t>
        </is>
      </c>
      <c r="B725" s="15" t="n">
        <v>14</v>
      </c>
      <c r="C725" s="15" t="inlineStr">
        <is>
          <t>ruler</t>
        </is>
      </c>
      <c r="D725" s="15" t="n"/>
      <c r="E725" s="15" t="inlineStr">
        <is>
          <t>Reign of Zechariah (Israel)</t>
        </is>
      </c>
      <c r="F725" s="15" t="inlineStr">
        <is>
          <t>d1-0065</t>
        </is>
      </c>
      <c r="G725" s="15" t="inlineStr">
        <is>
          <t>Span</t>
        </is>
      </c>
      <c r="H725" s="15" t="inlineStr">
        <is>
          <t>c. 803 B.C.E. – c. 791 B.C.E.</t>
        </is>
      </c>
      <c r="I725" s="15" t="inlineStr">
        <is>
          <t>Reign of Zechariah (Israel)</t>
        </is>
      </c>
      <c r="J725" s="15" t="n"/>
      <c r="K725" s="15" t="n"/>
      <c r="L725" s="15" t="n"/>
      <c r="M725" s="16" t="n"/>
    </row>
    <row r="726">
      <c r="A726" s="15" t="inlineStr">
        <is>
          <t>kings-of-israel</t>
        </is>
      </c>
      <c r="B726" s="15" t="n">
        <v>15</v>
      </c>
      <c r="C726" s="15" t="inlineStr">
        <is>
          <t>ruler</t>
        </is>
      </c>
      <c r="D726" s="15" t="n"/>
      <c r="E726" s="15" t="inlineStr">
        <is>
          <t>Reign of Shallum (Israel)</t>
        </is>
      </c>
      <c r="F726" s="15" t="inlineStr">
        <is>
          <t>d1-0066</t>
        </is>
      </c>
      <c r="G726" s="15" t="inlineStr">
        <is>
          <t>Span</t>
        </is>
      </c>
      <c r="H726" s="15" t="inlineStr">
        <is>
          <t>c. 791 B.C.E.</t>
        </is>
      </c>
      <c r="I726" s="15" t="inlineStr">
        <is>
          <t>Reign of Shallum (Israel)</t>
        </is>
      </c>
      <c r="J726" s="15" t="n"/>
      <c r="K726" s="15" t="n"/>
      <c r="L726" s="15" t="n"/>
      <c r="M726" s="16" t="n"/>
    </row>
    <row r="727">
      <c r="A727" s="15" t="inlineStr">
        <is>
          <t>kings-of-israel</t>
        </is>
      </c>
      <c r="B727" s="15" t="n">
        <v>16</v>
      </c>
      <c r="C727" s="15" t="inlineStr">
        <is>
          <t>ruler</t>
        </is>
      </c>
      <c r="D727" s="15" t="n"/>
      <c r="E727" s="15" t="inlineStr">
        <is>
          <t>Reign of Menahem (Israel)</t>
        </is>
      </c>
      <c r="F727" s="15" t="inlineStr">
        <is>
          <t>d1-0067</t>
        </is>
      </c>
      <c r="G727" s="15" t="inlineStr">
        <is>
          <t>Span</t>
        </is>
      </c>
      <c r="H727" s="15" t="inlineStr">
        <is>
          <t>c. 791 B.C.E. – c. 780 B.C.E.</t>
        </is>
      </c>
      <c r="I727" s="15" t="inlineStr">
        <is>
          <t>Reign of Menahem (Israel)</t>
        </is>
      </c>
      <c r="J727" s="15" t="n"/>
      <c r="K727" s="15" t="n"/>
      <c r="L727" s="15" t="n"/>
      <c r="M727" s="16" t="n"/>
    </row>
    <row r="728">
      <c r="A728" s="15" t="inlineStr">
        <is>
          <t>kings-of-israel</t>
        </is>
      </c>
      <c r="B728" s="15" t="n">
        <v>17</v>
      </c>
      <c r="C728" s="15" t="inlineStr">
        <is>
          <t>ruler</t>
        </is>
      </c>
      <c r="D728" s="15" t="n"/>
      <c r="E728" s="15" t="inlineStr">
        <is>
          <t>Reign of Pekahiah (Israel)</t>
        </is>
      </c>
      <c r="F728" s="15" t="inlineStr">
        <is>
          <t>d1-0068</t>
        </is>
      </c>
      <c r="G728" s="15" t="inlineStr">
        <is>
          <t>Span</t>
        </is>
      </c>
      <c r="H728" s="15" t="inlineStr">
        <is>
          <t>c. 780 B.C.E. – c. 778 B.C.E.</t>
        </is>
      </c>
      <c r="I728" s="15" t="inlineStr">
        <is>
          <t>Reign of Pekahiah (Israel)</t>
        </is>
      </c>
      <c r="J728" s="15" t="n"/>
      <c r="K728" s="15" t="n"/>
      <c r="L728" s="15" t="n"/>
      <c r="M728" s="16" t="n"/>
    </row>
    <row r="729">
      <c r="A729" s="15" t="inlineStr">
        <is>
          <t>kings-of-israel</t>
        </is>
      </c>
      <c r="B729" s="15" t="n">
        <v>18</v>
      </c>
      <c r="C729" s="15" t="inlineStr">
        <is>
          <t>ruler</t>
        </is>
      </c>
      <c r="D729" s="15" t="n"/>
      <c r="E729" s="15" t="inlineStr">
        <is>
          <t>Reign of Pekah (Israel)</t>
        </is>
      </c>
      <c r="F729" s="15" t="inlineStr">
        <is>
          <t>d1-0069</t>
        </is>
      </c>
      <c r="G729" s="15" t="inlineStr">
        <is>
          <t>Span</t>
        </is>
      </c>
      <c r="H729" s="15" t="inlineStr">
        <is>
          <t>c. 778 B.C.E. – c. 758 B.C.E.</t>
        </is>
      </c>
      <c r="I729" s="15" t="inlineStr">
        <is>
          <t>Reign of Pekah (Israel)</t>
        </is>
      </c>
      <c r="J729" s="15" t="n"/>
      <c r="K729" s="15" t="n"/>
      <c r="L729" s="15" t="n"/>
      <c r="M729" s="16" t="n"/>
    </row>
    <row r="730">
      <c r="A730" s="15" t="inlineStr">
        <is>
          <t>kings-of-israel</t>
        </is>
      </c>
      <c r="B730" s="15" t="n">
        <v>19</v>
      </c>
      <c r="C730" s="15" t="inlineStr">
        <is>
          <t>ruler</t>
        </is>
      </c>
      <c r="D730" s="15" t="n"/>
      <c r="E730" s="15" t="inlineStr">
        <is>
          <t>Reign of Hoshea (Israel)</t>
        </is>
      </c>
      <c r="F730" s="15" t="inlineStr">
        <is>
          <t>d1-0070</t>
        </is>
      </c>
      <c r="G730" s="15" t="inlineStr">
        <is>
          <t>Span</t>
        </is>
      </c>
      <c r="H730" s="15" t="inlineStr">
        <is>
          <t>c. 758 B.C.E. – 740 B.C.E.</t>
        </is>
      </c>
      <c r="I730" s="15" t="inlineStr">
        <is>
          <t>Reign of Hoshea (Israel)</t>
        </is>
      </c>
      <c r="J730" s="15" t="n"/>
      <c r="K730" s="15" t="n"/>
      <c r="L730" s="15" t="n"/>
      <c r="M730" s="16" t="n"/>
    </row>
    <row r="731">
      <c r="A731" s="15" t="inlineStr">
        <is>
          <t>kings-of-judah</t>
        </is>
      </c>
      <c r="B731" s="15" t="n">
        <v>1</v>
      </c>
      <c r="C731" s="15" t="inlineStr">
        <is>
          <t>ruler</t>
        </is>
      </c>
      <c r="D731" s="15" t="n"/>
      <c r="E731" s="15" t="inlineStr">
        <is>
          <t>Reign of Rehoboam (Judah)</t>
        </is>
      </c>
      <c r="F731" s="15" t="inlineStr">
        <is>
          <t>d1-0032</t>
        </is>
      </c>
      <c r="G731" s="15" t="inlineStr">
        <is>
          <t>Span</t>
        </is>
      </c>
      <c r="H731" s="15" t="inlineStr">
        <is>
          <t>997 B.C.E. – 980 B.C.E.</t>
        </is>
      </c>
      <c r="I731" s="15" t="inlineStr">
        <is>
          <t>Reign of Rehoboam (Judah)</t>
        </is>
      </c>
      <c r="J731" s="15" t="n"/>
      <c r="K731" s="15" t="n"/>
      <c r="L731" s="15" t="n"/>
      <c r="M731" s="16" t="n"/>
    </row>
    <row r="732">
      <c r="A732" s="15" t="inlineStr">
        <is>
          <t>kings-of-judah</t>
        </is>
      </c>
      <c r="B732" s="15" t="n">
        <v>2</v>
      </c>
      <c r="C732" s="15" t="inlineStr">
        <is>
          <t>ruler</t>
        </is>
      </c>
      <c r="D732" s="15" t="n"/>
      <c r="E732" s="15" t="inlineStr">
        <is>
          <t>Reign of Abijah (Judah)</t>
        </is>
      </c>
      <c r="F732" s="15" t="inlineStr">
        <is>
          <t>d1-0033</t>
        </is>
      </c>
      <c r="G732" s="15" t="inlineStr">
        <is>
          <t>Span</t>
        </is>
      </c>
      <c r="H732" s="15" t="inlineStr">
        <is>
          <t>980 B.C.E. – 978 B.C.E.</t>
        </is>
      </c>
      <c r="I732" s="15" t="inlineStr">
        <is>
          <t>Reign of Abijah (Judah)</t>
        </is>
      </c>
      <c r="J732" s="15" t="n"/>
      <c r="K732" s="15" t="n"/>
      <c r="L732" s="15" t="n"/>
      <c r="M732" s="16" t="n"/>
    </row>
    <row r="733">
      <c r="A733" s="15" t="inlineStr">
        <is>
          <t>kings-of-judah</t>
        </is>
      </c>
      <c r="B733" s="15" t="n">
        <v>3</v>
      </c>
      <c r="C733" s="15" t="inlineStr">
        <is>
          <t>ruler</t>
        </is>
      </c>
      <c r="D733" s="15" t="n"/>
      <c r="E733" s="15" t="inlineStr">
        <is>
          <t>Reign of Asa (Judah)</t>
        </is>
      </c>
      <c r="F733" s="15" t="inlineStr">
        <is>
          <t>d1-0034</t>
        </is>
      </c>
      <c r="G733" s="15" t="inlineStr">
        <is>
          <t>Span</t>
        </is>
      </c>
      <c r="H733" s="15" t="inlineStr">
        <is>
          <t>978 B.C.E. – 937 B.C.E.</t>
        </is>
      </c>
      <c r="I733" s="15" t="inlineStr">
        <is>
          <t>Reign of Asa (Judah)</t>
        </is>
      </c>
      <c r="J733" s="15" t="n"/>
      <c r="K733" s="15" t="n"/>
      <c r="L733" s="15" t="n"/>
      <c r="M733" s="16" t="n"/>
    </row>
    <row r="734">
      <c r="A734" s="15" t="inlineStr">
        <is>
          <t>kings-of-judah</t>
        </is>
      </c>
      <c r="B734" s="15" t="n">
        <v>4</v>
      </c>
      <c r="C734" s="15" t="inlineStr">
        <is>
          <t>ruler</t>
        </is>
      </c>
      <c r="D734" s="15" t="n"/>
      <c r="E734" s="15" t="inlineStr">
        <is>
          <t>Reign of Jehoshaphat (Judah)</t>
        </is>
      </c>
      <c r="F734" s="15" t="inlineStr">
        <is>
          <t>d1-0035</t>
        </is>
      </c>
      <c r="G734" s="15" t="inlineStr">
        <is>
          <t>Span</t>
        </is>
      </c>
      <c r="H734" s="15" t="inlineStr">
        <is>
          <t>937 B.C.E. – 913 B.C.E.</t>
        </is>
      </c>
      <c r="I734" s="15" t="inlineStr">
        <is>
          <t>Reign of Jehoshaphat (Judah)</t>
        </is>
      </c>
      <c r="J734" s="15" t="n"/>
      <c r="K734" s="15" t="n"/>
      <c r="L734" s="15" t="n"/>
      <c r="M734" s="16" t="n"/>
    </row>
    <row r="735">
      <c r="A735" s="15" t="inlineStr">
        <is>
          <t>kings-of-judah</t>
        </is>
      </c>
      <c r="B735" s="15" t="n">
        <v>5</v>
      </c>
      <c r="C735" s="15" t="inlineStr">
        <is>
          <t>ruler</t>
        </is>
      </c>
      <c r="D735" s="15" t="n"/>
      <c r="E735" s="15" t="inlineStr">
        <is>
          <t>Reign of Jehoram (Judah)</t>
        </is>
      </c>
      <c r="F735" s="15" t="inlineStr">
        <is>
          <t>d1-0036</t>
        </is>
      </c>
      <c r="G735" s="15" t="inlineStr">
        <is>
          <t>Span</t>
        </is>
      </c>
      <c r="H735" s="15" t="inlineStr">
        <is>
          <t>913 B.C.E. – c. 906 B.C.E.</t>
        </is>
      </c>
      <c r="I735" s="15" t="inlineStr">
        <is>
          <t>Reign of Jehoram (Judah)</t>
        </is>
      </c>
      <c r="J735" s="15" t="n"/>
      <c r="K735" s="15" t="n"/>
      <c r="L735" s="15" t="n"/>
      <c r="M735" s="16" t="n"/>
    </row>
    <row r="736">
      <c r="A736" s="15" t="inlineStr">
        <is>
          <t>kings-of-judah</t>
        </is>
      </c>
      <c r="B736" s="15" t="n">
        <v>6</v>
      </c>
      <c r="C736" s="15" t="inlineStr">
        <is>
          <t>ruler</t>
        </is>
      </c>
      <c r="D736" s="15" t="n"/>
      <c r="E736" s="15" t="inlineStr">
        <is>
          <t>Reign of Ahaziah (Judah)</t>
        </is>
      </c>
      <c r="F736" s="15" t="inlineStr">
        <is>
          <t>d1-0037</t>
        </is>
      </c>
      <c r="G736" s="15" t="inlineStr">
        <is>
          <t>Span</t>
        </is>
      </c>
      <c r="H736" s="15" t="inlineStr">
        <is>
          <t>c. 906 B.C.E. – c. 905 B.C.E.</t>
        </is>
      </c>
      <c r="I736" s="15" t="inlineStr">
        <is>
          <t>Reign of Ahaziah (Judah)</t>
        </is>
      </c>
      <c r="J736" s="15" t="n"/>
      <c r="K736" s="15" t="n"/>
      <c r="L736" s="15" t="n"/>
      <c r="M736" s="16" t="n"/>
    </row>
    <row r="737">
      <c r="A737" s="15" t="inlineStr">
        <is>
          <t>kings-of-judah</t>
        </is>
      </c>
      <c r="B737" s="15" t="n">
        <v>7</v>
      </c>
      <c r="C737" s="15" t="inlineStr">
        <is>
          <t>ruler</t>
        </is>
      </c>
      <c r="D737" s="15" t="n"/>
      <c r="E737" s="15" t="inlineStr">
        <is>
          <t>Reign of Athaliah (Judah)</t>
        </is>
      </c>
      <c r="F737" s="15" t="inlineStr">
        <is>
          <t>d1-0038</t>
        </is>
      </c>
      <c r="G737" s="15" t="inlineStr">
        <is>
          <t>Span</t>
        </is>
      </c>
      <c r="H737" s="15" t="inlineStr">
        <is>
          <t>c. 905 B.C.E. – 898 B.C.E.</t>
        </is>
      </c>
      <c r="I737" s="15" t="inlineStr">
        <is>
          <t>Reign of Athaliah (Judah)</t>
        </is>
      </c>
      <c r="J737" s="15" t="n"/>
      <c r="K737" s="15" t="n"/>
      <c r="L737" s="15" t="n"/>
      <c r="M737" s="16" t="n"/>
    </row>
    <row r="738">
      <c r="A738" s="15" t="inlineStr">
        <is>
          <t>kings-of-judah</t>
        </is>
      </c>
      <c r="B738" s="15" t="n">
        <v>8</v>
      </c>
      <c r="C738" s="15" t="inlineStr">
        <is>
          <t>ruler</t>
        </is>
      </c>
      <c r="D738" s="15" t="n"/>
      <c r="E738" s="15" t="inlineStr">
        <is>
          <t>Reign of Jehoash (Judah)</t>
        </is>
      </c>
      <c r="F738" s="15" t="inlineStr">
        <is>
          <t>d1-0039</t>
        </is>
      </c>
      <c r="G738" s="15" t="inlineStr">
        <is>
          <t>Span</t>
        </is>
      </c>
      <c r="H738" s="15" t="inlineStr">
        <is>
          <t>898 B.C.E. – 858 B.C.E.</t>
        </is>
      </c>
      <c r="I738" s="15" t="inlineStr">
        <is>
          <t>Reign of Jehoash (Judah)</t>
        </is>
      </c>
      <c r="J738" s="15" t="n"/>
      <c r="K738" s="15" t="n"/>
      <c r="L738" s="15" t="n"/>
      <c r="M738" s="16" t="n"/>
    </row>
    <row r="739">
      <c r="A739" s="15" t="inlineStr">
        <is>
          <t>kings-of-judah</t>
        </is>
      </c>
      <c r="B739" s="15" t="n">
        <v>9</v>
      </c>
      <c r="C739" s="15" t="inlineStr">
        <is>
          <t>ruler</t>
        </is>
      </c>
      <c r="D739" s="15" t="n"/>
      <c r="E739" s="15" t="inlineStr">
        <is>
          <t>Reign of Amaziah (Judah)</t>
        </is>
      </c>
      <c r="F739" s="15" t="inlineStr">
        <is>
          <t>d1-0040</t>
        </is>
      </c>
      <c r="G739" s="15" t="inlineStr">
        <is>
          <t>Span</t>
        </is>
      </c>
      <c r="H739" s="15" t="inlineStr">
        <is>
          <t>858 B.C.E. – 829 B.C.E.</t>
        </is>
      </c>
      <c r="I739" s="15" t="inlineStr">
        <is>
          <t>Reign of Amaziah (Judah)</t>
        </is>
      </c>
      <c r="J739" s="15" t="n"/>
      <c r="K739" s="15" t="n"/>
      <c r="L739" s="15" t="n"/>
      <c r="M739" s="16" t="n"/>
    </row>
    <row r="740">
      <c r="A740" s="15" t="inlineStr">
        <is>
          <t>kings-of-judah</t>
        </is>
      </c>
      <c r="B740" s="15" t="n">
        <v>10</v>
      </c>
      <c r="C740" s="15" t="inlineStr">
        <is>
          <t>ruler</t>
        </is>
      </c>
      <c r="D740" s="15" t="n"/>
      <c r="E740" s="15" t="inlineStr">
        <is>
          <t>Reign of Uzziah (Azariah) (Judah)</t>
        </is>
      </c>
      <c r="F740" s="15" t="inlineStr">
        <is>
          <t>d1-0041</t>
        </is>
      </c>
      <c r="G740" s="15" t="inlineStr">
        <is>
          <t>Span</t>
        </is>
      </c>
      <c r="H740" s="15" t="inlineStr">
        <is>
          <t>829 B.C.E. – 777 B.C.E.</t>
        </is>
      </c>
      <c r="I740" s="15" t="inlineStr">
        <is>
          <t>Reign of Uzziah (Azariah) (Judah)</t>
        </is>
      </c>
      <c r="J740" s="15" t="n"/>
      <c r="K740" s="15" t="n"/>
      <c r="L740" s="15" t="n"/>
      <c r="M740" s="16" t="n"/>
    </row>
    <row r="741">
      <c r="A741" s="15" t="inlineStr">
        <is>
          <t>kings-of-judah</t>
        </is>
      </c>
      <c r="B741" s="15" t="n">
        <v>11</v>
      </c>
      <c r="C741" s="15" t="inlineStr">
        <is>
          <t>ruler</t>
        </is>
      </c>
      <c r="D741" s="15" t="n"/>
      <c r="E741" s="15" t="inlineStr">
        <is>
          <t>Reign of Jotham (Judah)</t>
        </is>
      </c>
      <c r="F741" s="15" t="inlineStr">
        <is>
          <t>d1-0042</t>
        </is>
      </c>
      <c r="G741" s="15" t="inlineStr">
        <is>
          <t>Span</t>
        </is>
      </c>
      <c r="H741" s="15" t="inlineStr">
        <is>
          <t>777 B.C.E. – 762 B.C.E.</t>
        </is>
      </c>
      <c r="I741" s="15" t="inlineStr">
        <is>
          <t>Reign of Jotham (Judah)</t>
        </is>
      </c>
      <c r="J741" s="15" t="n"/>
      <c r="K741" s="15" t="n"/>
      <c r="L741" s="15" t="n"/>
      <c r="M741" s="16" t="n"/>
    </row>
    <row r="742">
      <c r="A742" s="15" t="inlineStr">
        <is>
          <t>kings-of-judah</t>
        </is>
      </c>
      <c r="B742" s="15" t="n">
        <v>12</v>
      </c>
      <c r="C742" s="15" t="inlineStr">
        <is>
          <t>ruler</t>
        </is>
      </c>
      <c r="D742" s="15" t="n"/>
      <c r="E742" s="15" t="inlineStr">
        <is>
          <t>Reign of Ahaz (Judah)</t>
        </is>
      </c>
      <c r="F742" s="15" t="inlineStr">
        <is>
          <t>d1-0043</t>
        </is>
      </c>
      <c r="G742" s="15" t="inlineStr">
        <is>
          <t>Span</t>
        </is>
      </c>
      <c r="H742" s="15" t="inlineStr">
        <is>
          <t>762 B.C.E. – 746 B.C.E.</t>
        </is>
      </c>
      <c r="I742" s="15" t="inlineStr">
        <is>
          <t>Reign of Ahaz (Judah)</t>
        </is>
      </c>
      <c r="J742" s="15" t="n"/>
      <c r="K742" s="15" t="n"/>
      <c r="L742" s="15" t="n"/>
      <c r="M742" s="16" t="n"/>
    </row>
    <row r="743">
      <c r="A743" s="15" t="inlineStr">
        <is>
          <t>kings-of-judah</t>
        </is>
      </c>
      <c r="B743" s="15" t="n">
        <v>13</v>
      </c>
      <c r="C743" s="15" t="inlineStr">
        <is>
          <t>ruler</t>
        </is>
      </c>
      <c r="D743" s="15" t="n"/>
      <c r="E743" s="15" t="inlineStr">
        <is>
          <t>Reign of Hezekiah (Judah)</t>
        </is>
      </c>
      <c r="F743" s="15" t="inlineStr">
        <is>
          <t>d1-0044</t>
        </is>
      </c>
      <c r="G743" s="15" t="inlineStr">
        <is>
          <t>Span</t>
        </is>
      </c>
      <c r="H743" s="15" t="inlineStr">
        <is>
          <t>746 B.C.E. – 716 B.C.E.</t>
        </is>
      </c>
      <c r="I743" s="15" t="inlineStr">
        <is>
          <t>Reign of Hezekiah (Judah)</t>
        </is>
      </c>
      <c r="J743" s="15" t="n"/>
      <c r="K743" s="15" t="n"/>
      <c r="L743" s="15" t="n"/>
      <c r="M743" s="16" t="n"/>
    </row>
    <row r="744">
      <c r="A744" s="15" t="inlineStr">
        <is>
          <t>kings-of-judah</t>
        </is>
      </c>
      <c r="B744" s="15" t="n">
        <v>14</v>
      </c>
      <c r="C744" s="15" t="inlineStr">
        <is>
          <t>ruler</t>
        </is>
      </c>
      <c r="D744" s="15" t="n"/>
      <c r="E744" s="15" t="inlineStr">
        <is>
          <t>Reign of Manasseh (Judah)</t>
        </is>
      </c>
      <c r="F744" s="15" t="inlineStr">
        <is>
          <t>d1-0045</t>
        </is>
      </c>
      <c r="G744" s="15" t="inlineStr">
        <is>
          <t>Span</t>
        </is>
      </c>
      <c r="H744" s="15" t="inlineStr">
        <is>
          <t>716 B.C.E. – 661 B.C.E.</t>
        </is>
      </c>
      <c r="I744" s="15" t="inlineStr">
        <is>
          <t>Reign of Manasseh (Judah)</t>
        </is>
      </c>
      <c r="J744" s="15" t="n"/>
      <c r="K744" s="15" t="n"/>
      <c r="L744" s="15" t="n"/>
      <c r="M744" s="16" t="n"/>
    </row>
    <row r="745">
      <c r="A745" s="15" t="inlineStr">
        <is>
          <t>kings-of-judah</t>
        </is>
      </c>
      <c r="B745" s="15" t="n">
        <v>15</v>
      </c>
      <c r="C745" s="15" t="inlineStr">
        <is>
          <t>ruler</t>
        </is>
      </c>
      <c r="D745" s="15" t="n"/>
      <c r="E745" s="15" t="inlineStr">
        <is>
          <t>Reign of Amon (Judah)</t>
        </is>
      </c>
      <c r="F745" s="15" t="inlineStr">
        <is>
          <t>d1-0046</t>
        </is>
      </c>
      <c r="G745" s="15" t="inlineStr">
        <is>
          <t>Span</t>
        </is>
      </c>
      <c r="H745" s="15" t="inlineStr">
        <is>
          <t>661 B.C.E. – 659 B.C.E.</t>
        </is>
      </c>
      <c r="I745" s="15" t="inlineStr">
        <is>
          <t>Reign of Amon (Judah)</t>
        </is>
      </c>
      <c r="J745" s="15" t="n"/>
      <c r="K745" s="15" t="n"/>
      <c r="L745" s="15" t="n"/>
      <c r="M745" s="16" t="n"/>
    </row>
    <row r="746">
      <c r="A746" s="15" t="inlineStr">
        <is>
          <t>kings-of-judah</t>
        </is>
      </c>
      <c r="B746" s="15" t="n">
        <v>16</v>
      </c>
      <c r="C746" s="15" t="inlineStr">
        <is>
          <t>ruler</t>
        </is>
      </c>
      <c r="D746" s="15" t="n"/>
      <c r="E746" s="15" t="inlineStr">
        <is>
          <t>Reign of Josiah (Judah)</t>
        </is>
      </c>
      <c r="F746" s="15" t="inlineStr">
        <is>
          <t>d1-0047</t>
        </is>
      </c>
      <c r="G746" s="15" t="inlineStr">
        <is>
          <t>Span</t>
        </is>
      </c>
      <c r="H746" s="15" t="inlineStr">
        <is>
          <t>659 B.C.E. – 628 B.C.E.</t>
        </is>
      </c>
      <c r="I746" s="15" t="inlineStr">
        <is>
          <t>Reign of Josiah (Judah)</t>
        </is>
      </c>
      <c r="J746" s="15" t="n"/>
      <c r="K746" s="15" t="n"/>
      <c r="L746" s="15" t="n"/>
      <c r="M746" s="16" t="n"/>
    </row>
    <row r="747">
      <c r="A747" s="15" t="inlineStr">
        <is>
          <t>kings-of-judah</t>
        </is>
      </c>
      <c r="B747" s="15" t="n">
        <v>17</v>
      </c>
      <c r="C747" s="15" t="inlineStr">
        <is>
          <t>ruler</t>
        </is>
      </c>
      <c r="D747" s="15" t="n"/>
      <c r="E747" s="15" t="inlineStr">
        <is>
          <t>Reign of Jehoahaz (Judah)</t>
        </is>
      </c>
      <c r="F747" s="15" t="inlineStr">
        <is>
          <t>d1-0048</t>
        </is>
      </c>
      <c r="G747" s="15" t="inlineStr">
        <is>
          <t>Span</t>
        </is>
      </c>
      <c r="H747" s="15" t="inlineStr">
        <is>
          <t>628 B.C.E.</t>
        </is>
      </c>
      <c r="I747" s="15" t="inlineStr">
        <is>
          <t>Reign of Jehoahaz (Judah)</t>
        </is>
      </c>
      <c r="J747" s="15" t="n"/>
      <c r="K747" s="15" t="n"/>
      <c r="L747" s="15" t="n"/>
      <c r="M747" s="16" t="n"/>
    </row>
    <row r="748">
      <c r="A748" s="15" t="inlineStr">
        <is>
          <t>kings-of-judah</t>
        </is>
      </c>
      <c r="B748" s="15" t="n">
        <v>18</v>
      </c>
      <c r="C748" s="15" t="inlineStr">
        <is>
          <t>ruler</t>
        </is>
      </c>
      <c r="D748" s="15" t="n"/>
      <c r="E748" s="15" t="inlineStr">
        <is>
          <t>Reign of Jehoiakim (Judah)</t>
        </is>
      </c>
      <c r="F748" s="15" t="inlineStr">
        <is>
          <t>d1-0049</t>
        </is>
      </c>
      <c r="G748" s="15" t="inlineStr">
        <is>
          <t>Span</t>
        </is>
      </c>
      <c r="H748" s="15" t="inlineStr">
        <is>
          <t>628 B.C.E. – 618 B.C.E.</t>
        </is>
      </c>
      <c r="I748" s="15" t="inlineStr">
        <is>
          <t>Reign of Jehoiakim (Judah)</t>
        </is>
      </c>
      <c r="J748" s="15" t="n"/>
      <c r="K748" s="15" t="n"/>
      <c r="L748" s="15" t="n"/>
      <c r="M748" s="16" t="n"/>
    </row>
    <row r="749">
      <c r="A749" s="15" t="inlineStr">
        <is>
          <t>kings-of-judah</t>
        </is>
      </c>
      <c r="B749" s="15" t="n">
        <v>19</v>
      </c>
      <c r="C749" s="15" t="inlineStr">
        <is>
          <t>ruler</t>
        </is>
      </c>
      <c r="D749" s="15" t="n"/>
      <c r="E749" s="15" t="inlineStr">
        <is>
          <t>Reign of Jehoiachin (Judah)</t>
        </is>
      </c>
      <c r="F749" s="15" t="inlineStr">
        <is>
          <t>d1-0050</t>
        </is>
      </c>
      <c r="G749" s="15" t="inlineStr">
        <is>
          <t>Span</t>
        </is>
      </c>
      <c r="H749" s="15" t="inlineStr">
        <is>
          <t>618 B.C.E.</t>
        </is>
      </c>
      <c r="I749" s="15" t="inlineStr">
        <is>
          <t>Reign of Jehoiachin (Judah)</t>
        </is>
      </c>
      <c r="J749" s="15" t="n"/>
      <c r="K749" s="15" t="n"/>
      <c r="L749" s="15" t="n"/>
      <c r="M749" s="16" t="n"/>
    </row>
    <row r="750">
      <c r="A750" s="15" t="inlineStr">
        <is>
          <t>kings-of-judah</t>
        </is>
      </c>
      <c r="B750" s="15" t="n">
        <v>20</v>
      </c>
      <c r="C750" s="15" t="inlineStr">
        <is>
          <t>ruler</t>
        </is>
      </c>
      <c r="D750" s="15" t="n"/>
      <c r="E750" s="15" t="inlineStr">
        <is>
          <t>Reign of Zedekiah (Judah)</t>
        </is>
      </c>
      <c r="F750" s="15" t="inlineStr">
        <is>
          <t>d1-0051</t>
        </is>
      </c>
      <c r="G750" s="15" t="inlineStr">
        <is>
          <t>Span</t>
        </is>
      </c>
      <c r="H750" s="15" t="inlineStr">
        <is>
          <t>617 B.C.E. – 607 B.C.E.</t>
        </is>
      </c>
      <c r="I750" s="15" t="inlineStr">
        <is>
          <t>Reign of Zedekiah (Judah)</t>
        </is>
      </c>
      <c r="J750" s="15" t="n"/>
      <c r="K750" s="15" t="n"/>
      <c r="L750" s="15" t="n"/>
      <c r="M750" s="16" t="n"/>
    </row>
    <row r="751">
      <c r="A751" s="15" t="inlineStr">
        <is>
          <t>post-flood-patriarchs</t>
        </is>
      </c>
      <c r="B751" s="15" t="n">
        <v>1</v>
      </c>
      <c r="C751" s="15" t="inlineStr">
        <is>
          <t>item</t>
        </is>
      </c>
      <c r="D751" s="15" t="n"/>
      <c r="E751" s="15" t="inlineStr">
        <is>
          <t>Life of Shem</t>
        </is>
      </c>
      <c r="F751" s="15" t="inlineStr">
        <is>
          <t>d1-0007</t>
        </is>
      </c>
      <c r="G751" s="15" t="inlineStr">
        <is>
          <t>Span</t>
        </is>
      </c>
      <c r="H751" s="15" t="inlineStr">
        <is>
          <t>2468 B.C.E. – 1868 B.C.E.</t>
        </is>
      </c>
      <c r="I751" s="15" t="inlineStr">
        <is>
          <t>Life of Shem</t>
        </is>
      </c>
      <c r="J751" s="15" t="n"/>
      <c r="K751" s="15" t="n"/>
      <c r="L751" s="15" t="n"/>
      <c r="M751" s="16" t="n"/>
    </row>
    <row r="752">
      <c r="A752" s="15" t="inlineStr">
        <is>
          <t>post-flood-patriarchs</t>
        </is>
      </c>
      <c r="B752" s="15" t="n">
        <v>2</v>
      </c>
      <c r="C752" s="15" t="inlineStr">
        <is>
          <t>item</t>
        </is>
      </c>
      <c r="D752" s="15" t="n"/>
      <c r="E752" s="15" t="inlineStr">
        <is>
          <t>Life of Shelah</t>
        </is>
      </c>
      <c r="F752" s="15" t="inlineStr">
        <is>
          <t>d1-0008</t>
        </is>
      </c>
      <c r="G752" s="15" t="inlineStr">
        <is>
          <t>Span</t>
        </is>
      </c>
      <c r="H752" s="15" t="inlineStr">
        <is>
          <t>2333 B.C.E. – 1900 B.C.E.</t>
        </is>
      </c>
      <c r="I752" s="15" t="inlineStr">
        <is>
          <t>Life of Shelah</t>
        </is>
      </c>
      <c r="J752" s="15" t="n"/>
      <c r="K752" s="15" t="n"/>
      <c r="L752" s="15" t="n"/>
      <c r="M752" s="16" t="n"/>
    </row>
    <row r="753">
      <c r="A753" s="15" t="inlineStr">
        <is>
          <t>post-flood-patriarchs</t>
        </is>
      </c>
      <c r="B753" s="15" t="n">
        <v>3</v>
      </c>
      <c r="C753" s="15" t="inlineStr">
        <is>
          <t>item</t>
        </is>
      </c>
      <c r="D753" s="15" t="n"/>
      <c r="E753" s="15" t="inlineStr">
        <is>
          <t>Life of Peleg</t>
        </is>
      </c>
      <c r="F753" s="15" t="inlineStr">
        <is>
          <t>d1-0009</t>
        </is>
      </c>
      <c r="G753" s="15" t="inlineStr">
        <is>
          <t>Span</t>
        </is>
      </c>
      <c r="H753" s="15" t="inlineStr">
        <is>
          <t>2269 B.C.E. – 2030 B.C.E.</t>
        </is>
      </c>
      <c r="I753" s="15" t="inlineStr">
        <is>
          <t>Life of Peleg</t>
        </is>
      </c>
      <c r="J753" s="15" t="n"/>
      <c r="K753" s="15" t="n"/>
      <c r="L753" s="15" t="n"/>
      <c r="M753" s="16" t="n"/>
    </row>
    <row r="754">
      <c r="A754" s="15" t="inlineStr">
        <is>
          <t>post-flood-patriarchs</t>
        </is>
      </c>
      <c r="B754" s="15" t="n">
        <v>4</v>
      </c>
      <c r="C754" s="15" t="inlineStr">
        <is>
          <t>item</t>
        </is>
      </c>
      <c r="D754" s="15" t="n"/>
      <c r="E754" s="15" t="inlineStr">
        <is>
          <t>Life of Reu</t>
        </is>
      </c>
      <c r="F754" s="15" t="inlineStr">
        <is>
          <t>d1-0010</t>
        </is>
      </c>
      <c r="G754" s="15" t="inlineStr">
        <is>
          <t>Span</t>
        </is>
      </c>
      <c r="H754" s="15" t="inlineStr">
        <is>
          <t>2239 B.C.E. – 2000 B.C.E.</t>
        </is>
      </c>
      <c r="I754" s="15" t="inlineStr">
        <is>
          <t>Life of Reu</t>
        </is>
      </c>
      <c r="J754" s="15" t="n"/>
      <c r="K754" s="15" t="n"/>
      <c r="L754" s="15" t="n"/>
      <c r="M754" s="16" t="n"/>
    </row>
    <row r="755">
      <c r="A755" s="15" t="inlineStr">
        <is>
          <t>post-flood-patriarchs</t>
        </is>
      </c>
      <c r="B755" s="15" t="n">
        <v>5</v>
      </c>
      <c r="C755" s="15" t="inlineStr">
        <is>
          <t>item</t>
        </is>
      </c>
      <c r="D755" s="15" t="n"/>
      <c r="E755" s="15" t="inlineStr">
        <is>
          <t>Life of Serug</t>
        </is>
      </c>
      <c r="F755" s="15" t="inlineStr">
        <is>
          <t>d1-0011</t>
        </is>
      </c>
      <c r="G755" s="15" t="inlineStr">
        <is>
          <t>Span</t>
        </is>
      </c>
      <c r="H755" s="15" t="inlineStr">
        <is>
          <t>2207 B.C.E. – 1977 B.C.E.</t>
        </is>
      </c>
      <c r="I755" s="15" t="inlineStr">
        <is>
          <t>Life of Serug</t>
        </is>
      </c>
      <c r="J755" s="15" t="n"/>
      <c r="K755" s="15" t="n"/>
      <c r="L755" s="15" t="n"/>
      <c r="M755" s="16" t="n"/>
    </row>
    <row r="756">
      <c r="A756" s="15" t="inlineStr">
        <is>
          <t>post-flood-patriarchs</t>
        </is>
      </c>
      <c r="B756" s="15" t="n">
        <v>6</v>
      </c>
      <c r="C756" s="15" t="inlineStr">
        <is>
          <t>item</t>
        </is>
      </c>
      <c r="D756" s="15" t="n"/>
      <c r="E756" s="15" t="inlineStr">
        <is>
          <t>Life of Nahor</t>
        </is>
      </c>
      <c r="F756" s="15" t="inlineStr">
        <is>
          <t>d1-0012</t>
        </is>
      </c>
      <c r="G756" s="15" t="inlineStr">
        <is>
          <t>Span</t>
        </is>
      </c>
      <c r="H756" s="15" t="inlineStr">
        <is>
          <t>2177 B.C.E. – 2029 B.C.E.</t>
        </is>
      </c>
      <c r="I756" s="15" t="inlineStr">
        <is>
          <t>Life of Nahor</t>
        </is>
      </c>
      <c r="J756" s="15" t="n"/>
      <c r="K756" s="15" t="n"/>
      <c r="L756" s="15" t="n"/>
      <c r="M756" s="16" t="n"/>
    </row>
    <row r="757">
      <c r="A757" s="15" t="inlineStr">
        <is>
          <t>post-flood-patriarchs</t>
        </is>
      </c>
      <c r="B757" s="15" t="n">
        <v>7</v>
      </c>
      <c r="C757" s="15" t="inlineStr">
        <is>
          <t>item</t>
        </is>
      </c>
      <c r="D757" s="15" t="n"/>
      <c r="E757" s="15" t="inlineStr">
        <is>
          <t>Life of Abraham</t>
        </is>
      </c>
      <c r="F757" s="15" t="inlineStr">
        <is>
          <t>d1-0013</t>
        </is>
      </c>
      <c r="G757" s="15" t="inlineStr">
        <is>
          <t>Span</t>
        </is>
      </c>
      <c r="H757" s="15" t="inlineStr">
        <is>
          <t>2018 B.C.E. – 1843 B.C.E.</t>
        </is>
      </c>
      <c r="I757" s="15" t="inlineStr">
        <is>
          <t>Life of Abraham</t>
        </is>
      </c>
      <c r="J757" s="15" t="n"/>
      <c r="K757" s="15" t="n"/>
      <c r="L757" s="15" t="n"/>
      <c r="M757" s="16" t="n"/>
    </row>
    <row r="758">
      <c r="A758" s="15" t="inlineStr">
        <is>
          <t>post-flood-patriarchs</t>
        </is>
      </c>
      <c r="B758" s="15" t="n">
        <v>8</v>
      </c>
      <c r="C758" s="15" t="inlineStr">
        <is>
          <t>item</t>
        </is>
      </c>
      <c r="D758" s="15" t="n"/>
      <c r="E758" s="15" t="inlineStr">
        <is>
          <t>Life of Ishmael</t>
        </is>
      </c>
      <c r="F758" s="15" t="inlineStr">
        <is>
          <t>d1-0014</t>
        </is>
      </c>
      <c r="G758" s="15" t="inlineStr">
        <is>
          <t>Span</t>
        </is>
      </c>
      <c r="H758" s="15" t="inlineStr">
        <is>
          <t>1932 B.C.E. – 1795 B.C.E.</t>
        </is>
      </c>
      <c r="I758" s="15" t="inlineStr">
        <is>
          <t>Life of Ishmael</t>
        </is>
      </c>
      <c r="J758" s="15" t="n"/>
      <c r="K758" s="15" t="n"/>
      <c r="L758" s="15" t="n"/>
      <c r="M758" s="16" t="n"/>
    </row>
    <row r="759">
      <c r="A759" s="15" t="inlineStr">
        <is>
          <t>post-flood-patriarchs</t>
        </is>
      </c>
      <c r="B759" s="15" t="n">
        <v>9</v>
      </c>
      <c r="C759" s="15" t="inlineStr">
        <is>
          <t>item</t>
        </is>
      </c>
      <c r="D759" s="15" t="n"/>
      <c r="E759" s="15" t="inlineStr">
        <is>
          <t>Life of Isaac</t>
        </is>
      </c>
      <c r="F759" s="15" t="inlineStr">
        <is>
          <t>d1-0015</t>
        </is>
      </c>
      <c r="G759" s="15" t="inlineStr">
        <is>
          <t>Span</t>
        </is>
      </c>
      <c r="H759" s="15" t="inlineStr">
        <is>
          <t>1918 B.C.E. – 1738 B.C.E.</t>
        </is>
      </c>
      <c r="I759" s="15" t="inlineStr">
        <is>
          <t>Life of Isaac</t>
        </is>
      </c>
      <c r="J759" s="15" t="n"/>
      <c r="K759" s="15" t="n"/>
      <c r="L759" s="15" t="n"/>
      <c r="M759" s="16" t="n"/>
    </row>
    <row r="760">
      <c r="A760" s="15" t="inlineStr">
        <is>
          <t>post-flood-patriarchs</t>
        </is>
      </c>
      <c r="B760" s="15" t="n">
        <v>10</v>
      </c>
      <c r="C760" s="15" t="inlineStr">
        <is>
          <t>item</t>
        </is>
      </c>
      <c r="D760" s="15" t="n"/>
      <c r="E760" s="15" t="inlineStr">
        <is>
          <t>Life of Joseph</t>
        </is>
      </c>
      <c r="F760" s="15" t="inlineStr">
        <is>
          <t>d1-0016</t>
        </is>
      </c>
      <c r="G760" s="15" t="inlineStr">
        <is>
          <t>Span</t>
        </is>
      </c>
      <c r="H760" s="15" t="inlineStr">
        <is>
          <t>1767 B.C.E. – 1657 B.C.E.</t>
        </is>
      </c>
      <c r="I760" s="15" t="inlineStr">
        <is>
          <t>Life of Joseph</t>
        </is>
      </c>
      <c r="J760" s="15" t="n"/>
      <c r="K760" s="15" t="n"/>
      <c r="L760" s="15" t="n"/>
      <c r="M760" s="16" t="n"/>
    </row>
    <row r="761">
      <c r="A761" s="15" t="inlineStr">
        <is>
          <t>pre-flood-patriarchs</t>
        </is>
      </c>
      <c r="B761" s="15" t="n">
        <v>1</v>
      </c>
      <c r="C761" s="15" t="inlineStr">
        <is>
          <t>item</t>
        </is>
      </c>
      <c r="D761" s="15" t="n"/>
      <c r="E761" s="15" t="inlineStr">
        <is>
          <t>Life of Adam</t>
        </is>
      </c>
      <c r="F761" s="15" t="inlineStr">
        <is>
          <t>d1-0001</t>
        </is>
      </c>
      <c r="G761" s="15" t="inlineStr">
        <is>
          <t>Span</t>
        </is>
      </c>
      <c r="H761" s="15" t="inlineStr">
        <is>
          <t>4026 B.C.E. – 3096 B.C.E.</t>
        </is>
      </c>
      <c r="I761" s="15" t="inlineStr">
        <is>
          <t>Life of Adam</t>
        </is>
      </c>
      <c r="J761" s="15" t="n"/>
      <c r="K761" s="15" t="n"/>
      <c r="L761" s="15" t="n"/>
      <c r="M761" s="16" t="n"/>
    </row>
    <row r="762">
      <c r="A762" s="15" t="inlineStr">
        <is>
          <t>pre-flood-patriarchs</t>
        </is>
      </c>
      <c r="B762" s="15" t="n">
        <v>2</v>
      </c>
      <c r="C762" s="15" t="inlineStr">
        <is>
          <t>item</t>
        </is>
      </c>
      <c r="D762" s="15" t="n"/>
      <c r="E762" s="15" t="inlineStr">
        <is>
          <t>Life of Seth</t>
        </is>
      </c>
      <c r="F762" s="15" t="inlineStr">
        <is>
          <t>d1-0002</t>
        </is>
      </c>
      <c r="G762" s="15" t="inlineStr">
        <is>
          <t>Span</t>
        </is>
      </c>
      <c r="H762" s="15" t="inlineStr">
        <is>
          <t>3896 B.C.E. – 2984 B.C.E.</t>
        </is>
      </c>
      <c r="I762" s="15" t="inlineStr">
        <is>
          <t>Life of Seth</t>
        </is>
      </c>
      <c r="J762" s="15" t="n"/>
      <c r="K762" s="15" t="n"/>
      <c r="L762" s="15" t="n"/>
      <c r="M762" s="16" t="n"/>
    </row>
    <row r="763">
      <c r="A763" s="15" t="inlineStr">
        <is>
          <t>pre-flood-patriarchs</t>
        </is>
      </c>
      <c r="B763" s="15" t="n">
        <v>3</v>
      </c>
      <c r="C763" s="15" t="inlineStr">
        <is>
          <t>item</t>
        </is>
      </c>
      <c r="D763" s="15" t="n"/>
      <c r="E763" s="15" t="inlineStr">
        <is>
          <t>Life of Jared</t>
        </is>
      </c>
      <c r="F763" s="15" t="inlineStr">
        <is>
          <t>d1-0003</t>
        </is>
      </c>
      <c r="G763" s="15" t="inlineStr">
        <is>
          <t>Span</t>
        </is>
      </c>
      <c r="H763" s="15" t="inlineStr">
        <is>
          <t>3566 B.C.E. – 2604 B.C.E.</t>
        </is>
      </c>
      <c r="I763" s="15" t="inlineStr">
        <is>
          <t>Life of Jared</t>
        </is>
      </c>
      <c r="J763" s="15" t="n"/>
      <c r="K763" s="15" t="n"/>
      <c r="L763" s="15" t="n"/>
      <c r="M763" s="16" t="n"/>
    </row>
    <row r="764">
      <c r="A764" s="15" t="inlineStr">
        <is>
          <t>pre-flood-patriarchs</t>
        </is>
      </c>
      <c r="B764" s="15" t="n">
        <v>4</v>
      </c>
      <c r="C764" s="15" t="inlineStr">
        <is>
          <t>item</t>
        </is>
      </c>
      <c r="D764" s="15" t="n"/>
      <c r="E764" s="15" t="inlineStr">
        <is>
          <t>Life of Enoch (until God took him)</t>
        </is>
      </c>
      <c r="F764" s="15" t="inlineStr">
        <is>
          <t>d1-0004</t>
        </is>
      </c>
      <c r="G764" s="15" t="inlineStr">
        <is>
          <t>Span</t>
        </is>
      </c>
      <c r="H764" s="15" t="inlineStr">
        <is>
          <t>3404 B.C.E. – 3039 B.C.E.</t>
        </is>
      </c>
      <c r="I764" s="15" t="inlineStr">
        <is>
          <t>Life of Enoch (until God took him)</t>
        </is>
      </c>
      <c r="J764" s="15" t="n"/>
      <c r="K764" s="15" t="n"/>
      <c r="L764" s="15" t="n"/>
      <c r="M764" s="16" t="n"/>
    </row>
    <row r="765">
      <c r="A765" s="15" t="inlineStr">
        <is>
          <t>pre-flood-patriarchs</t>
        </is>
      </c>
      <c r="B765" s="15" t="n">
        <v>5</v>
      </c>
      <c r="C765" s="15" t="inlineStr">
        <is>
          <t>item</t>
        </is>
      </c>
      <c r="D765" s="15" t="n"/>
      <c r="E765" s="15" t="inlineStr">
        <is>
          <t>Life of Methuselah</t>
        </is>
      </c>
      <c r="F765" s="15" t="inlineStr">
        <is>
          <t>d1-0005</t>
        </is>
      </c>
      <c r="G765" s="15" t="inlineStr">
        <is>
          <t>Span</t>
        </is>
      </c>
      <c r="H765" s="15" t="inlineStr">
        <is>
          <t>3339 B.C.E. – 2370 B.C.E.</t>
        </is>
      </c>
      <c r="I765" s="15" t="inlineStr">
        <is>
          <t>Life of Methuselah</t>
        </is>
      </c>
      <c r="J765" s="15" t="n"/>
      <c r="K765" s="15" t="n"/>
      <c r="L765" s="15" t="n"/>
      <c r="M765" s="16" t="n"/>
    </row>
    <row r="766">
      <c r="A766" s="15" t="inlineStr">
        <is>
          <t>pre-flood-patriarchs</t>
        </is>
      </c>
      <c r="B766" s="15" t="n">
        <v>6</v>
      </c>
      <c r="C766" s="15" t="inlineStr">
        <is>
          <t>item</t>
        </is>
      </c>
      <c r="D766" s="15" t="n"/>
      <c r="E766" s="15" t="inlineStr">
        <is>
          <t>Life of Noah</t>
        </is>
      </c>
      <c r="F766" s="15" t="inlineStr">
        <is>
          <t>d1-0006</t>
        </is>
      </c>
      <c r="G766" s="15" t="inlineStr">
        <is>
          <t>Span</t>
        </is>
      </c>
      <c r="H766" s="15" t="inlineStr">
        <is>
          <t>2970 B.C.E. – 2020 B.C.E.</t>
        </is>
      </c>
      <c r="I766" s="15" t="inlineStr">
        <is>
          <t>Life of Noah</t>
        </is>
      </c>
      <c r="J766" s="15" t="n"/>
      <c r="K766" s="15" t="n"/>
      <c r="L766" s="15" t="n"/>
      <c r="M766" s="16" t="n"/>
    </row>
    <row r="767">
      <c r="A767" s="15" t="inlineStr">
        <is>
          <t>roman-emperors</t>
        </is>
      </c>
      <c r="B767" s="15" t="n">
        <v>1</v>
      </c>
      <c r="C767" s="15" t="inlineStr">
        <is>
          <t>ruler</t>
        </is>
      </c>
      <c r="D767" s="15" t="n"/>
      <c r="E767" s="15" t="inlineStr">
        <is>
          <t>Reign of Augustus (Octavian), Roman emperor</t>
        </is>
      </c>
      <c r="F767" s="15" t="inlineStr">
        <is>
          <t>b12-0039</t>
        </is>
      </c>
      <c r="G767" s="15" t="inlineStr">
        <is>
          <t>Span</t>
        </is>
      </c>
      <c r="H767" s="15" t="inlineStr">
        <is>
          <t>31 B.C.E.–14 C.E.</t>
        </is>
      </c>
      <c r="I767" s="15" t="inlineStr">
        <is>
          <t>Reign of Augustus (Octavian), Roman emperor</t>
        </is>
      </c>
      <c r="J767" s="15" t="n"/>
      <c r="K767" s="15" t="n"/>
      <c r="L767" s="15" t="n"/>
      <c r="M767" s="16" t="n"/>
    </row>
    <row r="768">
      <c r="A768" s="15" t="inlineStr">
        <is>
          <t>roman-emperors</t>
        </is>
      </c>
      <c r="B768" s="15" t="n">
        <v>2</v>
      </c>
      <c r="C768" s="15" t="inlineStr">
        <is>
          <t>ruler</t>
        </is>
      </c>
      <c r="D768" s="15" t="n"/>
      <c r="E768" s="15" t="inlineStr">
        <is>
          <t>Reign of Tiberius, Roman emperor</t>
        </is>
      </c>
      <c r="F768" s="15" t="inlineStr">
        <is>
          <t>b12-0042</t>
        </is>
      </c>
      <c r="G768" s="15" t="inlineStr">
        <is>
          <t>Span</t>
        </is>
      </c>
      <c r="H768" s="15" t="inlineStr">
        <is>
          <t>14-37 C.E.</t>
        </is>
      </c>
      <c r="I768" s="15" t="inlineStr">
        <is>
          <t>Reign of Tiberius, Roman emperor</t>
        </is>
      </c>
      <c r="J768" s="15" t="n"/>
      <c r="K768" s="15" t="n"/>
      <c r="L768" s="15" t="n"/>
      <c r="M768" s="16" t="n"/>
    </row>
    <row r="769">
      <c r="A769" s="15" t="inlineStr">
        <is>
          <t>roman-emperors</t>
        </is>
      </c>
      <c r="B769" s="15" t="n">
        <v>3</v>
      </c>
      <c r="C769" s="15" t="inlineStr">
        <is>
          <t>ruler</t>
        </is>
      </c>
      <c r="D769" s="15" t="n"/>
      <c r="E769" s="15" t="inlineStr">
        <is>
          <t>Reign of Gaius (Caligula), Roman emperor</t>
        </is>
      </c>
      <c r="F769" s="15" t="inlineStr">
        <is>
          <t>b12-0047</t>
        </is>
      </c>
      <c r="G769" s="15" t="inlineStr">
        <is>
          <t>Span</t>
        </is>
      </c>
      <c r="H769" s="15" t="inlineStr">
        <is>
          <t>37-41 C.E.</t>
        </is>
      </c>
      <c r="I769" s="15" t="inlineStr">
        <is>
          <t>Reign of Gaius (Caligula), Roman emperor</t>
        </is>
      </c>
      <c r="J769" s="15" t="n"/>
      <c r="K769" s="15" t="n"/>
      <c r="L769" s="15" t="n"/>
      <c r="M769" s="16" t="n"/>
    </row>
    <row r="770">
      <c r="A770" s="15" t="inlineStr">
        <is>
          <t>roman-emperors</t>
        </is>
      </c>
      <c r="B770" s="15" t="n">
        <v>4</v>
      </c>
      <c r="C770" s="15" t="inlineStr">
        <is>
          <t>ruler</t>
        </is>
      </c>
      <c r="D770" s="15" t="n"/>
      <c r="E770" s="15" t="inlineStr">
        <is>
          <t>Reign of Claudius, Roman emperor</t>
        </is>
      </c>
      <c r="F770" s="15" t="inlineStr">
        <is>
          <t>b12-0048</t>
        </is>
      </c>
      <c r="G770" s="15" t="inlineStr">
        <is>
          <t>Span</t>
        </is>
      </c>
      <c r="H770" s="15" t="inlineStr">
        <is>
          <t>41-54 C.E.</t>
        </is>
      </c>
      <c r="I770" s="15" t="inlineStr">
        <is>
          <t>Reign of Claudius, Roman emperor</t>
        </is>
      </c>
      <c r="J770" s="15" t="n"/>
      <c r="K770" s="15" t="n"/>
      <c r="L770" s="15" t="n"/>
      <c r="M770" s="16" t="n"/>
    </row>
    <row r="771">
      <c r="A771" s="15" t="inlineStr">
        <is>
          <t>roman-emperors</t>
        </is>
      </c>
      <c r="B771" s="15" t="n">
        <v>5</v>
      </c>
      <c r="C771" s="15" t="inlineStr">
        <is>
          <t>ruler</t>
        </is>
      </c>
      <c r="D771" s="15" t="n"/>
      <c r="E771" s="15" t="inlineStr">
        <is>
          <t>Reign of Nero, Roman emperor</t>
        </is>
      </c>
      <c r="F771" s="15" t="inlineStr">
        <is>
          <t>b12-0049</t>
        </is>
      </c>
      <c r="G771" s="15" t="inlineStr">
        <is>
          <t>Span</t>
        </is>
      </c>
      <c r="H771" s="15" t="inlineStr">
        <is>
          <t>54-68 C.E.</t>
        </is>
      </c>
      <c r="I771" s="15" t="inlineStr">
        <is>
          <t>Reign of Nero, Roman emperor</t>
        </is>
      </c>
      <c r="J771" s="15" t="n"/>
      <c r="K771" s="15" t="n"/>
      <c r="L771" s="15" t="n"/>
      <c r="M771" s="16" t="n"/>
    </row>
    <row r="772">
      <c r="A772" s="15" t="inlineStr">
        <is>
          <t>roman-emperors</t>
        </is>
      </c>
      <c r="B772" s="15" t="n">
        <v>6</v>
      </c>
      <c r="C772" s="15" t="inlineStr">
        <is>
          <t>ruler</t>
        </is>
      </c>
      <c r="D772" s="15" t="n"/>
      <c r="E772" s="15" t="inlineStr">
        <is>
          <t>Reign of Galba, Roman emperor</t>
        </is>
      </c>
      <c r="F772" s="15" t="inlineStr">
        <is>
          <t>b12-0051</t>
        </is>
      </c>
      <c r="G772" s="15" t="inlineStr">
        <is>
          <t>Span</t>
        </is>
      </c>
      <c r="H772" s="15" t="inlineStr">
        <is>
          <t>68-69 C.E.</t>
        </is>
      </c>
      <c r="I772" s="15" t="inlineStr">
        <is>
          <t>Reign of Galba, Roman emperor</t>
        </is>
      </c>
      <c r="J772" s="15" t="n"/>
      <c r="K772" s="15" t="n"/>
      <c r="L772" s="15" t="n"/>
      <c r="M772" s="16" t="n"/>
    </row>
    <row r="773">
      <c r="A773" s="15" t="inlineStr">
        <is>
          <t>roman-emperors</t>
        </is>
      </c>
      <c r="B773" s="15" t="n">
        <v>7</v>
      </c>
      <c r="C773" s="15" t="inlineStr">
        <is>
          <t>ruler</t>
        </is>
      </c>
      <c r="D773" s="15" t="n"/>
      <c r="E773" s="15" t="inlineStr">
        <is>
          <t>Reign of Vespasian, Roman emperor</t>
        </is>
      </c>
      <c r="F773" s="15" t="inlineStr">
        <is>
          <t>b12-0052</t>
        </is>
      </c>
      <c r="G773" s="15" t="inlineStr">
        <is>
          <t>Span</t>
        </is>
      </c>
      <c r="H773" s="15" t="inlineStr">
        <is>
          <t>69-79 C.E.</t>
        </is>
      </c>
      <c r="I773" s="15" t="inlineStr">
        <is>
          <t>Reign of Vespasian, Roman emperor</t>
        </is>
      </c>
      <c r="J773" s="15" t="n"/>
      <c r="K773" s="15" t="n"/>
      <c r="L773" s="15" t="n"/>
      <c r="M773" s="16" t="n"/>
    </row>
    <row r="774">
      <c r="A774" s="15" t="inlineStr">
        <is>
          <t>roman-emperors</t>
        </is>
      </c>
      <c r="B774" s="15" t="n">
        <v>8</v>
      </c>
      <c r="C774" s="15" t="inlineStr">
        <is>
          <t>ruler</t>
        </is>
      </c>
      <c r="D774" s="15" t="n"/>
      <c r="E774" s="15" t="inlineStr">
        <is>
          <t>Reign of Titus, Roman emperor</t>
        </is>
      </c>
      <c r="F774" s="15" t="inlineStr">
        <is>
          <t>b12-0054</t>
        </is>
      </c>
      <c r="G774" s="15" t="inlineStr">
        <is>
          <t>Span</t>
        </is>
      </c>
      <c r="H774" s="15" t="inlineStr">
        <is>
          <t>79-81 C.E.</t>
        </is>
      </c>
      <c r="I774" s="15" t="inlineStr">
        <is>
          <t>Reign of Titus, Roman emperor</t>
        </is>
      </c>
      <c r="J774" s="15" t="n"/>
      <c r="K774" s="15" t="n"/>
      <c r="L774" s="15" t="n"/>
      <c r="M774" s="16" t="n"/>
    </row>
    <row r="775">
      <c r="A775" s="15" t="inlineStr">
        <is>
          <t>roman-emperors</t>
        </is>
      </c>
      <c r="B775" s="15" t="n">
        <v>9</v>
      </c>
      <c r="C775" s="15" t="inlineStr">
        <is>
          <t>ruler</t>
        </is>
      </c>
      <c r="D775" s="15" t="n"/>
      <c r="E775" s="15" t="inlineStr">
        <is>
          <t>Reign of Domitian, Roman emperor</t>
        </is>
      </c>
      <c r="F775" s="15" t="inlineStr">
        <is>
          <t>b12-0055</t>
        </is>
      </c>
      <c r="G775" s="15" t="inlineStr">
        <is>
          <t>Span</t>
        </is>
      </c>
      <c r="H775" s="15" t="inlineStr">
        <is>
          <t>81-96 C.E.</t>
        </is>
      </c>
      <c r="I775" s="15" t="inlineStr">
        <is>
          <t>Reign of Domitian, Roman emperor</t>
        </is>
      </c>
      <c r="J775" s="15" t="n"/>
      <c r="K775" s="15" t="n"/>
      <c r="L775" s="15" t="n"/>
      <c r="M775" s="16" t="n"/>
    </row>
    <row r="776">
      <c r="A776" s="15" t="inlineStr">
        <is>
          <t>roman-emperors</t>
        </is>
      </c>
      <c r="B776" s="15" t="n">
        <v>10</v>
      </c>
      <c r="C776" s="15" t="inlineStr">
        <is>
          <t>ruler</t>
        </is>
      </c>
      <c r="D776" s="15" t="n"/>
      <c r="E776" s="15" t="inlineStr">
        <is>
          <t>Reign of Nerva, Roman emperor</t>
        </is>
      </c>
      <c r="F776" s="15" t="inlineStr">
        <is>
          <t>b12-0056</t>
        </is>
      </c>
      <c r="G776" s="15" t="inlineStr">
        <is>
          <t>Span</t>
        </is>
      </c>
      <c r="H776" s="15" t="inlineStr">
        <is>
          <t>96-98 C.E.</t>
        </is>
      </c>
      <c r="I776" s="15" t="inlineStr">
        <is>
          <t>Reign of Nerva, Roman emperor</t>
        </is>
      </c>
      <c r="J776" s="15" t="n"/>
      <c r="K776" s="15" t="n"/>
      <c r="L776" s="15" t="n"/>
      <c r="M776" s="16" t="n"/>
    </row>
    <row r="777">
      <c r="A777" s="15" t="inlineStr">
        <is>
          <t>roman-emperors</t>
        </is>
      </c>
      <c r="B777" s="15" t="n">
        <v>11</v>
      </c>
      <c r="C777" s="15" t="inlineStr">
        <is>
          <t>ruler</t>
        </is>
      </c>
      <c r="D777" s="15" t="n"/>
      <c r="E777" s="15" t="inlineStr">
        <is>
          <t>Reign of Trajan, Roman emperor</t>
        </is>
      </c>
      <c r="F777" s="15" t="inlineStr">
        <is>
          <t>b12-0057</t>
        </is>
      </c>
      <c r="G777" s="15" t="inlineStr">
        <is>
          <t>Span</t>
        </is>
      </c>
      <c r="H777" s="15" t="inlineStr">
        <is>
          <t>98-117 C.E.</t>
        </is>
      </c>
      <c r="I777" s="15" t="inlineStr">
        <is>
          <t>Reign of Trajan, Roman emperor</t>
        </is>
      </c>
      <c r="J777" s="15" t="n"/>
      <c r="K777" s="15" t="n"/>
      <c r="L777" s="15" t="n"/>
      <c r="M777" s="16" t="n"/>
    </row>
    <row r="778">
      <c r="A778" s="15" t="inlineStr">
        <is>
          <t>rulers-of-persia</t>
        </is>
      </c>
      <c r="B778" s="15" t="n">
        <v>1</v>
      </c>
      <c r="C778" s="15" t="inlineStr">
        <is>
          <t>ruler</t>
        </is>
      </c>
      <c r="D778" s="15" t="n"/>
      <c r="E778" s="15" t="inlineStr">
        <is>
          <t>Reign of Cyrus the Great</t>
        </is>
      </c>
      <c r="F778" s="15" t="inlineStr">
        <is>
          <t>b12-0026</t>
        </is>
      </c>
      <c r="G778" s="15" t="inlineStr">
        <is>
          <t>Span</t>
        </is>
      </c>
      <c r="H778" s="15" t="inlineStr">
        <is>
          <t>560/559 B.C.E.–530 B.C.E.</t>
        </is>
      </c>
      <c r="I778" s="15" t="inlineStr">
        <is>
          <t>Reign of Cyrus the Great</t>
        </is>
      </c>
      <c r="J778" s="15" t="n"/>
      <c r="K778" s="15" t="n"/>
      <c r="L778" s="15" t="n"/>
      <c r="M778" s="16" t="n"/>
    </row>
    <row r="779">
      <c r="A779" s="15" t="inlineStr">
        <is>
          <t>rulers-of-persia</t>
        </is>
      </c>
      <c r="B779" s="15" t="n">
        <v>2</v>
      </c>
      <c r="C779" s="15" t="inlineStr">
        <is>
          <t>ruler</t>
        </is>
      </c>
      <c r="D779" s="15" t="n"/>
      <c r="E779" s="15" t="inlineStr">
        <is>
          <t>Reign of Darius I (the Great) of Persia</t>
        </is>
      </c>
      <c r="F779" s="15" t="inlineStr">
        <is>
          <t>b12-0030</t>
        </is>
      </c>
      <c r="G779" s="15" t="inlineStr">
        <is>
          <t>Span</t>
        </is>
      </c>
      <c r="H779" s="15" t="inlineStr">
        <is>
          <t>522 B.C.E.–486 B.C.E.</t>
        </is>
      </c>
      <c r="I779" s="15" t="inlineStr">
        <is>
          <t>Reign of Darius I (the Great) of Persia</t>
        </is>
      </c>
      <c r="J779" s="15" t="n"/>
      <c r="K779" s="15" t="n"/>
      <c r="L779" s="15" t="n"/>
      <c r="M779" s="16" t="n"/>
    </row>
    <row r="780">
      <c r="A780" s="15" t="inlineStr">
        <is>
          <t>rulers-of-persia</t>
        </is>
      </c>
      <c r="B780" s="15" t="n">
        <v>3</v>
      </c>
      <c r="C780" s="15" t="inlineStr">
        <is>
          <t>ruler</t>
        </is>
      </c>
      <c r="D780" s="15" t="n"/>
      <c r="E780" s="15" t="inlineStr">
        <is>
          <t>Reign of Xerxes I (Ahasuerus) as sole king</t>
        </is>
      </c>
      <c r="F780" s="15" t="inlineStr">
        <is>
          <t>b12-0031</t>
        </is>
      </c>
      <c r="G780" s="15" t="inlineStr">
        <is>
          <t>Span</t>
        </is>
      </c>
      <c r="H780" s="15" t="inlineStr">
        <is>
          <t>486 to 475 B.C.E.</t>
        </is>
      </c>
      <c r="I780" s="15" t="inlineStr">
        <is>
          <t>Reign of Xerxes I (Ahasuerus) as sole king</t>
        </is>
      </c>
      <c r="J780" s="15" t="n"/>
      <c r="K780" s="15" t="n"/>
      <c r="L780" s="15" t="n"/>
      <c r="M780" s="16" t="n"/>
    </row>
    <row r="781">
      <c r="A781" s="15" t="inlineStr">
        <is>
          <t>rulers-of-persia</t>
        </is>
      </c>
      <c r="B781" s="15" t="n">
        <v>4</v>
      </c>
      <c r="C781" s="15" t="inlineStr">
        <is>
          <t>ruler</t>
        </is>
      </c>
      <c r="D781" s="15" t="n"/>
      <c r="E781" s="15" t="inlineStr">
        <is>
          <t>Reign of Artaxerxes I (Longimanus)</t>
        </is>
      </c>
      <c r="F781" s="15" t="inlineStr">
        <is>
          <t>b12-0032</t>
        </is>
      </c>
      <c r="G781" s="15" t="inlineStr">
        <is>
          <t>Span</t>
        </is>
      </c>
      <c r="H781" s="15" t="inlineStr">
        <is>
          <t>475 B.C.E.–424 B.C.E.</t>
        </is>
      </c>
      <c r="I781" s="15" t="inlineStr">
        <is>
          <t>Reign of Artaxerxes I (Longimanus)</t>
        </is>
      </c>
      <c r="J781" s="15" t="n"/>
      <c r="K781" s="15" t="n"/>
      <c r="L781" s="15" t="n"/>
      <c r="M781" s="16" t="n"/>
    </row>
    <row r="782">
      <c r="A782" s="15" t="inlineStr">
        <is>
          <t>united-kingdom</t>
        </is>
      </c>
      <c r="B782" s="15" t="n">
        <v>1</v>
      </c>
      <c r="C782" s="15" t="inlineStr">
        <is>
          <t>ruler</t>
        </is>
      </c>
      <c r="D782" s="15" t="n"/>
      <c r="E782" s="15" t="inlineStr">
        <is>
          <t>Reign of Saul over Israel</t>
        </is>
      </c>
      <c r="F782" s="15" t="inlineStr">
        <is>
          <t>b12-0009</t>
        </is>
      </c>
      <c r="G782" s="15" t="inlineStr">
        <is>
          <t>Span</t>
        </is>
      </c>
      <c r="H782" s="15" t="inlineStr">
        <is>
          <t>1117 B.C.E.–1077 B.C.E.</t>
        </is>
      </c>
      <c r="I782" s="15" t="inlineStr">
        <is>
          <t>Reign of Saul over Israel</t>
        </is>
      </c>
      <c r="J782" s="15" t="n"/>
      <c r="K782" s="15" t="n"/>
      <c r="L782" s="15" t="n"/>
      <c r="M782" s="16" t="n"/>
    </row>
    <row r="783">
      <c r="A783" s="15" t="inlineStr">
        <is>
          <t>united-kingdom</t>
        </is>
      </c>
      <c r="B783" s="15" t="n">
        <v>2</v>
      </c>
      <c r="C783" s="15" t="inlineStr">
        <is>
          <t>ruler</t>
        </is>
      </c>
      <c r="D783" s="15" t="n"/>
      <c r="E783" s="15" t="inlineStr">
        <is>
          <t>Reign of David</t>
        </is>
      </c>
      <c r="F783" s="15" t="inlineStr">
        <is>
          <t>b12-0012</t>
        </is>
      </c>
      <c r="G783" s="15" t="inlineStr">
        <is>
          <t>Span</t>
        </is>
      </c>
      <c r="H783" s="15" t="inlineStr">
        <is>
          <t>1077-1038 B.C.E.</t>
        </is>
      </c>
      <c r="I783" s="15" t="inlineStr">
        <is>
          <t>Reign of David</t>
        </is>
      </c>
      <c r="J783" s="15" t="n"/>
      <c r="K783" s="15" t="n"/>
      <c r="L783" s="15" t="n"/>
      <c r="M783" s="16" t="n"/>
    </row>
    <row r="784">
      <c r="A784" s="15" t="inlineStr">
        <is>
          <t>united-kingdom</t>
        </is>
      </c>
      <c r="B784" s="15" t="n">
        <v>3</v>
      </c>
      <c r="C784" s="15" t="inlineStr">
        <is>
          <t>ruler</t>
        </is>
      </c>
      <c r="D784" s="15" t="n"/>
      <c r="E784" s="15" t="inlineStr">
        <is>
          <t>Reign of Solomon</t>
        </is>
      </c>
      <c r="F784" s="15" t="inlineStr">
        <is>
          <t>b12-0013</t>
        </is>
      </c>
      <c r="G784" s="15" t="inlineStr">
        <is>
          <t>Span</t>
        </is>
      </c>
      <c r="H784" s="15" t="inlineStr">
        <is>
          <t>1037-998 B.C.E.</t>
        </is>
      </c>
      <c r="I784" s="15" t="inlineStr">
        <is>
          <t>Reign of Solomon</t>
        </is>
      </c>
      <c r="J784" s="15" t="n"/>
      <c r="K784" s="15" t="n"/>
      <c r="L784" s="15" t="n"/>
      <c r="M784" s="16" t="n"/>
    </row>
    <row r="785">
      <c r="A785" s="15" t="inlineStr">
        <is>
          <t>watch-tower-presidents</t>
        </is>
      </c>
      <c r="B785" s="15" t="n">
        <v>1</v>
      </c>
      <c r="C785" s="15" t="inlineStr">
        <is>
          <t>ruler</t>
        </is>
      </c>
      <c r="D785" s="15" t="n"/>
      <c r="E785" s="15" t="inlineStr">
        <is>
          <t>C. T. Russell, first president of the Watch Tower Society</t>
        </is>
      </c>
      <c r="F785" s="15" t="inlineStr">
        <is>
          <t>b12-0063</t>
        </is>
      </c>
      <c r="G785" s="15" t="inlineStr">
        <is>
          <t>Span</t>
        </is>
      </c>
      <c r="H785" s="15" t="inlineStr">
        <is>
          <t>1884–October 31, 1916</t>
        </is>
      </c>
      <c r="I785" s="15" t="inlineStr">
        <is>
          <t>C. T. Russell, first president of the Watch Tower Society</t>
        </is>
      </c>
      <c r="J785" s="15" t="n"/>
      <c r="K785" s="15" t="n"/>
      <c r="L785" s="15" t="n"/>
      <c r="M785" s="16" t="n"/>
    </row>
    <row r="786">
      <c r="A786" s="15" t="inlineStr">
        <is>
          <t>watch-tower-presidents</t>
        </is>
      </c>
      <c r="B786" s="15" t="n">
        <v>2</v>
      </c>
      <c r="C786" s="15" t="inlineStr">
        <is>
          <t>ruler</t>
        </is>
      </c>
      <c r="D786" s="15" t="n"/>
      <c r="E786" s="15" t="inlineStr">
        <is>
          <t>J. F. Rutherford, second president of the Watch Tower Society</t>
        </is>
      </c>
      <c r="F786" s="15" t="inlineStr">
        <is>
          <t>b12-0072</t>
        </is>
      </c>
      <c r="G786" s="15" t="inlineStr">
        <is>
          <t>Span</t>
        </is>
      </c>
      <c r="H786" s="15" t="inlineStr">
        <is>
          <t>January 6, 1917–January 8, 1942</t>
        </is>
      </c>
      <c r="I786" s="15" t="inlineStr">
        <is>
          <t>J. F. Rutherford, second president of the Watch Tower Society</t>
        </is>
      </c>
      <c r="J786" s="15" t="n"/>
      <c r="K786" s="15" t="n"/>
      <c r="L786" s="15" t="n"/>
      <c r="M786" s="16" t="n"/>
    </row>
    <row r="787">
      <c r="A787" s="15" t="inlineStr">
        <is>
          <t>watch-tower-presidents</t>
        </is>
      </c>
      <c r="B787" s="15" t="n">
        <v>3</v>
      </c>
      <c r="C787" s="15" t="inlineStr">
        <is>
          <t>ruler</t>
        </is>
      </c>
      <c r="D787" s="15" t="n"/>
      <c r="E787" s="15" t="inlineStr">
        <is>
          <t>N. H. Knorr, third president of the Watch Tower Society</t>
        </is>
      </c>
      <c r="F787" s="15" t="inlineStr">
        <is>
          <t>b12-0087</t>
        </is>
      </c>
      <c r="G787" s="15" t="inlineStr">
        <is>
          <t>Span</t>
        </is>
      </c>
      <c r="H787" s="15" t="inlineStr">
        <is>
          <t>January 13, 1942–June 8, 1977</t>
        </is>
      </c>
      <c r="I787" s="15" t="inlineStr">
        <is>
          <t>N. H. Knorr, third president of the Watch Tower Society</t>
        </is>
      </c>
      <c r="J787" s="15" t="n"/>
      <c r="K787" s="15" t="n"/>
      <c r="L787" s="15" t="n"/>
      <c r="M787" s="16" t="n"/>
    </row>
    <row r="788">
      <c r="A788" s="15" t="inlineStr">
        <is>
          <t>watch-tower-presidents</t>
        </is>
      </c>
      <c r="B788" s="15" t="n">
        <v>4</v>
      </c>
      <c r="C788" s="15" t="inlineStr">
        <is>
          <t>ruler</t>
        </is>
      </c>
      <c r="D788" s="15" t="n"/>
      <c r="E788" s="15" t="inlineStr">
        <is>
          <t>F. W. Franz, fourth president of the Watch Tower Society</t>
        </is>
      </c>
      <c r="F788" s="15" t="inlineStr">
        <is>
          <t>b12-0097</t>
        </is>
      </c>
      <c r="G788" s="15" t="inlineStr">
        <is>
          <t>Span</t>
        </is>
      </c>
      <c r="H788" s="15" t="inlineStr">
        <is>
          <t>June 22, 1977–December 22, 1992</t>
        </is>
      </c>
      <c r="I788" s="15" t="inlineStr">
        <is>
          <t>F. W. Franz, fourth president of the Watch Tower Society</t>
        </is>
      </c>
      <c r="J788" s="15" t="n"/>
      <c r="K788" s="15" t="n"/>
      <c r="L788" s="15" t="n"/>
      <c r="M788" s="16" t="n"/>
    </row>
    <row r="789">
      <c r="A789" s="15" t="inlineStr">
        <is>
          <t>watch-tower-presidents</t>
        </is>
      </c>
      <c r="B789" s="15" t="n">
        <v>5</v>
      </c>
      <c r="C789" s="15" t="inlineStr">
        <is>
          <t>ruler</t>
        </is>
      </c>
      <c r="D789" s="15" t="n"/>
      <c r="E789" s="15" t="inlineStr">
        <is>
          <t>M. G. Henschel, fifth president of the Watch Tower Society</t>
        </is>
      </c>
      <c r="F789" s="15" t="inlineStr">
        <is>
          <t>b12-0100</t>
        </is>
      </c>
      <c r="G789" s="15" t="inlineStr">
        <is>
          <t>Span</t>
        </is>
      </c>
      <c r="H789" s="15" t="inlineStr">
        <is>
          <t>December 30, 1992–(end not dated)</t>
        </is>
      </c>
      <c r="I789" s="15" t="inlineStr">
        <is>
          <t>M. G. Henschel, fifth president of the Watch Tower Society</t>
        </is>
      </c>
      <c r="J789" s="15" t="n"/>
      <c r="K789" s="15" t="n"/>
      <c r="L789" s="15" t="n"/>
      <c r="M789" s="16" t="n"/>
    </row>
  </sheetData>
  <autoFilter ref="A1:M78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2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22" customWidth="1" min="3" max="3"/>
    <col width="10" customWidth="1" min="4" max="4"/>
    <col width="10" customWidth="1" min="5" max="5"/>
    <col width="14" customWidth="1" min="6" max="6"/>
    <col width="10" customWidth="1" min="7" max="7"/>
    <col width="9" customWidth="1" min="8" max="8"/>
    <col width="14" customWidth="1" min="9" max="9"/>
    <col width="14" customWidth="1" min="10" max="10"/>
    <col width="40" customWidth="1" min="11" max="11"/>
    <col width="36" customWidth="1" min="12" max="12"/>
    <col width="50" customWidth="1" min="13" max="13"/>
    <col width="44" customWidth="1" min="14" max="14"/>
    <col width="22" customWidth="1" min="15" max="15"/>
    <col width="22" customWidth="1" min="16" max="16"/>
    <col width="20" customWidth="1" min="17" max="17"/>
    <col width="22" customWidth="1" min="18" max="18"/>
    <col width="20" customWidth="1" min="19" max="19"/>
    <col width="44" customWidth="1" min="20" max="20"/>
    <col width="40" customWidth="1" min="21" max="21"/>
    <col width="30" customWidth="1" min="22" max="22"/>
    <col width="30" customWidth="1" min="23" max="23"/>
  </cols>
  <sheetData>
    <row r="1" ht="32" customHeight="1">
      <c r="A1" s="6" t="inlineStr">
        <is>
          <t>Type (Point/Span)</t>
        </is>
      </c>
      <c r="B1" s="6" t="inlineStr">
        <is>
          <t>Date as printed (English)</t>
        </is>
      </c>
      <c r="C1" s="6" t="inlineStr">
        <is>
          <t>Date as printed (Tamil)</t>
        </is>
      </c>
      <c r="D1" s="6" t="inlineStr">
        <is>
          <t>Start year</t>
        </is>
      </c>
      <c r="E1" s="6" t="inlineStr">
        <is>
          <t>Start era (BCE/CE)</t>
        </is>
      </c>
      <c r="F1" s="6" t="inlineStr">
        <is>
          <t>Start precision</t>
        </is>
      </c>
      <c r="G1" s="6" t="inlineStr">
        <is>
          <t>End year (spans)</t>
        </is>
      </c>
      <c r="H1" s="6" t="inlineStr">
        <is>
          <t>End era</t>
        </is>
      </c>
      <c r="I1" s="6" t="inlineStr">
        <is>
          <t>End precision</t>
        </is>
      </c>
      <c r="J1" s="6" t="inlineStr">
        <is>
          <t>Duration as printed</t>
        </is>
      </c>
      <c r="K1" s="6" t="inlineStr">
        <is>
          <t>Title (English)</t>
        </is>
      </c>
      <c r="L1" s="6" t="inlineStr">
        <is>
          <t>Title (Tamil)</t>
        </is>
      </c>
      <c r="M1" s="6" t="inlineStr">
        <is>
          <t>Description (English)</t>
        </is>
      </c>
      <c r="N1" s="6" t="inlineStr">
        <is>
          <t>Description (Tamil)</t>
        </is>
      </c>
      <c r="O1" s="6" t="inlineStr">
        <is>
          <t>Category</t>
        </is>
      </c>
      <c r="P1" s="6" t="inlineStr">
        <is>
          <t>People (; separated)</t>
        </is>
      </c>
      <c r="Q1" s="6" t="inlineStr">
        <is>
          <t>Places (; separated)</t>
        </is>
      </c>
      <c r="R1" s="6" t="inlineStr">
        <is>
          <t>Scriptures (English)</t>
        </is>
      </c>
      <c r="S1" s="6" t="inlineStr">
        <is>
          <t>Scriptures (Tamil)</t>
        </is>
      </c>
      <c r="T1" s="6" t="inlineStr">
        <is>
          <t>jw.org / wol.jw.org link (required)</t>
        </is>
      </c>
      <c r="U1" s="6" t="inlineStr">
        <is>
          <t>Tamil jw.org link</t>
        </is>
      </c>
      <c r="V1" s="6" t="inlineStr">
        <is>
          <t>Image link</t>
        </is>
      </c>
      <c r="W1" s="6" t="inlineStr">
        <is>
          <t>Your note</t>
        </is>
      </c>
    </row>
    <row r="2">
      <c r="A2" s="17" t="inlineStr">
        <is>
          <t>Point</t>
        </is>
      </c>
      <c r="B2" s="17" t="inlineStr">
        <is>
          <t>455 B.C.E., Elul 25</t>
        </is>
      </c>
      <c r="C2" s="17" t="inlineStr">
        <is>
          <t>கி.மு. 455, எலூல் 25</t>
        </is>
      </c>
      <c r="D2" s="17" t="n">
        <v>455</v>
      </c>
      <c r="E2" s="17" t="inlineStr">
        <is>
          <t>BCE</t>
        </is>
      </c>
      <c r="F2" s="17" t="inlineStr">
        <is>
          <t>exact</t>
        </is>
      </c>
      <c r="G2" s="17" t="n"/>
      <c r="H2" s="17" t="n"/>
      <c r="I2" s="17" t="n"/>
      <c r="J2" s="17" t="inlineStr">
        <is>
          <t>52 days</t>
        </is>
      </c>
      <c r="K2" s="17" t="inlineStr">
        <is>
          <t>EXAMPLE – Jerusalem's wall completed in 52 days</t>
        </is>
      </c>
      <c r="L2" s="17" t="inlineStr"/>
      <c r="M2" s="17" t="inlineStr">
        <is>
          <t>Under Nehemiah's direction the wall is finished.</t>
        </is>
      </c>
      <c r="N2" s="17" t="inlineStr"/>
      <c r="O2" s="17" t="inlineStr">
        <is>
          <t>bible.exile_return</t>
        </is>
      </c>
      <c r="P2" s="17" t="inlineStr">
        <is>
          <t>Nehemiah</t>
        </is>
      </c>
      <c r="Q2" s="17" t="inlineStr">
        <is>
          <t>Jerusalem</t>
        </is>
      </c>
      <c r="R2" s="17" t="inlineStr">
        <is>
          <t>Neh. 6:15</t>
        </is>
      </c>
      <c r="S2" s="17" t="inlineStr">
        <is>
          <t>நெ. 6:15</t>
        </is>
      </c>
      <c r="T2" s="17" t="inlineStr">
        <is>
          <t>https://wol.jw.org/en/wol/d/r1/lp-e/1101990130</t>
        </is>
      </c>
      <c r="U2" s="17" t="inlineStr">
        <is>
          <t>https://wol.jw.org/ta/wol/d/r122/lp-tl/1101990130</t>
        </is>
      </c>
      <c r="V2" s="17" t="inlineStr"/>
      <c r="W2" s="17" t="inlineStr">
        <is>
          <t>Example row – overwrite or delete</t>
        </is>
      </c>
    </row>
    <row r="3">
      <c r="A3" s="18" t="n"/>
      <c r="B3" s="18" t="n"/>
      <c r="C3" s="18" t="n"/>
      <c r="D3" s="18" t="n"/>
      <c r="E3" s="18" t="n"/>
      <c r="F3" s="18" t="n"/>
      <c r="G3" s="18" t="n"/>
      <c r="H3" s="18" t="n"/>
      <c r="I3" s="18" t="n"/>
      <c r="J3" s="18" t="n"/>
      <c r="K3" s="18" t="n"/>
      <c r="L3" s="18" t="n"/>
      <c r="M3" s="18" t="n"/>
      <c r="N3" s="18" t="n"/>
      <c r="O3" s="18" t="n"/>
      <c r="P3" s="18" t="n"/>
      <c r="Q3" s="18" t="n"/>
      <c r="R3" s="18" t="n"/>
      <c r="S3" s="18" t="n"/>
      <c r="T3" s="18" t="n"/>
      <c r="U3" s="18" t="n"/>
      <c r="V3" s="18" t="n"/>
      <c r="W3" s="18" t="n"/>
    </row>
    <row r="4">
      <c r="A4" s="18" t="n"/>
      <c r="B4" s="18" t="n"/>
      <c r="C4" s="18" t="n"/>
      <c r="D4" s="18" t="n"/>
      <c r="E4" s="18" t="n"/>
      <c r="F4" s="18" t="n"/>
      <c r="G4" s="18" t="n"/>
      <c r="H4" s="18" t="n"/>
      <c r="I4" s="18" t="n"/>
      <c r="J4" s="18" t="n"/>
      <c r="K4" s="18" t="n"/>
      <c r="L4" s="18" t="n"/>
      <c r="M4" s="18" t="n"/>
      <c r="N4" s="18" t="n"/>
      <c r="O4" s="18" t="n"/>
      <c r="P4" s="18" t="n"/>
      <c r="Q4" s="18" t="n"/>
      <c r="R4" s="18" t="n"/>
      <c r="S4" s="18" t="n"/>
      <c r="T4" s="18" t="n"/>
      <c r="U4" s="18" t="n"/>
      <c r="V4" s="18" t="n"/>
      <c r="W4" s="18" t="n"/>
    </row>
    <row r="5">
      <c r="A5" s="18" t="n"/>
      <c r="B5" s="18" t="n"/>
      <c r="C5" s="18" t="n"/>
      <c r="D5" s="18" t="n"/>
      <c r="E5" s="18" t="n"/>
      <c r="F5" s="18" t="n"/>
      <c r="G5" s="18" t="n"/>
      <c r="H5" s="18" t="n"/>
      <c r="I5" s="18" t="n"/>
      <c r="J5" s="18" t="n"/>
      <c r="K5" s="18" t="n"/>
      <c r="L5" s="18" t="n"/>
      <c r="M5" s="18" t="n"/>
      <c r="N5" s="18" t="n"/>
      <c r="O5" s="18" t="n"/>
      <c r="P5" s="18" t="n"/>
      <c r="Q5" s="18" t="n"/>
      <c r="R5" s="18" t="n"/>
      <c r="S5" s="18" t="n"/>
      <c r="T5" s="18" t="n"/>
      <c r="U5" s="18" t="n"/>
      <c r="V5" s="18" t="n"/>
      <c r="W5" s="18" t="n"/>
    </row>
    <row r="6">
      <c r="A6" s="18" t="n"/>
      <c r="B6" s="18" t="n"/>
      <c r="C6" s="18" t="n"/>
      <c r="D6" s="18" t="n"/>
      <c r="E6" s="18" t="n"/>
      <c r="F6" s="18" t="n"/>
      <c r="G6" s="18" t="n"/>
      <c r="H6" s="18" t="n"/>
      <c r="I6" s="18" t="n"/>
      <c r="J6" s="18" t="n"/>
      <c r="K6" s="18" t="n"/>
      <c r="L6" s="18" t="n"/>
      <c r="M6" s="18" t="n"/>
      <c r="N6" s="18" t="n"/>
      <c r="O6" s="18" t="n"/>
      <c r="P6" s="18" t="n"/>
      <c r="Q6" s="18" t="n"/>
      <c r="R6" s="18" t="n"/>
      <c r="S6" s="18" t="n"/>
      <c r="T6" s="18" t="n"/>
      <c r="U6" s="18" t="n"/>
      <c r="V6" s="18" t="n"/>
      <c r="W6" s="18" t="n"/>
    </row>
    <row r="7">
      <c r="A7" s="18" t="n"/>
      <c r="B7" s="18" t="n"/>
      <c r="C7" s="18" t="n"/>
      <c r="D7" s="18" t="n"/>
      <c r="E7" s="18" t="n"/>
      <c r="F7" s="18" t="n"/>
      <c r="G7" s="18" t="n"/>
      <c r="H7" s="18" t="n"/>
      <c r="I7" s="18" t="n"/>
      <c r="J7" s="18" t="n"/>
      <c r="K7" s="18" t="n"/>
      <c r="L7" s="18" t="n"/>
      <c r="M7" s="18" t="n"/>
      <c r="N7" s="18" t="n"/>
      <c r="O7" s="18" t="n"/>
      <c r="P7" s="18" t="n"/>
      <c r="Q7" s="18" t="n"/>
      <c r="R7" s="18" t="n"/>
      <c r="S7" s="18" t="n"/>
      <c r="T7" s="18" t="n"/>
      <c r="U7" s="18" t="n"/>
      <c r="V7" s="18" t="n"/>
      <c r="W7" s="18" t="n"/>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row>
    <row r="21">
      <c r="A21" s="18" t="n"/>
      <c r="B21" s="18" t="n"/>
      <c r="C21" s="18" t="n"/>
      <c r="D21" s="18" t="n"/>
      <c r="E21" s="18" t="n"/>
      <c r="F21" s="18" t="n"/>
      <c r="G21" s="18" t="n"/>
      <c r="H21" s="18" t="n"/>
      <c r="I21" s="18" t="n"/>
      <c r="J21" s="18" t="n"/>
      <c r="K21" s="18" t="n"/>
      <c r="L21" s="18" t="n"/>
      <c r="M21" s="18" t="n"/>
      <c r="N21" s="18" t="n"/>
      <c r="O21" s="18" t="n"/>
      <c r="P21" s="18" t="n"/>
      <c r="Q21" s="18" t="n"/>
      <c r="R21" s="18" t="n"/>
      <c r="S21" s="18" t="n"/>
      <c r="T21" s="18" t="n"/>
      <c r="U21" s="18" t="n"/>
      <c r="V21" s="18" t="n"/>
      <c r="W21" s="18" t="n"/>
    </row>
    <row r="22">
      <c r="A22" s="18" t="n"/>
      <c r="B22" s="18" t="n"/>
      <c r="C22" s="18" t="n"/>
      <c r="D22" s="18" t="n"/>
      <c r="E22" s="18" t="n"/>
      <c r="F22" s="18" t="n"/>
      <c r="G22" s="18" t="n"/>
      <c r="H22" s="18" t="n"/>
      <c r="I22" s="18" t="n"/>
      <c r="J22" s="18" t="n"/>
      <c r="K22" s="18" t="n"/>
      <c r="L22" s="18" t="n"/>
      <c r="M22" s="18" t="n"/>
      <c r="N22" s="18" t="n"/>
      <c r="O22" s="18" t="n"/>
      <c r="P22" s="18" t="n"/>
      <c r="Q22" s="18" t="n"/>
      <c r="R22" s="18" t="n"/>
      <c r="S22" s="18" t="n"/>
      <c r="T22" s="18" t="n"/>
      <c r="U22" s="18" t="n"/>
      <c r="V22" s="18" t="n"/>
      <c r="W22" s="18" t="n"/>
    </row>
    <row r="23">
      <c r="A23" s="18" t="n"/>
      <c r="B23" s="18" t="n"/>
      <c r="C23" s="18" t="n"/>
      <c r="D23" s="18" t="n"/>
      <c r="E23" s="18" t="n"/>
      <c r="F23" s="18" t="n"/>
      <c r="G23" s="18" t="n"/>
      <c r="H23" s="18" t="n"/>
      <c r="I23" s="18" t="n"/>
      <c r="J23" s="18" t="n"/>
      <c r="K23" s="18" t="n"/>
      <c r="L23" s="18" t="n"/>
      <c r="M23" s="18" t="n"/>
      <c r="N23" s="18" t="n"/>
      <c r="O23" s="18" t="n"/>
      <c r="P23" s="18" t="n"/>
      <c r="Q23" s="18" t="n"/>
      <c r="R23" s="18" t="n"/>
      <c r="S23" s="18" t="n"/>
      <c r="T23" s="18" t="n"/>
      <c r="U23" s="18" t="n"/>
      <c r="V23" s="18" t="n"/>
      <c r="W23" s="18" t="n"/>
    </row>
    <row r="24">
      <c r="A24" s="18" t="n"/>
      <c r="B24" s="18" t="n"/>
      <c r="C24" s="18" t="n"/>
      <c r="D24" s="18" t="n"/>
      <c r="E24" s="18" t="n"/>
      <c r="F24" s="18" t="n"/>
      <c r="G24" s="18" t="n"/>
      <c r="H24" s="18" t="n"/>
      <c r="I24" s="18" t="n"/>
      <c r="J24" s="18" t="n"/>
      <c r="K24" s="18" t="n"/>
      <c r="L24" s="18" t="n"/>
      <c r="M24" s="18" t="n"/>
      <c r="N24" s="18" t="n"/>
      <c r="O24" s="18" t="n"/>
      <c r="P24" s="18" t="n"/>
      <c r="Q24" s="18" t="n"/>
      <c r="R24" s="18" t="n"/>
      <c r="S24" s="18" t="n"/>
      <c r="T24" s="18" t="n"/>
      <c r="U24" s="18" t="n"/>
      <c r="V24" s="18" t="n"/>
      <c r="W24" s="18" t="n"/>
    </row>
    <row r="25">
      <c r="A25" s="18" t="n"/>
      <c r="B25" s="18" t="n"/>
      <c r="C25" s="18" t="n"/>
      <c r="D25" s="18" t="n"/>
      <c r="E25" s="18" t="n"/>
      <c r="F25" s="18" t="n"/>
      <c r="G25" s="18" t="n"/>
      <c r="H25" s="18" t="n"/>
      <c r="I25" s="18" t="n"/>
      <c r="J25" s="18" t="n"/>
      <c r="K25" s="18" t="n"/>
      <c r="L25" s="18" t="n"/>
      <c r="M25" s="18" t="n"/>
      <c r="N25" s="18" t="n"/>
      <c r="O25" s="18" t="n"/>
      <c r="P25" s="18" t="n"/>
      <c r="Q25" s="18" t="n"/>
      <c r="R25" s="18" t="n"/>
      <c r="S25" s="18" t="n"/>
      <c r="T25" s="18" t="n"/>
      <c r="U25" s="18" t="n"/>
      <c r="V25" s="18" t="n"/>
      <c r="W25" s="18" t="n"/>
    </row>
    <row r="26">
      <c r="A26" s="18" t="n"/>
      <c r="B26" s="18" t="n"/>
      <c r="C26" s="18" t="n"/>
      <c r="D26" s="18" t="n"/>
      <c r="E26" s="18" t="n"/>
      <c r="F26" s="18" t="n"/>
      <c r="G26" s="18" t="n"/>
      <c r="H26" s="18" t="n"/>
      <c r="I26" s="18" t="n"/>
      <c r="J26" s="18" t="n"/>
      <c r="K26" s="18" t="n"/>
      <c r="L26" s="18" t="n"/>
      <c r="M26" s="18" t="n"/>
      <c r="N26" s="18" t="n"/>
      <c r="O26" s="18" t="n"/>
      <c r="P26" s="18" t="n"/>
      <c r="Q26" s="18" t="n"/>
      <c r="R26" s="18" t="n"/>
      <c r="S26" s="18" t="n"/>
      <c r="T26" s="18" t="n"/>
      <c r="U26" s="18" t="n"/>
      <c r="V26" s="18" t="n"/>
      <c r="W26" s="18" t="n"/>
    </row>
    <row r="27">
      <c r="A27" s="18" t="n"/>
      <c r="B27" s="18" t="n"/>
      <c r="C27" s="18" t="n"/>
      <c r="D27" s="18" t="n"/>
      <c r="E27" s="18" t="n"/>
      <c r="F27" s="18" t="n"/>
      <c r="G27" s="18" t="n"/>
      <c r="H27" s="18" t="n"/>
      <c r="I27" s="18" t="n"/>
      <c r="J27" s="18" t="n"/>
      <c r="K27" s="18" t="n"/>
      <c r="L27" s="18" t="n"/>
      <c r="M27" s="18" t="n"/>
      <c r="N27" s="18" t="n"/>
      <c r="O27" s="18" t="n"/>
      <c r="P27" s="18" t="n"/>
      <c r="Q27" s="18" t="n"/>
      <c r="R27" s="18" t="n"/>
      <c r="S27" s="18" t="n"/>
      <c r="T27" s="18" t="n"/>
      <c r="U27" s="18" t="n"/>
      <c r="V27" s="18" t="n"/>
      <c r="W27" s="18" t="n"/>
    </row>
    <row r="28">
      <c r="A28" s="18" t="n"/>
      <c r="B28" s="18" t="n"/>
      <c r="C28" s="18" t="n"/>
      <c r="D28" s="18" t="n"/>
      <c r="E28" s="18" t="n"/>
      <c r="F28" s="18" t="n"/>
      <c r="G28" s="18" t="n"/>
      <c r="H28" s="18" t="n"/>
      <c r="I28" s="18" t="n"/>
      <c r="J28" s="18" t="n"/>
      <c r="K28" s="18" t="n"/>
      <c r="L28" s="18" t="n"/>
      <c r="M28" s="18" t="n"/>
      <c r="N28" s="18" t="n"/>
      <c r="O28" s="18" t="n"/>
      <c r="P28" s="18" t="n"/>
      <c r="Q28" s="18" t="n"/>
      <c r="R28" s="18" t="n"/>
      <c r="S28" s="18" t="n"/>
      <c r="T28" s="18" t="n"/>
      <c r="U28" s="18" t="n"/>
      <c r="V28" s="18" t="n"/>
      <c r="W28" s="18" t="n"/>
    </row>
    <row r="29">
      <c r="A29" s="18" t="n"/>
      <c r="B29" s="18" t="n"/>
      <c r="C29" s="18" t="n"/>
      <c r="D29" s="18" t="n"/>
      <c r="E29" s="18" t="n"/>
      <c r="F29" s="18" t="n"/>
      <c r="G29" s="18" t="n"/>
      <c r="H29" s="18" t="n"/>
      <c r="I29" s="18" t="n"/>
      <c r="J29" s="18" t="n"/>
      <c r="K29" s="18" t="n"/>
      <c r="L29" s="18" t="n"/>
      <c r="M29" s="18" t="n"/>
      <c r="N29" s="18" t="n"/>
      <c r="O29" s="18" t="n"/>
      <c r="P29" s="18" t="n"/>
      <c r="Q29" s="18" t="n"/>
      <c r="R29" s="18" t="n"/>
      <c r="S29" s="18" t="n"/>
      <c r="T29" s="18" t="n"/>
      <c r="U29" s="18" t="n"/>
      <c r="V29" s="18" t="n"/>
      <c r="W29" s="18" t="n"/>
    </row>
    <row r="30">
      <c r="A30" s="18" t="n"/>
      <c r="B30" s="18" t="n"/>
      <c r="C30" s="18" t="n"/>
      <c r="D30" s="18" t="n"/>
      <c r="E30" s="18" t="n"/>
      <c r="F30" s="18" t="n"/>
      <c r="G30" s="18" t="n"/>
      <c r="H30" s="18" t="n"/>
      <c r="I30" s="18" t="n"/>
      <c r="J30" s="18" t="n"/>
      <c r="K30" s="18" t="n"/>
      <c r="L30" s="18" t="n"/>
      <c r="M30" s="18" t="n"/>
      <c r="N30" s="18" t="n"/>
      <c r="O30" s="18" t="n"/>
      <c r="P30" s="18" t="n"/>
      <c r="Q30" s="18" t="n"/>
      <c r="R30" s="18" t="n"/>
      <c r="S30" s="18" t="n"/>
      <c r="T30" s="18" t="n"/>
      <c r="U30" s="18" t="n"/>
      <c r="V30" s="18" t="n"/>
      <c r="W30" s="18" t="n"/>
    </row>
    <row r="31">
      <c r="A31" s="18" t="n"/>
      <c r="B31" s="18" t="n"/>
      <c r="C31" s="18" t="n"/>
      <c r="D31" s="18" t="n"/>
      <c r="E31" s="18" t="n"/>
      <c r="F31" s="18" t="n"/>
      <c r="G31" s="18" t="n"/>
      <c r="H31" s="18" t="n"/>
      <c r="I31" s="18" t="n"/>
      <c r="J31" s="18" t="n"/>
      <c r="K31" s="18" t="n"/>
      <c r="L31" s="18" t="n"/>
      <c r="M31" s="18" t="n"/>
      <c r="N31" s="18" t="n"/>
      <c r="O31" s="18" t="n"/>
      <c r="P31" s="18" t="n"/>
      <c r="Q31" s="18" t="n"/>
      <c r="R31" s="18" t="n"/>
      <c r="S31" s="18" t="n"/>
      <c r="T31" s="18" t="n"/>
      <c r="U31" s="18" t="n"/>
      <c r="V31" s="18" t="n"/>
      <c r="W31" s="18" t="n"/>
    </row>
    <row r="32">
      <c r="A32" s="18" t="n"/>
      <c r="B32" s="18" t="n"/>
      <c r="C32" s="18" t="n"/>
      <c r="D32" s="18" t="n"/>
      <c r="E32" s="18" t="n"/>
      <c r="F32" s="18" t="n"/>
      <c r="G32" s="18" t="n"/>
      <c r="H32" s="18" t="n"/>
      <c r="I32" s="18" t="n"/>
      <c r="J32" s="18" t="n"/>
      <c r="K32" s="18" t="n"/>
      <c r="L32" s="18" t="n"/>
      <c r="M32" s="18" t="n"/>
      <c r="N32" s="18" t="n"/>
      <c r="O32" s="18" t="n"/>
      <c r="P32" s="18" t="n"/>
      <c r="Q32" s="18" t="n"/>
      <c r="R32" s="18" t="n"/>
      <c r="S32" s="18" t="n"/>
      <c r="T32" s="18" t="n"/>
      <c r="U32" s="18" t="n"/>
      <c r="V32" s="18" t="n"/>
      <c r="W32" s="18" t="n"/>
    </row>
    <row r="33">
      <c r="A33" s="18" t="n"/>
      <c r="B33" s="18" t="n"/>
      <c r="C33" s="18" t="n"/>
      <c r="D33" s="18" t="n"/>
      <c r="E33" s="18" t="n"/>
      <c r="F33" s="18" t="n"/>
      <c r="G33" s="18" t="n"/>
      <c r="H33" s="18" t="n"/>
      <c r="I33" s="18" t="n"/>
      <c r="J33" s="18" t="n"/>
      <c r="K33" s="18" t="n"/>
      <c r="L33" s="18" t="n"/>
      <c r="M33" s="18" t="n"/>
      <c r="N33" s="18" t="n"/>
      <c r="O33" s="18" t="n"/>
      <c r="P33" s="18" t="n"/>
      <c r="Q33" s="18" t="n"/>
      <c r="R33" s="18" t="n"/>
      <c r="S33" s="18" t="n"/>
      <c r="T33" s="18" t="n"/>
      <c r="U33" s="18" t="n"/>
      <c r="V33" s="18" t="n"/>
      <c r="W33" s="18" t="n"/>
    </row>
    <row r="34">
      <c r="A34" s="18" t="n"/>
      <c r="B34" s="18" t="n"/>
      <c r="C34" s="18" t="n"/>
      <c r="D34" s="18" t="n"/>
      <c r="E34" s="18" t="n"/>
      <c r="F34" s="18" t="n"/>
      <c r="G34" s="18" t="n"/>
      <c r="H34" s="18" t="n"/>
      <c r="I34" s="18" t="n"/>
      <c r="J34" s="18" t="n"/>
      <c r="K34" s="18" t="n"/>
      <c r="L34" s="18" t="n"/>
      <c r="M34" s="18" t="n"/>
      <c r="N34" s="18" t="n"/>
      <c r="O34" s="18" t="n"/>
      <c r="P34" s="18" t="n"/>
      <c r="Q34" s="18" t="n"/>
      <c r="R34" s="18" t="n"/>
      <c r="S34" s="18" t="n"/>
      <c r="T34" s="18" t="n"/>
      <c r="U34" s="18" t="n"/>
      <c r="V34" s="18" t="n"/>
      <c r="W34" s="18" t="n"/>
    </row>
    <row r="35">
      <c r="A35" s="18" t="n"/>
      <c r="B35" s="18" t="n"/>
      <c r="C35" s="18" t="n"/>
      <c r="D35" s="18" t="n"/>
      <c r="E35" s="18" t="n"/>
      <c r="F35" s="18" t="n"/>
      <c r="G35" s="18" t="n"/>
      <c r="H35" s="18" t="n"/>
      <c r="I35" s="18" t="n"/>
      <c r="J35" s="18" t="n"/>
      <c r="K35" s="18" t="n"/>
      <c r="L35" s="18" t="n"/>
      <c r="M35" s="18" t="n"/>
      <c r="N35" s="18" t="n"/>
      <c r="O35" s="18" t="n"/>
      <c r="P35" s="18" t="n"/>
      <c r="Q35" s="18" t="n"/>
      <c r="R35" s="18" t="n"/>
      <c r="S35" s="18" t="n"/>
      <c r="T35" s="18" t="n"/>
      <c r="U35" s="18" t="n"/>
      <c r="V35" s="18" t="n"/>
      <c r="W35" s="18" t="n"/>
    </row>
    <row r="36">
      <c r="A36" s="18" t="n"/>
      <c r="B36" s="18" t="n"/>
      <c r="C36" s="18" t="n"/>
      <c r="D36" s="18" t="n"/>
      <c r="E36" s="18" t="n"/>
      <c r="F36" s="18" t="n"/>
      <c r="G36" s="18" t="n"/>
      <c r="H36" s="18" t="n"/>
      <c r="I36" s="18" t="n"/>
      <c r="J36" s="18" t="n"/>
      <c r="K36" s="18" t="n"/>
      <c r="L36" s="18" t="n"/>
      <c r="M36" s="18" t="n"/>
      <c r="N36" s="18" t="n"/>
      <c r="O36" s="18" t="n"/>
      <c r="P36" s="18" t="n"/>
      <c r="Q36" s="18" t="n"/>
      <c r="R36" s="18" t="n"/>
      <c r="S36" s="18" t="n"/>
      <c r="T36" s="18" t="n"/>
      <c r="U36" s="18" t="n"/>
      <c r="V36" s="18" t="n"/>
      <c r="W36" s="18" t="n"/>
    </row>
    <row r="37">
      <c r="A37" s="18" t="n"/>
      <c r="B37" s="18" t="n"/>
      <c r="C37" s="18" t="n"/>
      <c r="D37" s="18" t="n"/>
      <c r="E37" s="18" t="n"/>
      <c r="F37" s="18" t="n"/>
      <c r="G37" s="18" t="n"/>
      <c r="H37" s="18" t="n"/>
      <c r="I37" s="18" t="n"/>
      <c r="J37" s="18" t="n"/>
      <c r="K37" s="18" t="n"/>
      <c r="L37" s="18" t="n"/>
      <c r="M37" s="18" t="n"/>
      <c r="N37" s="18" t="n"/>
      <c r="O37" s="18" t="n"/>
      <c r="P37" s="18" t="n"/>
      <c r="Q37" s="18" t="n"/>
      <c r="R37" s="18" t="n"/>
      <c r="S37" s="18" t="n"/>
      <c r="T37" s="18" t="n"/>
      <c r="U37" s="18" t="n"/>
      <c r="V37" s="18" t="n"/>
      <c r="W37" s="18" t="n"/>
    </row>
    <row r="38">
      <c r="A38" s="18" t="n"/>
      <c r="B38" s="18" t="n"/>
      <c r="C38" s="18" t="n"/>
      <c r="D38" s="18" t="n"/>
      <c r="E38" s="18" t="n"/>
      <c r="F38" s="18" t="n"/>
      <c r="G38" s="18" t="n"/>
      <c r="H38" s="18" t="n"/>
      <c r="I38" s="18" t="n"/>
      <c r="J38" s="18" t="n"/>
      <c r="K38" s="18" t="n"/>
      <c r="L38" s="18" t="n"/>
      <c r="M38" s="18" t="n"/>
      <c r="N38" s="18" t="n"/>
      <c r="O38" s="18" t="n"/>
      <c r="P38" s="18" t="n"/>
      <c r="Q38" s="18" t="n"/>
      <c r="R38" s="18" t="n"/>
      <c r="S38" s="18" t="n"/>
      <c r="T38" s="18" t="n"/>
      <c r="U38" s="18" t="n"/>
      <c r="V38" s="18" t="n"/>
      <c r="W38" s="18" t="n"/>
    </row>
    <row r="39">
      <c r="A39" s="18" t="n"/>
      <c r="B39" s="18" t="n"/>
      <c r="C39" s="18" t="n"/>
      <c r="D39" s="18" t="n"/>
      <c r="E39" s="18" t="n"/>
      <c r="F39" s="18" t="n"/>
      <c r="G39" s="18" t="n"/>
      <c r="H39" s="18" t="n"/>
      <c r="I39" s="18" t="n"/>
      <c r="J39" s="18" t="n"/>
      <c r="K39" s="18" t="n"/>
      <c r="L39" s="18" t="n"/>
      <c r="M39" s="18" t="n"/>
      <c r="N39" s="18" t="n"/>
      <c r="O39" s="18" t="n"/>
      <c r="P39" s="18" t="n"/>
      <c r="Q39" s="18" t="n"/>
      <c r="R39" s="18" t="n"/>
      <c r="S39" s="18" t="n"/>
      <c r="T39" s="18" t="n"/>
      <c r="U39" s="18" t="n"/>
      <c r="V39" s="18" t="n"/>
      <c r="W39" s="18" t="n"/>
    </row>
    <row r="40">
      <c r="A40" s="18" t="n"/>
      <c r="B40" s="18" t="n"/>
      <c r="C40" s="18" t="n"/>
      <c r="D40" s="18" t="n"/>
      <c r="E40" s="18" t="n"/>
      <c r="F40" s="18" t="n"/>
      <c r="G40" s="18" t="n"/>
      <c r="H40" s="18" t="n"/>
      <c r="I40" s="18" t="n"/>
      <c r="J40" s="18" t="n"/>
      <c r="K40" s="18" t="n"/>
      <c r="L40" s="18" t="n"/>
      <c r="M40" s="18" t="n"/>
      <c r="N40" s="18" t="n"/>
      <c r="O40" s="18" t="n"/>
      <c r="P40" s="18" t="n"/>
      <c r="Q40" s="18" t="n"/>
      <c r="R40" s="18" t="n"/>
      <c r="S40" s="18" t="n"/>
      <c r="T40" s="18" t="n"/>
      <c r="U40" s="18" t="n"/>
      <c r="V40" s="18" t="n"/>
      <c r="W40" s="18" t="n"/>
    </row>
    <row r="41">
      <c r="A41" s="18" t="n"/>
      <c r="B41" s="18" t="n"/>
      <c r="C41" s="18" t="n"/>
      <c r="D41" s="18" t="n"/>
      <c r="E41" s="18" t="n"/>
      <c r="F41" s="18" t="n"/>
      <c r="G41" s="18" t="n"/>
      <c r="H41" s="18" t="n"/>
      <c r="I41" s="18" t="n"/>
      <c r="J41" s="18" t="n"/>
      <c r="K41" s="18" t="n"/>
      <c r="L41" s="18" t="n"/>
      <c r="M41" s="18" t="n"/>
      <c r="N41" s="18" t="n"/>
      <c r="O41" s="18" t="n"/>
      <c r="P41" s="18" t="n"/>
      <c r="Q41" s="18" t="n"/>
      <c r="R41" s="18" t="n"/>
      <c r="S41" s="18" t="n"/>
      <c r="T41" s="18" t="n"/>
      <c r="U41" s="18" t="n"/>
      <c r="V41" s="18" t="n"/>
      <c r="W41" s="18" t="n"/>
    </row>
    <row r="42">
      <c r="A42" s="18" t="n"/>
      <c r="B42" s="18" t="n"/>
      <c r="C42" s="18" t="n"/>
      <c r="D42" s="18" t="n"/>
      <c r="E42" s="18" t="n"/>
      <c r="F42" s="18" t="n"/>
      <c r="G42" s="18" t="n"/>
      <c r="H42" s="18" t="n"/>
      <c r="I42" s="18" t="n"/>
      <c r="J42" s="18" t="n"/>
      <c r="K42" s="18" t="n"/>
      <c r="L42" s="18" t="n"/>
      <c r="M42" s="18" t="n"/>
      <c r="N42" s="18" t="n"/>
      <c r="O42" s="18" t="n"/>
      <c r="P42" s="18" t="n"/>
      <c r="Q42" s="18" t="n"/>
      <c r="R42" s="18" t="n"/>
      <c r="S42" s="18" t="n"/>
      <c r="T42" s="18" t="n"/>
      <c r="U42" s="18" t="n"/>
      <c r="V42" s="18" t="n"/>
      <c r="W42" s="18" t="n"/>
    </row>
    <row r="43">
      <c r="A43" s="18" t="n"/>
      <c r="B43" s="18" t="n"/>
      <c r="C43" s="18" t="n"/>
      <c r="D43" s="18" t="n"/>
      <c r="E43" s="18" t="n"/>
      <c r="F43" s="18" t="n"/>
      <c r="G43" s="18" t="n"/>
      <c r="H43" s="18" t="n"/>
      <c r="I43" s="18" t="n"/>
      <c r="J43" s="18" t="n"/>
      <c r="K43" s="18" t="n"/>
      <c r="L43" s="18" t="n"/>
      <c r="M43" s="18" t="n"/>
      <c r="N43" s="18" t="n"/>
      <c r="O43" s="18" t="n"/>
      <c r="P43" s="18" t="n"/>
      <c r="Q43" s="18" t="n"/>
      <c r="R43" s="18" t="n"/>
      <c r="S43" s="18" t="n"/>
      <c r="T43" s="18" t="n"/>
      <c r="U43" s="18" t="n"/>
      <c r="V43" s="18" t="n"/>
      <c r="W43" s="18" t="n"/>
    </row>
    <row r="44">
      <c r="A44" s="18" t="n"/>
      <c r="B44" s="18" t="n"/>
      <c r="C44" s="18" t="n"/>
      <c r="D44" s="18" t="n"/>
      <c r="E44" s="18" t="n"/>
      <c r="F44" s="18" t="n"/>
      <c r="G44" s="18" t="n"/>
      <c r="H44" s="18" t="n"/>
      <c r="I44" s="18" t="n"/>
      <c r="J44" s="18" t="n"/>
      <c r="K44" s="18" t="n"/>
      <c r="L44" s="18" t="n"/>
      <c r="M44" s="18" t="n"/>
      <c r="N44" s="18" t="n"/>
      <c r="O44" s="18" t="n"/>
      <c r="P44" s="18" t="n"/>
      <c r="Q44" s="18" t="n"/>
      <c r="R44" s="18" t="n"/>
      <c r="S44" s="18" t="n"/>
      <c r="T44" s="18" t="n"/>
      <c r="U44" s="18" t="n"/>
      <c r="V44" s="18" t="n"/>
      <c r="W44" s="18" t="n"/>
    </row>
    <row r="45">
      <c r="A45" s="18" t="n"/>
      <c r="B45" s="18" t="n"/>
      <c r="C45" s="18" t="n"/>
      <c r="D45" s="18" t="n"/>
      <c r="E45" s="18" t="n"/>
      <c r="F45" s="18" t="n"/>
      <c r="G45" s="18" t="n"/>
      <c r="H45" s="18" t="n"/>
      <c r="I45" s="18" t="n"/>
      <c r="J45" s="18" t="n"/>
      <c r="K45" s="18" t="n"/>
      <c r="L45" s="18" t="n"/>
      <c r="M45" s="18" t="n"/>
      <c r="N45" s="18" t="n"/>
      <c r="O45" s="18" t="n"/>
      <c r="P45" s="18" t="n"/>
      <c r="Q45" s="18" t="n"/>
      <c r="R45" s="18" t="n"/>
      <c r="S45" s="18" t="n"/>
      <c r="T45" s="18" t="n"/>
      <c r="U45" s="18" t="n"/>
      <c r="V45" s="18" t="n"/>
      <c r="W45" s="18" t="n"/>
    </row>
    <row r="46">
      <c r="A46" s="18" t="n"/>
      <c r="B46" s="18" t="n"/>
      <c r="C46" s="18" t="n"/>
      <c r="D46" s="18" t="n"/>
      <c r="E46" s="18" t="n"/>
      <c r="F46" s="18" t="n"/>
      <c r="G46" s="18" t="n"/>
      <c r="H46" s="18" t="n"/>
      <c r="I46" s="18" t="n"/>
      <c r="J46" s="18" t="n"/>
      <c r="K46" s="18" t="n"/>
      <c r="L46" s="18" t="n"/>
      <c r="M46" s="18" t="n"/>
      <c r="N46" s="18" t="n"/>
      <c r="O46" s="18" t="n"/>
      <c r="P46" s="18" t="n"/>
      <c r="Q46" s="18" t="n"/>
      <c r="R46" s="18" t="n"/>
      <c r="S46" s="18" t="n"/>
      <c r="T46" s="18" t="n"/>
      <c r="U46" s="18" t="n"/>
      <c r="V46" s="18" t="n"/>
      <c r="W46" s="18" t="n"/>
    </row>
    <row r="47">
      <c r="A47" s="18" t="n"/>
      <c r="B47" s="18" t="n"/>
      <c r="C47" s="18" t="n"/>
      <c r="D47" s="18" t="n"/>
      <c r="E47" s="18" t="n"/>
      <c r="F47" s="18" t="n"/>
      <c r="G47" s="18" t="n"/>
      <c r="H47" s="18" t="n"/>
      <c r="I47" s="18" t="n"/>
      <c r="J47" s="18" t="n"/>
      <c r="K47" s="18" t="n"/>
      <c r="L47" s="18" t="n"/>
      <c r="M47" s="18" t="n"/>
      <c r="N47" s="18" t="n"/>
      <c r="O47" s="18" t="n"/>
      <c r="P47" s="18" t="n"/>
      <c r="Q47" s="18" t="n"/>
      <c r="R47" s="18" t="n"/>
      <c r="S47" s="18" t="n"/>
      <c r="T47" s="18" t="n"/>
      <c r="U47" s="18" t="n"/>
      <c r="V47" s="18" t="n"/>
      <c r="W47" s="18" t="n"/>
    </row>
    <row r="48">
      <c r="A48" s="18" t="n"/>
      <c r="B48" s="18" t="n"/>
      <c r="C48" s="18" t="n"/>
      <c r="D48" s="18" t="n"/>
      <c r="E48" s="18" t="n"/>
      <c r="F48" s="18" t="n"/>
      <c r="G48" s="18" t="n"/>
      <c r="H48" s="18" t="n"/>
      <c r="I48" s="18" t="n"/>
      <c r="J48" s="18" t="n"/>
      <c r="K48" s="18" t="n"/>
      <c r="L48" s="18" t="n"/>
      <c r="M48" s="18" t="n"/>
      <c r="N48" s="18" t="n"/>
      <c r="O48" s="18" t="n"/>
      <c r="P48" s="18" t="n"/>
      <c r="Q48" s="18" t="n"/>
      <c r="R48" s="18" t="n"/>
      <c r="S48" s="18" t="n"/>
      <c r="T48" s="18" t="n"/>
      <c r="U48" s="18" t="n"/>
      <c r="V48" s="18" t="n"/>
      <c r="W48" s="18" t="n"/>
    </row>
    <row r="49">
      <c r="A49" s="18" t="n"/>
      <c r="B49" s="18" t="n"/>
      <c r="C49" s="18" t="n"/>
      <c r="D49" s="18" t="n"/>
      <c r="E49" s="18" t="n"/>
      <c r="F49" s="18" t="n"/>
      <c r="G49" s="18" t="n"/>
      <c r="H49" s="18" t="n"/>
      <c r="I49" s="18" t="n"/>
      <c r="J49" s="18" t="n"/>
      <c r="K49" s="18" t="n"/>
      <c r="L49" s="18" t="n"/>
      <c r="M49" s="18" t="n"/>
      <c r="N49" s="18" t="n"/>
      <c r="O49" s="18" t="n"/>
      <c r="P49" s="18" t="n"/>
      <c r="Q49" s="18" t="n"/>
      <c r="R49" s="18" t="n"/>
      <c r="S49" s="18" t="n"/>
      <c r="T49" s="18" t="n"/>
      <c r="U49" s="18" t="n"/>
      <c r="V49" s="18" t="n"/>
      <c r="W49" s="18" t="n"/>
    </row>
    <row r="50">
      <c r="A50" s="18" t="n"/>
      <c r="B50" s="18" t="n"/>
      <c r="C50" s="18" t="n"/>
      <c r="D50" s="18" t="n"/>
      <c r="E50" s="18" t="n"/>
      <c r="F50" s="18" t="n"/>
      <c r="G50" s="18" t="n"/>
      <c r="H50" s="18" t="n"/>
      <c r="I50" s="18" t="n"/>
      <c r="J50" s="18" t="n"/>
      <c r="K50" s="18" t="n"/>
      <c r="L50" s="18" t="n"/>
      <c r="M50" s="18" t="n"/>
      <c r="N50" s="18" t="n"/>
      <c r="O50" s="18" t="n"/>
      <c r="P50" s="18" t="n"/>
      <c r="Q50" s="18" t="n"/>
      <c r="R50" s="18" t="n"/>
      <c r="S50" s="18" t="n"/>
      <c r="T50" s="18" t="n"/>
      <c r="U50" s="18" t="n"/>
      <c r="V50" s="18" t="n"/>
      <c r="W50" s="18" t="n"/>
    </row>
    <row r="51">
      <c r="A51" s="18" t="n"/>
      <c r="B51" s="18" t="n"/>
      <c r="C51" s="18" t="n"/>
      <c r="D51" s="18" t="n"/>
      <c r="E51" s="18" t="n"/>
      <c r="F51" s="18" t="n"/>
      <c r="G51" s="18" t="n"/>
      <c r="H51" s="18" t="n"/>
      <c r="I51" s="18" t="n"/>
      <c r="J51" s="18" t="n"/>
      <c r="K51" s="18" t="n"/>
      <c r="L51" s="18" t="n"/>
      <c r="M51" s="18" t="n"/>
      <c r="N51" s="18" t="n"/>
      <c r="O51" s="18" t="n"/>
      <c r="P51" s="18" t="n"/>
      <c r="Q51" s="18" t="n"/>
      <c r="R51" s="18" t="n"/>
      <c r="S51" s="18" t="n"/>
      <c r="T51" s="18" t="n"/>
      <c r="U51" s="18" t="n"/>
      <c r="V51" s="18" t="n"/>
      <c r="W51" s="18" t="n"/>
    </row>
    <row r="52">
      <c r="A52" s="18" t="n"/>
      <c r="B52" s="18" t="n"/>
      <c r="C52" s="18" t="n"/>
      <c r="D52" s="18" t="n"/>
      <c r="E52" s="18" t="n"/>
      <c r="F52" s="18" t="n"/>
      <c r="G52" s="18" t="n"/>
      <c r="H52" s="18" t="n"/>
      <c r="I52" s="18" t="n"/>
      <c r="J52" s="18" t="n"/>
      <c r="K52" s="18" t="n"/>
      <c r="L52" s="18" t="n"/>
      <c r="M52" s="18" t="n"/>
      <c r="N52" s="18" t="n"/>
      <c r="O52" s="18" t="n"/>
      <c r="P52" s="18" t="n"/>
      <c r="Q52" s="18" t="n"/>
      <c r="R52" s="18" t="n"/>
      <c r="S52" s="18" t="n"/>
      <c r="T52" s="18" t="n"/>
      <c r="U52" s="18" t="n"/>
      <c r="V52" s="18" t="n"/>
      <c r="W52" s="18" t="n"/>
    </row>
    <row r="53">
      <c r="A53" s="18" t="n"/>
      <c r="B53" s="18" t="n"/>
      <c r="C53" s="18" t="n"/>
      <c r="D53" s="18" t="n"/>
      <c r="E53" s="18" t="n"/>
      <c r="F53" s="18" t="n"/>
      <c r="G53" s="18" t="n"/>
      <c r="H53" s="18" t="n"/>
      <c r="I53" s="18" t="n"/>
      <c r="J53" s="18" t="n"/>
      <c r="K53" s="18" t="n"/>
      <c r="L53" s="18" t="n"/>
      <c r="M53" s="18" t="n"/>
      <c r="N53" s="18" t="n"/>
      <c r="O53" s="18" t="n"/>
      <c r="P53" s="18" t="n"/>
      <c r="Q53" s="18" t="n"/>
      <c r="R53" s="18" t="n"/>
      <c r="S53" s="18" t="n"/>
      <c r="T53" s="18" t="n"/>
      <c r="U53" s="18" t="n"/>
      <c r="V53" s="18" t="n"/>
      <c r="W53" s="18" t="n"/>
    </row>
    <row r="54">
      <c r="A54" s="18" t="n"/>
      <c r="B54" s="18" t="n"/>
      <c r="C54" s="18" t="n"/>
      <c r="D54" s="18" t="n"/>
      <c r="E54" s="18" t="n"/>
      <c r="F54" s="18" t="n"/>
      <c r="G54" s="18" t="n"/>
      <c r="H54" s="18" t="n"/>
      <c r="I54" s="18" t="n"/>
      <c r="J54" s="18" t="n"/>
      <c r="K54" s="18" t="n"/>
      <c r="L54" s="18" t="n"/>
      <c r="M54" s="18" t="n"/>
      <c r="N54" s="18" t="n"/>
      <c r="O54" s="18" t="n"/>
      <c r="P54" s="18" t="n"/>
      <c r="Q54" s="18" t="n"/>
      <c r="R54" s="18" t="n"/>
      <c r="S54" s="18" t="n"/>
      <c r="T54" s="18" t="n"/>
      <c r="U54" s="18" t="n"/>
      <c r="V54" s="18" t="n"/>
      <c r="W54" s="18" t="n"/>
    </row>
    <row r="55">
      <c r="A55" s="18" t="n"/>
      <c r="B55" s="18" t="n"/>
      <c r="C55" s="18" t="n"/>
      <c r="D55" s="18" t="n"/>
      <c r="E55" s="18" t="n"/>
      <c r="F55" s="18" t="n"/>
      <c r="G55" s="18" t="n"/>
      <c r="H55" s="18" t="n"/>
      <c r="I55" s="18" t="n"/>
      <c r="J55" s="18" t="n"/>
      <c r="K55" s="18" t="n"/>
      <c r="L55" s="18" t="n"/>
      <c r="M55" s="18" t="n"/>
      <c r="N55" s="18" t="n"/>
      <c r="O55" s="18" t="n"/>
      <c r="P55" s="18" t="n"/>
      <c r="Q55" s="18" t="n"/>
      <c r="R55" s="18" t="n"/>
      <c r="S55" s="18" t="n"/>
      <c r="T55" s="18" t="n"/>
      <c r="U55" s="18" t="n"/>
      <c r="V55" s="18" t="n"/>
      <c r="W55" s="18" t="n"/>
    </row>
    <row r="56">
      <c r="A56" s="18" t="n"/>
      <c r="B56" s="18" t="n"/>
      <c r="C56" s="18" t="n"/>
      <c r="D56" s="18" t="n"/>
      <c r="E56" s="18" t="n"/>
      <c r="F56" s="18" t="n"/>
      <c r="G56" s="18" t="n"/>
      <c r="H56" s="18" t="n"/>
      <c r="I56" s="18" t="n"/>
      <c r="J56" s="18" t="n"/>
      <c r="K56" s="18" t="n"/>
      <c r="L56" s="18" t="n"/>
      <c r="M56" s="18" t="n"/>
      <c r="N56" s="18" t="n"/>
      <c r="O56" s="18" t="n"/>
      <c r="P56" s="18" t="n"/>
      <c r="Q56" s="18" t="n"/>
      <c r="R56" s="18" t="n"/>
      <c r="S56" s="18" t="n"/>
      <c r="T56" s="18" t="n"/>
      <c r="U56" s="18" t="n"/>
      <c r="V56" s="18" t="n"/>
      <c r="W56" s="18" t="n"/>
    </row>
    <row r="57">
      <c r="A57" s="18" t="n"/>
      <c r="B57" s="18" t="n"/>
      <c r="C57" s="18" t="n"/>
      <c r="D57" s="18" t="n"/>
      <c r="E57" s="18" t="n"/>
      <c r="F57" s="18" t="n"/>
      <c r="G57" s="18" t="n"/>
      <c r="H57" s="18" t="n"/>
      <c r="I57" s="18" t="n"/>
      <c r="J57" s="18" t="n"/>
      <c r="K57" s="18" t="n"/>
      <c r="L57" s="18" t="n"/>
      <c r="M57" s="18" t="n"/>
      <c r="N57" s="18" t="n"/>
      <c r="O57" s="18" t="n"/>
      <c r="P57" s="18" t="n"/>
      <c r="Q57" s="18" t="n"/>
      <c r="R57" s="18" t="n"/>
      <c r="S57" s="18" t="n"/>
      <c r="T57" s="18" t="n"/>
      <c r="U57" s="18" t="n"/>
      <c r="V57" s="18" t="n"/>
      <c r="W57" s="18" t="n"/>
    </row>
    <row r="58">
      <c r="A58" s="18" t="n"/>
      <c r="B58" s="18" t="n"/>
      <c r="C58" s="18" t="n"/>
      <c r="D58" s="18" t="n"/>
      <c r="E58" s="18" t="n"/>
      <c r="F58" s="18" t="n"/>
      <c r="G58" s="18" t="n"/>
      <c r="H58" s="18" t="n"/>
      <c r="I58" s="18" t="n"/>
      <c r="J58" s="18" t="n"/>
      <c r="K58" s="18" t="n"/>
      <c r="L58" s="18" t="n"/>
      <c r="M58" s="18" t="n"/>
      <c r="N58" s="18" t="n"/>
      <c r="O58" s="18" t="n"/>
      <c r="P58" s="18" t="n"/>
      <c r="Q58" s="18" t="n"/>
      <c r="R58" s="18" t="n"/>
      <c r="S58" s="18" t="n"/>
      <c r="T58" s="18" t="n"/>
      <c r="U58" s="18" t="n"/>
      <c r="V58" s="18" t="n"/>
      <c r="W58" s="18" t="n"/>
    </row>
    <row r="59">
      <c r="A59" s="18" t="n"/>
      <c r="B59" s="18" t="n"/>
      <c r="C59" s="18" t="n"/>
      <c r="D59" s="18" t="n"/>
      <c r="E59" s="18" t="n"/>
      <c r="F59" s="18" t="n"/>
      <c r="G59" s="18" t="n"/>
      <c r="H59" s="18" t="n"/>
      <c r="I59" s="18" t="n"/>
      <c r="J59" s="18" t="n"/>
      <c r="K59" s="18" t="n"/>
      <c r="L59" s="18" t="n"/>
      <c r="M59" s="18" t="n"/>
      <c r="N59" s="18" t="n"/>
      <c r="O59" s="18" t="n"/>
      <c r="P59" s="18" t="n"/>
      <c r="Q59" s="18" t="n"/>
      <c r="R59" s="18" t="n"/>
      <c r="S59" s="18" t="n"/>
      <c r="T59" s="18" t="n"/>
      <c r="U59" s="18" t="n"/>
      <c r="V59" s="18" t="n"/>
      <c r="W59" s="18" t="n"/>
    </row>
    <row r="60">
      <c r="A60" s="18" t="n"/>
      <c r="B60" s="18" t="n"/>
      <c r="C60" s="18" t="n"/>
      <c r="D60" s="18" t="n"/>
      <c r="E60" s="18" t="n"/>
      <c r="F60" s="18" t="n"/>
      <c r="G60" s="18" t="n"/>
      <c r="H60" s="18" t="n"/>
      <c r="I60" s="18" t="n"/>
      <c r="J60" s="18" t="n"/>
      <c r="K60" s="18" t="n"/>
      <c r="L60" s="18" t="n"/>
      <c r="M60" s="18" t="n"/>
      <c r="N60" s="18" t="n"/>
      <c r="O60" s="18" t="n"/>
      <c r="P60" s="18" t="n"/>
      <c r="Q60" s="18" t="n"/>
      <c r="R60" s="18" t="n"/>
      <c r="S60" s="18" t="n"/>
      <c r="T60" s="18" t="n"/>
      <c r="U60" s="18" t="n"/>
      <c r="V60" s="18" t="n"/>
      <c r="W60" s="18" t="n"/>
    </row>
    <row r="61">
      <c r="A61" s="18" t="n"/>
      <c r="B61" s="18" t="n"/>
      <c r="C61" s="18" t="n"/>
      <c r="D61" s="18" t="n"/>
      <c r="E61" s="18" t="n"/>
      <c r="F61" s="18" t="n"/>
      <c r="G61" s="18" t="n"/>
      <c r="H61" s="18" t="n"/>
      <c r="I61" s="18" t="n"/>
      <c r="J61" s="18" t="n"/>
      <c r="K61" s="18" t="n"/>
      <c r="L61" s="18" t="n"/>
      <c r="M61" s="18" t="n"/>
      <c r="N61" s="18" t="n"/>
      <c r="O61" s="18" t="n"/>
      <c r="P61" s="18" t="n"/>
      <c r="Q61" s="18" t="n"/>
      <c r="R61" s="18" t="n"/>
      <c r="S61" s="18" t="n"/>
      <c r="T61" s="18" t="n"/>
      <c r="U61" s="18" t="n"/>
      <c r="V61" s="18" t="n"/>
      <c r="W61" s="18" t="n"/>
    </row>
    <row r="62">
      <c r="A62" s="18" t="n"/>
      <c r="B62" s="18" t="n"/>
      <c r="C62" s="18" t="n"/>
      <c r="D62" s="18" t="n"/>
      <c r="E62" s="18" t="n"/>
      <c r="F62" s="18" t="n"/>
      <c r="G62" s="18" t="n"/>
      <c r="H62" s="18" t="n"/>
      <c r="I62" s="18" t="n"/>
      <c r="J62" s="18" t="n"/>
      <c r="K62" s="18" t="n"/>
      <c r="L62" s="18" t="n"/>
      <c r="M62" s="18" t="n"/>
      <c r="N62" s="18" t="n"/>
      <c r="O62" s="18" t="n"/>
      <c r="P62" s="18" t="n"/>
      <c r="Q62" s="18" t="n"/>
      <c r="R62" s="18" t="n"/>
      <c r="S62" s="18" t="n"/>
      <c r="T62" s="18" t="n"/>
      <c r="U62" s="18" t="n"/>
      <c r="V62" s="18" t="n"/>
      <c r="W62" s="18" t="n"/>
    </row>
    <row r="63">
      <c r="A63" s="18" t="n"/>
      <c r="B63" s="18" t="n"/>
      <c r="C63" s="18" t="n"/>
      <c r="D63" s="18" t="n"/>
      <c r="E63" s="18" t="n"/>
      <c r="F63" s="18" t="n"/>
      <c r="G63" s="18" t="n"/>
      <c r="H63" s="18" t="n"/>
      <c r="I63" s="18" t="n"/>
      <c r="J63" s="18" t="n"/>
      <c r="K63" s="18" t="n"/>
      <c r="L63" s="18" t="n"/>
      <c r="M63" s="18" t="n"/>
      <c r="N63" s="18" t="n"/>
      <c r="O63" s="18" t="n"/>
      <c r="P63" s="18" t="n"/>
      <c r="Q63" s="18" t="n"/>
      <c r="R63" s="18" t="n"/>
      <c r="S63" s="18" t="n"/>
      <c r="T63" s="18" t="n"/>
      <c r="U63" s="18" t="n"/>
      <c r="V63" s="18" t="n"/>
      <c r="W63" s="18" t="n"/>
    </row>
    <row r="64">
      <c r="A64" s="18" t="n"/>
      <c r="B64" s="18" t="n"/>
      <c r="C64" s="18" t="n"/>
      <c r="D64" s="18" t="n"/>
      <c r="E64" s="18" t="n"/>
      <c r="F64" s="18" t="n"/>
      <c r="G64" s="18" t="n"/>
      <c r="H64" s="18" t="n"/>
      <c r="I64" s="18" t="n"/>
      <c r="J64" s="18" t="n"/>
      <c r="K64" s="18" t="n"/>
      <c r="L64" s="18" t="n"/>
      <c r="M64" s="18" t="n"/>
      <c r="N64" s="18" t="n"/>
      <c r="O64" s="18" t="n"/>
      <c r="P64" s="18" t="n"/>
      <c r="Q64" s="18" t="n"/>
      <c r="R64" s="18" t="n"/>
      <c r="S64" s="18" t="n"/>
      <c r="T64" s="18" t="n"/>
      <c r="U64" s="18" t="n"/>
      <c r="V64" s="18" t="n"/>
      <c r="W64" s="18" t="n"/>
    </row>
    <row r="65">
      <c r="A65" s="18" t="n"/>
      <c r="B65" s="18" t="n"/>
      <c r="C65" s="18" t="n"/>
      <c r="D65" s="18" t="n"/>
      <c r="E65" s="18" t="n"/>
      <c r="F65" s="18" t="n"/>
      <c r="G65" s="18" t="n"/>
      <c r="H65" s="18" t="n"/>
      <c r="I65" s="18" t="n"/>
      <c r="J65" s="18" t="n"/>
      <c r="K65" s="18" t="n"/>
      <c r="L65" s="18" t="n"/>
      <c r="M65" s="18" t="n"/>
      <c r="N65" s="18" t="n"/>
      <c r="O65" s="18" t="n"/>
      <c r="P65" s="18" t="n"/>
      <c r="Q65" s="18" t="n"/>
      <c r="R65" s="18" t="n"/>
      <c r="S65" s="18" t="n"/>
      <c r="T65" s="18" t="n"/>
      <c r="U65" s="18" t="n"/>
      <c r="V65" s="18" t="n"/>
      <c r="W65" s="18" t="n"/>
    </row>
    <row r="66">
      <c r="A66" s="18" t="n"/>
      <c r="B66" s="18" t="n"/>
      <c r="C66" s="18" t="n"/>
      <c r="D66" s="18" t="n"/>
      <c r="E66" s="18" t="n"/>
      <c r="F66" s="18" t="n"/>
      <c r="G66" s="18" t="n"/>
      <c r="H66" s="18" t="n"/>
      <c r="I66" s="18" t="n"/>
      <c r="J66" s="18" t="n"/>
      <c r="K66" s="18" t="n"/>
      <c r="L66" s="18" t="n"/>
      <c r="M66" s="18" t="n"/>
      <c r="N66" s="18" t="n"/>
      <c r="O66" s="18" t="n"/>
      <c r="P66" s="18" t="n"/>
      <c r="Q66" s="18" t="n"/>
      <c r="R66" s="18" t="n"/>
      <c r="S66" s="18" t="n"/>
      <c r="T66" s="18" t="n"/>
      <c r="U66" s="18" t="n"/>
      <c r="V66" s="18" t="n"/>
      <c r="W66" s="18" t="n"/>
    </row>
    <row r="67">
      <c r="A67" s="18" t="n"/>
      <c r="B67" s="18" t="n"/>
      <c r="C67" s="18" t="n"/>
      <c r="D67" s="18" t="n"/>
      <c r="E67" s="18" t="n"/>
      <c r="F67" s="18" t="n"/>
      <c r="G67" s="18" t="n"/>
      <c r="H67" s="18" t="n"/>
      <c r="I67" s="18" t="n"/>
      <c r="J67" s="18" t="n"/>
      <c r="K67" s="18" t="n"/>
      <c r="L67" s="18" t="n"/>
      <c r="M67" s="18" t="n"/>
      <c r="N67" s="18" t="n"/>
      <c r="O67" s="18" t="n"/>
      <c r="P67" s="18" t="n"/>
      <c r="Q67" s="18" t="n"/>
      <c r="R67" s="18" t="n"/>
      <c r="S67" s="18" t="n"/>
      <c r="T67" s="18" t="n"/>
      <c r="U67" s="18" t="n"/>
      <c r="V67" s="18" t="n"/>
      <c r="W67" s="18" t="n"/>
    </row>
    <row r="68">
      <c r="A68" s="18" t="n"/>
      <c r="B68" s="18" t="n"/>
      <c r="C68" s="18" t="n"/>
      <c r="D68" s="18" t="n"/>
      <c r="E68" s="18" t="n"/>
      <c r="F68" s="18" t="n"/>
      <c r="G68" s="18" t="n"/>
      <c r="H68" s="18" t="n"/>
      <c r="I68" s="18" t="n"/>
      <c r="J68" s="18" t="n"/>
      <c r="K68" s="18" t="n"/>
      <c r="L68" s="18" t="n"/>
      <c r="M68" s="18" t="n"/>
      <c r="N68" s="18" t="n"/>
      <c r="O68" s="18" t="n"/>
      <c r="P68" s="18" t="n"/>
      <c r="Q68" s="18" t="n"/>
      <c r="R68" s="18" t="n"/>
      <c r="S68" s="18" t="n"/>
      <c r="T68" s="18" t="n"/>
      <c r="U68" s="18" t="n"/>
      <c r="V68" s="18" t="n"/>
      <c r="W68" s="18" t="n"/>
    </row>
    <row r="69">
      <c r="A69" s="18" t="n"/>
      <c r="B69" s="18" t="n"/>
      <c r="C69" s="18" t="n"/>
      <c r="D69" s="18" t="n"/>
      <c r="E69" s="18" t="n"/>
      <c r="F69" s="18" t="n"/>
      <c r="G69" s="18" t="n"/>
      <c r="H69" s="18" t="n"/>
      <c r="I69" s="18" t="n"/>
      <c r="J69" s="18" t="n"/>
      <c r="K69" s="18" t="n"/>
      <c r="L69" s="18" t="n"/>
      <c r="M69" s="18" t="n"/>
      <c r="N69" s="18" t="n"/>
      <c r="O69" s="18" t="n"/>
      <c r="P69" s="18" t="n"/>
      <c r="Q69" s="18" t="n"/>
      <c r="R69" s="18" t="n"/>
      <c r="S69" s="18" t="n"/>
      <c r="T69" s="18" t="n"/>
      <c r="U69" s="18" t="n"/>
      <c r="V69" s="18" t="n"/>
      <c r="W69" s="18" t="n"/>
    </row>
    <row r="70">
      <c r="A70" s="18" t="n"/>
      <c r="B70" s="18" t="n"/>
      <c r="C70" s="18" t="n"/>
      <c r="D70" s="18" t="n"/>
      <c r="E70" s="18" t="n"/>
      <c r="F70" s="18" t="n"/>
      <c r="G70" s="18" t="n"/>
      <c r="H70" s="18" t="n"/>
      <c r="I70" s="18" t="n"/>
      <c r="J70" s="18" t="n"/>
      <c r="K70" s="18" t="n"/>
      <c r="L70" s="18" t="n"/>
      <c r="M70" s="18" t="n"/>
      <c r="N70" s="18" t="n"/>
      <c r="O70" s="18" t="n"/>
      <c r="P70" s="18" t="n"/>
      <c r="Q70" s="18" t="n"/>
      <c r="R70" s="18" t="n"/>
      <c r="S70" s="18" t="n"/>
      <c r="T70" s="18" t="n"/>
      <c r="U70" s="18" t="n"/>
      <c r="V70" s="18" t="n"/>
      <c r="W70" s="18" t="n"/>
    </row>
    <row r="71">
      <c r="A71" s="18" t="n"/>
      <c r="B71" s="18" t="n"/>
      <c r="C71" s="18" t="n"/>
      <c r="D71" s="18" t="n"/>
      <c r="E71" s="18" t="n"/>
      <c r="F71" s="18" t="n"/>
      <c r="G71" s="18" t="n"/>
      <c r="H71" s="18" t="n"/>
      <c r="I71" s="18" t="n"/>
      <c r="J71" s="18" t="n"/>
      <c r="K71" s="18" t="n"/>
      <c r="L71" s="18" t="n"/>
      <c r="M71" s="18" t="n"/>
      <c r="N71" s="18" t="n"/>
      <c r="O71" s="18" t="n"/>
      <c r="P71" s="18" t="n"/>
      <c r="Q71" s="18" t="n"/>
      <c r="R71" s="18" t="n"/>
      <c r="S71" s="18" t="n"/>
      <c r="T71" s="18" t="n"/>
      <c r="U71" s="18" t="n"/>
      <c r="V71" s="18" t="n"/>
      <c r="W71" s="18" t="n"/>
    </row>
    <row r="72">
      <c r="A72" s="18" t="n"/>
      <c r="B72" s="18" t="n"/>
      <c r="C72" s="18" t="n"/>
      <c r="D72" s="18" t="n"/>
      <c r="E72" s="18" t="n"/>
      <c r="F72" s="18" t="n"/>
      <c r="G72" s="18" t="n"/>
      <c r="H72" s="18" t="n"/>
      <c r="I72" s="18" t="n"/>
      <c r="J72" s="18" t="n"/>
      <c r="K72" s="18" t="n"/>
      <c r="L72" s="18" t="n"/>
      <c r="M72" s="18" t="n"/>
      <c r="N72" s="18" t="n"/>
      <c r="O72" s="18" t="n"/>
      <c r="P72" s="18" t="n"/>
      <c r="Q72" s="18" t="n"/>
      <c r="R72" s="18" t="n"/>
      <c r="S72" s="18" t="n"/>
      <c r="T72" s="18" t="n"/>
      <c r="U72" s="18" t="n"/>
      <c r="V72" s="18" t="n"/>
      <c r="W72" s="18" t="n"/>
    </row>
    <row r="73">
      <c r="A73" s="18" t="n"/>
      <c r="B73" s="18" t="n"/>
      <c r="C73" s="18" t="n"/>
      <c r="D73" s="18" t="n"/>
      <c r="E73" s="18" t="n"/>
      <c r="F73" s="18" t="n"/>
      <c r="G73" s="18" t="n"/>
      <c r="H73" s="18" t="n"/>
      <c r="I73" s="18" t="n"/>
      <c r="J73" s="18" t="n"/>
      <c r="K73" s="18" t="n"/>
      <c r="L73" s="18" t="n"/>
      <c r="M73" s="18" t="n"/>
      <c r="N73" s="18" t="n"/>
      <c r="O73" s="18" t="n"/>
      <c r="P73" s="18" t="n"/>
      <c r="Q73" s="18" t="n"/>
      <c r="R73" s="18" t="n"/>
      <c r="S73" s="18" t="n"/>
      <c r="T73" s="18" t="n"/>
      <c r="U73" s="18" t="n"/>
      <c r="V73" s="18" t="n"/>
      <c r="W73" s="18" t="n"/>
    </row>
    <row r="74">
      <c r="A74" s="18" t="n"/>
      <c r="B74" s="18" t="n"/>
      <c r="C74" s="18" t="n"/>
      <c r="D74" s="18" t="n"/>
      <c r="E74" s="18" t="n"/>
      <c r="F74" s="18" t="n"/>
      <c r="G74" s="18" t="n"/>
      <c r="H74" s="18" t="n"/>
      <c r="I74" s="18" t="n"/>
      <c r="J74" s="18" t="n"/>
      <c r="K74" s="18" t="n"/>
      <c r="L74" s="18" t="n"/>
      <c r="M74" s="18" t="n"/>
      <c r="N74" s="18" t="n"/>
      <c r="O74" s="18" t="n"/>
      <c r="P74" s="18" t="n"/>
      <c r="Q74" s="18" t="n"/>
      <c r="R74" s="18" t="n"/>
      <c r="S74" s="18" t="n"/>
      <c r="T74" s="18" t="n"/>
      <c r="U74" s="18" t="n"/>
      <c r="V74" s="18" t="n"/>
      <c r="W74" s="18" t="n"/>
    </row>
    <row r="75">
      <c r="A75" s="18" t="n"/>
      <c r="B75" s="18" t="n"/>
      <c r="C75" s="18" t="n"/>
      <c r="D75" s="18" t="n"/>
      <c r="E75" s="18" t="n"/>
      <c r="F75" s="18" t="n"/>
      <c r="G75" s="18" t="n"/>
      <c r="H75" s="18" t="n"/>
      <c r="I75" s="18" t="n"/>
      <c r="J75" s="18" t="n"/>
      <c r="K75" s="18" t="n"/>
      <c r="L75" s="18" t="n"/>
      <c r="M75" s="18" t="n"/>
      <c r="N75" s="18" t="n"/>
      <c r="O75" s="18" t="n"/>
      <c r="P75" s="18" t="n"/>
      <c r="Q75" s="18" t="n"/>
      <c r="R75" s="18" t="n"/>
      <c r="S75" s="18" t="n"/>
      <c r="T75" s="18" t="n"/>
      <c r="U75" s="18" t="n"/>
      <c r="V75" s="18" t="n"/>
      <c r="W75" s="18" t="n"/>
    </row>
    <row r="76">
      <c r="A76" s="18" t="n"/>
      <c r="B76" s="18" t="n"/>
      <c r="C76" s="18" t="n"/>
      <c r="D76" s="18" t="n"/>
      <c r="E76" s="18" t="n"/>
      <c r="F76" s="18" t="n"/>
      <c r="G76" s="18" t="n"/>
      <c r="H76" s="18" t="n"/>
      <c r="I76" s="18" t="n"/>
      <c r="J76" s="18" t="n"/>
      <c r="K76" s="18" t="n"/>
      <c r="L76" s="18" t="n"/>
      <c r="M76" s="18" t="n"/>
      <c r="N76" s="18" t="n"/>
      <c r="O76" s="18" t="n"/>
      <c r="P76" s="18" t="n"/>
      <c r="Q76" s="18" t="n"/>
      <c r="R76" s="18" t="n"/>
      <c r="S76" s="18" t="n"/>
      <c r="T76" s="18" t="n"/>
      <c r="U76" s="18" t="n"/>
      <c r="V76" s="18" t="n"/>
      <c r="W76" s="18" t="n"/>
    </row>
    <row r="77">
      <c r="A77" s="18" t="n"/>
      <c r="B77" s="18" t="n"/>
      <c r="C77" s="18" t="n"/>
      <c r="D77" s="18" t="n"/>
      <c r="E77" s="18" t="n"/>
      <c r="F77" s="18" t="n"/>
      <c r="G77" s="18" t="n"/>
      <c r="H77" s="18" t="n"/>
      <c r="I77" s="18" t="n"/>
      <c r="J77" s="18" t="n"/>
      <c r="K77" s="18" t="n"/>
      <c r="L77" s="18" t="n"/>
      <c r="M77" s="18" t="n"/>
      <c r="N77" s="18" t="n"/>
      <c r="O77" s="18" t="n"/>
      <c r="P77" s="18" t="n"/>
      <c r="Q77" s="18" t="n"/>
      <c r="R77" s="18" t="n"/>
      <c r="S77" s="18" t="n"/>
      <c r="T77" s="18" t="n"/>
      <c r="U77" s="18" t="n"/>
      <c r="V77" s="18" t="n"/>
      <c r="W77" s="18" t="n"/>
    </row>
    <row r="78">
      <c r="A78" s="18" t="n"/>
      <c r="B78" s="18" t="n"/>
      <c r="C78" s="18" t="n"/>
      <c r="D78" s="18" t="n"/>
      <c r="E78" s="18" t="n"/>
      <c r="F78" s="18" t="n"/>
      <c r="G78" s="18" t="n"/>
      <c r="H78" s="18" t="n"/>
      <c r="I78" s="18" t="n"/>
      <c r="J78" s="18" t="n"/>
      <c r="K78" s="18" t="n"/>
      <c r="L78" s="18" t="n"/>
      <c r="M78" s="18" t="n"/>
      <c r="N78" s="18" t="n"/>
      <c r="O78" s="18" t="n"/>
      <c r="P78" s="18" t="n"/>
      <c r="Q78" s="18" t="n"/>
      <c r="R78" s="18" t="n"/>
      <c r="S78" s="18" t="n"/>
      <c r="T78" s="18" t="n"/>
      <c r="U78" s="18" t="n"/>
      <c r="V78" s="18" t="n"/>
      <c r="W78" s="18" t="n"/>
    </row>
    <row r="79">
      <c r="A79" s="18" t="n"/>
      <c r="B79" s="18" t="n"/>
      <c r="C79" s="18" t="n"/>
      <c r="D79" s="18" t="n"/>
      <c r="E79" s="18" t="n"/>
      <c r="F79" s="18" t="n"/>
      <c r="G79" s="18" t="n"/>
      <c r="H79" s="18" t="n"/>
      <c r="I79" s="18" t="n"/>
      <c r="J79" s="18" t="n"/>
      <c r="K79" s="18" t="n"/>
      <c r="L79" s="18" t="n"/>
      <c r="M79" s="18" t="n"/>
      <c r="N79" s="18" t="n"/>
      <c r="O79" s="18" t="n"/>
      <c r="P79" s="18" t="n"/>
      <c r="Q79" s="18" t="n"/>
      <c r="R79" s="18" t="n"/>
      <c r="S79" s="18" t="n"/>
      <c r="T79" s="18" t="n"/>
      <c r="U79" s="18" t="n"/>
      <c r="V79" s="18" t="n"/>
      <c r="W79" s="18" t="n"/>
    </row>
    <row r="80">
      <c r="A80" s="18" t="n"/>
      <c r="B80" s="18" t="n"/>
      <c r="C80" s="18" t="n"/>
      <c r="D80" s="18" t="n"/>
      <c r="E80" s="18" t="n"/>
      <c r="F80" s="18" t="n"/>
      <c r="G80" s="18" t="n"/>
      <c r="H80" s="18" t="n"/>
      <c r="I80" s="18" t="n"/>
      <c r="J80" s="18" t="n"/>
      <c r="K80" s="18" t="n"/>
      <c r="L80" s="18" t="n"/>
      <c r="M80" s="18" t="n"/>
      <c r="N80" s="18" t="n"/>
      <c r="O80" s="18" t="n"/>
      <c r="P80" s="18" t="n"/>
      <c r="Q80" s="18" t="n"/>
      <c r="R80" s="18" t="n"/>
      <c r="S80" s="18" t="n"/>
      <c r="T80" s="18" t="n"/>
      <c r="U80" s="18" t="n"/>
      <c r="V80" s="18" t="n"/>
      <c r="W80" s="18" t="n"/>
    </row>
    <row r="81">
      <c r="A81" s="18" t="n"/>
      <c r="B81" s="18" t="n"/>
      <c r="C81" s="18" t="n"/>
      <c r="D81" s="18" t="n"/>
      <c r="E81" s="18" t="n"/>
      <c r="F81" s="18" t="n"/>
      <c r="G81" s="18" t="n"/>
      <c r="H81" s="18" t="n"/>
      <c r="I81" s="18" t="n"/>
      <c r="J81" s="18" t="n"/>
      <c r="K81" s="18" t="n"/>
      <c r="L81" s="18" t="n"/>
      <c r="M81" s="18" t="n"/>
      <c r="N81" s="18" t="n"/>
      <c r="O81" s="18" t="n"/>
      <c r="P81" s="18" t="n"/>
      <c r="Q81" s="18" t="n"/>
      <c r="R81" s="18" t="n"/>
      <c r="S81" s="18" t="n"/>
      <c r="T81" s="18" t="n"/>
      <c r="U81" s="18" t="n"/>
      <c r="V81" s="18" t="n"/>
      <c r="W81" s="18" t="n"/>
    </row>
    <row r="82">
      <c r="A82" s="18" t="n"/>
      <c r="B82" s="18" t="n"/>
      <c r="C82" s="18" t="n"/>
      <c r="D82" s="18" t="n"/>
      <c r="E82" s="18" t="n"/>
      <c r="F82" s="18" t="n"/>
      <c r="G82" s="18" t="n"/>
      <c r="H82" s="18" t="n"/>
      <c r="I82" s="18" t="n"/>
      <c r="J82" s="18" t="n"/>
      <c r="K82" s="18" t="n"/>
      <c r="L82" s="18" t="n"/>
      <c r="M82" s="18" t="n"/>
      <c r="N82" s="18" t="n"/>
      <c r="O82" s="18" t="n"/>
      <c r="P82" s="18" t="n"/>
      <c r="Q82" s="18" t="n"/>
      <c r="R82" s="18" t="n"/>
      <c r="S82" s="18" t="n"/>
      <c r="T82" s="18" t="n"/>
      <c r="U82" s="18" t="n"/>
      <c r="V82" s="18" t="n"/>
      <c r="W82" s="18" t="n"/>
    </row>
    <row r="83">
      <c r="A83" s="18" t="n"/>
      <c r="B83" s="18" t="n"/>
      <c r="C83" s="18" t="n"/>
      <c r="D83" s="18" t="n"/>
      <c r="E83" s="18" t="n"/>
      <c r="F83" s="18" t="n"/>
      <c r="G83" s="18" t="n"/>
      <c r="H83" s="18" t="n"/>
      <c r="I83" s="18" t="n"/>
      <c r="J83" s="18" t="n"/>
      <c r="K83" s="18" t="n"/>
      <c r="L83" s="18" t="n"/>
      <c r="M83" s="18" t="n"/>
      <c r="N83" s="18" t="n"/>
      <c r="O83" s="18" t="n"/>
      <c r="P83" s="18" t="n"/>
      <c r="Q83" s="18" t="n"/>
      <c r="R83" s="18" t="n"/>
      <c r="S83" s="18" t="n"/>
      <c r="T83" s="18" t="n"/>
      <c r="U83" s="18" t="n"/>
      <c r="V83" s="18" t="n"/>
      <c r="W83" s="18" t="n"/>
    </row>
    <row r="84">
      <c r="A84" s="18" t="n"/>
      <c r="B84" s="18" t="n"/>
      <c r="C84" s="18" t="n"/>
      <c r="D84" s="18" t="n"/>
      <c r="E84" s="18" t="n"/>
      <c r="F84" s="18" t="n"/>
      <c r="G84" s="18" t="n"/>
      <c r="H84" s="18" t="n"/>
      <c r="I84" s="18" t="n"/>
      <c r="J84" s="18" t="n"/>
      <c r="K84" s="18" t="n"/>
      <c r="L84" s="18" t="n"/>
      <c r="M84" s="18" t="n"/>
      <c r="N84" s="18" t="n"/>
      <c r="O84" s="18" t="n"/>
      <c r="P84" s="18" t="n"/>
      <c r="Q84" s="18" t="n"/>
      <c r="R84" s="18" t="n"/>
      <c r="S84" s="18" t="n"/>
      <c r="T84" s="18" t="n"/>
      <c r="U84" s="18" t="n"/>
      <c r="V84" s="18" t="n"/>
      <c r="W84" s="18" t="n"/>
    </row>
    <row r="85">
      <c r="A85" s="18" t="n"/>
      <c r="B85" s="18" t="n"/>
      <c r="C85" s="18" t="n"/>
      <c r="D85" s="18" t="n"/>
      <c r="E85" s="18" t="n"/>
      <c r="F85" s="18" t="n"/>
      <c r="G85" s="18" t="n"/>
      <c r="H85" s="18" t="n"/>
      <c r="I85" s="18" t="n"/>
      <c r="J85" s="18" t="n"/>
      <c r="K85" s="18" t="n"/>
      <c r="L85" s="18" t="n"/>
      <c r="M85" s="18" t="n"/>
      <c r="N85" s="18" t="n"/>
      <c r="O85" s="18" t="n"/>
      <c r="P85" s="18" t="n"/>
      <c r="Q85" s="18" t="n"/>
      <c r="R85" s="18" t="n"/>
      <c r="S85" s="18" t="n"/>
      <c r="T85" s="18" t="n"/>
      <c r="U85" s="18" t="n"/>
      <c r="V85" s="18" t="n"/>
      <c r="W85" s="18" t="n"/>
    </row>
    <row r="86">
      <c r="A86" s="18" t="n"/>
      <c r="B86" s="18" t="n"/>
      <c r="C86" s="18" t="n"/>
      <c r="D86" s="18" t="n"/>
      <c r="E86" s="18" t="n"/>
      <c r="F86" s="18" t="n"/>
      <c r="G86" s="18" t="n"/>
      <c r="H86" s="18" t="n"/>
      <c r="I86" s="18" t="n"/>
      <c r="J86" s="18" t="n"/>
      <c r="K86" s="18" t="n"/>
      <c r="L86" s="18" t="n"/>
      <c r="M86" s="18" t="n"/>
      <c r="N86" s="18" t="n"/>
      <c r="O86" s="18" t="n"/>
      <c r="P86" s="18" t="n"/>
      <c r="Q86" s="18" t="n"/>
      <c r="R86" s="18" t="n"/>
      <c r="S86" s="18" t="n"/>
      <c r="T86" s="18" t="n"/>
      <c r="U86" s="18" t="n"/>
      <c r="V86" s="18" t="n"/>
      <c r="W86" s="18" t="n"/>
    </row>
    <row r="87">
      <c r="A87" s="18" t="n"/>
      <c r="B87" s="18" t="n"/>
      <c r="C87" s="18" t="n"/>
      <c r="D87" s="18" t="n"/>
      <c r="E87" s="18" t="n"/>
      <c r="F87" s="18" t="n"/>
      <c r="G87" s="18" t="n"/>
      <c r="H87" s="18" t="n"/>
      <c r="I87" s="18" t="n"/>
      <c r="J87" s="18" t="n"/>
      <c r="K87" s="18" t="n"/>
      <c r="L87" s="18" t="n"/>
      <c r="M87" s="18" t="n"/>
      <c r="N87" s="18" t="n"/>
      <c r="O87" s="18" t="n"/>
      <c r="P87" s="18" t="n"/>
      <c r="Q87" s="18" t="n"/>
      <c r="R87" s="18" t="n"/>
      <c r="S87" s="18" t="n"/>
      <c r="T87" s="18" t="n"/>
      <c r="U87" s="18" t="n"/>
      <c r="V87" s="18" t="n"/>
      <c r="W87" s="18" t="n"/>
    </row>
    <row r="88">
      <c r="A88" s="18" t="n"/>
      <c r="B88" s="18" t="n"/>
      <c r="C88" s="18" t="n"/>
      <c r="D88" s="18" t="n"/>
      <c r="E88" s="18" t="n"/>
      <c r="F88" s="18" t="n"/>
      <c r="G88" s="18" t="n"/>
      <c r="H88" s="18" t="n"/>
      <c r="I88" s="18" t="n"/>
      <c r="J88" s="18" t="n"/>
      <c r="K88" s="18" t="n"/>
      <c r="L88" s="18" t="n"/>
      <c r="M88" s="18" t="n"/>
      <c r="N88" s="18" t="n"/>
      <c r="O88" s="18" t="n"/>
      <c r="P88" s="18" t="n"/>
      <c r="Q88" s="18" t="n"/>
      <c r="R88" s="18" t="n"/>
      <c r="S88" s="18" t="n"/>
      <c r="T88" s="18" t="n"/>
      <c r="U88" s="18" t="n"/>
      <c r="V88" s="18" t="n"/>
      <c r="W88" s="18" t="n"/>
    </row>
    <row r="89">
      <c r="A89" s="18" t="n"/>
      <c r="B89" s="18" t="n"/>
      <c r="C89" s="18" t="n"/>
      <c r="D89" s="18" t="n"/>
      <c r="E89" s="18" t="n"/>
      <c r="F89" s="18" t="n"/>
      <c r="G89" s="18" t="n"/>
      <c r="H89" s="18" t="n"/>
      <c r="I89" s="18" t="n"/>
      <c r="J89" s="18" t="n"/>
      <c r="K89" s="18" t="n"/>
      <c r="L89" s="18" t="n"/>
      <c r="M89" s="18" t="n"/>
      <c r="N89" s="18" t="n"/>
      <c r="O89" s="18" t="n"/>
      <c r="P89" s="18" t="n"/>
      <c r="Q89" s="18" t="n"/>
      <c r="R89" s="18" t="n"/>
      <c r="S89" s="18" t="n"/>
      <c r="T89" s="18" t="n"/>
      <c r="U89" s="18" t="n"/>
      <c r="V89" s="18" t="n"/>
      <c r="W89" s="18" t="n"/>
    </row>
    <row r="90">
      <c r="A90" s="18" t="n"/>
      <c r="B90" s="18" t="n"/>
      <c r="C90" s="18" t="n"/>
      <c r="D90" s="18" t="n"/>
      <c r="E90" s="18" t="n"/>
      <c r="F90" s="18" t="n"/>
      <c r="G90" s="18" t="n"/>
      <c r="H90" s="18" t="n"/>
      <c r="I90" s="18" t="n"/>
      <c r="J90" s="18" t="n"/>
      <c r="K90" s="18" t="n"/>
      <c r="L90" s="18" t="n"/>
      <c r="M90" s="18" t="n"/>
      <c r="N90" s="18" t="n"/>
      <c r="O90" s="18" t="n"/>
      <c r="P90" s="18" t="n"/>
      <c r="Q90" s="18" t="n"/>
      <c r="R90" s="18" t="n"/>
      <c r="S90" s="18" t="n"/>
      <c r="T90" s="18" t="n"/>
      <c r="U90" s="18" t="n"/>
      <c r="V90" s="18" t="n"/>
      <c r="W90" s="18" t="n"/>
    </row>
    <row r="91">
      <c r="A91" s="18" t="n"/>
      <c r="B91" s="18" t="n"/>
      <c r="C91" s="18" t="n"/>
      <c r="D91" s="18" t="n"/>
      <c r="E91" s="18" t="n"/>
      <c r="F91" s="18" t="n"/>
      <c r="G91" s="18" t="n"/>
      <c r="H91" s="18" t="n"/>
      <c r="I91" s="18" t="n"/>
      <c r="J91" s="18" t="n"/>
      <c r="K91" s="18" t="n"/>
      <c r="L91" s="18" t="n"/>
      <c r="M91" s="18" t="n"/>
      <c r="N91" s="18" t="n"/>
      <c r="O91" s="18" t="n"/>
      <c r="P91" s="18" t="n"/>
      <c r="Q91" s="18" t="n"/>
      <c r="R91" s="18" t="n"/>
      <c r="S91" s="18" t="n"/>
      <c r="T91" s="18" t="n"/>
      <c r="U91" s="18" t="n"/>
      <c r="V91" s="18" t="n"/>
      <c r="W91" s="18" t="n"/>
    </row>
    <row r="92">
      <c r="A92" s="18" t="n"/>
      <c r="B92" s="18" t="n"/>
      <c r="C92" s="18" t="n"/>
      <c r="D92" s="18" t="n"/>
      <c r="E92" s="18" t="n"/>
      <c r="F92" s="18" t="n"/>
      <c r="G92" s="18" t="n"/>
      <c r="H92" s="18" t="n"/>
      <c r="I92" s="18" t="n"/>
      <c r="J92" s="18" t="n"/>
      <c r="K92" s="18" t="n"/>
      <c r="L92" s="18" t="n"/>
      <c r="M92" s="18" t="n"/>
      <c r="N92" s="18" t="n"/>
      <c r="O92" s="18" t="n"/>
      <c r="P92" s="18" t="n"/>
      <c r="Q92" s="18" t="n"/>
      <c r="R92" s="18" t="n"/>
      <c r="S92" s="18" t="n"/>
      <c r="T92" s="18" t="n"/>
      <c r="U92" s="18" t="n"/>
      <c r="V92" s="18" t="n"/>
      <c r="W92" s="18" t="n"/>
    </row>
    <row r="93">
      <c r="A93" s="18" t="n"/>
      <c r="B93" s="18" t="n"/>
      <c r="C93" s="18" t="n"/>
      <c r="D93" s="18" t="n"/>
      <c r="E93" s="18" t="n"/>
      <c r="F93" s="18" t="n"/>
      <c r="G93" s="18" t="n"/>
      <c r="H93" s="18" t="n"/>
      <c r="I93" s="18" t="n"/>
      <c r="J93" s="18" t="n"/>
      <c r="K93" s="18" t="n"/>
      <c r="L93" s="18" t="n"/>
      <c r="M93" s="18" t="n"/>
      <c r="N93" s="18" t="n"/>
      <c r="O93" s="18" t="n"/>
      <c r="P93" s="18" t="n"/>
      <c r="Q93" s="18" t="n"/>
      <c r="R93" s="18" t="n"/>
      <c r="S93" s="18" t="n"/>
      <c r="T93" s="18" t="n"/>
      <c r="U93" s="18" t="n"/>
      <c r="V93" s="18" t="n"/>
      <c r="W93" s="18" t="n"/>
    </row>
    <row r="94">
      <c r="A94" s="18" t="n"/>
      <c r="B94" s="18" t="n"/>
      <c r="C94" s="18" t="n"/>
      <c r="D94" s="18" t="n"/>
      <c r="E94" s="18" t="n"/>
      <c r="F94" s="18" t="n"/>
      <c r="G94" s="18" t="n"/>
      <c r="H94" s="18" t="n"/>
      <c r="I94" s="18" t="n"/>
      <c r="J94" s="18" t="n"/>
      <c r="K94" s="18" t="n"/>
      <c r="L94" s="18" t="n"/>
      <c r="M94" s="18" t="n"/>
      <c r="N94" s="18" t="n"/>
      <c r="O94" s="18" t="n"/>
      <c r="P94" s="18" t="n"/>
      <c r="Q94" s="18" t="n"/>
      <c r="R94" s="18" t="n"/>
      <c r="S94" s="18" t="n"/>
      <c r="T94" s="18" t="n"/>
      <c r="U94" s="18" t="n"/>
      <c r="V94" s="18" t="n"/>
      <c r="W94" s="18" t="n"/>
    </row>
    <row r="95">
      <c r="A95" s="18" t="n"/>
      <c r="B95" s="18" t="n"/>
      <c r="C95" s="18" t="n"/>
      <c r="D95" s="18" t="n"/>
      <c r="E95" s="18" t="n"/>
      <c r="F95" s="18" t="n"/>
      <c r="G95" s="18" t="n"/>
      <c r="H95" s="18" t="n"/>
      <c r="I95" s="18" t="n"/>
      <c r="J95" s="18" t="n"/>
      <c r="K95" s="18" t="n"/>
      <c r="L95" s="18" t="n"/>
      <c r="M95" s="18" t="n"/>
      <c r="N95" s="18" t="n"/>
      <c r="O95" s="18" t="n"/>
      <c r="P95" s="18" t="n"/>
      <c r="Q95" s="18" t="n"/>
      <c r="R95" s="18" t="n"/>
      <c r="S95" s="18" t="n"/>
      <c r="T95" s="18" t="n"/>
      <c r="U95" s="18" t="n"/>
      <c r="V95" s="18" t="n"/>
      <c r="W95" s="18" t="n"/>
    </row>
    <row r="96">
      <c r="A96" s="18" t="n"/>
      <c r="B96" s="18" t="n"/>
      <c r="C96" s="18" t="n"/>
      <c r="D96" s="18" t="n"/>
      <c r="E96" s="18" t="n"/>
      <c r="F96" s="18" t="n"/>
      <c r="G96" s="18" t="n"/>
      <c r="H96" s="18" t="n"/>
      <c r="I96" s="18" t="n"/>
      <c r="J96" s="18" t="n"/>
      <c r="K96" s="18" t="n"/>
      <c r="L96" s="18" t="n"/>
      <c r="M96" s="18" t="n"/>
      <c r="N96" s="18" t="n"/>
      <c r="O96" s="18" t="n"/>
      <c r="P96" s="18" t="n"/>
      <c r="Q96" s="18" t="n"/>
      <c r="R96" s="18" t="n"/>
      <c r="S96" s="18" t="n"/>
      <c r="T96" s="18" t="n"/>
      <c r="U96" s="18" t="n"/>
      <c r="V96" s="18" t="n"/>
      <c r="W96" s="18" t="n"/>
    </row>
    <row r="97">
      <c r="A97" s="18" t="n"/>
      <c r="B97" s="18" t="n"/>
      <c r="C97" s="18" t="n"/>
      <c r="D97" s="18" t="n"/>
      <c r="E97" s="18" t="n"/>
      <c r="F97" s="18" t="n"/>
      <c r="G97" s="18" t="n"/>
      <c r="H97" s="18" t="n"/>
      <c r="I97" s="18" t="n"/>
      <c r="J97" s="18" t="n"/>
      <c r="K97" s="18" t="n"/>
      <c r="L97" s="18" t="n"/>
      <c r="M97" s="18" t="n"/>
      <c r="N97" s="18" t="n"/>
      <c r="O97" s="18" t="n"/>
      <c r="P97" s="18" t="n"/>
      <c r="Q97" s="18" t="n"/>
      <c r="R97" s="18" t="n"/>
      <c r="S97" s="18" t="n"/>
      <c r="T97" s="18" t="n"/>
      <c r="U97" s="18" t="n"/>
      <c r="V97" s="18" t="n"/>
      <c r="W97" s="18" t="n"/>
    </row>
    <row r="98">
      <c r="A98" s="18" t="n"/>
      <c r="B98" s="18" t="n"/>
      <c r="C98" s="18" t="n"/>
      <c r="D98" s="18" t="n"/>
      <c r="E98" s="18" t="n"/>
      <c r="F98" s="18" t="n"/>
      <c r="G98" s="18" t="n"/>
      <c r="H98" s="18" t="n"/>
      <c r="I98" s="18" t="n"/>
      <c r="J98" s="18" t="n"/>
      <c r="K98" s="18" t="n"/>
      <c r="L98" s="18" t="n"/>
      <c r="M98" s="18" t="n"/>
      <c r="N98" s="18" t="n"/>
      <c r="O98" s="18" t="n"/>
      <c r="P98" s="18" t="n"/>
      <c r="Q98" s="18" t="n"/>
      <c r="R98" s="18" t="n"/>
      <c r="S98" s="18" t="n"/>
      <c r="T98" s="18" t="n"/>
      <c r="U98" s="18" t="n"/>
      <c r="V98" s="18" t="n"/>
      <c r="W98" s="18" t="n"/>
    </row>
    <row r="99">
      <c r="A99" s="18" t="n"/>
      <c r="B99" s="18" t="n"/>
      <c r="C99" s="18" t="n"/>
      <c r="D99" s="18" t="n"/>
      <c r="E99" s="18" t="n"/>
      <c r="F99" s="18" t="n"/>
      <c r="G99" s="18" t="n"/>
      <c r="H99" s="18" t="n"/>
      <c r="I99" s="18" t="n"/>
      <c r="J99" s="18" t="n"/>
      <c r="K99" s="18" t="n"/>
      <c r="L99" s="18" t="n"/>
      <c r="M99" s="18" t="n"/>
      <c r="N99" s="18" t="n"/>
      <c r="O99" s="18" t="n"/>
      <c r="P99" s="18" t="n"/>
      <c r="Q99" s="18" t="n"/>
      <c r="R99" s="18" t="n"/>
      <c r="S99" s="18" t="n"/>
      <c r="T99" s="18" t="n"/>
      <c r="U99" s="18" t="n"/>
      <c r="V99" s="18" t="n"/>
      <c r="W99" s="18" t="n"/>
    </row>
    <row r="100">
      <c r="A100" s="18" t="n"/>
      <c r="B100" s="18" t="n"/>
      <c r="C100" s="18" t="n"/>
      <c r="D100" s="18" t="n"/>
      <c r="E100" s="18" t="n"/>
      <c r="F100" s="18" t="n"/>
      <c r="G100" s="18" t="n"/>
      <c r="H100" s="18" t="n"/>
      <c r="I100" s="18" t="n"/>
      <c r="J100" s="18" t="n"/>
      <c r="K100" s="18" t="n"/>
      <c r="L100" s="18" t="n"/>
      <c r="M100" s="18" t="n"/>
      <c r="N100" s="18" t="n"/>
      <c r="O100" s="18" t="n"/>
      <c r="P100" s="18" t="n"/>
      <c r="Q100" s="18" t="n"/>
      <c r="R100" s="18" t="n"/>
      <c r="S100" s="18" t="n"/>
      <c r="T100" s="18" t="n"/>
      <c r="U100" s="18" t="n"/>
      <c r="V100" s="18" t="n"/>
      <c r="W100" s="18" t="n"/>
    </row>
    <row r="101">
      <c r="A101" s="18" t="n"/>
      <c r="B101" s="18" t="n"/>
      <c r="C101" s="18" t="n"/>
      <c r="D101" s="18" t="n"/>
      <c r="E101" s="18" t="n"/>
      <c r="F101" s="18" t="n"/>
      <c r="G101" s="18" t="n"/>
      <c r="H101" s="18" t="n"/>
      <c r="I101" s="18" t="n"/>
      <c r="J101" s="18" t="n"/>
      <c r="K101" s="18" t="n"/>
      <c r="L101" s="18" t="n"/>
      <c r="M101" s="18" t="n"/>
      <c r="N101" s="18" t="n"/>
      <c r="O101" s="18" t="n"/>
      <c r="P101" s="18" t="n"/>
      <c r="Q101" s="18" t="n"/>
      <c r="R101" s="18" t="n"/>
      <c r="S101" s="18" t="n"/>
      <c r="T101" s="18" t="n"/>
      <c r="U101" s="18" t="n"/>
      <c r="V101" s="18" t="n"/>
      <c r="W101" s="18" t="n"/>
    </row>
    <row r="102">
      <c r="A102" s="18" t="n"/>
      <c r="B102" s="18" t="n"/>
      <c r="C102" s="18" t="n"/>
      <c r="D102" s="18" t="n"/>
      <c r="E102" s="18" t="n"/>
      <c r="F102" s="18" t="n"/>
      <c r="G102" s="18" t="n"/>
      <c r="H102" s="18" t="n"/>
      <c r="I102" s="18" t="n"/>
      <c r="J102" s="18" t="n"/>
      <c r="K102" s="18" t="n"/>
      <c r="L102" s="18" t="n"/>
      <c r="M102" s="18" t="n"/>
      <c r="N102" s="18" t="n"/>
      <c r="O102" s="18" t="n"/>
      <c r="P102" s="18" t="n"/>
      <c r="Q102" s="18" t="n"/>
      <c r="R102" s="18" t="n"/>
      <c r="S102" s="18" t="n"/>
      <c r="T102" s="18" t="n"/>
      <c r="U102" s="18" t="n"/>
      <c r="V102" s="18" t="n"/>
      <c r="W102" s="18" t="n"/>
    </row>
    <row r="103">
      <c r="A103" s="18" t="n"/>
      <c r="B103" s="18" t="n"/>
      <c r="C103" s="18" t="n"/>
      <c r="D103" s="18" t="n"/>
      <c r="E103" s="18" t="n"/>
      <c r="F103" s="18" t="n"/>
      <c r="G103" s="18" t="n"/>
      <c r="H103" s="18" t="n"/>
      <c r="I103" s="18" t="n"/>
      <c r="J103" s="18" t="n"/>
      <c r="K103" s="18" t="n"/>
      <c r="L103" s="18" t="n"/>
      <c r="M103" s="18" t="n"/>
      <c r="N103" s="18" t="n"/>
      <c r="O103" s="18" t="n"/>
      <c r="P103" s="18" t="n"/>
      <c r="Q103" s="18" t="n"/>
      <c r="R103" s="18" t="n"/>
      <c r="S103" s="18" t="n"/>
      <c r="T103" s="18" t="n"/>
      <c r="U103" s="18" t="n"/>
      <c r="V103" s="18" t="n"/>
      <c r="W103" s="18" t="n"/>
    </row>
    <row r="104">
      <c r="A104" s="18" t="n"/>
      <c r="B104" s="18" t="n"/>
      <c r="C104" s="18" t="n"/>
      <c r="D104" s="18" t="n"/>
      <c r="E104" s="18" t="n"/>
      <c r="F104" s="18" t="n"/>
      <c r="G104" s="18" t="n"/>
      <c r="H104" s="18" t="n"/>
      <c r="I104" s="18" t="n"/>
      <c r="J104" s="18" t="n"/>
      <c r="K104" s="18" t="n"/>
      <c r="L104" s="18" t="n"/>
      <c r="M104" s="18" t="n"/>
      <c r="N104" s="18" t="n"/>
      <c r="O104" s="18" t="n"/>
      <c r="P104" s="18" t="n"/>
      <c r="Q104" s="18" t="n"/>
      <c r="R104" s="18" t="n"/>
      <c r="S104" s="18" t="n"/>
      <c r="T104" s="18" t="n"/>
      <c r="U104" s="18" t="n"/>
      <c r="V104" s="18" t="n"/>
      <c r="W104" s="18" t="n"/>
    </row>
    <row r="105">
      <c r="A105" s="18" t="n"/>
      <c r="B105" s="18" t="n"/>
      <c r="C105" s="18" t="n"/>
      <c r="D105" s="18" t="n"/>
      <c r="E105" s="18" t="n"/>
      <c r="F105" s="18" t="n"/>
      <c r="G105" s="18" t="n"/>
      <c r="H105" s="18" t="n"/>
      <c r="I105" s="18" t="n"/>
      <c r="J105" s="18" t="n"/>
      <c r="K105" s="18" t="n"/>
      <c r="L105" s="18" t="n"/>
      <c r="M105" s="18" t="n"/>
      <c r="N105" s="18" t="n"/>
      <c r="O105" s="18" t="n"/>
      <c r="P105" s="18" t="n"/>
      <c r="Q105" s="18" t="n"/>
      <c r="R105" s="18" t="n"/>
      <c r="S105" s="18" t="n"/>
      <c r="T105" s="18" t="n"/>
      <c r="U105" s="18" t="n"/>
      <c r="V105" s="18" t="n"/>
      <c r="W105" s="18" t="n"/>
    </row>
    <row r="106">
      <c r="A106" s="18" t="n"/>
      <c r="B106" s="18" t="n"/>
      <c r="C106" s="18" t="n"/>
      <c r="D106" s="18" t="n"/>
      <c r="E106" s="18" t="n"/>
      <c r="F106" s="18" t="n"/>
      <c r="G106" s="18" t="n"/>
      <c r="H106" s="18" t="n"/>
      <c r="I106" s="18" t="n"/>
      <c r="J106" s="18" t="n"/>
      <c r="K106" s="18" t="n"/>
      <c r="L106" s="18" t="n"/>
      <c r="M106" s="18" t="n"/>
      <c r="N106" s="18" t="n"/>
      <c r="O106" s="18" t="n"/>
      <c r="P106" s="18" t="n"/>
      <c r="Q106" s="18" t="n"/>
      <c r="R106" s="18" t="n"/>
      <c r="S106" s="18" t="n"/>
      <c r="T106" s="18" t="n"/>
      <c r="U106" s="18" t="n"/>
      <c r="V106" s="18" t="n"/>
      <c r="W106" s="18" t="n"/>
    </row>
    <row r="107">
      <c r="A107" s="18" t="n"/>
      <c r="B107" s="18" t="n"/>
      <c r="C107" s="18" t="n"/>
      <c r="D107" s="18" t="n"/>
      <c r="E107" s="18" t="n"/>
      <c r="F107" s="18" t="n"/>
      <c r="G107" s="18" t="n"/>
      <c r="H107" s="18" t="n"/>
      <c r="I107" s="18" t="n"/>
      <c r="J107" s="18" t="n"/>
      <c r="K107" s="18" t="n"/>
      <c r="L107" s="18" t="n"/>
      <c r="M107" s="18" t="n"/>
      <c r="N107" s="18" t="n"/>
      <c r="O107" s="18" t="n"/>
      <c r="P107" s="18" t="n"/>
      <c r="Q107" s="18" t="n"/>
      <c r="R107" s="18" t="n"/>
      <c r="S107" s="18" t="n"/>
      <c r="T107" s="18" t="n"/>
      <c r="U107" s="18" t="n"/>
      <c r="V107" s="18" t="n"/>
      <c r="W107" s="18" t="n"/>
    </row>
    <row r="108">
      <c r="A108" s="18" t="n"/>
      <c r="B108" s="18" t="n"/>
      <c r="C108" s="18" t="n"/>
      <c r="D108" s="18" t="n"/>
      <c r="E108" s="18" t="n"/>
      <c r="F108" s="18" t="n"/>
      <c r="G108" s="18" t="n"/>
      <c r="H108" s="18" t="n"/>
      <c r="I108" s="18" t="n"/>
      <c r="J108" s="18" t="n"/>
      <c r="K108" s="18" t="n"/>
      <c r="L108" s="18" t="n"/>
      <c r="M108" s="18" t="n"/>
      <c r="N108" s="18" t="n"/>
      <c r="O108" s="18" t="n"/>
      <c r="P108" s="18" t="n"/>
      <c r="Q108" s="18" t="n"/>
      <c r="R108" s="18" t="n"/>
      <c r="S108" s="18" t="n"/>
      <c r="T108" s="18" t="n"/>
      <c r="U108" s="18" t="n"/>
      <c r="V108" s="18" t="n"/>
      <c r="W108" s="18" t="n"/>
    </row>
    <row r="109">
      <c r="A109" s="18" t="n"/>
      <c r="B109" s="18" t="n"/>
      <c r="C109" s="18" t="n"/>
      <c r="D109" s="18" t="n"/>
      <c r="E109" s="18" t="n"/>
      <c r="F109" s="18" t="n"/>
      <c r="G109" s="18" t="n"/>
      <c r="H109" s="18" t="n"/>
      <c r="I109" s="18" t="n"/>
      <c r="J109" s="18" t="n"/>
      <c r="K109" s="18" t="n"/>
      <c r="L109" s="18" t="n"/>
      <c r="M109" s="18" t="n"/>
      <c r="N109" s="18" t="n"/>
      <c r="O109" s="18" t="n"/>
      <c r="P109" s="18" t="n"/>
      <c r="Q109" s="18" t="n"/>
      <c r="R109" s="18" t="n"/>
      <c r="S109" s="18" t="n"/>
      <c r="T109" s="18" t="n"/>
      <c r="U109" s="18" t="n"/>
      <c r="V109" s="18" t="n"/>
      <c r="W109" s="18" t="n"/>
    </row>
    <row r="110">
      <c r="A110" s="18" t="n"/>
      <c r="B110" s="18" t="n"/>
      <c r="C110" s="18" t="n"/>
      <c r="D110" s="18" t="n"/>
      <c r="E110" s="18" t="n"/>
      <c r="F110" s="18" t="n"/>
      <c r="G110" s="18" t="n"/>
      <c r="H110" s="18" t="n"/>
      <c r="I110" s="18" t="n"/>
      <c r="J110" s="18" t="n"/>
      <c r="K110" s="18" t="n"/>
      <c r="L110" s="18" t="n"/>
      <c r="M110" s="18" t="n"/>
      <c r="N110" s="18" t="n"/>
      <c r="O110" s="18" t="n"/>
      <c r="P110" s="18" t="n"/>
      <c r="Q110" s="18" t="n"/>
      <c r="R110" s="18" t="n"/>
      <c r="S110" s="18" t="n"/>
      <c r="T110" s="18" t="n"/>
      <c r="U110" s="18" t="n"/>
      <c r="V110" s="18" t="n"/>
      <c r="W110" s="18" t="n"/>
    </row>
    <row r="111">
      <c r="A111" s="18" t="n"/>
      <c r="B111" s="18" t="n"/>
      <c r="C111" s="18" t="n"/>
      <c r="D111" s="18" t="n"/>
      <c r="E111" s="18" t="n"/>
      <c r="F111" s="18" t="n"/>
      <c r="G111" s="18" t="n"/>
      <c r="H111" s="18" t="n"/>
      <c r="I111" s="18" t="n"/>
      <c r="J111" s="18" t="n"/>
      <c r="K111" s="18" t="n"/>
      <c r="L111" s="18" t="n"/>
      <c r="M111" s="18" t="n"/>
      <c r="N111" s="18" t="n"/>
      <c r="O111" s="18" t="n"/>
      <c r="P111" s="18" t="n"/>
      <c r="Q111" s="18" t="n"/>
      <c r="R111" s="18" t="n"/>
      <c r="S111" s="18" t="n"/>
      <c r="T111" s="18" t="n"/>
      <c r="U111" s="18" t="n"/>
      <c r="V111" s="18" t="n"/>
      <c r="W111" s="18" t="n"/>
    </row>
    <row r="112">
      <c r="A112" s="18" t="n"/>
      <c r="B112" s="18" t="n"/>
      <c r="C112" s="18" t="n"/>
      <c r="D112" s="18" t="n"/>
      <c r="E112" s="18" t="n"/>
      <c r="F112" s="18" t="n"/>
      <c r="G112" s="18" t="n"/>
      <c r="H112" s="18" t="n"/>
      <c r="I112" s="18" t="n"/>
      <c r="J112" s="18" t="n"/>
      <c r="K112" s="18" t="n"/>
      <c r="L112" s="18" t="n"/>
      <c r="M112" s="18" t="n"/>
      <c r="N112" s="18" t="n"/>
      <c r="O112" s="18" t="n"/>
      <c r="P112" s="18" t="n"/>
      <c r="Q112" s="18" t="n"/>
      <c r="R112" s="18" t="n"/>
      <c r="S112" s="18" t="n"/>
      <c r="T112" s="18" t="n"/>
      <c r="U112" s="18" t="n"/>
      <c r="V112" s="18" t="n"/>
      <c r="W112" s="18" t="n"/>
    </row>
    <row r="113">
      <c r="A113" s="18" t="n"/>
      <c r="B113" s="18" t="n"/>
      <c r="C113" s="18" t="n"/>
      <c r="D113" s="18" t="n"/>
      <c r="E113" s="18" t="n"/>
      <c r="F113" s="18" t="n"/>
      <c r="G113" s="18" t="n"/>
      <c r="H113" s="18" t="n"/>
      <c r="I113" s="18" t="n"/>
      <c r="J113" s="18" t="n"/>
      <c r="K113" s="18" t="n"/>
      <c r="L113" s="18" t="n"/>
      <c r="M113" s="18" t="n"/>
      <c r="N113" s="18" t="n"/>
      <c r="O113" s="18" t="n"/>
      <c r="P113" s="18" t="n"/>
      <c r="Q113" s="18" t="n"/>
      <c r="R113" s="18" t="n"/>
      <c r="S113" s="18" t="n"/>
      <c r="T113" s="18" t="n"/>
      <c r="U113" s="18" t="n"/>
      <c r="V113" s="18" t="n"/>
      <c r="W113" s="18" t="n"/>
    </row>
    <row r="114">
      <c r="A114" s="18" t="n"/>
      <c r="B114" s="18" t="n"/>
      <c r="C114" s="18" t="n"/>
      <c r="D114" s="18" t="n"/>
      <c r="E114" s="18" t="n"/>
      <c r="F114" s="18" t="n"/>
      <c r="G114" s="18" t="n"/>
      <c r="H114" s="18" t="n"/>
      <c r="I114" s="18" t="n"/>
      <c r="J114" s="18" t="n"/>
      <c r="K114" s="18" t="n"/>
      <c r="L114" s="18" t="n"/>
      <c r="M114" s="18" t="n"/>
      <c r="N114" s="18" t="n"/>
      <c r="O114" s="18" t="n"/>
      <c r="P114" s="18" t="n"/>
      <c r="Q114" s="18" t="n"/>
      <c r="R114" s="18" t="n"/>
      <c r="S114" s="18" t="n"/>
      <c r="T114" s="18" t="n"/>
      <c r="U114" s="18" t="n"/>
      <c r="V114" s="18" t="n"/>
      <c r="W114" s="18" t="n"/>
    </row>
    <row r="115">
      <c r="A115" s="18" t="n"/>
      <c r="B115" s="18" t="n"/>
      <c r="C115" s="18" t="n"/>
      <c r="D115" s="18" t="n"/>
      <c r="E115" s="18" t="n"/>
      <c r="F115" s="18" t="n"/>
      <c r="G115" s="18" t="n"/>
      <c r="H115" s="18" t="n"/>
      <c r="I115" s="18" t="n"/>
      <c r="J115" s="18" t="n"/>
      <c r="K115" s="18" t="n"/>
      <c r="L115" s="18" t="n"/>
      <c r="M115" s="18" t="n"/>
      <c r="N115" s="18" t="n"/>
      <c r="O115" s="18" t="n"/>
      <c r="P115" s="18" t="n"/>
      <c r="Q115" s="18" t="n"/>
      <c r="R115" s="18" t="n"/>
      <c r="S115" s="18" t="n"/>
      <c r="T115" s="18" t="n"/>
      <c r="U115" s="18" t="n"/>
      <c r="V115" s="18" t="n"/>
      <c r="W115" s="18" t="n"/>
    </row>
    <row r="116">
      <c r="A116" s="18" t="n"/>
      <c r="B116" s="18" t="n"/>
      <c r="C116" s="18" t="n"/>
      <c r="D116" s="18" t="n"/>
      <c r="E116" s="18" t="n"/>
      <c r="F116" s="18" t="n"/>
      <c r="G116" s="18" t="n"/>
      <c r="H116" s="18" t="n"/>
      <c r="I116" s="18" t="n"/>
      <c r="J116" s="18" t="n"/>
      <c r="K116" s="18" t="n"/>
      <c r="L116" s="18" t="n"/>
      <c r="M116" s="18" t="n"/>
      <c r="N116" s="18" t="n"/>
      <c r="O116" s="18" t="n"/>
      <c r="P116" s="18" t="n"/>
      <c r="Q116" s="18" t="n"/>
      <c r="R116" s="18" t="n"/>
      <c r="S116" s="18" t="n"/>
      <c r="T116" s="18" t="n"/>
      <c r="U116" s="18" t="n"/>
      <c r="V116" s="18" t="n"/>
      <c r="W116" s="18" t="n"/>
    </row>
    <row r="117">
      <c r="A117" s="18" t="n"/>
      <c r="B117" s="18" t="n"/>
      <c r="C117" s="18" t="n"/>
      <c r="D117" s="18" t="n"/>
      <c r="E117" s="18" t="n"/>
      <c r="F117" s="18" t="n"/>
      <c r="G117" s="18" t="n"/>
      <c r="H117" s="18" t="n"/>
      <c r="I117" s="18" t="n"/>
      <c r="J117" s="18" t="n"/>
      <c r="K117" s="18" t="n"/>
      <c r="L117" s="18" t="n"/>
      <c r="M117" s="18" t="n"/>
      <c r="N117" s="18" t="n"/>
      <c r="O117" s="18" t="n"/>
      <c r="P117" s="18" t="n"/>
      <c r="Q117" s="18" t="n"/>
      <c r="R117" s="18" t="n"/>
      <c r="S117" s="18" t="n"/>
      <c r="T117" s="18" t="n"/>
      <c r="U117" s="18" t="n"/>
      <c r="V117" s="18" t="n"/>
      <c r="W117" s="18" t="n"/>
    </row>
    <row r="118">
      <c r="A118" s="18" t="n"/>
      <c r="B118" s="18" t="n"/>
      <c r="C118" s="18" t="n"/>
      <c r="D118" s="18" t="n"/>
      <c r="E118" s="18" t="n"/>
      <c r="F118" s="18" t="n"/>
      <c r="G118" s="18" t="n"/>
      <c r="H118" s="18" t="n"/>
      <c r="I118" s="18" t="n"/>
      <c r="J118" s="18" t="n"/>
      <c r="K118" s="18" t="n"/>
      <c r="L118" s="18" t="n"/>
      <c r="M118" s="18" t="n"/>
      <c r="N118" s="18" t="n"/>
      <c r="O118" s="18" t="n"/>
      <c r="P118" s="18" t="n"/>
      <c r="Q118" s="18" t="n"/>
      <c r="R118" s="18" t="n"/>
      <c r="S118" s="18" t="n"/>
      <c r="T118" s="18" t="n"/>
      <c r="U118" s="18" t="n"/>
      <c r="V118" s="18" t="n"/>
      <c r="W118" s="18" t="n"/>
    </row>
    <row r="119">
      <c r="A119" s="18" t="n"/>
      <c r="B119" s="18" t="n"/>
      <c r="C119" s="18" t="n"/>
      <c r="D119" s="18" t="n"/>
      <c r="E119" s="18" t="n"/>
      <c r="F119" s="18" t="n"/>
      <c r="G119" s="18" t="n"/>
      <c r="H119" s="18" t="n"/>
      <c r="I119" s="18" t="n"/>
      <c r="J119" s="18" t="n"/>
      <c r="K119" s="18" t="n"/>
      <c r="L119" s="18" t="n"/>
      <c r="M119" s="18" t="n"/>
      <c r="N119" s="18" t="n"/>
      <c r="O119" s="18" t="n"/>
      <c r="P119" s="18" t="n"/>
      <c r="Q119" s="18" t="n"/>
      <c r="R119" s="18" t="n"/>
      <c r="S119" s="18" t="n"/>
      <c r="T119" s="18" t="n"/>
      <c r="U119" s="18" t="n"/>
      <c r="V119" s="18" t="n"/>
      <c r="W119" s="18" t="n"/>
    </row>
    <row r="120">
      <c r="A120" s="18" t="n"/>
      <c r="B120" s="18" t="n"/>
      <c r="C120" s="18" t="n"/>
      <c r="D120" s="18" t="n"/>
      <c r="E120" s="18" t="n"/>
      <c r="F120" s="18" t="n"/>
      <c r="G120" s="18" t="n"/>
      <c r="H120" s="18" t="n"/>
      <c r="I120" s="18" t="n"/>
      <c r="J120" s="18" t="n"/>
      <c r="K120" s="18" t="n"/>
      <c r="L120" s="18" t="n"/>
      <c r="M120" s="18" t="n"/>
      <c r="N120" s="18" t="n"/>
      <c r="O120" s="18" t="n"/>
      <c r="P120" s="18" t="n"/>
      <c r="Q120" s="18" t="n"/>
      <c r="R120" s="18" t="n"/>
      <c r="S120" s="18" t="n"/>
      <c r="T120" s="18" t="n"/>
      <c r="U120" s="18" t="n"/>
      <c r="V120" s="18" t="n"/>
      <c r="W120" s="18" t="n"/>
    </row>
    <row r="121">
      <c r="A121" s="18" t="n"/>
      <c r="B121" s="18" t="n"/>
      <c r="C121" s="18" t="n"/>
      <c r="D121" s="18" t="n"/>
      <c r="E121" s="18" t="n"/>
      <c r="F121" s="18" t="n"/>
      <c r="G121" s="18" t="n"/>
      <c r="H121" s="18" t="n"/>
      <c r="I121" s="18" t="n"/>
      <c r="J121" s="18" t="n"/>
      <c r="K121" s="18" t="n"/>
      <c r="L121" s="18" t="n"/>
      <c r="M121" s="18" t="n"/>
      <c r="N121" s="18" t="n"/>
      <c r="O121" s="18" t="n"/>
      <c r="P121" s="18" t="n"/>
      <c r="Q121" s="18" t="n"/>
      <c r="R121" s="18" t="n"/>
      <c r="S121" s="18" t="n"/>
      <c r="T121" s="18" t="n"/>
      <c r="U121" s="18" t="n"/>
      <c r="V121" s="18" t="n"/>
      <c r="W121" s="18" t="n"/>
    </row>
    <row r="122">
      <c r="A122" s="18" t="n"/>
      <c r="B122" s="18" t="n"/>
      <c r="C122" s="18" t="n"/>
      <c r="D122" s="18" t="n"/>
      <c r="E122" s="18" t="n"/>
      <c r="F122" s="18" t="n"/>
      <c r="G122" s="18" t="n"/>
      <c r="H122" s="18" t="n"/>
      <c r="I122" s="18" t="n"/>
      <c r="J122" s="18" t="n"/>
      <c r="K122" s="18" t="n"/>
      <c r="L122" s="18" t="n"/>
      <c r="M122" s="18" t="n"/>
      <c r="N122" s="18" t="n"/>
      <c r="O122" s="18" t="n"/>
      <c r="P122" s="18" t="n"/>
      <c r="Q122" s="18" t="n"/>
      <c r="R122" s="18" t="n"/>
      <c r="S122" s="18" t="n"/>
      <c r="T122" s="18" t="n"/>
      <c r="U122" s="18" t="n"/>
      <c r="V122" s="18" t="n"/>
      <c r="W122" s="18" t="n"/>
    </row>
    <row r="123">
      <c r="A123" s="18" t="n"/>
      <c r="B123" s="18" t="n"/>
      <c r="C123" s="18" t="n"/>
      <c r="D123" s="18" t="n"/>
      <c r="E123" s="18" t="n"/>
      <c r="F123" s="18" t="n"/>
      <c r="G123" s="18" t="n"/>
      <c r="H123" s="18" t="n"/>
      <c r="I123" s="18" t="n"/>
      <c r="J123" s="18" t="n"/>
      <c r="K123" s="18" t="n"/>
      <c r="L123" s="18" t="n"/>
      <c r="M123" s="18" t="n"/>
      <c r="N123" s="18" t="n"/>
      <c r="O123" s="18" t="n"/>
      <c r="P123" s="18" t="n"/>
      <c r="Q123" s="18" t="n"/>
      <c r="R123" s="18" t="n"/>
      <c r="S123" s="18" t="n"/>
      <c r="T123" s="18" t="n"/>
      <c r="U123" s="18" t="n"/>
      <c r="V123" s="18" t="n"/>
      <c r="W123" s="18" t="n"/>
    </row>
    <row r="124">
      <c r="A124" s="18" t="n"/>
      <c r="B124" s="18" t="n"/>
      <c r="C124" s="18" t="n"/>
      <c r="D124" s="18" t="n"/>
      <c r="E124" s="18" t="n"/>
      <c r="F124" s="18" t="n"/>
      <c r="G124" s="18" t="n"/>
      <c r="H124" s="18" t="n"/>
      <c r="I124" s="18" t="n"/>
      <c r="J124" s="18" t="n"/>
      <c r="K124" s="18" t="n"/>
      <c r="L124" s="18" t="n"/>
      <c r="M124" s="18" t="n"/>
      <c r="N124" s="18" t="n"/>
      <c r="O124" s="18" t="n"/>
      <c r="P124" s="18" t="n"/>
      <c r="Q124" s="18" t="n"/>
      <c r="R124" s="18" t="n"/>
      <c r="S124" s="18" t="n"/>
      <c r="T124" s="18" t="n"/>
      <c r="U124" s="18" t="n"/>
      <c r="V124" s="18" t="n"/>
      <c r="W124" s="18" t="n"/>
    </row>
    <row r="125">
      <c r="A125" s="18" t="n"/>
      <c r="B125" s="18" t="n"/>
      <c r="C125" s="18" t="n"/>
      <c r="D125" s="18" t="n"/>
      <c r="E125" s="18" t="n"/>
      <c r="F125" s="18" t="n"/>
      <c r="G125" s="18" t="n"/>
      <c r="H125" s="18" t="n"/>
      <c r="I125" s="18" t="n"/>
      <c r="J125" s="18" t="n"/>
      <c r="K125" s="18" t="n"/>
      <c r="L125" s="18" t="n"/>
      <c r="M125" s="18" t="n"/>
      <c r="N125" s="18" t="n"/>
      <c r="O125" s="18" t="n"/>
      <c r="P125" s="18" t="n"/>
      <c r="Q125" s="18" t="n"/>
      <c r="R125" s="18" t="n"/>
      <c r="S125" s="18" t="n"/>
      <c r="T125" s="18" t="n"/>
      <c r="U125" s="18" t="n"/>
      <c r="V125" s="18" t="n"/>
      <c r="W125" s="18" t="n"/>
    </row>
    <row r="126">
      <c r="A126" s="18" t="n"/>
      <c r="B126" s="18" t="n"/>
      <c r="C126" s="18" t="n"/>
      <c r="D126" s="18" t="n"/>
      <c r="E126" s="18" t="n"/>
      <c r="F126" s="18" t="n"/>
      <c r="G126" s="18" t="n"/>
      <c r="H126" s="18" t="n"/>
      <c r="I126" s="18" t="n"/>
      <c r="J126" s="18" t="n"/>
      <c r="K126" s="18" t="n"/>
      <c r="L126" s="18" t="n"/>
      <c r="M126" s="18" t="n"/>
      <c r="N126" s="18" t="n"/>
      <c r="O126" s="18" t="n"/>
      <c r="P126" s="18" t="n"/>
      <c r="Q126" s="18" t="n"/>
      <c r="R126" s="18" t="n"/>
      <c r="S126" s="18" t="n"/>
      <c r="T126" s="18" t="n"/>
      <c r="U126" s="18" t="n"/>
      <c r="V126" s="18" t="n"/>
      <c r="W126" s="18" t="n"/>
    </row>
    <row r="127">
      <c r="A127" s="18" t="n"/>
      <c r="B127" s="18" t="n"/>
      <c r="C127" s="18" t="n"/>
      <c r="D127" s="18" t="n"/>
      <c r="E127" s="18" t="n"/>
      <c r="F127" s="18" t="n"/>
      <c r="G127" s="18" t="n"/>
      <c r="H127" s="18" t="n"/>
      <c r="I127" s="18" t="n"/>
      <c r="J127" s="18" t="n"/>
      <c r="K127" s="18" t="n"/>
      <c r="L127" s="18" t="n"/>
      <c r="M127" s="18" t="n"/>
      <c r="N127" s="18" t="n"/>
      <c r="O127" s="18" t="n"/>
      <c r="P127" s="18" t="n"/>
      <c r="Q127" s="18" t="n"/>
      <c r="R127" s="18" t="n"/>
      <c r="S127" s="18" t="n"/>
      <c r="T127" s="18" t="n"/>
      <c r="U127" s="18" t="n"/>
      <c r="V127" s="18" t="n"/>
      <c r="W127" s="18" t="n"/>
    </row>
    <row r="128">
      <c r="A128" s="18" t="n"/>
      <c r="B128" s="18" t="n"/>
      <c r="C128" s="18" t="n"/>
      <c r="D128" s="18" t="n"/>
      <c r="E128" s="18" t="n"/>
      <c r="F128" s="18" t="n"/>
      <c r="G128" s="18" t="n"/>
      <c r="H128" s="18" t="n"/>
      <c r="I128" s="18" t="n"/>
      <c r="J128" s="18" t="n"/>
      <c r="K128" s="18" t="n"/>
      <c r="L128" s="18" t="n"/>
      <c r="M128" s="18" t="n"/>
      <c r="N128" s="18" t="n"/>
      <c r="O128" s="18" t="n"/>
      <c r="P128" s="18" t="n"/>
      <c r="Q128" s="18" t="n"/>
      <c r="R128" s="18" t="n"/>
      <c r="S128" s="18" t="n"/>
      <c r="T128" s="18" t="n"/>
      <c r="U128" s="18" t="n"/>
      <c r="V128" s="18" t="n"/>
      <c r="W128" s="18" t="n"/>
    </row>
    <row r="129">
      <c r="A129" s="18" t="n"/>
      <c r="B129" s="18" t="n"/>
      <c r="C129" s="18" t="n"/>
      <c r="D129" s="18" t="n"/>
      <c r="E129" s="18" t="n"/>
      <c r="F129" s="18" t="n"/>
      <c r="G129" s="18" t="n"/>
      <c r="H129" s="18" t="n"/>
      <c r="I129" s="18" t="n"/>
      <c r="J129" s="18" t="n"/>
      <c r="K129" s="18" t="n"/>
      <c r="L129" s="18" t="n"/>
      <c r="M129" s="18" t="n"/>
      <c r="N129" s="18" t="n"/>
      <c r="O129" s="18" t="n"/>
      <c r="P129" s="18" t="n"/>
      <c r="Q129" s="18" t="n"/>
      <c r="R129" s="18" t="n"/>
      <c r="S129" s="18" t="n"/>
      <c r="T129" s="18" t="n"/>
      <c r="U129" s="18" t="n"/>
      <c r="V129" s="18" t="n"/>
      <c r="W129" s="18" t="n"/>
    </row>
    <row r="130">
      <c r="A130" s="18" t="n"/>
      <c r="B130" s="18" t="n"/>
      <c r="C130" s="18" t="n"/>
      <c r="D130" s="18" t="n"/>
      <c r="E130" s="18" t="n"/>
      <c r="F130" s="18" t="n"/>
      <c r="G130" s="18" t="n"/>
      <c r="H130" s="18" t="n"/>
      <c r="I130" s="18" t="n"/>
      <c r="J130" s="18" t="n"/>
      <c r="K130" s="18" t="n"/>
      <c r="L130" s="18" t="n"/>
      <c r="M130" s="18" t="n"/>
      <c r="N130" s="18" t="n"/>
      <c r="O130" s="18" t="n"/>
      <c r="P130" s="18" t="n"/>
      <c r="Q130" s="18" t="n"/>
      <c r="R130" s="18" t="n"/>
      <c r="S130" s="18" t="n"/>
      <c r="T130" s="18" t="n"/>
      <c r="U130" s="18" t="n"/>
      <c r="V130" s="18" t="n"/>
      <c r="W130" s="18" t="n"/>
    </row>
    <row r="131">
      <c r="A131" s="18" t="n"/>
      <c r="B131" s="18" t="n"/>
      <c r="C131" s="18" t="n"/>
      <c r="D131" s="18" t="n"/>
      <c r="E131" s="18" t="n"/>
      <c r="F131" s="18" t="n"/>
      <c r="G131" s="18" t="n"/>
      <c r="H131" s="18" t="n"/>
      <c r="I131" s="18" t="n"/>
      <c r="J131" s="18" t="n"/>
      <c r="K131" s="18" t="n"/>
      <c r="L131" s="18" t="n"/>
      <c r="M131" s="18" t="n"/>
      <c r="N131" s="18" t="n"/>
      <c r="O131" s="18" t="n"/>
      <c r="P131" s="18" t="n"/>
      <c r="Q131" s="18" t="n"/>
      <c r="R131" s="18" t="n"/>
      <c r="S131" s="18" t="n"/>
      <c r="T131" s="18" t="n"/>
      <c r="U131" s="18" t="n"/>
      <c r="V131" s="18" t="n"/>
      <c r="W131" s="18" t="n"/>
    </row>
    <row r="132">
      <c r="A132" s="18" t="n"/>
      <c r="B132" s="18" t="n"/>
      <c r="C132" s="18" t="n"/>
      <c r="D132" s="18" t="n"/>
      <c r="E132" s="18" t="n"/>
      <c r="F132" s="18" t="n"/>
      <c r="G132" s="18" t="n"/>
      <c r="H132" s="18" t="n"/>
      <c r="I132" s="18" t="n"/>
      <c r="J132" s="18" t="n"/>
      <c r="K132" s="18" t="n"/>
      <c r="L132" s="18" t="n"/>
      <c r="M132" s="18" t="n"/>
      <c r="N132" s="18" t="n"/>
      <c r="O132" s="18" t="n"/>
      <c r="P132" s="18" t="n"/>
      <c r="Q132" s="18" t="n"/>
      <c r="R132" s="18" t="n"/>
      <c r="S132" s="18" t="n"/>
      <c r="T132" s="18" t="n"/>
      <c r="U132" s="18" t="n"/>
      <c r="V132" s="18" t="n"/>
      <c r="W132" s="18" t="n"/>
    </row>
    <row r="133">
      <c r="A133" s="18" t="n"/>
      <c r="B133" s="18" t="n"/>
      <c r="C133" s="18" t="n"/>
      <c r="D133" s="18" t="n"/>
      <c r="E133" s="18" t="n"/>
      <c r="F133" s="18" t="n"/>
      <c r="G133" s="18" t="n"/>
      <c r="H133" s="18" t="n"/>
      <c r="I133" s="18" t="n"/>
      <c r="J133" s="18" t="n"/>
      <c r="K133" s="18" t="n"/>
      <c r="L133" s="18" t="n"/>
      <c r="M133" s="18" t="n"/>
      <c r="N133" s="18" t="n"/>
      <c r="O133" s="18" t="n"/>
      <c r="P133" s="18" t="n"/>
      <c r="Q133" s="18" t="n"/>
      <c r="R133" s="18" t="n"/>
      <c r="S133" s="18" t="n"/>
      <c r="T133" s="18" t="n"/>
      <c r="U133" s="18" t="n"/>
      <c r="V133" s="18" t="n"/>
      <c r="W133" s="18" t="n"/>
    </row>
    <row r="134">
      <c r="A134" s="18" t="n"/>
      <c r="B134" s="18" t="n"/>
      <c r="C134" s="18" t="n"/>
      <c r="D134" s="18" t="n"/>
      <c r="E134" s="18" t="n"/>
      <c r="F134" s="18" t="n"/>
      <c r="G134" s="18" t="n"/>
      <c r="H134" s="18" t="n"/>
      <c r="I134" s="18" t="n"/>
      <c r="J134" s="18" t="n"/>
      <c r="K134" s="18" t="n"/>
      <c r="L134" s="18" t="n"/>
      <c r="M134" s="18" t="n"/>
      <c r="N134" s="18" t="n"/>
      <c r="O134" s="18" t="n"/>
      <c r="P134" s="18" t="n"/>
      <c r="Q134" s="18" t="n"/>
      <c r="R134" s="18" t="n"/>
      <c r="S134" s="18" t="n"/>
      <c r="T134" s="18" t="n"/>
      <c r="U134" s="18" t="n"/>
      <c r="V134" s="18" t="n"/>
      <c r="W134" s="18" t="n"/>
    </row>
    <row r="135">
      <c r="A135" s="18" t="n"/>
      <c r="B135" s="18" t="n"/>
      <c r="C135" s="18" t="n"/>
      <c r="D135" s="18" t="n"/>
      <c r="E135" s="18" t="n"/>
      <c r="F135" s="18" t="n"/>
      <c r="G135" s="18" t="n"/>
      <c r="H135" s="18" t="n"/>
      <c r="I135" s="18" t="n"/>
      <c r="J135" s="18" t="n"/>
      <c r="K135" s="18" t="n"/>
      <c r="L135" s="18" t="n"/>
      <c r="M135" s="18" t="n"/>
      <c r="N135" s="18" t="n"/>
      <c r="O135" s="18" t="n"/>
      <c r="P135" s="18" t="n"/>
      <c r="Q135" s="18" t="n"/>
      <c r="R135" s="18" t="n"/>
      <c r="S135" s="18" t="n"/>
      <c r="T135" s="18" t="n"/>
      <c r="U135" s="18" t="n"/>
      <c r="V135" s="18" t="n"/>
      <c r="W135" s="18" t="n"/>
    </row>
    <row r="136">
      <c r="A136" s="18" t="n"/>
      <c r="B136" s="18" t="n"/>
      <c r="C136" s="18" t="n"/>
      <c r="D136" s="18" t="n"/>
      <c r="E136" s="18" t="n"/>
      <c r="F136" s="18" t="n"/>
      <c r="G136" s="18" t="n"/>
      <c r="H136" s="18" t="n"/>
      <c r="I136" s="18" t="n"/>
      <c r="J136" s="18" t="n"/>
      <c r="K136" s="18" t="n"/>
      <c r="L136" s="18" t="n"/>
      <c r="M136" s="18" t="n"/>
      <c r="N136" s="18" t="n"/>
      <c r="O136" s="18" t="n"/>
      <c r="P136" s="18" t="n"/>
      <c r="Q136" s="18" t="n"/>
      <c r="R136" s="18" t="n"/>
      <c r="S136" s="18" t="n"/>
      <c r="T136" s="18" t="n"/>
      <c r="U136" s="18" t="n"/>
      <c r="V136" s="18" t="n"/>
      <c r="W136" s="18" t="n"/>
    </row>
    <row r="137">
      <c r="A137" s="18" t="n"/>
      <c r="B137" s="18" t="n"/>
      <c r="C137" s="18" t="n"/>
      <c r="D137" s="18" t="n"/>
      <c r="E137" s="18" t="n"/>
      <c r="F137" s="18" t="n"/>
      <c r="G137" s="18" t="n"/>
      <c r="H137" s="18" t="n"/>
      <c r="I137" s="18" t="n"/>
      <c r="J137" s="18" t="n"/>
      <c r="K137" s="18" t="n"/>
      <c r="L137" s="18" t="n"/>
      <c r="M137" s="18" t="n"/>
      <c r="N137" s="18" t="n"/>
      <c r="O137" s="18" t="n"/>
      <c r="P137" s="18" t="n"/>
      <c r="Q137" s="18" t="n"/>
      <c r="R137" s="18" t="n"/>
      <c r="S137" s="18" t="n"/>
      <c r="T137" s="18" t="n"/>
      <c r="U137" s="18" t="n"/>
      <c r="V137" s="18" t="n"/>
      <c r="W137" s="18" t="n"/>
    </row>
    <row r="138">
      <c r="A138" s="18" t="n"/>
      <c r="B138" s="18" t="n"/>
      <c r="C138" s="18" t="n"/>
      <c r="D138" s="18" t="n"/>
      <c r="E138" s="18" t="n"/>
      <c r="F138" s="18" t="n"/>
      <c r="G138" s="18" t="n"/>
      <c r="H138" s="18" t="n"/>
      <c r="I138" s="18" t="n"/>
      <c r="J138" s="18" t="n"/>
      <c r="K138" s="18" t="n"/>
      <c r="L138" s="18" t="n"/>
      <c r="M138" s="18" t="n"/>
      <c r="N138" s="18" t="n"/>
      <c r="O138" s="18" t="n"/>
      <c r="P138" s="18" t="n"/>
      <c r="Q138" s="18" t="n"/>
      <c r="R138" s="18" t="n"/>
      <c r="S138" s="18" t="n"/>
      <c r="T138" s="18" t="n"/>
      <c r="U138" s="18" t="n"/>
      <c r="V138" s="18" t="n"/>
      <c r="W138" s="18" t="n"/>
    </row>
    <row r="139">
      <c r="A139" s="18" t="n"/>
      <c r="B139" s="18" t="n"/>
      <c r="C139" s="18" t="n"/>
      <c r="D139" s="18" t="n"/>
      <c r="E139" s="18" t="n"/>
      <c r="F139" s="18" t="n"/>
      <c r="G139" s="18" t="n"/>
      <c r="H139" s="18" t="n"/>
      <c r="I139" s="18" t="n"/>
      <c r="J139" s="18" t="n"/>
      <c r="K139" s="18" t="n"/>
      <c r="L139" s="18" t="n"/>
      <c r="M139" s="18" t="n"/>
      <c r="N139" s="18" t="n"/>
      <c r="O139" s="18" t="n"/>
      <c r="P139" s="18" t="n"/>
      <c r="Q139" s="18" t="n"/>
      <c r="R139" s="18" t="n"/>
      <c r="S139" s="18" t="n"/>
      <c r="T139" s="18" t="n"/>
      <c r="U139" s="18" t="n"/>
      <c r="V139" s="18" t="n"/>
      <c r="W139" s="18" t="n"/>
    </row>
    <row r="140">
      <c r="A140" s="18" t="n"/>
      <c r="B140" s="18" t="n"/>
      <c r="C140" s="18" t="n"/>
      <c r="D140" s="18" t="n"/>
      <c r="E140" s="18" t="n"/>
      <c r="F140" s="18" t="n"/>
      <c r="G140" s="18" t="n"/>
      <c r="H140" s="18" t="n"/>
      <c r="I140" s="18" t="n"/>
      <c r="J140" s="18" t="n"/>
      <c r="K140" s="18" t="n"/>
      <c r="L140" s="18" t="n"/>
      <c r="M140" s="18" t="n"/>
      <c r="N140" s="18" t="n"/>
      <c r="O140" s="18" t="n"/>
      <c r="P140" s="18" t="n"/>
      <c r="Q140" s="18" t="n"/>
      <c r="R140" s="18" t="n"/>
      <c r="S140" s="18" t="n"/>
      <c r="T140" s="18" t="n"/>
      <c r="U140" s="18" t="n"/>
      <c r="V140" s="18" t="n"/>
      <c r="W140" s="18" t="n"/>
    </row>
    <row r="141">
      <c r="A141" s="18" t="n"/>
      <c r="B141" s="18" t="n"/>
      <c r="C141" s="18" t="n"/>
      <c r="D141" s="18" t="n"/>
      <c r="E141" s="18" t="n"/>
      <c r="F141" s="18" t="n"/>
      <c r="G141" s="18" t="n"/>
      <c r="H141" s="18" t="n"/>
      <c r="I141" s="18" t="n"/>
      <c r="J141" s="18" t="n"/>
      <c r="K141" s="18" t="n"/>
      <c r="L141" s="18" t="n"/>
      <c r="M141" s="18" t="n"/>
      <c r="N141" s="18" t="n"/>
      <c r="O141" s="18" t="n"/>
      <c r="P141" s="18" t="n"/>
      <c r="Q141" s="18" t="n"/>
      <c r="R141" s="18" t="n"/>
      <c r="S141" s="18" t="n"/>
      <c r="T141" s="18" t="n"/>
      <c r="U141" s="18" t="n"/>
      <c r="V141" s="18" t="n"/>
      <c r="W141" s="18" t="n"/>
    </row>
    <row r="142">
      <c r="A142" s="18" t="n"/>
      <c r="B142" s="18" t="n"/>
      <c r="C142" s="18" t="n"/>
      <c r="D142" s="18" t="n"/>
      <c r="E142" s="18" t="n"/>
      <c r="F142" s="18" t="n"/>
      <c r="G142" s="18" t="n"/>
      <c r="H142" s="18" t="n"/>
      <c r="I142" s="18" t="n"/>
      <c r="J142" s="18" t="n"/>
      <c r="K142" s="18" t="n"/>
      <c r="L142" s="18" t="n"/>
      <c r="M142" s="18" t="n"/>
      <c r="N142" s="18" t="n"/>
      <c r="O142" s="18" t="n"/>
      <c r="P142" s="18" t="n"/>
      <c r="Q142" s="18" t="n"/>
      <c r="R142" s="18" t="n"/>
      <c r="S142" s="18" t="n"/>
      <c r="T142" s="18" t="n"/>
      <c r="U142" s="18" t="n"/>
      <c r="V142" s="18" t="n"/>
      <c r="W142" s="18" t="n"/>
    </row>
    <row r="143">
      <c r="A143" s="18" t="n"/>
      <c r="B143" s="18" t="n"/>
      <c r="C143" s="18" t="n"/>
      <c r="D143" s="18" t="n"/>
      <c r="E143" s="18" t="n"/>
      <c r="F143" s="18" t="n"/>
      <c r="G143" s="18" t="n"/>
      <c r="H143" s="18" t="n"/>
      <c r="I143" s="18" t="n"/>
      <c r="J143" s="18" t="n"/>
      <c r="K143" s="18" t="n"/>
      <c r="L143" s="18" t="n"/>
      <c r="M143" s="18" t="n"/>
      <c r="N143" s="18" t="n"/>
      <c r="O143" s="18" t="n"/>
      <c r="P143" s="18" t="n"/>
      <c r="Q143" s="18" t="n"/>
      <c r="R143" s="18" t="n"/>
      <c r="S143" s="18" t="n"/>
      <c r="T143" s="18" t="n"/>
      <c r="U143" s="18" t="n"/>
      <c r="V143" s="18" t="n"/>
      <c r="W143" s="18" t="n"/>
    </row>
    <row r="144">
      <c r="A144" s="18" t="n"/>
      <c r="B144" s="18" t="n"/>
      <c r="C144" s="18" t="n"/>
      <c r="D144" s="18" t="n"/>
      <c r="E144" s="18" t="n"/>
      <c r="F144" s="18" t="n"/>
      <c r="G144" s="18" t="n"/>
      <c r="H144" s="18" t="n"/>
      <c r="I144" s="18" t="n"/>
      <c r="J144" s="18" t="n"/>
      <c r="K144" s="18" t="n"/>
      <c r="L144" s="18" t="n"/>
      <c r="M144" s="18" t="n"/>
      <c r="N144" s="18" t="n"/>
      <c r="O144" s="18" t="n"/>
      <c r="P144" s="18" t="n"/>
      <c r="Q144" s="18" t="n"/>
      <c r="R144" s="18" t="n"/>
      <c r="S144" s="18" t="n"/>
      <c r="T144" s="18" t="n"/>
      <c r="U144" s="18" t="n"/>
      <c r="V144" s="18" t="n"/>
      <c r="W144" s="18" t="n"/>
    </row>
    <row r="145">
      <c r="A145" s="18" t="n"/>
      <c r="B145" s="18" t="n"/>
      <c r="C145" s="18" t="n"/>
      <c r="D145" s="18" t="n"/>
      <c r="E145" s="18" t="n"/>
      <c r="F145" s="18" t="n"/>
      <c r="G145" s="18" t="n"/>
      <c r="H145" s="18" t="n"/>
      <c r="I145" s="18" t="n"/>
      <c r="J145" s="18" t="n"/>
      <c r="K145" s="18" t="n"/>
      <c r="L145" s="18" t="n"/>
      <c r="M145" s="18" t="n"/>
      <c r="N145" s="18" t="n"/>
      <c r="O145" s="18" t="n"/>
      <c r="P145" s="18" t="n"/>
      <c r="Q145" s="18" t="n"/>
      <c r="R145" s="18" t="n"/>
      <c r="S145" s="18" t="n"/>
      <c r="T145" s="18" t="n"/>
      <c r="U145" s="18" t="n"/>
      <c r="V145" s="18" t="n"/>
      <c r="W145" s="18" t="n"/>
    </row>
    <row r="146">
      <c r="A146" s="18" t="n"/>
      <c r="B146" s="18" t="n"/>
      <c r="C146" s="18" t="n"/>
      <c r="D146" s="18" t="n"/>
      <c r="E146" s="18" t="n"/>
      <c r="F146" s="18" t="n"/>
      <c r="G146" s="18" t="n"/>
      <c r="H146" s="18" t="n"/>
      <c r="I146" s="18" t="n"/>
      <c r="J146" s="18" t="n"/>
      <c r="K146" s="18" t="n"/>
      <c r="L146" s="18" t="n"/>
      <c r="M146" s="18" t="n"/>
      <c r="N146" s="18" t="n"/>
      <c r="O146" s="18" t="n"/>
      <c r="P146" s="18" t="n"/>
      <c r="Q146" s="18" t="n"/>
      <c r="R146" s="18" t="n"/>
      <c r="S146" s="18" t="n"/>
      <c r="T146" s="18" t="n"/>
      <c r="U146" s="18" t="n"/>
      <c r="V146" s="18" t="n"/>
      <c r="W146" s="18" t="n"/>
    </row>
    <row r="147">
      <c r="A147" s="18" t="n"/>
      <c r="B147" s="18" t="n"/>
      <c r="C147" s="18" t="n"/>
      <c r="D147" s="18" t="n"/>
      <c r="E147" s="18" t="n"/>
      <c r="F147" s="18" t="n"/>
      <c r="G147" s="18" t="n"/>
      <c r="H147" s="18" t="n"/>
      <c r="I147" s="18" t="n"/>
      <c r="J147" s="18" t="n"/>
      <c r="K147" s="18" t="n"/>
      <c r="L147" s="18" t="n"/>
      <c r="M147" s="18" t="n"/>
      <c r="N147" s="18" t="n"/>
      <c r="O147" s="18" t="n"/>
      <c r="P147" s="18" t="n"/>
      <c r="Q147" s="18" t="n"/>
      <c r="R147" s="18" t="n"/>
      <c r="S147" s="18" t="n"/>
      <c r="T147" s="18" t="n"/>
      <c r="U147" s="18" t="n"/>
      <c r="V147" s="18" t="n"/>
      <c r="W147" s="18" t="n"/>
    </row>
    <row r="148">
      <c r="A148" s="18" t="n"/>
      <c r="B148" s="18" t="n"/>
      <c r="C148" s="18" t="n"/>
      <c r="D148" s="18" t="n"/>
      <c r="E148" s="18" t="n"/>
      <c r="F148" s="18" t="n"/>
      <c r="G148" s="18" t="n"/>
      <c r="H148" s="18" t="n"/>
      <c r="I148" s="18" t="n"/>
      <c r="J148" s="18" t="n"/>
      <c r="K148" s="18" t="n"/>
      <c r="L148" s="18" t="n"/>
      <c r="M148" s="18" t="n"/>
      <c r="N148" s="18" t="n"/>
      <c r="O148" s="18" t="n"/>
      <c r="P148" s="18" t="n"/>
      <c r="Q148" s="18" t="n"/>
      <c r="R148" s="18" t="n"/>
      <c r="S148" s="18" t="n"/>
      <c r="T148" s="18" t="n"/>
      <c r="U148" s="18" t="n"/>
      <c r="V148" s="18" t="n"/>
      <c r="W148" s="18" t="n"/>
    </row>
    <row r="149">
      <c r="A149" s="18" t="n"/>
      <c r="B149" s="18" t="n"/>
      <c r="C149" s="18" t="n"/>
      <c r="D149" s="18" t="n"/>
      <c r="E149" s="18" t="n"/>
      <c r="F149" s="18" t="n"/>
      <c r="G149" s="18" t="n"/>
      <c r="H149" s="18" t="n"/>
      <c r="I149" s="18" t="n"/>
      <c r="J149" s="18" t="n"/>
      <c r="K149" s="18" t="n"/>
      <c r="L149" s="18" t="n"/>
      <c r="M149" s="18" t="n"/>
      <c r="N149" s="18" t="n"/>
      <c r="O149" s="18" t="n"/>
      <c r="P149" s="18" t="n"/>
      <c r="Q149" s="18" t="n"/>
      <c r="R149" s="18" t="n"/>
      <c r="S149" s="18" t="n"/>
      <c r="T149" s="18" t="n"/>
      <c r="U149" s="18" t="n"/>
      <c r="V149" s="18" t="n"/>
      <c r="W149" s="18" t="n"/>
    </row>
    <row r="150">
      <c r="A150" s="18" t="n"/>
      <c r="B150" s="18" t="n"/>
      <c r="C150" s="18" t="n"/>
      <c r="D150" s="18" t="n"/>
      <c r="E150" s="18" t="n"/>
      <c r="F150" s="18" t="n"/>
      <c r="G150" s="18" t="n"/>
      <c r="H150" s="18" t="n"/>
      <c r="I150" s="18" t="n"/>
      <c r="J150" s="18" t="n"/>
      <c r="K150" s="18" t="n"/>
      <c r="L150" s="18" t="n"/>
      <c r="M150" s="18" t="n"/>
      <c r="N150" s="18" t="n"/>
      <c r="O150" s="18" t="n"/>
      <c r="P150" s="18" t="n"/>
      <c r="Q150" s="18" t="n"/>
      <c r="R150" s="18" t="n"/>
      <c r="S150" s="18" t="n"/>
      <c r="T150" s="18" t="n"/>
      <c r="U150" s="18" t="n"/>
      <c r="V150" s="18" t="n"/>
      <c r="W150" s="18" t="n"/>
    </row>
    <row r="151">
      <c r="A151" s="18" t="n"/>
      <c r="B151" s="18" t="n"/>
      <c r="C151" s="18" t="n"/>
      <c r="D151" s="18" t="n"/>
      <c r="E151" s="18" t="n"/>
      <c r="F151" s="18" t="n"/>
      <c r="G151" s="18" t="n"/>
      <c r="H151" s="18" t="n"/>
      <c r="I151" s="18" t="n"/>
      <c r="J151" s="18" t="n"/>
      <c r="K151" s="18" t="n"/>
      <c r="L151" s="18" t="n"/>
      <c r="M151" s="18" t="n"/>
      <c r="N151" s="18" t="n"/>
      <c r="O151" s="18" t="n"/>
      <c r="P151" s="18" t="n"/>
      <c r="Q151" s="18" t="n"/>
      <c r="R151" s="18" t="n"/>
      <c r="S151" s="18" t="n"/>
      <c r="T151" s="18" t="n"/>
      <c r="U151" s="18" t="n"/>
      <c r="V151" s="18" t="n"/>
      <c r="W151" s="18" t="n"/>
    </row>
    <row r="152">
      <c r="A152" s="18" t="n"/>
      <c r="B152" s="18" t="n"/>
      <c r="C152" s="18" t="n"/>
      <c r="D152" s="18" t="n"/>
      <c r="E152" s="18" t="n"/>
      <c r="F152" s="18" t="n"/>
      <c r="G152" s="18" t="n"/>
      <c r="H152" s="18" t="n"/>
      <c r="I152" s="18" t="n"/>
      <c r="J152" s="18" t="n"/>
      <c r="K152" s="18" t="n"/>
      <c r="L152" s="18" t="n"/>
      <c r="M152" s="18" t="n"/>
      <c r="N152" s="18" t="n"/>
      <c r="O152" s="18" t="n"/>
      <c r="P152" s="18" t="n"/>
      <c r="Q152" s="18" t="n"/>
      <c r="R152" s="18" t="n"/>
      <c r="S152" s="18" t="n"/>
      <c r="T152" s="18" t="n"/>
      <c r="U152" s="18" t="n"/>
      <c r="V152" s="18" t="n"/>
      <c r="W152" s="18" t="n"/>
    </row>
    <row r="153">
      <c r="A153" s="18" t="n"/>
      <c r="B153" s="18" t="n"/>
      <c r="C153" s="18" t="n"/>
      <c r="D153" s="18" t="n"/>
      <c r="E153" s="18" t="n"/>
      <c r="F153" s="18" t="n"/>
      <c r="G153" s="18" t="n"/>
      <c r="H153" s="18" t="n"/>
      <c r="I153" s="18" t="n"/>
      <c r="J153" s="18" t="n"/>
      <c r="K153" s="18" t="n"/>
      <c r="L153" s="18" t="n"/>
      <c r="M153" s="18" t="n"/>
      <c r="N153" s="18" t="n"/>
      <c r="O153" s="18" t="n"/>
      <c r="P153" s="18" t="n"/>
      <c r="Q153" s="18" t="n"/>
      <c r="R153" s="18" t="n"/>
      <c r="S153" s="18" t="n"/>
      <c r="T153" s="18" t="n"/>
      <c r="U153" s="18" t="n"/>
      <c r="V153" s="18" t="n"/>
      <c r="W153" s="18" t="n"/>
    </row>
    <row r="154">
      <c r="A154" s="18" t="n"/>
      <c r="B154" s="18" t="n"/>
      <c r="C154" s="18" t="n"/>
      <c r="D154" s="18" t="n"/>
      <c r="E154" s="18" t="n"/>
      <c r="F154" s="18" t="n"/>
      <c r="G154" s="18" t="n"/>
      <c r="H154" s="18" t="n"/>
      <c r="I154" s="18" t="n"/>
      <c r="J154" s="18" t="n"/>
      <c r="K154" s="18" t="n"/>
      <c r="L154" s="18" t="n"/>
      <c r="M154" s="18" t="n"/>
      <c r="N154" s="18" t="n"/>
      <c r="O154" s="18" t="n"/>
      <c r="P154" s="18" t="n"/>
      <c r="Q154" s="18" t="n"/>
      <c r="R154" s="18" t="n"/>
      <c r="S154" s="18" t="n"/>
      <c r="T154" s="18" t="n"/>
      <c r="U154" s="18" t="n"/>
      <c r="V154" s="18" t="n"/>
      <c r="W154" s="18" t="n"/>
    </row>
    <row r="155">
      <c r="A155" s="18" t="n"/>
      <c r="B155" s="18" t="n"/>
      <c r="C155" s="18" t="n"/>
      <c r="D155" s="18" t="n"/>
      <c r="E155" s="18" t="n"/>
      <c r="F155" s="18" t="n"/>
      <c r="G155" s="18" t="n"/>
      <c r="H155" s="18" t="n"/>
      <c r="I155" s="18" t="n"/>
      <c r="J155" s="18" t="n"/>
      <c r="K155" s="18" t="n"/>
      <c r="L155" s="18" t="n"/>
      <c r="M155" s="18" t="n"/>
      <c r="N155" s="18" t="n"/>
      <c r="O155" s="18" t="n"/>
      <c r="P155" s="18" t="n"/>
      <c r="Q155" s="18" t="n"/>
      <c r="R155" s="18" t="n"/>
      <c r="S155" s="18" t="n"/>
      <c r="T155" s="18" t="n"/>
      <c r="U155" s="18" t="n"/>
      <c r="V155" s="18" t="n"/>
      <c r="W155" s="18" t="n"/>
    </row>
    <row r="156">
      <c r="A156" s="18" t="n"/>
      <c r="B156" s="18" t="n"/>
      <c r="C156" s="18" t="n"/>
      <c r="D156" s="18" t="n"/>
      <c r="E156" s="18" t="n"/>
      <c r="F156" s="18" t="n"/>
      <c r="G156" s="18" t="n"/>
      <c r="H156" s="18" t="n"/>
      <c r="I156" s="18" t="n"/>
      <c r="J156" s="18" t="n"/>
      <c r="K156" s="18" t="n"/>
      <c r="L156" s="18" t="n"/>
      <c r="M156" s="18" t="n"/>
      <c r="N156" s="18" t="n"/>
      <c r="O156" s="18" t="n"/>
      <c r="P156" s="18" t="n"/>
      <c r="Q156" s="18" t="n"/>
      <c r="R156" s="18" t="n"/>
      <c r="S156" s="18" t="n"/>
      <c r="T156" s="18" t="n"/>
      <c r="U156" s="18" t="n"/>
      <c r="V156" s="18" t="n"/>
      <c r="W156" s="18" t="n"/>
    </row>
    <row r="157">
      <c r="A157" s="18" t="n"/>
      <c r="B157" s="18" t="n"/>
      <c r="C157" s="18" t="n"/>
      <c r="D157" s="18" t="n"/>
      <c r="E157" s="18" t="n"/>
      <c r="F157" s="18" t="n"/>
      <c r="G157" s="18" t="n"/>
      <c r="H157" s="18" t="n"/>
      <c r="I157" s="18" t="n"/>
      <c r="J157" s="18" t="n"/>
      <c r="K157" s="18" t="n"/>
      <c r="L157" s="18" t="n"/>
      <c r="M157" s="18" t="n"/>
      <c r="N157" s="18" t="n"/>
      <c r="O157" s="18" t="n"/>
      <c r="P157" s="18" t="n"/>
      <c r="Q157" s="18" t="n"/>
      <c r="R157" s="18" t="n"/>
      <c r="S157" s="18" t="n"/>
      <c r="T157" s="18" t="n"/>
      <c r="U157" s="18" t="n"/>
      <c r="V157" s="18" t="n"/>
      <c r="W157" s="18" t="n"/>
    </row>
    <row r="158">
      <c r="A158" s="18" t="n"/>
      <c r="B158" s="18" t="n"/>
      <c r="C158" s="18" t="n"/>
      <c r="D158" s="18" t="n"/>
      <c r="E158" s="18" t="n"/>
      <c r="F158" s="18" t="n"/>
      <c r="G158" s="18" t="n"/>
      <c r="H158" s="18" t="n"/>
      <c r="I158" s="18" t="n"/>
      <c r="J158" s="18" t="n"/>
      <c r="K158" s="18" t="n"/>
      <c r="L158" s="18" t="n"/>
      <c r="M158" s="18" t="n"/>
      <c r="N158" s="18" t="n"/>
      <c r="O158" s="18" t="n"/>
      <c r="P158" s="18" t="n"/>
      <c r="Q158" s="18" t="n"/>
      <c r="R158" s="18" t="n"/>
      <c r="S158" s="18" t="n"/>
      <c r="T158" s="18" t="n"/>
      <c r="U158" s="18" t="n"/>
      <c r="V158" s="18" t="n"/>
      <c r="W158" s="18" t="n"/>
    </row>
    <row r="159">
      <c r="A159" s="18" t="n"/>
      <c r="B159" s="18" t="n"/>
      <c r="C159" s="18" t="n"/>
      <c r="D159" s="18" t="n"/>
      <c r="E159" s="18" t="n"/>
      <c r="F159" s="18" t="n"/>
      <c r="G159" s="18" t="n"/>
      <c r="H159" s="18" t="n"/>
      <c r="I159" s="18" t="n"/>
      <c r="J159" s="18" t="n"/>
      <c r="K159" s="18" t="n"/>
      <c r="L159" s="18" t="n"/>
      <c r="M159" s="18" t="n"/>
      <c r="N159" s="18" t="n"/>
      <c r="O159" s="18" t="n"/>
      <c r="P159" s="18" t="n"/>
      <c r="Q159" s="18" t="n"/>
      <c r="R159" s="18" t="n"/>
      <c r="S159" s="18" t="n"/>
      <c r="T159" s="18" t="n"/>
      <c r="U159" s="18" t="n"/>
      <c r="V159" s="18" t="n"/>
      <c r="W159" s="18" t="n"/>
    </row>
    <row r="160">
      <c r="A160" s="18" t="n"/>
      <c r="B160" s="18" t="n"/>
      <c r="C160" s="18" t="n"/>
      <c r="D160" s="18" t="n"/>
      <c r="E160" s="18" t="n"/>
      <c r="F160" s="18" t="n"/>
      <c r="G160" s="18" t="n"/>
      <c r="H160" s="18" t="n"/>
      <c r="I160" s="18" t="n"/>
      <c r="J160" s="18" t="n"/>
      <c r="K160" s="18" t="n"/>
      <c r="L160" s="18" t="n"/>
      <c r="M160" s="18" t="n"/>
      <c r="N160" s="18" t="n"/>
      <c r="O160" s="18" t="n"/>
      <c r="P160" s="18" t="n"/>
      <c r="Q160" s="18" t="n"/>
      <c r="R160" s="18" t="n"/>
      <c r="S160" s="18" t="n"/>
      <c r="T160" s="18" t="n"/>
      <c r="U160" s="18" t="n"/>
      <c r="V160" s="18" t="n"/>
      <c r="W160" s="18" t="n"/>
    </row>
    <row r="161">
      <c r="A161" s="18" t="n"/>
      <c r="B161" s="18" t="n"/>
      <c r="C161" s="18" t="n"/>
      <c r="D161" s="18" t="n"/>
      <c r="E161" s="18" t="n"/>
      <c r="F161" s="18" t="n"/>
      <c r="G161" s="18" t="n"/>
      <c r="H161" s="18" t="n"/>
      <c r="I161" s="18" t="n"/>
      <c r="J161" s="18" t="n"/>
      <c r="K161" s="18" t="n"/>
      <c r="L161" s="18" t="n"/>
      <c r="M161" s="18" t="n"/>
      <c r="N161" s="18" t="n"/>
      <c r="O161" s="18" t="n"/>
      <c r="P161" s="18" t="n"/>
      <c r="Q161" s="18" t="n"/>
      <c r="R161" s="18" t="n"/>
      <c r="S161" s="18" t="n"/>
      <c r="T161" s="18" t="n"/>
      <c r="U161" s="18" t="n"/>
      <c r="V161" s="18" t="n"/>
      <c r="W161" s="18" t="n"/>
    </row>
    <row r="162">
      <c r="A162" s="18" t="n"/>
      <c r="B162" s="18" t="n"/>
      <c r="C162" s="18" t="n"/>
      <c r="D162" s="18" t="n"/>
      <c r="E162" s="18" t="n"/>
      <c r="F162" s="18" t="n"/>
      <c r="G162" s="18" t="n"/>
      <c r="H162" s="18" t="n"/>
      <c r="I162" s="18" t="n"/>
      <c r="J162" s="18" t="n"/>
      <c r="K162" s="18" t="n"/>
      <c r="L162" s="18" t="n"/>
      <c r="M162" s="18" t="n"/>
      <c r="N162" s="18" t="n"/>
      <c r="O162" s="18" t="n"/>
      <c r="P162" s="18" t="n"/>
      <c r="Q162" s="18" t="n"/>
      <c r="R162" s="18" t="n"/>
      <c r="S162" s="18" t="n"/>
      <c r="T162" s="18" t="n"/>
      <c r="U162" s="18" t="n"/>
      <c r="V162" s="18" t="n"/>
      <c r="W162" s="18" t="n"/>
    </row>
    <row r="163">
      <c r="A163" s="18" t="n"/>
      <c r="B163" s="18" t="n"/>
      <c r="C163" s="18" t="n"/>
      <c r="D163" s="18" t="n"/>
      <c r="E163" s="18" t="n"/>
      <c r="F163" s="18" t="n"/>
      <c r="G163" s="18" t="n"/>
      <c r="H163" s="18" t="n"/>
      <c r="I163" s="18" t="n"/>
      <c r="J163" s="18" t="n"/>
      <c r="K163" s="18" t="n"/>
      <c r="L163" s="18" t="n"/>
      <c r="M163" s="18" t="n"/>
      <c r="N163" s="18" t="n"/>
      <c r="O163" s="18" t="n"/>
      <c r="P163" s="18" t="n"/>
      <c r="Q163" s="18" t="n"/>
      <c r="R163" s="18" t="n"/>
      <c r="S163" s="18" t="n"/>
      <c r="T163" s="18" t="n"/>
      <c r="U163" s="18" t="n"/>
      <c r="V163" s="18" t="n"/>
      <c r="W163" s="18" t="n"/>
    </row>
    <row r="164">
      <c r="A164" s="18" t="n"/>
      <c r="B164" s="18" t="n"/>
      <c r="C164" s="18" t="n"/>
      <c r="D164" s="18" t="n"/>
      <c r="E164" s="18" t="n"/>
      <c r="F164" s="18" t="n"/>
      <c r="G164" s="18" t="n"/>
      <c r="H164" s="18" t="n"/>
      <c r="I164" s="18" t="n"/>
      <c r="J164" s="18" t="n"/>
      <c r="K164" s="18" t="n"/>
      <c r="L164" s="18" t="n"/>
      <c r="M164" s="18" t="n"/>
      <c r="N164" s="18" t="n"/>
      <c r="O164" s="18" t="n"/>
      <c r="P164" s="18" t="n"/>
      <c r="Q164" s="18" t="n"/>
      <c r="R164" s="18" t="n"/>
      <c r="S164" s="18" t="n"/>
      <c r="T164" s="18" t="n"/>
      <c r="U164" s="18" t="n"/>
      <c r="V164" s="18" t="n"/>
      <c r="W164" s="18" t="n"/>
    </row>
    <row r="165">
      <c r="A165" s="18" t="n"/>
      <c r="B165" s="18" t="n"/>
      <c r="C165" s="18" t="n"/>
      <c r="D165" s="18" t="n"/>
      <c r="E165" s="18" t="n"/>
      <c r="F165" s="18" t="n"/>
      <c r="G165" s="18" t="n"/>
      <c r="H165" s="18" t="n"/>
      <c r="I165" s="18" t="n"/>
      <c r="J165" s="18" t="n"/>
      <c r="K165" s="18" t="n"/>
      <c r="L165" s="18" t="n"/>
      <c r="M165" s="18" t="n"/>
      <c r="N165" s="18" t="n"/>
      <c r="O165" s="18" t="n"/>
      <c r="P165" s="18" t="n"/>
      <c r="Q165" s="18" t="n"/>
      <c r="R165" s="18" t="n"/>
      <c r="S165" s="18" t="n"/>
      <c r="T165" s="18" t="n"/>
      <c r="U165" s="18" t="n"/>
      <c r="V165" s="18" t="n"/>
      <c r="W165" s="18" t="n"/>
    </row>
    <row r="166">
      <c r="A166" s="18" t="n"/>
      <c r="B166" s="18" t="n"/>
      <c r="C166" s="18" t="n"/>
      <c r="D166" s="18" t="n"/>
      <c r="E166" s="18" t="n"/>
      <c r="F166" s="18" t="n"/>
      <c r="G166" s="18" t="n"/>
      <c r="H166" s="18" t="n"/>
      <c r="I166" s="18" t="n"/>
      <c r="J166" s="18" t="n"/>
      <c r="K166" s="18" t="n"/>
      <c r="L166" s="18" t="n"/>
      <c r="M166" s="18" t="n"/>
      <c r="N166" s="18" t="n"/>
      <c r="O166" s="18" t="n"/>
      <c r="P166" s="18" t="n"/>
      <c r="Q166" s="18" t="n"/>
      <c r="R166" s="18" t="n"/>
      <c r="S166" s="18" t="n"/>
      <c r="T166" s="18" t="n"/>
      <c r="U166" s="18" t="n"/>
      <c r="V166" s="18" t="n"/>
      <c r="W166" s="18" t="n"/>
    </row>
    <row r="167">
      <c r="A167" s="18" t="n"/>
      <c r="B167" s="18" t="n"/>
      <c r="C167" s="18" t="n"/>
      <c r="D167" s="18" t="n"/>
      <c r="E167" s="18" t="n"/>
      <c r="F167" s="18" t="n"/>
      <c r="G167" s="18" t="n"/>
      <c r="H167" s="18" t="n"/>
      <c r="I167" s="18" t="n"/>
      <c r="J167" s="18" t="n"/>
      <c r="K167" s="18" t="n"/>
      <c r="L167" s="18" t="n"/>
      <c r="M167" s="18" t="n"/>
      <c r="N167" s="18" t="n"/>
      <c r="O167" s="18" t="n"/>
      <c r="P167" s="18" t="n"/>
      <c r="Q167" s="18" t="n"/>
      <c r="R167" s="18" t="n"/>
      <c r="S167" s="18" t="n"/>
      <c r="T167" s="18" t="n"/>
      <c r="U167" s="18" t="n"/>
      <c r="V167" s="18" t="n"/>
      <c r="W167" s="18" t="n"/>
    </row>
    <row r="168">
      <c r="A168" s="18" t="n"/>
      <c r="B168" s="18" t="n"/>
      <c r="C168" s="18" t="n"/>
      <c r="D168" s="18" t="n"/>
      <c r="E168" s="18" t="n"/>
      <c r="F168" s="18" t="n"/>
      <c r="G168" s="18" t="n"/>
      <c r="H168" s="18" t="n"/>
      <c r="I168" s="18" t="n"/>
      <c r="J168" s="18" t="n"/>
      <c r="K168" s="18" t="n"/>
      <c r="L168" s="18" t="n"/>
      <c r="M168" s="18" t="n"/>
      <c r="N168" s="18" t="n"/>
      <c r="O168" s="18" t="n"/>
      <c r="P168" s="18" t="n"/>
      <c r="Q168" s="18" t="n"/>
      <c r="R168" s="18" t="n"/>
      <c r="S168" s="18" t="n"/>
      <c r="T168" s="18" t="n"/>
      <c r="U168" s="18" t="n"/>
      <c r="V168" s="18" t="n"/>
      <c r="W168" s="18" t="n"/>
    </row>
    <row r="169">
      <c r="A169" s="18" t="n"/>
      <c r="B169" s="18" t="n"/>
      <c r="C169" s="18" t="n"/>
      <c r="D169" s="18" t="n"/>
      <c r="E169" s="18" t="n"/>
      <c r="F169" s="18" t="n"/>
      <c r="G169" s="18" t="n"/>
      <c r="H169" s="18" t="n"/>
      <c r="I169" s="18" t="n"/>
      <c r="J169" s="18" t="n"/>
      <c r="K169" s="18" t="n"/>
      <c r="L169" s="18" t="n"/>
      <c r="M169" s="18" t="n"/>
      <c r="N169" s="18" t="n"/>
      <c r="O169" s="18" t="n"/>
      <c r="P169" s="18" t="n"/>
      <c r="Q169" s="18" t="n"/>
      <c r="R169" s="18" t="n"/>
      <c r="S169" s="18" t="n"/>
      <c r="T169" s="18" t="n"/>
      <c r="U169" s="18" t="n"/>
      <c r="V169" s="18" t="n"/>
      <c r="W169" s="18" t="n"/>
    </row>
    <row r="170">
      <c r="A170" s="18" t="n"/>
      <c r="B170" s="18" t="n"/>
      <c r="C170" s="18" t="n"/>
      <c r="D170" s="18" t="n"/>
      <c r="E170" s="18" t="n"/>
      <c r="F170" s="18" t="n"/>
      <c r="G170" s="18" t="n"/>
      <c r="H170" s="18" t="n"/>
      <c r="I170" s="18" t="n"/>
      <c r="J170" s="18" t="n"/>
      <c r="K170" s="18" t="n"/>
      <c r="L170" s="18" t="n"/>
      <c r="M170" s="18" t="n"/>
      <c r="N170" s="18" t="n"/>
      <c r="O170" s="18" t="n"/>
      <c r="P170" s="18" t="n"/>
      <c r="Q170" s="18" t="n"/>
      <c r="R170" s="18" t="n"/>
      <c r="S170" s="18" t="n"/>
      <c r="T170" s="18" t="n"/>
      <c r="U170" s="18" t="n"/>
      <c r="V170" s="18" t="n"/>
      <c r="W170" s="18" t="n"/>
    </row>
    <row r="171">
      <c r="A171" s="18" t="n"/>
      <c r="B171" s="18" t="n"/>
      <c r="C171" s="18" t="n"/>
      <c r="D171" s="18" t="n"/>
      <c r="E171" s="18" t="n"/>
      <c r="F171" s="18" t="n"/>
      <c r="G171" s="18" t="n"/>
      <c r="H171" s="18" t="n"/>
      <c r="I171" s="18" t="n"/>
      <c r="J171" s="18" t="n"/>
      <c r="K171" s="18" t="n"/>
      <c r="L171" s="18" t="n"/>
      <c r="M171" s="18" t="n"/>
      <c r="N171" s="18" t="n"/>
      <c r="O171" s="18" t="n"/>
      <c r="P171" s="18" t="n"/>
      <c r="Q171" s="18" t="n"/>
      <c r="R171" s="18" t="n"/>
      <c r="S171" s="18" t="n"/>
      <c r="T171" s="18" t="n"/>
      <c r="U171" s="18" t="n"/>
      <c r="V171" s="18" t="n"/>
      <c r="W171" s="18" t="n"/>
    </row>
    <row r="172">
      <c r="A172" s="18" t="n"/>
      <c r="B172" s="18" t="n"/>
      <c r="C172" s="18" t="n"/>
      <c r="D172" s="18" t="n"/>
      <c r="E172" s="18" t="n"/>
      <c r="F172" s="18" t="n"/>
      <c r="G172" s="18" t="n"/>
      <c r="H172" s="18" t="n"/>
      <c r="I172" s="18" t="n"/>
      <c r="J172" s="18" t="n"/>
      <c r="K172" s="18" t="n"/>
      <c r="L172" s="18" t="n"/>
      <c r="M172" s="18" t="n"/>
      <c r="N172" s="18" t="n"/>
      <c r="O172" s="18" t="n"/>
      <c r="P172" s="18" t="n"/>
      <c r="Q172" s="18" t="n"/>
      <c r="R172" s="18" t="n"/>
      <c r="S172" s="18" t="n"/>
      <c r="T172" s="18" t="n"/>
      <c r="U172" s="18" t="n"/>
      <c r="V172" s="18" t="n"/>
      <c r="W172" s="18" t="n"/>
    </row>
    <row r="173">
      <c r="A173" s="18" t="n"/>
      <c r="B173" s="18" t="n"/>
      <c r="C173" s="18" t="n"/>
      <c r="D173" s="18" t="n"/>
      <c r="E173" s="18" t="n"/>
      <c r="F173" s="18" t="n"/>
      <c r="G173" s="18" t="n"/>
      <c r="H173" s="18" t="n"/>
      <c r="I173" s="18" t="n"/>
      <c r="J173" s="18" t="n"/>
      <c r="K173" s="18" t="n"/>
      <c r="L173" s="18" t="n"/>
      <c r="M173" s="18" t="n"/>
      <c r="N173" s="18" t="n"/>
      <c r="O173" s="18" t="n"/>
      <c r="P173" s="18" t="n"/>
      <c r="Q173" s="18" t="n"/>
      <c r="R173" s="18" t="n"/>
      <c r="S173" s="18" t="n"/>
      <c r="T173" s="18" t="n"/>
      <c r="U173" s="18" t="n"/>
      <c r="V173" s="18" t="n"/>
      <c r="W173" s="18" t="n"/>
    </row>
    <row r="174">
      <c r="A174" s="18" t="n"/>
      <c r="B174" s="18" t="n"/>
      <c r="C174" s="18" t="n"/>
      <c r="D174" s="18" t="n"/>
      <c r="E174" s="18" t="n"/>
      <c r="F174" s="18" t="n"/>
      <c r="G174" s="18" t="n"/>
      <c r="H174" s="18" t="n"/>
      <c r="I174" s="18" t="n"/>
      <c r="J174" s="18" t="n"/>
      <c r="K174" s="18" t="n"/>
      <c r="L174" s="18" t="n"/>
      <c r="M174" s="18" t="n"/>
      <c r="N174" s="18" t="n"/>
      <c r="O174" s="18" t="n"/>
      <c r="P174" s="18" t="n"/>
      <c r="Q174" s="18" t="n"/>
      <c r="R174" s="18" t="n"/>
      <c r="S174" s="18" t="n"/>
      <c r="T174" s="18" t="n"/>
      <c r="U174" s="18" t="n"/>
      <c r="V174" s="18" t="n"/>
      <c r="W174" s="18" t="n"/>
    </row>
    <row r="175">
      <c r="A175" s="18" t="n"/>
      <c r="B175" s="18" t="n"/>
      <c r="C175" s="18" t="n"/>
      <c r="D175" s="18" t="n"/>
      <c r="E175" s="18" t="n"/>
      <c r="F175" s="18" t="n"/>
      <c r="G175" s="18" t="n"/>
      <c r="H175" s="18" t="n"/>
      <c r="I175" s="18" t="n"/>
      <c r="J175" s="18" t="n"/>
      <c r="K175" s="18" t="n"/>
      <c r="L175" s="18" t="n"/>
      <c r="M175" s="18" t="n"/>
      <c r="N175" s="18" t="n"/>
      <c r="O175" s="18" t="n"/>
      <c r="P175" s="18" t="n"/>
      <c r="Q175" s="18" t="n"/>
      <c r="R175" s="18" t="n"/>
      <c r="S175" s="18" t="n"/>
      <c r="T175" s="18" t="n"/>
      <c r="U175" s="18" t="n"/>
      <c r="V175" s="18" t="n"/>
      <c r="W175" s="18" t="n"/>
    </row>
    <row r="176">
      <c r="A176" s="18" t="n"/>
      <c r="B176" s="18" t="n"/>
      <c r="C176" s="18" t="n"/>
      <c r="D176" s="18" t="n"/>
      <c r="E176" s="18" t="n"/>
      <c r="F176" s="18" t="n"/>
      <c r="G176" s="18" t="n"/>
      <c r="H176" s="18" t="n"/>
      <c r="I176" s="18" t="n"/>
      <c r="J176" s="18" t="n"/>
      <c r="K176" s="18" t="n"/>
      <c r="L176" s="18" t="n"/>
      <c r="M176" s="18" t="n"/>
      <c r="N176" s="18" t="n"/>
      <c r="O176" s="18" t="n"/>
      <c r="P176" s="18" t="n"/>
      <c r="Q176" s="18" t="n"/>
      <c r="R176" s="18" t="n"/>
      <c r="S176" s="18" t="n"/>
      <c r="T176" s="18" t="n"/>
      <c r="U176" s="18" t="n"/>
      <c r="V176" s="18" t="n"/>
      <c r="W176" s="18" t="n"/>
    </row>
    <row r="177">
      <c r="A177" s="18" t="n"/>
      <c r="B177" s="18" t="n"/>
      <c r="C177" s="18" t="n"/>
      <c r="D177" s="18" t="n"/>
      <c r="E177" s="18" t="n"/>
      <c r="F177" s="18" t="n"/>
      <c r="G177" s="18" t="n"/>
      <c r="H177" s="18" t="n"/>
      <c r="I177" s="18" t="n"/>
      <c r="J177" s="18" t="n"/>
      <c r="K177" s="18" t="n"/>
      <c r="L177" s="18" t="n"/>
      <c r="M177" s="18" t="n"/>
      <c r="N177" s="18" t="n"/>
      <c r="O177" s="18" t="n"/>
      <c r="P177" s="18" t="n"/>
      <c r="Q177" s="18" t="n"/>
      <c r="R177" s="18" t="n"/>
      <c r="S177" s="18" t="n"/>
      <c r="T177" s="18" t="n"/>
      <c r="U177" s="18" t="n"/>
      <c r="V177" s="18" t="n"/>
      <c r="W177" s="18" t="n"/>
    </row>
    <row r="178">
      <c r="A178" s="18" t="n"/>
      <c r="B178" s="18" t="n"/>
      <c r="C178" s="18" t="n"/>
      <c r="D178" s="18" t="n"/>
      <c r="E178" s="18" t="n"/>
      <c r="F178" s="18" t="n"/>
      <c r="G178" s="18" t="n"/>
      <c r="H178" s="18" t="n"/>
      <c r="I178" s="18" t="n"/>
      <c r="J178" s="18" t="n"/>
      <c r="K178" s="18" t="n"/>
      <c r="L178" s="18" t="n"/>
      <c r="M178" s="18" t="n"/>
      <c r="N178" s="18" t="n"/>
      <c r="O178" s="18" t="n"/>
      <c r="P178" s="18" t="n"/>
      <c r="Q178" s="18" t="n"/>
      <c r="R178" s="18" t="n"/>
      <c r="S178" s="18" t="n"/>
      <c r="T178" s="18" t="n"/>
      <c r="U178" s="18" t="n"/>
      <c r="V178" s="18" t="n"/>
      <c r="W178" s="18" t="n"/>
    </row>
    <row r="179">
      <c r="A179" s="18" t="n"/>
      <c r="B179" s="18" t="n"/>
      <c r="C179" s="18" t="n"/>
      <c r="D179" s="18" t="n"/>
      <c r="E179" s="18" t="n"/>
      <c r="F179" s="18" t="n"/>
      <c r="G179" s="18" t="n"/>
      <c r="H179" s="18" t="n"/>
      <c r="I179" s="18" t="n"/>
      <c r="J179" s="18" t="n"/>
      <c r="K179" s="18" t="n"/>
      <c r="L179" s="18" t="n"/>
      <c r="M179" s="18" t="n"/>
      <c r="N179" s="18" t="n"/>
      <c r="O179" s="18" t="n"/>
      <c r="P179" s="18" t="n"/>
      <c r="Q179" s="18" t="n"/>
      <c r="R179" s="18" t="n"/>
      <c r="S179" s="18" t="n"/>
      <c r="T179" s="18" t="n"/>
      <c r="U179" s="18" t="n"/>
      <c r="V179" s="18" t="n"/>
      <c r="W179" s="18" t="n"/>
    </row>
    <row r="180">
      <c r="A180" s="18" t="n"/>
      <c r="B180" s="18" t="n"/>
      <c r="C180" s="18" t="n"/>
      <c r="D180" s="18" t="n"/>
      <c r="E180" s="18" t="n"/>
      <c r="F180" s="18" t="n"/>
      <c r="G180" s="18" t="n"/>
      <c r="H180" s="18" t="n"/>
      <c r="I180" s="18" t="n"/>
      <c r="J180" s="18" t="n"/>
      <c r="K180" s="18" t="n"/>
      <c r="L180" s="18" t="n"/>
      <c r="M180" s="18" t="n"/>
      <c r="N180" s="18" t="n"/>
      <c r="O180" s="18" t="n"/>
      <c r="P180" s="18" t="n"/>
      <c r="Q180" s="18" t="n"/>
      <c r="R180" s="18" t="n"/>
      <c r="S180" s="18" t="n"/>
      <c r="T180" s="18" t="n"/>
      <c r="U180" s="18" t="n"/>
      <c r="V180" s="18" t="n"/>
      <c r="W180" s="18" t="n"/>
    </row>
    <row r="181">
      <c r="A181" s="18" t="n"/>
      <c r="B181" s="18" t="n"/>
      <c r="C181" s="18" t="n"/>
      <c r="D181" s="18" t="n"/>
      <c r="E181" s="18" t="n"/>
      <c r="F181" s="18" t="n"/>
      <c r="G181" s="18" t="n"/>
      <c r="H181" s="18" t="n"/>
      <c r="I181" s="18" t="n"/>
      <c r="J181" s="18" t="n"/>
      <c r="K181" s="18" t="n"/>
      <c r="L181" s="18" t="n"/>
      <c r="M181" s="18" t="n"/>
      <c r="N181" s="18" t="n"/>
      <c r="O181" s="18" t="n"/>
      <c r="P181" s="18" t="n"/>
      <c r="Q181" s="18" t="n"/>
      <c r="R181" s="18" t="n"/>
      <c r="S181" s="18" t="n"/>
      <c r="T181" s="18" t="n"/>
      <c r="U181" s="18" t="n"/>
      <c r="V181" s="18" t="n"/>
      <c r="W181" s="18" t="n"/>
    </row>
    <row r="182">
      <c r="A182" s="18" t="n"/>
      <c r="B182" s="18" t="n"/>
      <c r="C182" s="18" t="n"/>
      <c r="D182" s="18" t="n"/>
      <c r="E182" s="18" t="n"/>
      <c r="F182" s="18" t="n"/>
      <c r="G182" s="18" t="n"/>
      <c r="H182" s="18" t="n"/>
      <c r="I182" s="18" t="n"/>
      <c r="J182" s="18" t="n"/>
      <c r="K182" s="18" t="n"/>
      <c r="L182" s="18" t="n"/>
      <c r="M182" s="18" t="n"/>
      <c r="N182" s="18" t="n"/>
      <c r="O182" s="18" t="n"/>
      <c r="P182" s="18" t="n"/>
      <c r="Q182" s="18" t="n"/>
      <c r="R182" s="18" t="n"/>
      <c r="S182" s="18" t="n"/>
      <c r="T182" s="18" t="n"/>
      <c r="U182" s="18" t="n"/>
      <c r="V182" s="18" t="n"/>
      <c r="W182" s="18" t="n"/>
    </row>
    <row r="183">
      <c r="A183" s="18" t="n"/>
      <c r="B183" s="18" t="n"/>
      <c r="C183" s="18" t="n"/>
      <c r="D183" s="18" t="n"/>
      <c r="E183" s="18" t="n"/>
      <c r="F183" s="18" t="n"/>
      <c r="G183" s="18" t="n"/>
      <c r="H183" s="18" t="n"/>
      <c r="I183" s="18" t="n"/>
      <c r="J183" s="18" t="n"/>
      <c r="K183" s="18" t="n"/>
      <c r="L183" s="18" t="n"/>
      <c r="M183" s="18" t="n"/>
      <c r="N183" s="18" t="n"/>
      <c r="O183" s="18" t="n"/>
      <c r="P183" s="18" t="n"/>
      <c r="Q183" s="18" t="n"/>
      <c r="R183" s="18" t="n"/>
      <c r="S183" s="18" t="n"/>
      <c r="T183" s="18" t="n"/>
      <c r="U183" s="18" t="n"/>
      <c r="V183" s="18" t="n"/>
      <c r="W183" s="18" t="n"/>
    </row>
    <row r="184">
      <c r="A184" s="18" t="n"/>
      <c r="B184" s="18" t="n"/>
      <c r="C184" s="18" t="n"/>
      <c r="D184" s="18" t="n"/>
      <c r="E184" s="18" t="n"/>
      <c r="F184" s="18" t="n"/>
      <c r="G184" s="18" t="n"/>
      <c r="H184" s="18" t="n"/>
      <c r="I184" s="18" t="n"/>
      <c r="J184" s="18" t="n"/>
      <c r="K184" s="18" t="n"/>
      <c r="L184" s="18" t="n"/>
      <c r="M184" s="18" t="n"/>
      <c r="N184" s="18" t="n"/>
      <c r="O184" s="18" t="n"/>
      <c r="P184" s="18" t="n"/>
      <c r="Q184" s="18" t="n"/>
      <c r="R184" s="18" t="n"/>
      <c r="S184" s="18" t="n"/>
      <c r="T184" s="18" t="n"/>
      <c r="U184" s="18" t="n"/>
      <c r="V184" s="18" t="n"/>
      <c r="W184" s="18" t="n"/>
    </row>
    <row r="185">
      <c r="A185" s="18" t="n"/>
      <c r="B185" s="18" t="n"/>
      <c r="C185" s="18" t="n"/>
      <c r="D185" s="18" t="n"/>
      <c r="E185" s="18" t="n"/>
      <c r="F185" s="18" t="n"/>
      <c r="G185" s="18" t="n"/>
      <c r="H185" s="18" t="n"/>
      <c r="I185" s="18" t="n"/>
      <c r="J185" s="18" t="n"/>
      <c r="K185" s="18" t="n"/>
      <c r="L185" s="18" t="n"/>
      <c r="M185" s="18" t="n"/>
      <c r="N185" s="18" t="n"/>
      <c r="O185" s="18" t="n"/>
      <c r="P185" s="18" t="n"/>
      <c r="Q185" s="18" t="n"/>
      <c r="R185" s="18" t="n"/>
      <c r="S185" s="18" t="n"/>
      <c r="T185" s="18" t="n"/>
      <c r="U185" s="18" t="n"/>
      <c r="V185" s="18" t="n"/>
      <c r="W185" s="18" t="n"/>
    </row>
    <row r="186">
      <c r="A186" s="18" t="n"/>
      <c r="B186" s="18" t="n"/>
      <c r="C186" s="18" t="n"/>
      <c r="D186" s="18" t="n"/>
      <c r="E186" s="18" t="n"/>
      <c r="F186" s="18" t="n"/>
      <c r="G186" s="18" t="n"/>
      <c r="H186" s="18" t="n"/>
      <c r="I186" s="18" t="n"/>
      <c r="J186" s="18" t="n"/>
      <c r="K186" s="18" t="n"/>
      <c r="L186" s="18" t="n"/>
      <c r="M186" s="18" t="n"/>
      <c r="N186" s="18" t="n"/>
      <c r="O186" s="18" t="n"/>
      <c r="P186" s="18" t="n"/>
      <c r="Q186" s="18" t="n"/>
      <c r="R186" s="18" t="n"/>
      <c r="S186" s="18" t="n"/>
      <c r="T186" s="18" t="n"/>
      <c r="U186" s="18" t="n"/>
      <c r="V186" s="18" t="n"/>
      <c r="W186" s="18" t="n"/>
    </row>
    <row r="187">
      <c r="A187" s="18" t="n"/>
      <c r="B187" s="18" t="n"/>
      <c r="C187" s="18" t="n"/>
      <c r="D187" s="18" t="n"/>
      <c r="E187" s="18" t="n"/>
      <c r="F187" s="18" t="n"/>
      <c r="G187" s="18" t="n"/>
      <c r="H187" s="18" t="n"/>
      <c r="I187" s="18" t="n"/>
      <c r="J187" s="18" t="n"/>
      <c r="K187" s="18" t="n"/>
      <c r="L187" s="18" t="n"/>
      <c r="M187" s="18" t="n"/>
      <c r="N187" s="18" t="n"/>
      <c r="O187" s="18" t="n"/>
      <c r="P187" s="18" t="n"/>
      <c r="Q187" s="18" t="n"/>
      <c r="R187" s="18" t="n"/>
      <c r="S187" s="18" t="n"/>
      <c r="T187" s="18" t="n"/>
      <c r="U187" s="18" t="n"/>
      <c r="V187" s="18" t="n"/>
      <c r="W187" s="18" t="n"/>
    </row>
    <row r="188">
      <c r="A188" s="18" t="n"/>
      <c r="B188" s="18" t="n"/>
      <c r="C188" s="18" t="n"/>
      <c r="D188" s="18" t="n"/>
      <c r="E188" s="18" t="n"/>
      <c r="F188" s="18" t="n"/>
      <c r="G188" s="18" t="n"/>
      <c r="H188" s="18" t="n"/>
      <c r="I188" s="18" t="n"/>
      <c r="J188" s="18" t="n"/>
      <c r="K188" s="18" t="n"/>
      <c r="L188" s="18" t="n"/>
      <c r="M188" s="18" t="n"/>
      <c r="N188" s="18" t="n"/>
      <c r="O188" s="18" t="n"/>
      <c r="P188" s="18" t="n"/>
      <c r="Q188" s="18" t="n"/>
      <c r="R188" s="18" t="n"/>
      <c r="S188" s="18" t="n"/>
      <c r="T188" s="18" t="n"/>
      <c r="U188" s="18" t="n"/>
      <c r="V188" s="18" t="n"/>
      <c r="W188" s="18" t="n"/>
    </row>
    <row r="189">
      <c r="A189" s="18" t="n"/>
      <c r="B189" s="18" t="n"/>
      <c r="C189" s="18" t="n"/>
      <c r="D189" s="18" t="n"/>
      <c r="E189" s="18" t="n"/>
      <c r="F189" s="18" t="n"/>
      <c r="G189" s="18" t="n"/>
      <c r="H189" s="18" t="n"/>
      <c r="I189" s="18" t="n"/>
      <c r="J189" s="18" t="n"/>
      <c r="K189" s="18" t="n"/>
      <c r="L189" s="18" t="n"/>
      <c r="M189" s="18" t="n"/>
      <c r="N189" s="18" t="n"/>
      <c r="O189" s="18" t="n"/>
      <c r="P189" s="18" t="n"/>
      <c r="Q189" s="18" t="n"/>
      <c r="R189" s="18" t="n"/>
      <c r="S189" s="18" t="n"/>
      <c r="T189" s="18" t="n"/>
      <c r="U189" s="18" t="n"/>
      <c r="V189" s="18" t="n"/>
      <c r="W189" s="18" t="n"/>
    </row>
    <row r="190">
      <c r="A190" s="18" t="n"/>
      <c r="B190" s="18" t="n"/>
      <c r="C190" s="18" t="n"/>
      <c r="D190" s="18" t="n"/>
      <c r="E190" s="18" t="n"/>
      <c r="F190" s="18" t="n"/>
      <c r="G190" s="18" t="n"/>
      <c r="H190" s="18" t="n"/>
      <c r="I190" s="18" t="n"/>
      <c r="J190" s="18" t="n"/>
      <c r="K190" s="18" t="n"/>
      <c r="L190" s="18" t="n"/>
      <c r="M190" s="18" t="n"/>
      <c r="N190" s="18" t="n"/>
      <c r="O190" s="18" t="n"/>
      <c r="P190" s="18" t="n"/>
      <c r="Q190" s="18" t="n"/>
      <c r="R190" s="18" t="n"/>
      <c r="S190" s="18" t="n"/>
      <c r="T190" s="18" t="n"/>
      <c r="U190" s="18" t="n"/>
      <c r="V190" s="18" t="n"/>
      <c r="W190" s="18" t="n"/>
    </row>
    <row r="191">
      <c r="A191" s="18" t="n"/>
      <c r="B191" s="18" t="n"/>
      <c r="C191" s="18" t="n"/>
      <c r="D191" s="18" t="n"/>
      <c r="E191" s="18" t="n"/>
      <c r="F191" s="18" t="n"/>
      <c r="G191" s="18" t="n"/>
      <c r="H191" s="18" t="n"/>
      <c r="I191" s="18" t="n"/>
      <c r="J191" s="18" t="n"/>
      <c r="K191" s="18" t="n"/>
      <c r="L191" s="18" t="n"/>
      <c r="M191" s="18" t="n"/>
      <c r="N191" s="18" t="n"/>
      <c r="O191" s="18" t="n"/>
      <c r="P191" s="18" t="n"/>
      <c r="Q191" s="18" t="n"/>
      <c r="R191" s="18" t="n"/>
      <c r="S191" s="18" t="n"/>
      <c r="T191" s="18" t="n"/>
      <c r="U191" s="18" t="n"/>
      <c r="V191" s="18" t="n"/>
      <c r="W191" s="18" t="n"/>
    </row>
    <row r="192">
      <c r="A192" s="18" t="n"/>
      <c r="B192" s="18" t="n"/>
      <c r="C192" s="18" t="n"/>
      <c r="D192" s="18" t="n"/>
      <c r="E192" s="18" t="n"/>
      <c r="F192" s="18" t="n"/>
      <c r="G192" s="18" t="n"/>
      <c r="H192" s="18" t="n"/>
      <c r="I192" s="18" t="n"/>
      <c r="J192" s="18" t="n"/>
      <c r="K192" s="18" t="n"/>
      <c r="L192" s="18" t="n"/>
      <c r="M192" s="18" t="n"/>
      <c r="N192" s="18" t="n"/>
      <c r="O192" s="18" t="n"/>
      <c r="P192" s="18" t="n"/>
      <c r="Q192" s="18" t="n"/>
      <c r="R192" s="18" t="n"/>
      <c r="S192" s="18" t="n"/>
      <c r="T192" s="18" t="n"/>
      <c r="U192" s="18" t="n"/>
      <c r="V192" s="18" t="n"/>
      <c r="W192" s="18" t="n"/>
    </row>
    <row r="193">
      <c r="A193" s="18" t="n"/>
      <c r="B193" s="18" t="n"/>
      <c r="C193" s="18" t="n"/>
      <c r="D193" s="18" t="n"/>
      <c r="E193" s="18" t="n"/>
      <c r="F193" s="18" t="n"/>
      <c r="G193" s="18" t="n"/>
      <c r="H193" s="18" t="n"/>
      <c r="I193" s="18" t="n"/>
      <c r="J193" s="18" t="n"/>
      <c r="K193" s="18" t="n"/>
      <c r="L193" s="18" t="n"/>
      <c r="M193" s="18" t="n"/>
      <c r="N193" s="18" t="n"/>
      <c r="O193" s="18" t="n"/>
      <c r="P193" s="18" t="n"/>
      <c r="Q193" s="18" t="n"/>
      <c r="R193" s="18" t="n"/>
      <c r="S193" s="18" t="n"/>
      <c r="T193" s="18" t="n"/>
      <c r="U193" s="18" t="n"/>
      <c r="V193" s="18" t="n"/>
      <c r="W193" s="18" t="n"/>
    </row>
    <row r="194">
      <c r="A194" s="18" t="n"/>
      <c r="B194" s="18" t="n"/>
      <c r="C194" s="18" t="n"/>
      <c r="D194" s="18" t="n"/>
      <c r="E194" s="18" t="n"/>
      <c r="F194" s="18" t="n"/>
      <c r="G194" s="18" t="n"/>
      <c r="H194" s="18" t="n"/>
      <c r="I194" s="18" t="n"/>
      <c r="J194" s="18" t="n"/>
      <c r="K194" s="18" t="n"/>
      <c r="L194" s="18" t="n"/>
      <c r="M194" s="18" t="n"/>
      <c r="N194" s="18" t="n"/>
      <c r="O194" s="18" t="n"/>
      <c r="P194" s="18" t="n"/>
      <c r="Q194" s="18" t="n"/>
      <c r="R194" s="18" t="n"/>
      <c r="S194" s="18" t="n"/>
      <c r="T194" s="18" t="n"/>
      <c r="U194" s="18" t="n"/>
      <c r="V194" s="18" t="n"/>
      <c r="W194" s="18" t="n"/>
    </row>
    <row r="195">
      <c r="A195" s="18" t="n"/>
      <c r="B195" s="18" t="n"/>
      <c r="C195" s="18" t="n"/>
      <c r="D195" s="18" t="n"/>
      <c r="E195" s="18" t="n"/>
      <c r="F195" s="18" t="n"/>
      <c r="G195" s="18" t="n"/>
      <c r="H195" s="18" t="n"/>
      <c r="I195" s="18" t="n"/>
      <c r="J195" s="18" t="n"/>
      <c r="K195" s="18" t="n"/>
      <c r="L195" s="18" t="n"/>
      <c r="M195" s="18" t="n"/>
      <c r="N195" s="18" t="n"/>
      <c r="O195" s="18" t="n"/>
      <c r="P195" s="18" t="n"/>
      <c r="Q195" s="18" t="n"/>
      <c r="R195" s="18" t="n"/>
      <c r="S195" s="18" t="n"/>
      <c r="T195" s="18" t="n"/>
      <c r="U195" s="18" t="n"/>
      <c r="V195" s="18" t="n"/>
      <c r="W195" s="18" t="n"/>
    </row>
    <row r="196">
      <c r="A196" s="18" t="n"/>
      <c r="B196" s="18" t="n"/>
      <c r="C196" s="18" t="n"/>
      <c r="D196" s="18" t="n"/>
      <c r="E196" s="18" t="n"/>
      <c r="F196" s="18" t="n"/>
      <c r="G196" s="18" t="n"/>
      <c r="H196" s="18" t="n"/>
      <c r="I196" s="18" t="n"/>
      <c r="J196" s="18" t="n"/>
      <c r="K196" s="18" t="n"/>
      <c r="L196" s="18" t="n"/>
      <c r="M196" s="18" t="n"/>
      <c r="N196" s="18" t="n"/>
      <c r="O196" s="18" t="n"/>
      <c r="P196" s="18" t="n"/>
      <c r="Q196" s="18" t="n"/>
      <c r="R196" s="18" t="n"/>
      <c r="S196" s="18" t="n"/>
      <c r="T196" s="18" t="n"/>
      <c r="U196" s="18" t="n"/>
      <c r="V196" s="18" t="n"/>
      <c r="W196" s="18" t="n"/>
    </row>
    <row r="197">
      <c r="A197" s="18" t="n"/>
      <c r="B197" s="18" t="n"/>
      <c r="C197" s="18" t="n"/>
      <c r="D197" s="18" t="n"/>
      <c r="E197" s="18" t="n"/>
      <c r="F197" s="18" t="n"/>
      <c r="G197" s="18" t="n"/>
      <c r="H197" s="18" t="n"/>
      <c r="I197" s="18" t="n"/>
      <c r="J197" s="18" t="n"/>
      <c r="K197" s="18" t="n"/>
      <c r="L197" s="18" t="n"/>
      <c r="M197" s="18" t="n"/>
      <c r="N197" s="18" t="n"/>
      <c r="O197" s="18" t="n"/>
      <c r="P197" s="18" t="n"/>
      <c r="Q197" s="18" t="n"/>
      <c r="R197" s="18" t="n"/>
      <c r="S197" s="18" t="n"/>
      <c r="T197" s="18" t="n"/>
      <c r="U197" s="18" t="n"/>
      <c r="V197" s="18" t="n"/>
      <c r="W197" s="18" t="n"/>
    </row>
    <row r="198">
      <c r="A198" s="18" t="n"/>
      <c r="B198" s="18" t="n"/>
      <c r="C198" s="18" t="n"/>
      <c r="D198" s="18" t="n"/>
      <c r="E198" s="18" t="n"/>
      <c r="F198" s="18" t="n"/>
      <c r="G198" s="18" t="n"/>
      <c r="H198" s="18" t="n"/>
      <c r="I198" s="18" t="n"/>
      <c r="J198" s="18" t="n"/>
      <c r="K198" s="18" t="n"/>
      <c r="L198" s="18" t="n"/>
      <c r="M198" s="18" t="n"/>
      <c r="N198" s="18" t="n"/>
      <c r="O198" s="18" t="n"/>
      <c r="P198" s="18" t="n"/>
      <c r="Q198" s="18" t="n"/>
      <c r="R198" s="18" t="n"/>
      <c r="S198" s="18" t="n"/>
      <c r="T198" s="18" t="n"/>
      <c r="U198" s="18" t="n"/>
      <c r="V198" s="18" t="n"/>
      <c r="W198" s="18" t="n"/>
    </row>
    <row r="199">
      <c r="A199" s="18" t="n"/>
      <c r="B199" s="18" t="n"/>
      <c r="C199" s="18" t="n"/>
      <c r="D199" s="18" t="n"/>
      <c r="E199" s="18" t="n"/>
      <c r="F199" s="18" t="n"/>
      <c r="G199" s="18" t="n"/>
      <c r="H199" s="18" t="n"/>
      <c r="I199" s="18" t="n"/>
      <c r="J199" s="18" t="n"/>
      <c r="K199" s="18" t="n"/>
      <c r="L199" s="18" t="n"/>
      <c r="M199" s="18" t="n"/>
      <c r="N199" s="18" t="n"/>
      <c r="O199" s="18" t="n"/>
      <c r="P199" s="18" t="n"/>
      <c r="Q199" s="18" t="n"/>
      <c r="R199" s="18" t="n"/>
      <c r="S199" s="18" t="n"/>
      <c r="T199" s="18" t="n"/>
      <c r="U199" s="18" t="n"/>
      <c r="V199" s="18" t="n"/>
      <c r="W199" s="18" t="n"/>
    </row>
    <row r="200">
      <c r="A200" s="18" t="n"/>
      <c r="B200" s="18" t="n"/>
      <c r="C200" s="18" t="n"/>
      <c r="D200" s="18" t="n"/>
      <c r="E200" s="18" t="n"/>
      <c r="F200" s="18" t="n"/>
      <c r="G200" s="18" t="n"/>
      <c r="H200" s="18" t="n"/>
      <c r="I200" s="18" t="n"/>
      <c r="J200" s="18" t="n"/>
      <c r="K200" s="18" t="n"/>
      <c r="L200" s="18" t="n"/>
      <c r="M200" s="18" t="n"/>
      <c r="N200" s="18" t="n"/>
      <c r="O200" s="18" t="n"/>
      <c r="P200" s="18" t="n"/>
      <c r="Q200" s="18" t="n"/>
      <c r="R200" s="18" t="n"/>
      <c r="S200" s="18" t="n"/>
      <c r="T200" s="18" t="n"/>
      <c r="U200" s="18" t="n"/>
      <c r="V200" s="18" t="n"/>
      <c r="W200" s="18" t="n"/>
    </row>
    <row r="201">
      <c r="A201" s="18" t="n"/>
      <c r="B201" s="18" t="n"/>
      <c r="C201" s="18" t="n"/>
      <c r="D201" s="18" t="n"/>
      <c r="E201" s="18" t="n"/>
      <c r="F201" s="18" t="n"/>
      <c r="G201" s="18" t="n"/>
      <c r="H201" s="18" t="n"/>
      <c r="I201" s="18" t="n"/>
      <c r="J201" s="18" t="n"/>
      <c r="K201" s="18" t="n"/>
      <c r="L201" s="18" t="n"/>
      <c r="M201" s="18" t="n"/>
      <c r="N201" s="18" t="n"/>
      <c r="O201" s="18" t="n"/>
      <c r="P201" s="18" t="n"/>
      <c r="Q201" s="18" t="n"/>
      <c r="R201" s="18" t="n"/>
      <c r="S201" s="18" t="n"/>
      <c r="T201" s="18" t="n"/>
      <c r="U201" s="18" t="n"/>
      <c r="V201" s="18" t="n"/>
      <c r="W201" s="18" t="n"/>
    </row>
    <row r="202">
      <c r="A202" s="18" t="n"/>
      <c r="B202" s="18" t="n"/>
      <c r="C202" s="18" t="n"/>
      <c r="D202" s="18" t="n"/>
      <c r="E202" s="18" t="n"/>
      <c r="F202" s="18" t="n"/>
      <c r="G202" s="18" t="n"/>
      <c r="H202" s="18" t="n"/>
      <c r="I202" s="18" t="n"/>
      <c r="J202" s="18" t="n"/>
      <c r="K202" s="18" t="n"/>
      <c r="L202" s="18" t="n"/>
      <c r="M202" s="18" t="n"/>
      <c r="N202" s="18" t="n"/>
      <c r="O202" s="18" t="n"/>
      <c r="P202" s="18" t="n"/>
      <c r="Q202" s="18" t="n"/>
      <c r="R202" s="18" t="n"/>
      <c r="S202" s="18" t="n"/>
      <c r="T202" s="18" t="n"/>
      <c r="U202" s="18" t="n"/>
      <c r="V202" s="18" t="n"/>
      <c r="W202" s="18" t="n"/>
    </row>
  </sheetData>
  <dataValidations count="6">
    <dataValidation sqref="A2:A202" showDropDown="0" showInputMessage="0" showErrorMessage="0" allowBlank="1" type="list">
      <formula1>"Point,Span"</formula1>
    </dataValidation>
    <dataValidation sqref="E2:E202 H2:H202" showDropDown="0" showInputMessage="0" showErrorMessage="0" allowBlank="1" type="list">
      <formula1>"BCE,CE"</formula1>
    </dataValidation>
    <dataValidation sqref="E2:E202 H2:H202" showDropDown="0" showInputMessage="0" showErrorMessage="0" allowBlank="1" type="list">
      <formula1>"BCE,CE"</formula1>
    </dataValidation>
    <dataValidation sqref="F2:F202 I2:I202" showDropDown="0" showInputMessage="0" showErrorMessage="0" allowBlank="1" type="list">
      <formula1>"exact,approx,before,after,between,unknown,ongoing,undated"</formula1>
    </dataValidation>
    <dataValidation sqref="F2:F202 I2:I202" showDropDown="0" showInputMessage="0" showErrorMessage="0" allowBlank="1" type="list">
      <formula1>"exact,approx,before,after,between,unknown,ongoing,undated"</formula1>
    </dataValidation>
    <dataValidation sqref="O2:O202" showDropDown="0" showInputMessage="0" showErrorMessage="0" allowBlank="1" type="list">
      <formula1>=Categories!$A$2:$A$33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60" customWidth="1" min="2" max="2"/>
    <col width="34" customWidth="1" min="3" max="3"/>
    <col width="12" customWidth="1" min="4" max="4"/>
    <col width="14" customWidth="1" min="5" max="5"/>
    <col width="14" customWidth="1" min="6" max="6"/>
  </cols>
  <sheetData>
    <row r="1" ht="32" customHeight="1">
      <c r="A1" s="6" t="inlineStr">
        <is>
          <t>Document ID</t>
        </is>
      </c>
      <c r="B1" s="6" t="inlineStr">
        <is>
          <t>Title</t>
        </is>
      </c>
      <c r="C1" s="6" t="inlineStr">
        <is>
          <t>Publication</t>
        </is>
      </c>
      <c r="D1" s="6" t="inlineStr">
        <is>
          <t>Records citing it</t>
        </is>
      </c>
      <c r="E1" s="6" t="inlineStr">
        <is>
          <t>English link</t>
        </is>
      </c>
      <c r="F1" s="6" t="inlineStr">
        <is>
          <t>Tamil link</t>
        </is>
      </c>
    </row>
    <row r="2">
      <c r="A2" s="15" t="inlineStr">
        <is>
          <t>1101990130</t>
        </is>
      </c>
      <c r="B2" s="15" t="inlineStr">
        <is>
          <t>Study Number 3—Measuring Events in the Stream of Time</t>
        </is>
      </c>
      <c r="C2" s="15" t="inlineStr">
        <is>
          <t>All Scripture Is Inspired (si)</t>
        </is>
      </c>
      <c r="D2" s="15" t="n">
        <v>364</v>
      </c>
      <c r="E2" s="19" t="inlineStr">
        <is>
          <t>open</t>
        </is>
      </c>
      <c r="F2" s="19" t="inlineStr">
        <is>
          <t>open</t>
        </is>
      </c>
    </row>
    <row r="3">
      <c r="A3" s="15" t="inlineStr">
        <is>
          <t>1200000970</t>
        </is>
      </c>
      <c r="B3" s="15" t="inlineStr">
        <is>
          <t>Chronology</t>
        </is>
      </c>
      <c r="C3" s="15" t="inlineStr">
        <is>
          <t>Insight on the Scriptures (it-1)</t>
        </is>
      </c>
      <c r="D3" s="15" t="n">
        <v>203</v>
      </c>
      <c r="E3" s="19" t="inlineStr">
        <is>
          <t>open</t>
        </is>
      </c>
      <c r="F3" s="15" t="n"/>
    </row>
    <row r="4">
      <c r="A4" s="15" t="inlineStr">
        <is>
          <t>1200002451</t>
        </is>
      </c>
      <c r="B4" s="15" t="inlineStr">
        <is>
          <t>Jesus Christ</t>
        </is>
      </c>
      <c r="C4" s="15" t="inlineStr">
        <is>
          <t>Insight on the Scriptures (it-2)</t>
        </is>
      </c>
      <c r="D4" s="15" t="n">
        <v>184</v>
      </c>
      <c r="E4" s="19" t="inlineStr">
        <is>
          <t>open</t>
        </is>
      </c>
      <c r="F4" s="15" t="n"/>
    </row>
    <row r="5">
      <c r="A5" s="15" t="inlineStr">
        <is>
          <t>1200277174</t>
        </is>
      </c>
      <c r="B5" s="15" t="inlineStr">
        <is>
          <t>Beliefs Clarified</t>
        </is>
      </c>
      <c r="C5" s="15" t="inlineStr">
        <is>
          <t>Watch Tower Publications Index 1986-2026 (dx86-26)</t>
        </is>
      </c>
      <c r="D5" s="15" t="n">
        <v>171</v>
      </c>
      <c r="E5" s="19" t="inlineStr">
        <is>
          <t>open</t>
        </is>
      </c>
      <c r="F5" s="15" t="n"/>
    </row>
    <row r="6">
      <c r="A6" s="15" t="inlineStr">
        <is>
          <t>1101993046</t>
        </is>
      </c>
      <c r="B6" s="15" t="inlineStr">
        <is>
          <t>Noteworthy Events in the Modern-day History of Jehovah’s Witnesses</t>
        </is>
      </c>
      <c r="C6" s="15" t="inlineStr">
        <is>
          <t>Proclaimers (jv), Noteworthy Events table</t>
        </is>
      </c>
      <c r="D6" s="15" t="n">
        <v>141</v>
      </c>
      <c r="E6" s="19" t="inlineStr">
        <is>
          <t>open</t>
        </is>
      </c>
      <c r="F6" s="15" t="n"/>
    </row>
    <row r="7">
      <c r="A7" s="15" t="inlineStr">
        <is>
          <t>1001070071</t>
        </is>
      </c>
      <c r="B7" s="15" t="inlineStr">
        <is>
          <t>Table of the Books of the Bible</t>
        </is>
      </c>
      <c r="C7" s="15" t="inlineStr">
        <is>
          <t>NWT Study Edition (nwtsty) — Table of the Books of the Bible</t>
        </is>
      </c>
      <c r="D7" s="15" t="n">
        <v>132</v>
      </c>
      <c r="E7" s="19" t="inlineStr">
        <is>
          <t>open</t>
        </is>
      </c>
      <c r="F7" s="19" t="inlineStr">
        <is>
          <t>open</t>
        </is>
      </c>
    </row>
    <row r="8">
      <c r="A8" s="15" t="inlineStr">
        <is>
          <t>1001060002</t>
        </is>
      </c>
      <c r="B8" s="15" t="inlineStr">
        <is>
          <t>Table of the Books of the Bible</t>
        </is>
      </c>
      <c r="C8" s="15" t="inlineStr">
        <is>
          <t>NWT Reference Bible (Rbi8) pp. 12-13 — Table of the Books of the Bible</t>
        </is>
      </c>
      <c r="D8" s="15" t="n">
        <v>80</v>
      </c>
      <c r="E8" s="19" t="inlineStr">
        <is>
          <t>open</t>
        </is>
      </c>
      <c r="F8" s="15" t="n"/>
    </row>
    <row r="9">
      <c r="A9" s="15" t="inlineStr">
        <is>
          <t>1200271388</t>
        </is>
      </c>
      <c r="B9" s="15" t="inlineStr">
        <is>
          <t>Conventions</t>
        </is>
      </c>
      <c r="C9" s="15" t="inlineStr">
        <is>
          <t>Watch Tower Publications Index 1986-2026 (dx86-26)</t>
        </is>
      </c>
      <c r="D9" s="15" t="n">
        <v>80</v>
      </c>
      <c r="E9" s="19" t="inlineStr">
        <is>
          <t>open</t>
        </is>
      </c>
      <c r="F9" s="15" t="n"/>
    </row>
    <row r="10">
      <c r="A10" s="15" t="inlineStr">
        <is>
          <t>1102009041</t>
        </is>
      </c>
      <c r="B10" s="15" t="inlineStr">
        <is>
          <t>“Go . . . and Make Disciples” (box: Important Dates in the Spread of Christianity During the First Century C.E.)</t>
        </is>
      </c>
      <c r="C10" s="15" t="inlineStr">
        <is>
          <t>“Bearing Thorough Witness” (bt) ch. 1 chart</t>
        </is>
      </c>
      <c r="D10" s="15" t="n">
        <v>64</v>
      </c>
      <c r="E10" s="19" t="inlineStr">
        <is>
          <t>open</t>
        </is>
      </c>
      <c r="F10" s="19" t="inlineStr">
        <is>
          <t>open</t>
        </is>
      </c>
    </row>
    <row r="11">
      <c r="A11" s="15" t="inlineStr">
        <is>
          <t>1001070206</t>
        </is>
      </c>
      <c r="B11" s="15" t="inlineStr">
        <is>
          <t>A6-A Chart: Prophets and Kings of Judah and of Israel (Part 1)</t>
        </is>
      </c>
      <c r="C11" s="15" t="inlineStr">
        <is>
          <t>NWT Study Edition App. A6-A</t>
        </is>
      </c>
      <c r="D11" s="15" t="n">
        <v>54</v>
      </c>
      <c r="E11" s="19" t="inlineStr">
        <is>
          <t>open</t>
        </is>
      </c>
      <c r="F11" s="19" t="inlineStr">
        <is>
          <t>open</t>
        </is>
      </c>
    </row>
    <row r="12">
      <c r="A12" s="15" t="inlineStr">
        <is>
          <t>1200271562</t>
        </is>
      </c>
      <c r="B12" s="15" t="inlineStr">
        <is>
          <t>Dates (Calendar)</t>
        </is>
      </c>
      <c r="C12" s="15" t="inlineStr">
        <is>
          <t>Watch Tower Publications Index</t>
        </is>
      </c>
      <c r="D12" s="15" t="n">
        <v>53</v>
      </c>
      <c r="E12" s="19" t="inlineStr">
        <is>
          <t>open</t>
        </is>
      </c>
      <c r="F12" s="15" t="n"/>
    </row>
    <row r="13">
      <c r="A13" s="15" t="inlineStr">
        <is>
          <t>1102014241</t>
        </is>
      </c>
      <c r="B13" s="15" t="inlineStr">
        <is>
          <t>The Kingdom Is Born in Heaven</t>
        </is>
      </c>
      <c r="C13" s="15" t="inlineStr">
        <is>
          <t>God’s Kingdom Rules! (kr) ch. 2</t>
        </is>
      </c>
      <c r="D13" s="15" t="n">
        <v>50</v>
      </c>
      <c r="E13" s="19" t="inlineStr">
        <is>
          <t>open</t>
        </is>
      </c>
      <c r="F13" s="19" t="inlineStr">
        <is>
          <t>open</t>
        </is>
      </c>
    </row>
    <row r="14">
      <c r="A14" s="15" t="inlineStr">
        <is>
          <t>1001061215</t>
        </is>
      </c>
      <c r="B14" s="15" t="inlineStr">
        <is>
          <t>A6-B Chart: Prophets and Kings of Judah and of Israel (Part 2)</t>
        </is>
      </c>
      <c r="C14" s="15" t="inlineStr">
        <is>
          <t>NWT App. A6-B</t>
        </is>
      </c>
      <c r="D14" s="15" t="n">
        <v>49</v>
      </c>
      <c r="E14" s="19" t="inlineStr">
        <is>
          <t>open</t>
        </is>
      </c>
      <c r="F14" s="19" t="inlineStr">
        <is>
          <t>open</t>
        </is>
      </c>
    </row>
    <row r="15">
      <c r="A15" s="15" t="inlineStr">
        <is>
          <t>1102014255</t>
        </is>
      </c>
      <c r="B15" s="15" t="inlineStr">
        <is>
          <t>Meeting Together for Worship</t>
        </is>
      </c>
      <c r="C15" s="15" t="inlineStr">
        <is>
          <t>God’s Kingdom Rules! (kr) ch. 16</t>
        </is>
      </c>
      <c r="D15" s="15" t="n">
        <v>40</v>
      </c>
      <c r="E15" s="19" t="inlineStr">
        <is>
          <t>open</t>
        </is>
      </c>
      <c r="F15" s="19" t="inlineStr">
        <is>
          <t>open</t>
        </is>
      </c>
    </row>
    <row r="16">
      <c r="A16" s="15" t="inlineStr">
        <is>
          <t>1101993006</t>
        </is>
      </c>
      <c r="B16" s="15" t="inlineStr">
        <is>
          <t>Proclaiming the Lord’s Return (1870-1914)</t>
        </is>
      </c>
      <c r="C16" s="15" t="inlineStr">
        <is>
          <t>Proclaimers (jv) chap. 5</t>
        </is>
      </c>
      <c r="D16" s="15" t="n">
        <v>36</v>
      </c>
      <c r="E16" s="19" t="inlineStr">
        <is>
          <t>open</t>
        </is>
      </c>
      <c r="F16" s="15" t="n"/>
    </row>
    <row r="17">
      <c r="A17" s="15" t="inlineStr">
        <is>
          <t>1200004359</t>
        </is>
      </c>
      <c r="B17" s="15" t="inlineStr">
        <is>
          <t>Temple</t>
        </is>
      </c>
      <c r="C17" s="15" t="inlineStr">
        <is>
          <t>Insight (it-2) "Temple"</t>
        </is>
      </c>
      <c r="D17" s="15" t="n">
        <v>31</v>
      </c>
      <c r="E17" s="19" t="inlineStr">
        <is>
          <t>open</t>
        </is>
      </c>
      <c r="F17" s="15" t="n"/>
    </row>
    <row r="18">
      <c r="A18" s="15" t="inlineStr">
        <is>
          <t>1101999032</t>
        </is>
      </c>
      <c r="B18" s="15" t="inlineStr">
        <is>
          <t>Two Kings in Conflict</t>
        </is>
      </c>
      <c r="C18" s="15" t="inlineStr">
        <is>
          <t>Pay Attention to Daniel's Prophecy! (dp) ch. 13</t>
        </is>
      </c>
      <c r="D18" s="15" t="n">
        <v>30</v>
      </c>
      <c r="E18" s="19" t="inlineStr">
        <is>
          <t>open</t>
        </is>
      </c>
      <c r="F18" s="19" t="inlineStr">
        <is>
          <t>open</t>
        </is>
      </c>
    </row>
    <row r="19">
      <c r="A19" s="15" t="inlineStr">
        <is>
          <t>1102014247</t>
        </is>
      </c>
      <c r="B19" s="15" t="inlineStr">
        <is>
          <t>Tools for Preaching—Producing Literature for the Worldwide Field</t>
        </is>
      </c>
      <c r="C19" s="15" t="inlineStr">
        <is>
          <t>God’s Kingdom Rules! (kr) ch. 8</t>
        </is>
      </c>
      <c r="D19" s="15" t="n">
        <v>30</v>
      </c>
      <c r="E19" s="19" t="inlineStr">
        <is>
          <t>open</t>
        </is>
      </c>
      <c r="F19" s="19" t="inlineStr">
        <is>
          <t>open</t>
        </is>
      </c>
    </row>
    <row r="20">
      <c r="A20" s="15" t="inlineStr">
        <is>
          <t>1101999023</t>
        </is>
      </c>
      <c r="B20" s="15" t="inlineStr">
        <is>
          <t>The Rise and Fall of an Immense Image</t>
        </is>
      </c>
      <c r="C20" s="15" t="inlineStr">
        <is>
          <t>Pay Attention to Daniel’s Prophecy! (dp chap. 4 pp. 46-67)</t>
        </is>
      </c>
      <c r="D20" s="15" t="n">
        <v>29</v>
      </c>
      <c r="E20" s="19" t="inlineStr">
        <is>
          <t>open</t>
        </is>
      </c>
      <c r="F20" s="19" t="inlineStr">
        <is>
          <t>open</t>
        </is>
      </c>
    </row>
    <row r="21">
      <c r="A21" s="15" t="inlineStr">
        <is>
          <t>1200010959</t>
        </is>
      </c>
      <c r="B21" s="15" t="inlineStr">
        <is>
          <t>Chronology</t>
        </is>
      </c>
      <c r="C21" s="15" t="inlineStr">
        <is>
          <t>Aid to Bible Understanding (1971)</t>
        </is>
      </c>
      <c r="D21" s="15" t="n">
        <v>28</v>
      </c>
      <c r="E21" s="19" t="inlineStr">
        <is>
          <t>open</t>
        </is>
      </c>
      <c r="F21" s="15" t="n"/>
    </row>
    <row r="22">
      <c r="A22" s="15" t="inlineStr">
        <is>
          <t>1001070209</t>
        </is>
      </c>
      <c r="B22" s="15" t="inlineStr">
        <is>
          <t>A7-C Main Events of Jesus’ Earthly Life—Jesus’ Great Ministry in Galilee (Part 1)</t>
        </is>
      </c>
      <c r="C22" s="15" t="inlineStr">
        <is>
          <t>NWT Study Edition (nwtsty) App. A7-C</t>
        </is>
      </c>
      <c r="D22" s="15" t="n">
        <v>28</v>
      </c>
      <c r="E22" s="19" t="inlineStr">
        <is>
          <t>open</t>
        </is>
      </c>
      <c r="F22" s="19" t="inlineStr">
        <is>
          <t>open</t>
        </is>
      </c>
    </row>
    <row r="23">
      <c r="A23" s="15" t="inlineStr">
        <is>
          <t>1001061209</t>
        </is>
      </c>
      <c r="B23" s="15" t="inlineStr">
        <is>
          <t>A7-C Main Events of Jesus’ Earthly Life—Jesus’ Great Ministry in Galilee (Part 1)</t>
        </is>
      </c>
      <c r="C23" s="15" t="inlineStr">
        <is>
          <t>New World Translation (nwt) App. A7-C (identical table)</t>
        </is>
      </c>
      <c r="D23" s="15" t="n">
        <v>28</v>
      </c>
      <c r="E23" s="19" t="inlineStr">
        <is>
          <t>open</t>
        </is>
      </c>
      <c r="F23" s="19" t="inlineStr">
        <is>
          <t>open</t>
        </is>
      </c>
    </row>
    <row r="24">
      <c r="A24" s="15" t="inlineStr">
        <is>
          <t>1101990045</t>
        </is>
      </c>
      <c r="B24" s="15" t="inlineStr">
        <is>
          <t>The Reformation—The Search Took a New Turn</t>
        </is>
      </c>
      <c r="C24" s="15" t="inlineStr">
        <is>
          <t>Mankind's Search for God (sh) chap. 13</t>
        </is>
      </c>
      <c r="D24" s="15" t="n">
        <v>28</v>
      </c>
      <c r="E24" s="19" t="inlineStr">
        <is>
          <t>open</t>
        </is>
      </c>
      <c r="F24" s="19" t="inlineStr">
        <is>
          <t>open</t>
        </is>
      </c>
    </row>
    <row r="25">
      <c r="A25" s="15" t="inlineStr">
        <is>
          <t>1101993012</t>
        </is>
      </c>
      <c r="B25" s="15" t="inlineStr">
        <is>
          <t>Growing in Accurate Knowledge of the Truth</t>
        </is>
      </c>
      <c r="C25" s="15" t="inlineStr">
        <is>
          <t>Proclaimers (jv) ch. 10</t>
        </is>
      </c>
      <c r="D25" s="15" t="n">
        <v>28</v>
      </c>
      <c r="E25" s="19" t="inlineStr">
        <is>
          <t>open</t>
        </is>
      </c>
      <c r="F25" s="15" t="n"/>
    </row>
    <row r="26">
      <c r="A26" s="15" t="inlineStr">
        <is>
          <t>1001070211</t>
        </is>
      </c>
      <c r="B26" s="15" t="inlineStr">
        <is>
          <t>A7-E Main Events of Jesus’ Earthly Life—Jesus’ Great Ministry in Galilee (Part 3) and in Judea</t>
        </is>
      </c>
      <c r="C26" s="15" t="inlineStr">
        <is>
          <t>NWT Study Edition (nwtsty) App. A7-E</t>
        </is>
      </c>
      <c r="D26" s="15" t="n">
        <v>27</v>
      </c>
      <c r="E26" s="19" t="inlineStr">
        <is>
          <t>open</t>
        </is>
      </c>
      <c r="F26" s="19" t="inlineStr">
        <is>
          <t>open</t>
        </is>
      </c>
    </row>
    <row r="27">
      <c r="A27" s="15" t="inlineStr">
        <is>
          <t>1001061211</t>
        </is>
      </c>
      <c r="B27" s="15" t="inlineStr">
        <is>
          <t>A7-E Main Events of Jesus’ Earthly Life—Jesus’ Great Ministry in Galilee (Part 3) and in Judea</t>
        </is>
      </c>
      <c r="C27" s="15" t="inlineStr">
        <is>
          <t>New World Translation (nwt) App. A7-E (identical table)</t>
        </is>
      </c>
      <c r="D27" s="15" t="n">
        <v>27</v>
      </c>
      <c r="E27" s="19" t="inlineStr">
        <is>
          <t>open</t>
        </is>
      </c>
      <c r="F27" s="19" t="inlineStr">
        <is>
          <t>open</t>
        </is>
      </c>
    </row>
    <row r="28">
      <c r="A28" s="15" t="inlineStr">
        <is>
          <t>1997685</t>
        </is>
      </c>
      <c r="B28" s="15" t="inlineStr">
        <is>
          <t>Part Two—How the Bible Came to Us</t>
        </is>
      </c>
      <c r="C28" s="15" t="inlineStr">
        <is>
          <t>Watchtower 1997 9/15</t>
        </is>
      </c>
      <c r="D28" s="15" t="n">
        <v>27</v>
      </c>
      <c r="E28" s="19" t="inlineStr">
        <is>
          <t>open</t>
        </is>
      </c>
      <c r="F28" s="19" t="inlineStr">
        <is>
          <t>open</t>
        </is>
      </c>
    </row>
    <row r="29">
      <c r="A29" s="15" t="inlineStr">
        <is>
          <t>1101993018</t>
        </is>
      </c>
      <c r="B29" s="15" t="inlineStr">
        <is>
          <t>Development of the Organization Structure</t>
        </is>
      </c>
      <c r="C29" s="15" t="inlineStr">
        <is>
          <t>Proclaimers (jv) ch. 15</t>
        </is>
      </c>
      <c r="D29" s="15" t="n">
        <v>27</v>
      </c>
      <c r="E29" s="19" t="inlineStr">
        <is>
          <t>open</t>
        </is>
      </c>
      <c r="F29" s="15" t="n"/>
    </row>
    <row r="30">
      <c r="A30" s="15" t="inlineStr">
        <is>
          <t>1200003406</t>
        </is>
      </c>
      <c r="B30" s="15" t="inlineStr">
        <is>
          <t>Paul</t>
        </is>
      </c>
      <c r="C30" s="15" t="inlineStr">
        <is>
          <t>Insight (it-2)</t>
        </is>
      </c>
      <c r="D30" s="15" t="n">
        <v>25</v>
      </c>
      <c r="E30" s="19" t="inlineStr">
        <is>
          <t>open</t>
        </is>
      </c>
      <c r="F30" s="15" t="n"/>
    </row>
    <row r="31">
      <c r="A31" s="15" t="inlineStr">
        <is>
          <t>1102014246</t>
        </is>
      </c>
      <c r="B31" s="15" t="inlineStr">
        <is>
          <t>Methods of Preaching—Using Every Means to Reach People</t>
        </is>
      </c>
      <c r="C31" s="15" t="inlineStr">
        <is>
          <t>God’s Kingdom Rules! (kr) ch. 7</t>
        </is>
      </c>
      <c r="D31" s="15" t="n">
        <v>25</v>
      </c>
      <c r="E31" s="19" t="inlineStr">
        <is>
          <t>open</t>
        </is>
      </c>
      <c r="F31" s="19" t="inlineStr">
        <is>
          <t>open</t>
        </is>
      </c>
    </row>
    <row r="32">
      <c r="A32" s="15" t="inlineStr">
        <is>
          <t>1101993008</t>
        </is>
      </c>
      <c r="B32" s="15" t="inlineStr">
        <is>
          <t>Advertise the King and the Kingdom! (1919-1941)</t>
        </is>
      </c>
      <c r="C32" s="15" t="inlineStr">
        <is>
          <t>Proclaimers (jv) ch. 7</t>
        </is>
      </c>
      <c r="D32" s="15" t="n">
        <v>25</v>
      </c>
      <c r="E32" s="19" t="inlineStr">
        <is>
          <t>open</t>
        </is>
      </c>
      <c r="F32" s="15" t="n"/>
    </row>
    <row r="33">
      <c r="A33" s="15" t="inlineStr">
        <is>
          <t>1102014252</t>
        </is>
      </c>
      <c r="B33" s="15" t="inlineStr">
        <is>
          <t>Kingdom Preachers Take Their Case to Court</t>
        </is>
      </c>
      <c r="C33" s="15" t="inlineStr">
        <is>
          <t>God’s Kingdom Rules! (kr) ch. 13</t>
        </is>
      </c>
      <c r="D33" s="15" t="n">
        <v>25</v>
      </c>
      <c r="E33" s="19" t="inlineStr">
        <is>
          <t>open</t>
        </is>
      </c>
      <c r="F33" s="19" t="inlineStr">
        <is>
          <t>open</t>
        </is>
      </c>
    </row>
    <row r="34">
      <c r="A34" s="15" t="inlineStr">
        <is>
          <t>1001070212</t>
        </is>
      </c>
      <c r="B34" s="15" t="inlineStr">
        <is>
          <t>A7-F Main Events of Jesus’ Earthly Life—Jesus’ Later Ministry East of the Jordan</t>
        </is>
      </c>
      <c r="C34" s="15" t="inlineStr">
        <is>
          <t>NWT Study Edition (nwtsty) App. A7-F</t>
        </is>
      </c>
      <c r="D34" s="15" t="n">
        <v>24</v>
      </c>
      <c r="E34" s="19" t="inlineStr">
        <is>
          <t>open</t>
        </is>
      </c>
      <c r="F34" s="19" t="inlineStr">
        <is>
          <t>open</t>
        </is>
      </c>
    </row>
    <row r="35">
      <c r="A35" s="15" t="inlineStr">
        <is>
          <t>1001061212</t>
        </is>
      </c>
      <c r="B35" s="15" t="inlineStr">
        <is>
          <t>A7-F Main Events of Jesus’ Earthly Life—Jesus’ Later Ministry East of the Jordan</t>
        </is>
      </c>
      <c r="C35" s="15" t="inlineStr">
        <is>
          <t>New World Translation (nwt) App. A7-F (identical table)</t>
        </is>
      </c>
      <c r="D35" s="15" t="n">
        <v>24</v>
      </c>
      <c r="E35" s="19" t="inlineStr">
        <is>
          <t>open</t>
        </is>
      </c>
      <c r="F35" s="19" t="inlineStr">
        <is>
          <t>open</t>
        </is>
      </c>
    </row>
    <row r="36">
      <c r="A36" s="15" t="inlineStr">
        <is>
          <t>1101993019</t>
        </is>
      </c>
      <c r="B36" s="15" t="inlineStr">
        <is>
          <t>Meetings for Worship, Instruction, and Encouragement</t>
        </is>
      </c>
      <c r="C36" s="15" t="inlineStr">
        <is>
          <t>Proclaimers (jv) ch. 16</t>
        </is>
      </c>
      <c r="D36" s="15" t="n">
        <v>24</v>
      </c>
      <c r="E36" s="19" t="inlineStr">
        <is>
          <t>open</t>
        </is>
      </c>
      <c r="F36" s="15" t="n"/>
    </row>
    <row r="37">
      <c r="A37" s="15" t="inlineStr">
        <is>
          <t>1102025962</t>
        </is>
      </c>
      <c r="B37" s="15" t="inlineStr">
        <is>
          <t>Section 1 Timeline</t>
        </is>
      </c>
      <c r="C37" s="15" t="inlineStr">
        <is>
          <t>wcg (2025)</t>
        </is>
      </c>
      <c r="D37" s="15" t="n">
        <v>23</v>
      </c>
      <c r="E37" s="19" t="inlineStr">
        <is>
          <t>open</t>
        </is>
      </c>
      <c r="F37" s="19" t="inlineStr">
        <is>
          <t>open</t>
        </is>
      </c>
    </row>
    <row r="38">
      <c r="A38" s="15" t="inlineStr">
        <is>
          <t>1200002436</t>
        </is>
      </c>
      <c r="B38" s="15" t="inlineStr">
        <is>
          <t>Jerusalem</t>
        </is>
      </c>
      <c r="C38" s="15" t="inlineStr">
        <is>
          <t>Insight on the Scriptures, Vol. 2 (it-2 “Jerusalem”)</t>
        </is>
      </c>
      <c r="D38" s="15" t="n">
        <v>23</v>
      </c>
      <c r="E38" s="19" t="inlineStr">
        <is>
          <t>open</t>
        </is>
      </c>
      <c r="F38" s="15" t="n"/>
    </row>
    <row r="39">
      <c r="A39" s="15" t="inlineStr">
        <is>
          <t>1001070214</t>
        </is>
      </c>
      <c r="B39" s="15" t="inlineStr">
        <is>
          <t>A7-H Main Events of Jesus’ Earthly Life—Jesus’ Final Ministry in Jerusalem (Part 2)</t>
        </is>
      </c>
      <c r="C39" s="15" t="inlineStr">
        <is>
          <t>NWT Study Edition (nwtsty) App. A7-H</t>
        </is>
      </c>
      <c r="D39" s="15" t="n">
        <v>23</v>
      </c>
      <c r="E39" s="19" t="inlineStr">
        <is>
          <t>open</t>
        </is>
      </c>
      <c r="F39" s="19" t="inlineStr">
        <is>
          <t>open</t>
        </is>
      </c>
    </row>
    <row r="40">
      <c r="A40" s="15" t="inlineStr">
        <is>
          <t>1001070213</t>
        </is>
      </c>
      <c r="B40" s="15" t="inlineStr">
        <is>
          <t>A7-G Main Events of Jesus’ Earthly Life—Jesus’ Final Ministry in Jerusalem (Part 1)</t>
        </is>
      </c>
      <c r="C40" s="15" t="inlineStr">
        <is>
          <t>NWT Study Edition (nwtsty) App. A7-G</t>
        </is>
      </c>
      <c r="D40" s="15" t="n">
        <v>22</v>
      </c>
      <c r="E40" s="19" t="inlineStr">
        <is>
          <t>open</t>
        </is>
      </c>
      <c r="F40" s="19" t="inlineStr">
        <is>
          <t>open</t>
        </is>
      </c>
    </row>
    <row r="41">
      <c r="A41" s="15" t="inlineStr">
        <is>
          <t>1001061213</t>
        </is>
      </c>
      <c r="B41" s="15" t="inlineStr">
        <is>
          <t>A7-G Main Events of Jesus’ Earthly Life—Jesus’ Final Ministry in Jerusalem (Part 1)</t>
        </is>
      </c>
      <c r="C41" s="15" t="inlineStr">
        <is>
          <t>New World Translation (nwt) App. A7-G (identical table)</t>
        </is>
      </c>
      <c r="D41" s="15" t="n">
        <v>22</v>
      </c>
      <c r="E41" s="19" t="inlineStr">
        <is>
          <t>open</t>
        </is>
      </c>
      <c r="F41" s="19" t="inlineStr">
        <is>
          <t>open</t>
        </is>
      </c>
    </row>
    <row r="42">
      <c r="A42" s="15" t="inlineStr">
        <is>
          <t>1200002893</t>
        </is>
      </c>
      <c r="B42" s="15" t="inlineStr">
        <is>
          <t>Manuscripts of the Bible</t>
        </is>
      </c>
      <c r="C42" s="15" t="inlineStr">
        <is>
          <t>Insight (it-2) "Manuscripts of the Bible"</t>
        </is>
      </c>
      <c r="D42" s="15" t="n">
        <v>22</v>
      </c>
      <c r="E42" s="19" t="inlineStr">
        <is>
          <t>open</t>
        </is>
      </c>
      <c r="F42" s="15" t="n"/>
    </row>
    <row r="43">
      <c r="A43" s="15" t="inlineStr">
        <is>
          <t>1200003447</t>
        </is>
      </c>
      <c r="B43" s="15" t="inlineStr">
        <is>
          <t>Persia, Persians</t>
        </is>
      </c>
      <c r="C43" s="15" t="inlineStr">
        <is>
          <t>Insight on the Scriptures</t>
        </is>
      </c>
      <c r="D43" s="15" t="n">
        <v>21</v>
      </c>
      <c r="E43" s="19" t="inlineStr">
        <is>
          <t>open</t>
        </is>
      </c>
      <c r="F43" s="15" t="n"/>
    </row>
    <row r="44">
      <c r="A44" s="15" t="inlineStr">
        <is>
          <t>1200000852</t>
        </is>
      </c>
      <c r="B44" s="15" t="inlineStr">
        <is>
          <t>Caesar</t>
        </is>
      </c>
      <c r="C44" s="15" t="inlineStr">
        <is>
          <t>Insight on the Scriptures</t>
        </is>
      </c>
      <c r="D44" s="15" t="n">
        <v>21</v>
      </c>
      <c r="E44" s="19" t="inlineStr">
        <is>
          <t>open</t>
        </is>
      </c>
      <c r="F44" s="15" t="n"/>
    </row>
    <row r="45">
      <c r="A45" s="15" t="inlineStr">
        <is>
          <t>1001070210</t>
        </is>
      </c>
      <c r="B45" s="15" t="inlineStr">
        <is>
          <t>A7-D Main Events of Jesus’ Earthly Life—Jesus’ Great Ministry in Galilee (Part 2)</t>
        </is>
      </c>
      <c r="C45" s="15" t="inlineStr">
        <is>
          <t>NWT Study Edition (nwtsty) App. A7-D</t>
        </is>
      </c>
      <c r="D45" s="15" t="n">
        <v>21</v>
      </c>
      <c r="E45" s="19" t="inlineStr">
        <is>
          <t>open</t>
        </is>
      </c>
      <c r="F45" s="19" t="inlineStr">
        <is>
          <t>open</t>
        </is>
      </c>
    </row>
    <row r="46">
      <c r="A46" s="15" t="inlineStr">
        <is>
          <t>1001061210</t>
        </is>
      </c>
      <c r="B46" s="15" t="inlineStr">
        <is>
          <t>A7-D Main Events of Jesus’ Earthly Life—Jesus’ Great Ministry in Galilee (Part 2)</t>
        </is>
      </c>
      <c r="C46" s="15" t="inlineStr">
        <is>
          <t>New World Translation (nwt) App. A7-D (identical table)</t>
        </is>
      </c>
      <c r="D46" s="15" t="n">
        <v>21</v>
      </c>
      <c r="E46" s="19" t="inlineStr">
        <is>
          <t>open</t>
        </is>
      </c>
      <c r="F46" s="19" t="inlineStr">
        <is>
          <t>open</t>
        </is>
      </c>
    </row>
    <row r="47">
      <c r="A47" s="15" t="inlineStr">
        <is>
          <t>1001061214</t>
        </is>
      </c>
      <c r="B47" s="15" t="inlineStr">
        <is>
          <t>A7-H Main Events of Jesus’ Earthly Life—Jesus’ Final Ministry in Jerusalem (Part 2)</t>
        </is>
      </c>
      <c r="C47" s="15" t="inlineStr">
        <is>
          <t>New World Translation (nwt) App. A7-H (identical table)</t>
        </is>
      </c>
      <c r="D47" s="15" t="n">
        <v>20</v>
      </c>
      <c r="E47" s="19" t="inlineStr">
        <is>
          <t>open</t>
        </is>
      </c>
      <c r="F47" s="19" t="inlineStr">
        <is>
          <t>open</t>
        </is>
      </c>
    </row>
    <row r="48">
      <c r="A48" s="15" t="inlineStr">
        <is>
          <t>1101990043</t>
        </is>
      </c>
      <c r="B48" s="15" t="inlineStr">
        <is>
          <t>Apostasy—The Way to God Blocked</t>
        </is>
      </c>
      <c r="C48" s="15" t="inlineStr">
        <is>
          <t>Mankind's Search for God (sh) chap. 11</t>
        </is>
      </c>
      <c r="D48" s="15" t="n">
        <v>20</v>
      </c>
      <c r="E48" s="19" t="inlineStr">
        <is>
          <t>open</t>
        </is>
      </c>
      <c r="F48" s="19" t="inlineStr">
        <is>
          <t>open</t>
        </is>
      </c>
    </row>
    <row r="49">
      <c r="A49" s="15" t="inlineStr">
        <is>
          <t>1102000101</t>
        </is>
      </c>
      <c r="B49" s="15" t="inlineStr">
        <is>
          <t>Their Modern Development and Growth</t>
        </is>
      </c>
      <c r="C49" s="15" t="inlineStr">
        <is>
          <t>Jehovah’s Witnesses in the Twentieth Century (jt)</t>
        </is>
      </c>
      <c r="D49" s="15" t="n">
        <v>20</v>
      </c>
      <c r="E49" s="19" t="inlineStr">
        <is>
          <t>open</t>
        </is>
      </c>
      <c r="F49" s="19" t="inlineStr">
        <is>
          <t>open</t>
        </is>
      </c>
    </row>
    <row r="50">
      <c r="A50" s="15" t="inlineStr">
        <is>
          <t>1001070207</t>
        </is>
      </c>
      <c r="B50" s="15" t="inlineStr">
        <is>
          <t>A7-A Main Events of Jesus’ Earthly Life—Leading Up to Jesus’ Ministry</t>
        </is>
      </c>
      <c r="C50" s="15" t="inlineStr">
        <is>
          <t>NWT Study Edition (nwtsty) App. A7-A</t>
        </is>
      </c>
      <c r="D50" s="15" t="n">
        <v>19</v>
      </c>
      <c r="E50" s="19" t="inlineStr">
        <is>
          <t>open</t>
        </is>
      </c>
      <c r="F50" s="19" t="inlineStr">
        <is>
          <t>open</t>
        </is>
      </c>
    </row>
    <row r="51">
      <c r="A51" s="15" t="inlineStr">
        <is>
          <t>1101993040</t>
        </is>
      </c>
      <c r="B51" s="15" t="inlineStr">
        <is>
          <t>“Objects of Hatred by All the Nations”</t>
        </is>
      </c>
      <c r="C51" s="15" t="inlineStr">
        <is>
          <t>Proclaimers (jv) ch. 29</t>
        </is>
      </c>
      <c r="D51" s="15" t="n">
        <v>19</v>
      </c>
      <c r="E51" s="19" t="inlineStr">
        <is>
          <t>open</t>
        </is>
      </c>
      <c r="F51" s="15" t="n"/>
    </row>
    <row r="52">
      <c r="A52" s="15" t="inlineStr">
        <is>
          <t>1102014253</t>
        </is>
      </c>
      <c r="B52" s="15" t="inlineStr">
        <is>
          <t>Loyally Supporting God’s Government and No Other</t>
        </is>
      </c>
      <c r="C52" s="15" t="inlineStr">
        <is>
          <t>God’s Kingdom Rules! (kr) ch. 14</t>
        </is>
      </c>
      <c r="D52" s="15" t="n">
        <v>19</v>
      </c>
      <c r="E52" s="19" t="inlineStr">
        <is>
          <t>open</t>
        </is>
      </c>
      <c r="F52" s="19" t="inlineStr">
        <is>
          <t>open</t>
        </is>
      </c>
    </row>
    <row r="53">
      <c r="A53" s="15" t="inlineStr">
        <is>
          <t>1200004554</t>
        </is>
      </c>
      <c r="B53" s="15" t="inlineStr">
        <is>
          <t>Versions</t>
        </is>
      </c>
      <c r="C53" s="15" t="inlineStr">
        <is>
          <t>Insight on the Scriptures</t>
        </is>
      </c>
      <c r="D53" s="15" t="n">
        <v>18</v>
      </c>
      <c r="E53" s="19" t="inlineStr">
        <is>
          <t>open</t>
        </is>
      </c>
      <c r="F53" s="15" t="n"/>
    </row>
    <row r="54">
      <c r="A54" s="15" t="inlineStr">
        <is>
          <t>1001061207</t>
        </is>
      </c>
      <c r="B54" s="15" t="inlineStr">
        <is>
          <t>A7-A Main Events of Jesus’ Earthly Life—Leading Up to Jesus’ Ministry</t>
        </is>
      </c>
      <c r="C54" s="15" t="inlineStr">
        <is>
          <t>New World Translation (nwt) App. A7-A (identical table)</t>
        </is>
      </c>
      <c r="D54" s="15" t="n">
        <v>18</v>
      </c>
      <c r="E54" s="19" t="inlineStr">
        <is>
          <t>open</t>
        </is>
      </c>
      <c r="F54" s="19" t="inlineStr">
        <is>
          <t>open</t>
        </is>
      </c>
    </row>
    <row r="55">
      <c r="A55" s="15" t="inlineStr">
        <is>
          <t>1997603</t>
        </is>
      </c>
      <c r="B55" s="15" t="inlineStr">
        <is>
          <t>Part One—How the Bible Came to Us</t>
        </is>
      </c>
      <c r="C55" s="15" t="inlineStr">
        <is>
          <t>Watchtower 1997 8/15</t>
        </is>
      </c>
      <c r="D55" s="15" t="n">
        <v>18</v>
      </c>
      <c r="E55" s="19" t="inlineStr">
        <is>
          <t>open</t>
        </is>
      </c>
      <c r="F55" s="19" t="inlineStr">
        <is>
          <t>open</t>
        </is>
      </c>
    </row>
    <row r="56">
      <c r="A56" s="15" t="inlineStr">
        <is>
          <t>101979409</t>
        </is>
      </c>
      <c r="B56" s="15" t="inlineStr">
        <is>
          <t>Translating the Bible in India</t>
        </is>
      </c>
      <c r="C56" s="15" t="inlineStr">
        <is>
          <t>Awake! 1979 6/8</t>
        </is>
      </c>
      <c r="D56" s="15" t="n">
        <v>18</v>
      </c>
      <c r="E56" s="19" t="inlineStr">
        <is>
          <t>open</t>
        </is>
      </c>
      <c r="F56" s="15" t="n"/>
    </row>
    <row r="57">
      <c r="A57" s="15" t="inlineStr">
        <is>
          <t>1200001765</t>
        </is>
      </c>
      <c r="B57" s="15" t="inlineStr">
        <is>
          <t>Greece, Greeks</t>
        </is>
      </c>
      <c r="C57" s="15" t="inlineStr">
        <is>
          <t>Insight on the Scriptures</t>
        </is>
      </c>
      <c r="D57" s="15" t="n">
        <v>17</v>
      </c>
      <c r="E57" s="19" t="inlineStr">
        <is>
          <t>open</t>
        </is>
      </c>
      <c r="F57" s="15" t="n"/>
    </row>
    <row r="58">
      <c r="A58" s="15" t="inlineStr">
        <is>
          <t>1101993041</t>
        </is>
      </c>
      <c r="B58" s="15" t="inlineStr">
        <is>
          <t>‘Defending and Legally Establishing the Good News’</t>
        </is>
      </c>
      <c r="C58" s="15" t="inlineStr">
        <is>
          <t>Proclaimers (jv) ch. 30</t>
        </is>
      </c>
      <c r="D58" s="15" t="n">
        <v>17</v>
      </c>
      <c r="E58" s="19" t="inlineStr">
        <is>
          <t>open</t>
        </is>
      </c>
      <c r="F58" s="15" t="n"/>
    </row>
    <row r="59">
      <c r="A59" s="15" t="inlineStr">
        <is>
          <t>1101999028</t>
        </is>
      </c>
      <c r="B59" s="15" t="inlineStr">
        <is>
          <t>Who Will Rule the World?</t>
        </is>
      </c>
      <c r="C59" s="15" t="inlineStr">
        <is>
          <t>Pay Attention to Daniel's Prophecy! (dp) ch. 9</t>
        </is>
      </c>
      <c r="D59" s="15" t="n">
        <v>16</v>
      </c>
      <c r="E59" s="19" t="inlineStr">
        <is>
          <t>open</t>
        </is>
      </c>
      <c r="F59" s="19" t="inlineStr">
        <is>
          <t>open</t>
        </is>
      </c>
    </row>
    <row r="60">
      <c r="A60" s="15" t="inlineStr">
        <is>
          <t>1101990133</t>
        </is>
      </c>
      <c r="B60" s="15" t="inlineStr">
        <is>
          <t>Study Number 6—The Christian Greek Text of the Holy Scriptures</t>
        </is>
      </c>
      <c r="C60" s="15" t="inlineStr">
        <is>
          <t>"All Scripture" (si) Study 6</t>
        </is>
      </c>
      <c r="D60" s="15" t="n">
        <v>16</v>
      </c>
      <c r="E60" s="19" t="inlineStr">
        <is>
          <t>open</t>
        </is>
      </c>
      <c r="F60" s="19" t="inlineStr">
        <is>
          <t>open</t>
        </is>
      </c>
    </row>
    <row r="61">
      <c r="A61" s="15" t="inlineStr">
        <is>
          <t>1101990134</t>
        </is>
      </c>
      <c r="B61" s="15" t="inlineStr">
        <is>
          <t>Study Number 7—The Bible in Modern Times</t>
        </is>
      </c>
      <c r="C61" s="15" t="inlineStr">
        <is>
          <t>"All Scripture" (si) Study 7</t>
        </is>
      </c>
      <c r="D61" s="15" t="n">
        <v>16</v>
      </c>
      <c r="E61" s="19" t="inlineStr">
        <is>
          <t>open</t>
        </is>
      </c>
      <c r="F61" s="19" t="inlineStr">
        <is>
          <t>open</t>
        </is>
      </c>
    </row>
    <row r="62">
      <c r="A62" s="15" t="inlineStr">
        <is>
          <t>1101993007</t>
        </is>
      </c>
      <c r="B62" s="15" t="inlineStr">
        <is>
          <t>A Time of Testing (1914-1918)</t>
        </is>
      </c>
      <c r="C62" s="15" t="inlineStr">
        <is>
          <t>Proclaimers (jv) ch. 6</t>
        </is>
      </c>
      <c r="D62" s="15" t="n">
        <v>16</v>
      </c>
      <c r="E62" s="19" t="inlineStr">
        <is>
          <t>open</t>
        </is>
      </c>
      <c r="F62" s="15" t="n"/>
    </row>
    <row r="63">
      <c r="A63" s="15" t="inlineStr">
        <is>
          <t>1101997025</t>
        </is>
      </c>
      <c r="B63" s="15" t="inlineStr">
        <is>
          <t>A Book That “Speaks” Living Languages</t>
        </is>
      </c>
      <c r="C63" s="15" t="inlineStr">
        <is>
          <t>A Book for All People (ba)</t>
        </is>
      </c>
      <c r="D63" s="15" t="n">
        <v>15</v>
      </c>
      <c r="E63" s="19" t="inlineStr">
        <is>
          <t>open</t>
        </is>
      </c>
      <c r="F63" s="19" t="inlineStr">
        <is>
          <t>open</t>
        </is>
      </c>
    </row>
    <row r="64">
      <c r="A64" s="15" t="inlineStr">
        <is>
          <t>1101993009</t>
        </is>
      </c>
      <c r="B64" s="15" t="inlineStr">
        <is>
          <t>Declaring the Good News Without Letup (1942-1975)</t>
        </is>
      </c>
      <c r="C64" s="15" t="inlineStr">
        <is>
          <t>Proclaimers (jv) ch. 8</t>
        </is>
      </c>
      <c r="D64" s="15" t="n">
        <v>15</v>
      </c>
      <c r="E64" s="19" t="inlineStr">
        <is>
          <t>open</t>
        </is>
      </c>
      <c r="F64" s="15" t="n"/>
    </row>
    <row r="65">
      <c r="A65" s="15" t="inlineStr">
        <is>
          <t>1102014250</t>
        </is>
      </c>
      <c r="B65" s="15" t="inlineStr">
        <is>
          <t>Moral Refinements—Reflecting God’s Holiness</t>
        </is>
      </c>
      <c r="C65" s="15" t="inlineStr">
        <is>
          <t>God’s Kingdom Rules! (kr) ch. 11</t>
        </is>
      </c>
      <c r="D65" s="15" t="n">
        <v>15</v>
      </c>
      <c r="E65" s="19" t="inlineStr">
        <is>
          <t>open</t>
        </is>
      </c>
      <c r="F65" s="19" t="inlineStr">
        <is>
          <t>open</t>
        </is>
      </c>
    </row>
    <row r="66">
      <c r="A66" s="15" t="inlineStr">
        <is>
          <t>1102014254</t>
        </is>
      </c>
      <c r="B66" s="15" t="inlineStr">
        <is>
          <t>Fighting for Freedom to Worship</t>
        </is>
      </c>
      <c r="C66" s="15" t="inlineStr">
        <is>
          <t>God’s Kingdom Rules! (kr chap. 15 pp. 157-167)</t>
        </is>
      </c>
      <c r="D66" s="15" t="n">
        <v>15</v>
      </c>
      <c r="E66" s="19" t="inlineStr">
        <is>
          <t>open</t>
        </is>
      </c>
      <c r="F66" s="19" t="inlineStr">
        <is>
          <t>open</t>
        </is>
      </c>
    </row>
    <row r="67">
      <c r="A67" s="15" t="inlineStr">
        <is>
          <t>1200000060</t>
        </is>
      </c>
      <c r="B67" s="15" t="inlineStr">
        <is>
          <t>Abraham</t>
        </is>
      </c>
      <c r="C67" s="15" t="inlineStr">
        <is>
          <t>Insight on the Scriptures (it-1)</t>
        </is>
      </c>
      <c r="D67" s="15" t="n">
        <v>14</v>
      </c>
      <c r="E67" s="19" t="inlineStr">
        <is>
          <t>open</t>
        </is>
      </c>
      <c r="F67" s="15" t="n"/>
    </row>
    <row r="68">
      <c r="A68" s="15" t="inlineStr">
        <is>
          <t>1200002000</t>
        </is>
      </c>
      <c r="B68" s="15" t="inlineStr">
        <is>
          <t>Herod</t>
        </is>
      </c>
      <c r="C68" s="15" t="inlineStr">
        <is>
          <t>Insight on the Scriptures</t>
        </is>
      </c>
      <c r="D68" s="15" t="n">
        <v>14</v>
      </c>
      <c r="E68" s="19" t="inlineStr">
        <is>
          <t>open</t>
        </is>
      </c>
      <c r="F68" s="15" t="n"/>
    </row>
    <row r="69">
      <c r="A69" s="15" t="inlineStr">
        <is>
          <t>1001070208</t>
        </is>
      </c>
      <c r="B69" s="15" t="inlineStr">
        <is>
          <t>A7-B Main Events of Jesus’ Earthly Life—The Beginning of Jesus’ Ministry</t>
        </is>
      </c>
      <c r="C69" s="15" t="inlineStr">
        <is>
          <t>New World Translation (Study Edition) (nwtsty)</t>
        </is>
      </c>
      <c r="D69" s="15" t="n">
        <v>14</v>
      </c>
      <c r="E69" s="19" t="inlineStr">
        <is>
          <t>open</t>
        </is>
      </c>
      <c r="F69" s="19" t="inlineStr">
        <is>
          <t>open</t>
        </is>
      </c>
    </row>
    <row r="70">
      <c r="A70" s="15" t="inlineStr">
        <is>
          <t>702023158</t>
        </is>
      </c>
      <c r="B70" s="15" t="inlineStr">
        <is>
          <t>Historic Milestones in the United States</t>
        </is>
      </c>
      <c r="C70" s="15" t="inlineStr">
        <is>
          <t>jw.org Newsroom (Legal / United States)</t>
        </is>
      </c>
      <c r="D70" s="15" t="n">
        <v>14</v>
      </c>
      <c r="E70" s="19" t="inlineStr">
        <is>
          <t>open</t>
        </is>
      </c>
      <c r="F70" s="15" t="n"/>
    </row>
    <row r="71">
      <c r="A71" s="15" t="inlineStr">
        <is>
          <t>1102014244</t>
        </is>
      </c>
      <c r="B71" s="15" t="inlineStr">
        <is>
          <t>The King Shines Light on the Kingdom</t>
        </is>
      </c>
      <c r="C71" s="15" t="inlineStr">
        <is>
          <t>God’s Kingdom Rules! (kr) ch. 5</t>
        </is>
      </c>
      <c r="D71" s="15" t="n">
        <v>14</v>
      </c>
      <c r="E71" s="19" t="inlineStr">
        <is>
          <t>open</t>
        </is>
      </c>
      <c r="F71" s="19" t="inlineStr">
        <is>
          <t>open</t>
        </is>
      </c>
    </row>
    <row r="72">
      <c r="A72" s="15" t="inlineStr">
        <is>
          <t>2025605</t>
        </is>
      </c>
      <c r="B72" s="15" t="inlineStr">
        <is>
          <t>Two New Members of the Governing Body</t>
        </is>
      </c>
      <c r="C72" s="15" t="inlineStr">
        <is>
          <t>The Watchtower (w25 October pp. 30-31)</t>
        </is>
      </c>
      <c r="D72" s="15" t="n">
        <v>14</v>
      </c>
      <c r="E72" s="19" t="inlineStr">
        <is>
          <t>open</t>
        </is>
      </c>
      <c r="F72" s="19" t="inlineStr">
        <is>
          <t>open</t>
        </is>
      </c>
    </row>
    <row r="73">
      <c r="A73" s="15" t="inlineStr">
        <is>
          <t>1001061226</t>
        </is>
      </c>
      <c r="B73" s="15" t="inlineStr">
        <is>
          <t>B6 Settlement of the Promised Land</t>
        </is>
      </c>
      <c r="C73" s="15" t="inlineStr">
        <is>
          <t>New World Translation App. B6</t>
        </is>
      </c>
      <c r="D73" s="15" t="n">
        <v>13</v>
      </c>
      <c r="E73" s="19" t="inlineStr">
        <is>
          <t>open</t>
        </is>
      </c>
      <c r="F73" s="19" t="inlineStr">
        <is>
          <t>open</t>
        </is>
      </c>
    </row>
    <row r="74">
      <c r="A74" s="15" t="inlineStr">
        <is>
          <t>1001061208</t>
        </is>
      </c>
      <c r="B74" s="15" t="inlineStr">
        <is>
          <t>A7-B Main Events of Jesus’ Earthly Life—The Beginning of Jesus’ Ministry</t>
        </is>
      </c>
      <c r="C74" s="15" t="inlineStr">
        <is>
          <t>New World Translation (nwt) App. A7-B (identical table)</t>
        </is>
      </c>
      <c r="D74" s="15" t="n">
        <v>13</v>
      </c>
      <c r="E74" s="19" t="inlineStr">
        <is>
          <t>open</t>
        </is>
      </c>
      <c r="F74" s="19" t="inlineStr">
        <is>
          <t>open</t>
        </is>
      </c>
    </row>
    <row r="75">
      <c r="A75" s="15" t="inlineStr">
        <is>
          <t>1997763</t>
        </is>
      </c>
      <c r="B75" s="15" t="inlineStr">
        <is>
          <t>Part Three—How the Bible Came to Us</t>
        </is>
      </c>
      <c r="C75" s="15" t="inlineStr">
        <is>
          <t>Watchtower 1997 10/15</t>
        </is>
      </c>
      <c r="D75" s="15" t="n">
        <v>13</v>
      </c>
      <c r="E75" s="19" t="inlineStr">
        <is>
          <t>open</t>
        </is>
      </c>
      <c r="F75" s="19" t="inlineStr">
        <is>
          <t>open</t>
        </is>
      </c>
    </row>
    <row r="76">
      <c r="A76" s="15" t="inlineStr">
        <is>
          <t>1102014251</t>
        </is>
      </c>
      <c r="B76" s="15" t="inlineStr">
        <is>
          <t>Organized to Serve “the God of Peace”</t>
        </is>
      </c>
      <c r="C76" s="15" t="inlineStr">
        <is>
          <t>God’s Kingdom Rules! (kr) ch. 12</t>
        </is>
      </c>
      <c r="D76" s="15" t="n">
        <v>13</v>
      </c>
      <c r="E76" s="19" t="inlineStr">
        <is>
          <t>open</t>
        </is>
      </c>
      <c r="F76" s="19" t="inlineStr">
        <is>
          <t>open</t>
        </is>
      </c>
    </row>
    <row r="77">
      <c r="A77" s="15" t="inlineStr">
        <is>
          <t>1101993020</t>
        </is>
      </c>
      <c r="B77" s="15" t="inlineStr">
        <is>
          <t>Conventions Proof of Our Brotherhood</t>
        </is>
      </c>
      <c r="C77" s="15" t="inlineStr">
        <is>
          <t>Proclaimers (jv) ch. 17</t>
        </is>
      </c>
      <c r="D77" s="15" t="n">
        <v>13</v>
      </c>
      <c r="E77" s="19" t="inlineStr">
        <is>
          <t>open</t>
        </is>
      </c>
      <c r="F77" s="15" t="n"/>
    </row>
    <row r="78">
      <c r="A78" s="15" t="inlineStr">
        <is>
          <t>1102014263</t>
        </is>
      </c>
      <c r="B78" s="15" t="inlineStr">
        <is>
          <t>God’s Kingdom Removes Its Enemies</t>
        </is>
      </c>
      <c r="C78" s="15" t="inlineStr">
        <is>
          <t>God’s Kingdom Rules! (kr) chap. 21</t>
        </is>
      </c>
      <c r="D78" s="15" t="n">
        <v>13</v>
      </c>
      <c r="E78" s="19" t="inlineStr">
        <is>
          <t>open</t>
        </is>
      </c>
      <c r="F78" s="19" t="inlineStr">
        <is>
          <t>open</t>
        </is>
      </c>
    </row>
    <row r="79">
      <c r="A79" s="15" t="inlineStr">
        <is>
          <t>1200002545</t>
        </is>
      </c>
      <c r="B79" s="15" t="inlineStr">
        <is>
          <t>Judge</t>
        </is>
      </c>
      <c r="C79" s="15" t="inlineStr">
        <is>
          <t>Insight on the Scriptures (it)</t>
        </is>
      </c>
      <c r="D79" s="15" t="n">
        <v>12</v>
      </c>
      <c r="E79" s="19" t="inlineStr">
        <is>
          <t>open</t>
        </is>
      </c>
      <c r="F79" s="15" t="n"/>
    </row>
    <row r="80">
      <c r="A80" s="15" t="inlineStr">
        <is>
          <t>101997724</t>
        </is>
      </c>
      <c r="B80" s="15" t="inlineStr">
        <is>
          <t>The Crusades—A ‘Tragic Illusion’</t>
        </is>
      </c>
      <c r="C80" s="15" t="inlineStr">
        <is>
          <t>Awake! 1997 10/8</t>
        </is>
      </c>
      <c r="D80" s="15" t="n">
        <v>12</v>
      </c>
      <c r="E80" s="19" t="inlineStr">
        <is>
          <t>open</t>
        </is>
      </c>
      <c r="F80" s="19" t="inlineStr">
        <is>
          <t>open</t>
        </is>
      </c>
    </row>
    <row r="81">
      <c r="A81" s="15" t="inlineStr">
        <is>
          <t>1992442</t>
        </is>
      </c>
      <c r="B81" s="15" t="inlineStr">
        <is>
          <t>The Spanish Bible’s Battle for Survival</t>
        </is>
      </c>
      <c r="C81" s="15" t="inlineStr">
        <is>
          <t>Watchtower 1992 6/15</t>
        </is>
      </c>
      <c r="D81" s="15" t="n">
        <v>12</v>
      </c>
      <c r="E81" s="19" t="inlineStr">
        <is>
          <t>open</t>
        </is>
      </c>
      <c r="F81" s="19" t="inlineStr">
        <is>
          <t>open</t>
        </is>
      </c>
    </row>
    <row r="82">
      <c r="A82" s="15" t="inlineStr">
        <is>
          <t>2003686</t>
        </is>
      </c>
      <c r="B82" s="15" t="inlineStr">
        <is>
          <t>Martin Luther—The Man and His Legacy</t>
        </is>
      </c>
      <c r="C82" s="15" t="inlineStr">
        <is>
          <t>Watchtower 2003 9/15</t>
        </is>
      </c>
      <c r="D82" s="15" t="n">
        <v>12</v>
      </c>
      <c r="E82" s="19" t="inlineStr">
        <is>
          <t>open</t>
        </is>
      </c>
      <c r="F82" s="19" t="inlineStr">
        <is>
          <t>open</t>
        </is>
      </c>
    </row>
    <row r="83">
      <c r="A83" s="15" t="inlineStr">
        <is>
          <t>1101993036</t>
        </is>
      </c>
      <c r="B83" s="15" t="inlineStr">
        <is>
          <t>Producing Bible Literature for Use in the Ministry</t>
        </is>
      </c>
      <c r="C83" s="15" t="inlineStr">
        <is>
          <t>Proclaimers (jv) ch. 25</t>
        </is>
      </c>
      <c r="D83" s="15" t="n">
        <v>12</v>
      </c>
      <c r="E83" s="19" t="inlineStr">
        <is>
          <t>open</t>
        </is>
      </c>
      <c r="F83" s="15" t="n"/>
    </row>
    <row r="84">
      <c r="A84" s="15" t="inlineStr">
        <is>
          <t>1102014243</t>
        </is>
      </c>
      <c r="B84" s="15" t="inlineStr">
        <is>
          <t>Jehovah Exalts His Name</t>
        </is>
      </c>
      <c r="C84" s="15" t="inlineStr">
        <is>
          <t>God’s Kingdom Rules! (kr) ch. 4</t>
        </is>
      </c>
      <c r="D84" s="15" t="n">
        <v>12</v>
      </c>
      <c r="E84" s="19" t="inlineStr">
        <is>
          <t>open</t>
        </is>
      </c>
      <c r="F84" s="19" t="inlineStr">
        <is>
          <t>open</t>
        </is>
      </c>
    </row>
    <row r="85">
      <c r="A85" s="15" t="inlineStr">
        <is>
          <t>1102014258</t>
        </is>
      </c>
      <c r="B85" s="15" t="inlineStr">
        <is>
          <t>Building Work That Honors Jehovah</t>
        </is>
      </c>
      <c r="C85" s="15" t="inlineStr">
        <is>
          <t>God’s Kingdom Rules! (kr) ch. 19</t>
        </is>
      </c>
      <c r="D85" s="15" t="n">
        <v>12</v>
      </c>
      <c r="E85" s="19" t="inlineStr">
        <is>
          <t>open</t>
        </is>
      </c>
      <c r="F85" s="19" t="inlineStr">
        <is>
          <t>open</t>
        </is>
      </c>
    </row>
    <row r="86">
      <c r="A86" s="15" t="inlineStr">
        <is>
          <t>1101999037</t>
        </is>
      </c>
      <c r="B86" s="15" t="inlineStr">
        <is>
          <t>Identifying True Worshipers in the Time of the End</t>
        </is>
      </c>
      <c r="C86" s="15" t="inlineStr">
        <is>
          <t>Pay Attention to Daniel’s Prophecy! (dp chap. 17 pp. 286-305)</t>
        </is>
      </c>
      <c r="D86" s="15" t="n">
        <v>11</v>
      </c>
      <c r="E86" s="19" t="inlineStr">
        <is>
          <t>open</t>
        </is>
      </c>
      <c r="F86" s="19" t="inlineStr">
        <is>
          <t>open</t>
        </is>
      </c>
    </row>
    <row r="87">
      <c r="A87" s="15" t="inlineStr">
        <is>
          <t>2009402</t>
        </is>
      </c>
      <c r="B87" s="15" t="inlineStr">
        <is>
          <t>They Loved the Word of God</t>
        </is>
      </c>
      <c r="C87" s="15" t="inlineStr">
        <is>
          <t>Watchtower 2009 6/1</t>
        </is>
      </c>
      <c r="D87" s="15" t="n">
        <v>11</v>
      </c>
      <c r="E87" s="19" t="inlineStr">
        <is>
          <t>open</t>
        </is>
      </c>
      <c r="F87" s="15" t="n"/>
    </row>
    <row r="88">
      <c r="A88" s="15" t="inlineStr">
        <is>
          <t>301975002</t>
        </is>
      </c>
      <c r="B88" s="15" t="inlineStr">
        <is>
          <t>Part 1—United States of America</t>
        </is>
      </c>
      <c r="C88" s="15" t="inlineStr">
        <is>
          <t>1975 Yearbook of Jehovah’s Witnesses (yb75)</t>
        </is>
      </c>
      <c r="D88" s="15" t="n">
        <v>11</v>
      </c>
      <c r="E88" s="19" t="inlineStr">
        <is>
          <t>open</t>
        </is>
      </c>
      <c r="F88" s="15" t="n"/>
    </row>
    <row r="89">
      <c r="A89" s="15" t="inlineStr">
        <is>
          <t>2020408</t>
        </is>
      </c>
      <c r="B89" s="15" t="inlineStr">
        <is>
          <t>Rival Kings in the Time of the End</t>
        </is>
      </c>
      <c r="C89" s="15" t="inlineStr">
        <is>
          <t>The Watchtower (Study), May 2020 (w20.05), chart</t>
        </is>
      </c>
      <c r="D89" s="15" t="n">
        <v>11</v>
      </c>
      <c r="E89" s="19" t="inlineStr">
        <is>
          <t>open</t>
        </is>
      </c>
      <c r="F89" s="19" t="inlineStr">
        <is>
          <t>open</t>
        </is>
      </c>
    </row>
    <row r="90">
      <c r="A90" s="15" t="inlineStr">
        <is>
          <t>1102014256</t>
        </is>
      </c>
      <c r="B90" s="15" t="inlineStr">
        <is>
          <t>Training Ministers of the Kingdom</t>
        </is>
      </c>
      <c r="C90" s="15" t="inlineStr">
        <is>
          <t>God’s Kingdom Rules! (kr) ch. 17</t>
        </is>
      </c>
      <c r="D90" s="15" t="n">
        <v>11</v>
      </c>
      <c r="E90" s="19" t="inlineStr">
        <is>
          <t>open</t>
        </is>
      </c>
      <c r="F90" s="19" t="inlineStr">
        <is>
          <t>open</t>
        </is>
      </c>
    </row>
    <row r="91">
      <c r="A91" s="15" t="inlineStr">
        <is>
          <t>1200001054</t>
        </is>
      </c>
      <c r="B91" s="15" t="inlineStr">
        <is>
          <t>Covenant</t>
        </is>
      </c>
      <c r="C91" s="15" t="inlineStr">
        <is>
          <t>Insight on the Scriptures (it-1)</t>
        </is>
      </c>
      <c r="D91" s="15" t="n">
        <v>10</v>
      </c>
      <c r="E91" s="19" t="inlineStr">
        <is>
          <t>open</t>
        </is>
      </c>
      <c r="F91" s="15" t="n"/>
    </row>
    <row r="92">
      <c r="A92" s="15" t="inlineStr">
        <is>
          <t>1200003200</t>
        </is>
      </c>
      <c r="B92" s="15" t="inlineStr">
        <is>
          <t>Nebuchadnezzar</t>
        </is>
      </c>
      <c r="C92" s="15" t="inlineStr">
        <is>
          <t>Insight (it-2) "Nebuchadnezzar"</t>
        </is>
      </c>
      <c r="D92" s="15" t="n">
        <v>10</v>
      </c>
      <c r="E92" s="19" t="inlineStr">
        <is>
          <t>open</t>
        </is>
      </c>
      <c r="F92" s="15" t="n"/>
    </row>
    <row r="93">
      <c r="A93" s="15" t="inlineStr">
        <is>
          <t>1101990088</t>
        </is>
      </c>
      <c r="B93" s="15" t="inlineStr">
        <is>
          <t>Bible Book Number 27—Daniel</t>
        </is>
      </c>
      <c r="C93" s="15" t="inlineStr">
        <is>
          <t>All Scripture Is Inspired (si) Bible Book No. 27</t>
        </is>
      </c>
      <c r="D93" s="15" t="n">
        <v>10</v>
      </c>
      <c r="E93" s="19" t="inlineStr">
        <is>
          <t>open</t>
        </is>
      </c>
      <c r="F93" s="19" t="inlineStr">
        <is>
          <t>open</t>
        </is>
      </c>
    </row>
    <row r="94">
      <c r="A94" s="15" t="inlineStr">
        <is>
          <t>1101990132</t>
        </is>
      </c>
      <c r="B94" s="15" t="inlineStr">
        <is>
          <t>Study Number 5—The Hebrew Text of the Holy Scriptures</t>
        </is>
      </c>
      <c r="C94" s="15" t="inlineStr">
        <is>
          <t>“All Scripture Is Inspired of God and Beneficial” (si) Study 5</t>
        </is>
      </c>
      <c r="D94" s="15" t="n">
        <v>10</v>
      </c>
      <c r="E94" s="19" t="inlineStr">
        <is>
          <t>open</t>
        </is>
      </c>
      <c r="F94" s="19" t="inlineStr">
        <is>
          <t>open</t>
        </is>
      </c>
    </row>
    <row r="95">
      <c r="A95" s="15" t="inlineStr">
        <is>
          <t>1993481</t>
        </is>
      </c>
      <c r="B95" s="15" t="inlineStr">
        <is>
          <t>How Christendom Became a Part of This World</t>
        </is>
      </c>
      <c r="C95" s="15" t="inlineStr">
        <is>
          <t>Watchtower 1993 7/1</t>
        </is>
      </c>
      <c r="D95" s="15" t="n">
        <v>10</v>
      </c>
      <c r="E95" s="19" t="inlineStr">
        <is>
          <t>open</t>
        </is>
      </c>
      <c r="F95" s="19" t="inlineStr">
        <is>
          <t>open</t>
        </is>
      </c>
    </row>
    <row r="96">
      <c r="A96" s="15" t="inlineStr">
        <is>
          <t>2002205</t>
        </is>
      </c>
      <c r="B96" s="15" t="inlineStr">
        <is>
          <t>The Waldenses—From Heresy to Protestantism</t>
        </is>
      </c>
      <c r="C96" s="15" t="inlineStr">
        <is>
          <t>Watchtower 2002 3/15</t>
        </is>
      </c>
      <c r="D96" s="15" t="n">
        <v>10</v>
      </c>
      <c r="E96" s="19" t="inlineStr">
        <is>
          <t>open</t>
        </is>
      </c>
      <c r="F96" s="19" t="inlineStr">
        <is>
          <t>open</t>
        </is>
      </c>
    </row>
    <row r="97">
      <c r="A97" s="15" t="inlineStr">
        <is>
          <t>102011446</t>
        </is>
      </c>
      <c r="B97" s="15" t="inlineStr">
        <is>
          <t>The King James Version—How It Became Popular</t>
        </is>
      </c>
      <c r="C97" s="15" t="inlineStr">
        <is>
          <t>Awake! 2011 12</t>
        </is>
      </c>
      <c r="D97" s="15" t="n">
        <v>10</v>
      </c>
      <c r="E97" s="19" t="inlineStr">
        <is>
          <t>open</t>
        </is>
      </c>
      <c r="F97" s="15" t="n"/>
    </row>
    <row r="98">
      <c r="A98" s="15" t="inlineStr">
        <is>
          <t>1001061171</t>
        </is>
      </c>
      <c r="B98" s="15" t="inlineStr">
        <is>
          <t>Table of the Books of the Bible</t>
        </is>
      </c>
      <c r="C98" s="15" t="inlineStr">
        <is>
          <t>New World Translation</t>
        </is>
      </c>
      <c r="D98" s="15" t="n">
        <v>9</v>
      </c>
      <c r="E98" s="19" t="inlineStr">
        <is>
          <t>open</t>
        </is>
      </c>
      <c r="F98" s="19" t="inlineStr">
        <is>
          <t>open</t>
        </is>
      </c>
    </row>
    <row r="99">
      <c r="A99" s="15" t="inlineStr">
        <is>
          <t>1200002525</t>
        </is>
      </c>
      <c r="B99" s="15" t="inlineStr">
        <is>
          <t>Josiah</t>
        </is>
      </c>
      <c r="C99" s="15" t="inlineStr">
        <is>
          <t>Insight (it-2) "Josiah"</t>
        </is>
      </c>
      <c r="D99" s="15" t="n">
        <v>9</v>
      </c>
      <c r="E99" s="19" t="inlineStr">
        <is>
          <t>open</t>
        </is>
      </c>
      <c r="F99" s="15" t="n"/>
    </row>
    <row r="100">
      <c r="A100" s="15" t="inlineStr">
        <is>
          <t>1101999029</t>
        </is>
      </c>
      <c r="B100" s="15" t="inlineStr">
        <is>
          <t>Who Can Stand Against the Prince of Princes?</t>
        </is>
      </c>
      <c r="C100" s="15" t="inlineStr">
        <is>
          <t>Pay Attention to Daniel's Prophecy! (dp) ch. 10</t>
        </is>
      </c>
      <c r="D100" s="15" t="n">
        <v>9</v>
      </c>
      <c r="E100" s="19" t="inlineStr">
        <is>
          <t>open</t>
        </is>
      </c>
      <c r="F100" s="19" t="inlineStr">
        <is>
          <t>open</t>
        </is>
      </c>
    </row>
    <row r="101">
      <c r="A101" s="15" t="inlineStr">
        <is>
          <t>1200003915</t>
        </is>
      </c>
      <c r="B101" s="15" t="inlineStr">
        <is>
          <t>Seventy Weeks</t>
        </is>
      </c>
      <c r="C101" s="15" t="inlineStr">
        <is>
          <t>Insight on the Scriptures</t>
        </is>
      </c>
      <c r="D101" s="15" t="n">
        <v>9</v>
      </c>
      <c r="E101" s="19" t="inlineStr">
        <is>
          <t>open</t>
        </is>
      </c>
      <c r="F101" s="15" t="n"/>
    </row>
    <row r="102">
      <c r="A102" s="15" t="inlineStr">
        <is>
          <t>1101999034</t>
        </is>
      </c>
      <c r="B102" s="15" t="inlineStr">
        <is>
          <t>The Two Kings Change Identities</t>
        </is>
      </c>
      <c r="C102" s="15" t="inlineStr">
        <is>
          <t>Pay Attention to Daniel's Prophecy! (dp) ch. 14</t>
        </is>
      </c>
      <c r="D102" s="15" t="n">
        <v>9</v>
      </c>
      <c r="E102" s="19" t="inlineStr">
        <is>
          <t>open</t>
        </is>
      </c>
      <c r="F102" s="19" t="inlineStr">
        <is>
          <t>open</t>
        </is>
      </c>
    </row>
    <row r="103">
      <c r="A103" s="15" t="inlineStr">
        <is>
          <t>1001070203</t>
        </is>
      </c>
      <c r="B103" s="15" t="inlineStr">
        <is>
          <t>A3 How the Bible Came to Us</t>
        </is>
      </c>
      <c r="C103" s="15" t="inlineStr">
        <is>
          <t>NWT Study Edition (nwtsty) App. A3</t>
        </is>
      </c>
      <c r="D103" s="15" t="n">
        <v>9</v>
      </c>
      <c r="E103" s="19" t="inlineStr">
        <is>
          <t>open</t>
        </is>
      </c>
      <c r="F103" s="19" t="inlineStr">
        <is>
          <t>open</t>
        </is>
      </c>
    </row>
    <row r="104">
      <c r="A104" s="15" t="inlineStr">
        <is>
          <t>1200002489</t>
        </is>
      </c>
      <c r="B104" s="15" t="inlineStr">
        <is>
          <t>John</t>
        </is>
      </c>
      <c r="C104" s="15" t="inlineStr">
        <is>
          <t>Insight (it-2)</t>
        </is>
      </c>
      <c r="D104" s="15" t="n">
        <v>9</v>
      </c>
      <c r="E104" s="19" t="inlineStr">
        <is>
          <t>open</t>
        </is>
      </c>
      <c r="F104" s="15" t="n"/>
    </row>
    <row r="105">
      <c r="A105" s="15" t="inlineStr">
        <is>
          <t>1101993005</t>
        </is>
      </c>
      <c r="B105" s="15" t="inlineStr">
        <is>
          <t>The Great Apostasy Develops</t>
        </is>
      </c>
      <c r="C105" s="15" t="inlineStr">
        <is>
          <t>Proclaimers (jv) chap. 4</t>
        </is>
      </c>
      <c r="D105" s="15" t="n">
        <v>9</v>
      </c>
      <c r="E105" s="19" t="inlineStr">
        <is>
          <t>open</t>
        </is>
      </c>
      <c r="F105" s="15" t="n"/>
    </row>
    <row r="106">
      <c r="A106" s="15" t="inlineStr">
        <is>
          <t>1102014249</t>
        </is>
      </c>
      <c r="B106" s="15" t="inlineStr">
        <is>
          <t>The King Refines His People Spiritually</t>
        </is>
      </c>
      <c r="C106" s="15" t="inlineStr">
        <is>
          <t>God’s Kingdom Rules! (kr) ch. 10</t>
        </is>
      </c>
      <c r="D106" s="15" t="n">
        <v>9</v>
      </c>
      <c r="E106" s="19" t="inlineStr">
        <is>
          <t>open</t>
        </is>
      </c>
      <c r="F106" s="19" t="inlineStr">
        <is>
          <t>open</t>
        </is>
      </c>
    </row>
    <row r="107">
      <c r="A107" s="15" t="inlineStr">
        <is>
          <t>2015523</t>
        </is>
      </c>
      <c r="B107" s="15" t="inlineStr">
        <is>
          <t>“Your Deliverance Is Getting Near”!</t>
        </is>
      </c>
      <c r="C107" s="15" t="inlineStr">
        <is>
          <t>The Watchtower 2015 7/15</t>
        </is>
      </c>
      <c r="D107" s="15" t="n">
        <v>9</v>
      </c>
      <c r="E107" s="19" t="inlineStr">
        <is>
          <t>open</t>
        </is>
      </c>
      <c r="F107" s="19" t="inlineStr">
        <is>
          <t>open</t>
        </is>
      </c>
    </row>
    <row r="108">
      <c r="A108" s="15" t="inlineStr">
        <is>
          <t>1200000530</t>
        </is>
      </c>
      <c r="B108" s="15" t="inlineStr">
        <is>
          <t>Babylon</t>
        </is>
      </c>
      <c r="C108" s="15" t="inlineStr">
        <is>
          <t>Insight on the Scriptures, Vol. 1 (it-1 “Babylon” No. 1 ¶1-No. 2 ¶8)</t>
        </is>
      </c>
      <c r="D108" s="15" t="n">
        <v>8</v>
      </c>
      <c r="E108" s="19" t="inlineStr">
        <is>
          <t>open</t>
        </is>
      </c>
      <c r="F108" s="15" t="n"/>
    </row>
    <row r="109">
      <c r="A109" s="15" t="inlineStr">
        <is>
          <t>1200001102</t>
        </is>
      </c>
      <c r="B109" s="15" t="inlineStr">
        <is>
          <t>Cyrus</t>
        </is>
      </c>
      <c r="C109" s="15" t="inlineStr">
        <is>
          <t>Insight on the Scriptures</t>
        </is>
      </c>
      <c r="D109" s="15" t="n">
        <v>8</v>
      </c>
      <c r="E109" s="19" t="inlineStr">
        <is>
          <t>open</t>
        </is>
      </c>
      <c r="F109" s="15" t="n"/>
    </row>
    <row r="110">
      <c r="A110" s="15" t="inlineStr">
        <is>
          <t>1200001124</t>
        </is>
      </c>
      <c r="B110" s="15" t="inlineStr">
        <is>
          <t>Darius</t>
        </is>
      </c>
      <c r="C110" s="15" t="inlineStr">
        <is>
          <t>Insight on the Scriptures</t>
        </is>
      </c>
      <c r="D110" s="15" t="n">
        <v>8</v>
      </c>
      <c r="E110" s="19" t="inlineStr">
        <is>
          <t>open</t>
        </is>
      </c>
      <c r="F110" s="15" t="n"/>
    </row>
    <row r="111">
      <c r="A111" s="15" t="inlineStr">
        <is>
          <t>1001061233</t>
        </is>
      </c>
      <c r="B111" s="15" t="inlineStr">
        <is>
          <t>B12-B The Final Week of Jesus’ Life on Earth (Part 2)</t>
        </is>
      </c>
      <c r="C111" s="15" t="inlineStr">
        <is>
          <t>New World Translation (nwt) App. B12-B</t>
        </is>
      </c>
      <c r="D111" s="15" t="n">
        <v>8</v>
      </c>
      <c r="E111" s="19" t="inlineStr">
        <is>
          <t>open</t>
        </is>
      </c>
      <c r="F111" s="19" t="inlineStr">
        <is>
          <t>open</t>
        </is>
      </c>
    </row>
    <row r="112">
      <c r="A112" s="15" t="inlineStr">
        <is>
          <t>2013531</t>
        </is>
      </c>
      <c r="B112" s="15" t="inlineStr">
        <is>
          <t>“Look! I Am With You All the Days”</t>
        </is>
      </c>
      <c r="C112" s="15" t="inlineStr">
        <is>
          <t>The Watchtower (Study Edition), July 15, 2013 (w13 7/15 pp. 9-14)</t>
        </is>
      </c>
      <c r="D112" s="15" t="n">
        <v>8</v>
      </c>
      <c r="E112" s="19" t="inlineStr">
        <is>
          <t>open</t>
        </is>
      </c>
      <c r="F112" s="19" t="inlineStr">
        <is>
          <t>open</t>
        </is>
      </c>
    </row>
    <row r="113">
      <c r="A113" s="15" t="inlineStr">
        <is>
          <t>102011443</t>
        </is>
      </c>
      <c r="B113" s="15" t="inlineStr">
        <is>
          <t>They Tried to Keep God’s Word From the Masses</t>
        </is>
      </c>
      <c r="C113" s="15" t="inlineStr">
        <is>
          <t>Awake! 2011 12</t>
        </is>
      </c>
      <c r="D113" s="15" t="n">
        <v>8</v>
      </c>
      <c r="E113" s="19" t="inlineStr">
        <is>
          <t>open</t>
        </is>
      </c>
      <c r="F113" s="15" t="n"/>
    </row>
    <row r="114">
      <c r="A114" s="15" t="inlineStr">
        <is>
          <t>2020400</t>
        </is>
      </c>
      <c r="B114" s="15" t="inlineStr">
        <is>
          <t>“The King of the North” in the Time of the End</t>
        </is>
      </c>
      <c r="C114" s="15" t="inlineStr">
        <is>
          <t>The Watchtower (Study), May 2020 (w20.05), Study Article 19</t>
        </is>
      </c>
      <c r="D114" s="15" t="n">
        <v>8</v>
      </c>
      <c r="E114" s="19" t="inlineStr">
        <is>
          <t>open</t>
        </is>
      </c>
      <c r="F114" s="19" t="inlineStr">
        <is>
          <t>open</t>
        </is>
      </c>
    </row>
    <row r="115">
      <c r="A115" s="15" t="inlineStr">
        <is>
          <t>301975003</t>
        </is>
      </c>
      <c r="B115" s="15" t="inlineStr">
        <is>
          <t>Part 2—United States of America</t>
        </is>
      </c>
      <c r="C115" s="15" t="inlineStr">
        <is>
          <t>1975 Yearbook of Jehovah’s Witnesses (yb75)</t>
        </is>
      </c>
      <c r="D115" s="15" t="n">
        <v>8</v>
      </c>
      <c r="E115" s="19" t="inlineStr">
        <is>
          <t>open</t>
        </is>
      </c>
      <c r="F115" s="15" t="n"/>
    </row>
    <row r="116">
      <c r="A116" s="15" t="inlineStr">
        <is>
          <t>1101999301</t>
        </is>
      </c>
      <c r="B116" s="15" t="inlineStr">
        <is>
          <t>Chronicle</t>
        </is>
      </c>
      <c r="C116" s="15" t="inlineStr">
        <is>
          <t>Purple Triangles—Forgotten Victims of the Nazi Regime (brochure)</t>
        </is>
      </c>
      <c r="D116" s="15" t="n">
        <v>8</v>
      </c>
      <c r="E116" s="19" t="inlineStr">
        <is>
          <t>open</t>
        </is>
      </c>
      <c r="F116" s="15" t="n"/>
    </row>
    <row r="117">
      <c r="A117" s="15" t="inlineStr">
        <is>
          <t>1200003266</t>
        </is>
      </c>
      <c r="B117" s="15" t="inlineStr">
        <is>
          <t>Noah</t>
        </is>
      </c>
      <c r="C117" s="15" t="inlineStr">
        <is>
          <t>Insight on the Scriptures (it-2)</t>
        </is>
      </c>
      <c r="D117" s="15" t="n">
        <v>7</v>
      </c>
      <c r="E117" s="19" t="inlineStr">
        <is>
          <t>open</t>
        </is>
      </c>
      <c r="F117" s="15" t="n"/>
    </row>
    <row r="118">
      <c r="A118" s="15" t="inlineStr">
        <is>
          <t>1200002203</t>
        </is>
      </c>
      <c r="B118" s="15" t="inlineStr">
        <is>
          <t>Isaac</t>
        </is>
      </c>
      <c r="C118" s="15" t="inlineStr">
        <is>
          <t>Insight on the Scriptures (it-1)</t>
        </is>
      </c>
      <c r="D118" s="15" t="n">
        <v>7</v>
      </c>
      <c r="E118" s="19" t="inlineStr">
        <is>
          <t>open</t>
        </is>
      </c>
      <c r="F118" s="15" t="n"/>
    </row>
    <row r="119">
      <c r="A119" s="15" t="inlineStr">
        <is>
          <t>1200002011</t>
        </is>
      </c>
      <c r="B119" s="15" t="inlineStr">
        <is>
          <t>Hezekiah</t>
        </is>
      </c>
      <c r="C119" s="15" t="inlineStr">
        <is>
          <t>Insight (it-1) "Hezekiah"</t>
        </is>
      </c>
      <c r="D119" s="15" t="n">
        <v>7</v>
      </c>
      <c r="E119" s="19" t="inlineStr">
        <is>
          <t>open</t>
        </is>
      </c>
      <c r="F119" s="15" t="n"/>
    </row>
    <row r="120">
      <c r="A120" s="15" t="inlineStr">
        <is>
          <t>1200002375</t>
        </is>
      </c>
      <c r="B120" s="15" t="inlineStr">
        <is>
          <t>Jehoiachin</t>
        </is>
      </c>
      <c r="C120" s="15" t="inlineStr">
        <is>
          <t>Insight (it-1) "Jehoiachin"</t>
        </is>
      </c>
      <c r="D120" s="15" t="n">
        <v>7</v>
      </c>
      <c r="E120" s="19" t="inlineStr">
        <is>
          <t>open</t>
        </is>
      </c>
      <c r="F120" s="15" t="n"/>
    </row>
    <row r="121">
      <c r="A121" s="15" t="inlineStr">
        <is>
          <t>1101990076</t>
        </is>
      </c>
      <c r="B121" s="15" t="inlineStr">
        <is>
          <t>Bible Book Number 15—Ezra</t>
        </is>
      </c>
      <c r="C121" s="15" t="inlineStr">
        <is>
          <t>All Scripture Is Inspired (si)</t>
        </is>
      </c>
      <c r="D121" s="15" t="n">
        <v>7</v>
      </c>
      <c r="E121" s="19" t="inlineStr">
        <is>
          <t>open</t>
        </is>
      </c>
      <c r="F121" s="19" t="inlineStr">
        <is>
          <t>open</t>
        </is>
      </c>
    </row>
    <row r="122">
      <c r="A122" s="15" t="inlineStr">
        <is>
          <t>1200000389</t>
        </is>
      </c>
      <c r="B122" s="15" t="inlineStr">
        <is>
          <t>Artaxerxes</t>
        </is>
      </c>
      <c r="C122" s="15" t="inlineStr">
        <is>
          <t>Insight on the Scriptures</t>
        </is>
      </c>
      <c r="D122" s="15" t="n">
        <v>7</v>
      </c>
      <c r="E122" s="19" t="inlineStr">
        <is>
          <t>open</t>
        </is>
      </c>
      <c r="F122" s="15" t="n"/>
    </row>
    <row r="123">
      <c r="A123" s="15" t="inlineStr">
        <is>
          <t>1200003763</t>
        </is>
      </c>
      <c r="B123" s="15" t="inlineStr">
        <is>
          <t>Rome</t>
        </is>
      </c>
      <c r="C123" s="15" t="inlineStr">
        <is>
          <t>Insight on the Scriptures</t>
        </is>
      </c>
      <c r="D123" s="15" t="n">
        <v>7</v>
      </c>
      <c r="E123" s="19" t="inlineStr">
        <is>
          <t>open</t>
        </is>
      </c>
      <c r="F123" s="15" t="n"/>
    </row>
    <row r="124">
      <c r="A124" s="15" t="inlineStr">
        <is>
          <t>1001070234</t>
        </is>
      </c>
      <c r="B124" s="15" t="inlineStr">
        <is>
          <t>The Spread of Christianity</t>
        </is>
      </c>
      <c r="C124" s="15" t="inlineStr">
        <is>
          <t>NWT Study Edition App. B13</t>
        </is>
      </c>
      <c r="D124" s="15" t="n">
        <v>7</v>
      </c>
      <c r="E124" s="19" t="inlineStr">
        <is>
          <t>open</t>
        </is>
      </c>
      <c r="F124" s="19" t="inlineStr">
        <is>
          <t>open</t>
        </is>
      </c>
    </row>
    <row r="125">
      <c r="A125" s="15" t="inlineStr">
        <is>
          <t>2013122</t>
        </is>
      </c>
      <c r="B125" s="15" t="inlineStr">
        <is>
          <t>This Is Our Spiritual Heritage</t>
        </is>
      </c>
      <c r="C125" s="15" t="inlineStr">
        <is>
          <t>Watchtower (Study) 2013 2/15</t>
        </is>
      </c>
      <c r="D125" s="15" t="n">
        <v>7</v>
      </c>
      <c r="E125" s="19" t="inlineStr">
        <is>
          <t>open</t>
        </is>
      </c>
      <c r="F125" s="19" t="inlineStr">
        <is>
          <t>open</t>
        </is>
      </c>
    </row>
    <row r="126">
      <c r="A126" s="15" t="inlineStr">
        <is>
          <t>1101993037</t>
        </is>
      </c>
      <c r="B126" s="15" t="inlineStr">
        <is>
          <t>Printing and Distributing God’s Own Sacred Word</t>
        </is>
      </c>
      <c r="C126" s="15" t="inlineStr">
        <is>
          <t>Proclaimers (jv) ch. 26</t>
        </is>
      </c>
      <c r="D126" s="15" t="n">
        <v>7</v>
      </c>
      <c r="E126" s="19" t="inlineStr">
        <is>
          <t>open</t>
        </is>
      </c>
      <c r="F126" s="15" t="n"/>
    </row>
    <row r="127">
      <c r="A127" s="15" t="inlineStr">
        <is>
          <t>1102014262</t>
        </is>
      </c>
      <c r="B127" s="15" t="inlineStr">
        <is>
          <t>The Ministry of Relief</t>
        </is>
      </c>
      <c r="C127" s="15" t="inlineStr">
        <is>
          <t>God’s Kingdom Rules! (kr) ch. 20</t>
        </is>
      </c>
      <c r="D127" s="15" t="n">
        <v>7</v>
      </c>
      <c r="E127" s="19" t="inlineStr">
        <is>
          <t>open</t>
        </is>
      </c>
      <c r="F127" s="19" t="inlineStr">
        <is>
          <t>open</t>
        </is>
      </c>
    </row>
    <row r="128">
      <c r="A128" s="15" t="inlineStr">
        <is>
          <t>2012681</t>
        </is>
      </c>
      <c r="B128" s="15" t="inlineStr">
        <is>
          <t>How This World Will Come to an End</t>
        </is>
      </c>
      <c r="C128" s="15" t="inlineStr">
        <is>
          <t>The Watchtower 2012 9/15</t>
        </is>
      </c>
      <c r="D128" s="15" t="n">
        <v>7</v>
      </c>
      <c r="E128" s="19" t="inlineStr">
        <is>
          <t>open</t>
        </is>
      </c>
      <c r="F128" s="19" t="inlineStr">
        <is>
          <t>open</t>
        </is>
      </c>
    </row>
    <row r="129">
      <c r="A129" s="15" t="inlineStr">
        <is>
          <t>2012682</t>
        </is>
      </c>
      <c r="B129" s="15" t="inlineStr">
        <is>
          <t>Peace for a Thousand Years—And Beyond!</t>
        </is>
      </c>
      <c r="C129" s="15" t="inlineStr">
        <is>
          <t>The Watchtower 2012 9/15</t>
        </is>
      </c>
      <c r="D129" s="15" t="n">
        <v>7</v>
      </c>
      <c r="E129" s="19" t="inlineStr">
        <is>
          <t>open</t>
        </is>
      </c>
      <c r="F129" s="19" t="inlineStr">
        <is>
          <t>open</t>
        </is>
      </c>
    </row>
    <row r="130">
      <c r="A130" s="15" t="inlineStr">
        <is>
          <t>1200002279</t>
        </is>
      </c>
      <c r="B130" s="15" t="inlineStr">
        <is>
          <t>Jacob</t>
        </is>
      </c>
      <c r="C130" s="15" t="inlineStr">
        <is>
          <t>Insight on the Scriptures (it-1)</t>
        </is>
      </c>
      <c r="D130" s="15" t="n">
        <v>6</v>
      </c>
      <c r="E130" s="19" t="inlineStr">
        <is>
          <t>open</t>
        </is>
      </c>
      <c r="F130" s="15" t="n"/>
    </row>
    <row r="131">
      <c r="A131" s="15" t="inlineStr">
        <is>
          <t>1101990075</t>
        </is>
      </c>
      <c r="B131" s="15" t="inlineStr">
        <is>
          <t>Bible Book Number 14—2 Chronicles</t>
        </is>
      </c>
      <c r="C131" s="15" t="inlineStr">
        <is>
          <t>All Scripture Is Inspired (si) Bible Book No. 14</t>
        </is>
      </c>
      <c r="D131" s="15" t="n">
        <v>6</v>
      </c>
      <c r="E131" s="19" t="inlineStr">
        <is>
          <t>open</t>
        </is>
      </c>
      <c r="F131" s="19" t="inlineStr">
        <is>
          <t>open</t>
        </is>
      </c>
    </row>
    <row r="132">
      <c r="A132" s="15" t="inlineStr">
        <is>
          <t>1101990087</t>
        </is>
      </c>
      <c r="B132" s="15" t="inlineStr">
        <is>
          <t>Bible Book Number 26—Ezekiel</t>
        </is>
      </c>
      <c r="C132" s="15" t="inlineStr">
        <is>
          <t>All Scripture Is Inspired (si) Bible Book No. 26</t>
        </is>
      </c>
      <c r="D132" s="15" t="n">
        <v>6</v>
      </c>
      <c r="E132" s="19" t="inlineStr">
        <is>
          <t>open</t>
        </is>
      </c>
      <c r="F132" s="19" t="inlineStr">
        <is>
          <t>open</t>
        </is>
      </c>
    </row>
    <row r="133">
      <c r="A133" s="15" t="inlineStr">
        <is>
          <t>1101999030</t>
        </is>
      </c>
      <c r="B133" s="15" t="inlineStr">
        <is>
          <t>The Time of Messiah’s Coming Revealed</t>
        </is>
      </c>
      <c r="C133" s="15" t="inlineStr">
        <is>
          <t>Pay Attention to Daniel's Prophecy! (dp) ch. 11</t>
        </is>
      </c>
      <c r="D133" s="15" t="n">
        <v>6</v>
      </c>
      <c r="E133" s="19" t="inlineStr">
        <is>
          <t>open</t>
        </is>
      </c>
      <c r="F133" s="19" t="inlineStr">
        <is>
          <t>open</t>
        </is>
      </c>
    </row>
    <row r="134">
      <c r="A134" s="15" t="inlineStr">
        <is>
          <t>1200000292</t>
        </is>
      </c>
      <c r="B134" s="15" t="inlineStr">
        <is>
          <t>Antioch</t>
        </is>
      </c>
      <c r="C134" s="15" t="inlineStr">
        <is>
          <t>Insight (it-1)</t>
        </is>
      </c>
      <c r="D134" s="15" t="n">
        <v>6</v>
      </c>
      <c r="E134" s="19" t="inlineStr">
        <is>
          <t>open</t>
        </is>
      </c>
      <c r="F134" s="15" t="n"/>
    </row>
    <row r="135">
      <c r="A135" s="15" t="inlineStr">
        <is>
          <t>102007409</t>
        </is>
      </c>
      <c r="B135" s="15" t="inlineStr">
        <is>
          <t>How the Bible Came to Us</t>
        </is>
      </c>
      <c r="C135" s="15" t="inlineStr">
        <is>
          <t>Awake! 2007 11</t>
        </is>
      </c>
      <c r="D135" s="15" t="n">
        <v>6</v>
      </c>
      <c r="E135" s="19" t="inlineStr">
        <is>
          <t>open</t>
        </is>
      </c>
      <c r="F135" s="19" t="inlineStr">
        <is>
          <t>open</t>
        </is>
      </c>
    </row>
    <row r="136">
      <c r="A136" s="15" t="inlineStr">
        <is>
          <t>2001166</t>
        </is>
      </c>
      <c r="B136" s="15" t="inlineStr">
        <is>
          <t>Cyril and Methodius—Bible Translators Who Invented an Alphabet</t>
        </is>
      </c>
      <c r="C136" s="15" t="inlineStr">
        <is>
          <t>Watchtower 2001 3/1</t>
        </is>
      </c>
      <c r="D136" s="15" t="n">
        <v>6</v>
      </c>
      <c r="E136" s="19" t="inlineStr">
        <is>
          <t>open</t>
        </is>
      </c>
      <c r="F136" s="19" t="inlineStr">
        <is>
          <t>open</t>
        </is>
      </c>
    </row>
    <row r="137">
      <c r="A137" s="15" t="inlineStr">
        <is>
          <t>1995282</t>
        </is>
      </c>
      <c r="B137" s="15" t="inlineStr">
        <is>
          <t>A Printer Who Left His Mark</t>
        </is>
      </c>
      <c r="C137" s="15" t="inlineStr">
        <is>
          <t>Watchtower 1995 4/15</t>
        </is>
      </c>
      <c r="D137" s="15" t="n">
        <v>6</v>
      </c>
      <c r="E137" s="19" t="inlineStr">
        <is>
          <t>open</t>
        </is>
      </c>
      <c r="F137" s="19" t="inlineStr">
        <is>
          <t>open</t>
        </is>
      </c>
    </row>
    <row r="138">
      <c r="A138" s="15" t="inlineStr">
        <is>
          <t>2012408</t>
        </is>
      </c>
      <c r="B138" s="15" t="inlineStr">
        <is>
          <t>Coverdale and the First Complete Printed English Bible</t>
        </is>
      </c>
      <c r="C138" s="15" t="inlineStr">
        <is>
          <t>Watchtower 2012 6/1</t>
        </is>
      </c>
      <c r="D138" s="15" t="n">
        <v>6</v>
      </c>
      <c r="E138" s="19" t="inlineStr">
        <is>
          <t>open</t>
        </is>
      </c>
      <c r="F138" s="15" t="n"/>
    </row>
    <row r="139">
      <c r="A139" s="15" t="inlineStr">
        <is>
          <t>2007483</t>
        </is>
      </c>
      <c r="B139" s="15" t="inlineStr">
        <is>
          <t>The First Bible in Portuguese—A Story of Perseverance</t>
        </is>
      </c>
      <c r="C139" s="15" t="inlineStr">
        <is>
          <t>Watchtower 2007 7/1</t>
        </is>
      </c>
      <c r="D139" s="15" t="n">
        <v>6</v>
      </c>
      <c r="E139" s="19" t="inlineStr">
        <is>
          <t>open</t>
        </is>
      </c>
      <c r="F139" s="19" t="inlineStr">
        <is>
          <t>open</t>
        </is>
      </c>
    </row>
    <row r="140">
      <c r="A140" s="15" t="inlineStr">
        <is>
          <t>1101993014</t>
        </is>
      </c>
      <c r="B140" s="15" t="inlineStr">
        <is>
          <t>The Great Crowd to Live in Heaven? Or on Earth?</t>
        </is>
      </c>
      <c r="C140" s="15" t="inlineStr">
        <is>
          <t>Proclaimers (jv) ch. 12</t>
        </is>
      </c>
      <c r="D140" s="15" t="n">
        <v>6</v>
      </c>
      <c r="E140" s="19" t="inlineStr">
        <is>
          <t>open</t>
        </is>
      </c>
      <c r="F140" s="15" t="n"/>
    </row>
    <row r="141">
      <c r="A141" s="15" t="inlineStr">
        <is>
          <t>1101988034</t>
        </is>
      </c>
      <c r="B141" s="15" t="inlineStr">
        <is>
          <t>An Awesome Mystery Solved</t>
        </is>
      </c>
      <c r="C141" s="15" t="inlineStr">
        <is>
          <t>Revelation—Its Grand Climax At Hand! (re) ch. 34</t>
        </is>
      </c>
      <c r="D141" s="15" t="n">
        <v>6</v>
      </c>
      <c r="E141" s="19" t="inlineStr">
        <is>
          <t>open</t>
        </is>
      </c>
      <c r="F141" s="19" t="inlineStr">
        <is>
          <t>open</t>
        </is>
      </c>
    </row>
    <row r="142">
      <c r="A142" s="15" t="inlineStr">
        <is>
          <t>2000007</t>
        </is>
      </c>
      <c r="B142" s="15" t="inlineStr">
        <is>
          <t>New Members of the Governing Body</t>
        </is>
      </c>
      <c r="C142" s="15" t="inlineStr">
        <is>
          <t>The Watchtower (w00 1/1 p. 29)</t>
        </is>
      </c>
      <c r="D142" s="15" t="n">
        <v>6</v>
      </c>
      <c r="E142" s="19" t="inlineStr">
        <is>
          <t>open</t>
        </is>
      </c>
      <c r="F142" s="19" t="inlineStr">
        <is>
          <t>open</t>
        </is>
      </c>
    </row>
    <row r="143">
      <c r="A143" s="15" t="inlineStr">
        <is>
          <t>1102017192</t>
        </is>
      </c>
      <c r="B143" s="15" t="inlineStr">
        <is>
          <t>“Worship God”</t>
        </is>
      </c>
      <c r="C143" s="15" t="inlineStr">
        <is>
          <t>Pure Worship of Jehovah—Restored At Last! (rr chap. 22 pp. 226-237)</t>
        </is>
      </c>
      <c r="D143" s="15" t="n">
        <v>6</v>
      </c>
      <c r="E143" s="19" t="inlineStr">
        <is>
          <t>open</t>
        </is>
      </c>
      <c r="F143" s="19" t="inlineStr">
        <is>
          <t>open</t>
        </is>
      </c>
    </row>
    <row r="144">
      <c r="A144" s="15" t="inlineStr">
        <is>
          <t>1200003118</t>
        </is>
      </c>
      <c r="B144" s="15" t="inlineStr">
        <is>
          <t>Moses</t>
        </is>
      </c>
      <c r="C144" s="15" t="inlineStr">
        <is>
          <t>Insight on the Scriptures (it)</t>
        </is>
      </c>
      <c r="D144" s="15" t="n">
        <v>5</v>
      </c>
      <c r="E144" s="19" t="inlineStr">
        <is>
          <t>open</t>
        </is>
      </c>
      <c r="F144" s="15" t="n"/>
    </row>
    <row r="145">
      <c r="A145" s="15" t="inlineStr">
        <is>
          <t>1200004178</t>
        </is>
      </c>
      <c r="B145" s="15" t="inlineStr">
        <is>
          <t>Solomon</t>
        </is>
      </c>
      <c r="C145" s="15" t="inlineStr">
        <is>
          <t>Insight (it-2) "Solomon"</t>
        </is>
      </c>
      <c r="D145" s="15" t="n">
        <v>5</v>
      </c>
      <c r="E145" s="19" t="inlineStr">
        <is>
          <t>open</t>
        </is>
      </c>
      <c r="F145" s="15" t="n"/>
    </row>
    <row r="146">
      <c r="A146" s="15" t="inlineStr">
        <is>
          <t>1101990072</t>
        </is>
      </c>
      <c r="B146" s="15" t="inlineStr">
        <is>
          <t>Bible Book Number 11—1 Kings</t>
        </is>
      </c>
      <c r="C146" s="15" t="inlineStr">
        <is>
          <t>All Scripture Is Inspired (si) Bible Book No. 11</t>
        </is>
      </c>
      <c r="D146" s="15" t="n">
        <v>5</v>
      </c>
      <c r="E146" s="19" t="inlineStr">
        <is>
          <t>open</t>
        </is>
      </c>
      <c r="F146" s="19" t="inlineStr">
        <is>
          <t>open</t>
        </is>
      </c>
    </row>
    <row r="147">
      <c r="A147" s="15" t="inlineStr">
        <is>
          <t>1101990073</t>
        </is>
      </c>
      <c r="B147" s="15" t="inlineStr">
        <is>
          <t>Bible Book Number 12—2 Kings</t>
        </is>
      </c>
      <c r="C147" s="15" t="inlineStr">
        <is>
          <t>All Scripture Is Inspired (si) Bible Book No. 12</t>
        </is>
      </c>
      <c r="D147" s="15" t="n">
        <v>5</v>
      </c>
      <c r="E147" s="19" t="inlineStr">
        <is>
          <t>open</t>
        </is>
      </c>
      <c r="F147" s="19" t="inlineStr">
        <is>
          <t>open</t>
        </is>
      </c>
    </row>
    <row r="148">
      <c r="A148" s="15" t="inlineStr">
        <is>
          <t>1200001117</t>
        </is>
      </c>
      <c r="B148" s="15" t="inlineStr">
        <is>
          <t>Daniel</t>
        </is>
      </c>
      <c r="C148" s="15" t="inlineStr">
        <is>
          <t>Insight (it-1) "Daniel"</t>
        </is>
      </c>
      <c r="D148" s="15" t="n">
        <v>5</v>
      </c>
      <c r="E148" s="19" t="inlineStr">
        <is>
          <t>open</t>
        </is>
      </c>
      <c r="F148" s="15" t="n"/>
    </row>
    <row r="149">
      <c r="A149" s="15" t="inlineStr">
        <is>
          <t>1001061229</t>
        </is>
      </c>
      <c r="B149" s="15" t="inlineStr">
        <is>
          <t>B9 World Powers Foretold by Daniel</t>
        </is>
      </c>
      <c r="C149" s="15" t="inlineStr">
        <is>
          <t>New World Translation (2013) (nwt pp. 1780-1781)</t>
        </is>
      </c>
      <c r="D149" s="15" t="n">
        <v>5</v>
      </c>
      <c r="E149" s="19" t="inlineStr">
        <is>
          <t>open</t>
        </is>
      </c>
      <c r="F149" s="19" t="inlineStr">
        <is>
          <t>open</t>
        </is>
      </c>
    </row>
    <row r="150">
      <c r="A150" s="15" t="inlineStr">
        <is>
          <t>1200000888</t>
        </is>
      </c>
      <c r="B150" s="15" t="inlineStr">
        <is>
          <t>Captivity</t>
        </is>
      </c>
      <c r="C150" s="15" t="inlineStr">
        <is>
          <t>Insight on the Scriptures</t>
        </is>
      </c>
      <c r="D150" s="15" t="n">
        <v>5</v>
      </c>
      <c r="E150" s="19" t="inlineStr">
        <is>
          <t>open</t>
        </is>
      </c>
      <c r="F150" s="15" t="n"/>
    </row>
    <row r="151">
      <c r="A151" s="15" t="inlineStr">
        <is>
          <t>1200000468</t>
        </is>
      </c>
      <c r="B151" s="15" t="inlineStr">
        <is>
          <t>Augustus</t>
        </is>
      </c>
      <c r="C151" s="15" t="inlineStr">
        <is>
          <t>Insight on the Scriptures</t>
        </is>
      </c>
      <c r="D151" s="15" t="n">
        <v>5</v>
      </c>
      <c r="E151" s="19" t="inlineStr">
        <is>
          <t>open</t>
        </is>
      </c>
      <c r="F151" s="15" t="n"/>
    </row>
    <row r="152">
      <c r="A152" s="15" t="inlineStr">
        <is>
          <t>1001070717</t>
        </is>
      </c>
      <c r="B152" s="15" t="inlineStr">
        <is>
          <t>Acts Study Notes—Chapter 28</t>
        </is>
      </c>
      <c r="C152" s="15" t="inlineStr">
        <is>
          <t>NWT Study Edition, Acts study notes</t>
        </is>
      </c>
      <c r="D152" s="15" t="n">
        <v>5</v>
      </c>
      <c r="E152" s="19" t="inlineStr">
        <is>
          <t>open</t>
        </is>
      </c>
      <c r="F152" s="15" t="n"/>
    </row>
    <row r="153">
      <c r="A153" s="15" t="inlineStr">
        <is>
          <t>1101990116</t>
        </is>
      </c>
      <c r="B153" s="15" t="inlineStr">
        <is>
          <t>Bible Book Number 55—2 Timothy</t>
        </is>
      </c>
      <c r="C153" s="15" t="inlineStr">
        <is>
          <t>All Scripture Is Inspired (si)</t>
        </is>
      </c>
      <c r="D153" s="15" t="n">
        <v>5</v>
      </c>
      <c r="E153" s="19" t="inlineStr">
        <is>
          <t>open</t>
        </is>
      </c>
      <c r="F153" s="19" t="inlineStr">
        <is>
          <t>open</t>
        </is>
      </c>
    </row>
    <row r="154">
      <c r="A154" s="15" t="inlineStr">
        <is>
          <t>1966284</t>
        </is>
      </c>
      <c r="B154" s="15" t="inlineStr">
        <is>
          <t>The Disastrous History of Masada</t>
        </is>
      </c>
      <c r="C154" s="15" t="inlineStr">
        <is>
          <t>Watchtower 1966 4/15</t>
        </is>
      </c>
      <c r="D154" s="15" t="n">
        <v>5</v>
      </c>
      <c r="E154" s="19" t="inlineStr">
        <is>
          <t>open</t>
        </is>
      </c>
      <c r="F154" s="15" t="n"/>
    </row>
    <row r="155">
      <c r="A155" s="15" t="inlineStr">
        <is>
          <t>1001070624</t>
        </is>
      </c>
      <c r="B155" s="15" t="inlineStr">
        <is>
          <t>Matthew Study Notes—Chapter 24</t>
        </is>
      </c>
      <c r="C155" s="15" t="inlineStr">
        <is>
          <t>NWT Study Edition, Matthew study notes</t>
        </is>
      </c>
      <c r="D155" s="15" t="n">
        <v>5</v>
      </c>
      <c r="E155" s="19" t="inlineStr">
        <is>
          <t>open</t>
        </is>
      </c>
      <c r="F155" s="19" t="inlineStr">
        <is>
          <t>open</t>
        </is>
      </c>
    </row>
    <row r="156">
      <c r="A156" s="15" t="inlineStr">
        <is>
          <t>2016843</t>
        </is>
      </c>
      <c r="B156" s="15" t="inlineStr">
        <is>
          <t>Called Out of Darkness</t>
        </is>
      </c>
      <c r="C156" s="15" t="inlineStr">
        <is>
          <t>Watchtower (Study) 2016 November</t>
        </is>
      </c>
      <c r="D156" s="15" t="n">
        <v>5</v>
      </c>
      <c r="E156" s="19" t="inlineStr">
        <is>
          <t>open</t>
        </is>
      </c>
      <c r="F156" s="19" t="inlineStr">
        <is>
          <t>open</t>
        </is>
      </c>
    </row>
    <row r="157">
      <c r="A157" s="15" t="inlineStr">
        <is>
          <t>2010647</t>
        </is>
      </c>
      <c r="B157" s="15" t="inlineStr">
        <is>
          <t>500 Years of Calvinism—What Has It Achieved?</t>
        </is>
      </c>
      <c r="C157" s="15" t="inlineStr">
        <is>
          <t>Watchtower 2010 9/1</t>
        </is>
      </c>
      <c r="D157" s="15" t="n">
        <v>5</v>
      </c>
      <c r="E157" s="19" t="inlineStr">
        <is>
          <t>open</t>
        </is>
      </c>
      <c r="F157" s="15" t="n"/>
    </row>
    <row r="158">
      <c r="A158" s="15" t="inlineStr">
        <is>
          <t>301975006</t>
        </is>
      </c>
      <c r="B158" s="15" t="inlineStr">
        <is>
          <t>Part 3—United States of America</t>
        </is>
      </c>
      <c r="C158" s="15" t="inlineStr">
        <is>
          <t>1975 Yearbook of Jehovah’s Witnesses (yb75)</t>
        </is>
      </c>
      <c r="D158" s="15" t="n">
        <v>5</v>
      </c>
      <c r="E158" s="19" t="inlineStr">
        <is>
          <t>open</t>
        </is>
      </c>
      <c r="F158" s="15" t="n"/>
    </row>
    <row r="159">
      <c r="A159" s="15" t="inlineStr">
        <is>
          <t>1101993013</t>
        </is>
      </c>
      <c r="B159" s="15" t="inlineStr">
        <is>
          <t>How We Came to Be Known as Jehovah’s Witnesses</t>
        </is>
      </c>
      <c r="C159" s="15" t="inlineStr">
        <is>
          <t>Proclaimers (jv) ch. 11</t>
        </is>
      </c>
      <c r="D159" s="15" t="n">
        <v>5</v>
      </c>
      <c r="E159" s="19" t="inlineStr">
        <is>
          <t>open</t>
        </is>
      </c>
      <c r="F159" s="15" t="n"/>
    </row>
    <row r="160">
      <c r="A160" s="15" t="inlineStr">
        <is>
          <t>1993207</t>
        </is>
      </c>
      <c r="B160" s="15" t="inlineStr">
        <is>
          <t>Rewarded With “the Crown of Life”</t>
        </is>
      </c>
      <c r="C160" s="15" t="inlineStr">
        <is>
          <t>The Watchtower (w93 3/15 pp. 31-32)</t>
        </is>
      </c>
      <c r="D160" s="15" t="n">
        <v>5</v>
      </c>
      <c r="E160" s="19" t="inlineStr">
        <is>
          <t>open</t>
        </is>
      </c>
      <c r="F160" s="15" t="n"/>
    </row>
    <row r="161">
      <c r="A161" s="15" t="inlineStr">
        <is>
          <t>jw.org/news/region/global/Jehovahs-Witnesses-Return-to-Meeting-in-Person</t>
        </is>
      </c>
      <c r="B161" s="15" t="inlineStr">
        <is>
          <t>Jehovah’s Witnesses Return to Meeting in Person</t>
        </is>
      </c>
      <c r="C161" s="15" t="inlineStr">
        <is>
          <t>jw.org Newsroom, Apr. 5, 2022</t>
        </is>
      </c>
      <c r="D161" s="15" t="n">
        <v>5</v>
      </c>
      <c r="E161" s="19" t="inlineStr">
        <is>
          <t>open</t>
        </is>
      </c>
      <c r="F161" s="15" t="n"/>
    </row>
    <row r="162">
      <c r="A162" s="15" t="inlineStr">
        <is>
          <t>1200003997</t>
        </is>
      </c>
      <c r="B162" s="15" t="inlineStr">
        <is>
          <t>Shem</t>
        </is>
      </c>
      <c r="C162" s="15" t="inlineStr">
        <is>
          <t>Insight on the Scriptures (it-2)</t>
        </is>
      </c>
      <c r="D162" s="15" t="n">
        <v>4</v>
      </c>
      <c r="E162" s="19" t="inlineStr">
        <is>
          <t>open</t>
        </is>
      </c>
      <c r="F162" s="15" t="n"/>
    </row>
    <row r="163">
      <c r="A163" s="15" t="inlineStr">
        <is>
          <t>1200002215</t>
        </is>
      </c>
      <c r="B163" s="15" t="inlineStr">
        <is>
          <t>Ishmael</t>
        </is>
      </c>
      <c r="C163" s="15" t="inlineStr">
        <is>
          <t>Insight on the Scriptures (it-1)</t>
        </is>
      </c>
      <c r="D163" s="15" t="n">
        <v>4</v>
      </c>
      <c r="E163" s="19" t="inlineStr">
        <is>
          <t>open</t>
        </is>
      </c>
      <c r="F163" s="15" t="n"/>
    </row>
    <row r="164">
      <c r="A164" s="15" t="inlineStr">
        <is>
          <t>1200001458</t>
        </is>
      </c>
      <c r="B164" s="15" t="inlineStr">
        <is>
          <t>Exodus</t>
        </is>
      </c>
      <c r="C164" s="15" t="inlineStr">
        <is>
          <t>Insight on the Scriptures (it)</t>
        </is>
      </c>
      <c r="D164" s="15" t="n">
        <v>4</v>
      </c>
      <c r="E164" s="19" t="inlineStr">
        <is>
          <t>open</t>
        </is>
      </c>
      <c r="F164" s="15" t="n"/>
    </row>
    <row r="165">
      <c r="A165" s="15" t="inlineStr">
        <is>
          <t>1101990067</t>
        </is>
      </c>
      <c r="B165" s="15" t="inlineStr">
        <is>
          <t>Bible Book Number 6—Joshua</t>
        </is>
      </c>
      <c r="C165" s="15" t="inlineStr">
        <is>
          <t>All Scripture Is Inspired (si)</t>
        </is>
      </c>
      <c r="D165" s="15" t="n">
        <v>4</v>
      </c>
      <c r="E165" s="19" t="inlineStr">
        <is>
          <t>open</t>
        </is>
      </c>
      <c r="F165" s="19" t="inlineStr">
        <is>
          <t>open</t>
        </is>
      </c>
    </row>
    <row r="166">
      <c r="A166" s="15" t="inlineStr">
        <is>
          <t>1200002523</t>
        </is>
      </c>
      <c r="B166" s="15" t="inlineStr">
        <is>
          <t>Joshua</t>
        </is>
      </c>
      <c r="C166" s="15" t="inlineStr">
        <is>
          <t>Insight on the Scriptures (it)</t>
        </is>
      </c>
      <c r="D166" s="15" t="n">
        <v>4</v>
      </c>
      <c r="E166" s="19" t="inlineStr">
        <is>
          <t>open</t>
        </is>
      </c>
      <c r="F166" s="15" t="n"/>
    </row>
    <row r="167">
      <c r="A167" s="15" t="inlineStr">
        <is>
          <t>1101990071</t>
        </is>
      </c>
      <c r="B167" s="15" t="inlineStr">
        <is>
          <t>Bible Book Number 10—2 Samuel</t>
        </is>
      </c>
      <c r="C167" s="15" t="inlineStr">
        <is>
          <t>All Scripture Is Inspired (si) Bible Book No. 10</t>
        </is>
      </c>
      <c r="D167" s="15" t="n">
        <v>4</v>
      </c>
      <c r="E167" s="19" t="inlineStr">
        <is>
          <t>open</t>
        </is>
      </c>
      <c r="F167" s="19" t="inlineStr">
        <is>
          <t>open</t>
        </is>
      </c>
    </row>
    <row r="168">
      <c r="A168" s="15" t="inlineStr">
        <is>
          <t>1101990092</t>
        </is>
      </c>
      <c r="B168" s="15" t="inlineStr">
        <is>
          <t>Bible Book Number 31—Obadiah</t>
        </is>
      </c>
      <c r="C168" s="15" t="inlineStr">
        <is>
          <t>All Scripture Is Inspired of God and Beneficial (si)</t>
        </is>
      </c>
      <c r="D168" s="15" t="n">
        <v>4</v>
      </c>
      <c r="E168" s="19" t="inlineStr">
        <is>
          <t>open</t>
        </is>
      </c>
      <c r="F168" s="19" t="inlineStr">
        <is>
          <t>open</t>
        </is>
      </c>
    </row>
    <row r="169">
      <c r="A169" s="15" t="inlineStr">
        <is>
          <t>1200000316</t>
        </is>
      </c>
      <c r="B169" s="15" t="inlineStr">
        <is>
          <t>Appointed Times of the Nations</t>
        </is>
      </c>
      <c r="C169" s="15" t="inlineStr">
        <is>
          <t>Insight on the Scriptures, Vol. 1 (it-1 “Appointed Times of the Nations”)</t>
        </is>
      </c>
      <c r="D169" s="15" t="n">
        <v>4</v>
      </c>
      <c r="E169" s="19" t="inlineStr">
        <is>
          <t>open</t>
        </is>
      </c>
      <c r="F169" s="15" t="n"/>
    </row>
    <row r="170">
      <c r="A170" s="15" t="inlineStr">
        <is>
          <t>1200001476</t>
        </is>
      </c>
      <c r="B170" s="15" t="inlineStr">
        <is>
          <t>Ezra, Book of</t>
        </is>
      </c>
      <c r="C170" s="15" t="inlineStr">
        <is>
          <t>Insight on the Scriptures</t>
        </is>
      </c>
      <c r="D170" s="15" t="n">
        <v>4</v>
      </c>
      <c r="E170" s="19" t="inlineStr">
        <is>
          <t>open</t>
        </is>
      </c>
      <c r="F170" s="15" t="n"/>
    </row>
    <row r="171">
      <c r="A171" s="15" t="inlineStr">
        <is>
          <t>1200000142</t>
        </is>
      </c>
      <c r="B171" s="15" t="inlineStr">
        <is>
          <t>Ahasuerus</t>
        </is>
      </c>
      <c r="C171" s="15" t="inlineStr">
        <is>
          <t>Insight on the Scriptures</t>
        </is>
      </c>
      <c r="D171" s="15" t="n">
        <v>4</v>
      </c>
      <c r="E171" s="19" t="inlineStr">
        <is>
          <t>open</t>
        </is>
      </c>
      <c r="F171" s="15" t="n"/>
    </row>
    <row r="172">
      <c r="A172" s="15" t="inlineStr">
        <is>
          <t>1200004682</t>
        </is>
      </c>
      <c r="B172" s="15" t="inlineStr">
        <is>
          <t>Zechariah, Book of</t>
        </is>
      </c>
      <c r="C172" s="15" t="inlineStr">
        <is>
          <t>Insight on the Scriptures</t>
        </is>
      </c>
      <c r="D172" s="15" t="n">
        <v>4</v>
      </c>
      <c r="E172" s="19" t="inlineStr">
        <is>
          <t>open</t>
        </is>
      </c>
      <c r="F172" s="15" t="n"/>
    </row>
    <row r="173">
      <c r="A173" s="15" t="inlineStr">
        <is>
          <t>1200003212</t>
        </is>
      </c>
      <c r="B173" s="15" t="inlineStr">
        <is>
          <t>Nehemiah</t>
        </is>
      </c>
      <c r="C173" s="15" t="inlineStr">
        <is>
          <t>Insight on the Scriptures</t>
        </is>
      </c>
      <c r="D173" s="15" t="n">
        <v>4</v>
      </c>
      <c r="E173" s="19" t="inlineStr">
        <is>
          <t>open</t>
        </is>
      </c>
      <c r="F173" s="15" t="n"/>
    </row>
    <row r="174">
      <c r="A174" s="15" t="inlineStr">
        <is>
          <t>1200000192</t>
        </is>
      </c>
      <c r="B174" s="15" t="inlineStr">
        <is>
          <t>Alexander</t>
        </is>
      </c>
      <c r="C174" s="15" t="inlineStr">
        <is>
          <t>Insight on the Scriptures</t>
        </is>
      </c>
      <c r="D174" s="15" t="n">
        <v>4</v>
      </c>
      <c r="E174" s="19" t="inlineStr">
        <is>
          <t>open</t>
        </is>
      </c>
      <c r="F174" s="15" t="n"/>
    </row>
    <row r="175">
      <c r="A175" s="15" t="inlineStr">
        <is>
          <t>1200002773</t>
        </is>
      </c>
      <c r="B175" s="15" t="inlineStr">
        <is>
          <t>Lord’s Evening Meal</t>
        </is>
      </c>
      <c r="C175" s="15" t="inlineStr">
        <is>
          <t>Insight on the Scriptures (it-2)</t>
        </is>
      </c>
      <c r="D175" s="15" t="n">
        <v>4</v>
      </c>
      <c r="E175" s="19" t="inlineStr">
        <is>
          <t>open</t>
        </is>
      </c>
      <c r="F175" s="15" t="n"/>
    </row>
    <row r="176">
      <c r="A176" s="15" t="inlineStr">
        <is>
          <t>1001070233</t>
        </is>
      </c>
      <c r="B176" s="15" t="inlineStr">
        <is>
          <t>B12-B The Final Week of Jesus’ Life on Earth (Part 2)</t>
        </is>
      </c>
      <c r="C176" s="15" t="inlineStr">
        <is>
          <t>NWT Study Edition (nwtsty) App. B12-B</t>
        </is>
      </c>
      <c r="D176" s="15" t="n">
        <v>4</v>
      </c>
      <c r="E176" s="19" t="inlineStr">
        <is>
          <t>open</t>
        </is>
      </c>
      <c r="F176" s="19" t="inlineStr">
        <is>
          <t>open</t>
        </is>
      </c>
    </row>
    <row r="177">
      <c r="A177" s="15" t="inlineStr">
        <is>
          <t>1200003451</t>
        </is>
      </c>
      <c r="B177" s="15" t="inlineStr">
        <is>
          <t>Peter</t>
        </is>
      </c>
      <c r="C177" s="15" t="inlineStr">
        <is>
          <t>Insight (it-2)</t>
        </is>
      </c>
      <c r="D177" s="15" t="n">
        <v>4</v>
      </c>
      <c r="E177" s="19" t="inlineStr">
        <is>
          <t>open</t>
        </is>
      </c>
      <c r="F177" s="15" t="n"/>
    </row>
    <row r="178">
      <c r="A178" s="15" t="inlineStr">
        <is>
          <t>1200001502</t>
        </is>
      </c>
      <c r="B178" s="15" t="inlineStr">
        <is>
          <t>Felix</t>
        </is>
      </c>
      <c r="C178" s="15" t="inlineStr">
        <is>
          <t>Insight (it-1)</t>
        </is>
      </c>
      <c r="D178" s="15" t="n">
        <v>4</v>
      </c>
      <c r="E178" s="19" t="inlineStr">
        <is>
          <t>open</t>
        </is>
      </c>
      <c r="F178" s="15" t="n"/>
    </row>
    <row r="179">
      <c r="A179" s="15" t="inlineStr">
        <is>
          <t>1200003452</t>
        </is>
      </c>
      <c r="B179" s="15" t="inlineStr">
        <is>
          <t>Peter, Letters of</t>
        </is>
      </c>
      <c r="C179" s="15" t="inlineStr">
        <is>
          <t>Insight (it-2)</t>
        </is>
      </c>
      <c r="D179" s="15" t="n">
        <v>4</v>
      </c>
      <c r="E179" s="19" t="inlineStr">
        <is>
          <t>open</t>
        </is>
      </c>
      <c r="F179" s="15" t="n"/>
    </row>
    <row r="180">
      <c r="A180" s="15" t="inlineStr">
        <is>
          <t>1990760</t>
        </is>
      </c>
      <c r="B180" s="15" t="inlineStr">
        <is>
          <t>Masada—Why Did It Happen?</t>
        </is>
      </c>
      <c r="C180" s="15" t="inlineStr">
        <is>
          <t>Watchtower 1990 10/15</t>
        </is>
      </c>
      <c r="D180" s="15" t="n">
        <v>4</v>
      </c>
      <c r="E180" s="19" t="inlineStr">
        <is>
          <t>open</t>
        </is>
      </c>
      <c r="F180" s="15" t="n"/>
    </row>
    <row r="181">
      <c r="A181" s="15" t="inlineStr">
        <is>
          <t>1991804</t>
        </is>
      </c>
      <c r="B181" s="15" t="inlineStr">
        <is>
          <t>Part 1—Did Jesus and His Disciples Teach the Trinity Doctrine?</t>
        </is>
      </c>
      <c r="C181" s="15" t="inlineStr">
        <is>
          <t>Watchtower 1991 11/1</t>
        </is>
      </c>
      <c r="D181" s="15" t="n">
        <v>4</v>
      </c>
      <c r="E181" s="19" t="inlineStr">
        <is>
          <t>open</t>
        </is>
      </c>
      <c r="F181" s="15" t="n"/>
    </row>
    <row r="182">
      <c r="A182" s="15" t="inlineStr">
        <is>
          <t>101997327</t>
        </is>
      </c>
      <c r="B182" s="15" t="inlineStr">
        <is>
          <t>The Trial and Execution of a “Heretic”</t>
        </is>
      </c>
      <c r="C182" s="15" t="inlineStr">
        <is>
          <t>Awake! 1997 5/8</t>
        </is>
      </c>
      <c r="D182" s="15" t="n">
        <v>4</v>
      </c>
      <c r="E182" s="19" t="inlineStr">
        <is>
          <t>open</t>
        </is>
      </c>
      <c r="F182" s="19" t="inlineStr">
        <is>
          <t>open</t>
        </is>
      </c>
    </row>
    <row r="183">
      <c r="A183" s="15" t="inlineStr">
        <is>
          <t>2004205</t>
        </is>
      </c>
      <c r="B183" s="15" t="inlineStr">
        <is>
          <t>The Peace of Westphalia—A Turning Point in Europe</t>
        </is>
      </c>
      <c r="C183" s="15" t="inlineStr">
        <is>
          <t>Watchtower 2004 3/15</t>
        </is>
      </c>
      <c r="D183" s="15" t="n">
        <v>4</v>
      </c>
      <c r="E183" s="19" t="inlineStr">
        <is>
          <t>open</t>
        </is>
      </c>
      <c r="F183" s="19" t="inlineStr">
        <is>
          <t>open</t>
        </is>
      </c>
    </row>
    <row r="184">
      <c r="A184" s="15" t="inlineStr">
        <is>
          <t>2013533</t>
        </is>
      </c>
      <c r="B184" s="15" t="inlineStr">
        <is>
          <t>“Who Really Is the Faithful and Discreet Slave?”</t>
        </is>
      </c>
      <c r="C184" s="15" t="inlineStr">
        <is>
          <t>The Watchtower 2013 7/15</t>
        </is>
      </c>
      <c r="D184" s="15" t="n">
        <v>4</v>
      </c>
      <c r="E184" s="19" t="inlineStr">
        <is>
          <t>open</t>
        </is>
      </c>
      <c r="F184" s="19" t="inlineStr">
        <is>
          <t>open</t>
        </is>
      </c>
    </row>
    <row r="185">
      <c r="A185" s="15" t="inlineStr">
        <is>
          <t>2005721</t>
        </is>
      </c>
      <c r="B185" s="15" t="inlineStr">
        <is>
          <t>Do You Recognize the Sign of Jesus’ Presence?</t>
        </is>
      </c>
      <c r="C185" s="15" t="inlineStr">
        <is>
          <t>The Watchtower, October 1, 2005 (w05 10/1 pp. 4-7)</t>
        </is>
      </c>
      <c r="D185" s="15" t="n">
        <v>4</v>
      </c>
      <c r="E185" s="19" t="inlineStr">
        <is>
          <t>open</t>
        </is>
      </c>
      <c r="F185" s="19" t="inlineStr">
        <is>
          <t>open</t>
        </is>
      </c>
    </row>
    <row r="186">
      <c r="A186" s="15" t="inlineStr">
        <is>
          <t>2022401</t>
        </is>
      </c>
      <c r="B186" s="15" t="inlineStr">
        <is>
          <t>Revelation—What It Means for God’s Enemies</t>
        </is>
      </c>
      <c r="C186" s="15" t="inlineStr">
        <is>
          <t>The Watchtower (Study), May 2022 (w22.05)</t>
        </is>
      </c>
      <c r="D186" s="15" t="n">
        <v>4</v>
      </c>
      <c r="E186" s="19" t="inlineStr">
        <is>
          <t>open</t>
        </is>
      </c>
      <c r="F186" s="19" t="inlineStr">
        <is>
          <t>open</t>
        </is>
      </c>
    </row>
    <row r="187">
      <c r="A187" s="15" t="inlineStr">
        <is>
          <t>2014922</t>
        </is>
      </c>
      <c r="B187" s="15" t="inlineStr">
        <is>
          <t>He ‘Knew the Way’</t>
        </is>
      </c>
      <c r="C187" s="15" t="inlineStr">
        <is>
          <t>Watchtower 2014 12/15</t>
        </is>
      </c>
      <c r="D187" s="15" t="n">
        <v>4</v>
      </c>
      <c r="E187" s="19" t="inlineStr">
        <is>
          <t>open</t>
        </is>
      </c>
      <c r="F187" s="19" t="inlineStr">
        <is>
          <t>open</t>
        </is>
      </c>
    </row>
    <row r="188">
      <c r="A188" s="15" t="inlineStr">
        <is>
          <t>2024287</t>
        </is>
      </c>
      <c r="B188" s="15" t="inlineStr">
        <is>
          <t>Two New Members of the Governing Body</t>
        </is>
      </c>
      <c r="C188" s="15" t="inlineStr">
        <is>
          <t>The Watchtower (w24 February pp. 28-29)</t>
        </is>
      </c>
      <c r="D188" s="15" t="n">
        <v>4</v>
      </c>
      <c r="E188" s="19" t="inlineStr">
        <is>
          <t>open</t>
        </is>
      </c>
      <c r="F188" s="19" t="inlineStr">
        <is>
          <t>open</t>
        </is>
      </c>
    </row>
    <row r="189">
      <c r="A189" s="15" t="inlineStr">
        <is>
          <t>1200000089</t>
        </is>
      </c>
      <c r="B189" s="15" t="inlineStr">
        <is>
          <t>Adam</t>
        </is>
      </c>
      <c r="C189" s="15" t="inlineStr">
        <is>
          <t>Insight on the Scriptures (it-1)</t>
        </is>
      </c>
      <c r="D189" s="15" t="n">
        <v>3</v>
      </c>
      <c r="E189" s="19" t="inlineStr">
        <is>
          <t>open</t>
        </is>
      </c>
      <c r="F189" s="15" t="n"/>
    </row>
    <row r="190">
      <c r="A190" s="15" t="inlineStr">
        <is>
          <t>1200003911</t>
        </is>
      </c>
      <c r="B190" s="15" t="inlineStr">
        <is>
          <t>Seth</t>
        </is>
      </c>
      <c r="C190" s="15" t="inlineStr">
        <is>
          <t>Insight on the Scriptures (it-2)</t>
        </is>
      </c>
      <c r="D190" s="15" t="n">
        <v>3</v>
      </c>
      <c r="E190" s="19" t="inlineStr">
        <is>
          <t>open</t>
        </is>
      </c>
      <c r="F190" s="15" t="n"/>
    </row>
    <row r="191">
      <c r="A191" s="15" t="inlineStr">
        <is>
          <t>1200002329</t>
        </is>
      </c>
      <c r="B191" s="15" t="inlineStr">
        <is>
          <t>Jared</t>
        </is>
      </c>
      <c r="C191" s="15" t="inlineStr">
        <is>
          <t>Insight on the Scriptures (it-1)</t>
        </is>
      </c>
      <c r="D191" s="15" t="n">
        <v>3</v>
      </c>
      <c r="E191" s="19" t="inlineStr">
        <is>
          <t>open</t>
        </is>
      </c>
      <c r="F191" s="15" t="n"/>
    </row>
    <row r="192">
      <c r="A192" s="15" t="inlineStr">
        <is>
          <t>1200000367</t>
        </is>
      </c>
      <c r="B192" s="15" t="inlineStr">
        <is>
          <t>Ark</t>
        </is>
      </c>
      <c r="C192" s="15" t="inlineStr">
        <is>
          <t>Insight on the Scriptures (it-1)</t>
        </is>
      </c>
      <c r="D192" s="15" t="n">
        <v>3</v>
      </c>
      <c r="E192" s="19" t="inlineStr">
        <is>
          <t>open</t>
        </is>
      </c>
      <c r="F192" s="15" t="n"/>
    </row>
    <row r="193">
      <c r="A193" s="15" t="inlineStr">
        <is>
          <t>1200003988</t>
        </is>
      </c>
      <c r="B193" s="15" t="inlineStr">
        <is>
          <t>Shelah</t>
        </is>
      </c>
      <c r="C193" s="15" t="inlineStr">
        <is>
          <t>Insight on the Scriptures (it-2)</t>
        </is>
      </c>
      <c r="D193" s="15" t="n">
        <v>3</v>
      </c>
      <c r="E193" s="19" t="inlineStr">
        <is>
          <t>open</t>
        </is>
      </c>
      <c r="F193" s="15" t="n"/>
    </row>
    <row r="194">
      <c r="A194" s="15" t="inlineStr">
        <is>
          <t>1200003421</t>
        </is>
      </c>
      <c r="B194" s="15" t="inlineStr">
        <is>
          <t>Peleg</t>
        </is>
      </c>
      <c r="C194" s="15" t="inlineStr">
        <is>
          <t>Insight on the Scriptures (it-2)</t>
        </is>
      </c>
      <c r="D194" s="15" t="n">
        <v>3</v>
      </c>
      <c r="E194" s="19" t="inlineStr">
        <is>
          <t>open</t>
        </is>
      </c>
      <c r="F194" s="15" t="n"/>
    </row>
    <row r="195">
      <c r="A195" s="15" t="inlineStr">
        <is>
          <t>1200003712</t>
        </is>
      </c>
      <c r="B195" s="15" t="inlineStr">
        <is>
          <t>Reu</t>
        </is>
      </c>
      <c r="C195" s="15" t="inlineStr">
        <is>
          <t>Insight on the Scriptures (it-2)</t>
        </is>
      </c>
      <c r="D195" s="15" t="n">
        <v>3</v>
      </c>
      <c r="E195" s="19" t="inlineStr">
        <is>
          <t>open</t>
        </is>
      </c>
      <c r="F195" s="15" t="n"/>
    </row>
    <row r="196">
      <c r="A196" s="15" t="inlineStr">
        <is>
          <t>1200003909</t>
        </is>
      </c>
      <c r="B196" s="15" t="inlineStr">
        <is>
          <t>Serug</t>
        </is>
      </c>
      <c r="C196" s="15" t="inlineStr">
        <is>
          <t>Insight on the Scriptures (it-2)</t>
        </is>
      </c>
      <c r="D196" s="15" t="n">
        <v>3</v>
      </c>
      <c r="E196" s="19" t="inlineStr">
        <is>
          <t>open</t>
        </is>
      </c>
      <c r="F196" s="15" t="n"/>
    </row>
    <row r="197">
      <c r="A197" s="15" t="inlineStr">
        <is>
          <t>1200003170</t>
        </is>
      </c>
      <c r="B197" s="15" t="inlineStr">
        <is>
          <t>Nahor</t>
        </is>
      </c>
      <c r="C197" s="15" t="inlineStr">
        <is>
          <t>Insight on the Scriptures (it-2)</t>
        </is>
      </c>
      <c r="D197" s="15" t="n">
        <v>3</v>
      </c>
      <c r="E197" s="19" t="inlineStr">
        <is>
          <t>open</t>
        </is>
      </c>
      <c r="F197" s="15" t="n"/>
    </row>
    <row r="198">
      <c r="A198" s="15" t="inlineStr">
        <is>
          <t>1200001650</t>
        </is>
      </c>
      <c r="B198" s="15" t="inlineStr">
        <is>
          <t>Genesis, Book of</t>
        </is>
      </c>
      <c r="C198" s="15" t="inlineStr">
        <is>
          <t>Insight on the Scriptures (it)</t>
        </is>
      </c>
      <c r="D198" s="15" t="n">
        <v>3</v>
      </c>
      <c r="E198" s="19" t="inlineStr">
        <is>
          <t>open</t>
        </is>
      </c>
      <c r="F198" s="15" t="n"/>
    </row>
    <row r="199">
      <c r="A199" s="15" t="inlineStr">
        <is>
          <t>1200000005</t>
        </is>
      </c>
      <c r="B199" s="15" t="inlineStr">
        <is>
          <t>Aaron</t>
        </is>
      </c>
      <c r="C199" s="15" t="inlineStr">
        <is>
          <t>Insight on the Scriptures (it)</t>
        </is>
      </c>
      <c r="D199" s="15" t="n">
        <v>3</v>
      </c>
      <c r="E199" s="19" t="inlineStr">
        <is>
          <t>open</t>
        </is>
      </c>
      <c r="F199" s="15" t="n"/>
    </row>
    <row r="200">
      <c r="A200" s="15" t="inlineStr">
        <is>
          <t>1101990066</t>
        </is>
      </c>
      <c r="B200" s="15" t="inlineStr">
        <is>
          <t>Bible Book Number 5—Deuteronomy</t>
        </is>
      </c>
      <c r="C200" s="15" t="inlineStr">
        <is>
          <t>All Scripture Is Inspired (si)</t>
        </is>
      </c>
      <c r="D200" s="15" t="n">
        <v>3</v>
      </c>
      <c r="E200" s="19" t="inlineStr">
        <is>
          <t>open</t>
        </is>
      </c>
      <c r="F200" s="19" t="inlineStr">
        <is>
          <t>open</t>
        </is>
      </c>
    </row>
    <row r="201">
      <c r="A201" s="15" t="inlineStr">
        <is>
          <t>1200001065</t>
        </is>
      </c>
      <c r="B201" s="15" t="inlineStr">
        <is>
          <t>Exodus From Egypt (feature)</t>
        </is>
      </c>
      <c r="C201" s="15" t="inlineStr">
        <is>
          <t>Insight on the Scriptures (it)</t>
        </is>
      </c>
      <c r="D201" s="15" t="n">
        <v>3</v>
      </c>
      <c r="E201" s="19" t="inlineStr">
        <is>
          <t>open</t>
        </is>
      </c>
      <c r="F201" s="15" t="n"/>
    </row>
    <row r="202">
      <c r="A202" s="15" t="inlineStr">
        <is>
          <t>1200003397</t>
        </is>
      </c>
      <c r="B202" s="15" t="inlineStr">
        <is>
          <t>Passover</t>
        </is>
      </c>
      <c r="C202" s="15" t="inlineStr">
        <is>
          <t>Insight on the Scriptures (it)</t>
        </is>
      </c>
      <c r="D202" s="15" t="n">
        <v>3</v>
      </c>
      <c r="E202" s="19" t="inlineStr">
        <is>
          <t>open</t>
        </is>
      </c>
      <c r="F202" s="15" t="n"/>
    </row>
    <row r="203">
      <c r="A203" s="15" t="inlineStr">
        <is>
          <t>1001061223</t>
        </is>
      </c>
      <c r="B203" s="15" t="inlineStr">
        <is>
          <t>B3 The Exodus From Egypt</t>
        </is>
      </c>
      <c r="C203" s="15" t="inlineStr">
        <is>
          <t>New World Translation App. B3</t>
        </is>
      </c>
      <c r="D203" s="15" t="n">
        <v>3</v>
      </c>
      <c r="E203" s="19" t="inlineStr">
        <is>
          <t>open</t>
        </is>
      </c>
      <c r="F203" s="19" t="inlineStr">
        <is>
          <t>open</t>
        </is>
      </c>
    </row>
    <row r="204">
      <c r="A204" s="15" t="inlineStr">
        <is>
          <t>1200001130</t>
        </is>
      </c>
      <c r="B204" s="15" t="inlineStr">
        <is>
          <t>David</t>
        </is>
      </c>
      <c r="C204" s="15" t="inlineStr">
        <is>
          <t>Insight (it-1) "David"</t>
        </is>
      </c>
      <c r="D204" s="15" t="n">
        <v>3</v>
      </c>
      <c r="E204" s="19" t="inlineStr">
        <is>
          <t>open</t>
        </is>
      </c>
      <c r="F204" s="15" t="n"/>
    </row>
    <row r="205">
      <c r="A205" s="15" t="inlineStr">
        <is>
          <t>1101990093</t>
        </is>
      </c>
      <c r="B205" s="15" t="inlineStr">
        <is>
          <t>Bible Book Number 32—Jonah</t>
        </is>
      </c>
      <c r="C205" s="15" t="inlineStr">
        <is>
          <t>All Scripture Is Inspired (si) Bible Book No. 32</t>
        </is>
      </c>
      <c r="D205" s="15" t="n">
        <v>3</v>
      </c>
      <c r="E205" s="19" t="inlineStr">
        <is>
          <t>open</t>
        </is>
      </c>
      <c r="F205" s="19" t="inlineStr">
        <is>
          <t>open</t>
        </is>
      </c>
    </row>
    <row r="206">
      <c r="A206" s="15" t="inlineStr">
        <is>
          <t>1101990085</t>
        </is>
      </c>
      <c r="B206" s="15" t="inlineStr">
        <is>
          <t>Bible Book Number 24—Jeremiah</t>
        </is>
      </c>
      <c r="C206" s="15" t="inlineStr">
        <is>
          <t>All Scripture Is Inspired (si) Bible Book No. 24</t>
        </is>
      </c>
      <c r="D206" s="15" t="n">
        <v>3</v>
      </c>
      <c r="E206" s="19" t="inlineStr">
        <is>
          <t>open</t>
        </is>
      </c>
      <c r="F206" s="19" t="inlineStr">
        <is>
          <t>open</t>
        </is>
      </c>
    </row>
    <row r="207">
      <c r="A207" s="15" t="inlineStr">
        <is>
          <t>1101990095</t>
        </is>
      </c>
      <c r="B207" s="15" t="inlineStr">
        <is>
          <t>Bible Book Number 34—Nahum</t>
        </is>
      </c>
      <c r="C207" s="15" t="inlineStr">
        <is>
          <t>All Scripture Is Inspired of God and Beneficial (si)</t>
        </is>
      </c>
      <c r="D207" s="15" t="n">
        <v>3</v>
      </c>
      <c r="E207" s="19" t="inlineStr">
        <is>
          <t>open</t>
        </is>
      </c>
      <c r="F207" s="19" t="inlineStr">
        <is>
          <t>open</t>
        </is>
      </c>
    </row>
    <row r="208">
      <c r="A208" s="15" t="inlineStr">
        <is>
          <t>1101990096</t>
        </is>
      </c>
      <c r="B208" s="15" t="inlineStr">
        <is>
          <t>Bible Book Number 35—Habakkuk</t>
        </is>
      </c>
      <c r="C208" s="15" t="inlineStr">
        <is>
          <t>All Scripture Is Inspired of God and Beneficial (si)</t>
        </is>
      </c>
      <c r="D208" s="15" t="n">
        <v>3</v>
      </c>
      <c r="E208" s="19" t="inlineStr">
        <is>
          <t>open</t>
        </is>
      </c>
      <c r="F208" s="19" t="inlineStr">
        <is>
          <t>open</t>
        </is>
      </c>
    </row>
    <row r="209">
      <c r="A209" s="15" t="inlineStr">
        <is>
          <t>1200004716</t>
        </is>
      </c>
      <c r="B209" s="15" t="inlineStr">
        <is>
          <t>Zerubbabel</t>
        </is>
      </c>
      <c r="C209" s="15" t="inlineStr">
        <is>
          <t>Insight on the Scriptures</t>
        </is>
      </c>
      <c r="D209" s="15" t="n">
        <v>3</v>
      </c>
      <c r="E209" s="19" t="inlineStr">
        <is>
          <t>open</t>
        </is>
      </c>
      <c r="F209" s="15" t="n"/>
    </row>
    <row r="210">
      <c r="A210" s="15" t="inlineStr">
        <is>
          <t>1101990098</t>
        </is>
      </c>
      <c r="B210" s="15" t="inlineStr">
        <is>
          <t>Bible Book Number 37—Haggai</t>
        </is>
      </c>
      <c r="C210" s="15" t="inlineStr">
        <is>
          <t>All Scripture Is Inspired (si)</t>
        </is>
      </c>
      <c r="D210" s="15" t="n">
        <v>3</v>
      </c>
      <c r="E210" s="19" t="inlineStr">
        <is>
          <t>open</t>
        </is>
      </c>
      <c r="F210" s="19" t="inlineStr">
        <is>
          <t>open</t>
        </is>
      </c>
    </row>
    <row r="211">
      <c r="A211" s="15" t="inlineStr">
        <is>
          <t>1101990099</t>
        </is>
      </c>
      <c r="B211" s="15" t="inlineStr">
        <is>
          <t>Bible Book Number 38—Zechariah</t>
        </is>
      </c>
      <c r="C211" s="15" t="inlineStr">
        <is>
          <t>All Scripture Is Inspired (si)</t>
        </is>
      </c>
      <c r="D211" s="15" t="n">
        <v>3</v>
      </c>
      <c r="E211" s="19" t="inlineStr">
        <is>
          <t>open</t>
        </is>
      </c>
      <c r="F211" s="19" t="inlineStr">
        <is>
          <t>open</t>
        </is>
      </c>
    </row>
    <row r="212">
      <c r="A212" s="15" t="inlineStr">
        <is>
          <t>1200003213</t>
        </is>
      </c>
      <c r="B212" s="15" t="inlineStr">
        <is>
          <t>Nehemiah, Book of</t>
        </is>
      </c>
      <c r="C212" s="15" t="inlineStr">
        <is>
          <t>Insight on the Scriptures</t>
        </is>
      </c>
      <c r="D212" s="15" t="n">
        <v>3</v>
      </c>
      <c r="E212" s="19" t="inlineStr">
        <is>
          <t>open</t>
        </is>
      </c>
      <c r="F212" s="15" t="n"/>
    </row>
    <row r="213">
      <c r="A213" s="15" t="inlineStr">
        <is>
          <t>1101990077</t>
        </is>
      </c>
      <c r="B213" s="15" t="inlineStr">
        <is>
          <t>Bible Book Number 16—Nehemiah</t>
        </is>
      </c>
      <c r="C213" s="15" t="inlineStr">
        <is>
          <t>All Scripture Is Inspired (si)</t>
        </is>
      </c>
      <c r="D213" s="15" t="n">
        <v>3</v>
      </c>
      <c r="E213" s="19" t="inlineStr">
        <is>
          <t>open</t>
        </is>
      </c>
      <c r="F213" s="19" t="inlineStr">
        <is>
          <t>open</t>
        </is>
      </c>
    </row>
    <row r="214">
      <c r="A214" s="15" t="inlineStr">
        <is>
          <t>1200002313</t>
        </is>
      </c>
      <c r="B214" s="15" t="inlineStr">
        <is>
          <t>James</t>
        </is>
      </c>
      <c r="C214" s="15" t="inlineStr">
        <is>
          <t>Insight (it-2)</t>
        </is>
      </c>
      <c r="D214" s="15" t="n">
        <v>3</v>
      </c>
      <c r="E214" s="19" t="inlineStr">
        <is>
          <t>open</t>
        </is>
      </c>
      <c r="F214" s="15" t="n"/>
    </row>
    <row r="215">
      <c r="A215" s="15" t="inlineStr">
        <is>
          <t>1001070701</t>
        </is>
      </c>
      <c r="B215" s="15" t="inlineStr">
        <is>
          <t>Acts Study Notes—Chapter 12</t>
        </is>
      </c>
      <c r="C215" s="15" t="inlineStr">
        <is>
          <t>NWT Study Edition, Acts study notes</t>
        </is>
      </c>
      <c r="D215" s="15" t="n">
        <v>3</v>
      </c>
      <c r="E215" s="19" t="inlineStr">
        <is>
          <t>open</t>
        </is>
      </c>
      <c r="F215" s="15" t="n"/>
    </row>
    <row r="216">
      <c r="A216" s="15" t="inlineStr">
        <is>
          <t>1001070700</t>
        </is>
      </c>
      <c r="B216" s="15" t="inlineStr">
        <is>
          <t>Acts Study Notes—Chapter 11</t>
        </is>
      </c>
      <c r="C216" s="15" t="inlineStr">
        <is>
          <t>NWT Study Edition, Acts study notes</t>
        </is>
      </c>
      <c r="D216" s="15" t="n">
        <v>3</v>
      </c>
      <c r="E216" s="19" t="inlineStr">
        <is>
          <t>open</t>
        </is>
      </c>
      <c r="F216" s="15" t="n"/>
    </row>
    <row r="217">
      <c r="A217" s="15" t="inlineStr">
        <is>
          <t>1001070707</t>
        </is>
      </c>
      <c r="B217" s="15" t="inlineStr">
        <is>
          <t>Acts Study Notes—Chapter 18</t>
        </is>
      </c>
      <c r="C217" s="15" t="inlineStr">
        <is>
          <t>NWT Study Edition, Acts study notes</t>
        </is>
      </c>
      <c r="D217" s="15" t="n">
        <v>3</v>
      </c>
      <c r="E217" s="19" t="inlineStr">
        <is>
          <t>open</t>
        </is>
      </c>
      <c r="F217" s="15" t="n"/>
    </row>
    <row r="218">
      <c r="A218" s="15" t="inlineStr">
        <is>
          <t>1001070705</t>
        </is>
      </c>
      <c r="B218" s="15" t="inlineStr">
        <is>
          <t>Acts Study Notes—Chapter 16</t>
        </is>
      </c>
      <c r="C218" s="15" t="inlineStr">
        <is>
          <t>NWT Study Edition, Acts study notes</t>
        </is>
      </c>
      <c r="D218" s="15" t="n">
        <v>3</v>
      </c>
      <c r="E218" s="19" t="inlineStr">
        <is>
          <t>open</t>
        </is>
      </c>
      <c r="F218" s="15" t="n"/>
    </row>
    <row r="219">
      <c r="A219" s="15" t="inlineStr">
        <is>
          <t>1200001193</t>
        </is>
      </c>
      <c r="B219" s="15" t="inlineStr">
        <is>
          <t>Disgusting Thing, Also Loathsome Thing</t>
        </is>
      </c>
      <c r="C219" s="15" t="inlineStr">
        <is>
          <t>Insight (it-1)</t>
        </is>
      </c>
      <c r="D219" s="15" t="n">
        <v>3</v>
      </c>
      <c r="E219" s="19" t="inlineStr">
        <is>
          <t>open</t>
        </is>
      </c>
      <c r="F219" s="15" t="n"/>
    </row>
    <row r="220">
      <c r="A220" s="15" t="inlineStr">
        <is>
          <t>1200000880</t>
        </is>
      </c>
      <c r="B220" s="15" t="inlineStr">
        <is>
          <t>Canon</t>
        </is>
      </c>
      <c r="C220" s="15" t="inlineStr">
        <is>
          <t>Insight (it-1) "Canon"</t>
        </is>
      </c>
      <c r="D220" s="15" t="n">
        <v>3</v>
      </c>
      <c r="E220" s="19" t="inlineStr">
        <is>
          <t>open</t>
        </is>
      </c>
      <c r="F220" s="15" t="n"/>
    </row>
    <row r="221">
      <c r="A221" s="15" t="inlineStr">
        <is>
          <t>1101989032</t>
        </is>
      </c>
      <c r="B221" s="15" t="inlineStr">
        <is>
          <t>The Bible’s Fight to Live</t>
        </is>
      </c>
      <c r="C221" s="15" t="inlineStr">
        <is>
          <t>The Bible—God's Word or Man's? (gm) chap. 2</t>
        </is>
      </c>
      <c r="D221" s="15" t="n">
        <v>3</v>
      </c>
      <c r="E221" s="19" t="inlineStr">
        <is>
          <t>open</t>
        </is>
      </c>
      <c r="F221" s="15" t="n"/>
    </row>
    <row r="222">
      <c r="A222" s="15" t="inlineStr">
        <is>
          <t>1200000756</t>
        </is>
      </c>
      <c r="B222" s="15" t="inlineStr">
        <is>
          <t>How We Got the Bible</t>
        </is>
      </c>
      <c r="C222" s="15" t="inlineStr">
        <is>
          <t>Insight (it-1) "How We Got the Bible"</t>
        </is>
      </c>
      <c r="D222" s="15" t="n">
        <v>3</v>
      </c>
      <c r="E222" s="19" t="inlineStr">
        <is>
          <t>open</t>
        </is>
      </c>
      <c r="F222" s="15" t="n"/>
    </row>
    <row r="223">
      <c r="A223" s="15" t="inlineStr">
        <is>
          <t>2009251</t>
        </is>
      </c>
      <c r="B223" s="15" t="inlineStr">
        <is>
          <t>Even in a Dead Language, the Bible Is Alive</t>
        </is>
      </c>
      <c r="C223" s="15" t="inlineStr">
        <is>
          <t>Watchtower 2009 4/1</t>
        </is>
      </c>
      <c r="D223" s="15" t="n">
        <v>3</v>
      </c>
      <c r="E223" s="19" t="inlineStr">
        <is>
          <t>open</t>
        </is>
      </c>
      <c r="F223" s="15" t="n"/>
    </row>
    <row r="224">
      <c r="A224" s="15" t="inlineStr">
        <is>
          <t>1200000305</t>
        </is>
      </c>
      <c r="B224" s="15" t="inlineStr">
        <is>
          <t>Apocrypha</t>
        </is>
      </c>
      <c r="C224" s="15" t="inlineStr">
        <is>
          <t>Insight (it-1) "Apocrypha"</t>
        </is>
      </c>
      <c r="D224" s="15" t="n">
        <v>3</v>
      </c>
      <c r="E224" s="19" t="inlineStr">
        <is>
          <t>open</t>
        </is>
      </c>
      <c r="F224" s="15" t="n"/>
    </row>
    <row r="225">
      <c r="A225" s="15" t="inlineStr">
        <is>
          <t>501100071</t>
        </is>
      </c>
      <c r="B225" s="15" t="inlineStr">
        <is>
          <t>Huldrych Zwingli’s Search for Bible Truth</t>
        </is>
      </c>
      <c r="C225" s="15" t="inlineStr">
        <is>
          <t>jw.org More Topics (mrt) article 78</t>
        </is>
      </c>
      <c r="D225" s="15" t="n">
        <v>3</v>
      </c>
      <c r="E225" s="19" t="inlineStr">
        <is>
          <t>open</t>
        </is>
      </c>
      <c r="F225" s="19" t="inlineStr">
        <is>
          <t>open</t>
        </is>
      </c>
    </row>
    <row r="226">
      <c r="A226" s="15" t="inlineStr">
        <is>
          <t>1977526</t>
        </is>
      </c>
      <c r="B226" s="15" t="inlineStr">
        <is>
          <t>“Firm to the End”</t>
        </is>
      </c>
      <c r="C226" s="15" t="inlineStr">
        <is>
          <t>Watchtower 1977 9/1</t>
        </is>
      </c>
      <c r="D226" s="15" t="n">
        <v>3</v>
      </c>
      <c r="E226" s="19" t="inlineStr">
        <is>
          <t>open</t>
        </is>
      </c>
      <c r="F226" s="15" t="n"/>
    </row>
    <row r="227">
      <c r="A227" s="15" t="inlineStr">
        <is>
          <t>1977564</t>
        </is>
      </c>
      <c r="B227" s="15" t="inlineStr">
        <is>
          <t>New Watch Tower President Elected</t>
        </is>
      </c>
      <c r="C227" s="15" t="inlineStr">
        <is>
          <t>Watchtower 1977</t>
        </is>
      </c>
      <c r="D227" s="15" t="n">
        <v>3</v>
      </c>
      <c r="E227" s="19" t="inlineStr">
        <is>
          <t>open</t>
        </is>
      </c>
      <c r="F227" s="15" t="n"/>
    </row>
    <row r="228">
      <c r="A228" s="15" t="inlineStr">
        <is>
          <t>302017036</t>
        </is>
      </c>
      <c r="B228" s="15" t="inlineStr">
        <is>
          <t>Highlights of the Past Year</t>
        </is>
      </c>
      <c r="C228" s="15" t="inlineStr">
        <is>
          <t>Yearbook of Jehovah’s Witnesses (yb17 pp. 6-10)</t>
        </is>
      </c>
      <c r="D228" s="15" t="n">
        <v>3</v>
      </c>
      <c r="E228" s="19" t="inlineStr">
        <is>
          <t>open</t>
        </is>
      </c>
      <c r="F228" s="15" t="n"/>
    </row>
    <row r="229">
      <c r="A229" s="15" t="inlineStr">
        <is>
          <t>502016185</t>
        </is>
      </c>
      <c r="B229" s="15" t="inlineStr">
        <is>
          <t>What Is the Sign of “the Last Days,” or “End Times”?</t>
        </is>
      </c>
      <c r="C229" s="15" t="inlineStr">
        <is>
          <t>Bible Questions Answered (ijwbq article 111)</t>
        </is>
      </c>
      <c r="D229" s="15" t="n">
        <v>3</v>
      </c>
      <c r="E229" s="19" t="inlineStr">
        <is>
          <t>open</t>
        </is>
      </c>
      <c r="F229" s="19" t="inlineStr">
        <is>
          <t>open</t>
        </is>
      </c>
    </row>
    <row r="230">
      <c r="A230" s="15" t="inlineStr">
        <is>
          <t>2014083</t>
        </is>
      </c>
      <c r="B230" s="15" t="inlineStr">
        <is>
          <t>The True Culprit Behind War and Suffering</t>
        </is>
      </c>
      <c r="C230" s="15" t="inlineStr">
        <is>
          <t>The Watchtower (public edition), February 1, 2014 (wp14 2/1 pp. 5-7)</t>
        </is>
      </c>
      <c r="D230" s="15" t="n">
        <v>3</v>
      </c>
      <c r="E230" s="19" t="inlineStr">
        <is>
          <t>open</t>
        </is>
      </c>
      <c r="F230" s="15" t="n"/>
    </row>
    <row r="231">
      <c r="A231" s="15" t="inlineStr">
        <is>
          <t>1102014245</t>
        </is>
      </c>
      <c r="B231" s="15" t="inlineStr">
        <is>
          <t>People Who Preach—Ministers Offer Themselves Willingly</t>
        </is>
      </c>
      <c r="C231" s="15" t="inlineStr">
        <is>
          <t>God’s Kingdom Rules! (kr) ch. 6</t>
        </is>
      </c>
      <c r="D231" s="15" t="n">
        <v>3</v>
      </c>
      <c r="E231" s="19" t="inlineStr">
        <is>
          <t>open</t>
        </is>
      </c>
      <c r="F231" s="19" t="inlineStr">
        <is>
          <t>open</t>
        </is>
      </c>
    </row>
    <row r="232">
      <c r="A232" s="15" t="inlineStr">
        <is>
          <t>102006001</t>
        </is>
      </c>
      <c r="B232" s="15" t="inlineStr">
        <is>
          <t>To Our Readers</t>
        </is>
      </c>
      <c r="C232" s="15" t="inlineStr">
        <is>
          <t>Awake! (g 1/06 pp. 3-4)</t>
        </is>
      </c>
      <c r="D232" s="15" t="n">
        <v>3</v>
      </c>
      <c r="E232" s="19" t="inlineStr">
        <is>
          <t>open</t>
        </is>
      </c>
      <c r="F232" s="19" t="inlineStr">
        <is>
          <t>open</t>
        </is>
      </c>
    </row>
    <row r="233">
      <c r="A233" s="15" t="inlineStr">
        <is>
          <t>302017039</t>
        </is>
      </c>
      <c r="B233" s="15" t="inlineStr">
        <is>
          <t>A New Meeting for Our Christian Life and Ministry</t>
        </is>
      </c>
      <c r="C233" s="15" t="inlineStr">
        <is>
          <t>Yearbook of Jehovah’s Witnesses (yb17 pp. 19-23)</t>
        </is>
      </c>
      <c r="D233" s="15" t="n">
        <v>3</v>
      </c>
      <c r="E233" s="19" t="inlineStr">
        <is>
          <t>open</t>
        </is>
      </c>
      <c r="F233" s="15" t="n"/>
    </row>
    <row r="234">
      <c r="A234" s="15" t="inlineStr">
        <is>
          <t>2010849</t>
        </is>
      </c>
      <c r="B234" s="15" t="inlineStr">
        <is>
          <t>‘The Things He Did Have Gone Right With Him’</t>
        </is>
      </c>
      <c r="C234" s="15" t="inlineStr">
        <is>
          <t>The Watchtower (w10 11/15 p. 23)</t>
        </is>
      </c>
      <c r="D234" s="15" t="n">
        <v>3</v>
      </c>
      <c r="E234" s="19" t="inlineStr">
        <is>
          <t>open</t>
        </is>
      </c>
      <c r="F234" s="19" t="inlineStr">
        <is>
          <t>open</t>
        </is>
      </c>
    </row>
    <row r="235">
      <c r="A235" s="15" t="inlineStr">
        <is>
          <t>2007002</t>
        </is>
      </c>
      <c r="B235" s="15" t="inlineStr">
        <is>
          <t>A Man Who Loved Life and People</t>
        </is>
      </c>
      <c r="C235" s="15" t="inlineStr">
        <is>
          <t>The Watchtower (w07 1/1 p. 8)</t>
        </is>
      </c>
      <c r="D235" s="15" t="n">
        <v>3</v>
      </c>
      <c r="E235" s="19" t="inlineStr">
        <is>
          <t>open</t>
        </is>
      </c>
      <c r="F235" s="19" t="inlineStr">
        <is>
          <t>open</t>
        </is>
      </c>
    </row>
    <row r="236">
      <c r="A236" s="15" t="inlineStr">
        <is>
          <t>1988687</t>
        </is>
      </c>
      <c r="B236" s="15" t="inlineStr">
        <is>
          <t>A Staunch Fighter for the Truth</t>
        </is>
      </c>
      <c r="C236" s="15" t="inlineStr">
        <is>
          <t>The Watchtower (w88 9/15 p. 31)</t>
        </is>
      </c>
      <c r="D236" s="15" t="n">
        <v>3</v>
      </c>
      <c r="E236" s="19" t="inlineStr">
        <is>
          <t>open</t>
        </is>
      </c>
      <c r="F236" s="15" t="n"/>
    </row>
    <row r="237">
      <c r="A237" s="15" t="inlineStr">
        <is>
          <t>2020401</t>
        </is>
      </c>
      <c r="B237" s="15" t="inlineStr">
        <is>
          <t>Who Is “the King of the North” Today?</t>
        </is>
      </c>
      <c r="C237" s="15" t="inlineStr">
        <is>
          <t>The Watchtower (Study), May 2020 (w20.05), Study Article 20</t>
        </is>
      </c>
      <c r="D237" s="15" t="n">
        <v>3</v>
      </c>
      <c r="E237" s="19" t="inlineStr">
        <is>
          <t>open</t>
        </is>
      </c>
      <c r="F237" s="19" t="inlineStr">
        <is>
          <t>open</t>
        </is>
      </c>
    </row>
    <row r="238">
      <c r="A238" s="15" t="inlineStr">
        <is>
          <t>2006207</t>
        </is>
      </c>
      <c r="B238" s="15" t="inlineStr">
        <is>
          <t>New Members of the Governing Body</t>
        </is>
      </c>
      <c r="C238" s="15" t="inlineStr">
        <is>
          <t>Watchtower 2006</t>
        </is>
      </c>
      <c r="D238" s="15" t="n">
        <v>3</v>
      </c>
      <c r="E238" s="19" t="inlineStr">
        <is>
          <t>open</t>
        </is>
      </c>
      <c r="F238" s="19" t="inlineStr">
        <is>
          <t>open</t>
        </is>
      </c>
    </row>
    <row r="239">
      <c r="A239" s="15" t="inlineStr">
        <is>
          <t>2019248</t>
        </is>
      </c>
      <c r="B239" s="15" t="inlineStr">
        <is>
          <t>A New Member of the Governing Body</t>
        </is>
      </c>
      <c r="C239" s="15" t="inlineStr">
        <is>
          <t>The Watchtower (w19 January p. 31)</t>
        </is>
      </c>
      <c r="D239" s="15" t="n">
        <v>3</v>
      </c>
      <c r="E239" s="19" t="inlineStr">
        <is>
          <t>open</t>
        </is>
      </c>
      <c r="F239" s="19" t="inlineStr">
        <is>
          <t>open</t>
        </is>
      </c>
    </row>
    <row r="240">
      <c r="A240" s="15" t="inlineStr">
        <is>
          <t>1200003022</t>
        </is>
      </c>
      <c r="B240" s="15" t="inlineStr">
        <is>
          <t>Methuselah</t>
        </is>
      </c>
      <c r="C240" s="15" t="inlineStr">
        <is>
          <t>Insight on the Scriptures (it-2)</t>
        </is>
      </c>
      <c r="D240" s="15" t="n">
        <v>2</v>
      </c>
      <c r="E240" s="19" t="inlineStr">
        <is>
          <t>open</t>
        </is>
      </c>
      <c r="F240" s="15" t="n"/>
    </row>
    <row r="241">
      <c r="A241" s="15" t="inlineStr">
        <is>
          <t>1200002475</t>
        </is>
      </c>
      <c r="B241" s="15" t="inlineStr">
        <is>
          <t>Job, Book of</t>
        </is>
      </c>
      <c r="C241" s="15" t="inlineStr">
        <is>
          <t>Insight on the Scriptures (it)</t>
        </is>
      </c>
      <c r="D241" s="15" t="n">
        <v>2</v>
      </c>
      <c r="E241" s="19" t="inlineStr">
        <is>
          <t>open</t>
        </is>
      </c>
      <c r="F241" s="15" t="n"/>
    </row>
    <row r="242">
      <c r="A242" s="15" t="inlineStr">
        <is>
          <t>1101990062</t>
        </is>
      </c>
      <c r="B242" s="15" t="inlineStr">
        <is>
          <t>Bible Book Number 1—Genesis</t>
        </is>
      </c>
      <c r="C242" s="15" t="inlineStr">
        <is>
          <t>All Scripture Is Inspired of God and Beneficial (si)</t>
        </is>
      </c>
      <c r="D242" s="15" t="n">
        <v>2</v>
      </c>
      <c r="E242" s="19" t="inlineStr">
        <is>
          <t>open</t>
        </is>
      </c>
      <c r="F242" s="19" t="inlineStr">
        <is>
          <t>open</t>
        </is>
      </c>
    </row>
    <row r="243">
      <c r="A243" s="15" t="inlineStr">
        <is>
          <t>1200002888</t>
        </is>
      </c>
      <c r="B243" s="15" t="inlineStr">
        <is>
          <t>Manna</t>
        </is>
      </c>
      <c r="C243" s="15" t="inlineStr">
        <is>
          <t>Insight on the Scriptures (it)</t>
        </is>
      </c>
      <c r="D243" s="15" t="n">
        <v>2</v>
      </c>
      <c r="E243" s="19" t="inlineStr">
        <is>
          <t>open</t>
        </is>
      </c>
      <c r="F243" s="15" t="n"/>
    </row>
    <row r="244">
      <c r="A244" s="15" t="inlineStr">
        <is>
          <t>502016227</t>
        </is>
      </c>
      <c r="B244" s="15" t="inlineStr">
        <is>
          <t>What Is the Ark of the Covenant?</t>
        </is>
      </c>
      <c r="C244" s="15" t="inlineStr">
        <is>
          <t>jw.org Bible Questions Answered</t>
        </is>
      </c>
      <c r="D244" s="15" t="n">
        <v>2</v>
      </c>
      <c r="E244" s="19" t="inlineStr">
        <is>
          <t>open</t>
        </is>
      </c>
      <c r="F244" s="15" t="n"/>
    </row>
    <row r="245">
      <c r="A245" s="15" t="inlineStr">
        <is>
          <t>1200000863</t>
        </is>
      </c>
      <c r="B245" s="15" t="inlineStr">
        <is>
          <t>Caleb</t>
        </is>
      </c>
      <c r="C245" s="15" t="inlineStr">
        <is>
          <t>Insight on the Scriptures (it)</t>
        </is>
      </c>
      <c r="D245" s="15" t="n">
        <v>2</v>
      </c>
      <c r="E245" s="19" t="inlineStr">
        <is>
          <t>open</t>
        </is>
      </c>
      <c r="F245" s="15" t="n"/>
    </row>
    <row r="246">
      <c r="A246" s="15" t="inlineStr">
        <is>
          <t>1001061224</t>
        </is>
      </c>
      <c r="B246" s="15" t="inlineStr">
        <is>
          <t>B4 Conquest of the Promised Land</t>
        </is>
      </c>
      <c r="C246" s="15" t="inlineStr">
        <is>
          <t>New World Translation App. B4</t>
        </is>
      </c>
      <c r="D246" s="15" t="n">
        <v>2</v>
      </c>
      <c r="E246" s="19" t="inlineStr">
        <is>
          <t>open</t>
        </is>
      </c>
      <c r="F246" s="19" t="inlineStr">
        <is>
          <t>open</t>
        </is>
      </c>
    </row>
    <row r="247">
      <c r="A247" s="15" t="inlineStr">
        <is>
          <t>1101990068</t>
        </is>
      </c>
      <c r="B247" s="15" t="inlineStr">
        <is>
          <t>Bible Book Number 7—Judges</t>
        </is>
      </c>
      <c r="C247" s="15" t="inlineStr">
        <is>
          <t>All Scripture Is Inspired (si)</t>
        </is>
      </c>
      <c r="D247" s="15" t="n">
        <v>2</v>
      </c>
      <c r="E247" s="19" t="inlineStr">
        <is>
          <t>open</t>
        </is>
      </c>
      <c r="F247" s="19" t="inlineStr">
        <is>
          <t>open</t>
        </is>
      </c>
    </row>
    <row r="248">
      <c r="A248" s="15" t="inlineStr">
        <is>
          <t>1101990069</t>
        </is>
      </c>
      <c r="B248" s="15" t="inlineStr">
        <is>
          <t>Bible Book Number 8—Ruth</t>
        </is>
      </c>
      <c r="C248" s="15" t="inlineStr">
        <is>
          <t>All Scripture Is Inspired (si)</t>
        </is>
      </c>
      <c r="D248" s="15" t="n">
        <v>2</v>
      </c>
      <c r="E248" s="19" t="inlineStr">
        <is>
          <t>open</t>
        </is>
      </c>
      <c r="F248" s="19" t="inlineStr">
        <is>
          <t>open</t>
        </is>
      </c>
    </row>
    <row r="249">
      <c r="A249" s="15" t="inlineStr">
        <is>
          <t>1200003824</t>
        </is>
      </c>
      <c r="B249" s="15" t="inlineStr">
        <is>
          <t>Samuel</t>
        </is>
      </c>
      <c r="C249" s="15" t="inlineStr">
        <is>
          <t>Insight on the Scriptures (it)</t>
        </is>
      </c>
      <c r="D249" s="15" t="n">
        <v>2</v>
      </c>
      <c r="E249" s="19" t="inlineStr">
        <is>
          <t>open</t>
        </is>
      </c>
      <c r="F249" s="15" t="n"/>
    </row>
    <row r="250">
      <c r="A250" s="15" t="inlineStr">
        <is>
          <t>1200001290</t>
        </is>
      </c>
      <c r="B250" s="15" t="inlineStr">
        <is>
          <t>Eli, I</t>
        </is>
      </c>
      <c r="C250" s="15" t="inlineStr">
        <is>
          <t>Insight on the Scriptures (it)</t>
        </is>
      </c>
      <c r="D250" s="15" t="n">
        <v>2</v>
      </c>
      <c r="E250" s="19" t="inlineStr">
        <is>
          <t>open</t>
        </is>
      </c>
      <c r="F250" s="15" t="n"/>
    </row>
    <row r="251">
      <c r="A251" s="15" t="inlineStr">
        <is>
          <t>1101990070</t>
        </is>
      </c>
      <c r="B251" s="15" t="inlineStr">
        <is>
          <t>Bible Book Number 9—1 Samuel</t>
        </is>
      </c>
      <c r="C251" s="15" t="inlineStr">
        <is>
          <t>All Scripture Is Inspired (si) Bible Book No. 9</t>
        </is>
      </c>
      <c r="D251" s="15" t="n">
        <v>2</v>
      </c>
      <c r="E251" s="19" t="inlineStr">
        <is>
          <t>open</t>
        </is>
      </c>
      <c r="F251" s="19" t="inlineStr">
        <is>
          <t>open</t>
        </is>
      </c>
    </row>
    <row r="252">
      <c r="A252" s="15" t="inlineStr">
        <is>
          <t>1001061227</t>
        </is>
      </c>
      <c r="B252" s="15" t="inlineStr">
        <is>
          <t>B7 Kingdom of David and Solomon</t>
        </is>
      </c>
      <c r="C252" s="15" t="inlineStr">
        <is>
          <t>New World Translation (2013) (nwt pp. 1776-1777)</t>
        </is>
      </c>
      <c r="D252" s="15" t="n">
        <v>2</v>
      </c>
      <c r="E252" s="19" t="inlineStr">
        <is>
          <t>open</t>
        </is>
      </c>
      <c r="F252" s="19" t="inlineStr">
        <is>
          <t>open</t>
        </is>
      </c>
    </row>
    <row r="253">
      <c r="A253" s="15" t="inlineStr">
        <is>
          <t>1200002613</t>
        </is>
      </c>
      <c r="B253" s="15" t="inlineStr">
        <is>
          <t>King</t>
        </is>
      </c>
      <c r="C253" s="15" t="inlineStr">
        <is>
          <t>Insight on the Scriptures, Vol. 2 (it-2 “King”)</t>
        </is>
      </c>
      <c r="D253" s="15" t="n">
        <v>2</v>
      </c>
      <c r="E253" s="19" t="inlineStr">
        <is>
          <t>open</t>
        </is>
      </c>
      <c r="F253" s="15" t="n"/>
    </row>
    <row r="254">
      <c r="A254" s="15" t="inlineStr">
        <is>
          <t>1101990091</t>
        </is>
      </c>
      <c r="B254" s="15" t="inlineStr">
        <is>
          <t>Bible Book Number 30—Amos</t>
        </is>
      </c>
      <c r="C254" s="15" t="inlineStr">
        <is>
          <t>All Scripture Is Inspired (si) Bible Book No. 30</t>
        </is>
      </c>
      <c r="D254" s="15" t="n">
        <v>2</v>
      </c>
      <c r="E254" s="19" t="inlineStr">
        <is>
          <t>open</t>
        </is>
      </c>
      <c r="F254" s="19" t="inlineStr">
        <is>
          <t>open</t>
        </is>
      </c>
    </row>
    <row r="255">
      <c r="A255" s="15" t="inlineStr">
        <is>
          <t>1101990090</t>
        </is>
      </c>
      <c r="B255" s="15" t="inlineStr">
        <is>
          <t>Bible Book Number 29—Joel</t>
        </is>
      </c>
      <c r="C255" s="15" t="inlineStr">
        <is>
          <t>All Scripture Is Inspired (si) Bible Book No. 29</t>
        </is>
      </c>
      <c r="D255" s="15" t="n">
        <v>2</v>
      </c>
      <c r="E255" s="19" t="inlineStr">
        <is>
          <t>open</t>
        </is>
      </c>
      <c r="F255" s="19" t="inlineStr">
        <is>
          <t>open</t>
        </is>
      </c>
    </row>
    <row r="256">
      <c r="A256" s="15" t="inlineStr">
        <is>
          <t>1101990089</t>
        </is>
      </c>
      <c r="B256" s="15" t="inlineStr">
        <is>
          <t>Bible Book Number 28—Hosea</t>
        </is>
      </c>
      <c r="C256" s="15" t="inlineStr">
        <is>
          <t>All Scripture Is Inspired (si) Bible Book No. 28</t>
        </is>
      </c>
      <c r="D256" s="15" t="n">
        <v>2</v>
      </c>
      <c r="E256" s="19" t="inlineStr">
        <is>
          <t>open</t>
        </is>
      </c>
      <c r="F256" s="19" t="inlineStr">
        <is>
          <t>open</t>
        </is>
      </c>
    </row>
    <row r="257">
      <c r="A257" s="15" t="inlineStr">
        <is>
          <t>1101990084</t>
        </is>
      </c>
      <c r="B257" s="15" t="inlineStr">
        <is>
          <t>Bible Book Number 23—Isaiah</t>
        </is>
      </c>
      <c r="C257" s="15" t="inlineStr">
        <is>
          <t>All Scripture Is Inspired (si) Bible Book No. 23</t>
        </is>
      </c>
      <c r="D257" s="15" t="n">
        <v>2</v>
      </c>
      <c r="E257" s="19" t="inlineStr">
        <is>
          <t>open</t>
        </is>
      </c>
      <c r="F257" s="19" t="inlineStr">
        <is>
          <t>open</t>
        </is>
      </c>
    </row>
    <row r="258">
      <c r="A258" s="15" t="inlineStr">
        <is>
          <t>1101990094</t>
        </is>
      </c>
      <c r="B258" s="15" t="inlineStr">
        <is>
          <t>Bible Book Number 33—Micah</t>
        </is>
      </c>
      <c r="C258" s="15" t="inlineStr">
        <is>
          <t>All Scripture Is Inspired (si) Bible Book No. 33</t>
        </is>
      </c>
      <c r="D258" s="15" t="n">
        <v>2</v>
      </c>
      <c r="E258" s="19" t="inlineStr">
        <is>
          <t>open</t>
        </is>
      </c>
      <c r="F258" s="19" t="inlineStr">
        <is>
          <t>open</t>
        </is>
      </c>
    </row>
    <row r="259">
      <c r="A259" s="15" t="inlineStr">
        <is>
          <t>1200000447</t>
        </is>
      </c>
      <c r="B259" s="15" t="inlineStr">
        <is>
          <t>Assyria</t>
        </is>
      </c>
      <c r="C259" s="15" t="inlineStr">
        <is>
          <t>Insight on the Scriptures, Vol. 1 (it-1 “Assyria”)</t>
        </is>
      </c>
      <c r="D259" s="15" t="n">
        <v>2</v>
      </c>
      <c r="E259" s="19" t="inlineStr">
        <is>
          <t>open</t>
        </is>
      </c>
      <c r="F259" s="15" t="n"/>
    </row>
    <row r="260">
      <c r="A260" s="15" t="inlineStr">
        <is>
          <t>1101990097</t>
        </is>
      </c>
      <c r="B260" s="15" t="inlineStr">
        <is>
          <t>Bible Book Number 36—Zephaniah</t>
        </is>
      </c>
      <c r="C260" s="15" t="inlineStr">
        <is>
          <t>All Scripture Is Inspired (si) Bible Book No. 36</t>
        </is>
      </c>
      <c r="D260" s="15" t="n">
        <v>2</v>
      </c>
      <c r="E260" s="19" t="inlineStr">
        <is>
          <t>open</t>
        </is>
      </c>
      <c r="F260" s="19" t="inlineStr">
        <is>
          <t>open</t>
        </is>
      </c>
    </row>
    <row r="261">
      <c r="A261" s="15" t="inlineStr">
        <is>
          <t>1200001789</t>
        </is>
      </c>
      <c r="B261" s="15" t="inlineStr">
        <is>
          <t>Habakkuk</t>
        </is>
      </c>
      <c r="C261" s="15" t="inlineStr">
        <is>
          <t>Insight (it-1) "Habakkuk"</t>
        </is>
      </c>
      <c r="D261" s="15" t="n">
        <v>2</v>
      </c>
      <c r="E261" s="19" t="inlineStr">
        <is>
          <t>open</t>
        </is>
      </c>
      <c r="F261" s="15" t="n"/>
    </row>
    <row r="262">
      <c r="A262" s="15" t="inlineStr">
        <is>
          <t>1200001469</t>
        </is>
      </c>
      <c r="B262" s="15" t="inlineStr">
        <is>
          <t>Ezekiel</t>
        </is>
      </c>
      <c r="C262" s="15" t="inlineStr">
        <is>
          <t>Insight (it-1) "Ezekiel"</t>
        </is>
      </c>
      <c r="D262" s="15" t="n">
        <v>2</v>
      </c>
      <c r="E262" s="19" t="inlineStr">
        <is>
          <t>open</t>
        </is>
      </c>
      <c r="F262" s="15" t="n"/>
    </row>
    <row r="263">
      <c r="A263" s="15" t="inlineStr">
        <is>
          <t>1200002149</t>
        </is>
      </c>
      <c r="B263" s="15" t="inlineStr">
        <is>
          <t>Image</t>
        </is>
      </c>
      <c r="C263" s="15" t="inlineStr">
        <is>
          <t>Insight on the Scriptures</t>
        </is>
      </c>
      <c r="D263" s="15" t="n">
        <v>2</v>
      </c>
      <c r="E263" s="19" t="inlineStr">
        <is>
          <t>open</t>
        </is>
      </c>
      <c r="F263" s="15" t="n"/>
    </row>
    <row r="264">
      <c r="A264" s="15" t="inlineStr">
        <is>
          <t>1101999026</t>
        </is>
      </c>
      <c r="B264" s="15" t="inlineStr">
        <is>
          <t>Four Words That Changed the World</t>
        </is>
      </c>
      <c r="C264" s="15" t="inlineStr">
        <is>
          <t>Pay Attention to Daniel's Prophecy! (dp) ch. 7</t>
        </is>
      </c>
      <c r="D264" s="15" t="n">
        <v>2</v>
      </c>
      <c r="E264" s="19" t="inlineStr">
        <is>
          <t>open</t>
        </is>
      </c>
      <c r="F264" s="19" t="inlineStr">
        <is>
          <t>open</t>
        </is>
      </c>
    </row>
    <row r="265">
      <c r="A265" s="15" t="inlineStr">
        <is>
          <t>1200001453</t>
        </is>
      </c>
      <c r="B265" s="15" t="inlineStr">
        <is>
          <t>Evil-merodach</t>
        </is>
      </c>
      <c r="C265" s="15" t="inlineStr">
        <is>
          <t>Insight on the Scriptures</t>
        </is>
      </c>
      <c r="D265" s="15" t="n">
        <v>2</v>
      </c>
      <c r="E265" s="19" t="inlineStr">
        <is>
          <t>open</t>
        </is>
      </c>
      <c r="F265" s="15" t="n"/>
    </row>
    <row r="266">
      <c r="A266" s="15" t="inlineStr">
        <is>
          <t>1200003156</t>
        </is>
      </c>
      <c r="B266" s="15" t="inlineStr">
        <is>
          <t>Nabonidus</t>
        </is>
      </c>
      <c r="C266" s="15" t="inlineStr">
        <is>
          <t>Insight on the Scriptures</t>
        </is>
      </c>
      <c r="D266" s="15" t="n">
        <v>2</v>
      </c>
      <c r="E266" s="19" t="inlineStr">
        <is>
          <t>open</t>
        </is>
      </c>
      <c r="F266" s="15" t="n"/>
    </row>
    <row r="267">
      <c r="A267" s="15" t="inlineStr">
        <is>
          <t>1200000628</t>
        </is>
      </c>
      <c r="B267" s="15" t="inlineStr">
        <is>
          <t>Belshazzar</t>
        </is>
      </c>
      <c r="C267" s="15" t="inlineStr">
        <is>
          <t>Insight on the Scriptures</t>
        </is>
      </c>
      <c r="D267" s="15" t="n">
        <v>2</v>
      </c>
      <c r="E267" s="19" t="inlineStr">
        <is>
          <t>open</t>
        </is>
      </c>
      <c r="F267" s="15" t="n"/>
    </row>
    <row r="268">
      <c r="A268" s="15" t="inlineStr">
        <is>
          <t>1200001118</t>
        </is>
      </c>
      <c r="B268" s="15" t="inlineStr">
        <is>
          <t>Daniel, Book of</t>
        </is>
      </c>
      <c r="C268" s="15" t="inlineStr">
        <is>
          <t>Insight on the Scriptures</t>
        </is>
      </c>
      <c r="D268" s="15" t="n">
        <v>2</v>
      </c>
      <c r="E268" s="19" t="inlineStr">
        <is>
          <t>open</t>
        </is>
      </c>
      <c r="F268" s="15" t="n"/>
    </row>
    <row r="269">
      <c r="A269" s="15" t="inlineStr">
        <is>
          <t>1200001431</t>
        </is>
      </c>
      <c r="B269" s="15" t="inlineStr">
        <is>
          <t>Esther, Book of</t>
        </is>
      </c>
      <c r="C269" s="15" t="inlineStr">
        <is>
          <t>Insight on the Scriptures</t>
        </is>
      </c>
      <c r="D269" s="15" t="n">
        <v>2</v>
      </c>
      <c r="E269" s="19" t="inlineStr">
        <is>
          <t>open</t>
        </is>
      </c>
      <c r="F269" s="15" t="n"/>
    </row>
    <row r="270">
      <c r="A270" s="15" t="inlineStr">
        <is>
          <t>1101990078</t>
        </is>
      </c>
      <c r="B270" s="15" t="inlineStr">
        <is>
          <t>Bible Book Number 17—Esther</t>
        </is>
      </c>
      <c r="C270" s="15" t="inlineStr">
        <is>
          <t>All Scripture Is Inspired (si)</t>
        </is>
      </c>
      <c r="D270" s="15" t="n">
        <v>2</v>
      </c>
      <c r="E270" s="19" t="inlineStr">
        <is>
          <t>open</t>
        </is>
      </c>
      <c r="F270" s="19" t="inlineStr">
        <is>
          <t>open</t>
        </is>
      </c>
    </row>
    <row r="271">
      <c r="A271" s="15" t="inlineStr">
        <is>
          <t>1200003588</t>
        </is>
      </c>
      <c r="B271" s="15" t="inlineStr">
        <is>
          <t>Purim</t>
        </is>
      </c>
      <c r="C271" s="15" t="inlineStr">
        <is>
          <t>Insight on the Scriptures</t>
        </is>
      </c>
      <c r="D271" s="15" t="n">
        <v>2</v>
      </c>
      <c r="E271" s="19" t="inlineStr">
        <is>
          <t>open</t>
        </is>
      </c>
      <c r="F271" s="15" t="n"/>
    </row>
    <row r="272">
      <c r="A272" s="15" t="inlineStr">
        <is>
          <t>1101990074</t>
        </is>
      </c>
      <c r="B272" s="15" t="inlineStr">
        <is>
          <t>Bible Book Number 13—1 Chronicles</t>
        </is>
      </c>
      <c r="C272" s="15" t="inlineStr">
        <is>
          <t>All Scripture Is Inspired of God and Beneficial (si)</t>
        </is>
      </c>
      <c r="D272" s="15" t="n">
        <v>2</v>
      </c>
      <c r="E272" s="19" t="inlineStr">
        <is>
          <t>open</t>
        </is>
      </c>
      <c r="F272" s="19" t="inlineStr">
        <is>
          <t>open</t>
        </is>
      </c>
    </row>
    <row r="273">
      <c r="A273" s="15" t="inlineStr">
        <is>
          <t>1101990100</t>
        </is>
      </c>
      <c r="B273" s="15" t="inlineStr">
        <is>
          <t>Bible Book Number 39—Malachi</t>
        </is>
      </c>
      <c r="C273" s="15" t="inlineStr">
        <is>
          <t>All Scripture Is Inspired (si)</t>
        </is>
      </c>
      <c r="D273" s="15" t="n">
        <v>2</v>
      </c>
      <c r="E273" s="19" t="inlineStr">
        <is>
          <t>open</t>
        </is>
      </c>
      <c r="F273" s="19" t="inlineStr">
        <is>
          <t>open</t>
        </is>
      </c>
    </row>
    <row r="274">
      <c r="A274" s="15" t="inlineStr">
        <is>
          <t>1200002861</t>
        </is>
      </c>
      <c r="B274" s="15" t="inlineStr">
        <is>
          <t>Malachi, Book of</t>
        </is>
      </c>
      <c r="C274" s="15" t="inlineStr">
        <is>
          <t>Insight on the Scriptures</t>
        </is>
      </c>
      <c r="D274" s="15" t="n">
        <v>2</v>
      </c>
      <c r="E274" s="19" t="inlineStr">
        <is>
          <t>open</t>
        </is>
      </c>
      <c r="F274" s="15" t="n"/>
    </row>
    <row r="275">
      <c r="A275" s="15" t="inlineStr">
        <is>
          <t>1200001506</t>
        </is>
      </c>
      <c r="B275" s="15" t="inlineStr">
        <is>
          <t>Festival of Dedication</t>
        </is>
      </c>
      <c r="C275" s="15" t="inlineStr">
        <is>
          <t>Insight on the Scriptures</t>
        </is>
      </c>
      <c r="D275" s="15" t="n">
        <v>2</v>
      </c>
      <c r="E275" s="19" t="inlineStr">
        <is>
          <t>open</t>
        </is>
      </c>
      <c r="F275" s="15" t="n"/>
    </row>
    <row r="276">
      <c r="A276" s="15" t="inlineStr">
        <is>
          <t>1001061232</t>
        </is>
      </c>
      <c r="B276" s="15" t="inlineStr">
        <is>
          <t>B12-A The Final Week of Jesus’ Life on Earth (Part 1)</t>
        </is>
      </c>
      <c r="C276" s="15" t="inlineStr">
        <is>
          <t>New World Translation (nwt) App. B12-A</t>
        </is>
      </c>
      <c r="D276" s="15" t="n">
        <v>2</v>
      </c>
      <c r="E276" s="19" t="inlineStr">
        <is>
          <t>open</t>
        </is>
      </c>
      <c r="F276" s="19" t="inlineStr">
        <is>
          <t>open</t>
        </is>
      </c>
    </row>
    <row r="277">
      <c r="A277" s="15" t="inlineStr">
        <is>
          <t>1200003431</t>
        </is>
      </c>
      <c r="B277" s="15" t="inlineStr">
        <is>
          <t>Pentecost</t>
        </is>
      </c>
      <c r="C277" s="15" t="inlineStr">
        <is>
          <t>Insight (it-2)</t>
        </is>
      </c>
      <c r="D277" s="15" t="n">
        <v>2</v>
      </c>
      <c r="E277" s="19" t="inlineStr">
        <is>
          <t>open</t>
        </is>
      </c>
      <c r="F277" s="15" t="n"/>
    </row>
    <row r="278">
      <c r="A278" s="15" t="inlineStr">
        <is>
          <t>1102009044</t>
        </is>
      </c>
      <c r="B278" s="15" t="inlineStr">
        <is>
          <t>“Filled With Holy Spirit”</t>
        </is>
      </c>
      <c r="C278" s="15" t="inlineStr">
        <is>
          <t>“Bearing Thorough Witness” (bt) ch. 3</t>
        </is>
      </c>
      <c r="D278" s="15" t="n">
        <v>2</v>
      </c>
      <c r="E278" s="19" t="inlineStr">
        <is>
          <t>open</t>
        </is>
      </c>
      <c r="F278" s="19" t="inlineStr">
        <is>
          <t>open</t>
        </is>
      </c>
    </row>
    <row r="279">
      <c r="A279" s="15" t="inlineStr">
        <is>
          <t>1200004153</t>
        </is>
      </c>
      <c r="B279" s="15" t="inlineStr">
        <is>
          <t>Sivan</t>
        </is>
      </c>
      <c r="C279" s="15" t="inlineStr">
        <is>
          <t>Insight on the Scriptures (it-2)</t>
        </is>
      </c>
      <c r="D279" s="15" t="n">
        <v>2</v>
      </c>
      <c r="E279" s="19" t="inlineStr">
        <is>
          <t>open</t>
        </is>
      </c>
      <c r="F279" s="15" t="n"/>
    </row>
    <row r="280">
      <c r="A280" s="15" t="inlineStr">
        <is>
          <t>1001070690</t>
        </is>
      </c>
      <c r="B280" s="15" t="inlineStr">
        <is>
          <t>Acts Study Notes—Chapter 1</t>
        </is>
      </c>
      <c r="C280" s="15" t="inlineStr">
        <is>
          <t>NWT Study Edition, Acts study notes</t>
        </is>
      </c>
      <c r="D280" s="15" t="n">
        <v>2</v>
      </c>
      <c r="E280" s="19" t="inlineStr">
        <is>
          <t>open</t>
        </is>
      </c>
      <c r="F280" s="15" t="n"/>
    </row>
    <row r="281">
      <c r="A281" s="15" t="inlineStr">
        <is>
          <t>1200000853</t>
        </is>
      </c>
      <c r="B281" s="15" t="inlineStr">
        <is>
          <t>Caesarea</t>
        </is>
      </c>
      <c r="C281" s="15" t="inlineStr">
        <is>
          <t>Insight (it-1)</t>
        </is>
      </c>
      <c r="D281" s="15" t="n">
        <v>2</v>
      </c>
      <c r="E281" s="19" t="inlineStr">
        <is>
          <t>open</t>
        </is>
      </c>
      <c r="F281" s="15" t="n"/>
    </row>
    <row r="282">
      <c r="A282" s="15" t="inlineStr">
        <is>
          <t>1101990101</t>
        </is>
      </c>
      <c r="B282" s="15" t="inlineStr">
        <is>
          <t>Bible Book Number 40—Matthew</t>
        </is>
      </c>
      <c r="C282" s="15" t="inlineStr">
        <is>
          <t>All Scripture Is Inspired of God and Beneficial (si)</t>
        </is>
      </c>
      <c r="D282" s="15" t="n">
        <v>2</v>
      </c>
      <c r="E282" s="19" t="inlineStr">
        <is>
          <t>open</t>
        </is>
      </c>
      <c r="F282" s="19" t="inlineStr">
        <is>
          <t>open</t>
        </is>
      </c>
    </row>
    <row r="283">
      <c r="A283" s="15" t="inlineStr">
        <is>
          <t>1200000129</t>
        </is>
      </c>
      <c r="B283" s="15" t="inlineStr">
        <is>
          <t>Agabus</t>
        </is>
      </c>
      <c r="C283" s="15" t="inlineStr">
        <is>
          <t>Insight (it-1)</t>
        </is>
      </c>
      <c r="D283" s="15" t="n">
        <v>2</v>
      </c>
      <c r="E283" s="19" t="inlineStr">
        <is>
          <t>open</t>
        </is>
      </c>
      <c r="F283" s="15" t="n"/>
    </row>
    <row r="284">
      <c r="A284" s="15" t="inlineStr">
        <is>
          <t>1200001603</t>
        </is>
      </c>
      <c r="B284" s="15" t="inlineStr">
        <is>
          <t>Gallio</t>
        </is>
      </c>
      <c r="C284" s="15" t="inlineStr">
        <is>
          <t>Insight (it-1)</t>
        </is>
      </c>
      <c r="D284" s="15" t="n">
        <v>2</v>
      </c>
      <c r="E284" s="19" t="inlineStr">
        <is>
          <t>open</t>
        </is>
      </c>
      <c r="F284" s="15" t="n"/>
    </row>
    <row r="285">
      <c r="A285" s="15" t="inlineStr">
        <is>
          <t>1001070714</t>
        </is>
      </c>
      <c r="B285" s="15" t="inlineStr">
        <is>
          <t>Acts Study Notes—Chapter 25</t>
        </is>
      </c>
      <c r="C285" s="15" t="inlineStr">
        <is>
          <t>NWT Study Edition, Acts study notes</t>
        </is>
      </c>
      <c r="D285" s="15" t="n">
        <v>2</v>
      </c>
      <c r="E285" s="19" t="inlineStr">
        <is>
          <t>open</t>
        </is>
      </c>
      <c r="F285" s="15" t="n"/>
    </row>
    <row r="286">
      <c r="A286" s="15" t="inlineStr">
        <is>
          <t>1001070710</t>
        </is>
      </c>
      <c r="B286" s="15" t="inlineStr">
        <is>
          <t>Acts Study Notes—Chapter 21</t>
        </is>
      </c>
      <c r="C286" s="15" t="inlineStr">
        <is>
          <t>NWT Study Edition, Acts study notes</t>
        </is>
      </c>
      <c r="D286" s="15" t="n">
        <v>2</v>
      </c>
      <c r="E286" s="19" t="inlineStr">
        <is>
          <t>open</t>
        </is>
      </c>
      <c r="F286" s="15" t="n"/>
    </row>
    <row r="287">
      <c r="A287" s="15" t="inlineStr">
        <is>
          <t>1200001512</t>
        </is>
      </c>
      <c r="B287" s="15" t="inlineStr">
        <is>
          <t>Festus</t>
        </is>
      </c>
      <c r="C287" s="15" t="inlineStr">
        <is>
          <t>Insight (it-1)</t>
        </is>
      </c>
      <c r="D287" s="15" t="n">
        <v>2</v>
      </c>
      <c r="E287" s="19" t="inlineStr">
        <is>
          <t>open</t>
        </is>
      </c>
      <c r="F287" s="15" t="n"/>
    </row>
    <row r="288">
      <c r="A288" s="15" t="inlineStr">
        <is>
          <t>1101990102</t>
        </is>
      </c>
      <c r="B288" s="15" t="inlineStr">
        <is>
          <t>Bible Book Number 41—Mark</t>
        </is>
      </c>
      <c r="C288" s="15" t="inlineStr">
        <is>
          <t>All Scripture Is Inspired of God and Beneficial (si)</t>
        </is>
      </c>
      <c r="D288" s="15" t="n">
        <v>2</v>
      </c>
      <c r="E288" s="19" t="inlineStr">
        <is>
          <t>open</t>
        </is>
      </c>
      <c r="F288" s="19" t="inlineStr">
        <is>
          <t>open</t>
        </is>
      </c>
    </row>
    <row r="289">
      <c r="A289" s="15" t="inlineStr">
        <is>
          <t>1101990105</t>
        </is>
      </c>
      <c r="B289" s="15" t="inlineStr">
        <is>
          <t>Bible Book Number 44—Acts</t>
        </is>
      </c>
      <c r="C289" s="15" t="inlineStr">
        <is>
          <t>All Scripture Is Inspired of God and Beneficial (si)</t>
        </is>
      </c>
      <c r="D289" s="15" t="n">
        <v>2</v>
      </c>
      <c r="E289" s="19" t="inlineStr">
        <is>
          <t>open</t>
        </is>
      </c>
      <c r="F289" s="19" t="inlineStr">
        <is>
          <t>open</t>
        </is>
      </c>
    </row>
    <row r="290">
      <c r="A290" s="15" t="inlineStr">
        <is>
          <t>1101990120</t>
        </is>
      </c>
      <c r="B290" s="15" t="inlineStr">
        <is>
          <t>Bible Book Number 59—James</t>
        </is>
      </c>
      <c r="C290" s="15" t="inlineStr">
        <is>
          <t>All Scripture Is Inspired of God and Beneficial (si)</t>
        </is>
      </c>
      <c r="D290" s="15" t="n">
        <v>2</v>
      </c>
      <c r="E290" s="19" t="inlineStr">
        <is>
          <t>open</t>
        </is>
      </c>
      <c r="F290" s="19" t="inlineStr">
        <is>
          <t>open</t>
        </is>
      </c>
    </row>
    <row r="291">
      <c r="A291" s="15" t="inlineStr">
        <is>
          <t>1101990126</t>
        </is>
      </c>
      <c r="B291" s="15" t="inlineStr">
        <is>
          <t>Bible Book Number 65—Jude</t>
        </is>
      </c>
      <c r="C291" s="15" t="inlineStr">
        <is>
          <t>All Scripture Is Inspired of God and Beneficial (si)</t>
        </is>
      </c>
      <c r="D291" s="15" t="n">
        <v>2</v>
      </c>
      <c r="E291" s="19" t="inlineStr">
        <is>
          <t>open</t>
        </is>
      </c>
      <c r="F291" s="19" t="inlineStr">
        <is>
          <t>open</t>
        </is>
      </c>
    </row>
    <row r="292">
      <c r="A292" s="15" t="inlineStr">
        <is>
          <t>1200001106</t>
        </is>
      </c>
      <c r="B292" s="15" t="inlineStr">
        <is>
          <t>Dagger Men</t>
        </is>
      </c>
      <c r="C292" s="15" t="inlineStr">
        <is>
          <t>Insight (it-1)</t>
        </is>
      </c>
      <c r="D292" s="15" t="n">
        <v>2</v>
      </c>
      <c r="E292" s="19" t="inlineStr">
        <is>
          <t>open</t>
        </is>
      </c>
      <c r="F292" s="15" t="n"/>
    </row>
    <row r="293">
      <c r="A293" s="15" t="inlineStr">
        <is>
          <t>1200003403</t>
        </is>
      </c>
      <c r="B293" s="15" t="inlineStr">
        <is>
          <t>Patmos</t>
        </is>
      </c>
      <c r="C293" s="15" t="inlineStr">
        <is>
          <t>Insight (it-2)</t>
        </is>
      </c>
      <c r="D293" s="15" t="n">
        <v>2</v>
      </c>
      <c r="E293" s="19" t="inlineStr">
        <is>
          <t>open</t>
        </is>
      </c>
      <c r="F293" s="15" t="n"/>
    </row>
    <row r="294">
      <c r="A294" s="15" t="inlineStr">
        <is>
          <t>1101990104</t>
        </is>
      </c>
      <c r="B294" s="15" t="inlineStr">
        <is>
          <t>Bible Book Number 43—John</t>
        </is>
      </c>
      <c r="C294" s="15" t="inlineStr">
        <is>
          <t>All Scripture Is Inspired of God and Beneficial (si)</t>
        </is>
      </c>
      <c r="D294" s="15" t="n">
        <v>2</v>
      </c>
      <c r="E294" s="19" t="inlineStr">
        <is>
          <t>open</t>
        </is>
      </c>
      <c r="F294" s="19" t="inlineStr">
        <is>
          <t>open</t>
        </is>
      </c>
    </row>
    <row r="295">
      <c r="A295" s="15" t="inlineStr">
        <is>
          <t>1101990123</t>
        </is>
      </c>
      <c r="B295" s="15" t="inlineStr">
        <is>
          <t>Bible Book Number 62—1 John</t>
        </is>
      </c>
      <c r="C295" s="15" t="inlineStr">
        <is>
          <t>All Scripture Is Inspired of God and Beneficial (si)</t>
        </is>
      </c>
      <c r="D295" s="15" t="n">
        <v>2</v>
      </c>
      <c r="E295" s="19" t="inlineStr">
        <is>
          <t>open</t>
        </is>
      </c>
      <c r="F295" s="19" t="inlineStr">
        <is>
          <t>open</t>
        </is>
      </c>
    </row>
    <row r="296">
      <c r="A296" s="15" t="inlineStr">
        <is>
          <t>1101990124</t>
        </is>
      </c>
      <c r="B296" s="15" t="inlineStr">
        <is>
          <t>Bible Book Number 63—2 John</t>
        </is>
      </c>
      <c r="C296" s="15" t="inlineStr">
        <is>
          <t>All Scripture Is Inspired of God and Beneficial (si)</t>
        </is>
      </c>
      <c r="D296" s="15" t="n">
        <v>2</v>
      </c>
      <c r="E296" s="19" t="inlineStr">
        <is>
          <t>open</t>
        </is>
      </c>
      <c r="F296" s="19" t="inlineStr">
        <is>
          <t>open</t>
        </is>
      </c>
    </row>
    <row r="297">
      <c r="A297" s="15" t="inlineStr">
        <is>
          <t>1101990125</t>
        </is>
      </c>
      <c r="B297" s="15" t="inlineStr">
        <is>
          <t>Bible Book Number 64—3 John</t>
        </is>
      </c>
      <c r="C297" s="15" t="inlineStr">
        <is>
          <t>All Scripture Is Inspired of God and Beneficial (si)</t>
        </is>
      </c>
      <c r="D297" s="15" t="n">
        <v>2</v>
      </c>
      <c r="E297" s="19" t="inlineStr">
        <is>
          <t>open</t>
        </is>
      </c>
      <c r="F297" s="19" t="inlineStr">
        <is>
          <t>open</t>
        </is>
      </c>
    </row>
    <row r="298">
      <c r="A298" s="15" t="inlineStr">
        <is>
          <t>1101989303</t>
        </is>
      </c>
      <c r="B298" s="15" t="inlineStr">
        <is>
          <t>How Did the Trinity Doctrine Develop?</t>
        </is>
      </c>
      <c r="C298" s="15" t="inlineStr">
        <is>
          <t>Should You Believe in the Trinity? (ti)</t>
        </is>
      </c>
      <c r="D298" s="15" t="n">
        <v>2</v>
      </c>
      <c r="E298" s="19" t="inlineStr">
        <is>
          <t>open</t>
        </is>
      </c>
      <c r="F298" s="19" t="inlineStr">
        <is>
          <t>open</t>
        </is>
      </c>
    </row>
    <row r="299">
      <c r="A299" s="15" t="inlineStr">
        <is>
          <t>102001725</t>
        </is>
      </c>
      <c r="B299" s="15" t="inlineStr">
        <is>
          <t>The Forgotten Glory of the Byzantine Empire</t>
        </is>
      </c>
      <c r="C299" s="15" t="inlineStr">
        <is>
          <t>Awake! 2001 10/8</t>
        </is>
      </c>
      <c r="D299" s="15" t="n">
        <v>2</v>
      </c>
      <c r="E299" s="19" t="inlineStr">
        <is>
          <t>open</t>
        </is>
      </c>
      <c r="F299" s="15" t="n"/>
    </row>
    <row r="300">
      <c r="A300" s="15" t="inlineStr">
        <is>
          <t>101998884</t>
        </is>
      </c>
      <c r="B300" s="15" t="inlineStr">
        <is>
          <t>Secret Archives Opened</t>
        </is>
      </c>
      <c r="C300" s="15" t="inlineStr">
        <is>
          <t>Awake! 1998 12/8</t>
        </is>
      </c>
      <c r="D300" s="15" t="n">
        <v>2</v>
      </c>
      <c r="E300" s="19" t="inlineStr">
        <is>
          <t>open</t>
        </is>
      </c>
      <c r="F300" s="19" t="inlineStr">
        <is>
          <t>open</t>
        </is>
      </c>
    </row>
    <row r="301">
      <c r="A301" s="15" t="inlineStr">
        <is>
          <t>101986288</t>
        </is>
      </c>
      <c r="B301" s="15" t="inlineStr">
        <is>
          <t>The Terrifying Inquisition</t>
        </is>
      </c>
      <c r="C301" s="15" t="inlineStr">
        <is>
          <t>Awake! (g86 4/22 pp. 20-23)</t>
        </is>
      </c>
      <c r="D301" s="15" t="n">
        <v>2</v>
      </c>
      <c r="E301" s="19" t="inlineStr">
        <is>
          <t>open</t>
        </is>
      </c>
      <c r="F301" s="19" t="inlineStr">
        <is>
          <t>open</t>
        </is>
      </c>
    </row>
    <row r="302">
      <c r="A302" s="15" t="inlineStr">
        <is>
          <t>1997527</t>
        </is>
      </c>
      <c r="B302" s="15" t="inlineStr">
        <is>
          <t>The “Investigative Judgment”—A Bible-Based Doctrine?</t>
        </is>
      </c>
      <c r="C302" s="15" t="inlineStr">
        <is>
          <t>Watchtower 1997 7/15</t>
        </is>
      </c>
      <c r="D302" s="15" t="n">
        <v>2</v>
      </c>
      <c r="E302" s="19" t="inlineStr">
        <is>
          <t>open</t>
        </is>
      </c>
      <c r="F302" s="19" t="inlineStr">
        <is>
          <t>open</t>
        </is>
      </c>
    </row>
    <row r="303">
      <c r="A303" s="15" t="inlineStr">
        <is>
          <t>1101993023</t>
        </is>
      </c>
      <c r="B303" s="15" t="inlineStr">
        <is>
          <t>Building Together on a Global Scale</t>
        </is>
      </c>
      <c r="C303" s="15" t="inlineStr">
        <is>
          <t>Proclaimers (jv) ch. 19</t>
        </is>
      </c>
      <c r="D303" s="15" t="n">
        <v>2</v>
      </c>
      <c r="E303" s="19" t="inlineStr">
        <is>
          <t>open</t>
        </is>
      </c>
      <c r="F303" s="15" t="n"/>
    </row>
    <row r="304">
      <c r="A304" s="15" t="inlineStr">
        <is>
          <t>2022485</t>
        </is>
      </c>
      <c r="B304" s="15" t="inlineStr">
        <is>
          <t>An Ancient Prophecy That Affects You</t>
        </is>
      </c>
      <c r="C304" s="15" t="inlineStr">
        <is>
          <t>The Watchtower (Study), July 2022, Study Article 30</t>
        </is>
      </c>
      <c r="D304" s="15" t="n">
        <v>2</v>
      </c>
      <c r="E304" s="19" t="inlineStr">
        <is>
          <t>open</t>
        </is>
      </c>
      <c r="F304" s="19" t="inlineStr">
        <is>
          <t>open</t>
        </is>
      </c>
    </row>
    <row r="305">
      <c r="A305" s="15" t="inlineStr">
        <is>
          <t>1955684</t>
        </is>
      </c>
      <c r="B305" s="15" t="inlineStr">
        <is>
          <t>Part 18—Second World War’s Christian Neutrals in British Commonwealth</t>
        </is>
      </c>
      <c r="C305" s="15" t="inlineStr">
        <is>
          <t>The Watchtower (w55 9/15 pp. 556-559)</t>
        </is>
      </c>
      <c r="D305" s="15" t="n">
        <v>2</v>
      </c>
      <c r="E305" s="19" t="inlineStr">
        <is>
          <t>open</t>
        </is>
      </c>
      <c r="F305" s="15" t="n"/>
    </row>
    <row r="306">
      <c r="A306" s="15" t="inlineStr">
        <is>
          <t>jw.org/news/region/global/New-World-Translation-of-the-Christian-Greek-Scriptures-First-Released-75-Years-Ago</t>
        </is>
      </c>
      <c r="B306" s="15" t="inlineStr">
        <is>
          <t>New World Translation of the Christian Greek Scriptures First Released 75 Years Ago</t>
        </is>
      </c>
      <c r="C306" s="15" t="inlineStr">
        <is>
          <t>jw.org Newsroom, Aug. 1, 2025</t>
        </is>
      </c>
      <c r="D306" s="15" t="n">
        <v>2</v>
      </c>
      <c r="E306" s="19" t="inlineStr">
        <is>
          <t>open</t>
        </is>
      </c>
      <c r="F306" s="15" t="n"/>
    </row>
    <row r="307">
      <c r="A307" s="15" t="inlineStr">
        <is>
          <t>1994808</t>
        </is>
      </c>
      <c r="B307" s="15" t="inlineStr">
        <is>
          <t>Governing Body Addition</t>
        </is>
      </c>
      <c r="C307" s="15" t="inlineStr">
        <is>
          <t>Watchtower 1994</t>
        </is>
      </c>
      <c r="D307" s="15" t="n">
        <v>2</v>
      </c>
      <c r="E307" s="19" t="inlineStr">
        <is>
          <t>open</t>
        </is>
      </c>
      <c r="F307" s="19" t="inlineStr">
        <is>
          <t>open</t>
        </is>
      </c>
    </row>
    <row r="308">
      <c r="A308" s="15" t="inlineStr">
        <is>
          <t>jw.org/news/region/global/A-Decade-of-JWORG-Part-1</t>
        </is>
      </c>
      <c r="B308" s="15" t="inlineStr">
        <is>
          <t>A Decade of JW.ORG—Part 1</t>
        </is>
      </c>
      <c r="C308" s="15" t="inlineStr">
        <is>
          <t>jw.org Newsroom, Dec. 28, 2022</t>
        </is>
      </c>
      <c r="D308" s="15" t="n">
        <v>2</v>
      </c>
      <c r="E308" s="19" t="inlineStr">
        <is>
          <t>open</t>
        </is>
      </c>
      <c r="F308" s="15" t="n"/>
    </row>
    <row r="309">
      <c r="A309" s="15" t="inlineStr">
        <is>
          <t>2013534</t>
        </is>
      </c>
      <c r="B309" s="15" t="inlineStr">
        <is>
          <t>A New Member of the Governing Body</t>
        </is>
      </c>
      <c r="C309" s="15" t="inlineStr">
        <is>
          <t>Watchtower 2013 7/15</t>
        </is>
      </c>
      <c r="D309" s="15" t="n">
        <v>2</v>
      </c>
      <c r="E309" s="19" t="inlineStr">
        <is>
          <t>open</t>
        </is>
      </c>
      <c r="F309" s="19" t="inlineStr">
        <is>
          <t>open</t>
        </is>
      </c>
    </row>
    <row r="310">
      <c r="A310" s="15" t="inlineStr">
        <is>
          <t>302014042</t>
        </is>
      </c>
      <c r="B310" s="15" t="inlineStr">
        <is>
          <t>An Organization That Is on the Move</t>
        </is>
      </c>
      <c r="C310" s="15" t="inlineStr">
        <is>
          <t>Yearbook of Jehovah’s Witnesses (yb14 pp. 10-13)</t>
        </is>
      </c>
      <c r="D310" s="15" t="n">
        <v>2</v>
      </c>
      <c r="E310" s="19" t="inlineStr">
        <is>
          <t>open</t>
        </is>
      </c>
      <c r="F310" s="15" t="n"/>
    </row>
    <row r="311">
      <c r="A311" s="15" t="inlineStr">
        <is>
          <t>302015054</t>
        </is>
      </c>
      <c r="B311" s="15" t="inlineStr">
        <is>
          <t>A Bible That Is Made to Last</t>
        </is>
      </c>
      <c r="C311" s="15" t="inlineStr">
        <is>
          <t>Yearbook 2015</t>
        </is>
      </c>
      <c r="D311" s="15" t="n">
        <v>2</v>
      </c>
      <c r="E311" s="19" t="inlineStr">
        <is>
          <t>open</t>
        </is>
      </c>
      <c r="F311" s="15" t="n"/>
    </row>
    <row r="312">
      <c r="A312" s="15" t="inlineStr">
        <is>
          <t>302015057</t>
        </is>
      </c>
      <c r="B312" s="15" t="inlineStr">
        <is>
          <t>Legal Report</t>
        </is>
      </c>
      <c r="C312" s="15" t="inlineStr">
        <is>
          <t>Yearbook 2015</t>
        </is>
      </c>
      <c r="D312" s="15" t="n">
        <v>2</v>
      </c>
      <c r="E312" s="19" t="inlineStr">
        <is>
          <t>open</t>
        </is>
      </c>
      <c r="F312" s="15" t="n"/>
    </row>
    <row r="313">
      <c r="A313" s="15" t="inlineStr">
        <is>
          <t>jw.org/news/region/global/JW-Broadcasting-Reaches-Five-Year-Mark</t>
        </is>
      </c>
      <c r="B313" s="15" t="inlineStr">
        <is>
          <t>JW Broadcasting Reaches Five-Year Mark</t>
        </is>
      </c>
      <c r="C313" s="15" t="inlineStr">
        <is>
          <t>jw.org Newsroom, Oct. 11, 2019</t>
        </is>
      </c>
      <c r="D313" s="15" t="n">
        <v>2</v>
      </c>
      <c r="E313" s="19" t="inlineStr">
        <is>
          <t>open</t>
        </is>
      </c>
      <c r="F313" s="15" t="n"/>
    </row>
    <row r="314">
      <c r="A314" s="15" t="inlineStr">
        <is>
          <t>302016052</t>
        </is>
      </c>
      <c r="B314" s="15" t="inlineStr">
        <is>
          <t>Branch Dedications</t>
        </is>
      </c>
      <c r="C314" s="15" t="inlineStr">
        <is>
          <t>Yearbook 2016</t>
        </is>
      </c>
      <c r="D314" s="15" t="n">
        <v>2</v>
      </c>
      <c r="E314" s="19" t="inlineStr">
        <is>
          <t>open</t>
        </is>
      </c>
      <c r="F314" s="15" t="n"/>
    </row>
    <row r="315">
      <c r="A315" s="15" t="inlineStr">
        <is>
          <t>302016053</t>
        </is>
      </c>
      <c r="B315" s="15" t="inlineStr">
        <is>
          <t>Legal Report</t>
        </is>
      </c>
      <c r="C315" s="15" t="inlineStr">
        <is>
          <t>Yearbook 2016</t>
        </is>
      </c>
      <c r="D315" s="15" t="n">
        <v>2</v>
      </c>
      <c r="E315" s="19" t="inlineStr">
        <is>
          <t>open</t>
        </is>
      </c>
      <c r="F315" s="15" t="n"/>
    </row>
    <row r="316">
      <c r="A316" s="15" t="inlineStr">
        <is>
          <t>302017042</t>
        </is>
      </c>
      <c r="B316" s="15" t="inlineStr">
        <is>
          <t>Legal Report</t>
        </is>
      </c>
      <c r="C316" s="15" t="inlineStr">
        <is>
          <t>Yearbook 2017</t>
        </is>
      </c>
      <c r="D316" s="15" t="n">
        <v>2</v>
      </c>
      <c r="E316" s="19" t="inlineStr">
        <is>
          <t>open</t>
        </is>
      </c>
      <c r="F316" s="15" t="n"/>
    </row>
    <row r="317">
      <c r="A317" s="15" t="inlineStr">
        <is>
          <t>jw.org/news/region/russia/supreme-court-rules-to-criminalize-jehovahs-witnesses-activity</t>
        </is>
      </c>
      <c r="B317" s="15" t="inlineStr">
        <is>
          <t>Supreme Court Rules to Criminalize the Activity of Jehovah’s Witnesses in Russia</t>
        </is>
      </c>
      <c r="C317" s="15" t="inlineStr">
        <is>
          <t>jw.org Newsroom, Apr. 21, 2017</t>
        </is>
      </c>
      <c r="D317" s="15" t="n">
        <v>2</v>
      </c>
      <c r="E317" s="19" t="inlineStr">
        <is>
          <t>open</t>
        </is>
      </c>
      <c r="F317" s="15" t="n"/>
    </row>
    <row r="318">
      <c r="A318" s="15" t="inlineStr">
        <is>
          <t>jw.org/news/2026-Governing-Body-Update-3</t>
        </is>
      </c>
      <c r="B318" s="15" t="inlineStr">
        <is>
          <t>2026 Governing Body Update #3</t>
        </is>
      </c>
      <c r="C318" s="15" t="inlineStr">
        <is>
          <t>jw.org Newsroom — Governing Body Update</t>
        </is>
      </c>
      <c r="D318" s="15" t="n">
        <v>2</v>
      </c>
      <c r="E318" s="19" t="inlineStr">
        <is>
          <t>open</t>
        </is>
      </c>
      <c r="F318" s="19" t="inlineStr">
        <is>
          <t>open</t>
        </is>
      </c>
    </row>
    <row r="319">
      <c r="A319" s="15" t="inlineStr">
        <is>
          <t>jw.org/news/region/global/Town-Board-of-Ramapo-Approves-Special-Permit</t>
        </is>
      </c>
      <c r="B319" s="15" t="inlineStr">
        <is>
          <t>Town Board of Ramapo Approves Special Permit</t>
        </is>
      </c>
      <c r="C319" s="15" t="inlineStr">
        <is>
          <t>jw.org Newsroom, Jan. 9, 2023</t>
        </is>
      </c>
      <c r="D319" s="15" t="n">
        <v>2</v>
      </c>
      <c r="E319" s="19" t="inlineStr">
        <is>
          <t>open</t>
        </is>
      </c>
      <c r="F319" s="15" t="n"/>
    </row>
    <row r="320">
      <c r="A320" s="15" t="inlineStr">
        <is>
          <t>2024406</t>
        </is>
      </c>
      <c r="B320" s="15" t="inlineStr">
        <is>
          <t>Let Love Motivate You to Keep Preaching!</t>
        </is>
      </c>
      <c r="C320" s="15" t="inlineStr">
        <is>
          <t>Watchtower Study 2024 May</t>
        </is>
      </c>
      <c r="D320" s="15" t="n">
        <v>2</v>
      </c>
      <c r="E320" s="19" t="inlineStr">
        <is>
          <t>open</t>
        </is>
      </c>
      <c r="F320" s="19" t="inlineStr">
        <is>
          <t>open</t>
        </is>
      </c>
    </row>
    <row r="321">
      <c r="A321" s="15" t="inlineStr">
        <is>
          <t>jw.org/news/region/global/Approval-to-Begin-Major-Construction-at-Ramapo-Received</t>
        </is>
      </c>
      <c r="B321" s="15" t="inlineStr">
        <is>
          <t>Approval to Begin Major Construction at Ramapo Received</t>
        </is>
      </c>
      <c r="C321" s="15" t="inlineStr">
        <is>
          <t>jw.org Newsroom, Nov. 8, 2024</t>
        </is>
      </c>
      <c r="D321" s="15" t="n">
        <v>2</v>
      </c>
      <c r="E321" s="19" t="inlineStr">
        <is>
          <t>open</t>
        </is>
      </c>
      <c r="F321" s="15" t="n"/>
    </row>
    <row r="322">
      <c r="A322" s="15" t="inlineStr">
        <is>
          <t>jw.org/news/region/global/Ramapo-Construction-Update-3</t>
        </is>
      </c>
      <c r="B322" s="15" t="inlineStr">
        <is>
          <t>Ramapo Construction Update #3</t>
        </is>
      </c>
      <c r="C322" s="15" t="inlineStr">
        <is>
          <t>jw.org Newsroom, Sept. 14, 2026</t>
        </is>
      </c>
      <c r="D322" s="15" t="n">
        <v>2</v>
      </c>
      <c r="E322" s="19" t="inlineStr">
        <is>
          <t>open</t>
        </is>
      </c>
      <c r="F322" s="15" t="n"/>
    </row>
    <row r="323">
      <c r="A323" s="15" t="inlineStr">
        <is>
          <t>jw.org/news/region/global/Ramapo-Construction-Update-2</t>
        </is>
      </c>
      <c r="B323" s="15" t="inlineStr">
        <is>
          <t>Ramapo Construction Update #2</t>
        </is>
      </c>
      <c r="C323" s="15" t="inlineStr">
        <is>
          <t>jw.org Newsroom, Jan. 21, 2026</t>
        </is>
      </c>
      <c r="D323" s="15" t="n">
        <v>2</v>
      </c>
      <c r="E323" s="19" t="inlineStr">
        <is>
          <t>open</t>
        </is>
      </c>
      <c r="F323" s="15" t="n"/>
    </row>
    <row r="324">
      <c r="A324" s="15" t="inlineStr">
        <is>
          <t>1102017176</t>
        </is>
      </c>
      <c r="B324" s="15" t="inlineStr">
        <is>
          <t>“Put a Mark on the Foreheads”</t>
        </is>
      </c>
      <c r="C324" s="15" t="inlineStr">
        <is>
          <t>Pure Worship of Jehovah—Restored At Last! (rr) chap. 16</t>
        </is>
      </c>
      <c r="D324" s="15" t="n">
        <v>2</v>
      </c>
      <c r="E324" s="19" t="inlineStr">
        <is>
          <t>open</t>
        </is>
      </c>
      <c r="F324" s="19" t="inlineStr">
        <is>
          <t>open</t>
        </is>
      </c>
    </row>
    <row r="325">
      <c r="A325" s="15" t="inlineStr">
        <is>
          <t>2019603</t>
        </is>
      </c>
      <c r="B325" s="15" t="inlineStr">
        <is>
          <t>Stay Faithful Through the “Great Tribulation”</t>
        </is>
      </c>
      <c r="C325" s="15" t="inlineStr">
        <is>
          <t>The Watchtower (w19 October pp. 14-19)</t>
        </is>
      </c>
      <c r="D325" s="15" t="n">
        <v>2</v>
      </c>
      <c r="E325" s="19" t="inlineStr">
        <is>
          <t>open</t>
        </is>
      </c>
      <c r="F325" s="19" t="inlineStr">
        <is>
          <t>open</t>
        </is>
      </c>
    </row>
    <row r="326">
      <c r="A326" s="15" t="inlineStr">
        <is>
          <t>1102017178</t>
        </is>
      </c>
      <c r="B326" s="15" t="inlineStr">
        <is>
          <t>“My Great Rage Will Flare Up”</t>
        </is>
      </c>
      <c r="C326" s="15" t="inlineStr">
        <is>
          <t>Pure Worship of Jehovah—Restored At Last! (rr) chap. 18</t>
        </is>
      </c>
      <c r="D326" s="15" t="n">
        <v>2</v>
      </c>
      <c r="E326" s="19" t="inlineStr">
        <is>
          <t>open</t>
        </is>
      </c>
      <c r="F326" s="19" t="inlineStr">
        <is>
          <t>open</t>
        </is>
      </c>
    </row>
    <row r="327">
      <c r="A327" s="15" t="inlineStr">
        <is>
          <t>1200000065</t>
        </is>
      </c>
      <c r="B327" s="15" t="inlineStr">
        <is>
          <t>Abyss</t>
        </is>
      </c>
      <c r="C327" s="15" t="inlineStr">
        <is>
          <t>Insight (it-1)</t>
        </is>
      </c>
      <c r="D327" s="15" t="n">
        <v>2</v>
      </c>
      <c r="E327" s="19" t="inlineStr">
        <is>
          <t>open</t>
        </is>
      </c>
      <c r="F327" s="15" t="n"/>
    </row>
    <row r="328">
      <c r="A328" s="15" t="inlineStr">
        <is>
          <t>2022567</t>
        </is>
      </c>
      <c r="B328" s="15" t="inlineStr">
        <is>
          <t>Is Your Name in “the Book of Life”?</t>
        </is>
      </c>
      <c r="C328" s="15" t="inlineStr">
        <is>
          <t>The Watchtower (Study) September 2022</t>
        </is>
      </c>
      <c r="D328" s="15" t="n">
        <v>2</v>
      </c>
      <c r="E328" s="19" t="inlineStr">
        <is>
          <t>open</t>
        </is>
      </c>
      <c r="F328" s="19" t="inlineStr">
        <is>
          <t>open</t>
        </is>
      </c>
    </row>
    <row r="329">
      <c r="A329" s="15" t="inlineStr">
        <is>
          <t>1200003709</t>
        </is>
      </c>
      <c r="B329" s="15" t="inlineStr">
        <is>
          <t>Resurrection</t>
        </is>
      </c>
      <c r="C329" s="15" t="inlineStr">
        <is>
          <t>Insight (it-2)</t>
        </is>
      </c>
      <c r="D329" s="15" t="n">
        <v>2</v>
      </c>
      <c r="E329" s="19" t="inlineStr">
        <is>
          <t>open</t>
        </is>
      </c>
      <c r="F329" s="15" t="n"/>
    </row>
    <row r="330">
      <c r="A330" s="15" t="inlineStr">
        <is>
          <t>1200002323</t>
        </is>
      </c>
      <c r="B330" s="15" t="inlineStr">
        <is>
          <t>Japheth</t>
        </is>
      </c>
      <c r="C330" s="15" t="inlineStr">
        <is>
          <t>Insight on the Scriptures (it-1)</t>
        </is>
      </c>
      <c r="D330" s="15" t="n">
        <v>1</v>
      </c>
      <c r="E330" s="19" t="inlineStr">
        <is>
          <t>open</t>
        </is>
      </c>
      <c r="F330" s="15" t="n"/>
    </row>
    <row r="331">
      <c r="A331" s="15" t="inlineStr">
        <is>
          <t>1200001832</t>
        </is>
      </c>
      <c r="B331" s="15" t="inlineStr">
        <is>
          <t>Ham</t>
        </is>
      </c>
      <c r="C331" s="15" t="inlineStr">
        <is>
          <t>Insight on the Scriptures (it-1)</t>
        </is>
      </c>
      <c r="D331" s="15" t="n">
        <v>1</v>
      </c>
      <c r="E331" s="19" t="inlineStr">
        <is>
          <t>open</t>
        </is>
      </c>
      <c r="F331" s="15" t="n"/>
    </row>
    <row r="332">
      <c r="A332" s="15" t="inlineStr">
        <is>
          <t>1200001150</t>
        </is>
      </c>
      <c r="B332" s="15" t="inlineStr">
        <is>
          <t>Deluge</t>
        </is>
      </c>
      <c r="C332" s="15" t="inlineStr">
        <is>
          <t>Insight on the Scriptures, Vol. 1 (it-1 “Deluge”)</t>
        </is>
      </c>
      <c r="D332" s="15" t="n">
        <v>1</v>
      </c>
      <c r="E332" s="19" t="inlineStr">
        <is>
          <t>open</t>
        </is>
      </c>
      <c r="F332" s="15" t="n"/>
    </row>
    <row r="333">
      <c r="A333" s="15" t="inlineStr">
        <is>
          <t>1200000384</t>
        </is>
      </c>
      <c r="B333" s="15" t="inlineStr">
        <is>
          <t>Arpachshad</t>
        </is>
      </c>
      <c r="C333" s="15" t="inlineStr">
        <is>
          <t>Insight on the Scriptures (it-1)</t>
        </is>
      </c>
      <c r="D333" s="15" t="n">
        <v>1</v>
      </c>
      <c r="E333" s="19" t="inlineStr">
        <is>
          <t>open</t>
        </is>
      </c>
      <c r="F333" s="15" t="n"/>
    </row>
    <row r="334">
      <c r="A334" s="15" t="inlineStr">
        <is>
          <t>1200000529</t>
        </is>
      </c>
      <c r="B334" s="15" t="inlineStr">
        <is>
          <t>Babel</t>
        </is>
      </c>
      <c r="C334" s="15" t="inlineStr">
        <is>
          <t>Insight on the Scriptures (it-1)</t>
        </is>
      </c>
      <c r="D334" s="15" t="n">
        <v>1</v>
      </c>
      <c r="E334" s="19" t="inlineStr">
        <is>
          <t>open</t>
        </is>
      </c>
      <c r="F334" s="15" t="n"/>
    </row>
    <row r="335">
      <c r="A335" s="15" t="inlineStr">
        <is>
          <t>1200004368</t>
        </is>
      </c>
      <c r="B335" s="15" t="inlineStr">
        <is>
          <t>Terah</t>
        </is>
      </c>
      <c r="C335" s="15" t="inlineStr">
        <is>
          <t>Insight on the Scriptures (it-2)</t>
        </is>
      </c>
      <c r="D335" s="15" t="n">
        <v>1</v>
      </c>
      <c r="E335" s="19" t="inlineStr">
        <is>
          <t>open</t>
        </is>
      </c>
      <c r="F335" s="15" t="n"/>
    </row>
    <row r="336">
      <c r="A336" s="15" t="inlineStr">
        <is>
          <t>1200002970</t>
        </is>
      </c>
      <c r="B336" s="15" t="inlineStr">
        <is>
          <t>Melchizedek</t>
        </is>
      </c>
      <c r="C336" s="15" t="inlineStr">
        <is>
          <t>Insight on the Scriptures (it-2)</t>
        </is>
      </c>
      <c r="D336" s="15" t="n">
        <v>1</v>
      </c>
      <c r="E336" s="19" t="inlineStr">
        <is>
          <t>open</t>
        </is>
      </c>
      <c r="F336" s="15" t="n"/>
    </row>
    <row r="337">
      <c r="A337" s="15" t="inlineStr">
        <is>
          <t>1200003658</t>
        </is>
      </c>
      <c r="B337" s="15" t="inlineStr">
        <is>
          <t>Rebekah</t>
        </is>
      </c>
      <c r="C337" s="15" t="inlineStr">
        <is>
          <t>Insight on the Scriptures (it-2)</t>
        </is>
      </c>
      <c r="D337" s="15" t="n">
        <v>1</v>
      </c>
      <c r="E337" s="19" t="inlineStr">
        <is>
          <t>open</t>
        </is>
      </c>
      <c r="F337" s="15" t="n"/>
    </row>
    <row r="338">
      <c r="A338" s="15" t="inlineStr">
        <is>
          <t>1200001417</t>
        </is>
      </c>
      <c r="B338" s="15" t="inlineStr">
        <is>
          <t>Esau</t>
        </is>
      </c>
      <c r="C338" s="15" t="inlineStr">
        <is>
          <t>Insight on the Scriptures (it-1)</t>
        </is>
      </c>
      <c r="D338" s="15" t="n">
        <v>1</v>
      </c>
      <c r="E338" s="19" t="inlineStr">
        <is>
          <t>open</t>
        </is>
      </c>
      <c r="F338" s="15" t="n"/>
    </row>
    <row r="339">
      <c r="A339" s="15" t="inlineStr">
        <is>
          <t>1200003621</t>
        </is>
      </c>
      <c r="B339" s="15" t="inlineStr">
        <is>
          <t>Rachel</t>
        </is>
      </c>
      <c r="C339" s="15" t="inlineStr">
        <is>
          <t>Insight on the Scriptures (it-2)</t>
        </is>
      </c>
      <c r="D339" s="15" t="n">
        <v>1</v>
      </c>
      <c r="E339" s="19" t="inlineStr">
        <is>
          <t>open</t>
        </is>
      </c>
      <c r="F339" s="15" t="n"/>
    </row>
    <row r="340">
      <c r="A340" s="15" t="inlineStr">
        <is>
          <t>2015086</t>
        </is>
      </c>
      <c r="B340" s="15" t="inlineStr">
        <is>
          <t>“Do Not Interpretations Belong to God?”</t>
        </is>
      </c>
      <c r="C340" s="15" t="inlineStr">
        <is>
          <t>The Watchtower 2015 2/1</t>
        </is>
      </c>
      <c r="D340" s="15" t="n">
        <v>1</v>
      </c>
      <c r="E340" s="19" t="inlineStr">
        <is>
          <t>open</t>
        </is>
      </c>
      <c r="F340" s="15" t="n"/>
    </row>
    <row r="341">
      <c r="A341" s="15" t="inlineStr">
        <is>
          <t>1200002694</t>
        </is>
      </c>
      <c r="B341" s="15" t="inlineStr">
        <is>
          <t>Law</t>
        </is>
      </c>
      <c r="C341" s="15" t="inlineStr">
        <is>
          <t>Insight on the Scriptures (it)</t>
        </is>
      </c>
      <c r="D341" s="15" t="n">
        <v>1</v>
      </c>
      <c r="E341" s="19" t="inlineStr">
        <is>
          <t>open</t>
        </is>
      </c>
      <c r="F341" s="15" t="n"/>
    </row>
    <row r="342">
      <c r="A342" s="15" t="inlineStr">
        <is>
          <t>1101990063</t>
        </is>
      </c>
      <c r="B342" s="15" t="inlineStr">
        <is>
          <t>Bible Book Number 2—Exodus</t>
        </is>
      </c>
      <c r="C342" s="15" t="inlineStr">
        <is>
          <t>All Scripture Is Inspired of God and Beneficial (si)</t>
        </is>
      </c>
      <c r="D342" s="15" t="n">
        <v>1</v>
      </c>
      <c r="E342" s="19" t="inlineStr">
        <is>
          <t>open</t>
        </is>
      </c>
      <c r="F342" s="19" t="inlineStr">
        <is>
          <t>open</t>
        </is>
      </c>
    </row>
    <row r="343">
      <c r="A343" s="15" t="inlineStr">
        <is>
          <t>1101990064</t>
        </is>
      </c>
      <c r="B343" s="15" t="inlineStr">
        <is>
          <t>Bible Book Number 3—Leviticus</t>
        </is>
      </c>
      <c r="C343" s="15" t="inlineStr">
        <is>
          <t>All Scripture Is Inspired of God and Beneficial (si)</t>
        </is>
      </c>
      <c r="D343" s="15" t="n">
        <v>1</v>
      </c>
      <c r="E343" s="19" t="inlineStr">
        <is>
          <t>open</t>
        </is>
      </c>
      <c r="F343" s="19" t="inlineStr">
        <is>
          <t>open</t>
        </is>
      </c>
    </row>
    <row r="344">
      <c r="A344" s="15" t="inlineStr">
        <is>
          <t>1200004295</t>
        </is>
      </c>
      <c r="B344" s="15" t="inlineStr">
        <is>
          <t>Tabernacle</t>
        </is>
      </c>
      <c r="C344" s="15" t="inlineStr">
        <is>
          <t>Insight on the Scriptures (it)</t>
        </is>
      </c>
      <c r="D344" s="15" t="n">
        <v>1</v>
      </c>
      <c r="E344" s="19" t="inlineStr">
        <is>
          <t>open</t>
        </is>
      </c>
      <c r="F344" s="15" t="n"/>
    </row>
    <row r="345">
      <c r="A345" s="15" t="inlineStr">
        <is>
          <t>1001061225</t>
        </is>
      </c>
      <c r="B345" s="15" t="inlineStr">
        <is>
          <t>B5 Tabernacle and High Priest</t>
        </is>
      </c>
      <c r="C345" s="15" t="inlineStr">
        <is>
          <t>New World Translation App. B5</t>
        </is>
      </c>
      <c r="D345" s="15" t="n">
        <v>1</v>
      </c>
      <c r="E345" s="19" t="inlineStr">
        <is>
          <t>open</t>
        </is>
      </c>
      <c r="F345" s="19" t="inlineStr">
        <is>
          <t>open</t>
        </is>
      </c>
    </row>
    <row r="346">
      <c r="A346" s="15" t="inlineStr">
        <is>
          <t>1200003074</t>
        </is>
      </c>
      <c r="B346" s="15" t="inlineStr">
        <is>
          <t>Miriam</t>
        </is>
      </c>
      <c r="C346" s="15" t="inlineStr">
        <is>
          <t>Insight on the Scriptures (it)</t>
        </is>
      </c>
      <c r="D346" s="15" t="n">
        <v>1</v>
      </c>
      <c r="E346" s="19" t="inlineStr">
        <is>
          <t>open</t>
        </is>
      </c>
      <c r="F346" s="15" t="n"/>
    </row>
    <row r="347">
      <c r="A347" s="15" t="inlineStr">
        <is>
          <t>1200000382</t>
        </is>
      </c>
      <c r="B347" s="15" t="inlineStr">
        <is>
          <t>Aroer</t>
        </is>
      </c>
      <c r="C347" s="15" t="inlineStr">
        <is>
          <t>Insight on the Scriptures (it)</t>
        </is>
      </c>
      <c r="D347" s="15" t="n">
        <v>1</v>
      </c>
      <c r="E347" s="19" t="inlineStr">
        <is>
          <t>open</t>
        </is>
      </c>
      <c r="F347" s="15" t="n"/>
    </row>
    <row r="348">
      <c r="A348" s="15" t="inlineStr">
        <is>
          <t>1200000130</t>
        </is>
      </c>
      <c r="B348" s="15" t="inlineStr">
        <is>
          <t>Agag</t>
        </is>
      </c>
      <c r="C348" s="15" t="inlineStr">
        <is>
          <t>Insight on the Scriptures (it)</t>
        </is>
      </c>
      <c r="D348" s="15" t="n">
        <v>1</v>
      </c>
      <c r="E348" s="19" t="inlineStr">
        <is>
          <t>open</t>
        </is>
      </c>
      <c r="F348" s="15" t="n"/>
    </row>
    <row r="349">
      <c r="A349" s="15" t="inlineStr">
        <is>
          <t>1200000381</t>
        </is>
      </c>
      <c r="B349" s="15" t="inlineStr">
        <is>
          <t>Arod</t>
        </is>
      </c>
      <c r="C349" s="15" t="inlineStr">
        <is>
          <t>Insight on the Scriptures (it)</t>
        </is>
      </c>
      <c r="D349" s="15" t="n">
        <v>1</v>
      </c>
      <c r="E349" s="19" t="inlineStr">
        <is>
          <t>open</t>
        </is>
      </c>
      <c r="F349" s="15" t="n"/>
    </row>
    <row r="350">
      <c r="A350" s="15" t="inlineStr">
        <is>
          <t>1101990065</t>
        </is>
      </c>
      <c r="B350" s="15" t="inlineStr">
        <is>
          <t>Bible Book Number 4—Numbers</t>
        </is>
      </c>
      <c r="C350" s="15" t="inlineStr">
        <is>
          <t>All Scripture Is Inspired of God and Beneficial (si)</t>
        </is>
      </c>
      <c r="D350" s="15" t="n">
        <v>1</v>
      </c>
      <c r="E350" s="19" t="inlineStr">
        <is>
          <t>open</t>
        </is>
      </c>
      <c r="F350" s="19" t="inlineStr">
        <is>
          <t>open</t>
        </is>
      </c>
    </row>
    <row r="351">
      <c r="A351" s="15" t="inlineStr">
        <is>
          <t>1101990079</t>
        </is>
      </c>
      <c r="B351" s="15" t="inlineStr">
        <is>
          <t>Bible Book Number 18—Job</t>
        </is>
      </c>
      <c r="C351" s="15" t="inlineStr">
        <is>
          <t>All Scripture Is Inspired of God and Beneficial (si)</t>
        </is>
      </c>
      <c r="D351" s="15" t="n">
        <v>1</v>
      </c>
      <c r="E351" s="19" t="inlineStr">
        <is>
          <t>open</t>
        </is>
      </c>
      <c r="F351" s="19" t="inlineStr">
        <is>
          <t>open</t>
        </is>
      </c>
    </row>
    <row r="352">
      <c r="A352" s="15" t="inlineStr">
        <is>
          <t>1200003623</t>
        </is>
      </c>
      <c r="B352" s="15" t="inlineStr">
        <is>
          <t>Rahab</t>
        </is>
      </c>
      <c r="C352" s="15" t="inlineStr">
        <is>
          <t>Insight on the Scriptures (it)</t>
        </is>
      </c>
      <c r="D352" s="15" t="n">
        <v>1</v>
      </c>
      <c r="E352" s="19" t="inlineStr">
        <is>
          <t>open</t>
        </is>
      </c>
      <c r="F352" s="15" t="n"/>
    </row>
    <row r="353">
      <c r="A353" s="15" t="inlineStr">
        <is>
          <t>1200001695</t>
        </is>
      </c>
      <c r="B353" s="15" t="inlineStr">
        <is>
          <t>Gilgal</t>
        </is>
      </c>
      <c r="C353" s="15" t="inlineStr">
        <is>
          <t>Insight on the Scriptures (it)</t>
        </is>
      </c>
      <c r="D353" s="15" t="n">
        <v>1</v>
      </c>
      <c r="E353" s="19" t="inlineStr">
        <is>
          <t>open</t>
        </is>
      </c>
      <c r="F353" s="15" t="n"/>
    </row>
    <row r="354">
      <c r="A354" s="15" t="inlineStr">
        <is>
          <t>1200000874</t>
        </is>
      </c>
      <c r="B354" s="15" t="inlineStr">
        <is>
          <t>Canaan</t>
        </is>
      </c>
      <c r="C354" s="15" t="inlineStr">
        <is>
          <t>Insight on the Scriptures, Vol. 1 (it-1 “Canaan” No. 1 ¶1-No. 2 ¶31)</t>
        </is>
      </c>
      <c r="D354" s="15" t="n">
        <v>1</v>
      </c>
      <c r="E354" s="19" t="inlineStr">
        <is>
          <t>open</t>
        </is>
      </c>
      <c r="F354" s="15" t="n"/>
    </row>
    <row r="355">
      <c r="A355" s="15" t="inlineStr">
        <is>
          <t>1200002426</t>
        </is>
      </c>
      <c r="B355" s="15" t="inlineStr">
        <is>
          <t>Jericho</t>
        </is>
      </c>
      <c r="C355" s="15" t="inlineStr">
        <is>
          <t>Insight on the Scriptures (it)</t>
        </is>
      </c>
      <c r="D355" s="15" t="n">
        <v>1</v>
      </c>
      <c r="E355" s="19" t="inlineStr">
        <is>
          <t>open</t>
        </is>
      </c>
      <c r="F355" s="15" t="n"/>
    </row>
    <row r="356">
      <c r="A356" s="15" t="inlineStr">
        <is>
          <t>1200000178</t>
        </is>
      </c>
      <c r="B356" s="15" t="inlineStr">
        <is>
          <t>Ai</t>
        </is>
      </c>
      <c r="C356" s="15" t="inlineStr">
        <is>
          <t>Insight on the Scriptures (it)</t>
        </is>
      </c>
      <c r="D356" s="15" t="n">
        <v>1</v>
      </c>
      <c r="E356" s="19" t="inlineStr">
        <is>
          <t>open</t>
        </is>
      </c>
      <c r="F356" s="15" t="n"/>
    </row>
    <row r="357">
      <c r="A357" s="15" t="inlineStr">
        <is>
          <t>1200000369</t>
        </is>
      </c>
      <c r="B357" s="15" t="inlineStr">
        <is>
          <t>Ark of the Covenant</t>
        </is>
      </c>
      <c r="C357" s="15" t="inlineStr">
        <is>
          <t>Insight on the Scriptures (it)</t>
        </is>
      </c>
      <c r="D357" s="15" t="n">
        <v>1</v>
      </c>
      <c r="E357" s="19" t="inlineStr">
        <is>
          <t>open</t>
        </is>
      </c>
      <c r="F357" s="15" t="n"/>
    </row>
    <row r="358">
      <c r="A358" s="15" t="inlineStr">
        <is>
          <t>1200002524</t>
        </is>
      </c>
      <c r="B358" s="15" t="inlineStr">
        <is>
          <t>Joshua, Book of</t>
        </is>
      </c>
      <c r="C358" s="15" t="inlineStr">
        <is>
          <t>Insight on the Scriptures (it)</t>
        </is>
      </c>
      <c r="D358" s="15" t="n">
        <v>1</v>
      </c>
      <c r="E358" s="19" t="inlineStr">
        <is>
          <t>open</t>
        </is>
      </c>
      <c r="F358" s="15" t="n"/>
    </row>
    <row r="359">
      <c r="A359" s="15" t="inlineStr">
        <is>
          <t>1200002546</t>
        </is>
      </c>
      <c r="B359" s="15" t="inlineStr">
        <is>
          <t>Judges, Book of</t>
        </is>
      </c>
      <c r="C359" s="15" t="inlineStr">
        <is>
          <t>Insight on the Scriptures (it)</t>
        </is>
      </c>
      <c r="D359" s="15" t="n">
        <v>1</v>
      </c>
      <c r="E359" s="19" t="inlineStr">
        <is>
          <t>open</t>
        </is>
      </c>
      <c r="F359" s="15" t="n"/>
    </row>
    <row r="360">
      <c r="A360" s="15" t="inlineStr">
        <is>
          <t>1200003349</t>
        </is>
      </c>
      <c r="B360" s="15" t="inlineStr">
        <is>
          <t>Othniel</t>
        </is>
      </c>
      <c r="C360" s="15" t="inlineStr">
        <is>
          <t>Insight on the Scriptures (it)</t>
        </is>
      </c>
      <c r="D360" s="15" t="n">
        <v>1</v>
      </c>
      <c r="E360" s="19" t="inlineStr">
        <is>
          <t>open</t>
        </is>
      </c>
      <c r="F360" s="15" t="n"/>
    </row>
    <row r="361">
      <c r="A361" s="15" t="inlineStr">
        <is>
          <t>1200002536</t>
        </is>
      </c>
      <c r="B361" s="15" t="inlineStr">
        <is>
          <t>Jubilee</t>
        </is>
      </c>
      <c r="C361" s="15" t="inlineStr">
        <is>
          <t>Insight on the Scriptures (it)</t>
        </is>
      </c>
      <c r="D361" s="15" t="n">
        <v>1</v>
      </c>
      <c r="E361" s="19" t="inlineStr">
        <is>
          <t>open</t>
        </is>
      </c>
      <c r="F361" s="15" t="n"/>
    </row>
    <row r="362">
      <c r="A362" s="15" t="inlineStr">
        <is>
          <t>1200001268</t>
        </is>
      </c>
      <c r="B362" s="15" t="inlineStr">
        <is>
          <t>Ehud</t>
        </is>
      </c>
      <c r="C362" s="15" t="inlineStr">
        <is>
          <t>Insight on the Scriptures (it)</t>
        </is>
      </c>
      <c r="D362" s="15" t="n">
        <v>1</v>
      </c>
      <c r="E362" s="19" t="inlineStr">
        <is>
          <t>open</t>
        </is>
      </c>
      <c r="F362" s="15" t="n"/>
    </row>
    <row r="363">
      <c r="A363" s="15" t="inlineStr">
        <is>
          <t>1200001138</t>
        </is>
      </c>
      <c r="B363" s="15" t="inlineStr">
        <is>
          <t>Deborah</t>
        </is>
      </c>
      <c r="C363" s="15" t="inlineStr">
        <is>
          <t>Insight on the Scriptures (it)</t>
        </is>
      </c>
      <c r="D363" s="15" t="n">
        <v>1</v>
      </c>
      <c r="E363" s="19" t="inlineStr">
        <is>
          <t>open</t>
        </is>
      </c>
      <c r="F363" s="15" t="n"/>
    </row>
    <row r="364">
      <c r="A364" s="15" t="inlineStr">
        <is>
          <t>1200003777</t>
        </is>
      </c>
      <c r="B364" s="15" t="inlineStr">
        <is>
          <t>Ruth, Book of</t>
        </is>
      </c>
      <c r="C364" s="15" t="inlineStr">
        <is>
          <t>Insight on the Scriptures (it)</t>
        </is>
      </c>
      <c r="D364" s="15" t="n">
        <v>1</v>
      </c>
      <c r="E364" s="19" t="inlineStr">
        <is>
          <t>open</t>
        </is>
      </c>
      <c r="F364" s="15" t="n"/>
    </row>
    <row r="365">
      <c r="A365" s="15" t="inlineStr">
        <is>
          <t>1200001685</t>
        </is>
      </c>
      <c r="B365" s="15" t="inlineStr">
        <is>
          <t>Gideon</t>
        </is>
      </c>
      <c r="C365" s="15" t="inlineStr">
        <is>
          <t>Insight on the Scriptures (it)</t>
        </is>
      </c>
      <c r="D365" s="15" t="n">
        <v>1</v>
      </c>
      <c r="E365" s="19" t="inlineStr">
        <is>
          <t>open</t>
        </is>
      </c>
      <c r="F365" s="15" t="n"/>
    </row>
    <row r="366">
      <c r="A366" s="15" t="inlineStr">
        <is>
          <t>1200002413</t>
        </is>
      </c>
      <c r="B366" s="15" t="inlineStr">
        <is>
          <t>Jephthah</t>
        </is>
      </c>
      <c r="C366" s="15" t="inlineStr">
        <is>
          <t>Insight on the Scriptures (it)</t>
        </is>
      </c>
      <c r="D366" s="15" t="n">
        <v>1</v>
      </c>
      <c r="E366" s="19" t="inlineStr">
        <is>
          <t>open</t>
        </is>
      </c>
      <c r="F366" s="15" t="n"/>
    </row>
    <row r="367">
      <c r="A367" s="15" t="inlineStr">
        <is>
          <t>1200003823</t>
        </is>
      </c>
      <c r="B367" s="15" t="inlineStr">
        <is>
          <t>Samson</t>
        </is>
      </c>
      <c r="C367" s="15" t="inlineStr">
        <is>
          <t>Insight on the Scriptures (it)</t>
        </is>
      </c>
      <c r="D367" s="15" t="n">
        <v>1</v>
      </c>
      <c r="E367" s="19" t="inlineStr">
        <is>
          <t>open</t>
        </is>
      </c>
      <c r="F367" s="15" t="n"/>
    </row>
    <row r="368">
      <c r="A368" s="15" t="inlineStr">
        <is>
          <t>1966004</t>
        </is>
      </c>
      <c r="B368" s="15" t="inlineStr">
        <is>
          <t>A New Priesthood Begins</t>
        </is>
      </c>
      <c r="C368" s="15" t="inlineStr">
        <is>
          <t>The Watchtower (w66 1/1 pp. 26-30)</t>
        </is>
      </c>
      <c r="D368" s="15" t="n">
        <v>1</v>
      </c>
      <c r="E368" s="19" t="inlineStr">
        <is>
          <t>open</t>
        </is>
      </c>
      <c r="F368" s="15" t="n"/>
    </row>
    <row r="369">
      <c r="A369" s="15" t="inlineStr">
        <is>
          <t>1101990083</t>
        </is>
      </c>
      <c r="B369" s="15" t="inlineStr">
        <is>
          <t>Bible Book Number 22—The Song of Solomon</t>
        </is>
      </c>
      <c r="C369" s="15" t="inlineStr">
        <is>
          <t>All Scripture Is Inspired of God and Beneficial (si)</t>
        </is>
      </c>
      <c r="D369" s="15" t="n">
        <v>1</v>
      </c>
      <c r="E369" s="19" t="inlineStr">
        <is>
          <t>open</t>
        </is>
      </c>
      <c r="F369" s="19" t="inlineStr">
        <is>
          <t>open</t>
        </is>
      </c>
    </row>
    <row r="370">
      <c r="A370" s="15" t="inlineStr">
        <is>
          <t>1101990082</t>
        </is>
      </c>
      <c r="B370" s="15" t="inlineStr">
        <is>
          <t>Bible Book Number 21—Ecclesiastes</t>
        </is>
      </c>
      <c r="C370" s="15" t="inlineStr">
        <is>
          <t>All Scripture Is Inspired of God and Beneficial (si)</t>
        </is>
      </c>
      <c r="D370" s="15" t="n">
        <v>1</v>
      </c>
      <c r="E370" s="19" t="inlineStr">
        <is>
          <t>open</t>
        </is>
      </c>
      <c r="F370" s="19" t="inlineStr">
        <is>
          <t>open</t>
        </is>
      </c>
    </row>
    <row r="371">
      <c r="A371" s="15" t="inlineStr">
        <is>
          <t>1200001307</t>
        </is>
      </c>
      <c r="B371" s="15" t="inlineStr">
        <is>
          <t>Elijah</t>
        </is>
      </c>
      <c r="C371" s="15" t="inlineStr">
        <is>
          <t>Insight (it-1) "Elijah"</t>
        </is>
      </c>
      <c r="D371" s="15" t="n">
        <v>1</v>
      </c>
      <c r="E371" s="19" t="inlineStr">
        <is>
          <t>open</t>
        </is>
      </c>
      <c r="F371" s="15" t="n"/>
    </row>
    <row r="372">
      <c r="A372" s="15" t="inlineStr">
        <is>
          <t>1200001316</t>
        </is>
      </c>
      <c r="B372" s="15" t="inlineStr">
        <is>
          <t>Elisha</t>
        </is>
      </c>
      <c r="C372" s="15" t="inlineStr">
        <is>
          <t>Insight (it-1) "Elisha"</t>
        </is>
      </c>
      <c r="D372" s="15" t="n">
        <v>1</v>
      </c>
      <c r="E372" s="19" t="inlineStr">
        <is>
          <t>open</t>
        </is>
      </c>
      <c r="F372" s="15" t="n"/>
    </row>
    <row r="373">
      <c r="A373" s="15" t="inlineStr">
        <is>
          <t>1200002503</t>
        </is>
      </c>
      <c r="B373" s="15" t="inlineStr">
        <is>
          <t>Jonah</t>
        </is>
      </c>
      <c r="C373" s="15" t="inlineStr">
        <is>
          <t>Insight (it-2) "Jonah"</t>
        </is>
      </c>
      <c r="D373" s="15" t="n">
        <v>1</v>
      </c>
      <c r="E373" s="19" t="inlineStr">
        <is>
          <t>open</t>
        </is>
      </c>
      <c r="F373" s="15" t="n"/>
    </row>
    <row r="374">
      <c r="A374" s="15" t="inlineStr">
        <is>
          <t>1200000246</t>
        </is>
      </c>
      <c r="B374" s="15" t="inlineStr">
        <is>
          <t>Amos</t>
        </is>
      </c>
      <c r="C374" s="15" t="inlineStr">
        <is>
          <t>Insight (it-1) "Amos"</t>
        </is>
      </c>
      <c r="D374" s="15" t="n">
        <v>1</v>
      </c>
      <c r="E374" s="19" t="inlineStr">
        <is>
          <t>open</t>
        </is>
      </c>
      <c r="F374" s="15" t="n"/>
    </row>
    <row r="375">
      <c r="A375" s="15" t="inlineStr">
        <is>
          <t>1200002086</t>
        </is>
      </c>
      <c r="B375" s="15" t="inlineStr">
        <is>
          <t>Hosea</t>
        </is>
      </c>
      <c r="C375" s="15" t="inlineStr">
        <is>
          <t>Insight (it-1) "Hosea"</t>
        </is>
      </c>
      <c r="D375" s="15" t="n">
        <v>1</v>
      </c>
      <c r="E375" s="19" t="inlineStr">
        <is>
          <t>open</t>
        </is>
      </c>
      <c r="F375" s="15" t="n"/>
    </row>
    <row r="376">
      <c r="A376" s="15" t="inlineStr">
        <is>
          <t>1001070215</t>
        </is>
      </c>
      <c r="B376" s="15" t="inlineStr">
        <is>
          <t>A6-B Chart: Prophets and Kings of Judah and of Israel (Part 2)</t>
        </is>
      </c>
      <c r="C376" s="15" t="inlineStr">
        <is>
          <t>NWT Study Edition (nwtsty) App. A6-B</t>
        </is>
      </c>
      <c r="D376" s="15" t="n">
        <v>1</v>
      </c>
      <c r="E376" s="19" t="inlineStr">
        <is>
          <t>open</t>
        </is>
      </c>
      <c r="F376" s="19" t="inlineStr">
        <is>
          <t>open</t>
        </is>
      </c>
    </row>
    <row r="377">
      <c r="A377" s="15" t="inlineStr">
        <is>
          <t>1200001265</t>
        </is>
      </c>
      <c r="B377" s="15" t="inlineStr">
        <is>
          <t>Egypt, Egyptian</t>
        </is>
      </c>
      <c r="C377" s="15" t="inlineStr">
        <is>
          <t>Insight on the Scriptures, Vol. 1 (it-1 “Egypt, Egyptian”)</t>
        </is>
      </c>
      <c r="D377" s="15" t="n">
        <v>1</v>
      </c>
      <c r="E377" s="19" t="inlineStr">
        <is>
          <t>open</t>
        </is>
      </c>
      <c r="F377" s="15" t="n"/>
    </row>
    <row r="378">
      <c r="A378" s="15" t="inlineStr">
        <is>
          <t>1200003897</t>
        </is>
      </c>
      <c r="B378" s="15" t="inlineStr">
        <is>
          <t>Sennacherib</t>
        </is>
      </c>
      <c r="C378" s="15" t="inlineStr">
        <is>
          <t>Insight (it-2) "Sennacherib"</t>
        </is>
      </c>
      <c r="D378" s="15" t="n">
        <v>1</v>
      </c>
      <c r="E378" s="19" t="inlineStr">
        <is>
          <t>open</t>
        </is>
      </c>
      <c r="F378" s="15" t="n"/>
    </row>
    <row r="379">
      <c r="A379" s="15" t="inlineStr">
        <is>
          <t>1101990081</t>
        </is>
      </c>
      <c r="B379" s="15" t="inlineStr">
        <is>
          <t>Bible Book Number 20—Proverbs</t>
        </is>
      </c>
      <c r="C379" s="15" t="inlineStr">
        <is>
          <t>All Scripture Is Inspired of God and Beneficial (si)</t>
        </is>
      </c>
      <c r="D379" s="15" t="n">
        <v>1</v>
      </c>
      <c r="E379" s="19" t="inlineStr">
        <is>
          <t>open</t>
        </is>
      </c>
      <c r="F379" s="19" t="inlineStr">
        <is>
          <t>open</t>
        </is>
      </c>
    </row>
    <row r="380">
      <c r="A380" s="15" t="inlineStr">
        <is>
          <t>1200004696</t>
        </is>
      </c>
      <c r="B380" s="15" t="inlineStr">
        <is>
          <t>Zephaniah</t>
        </is>
      </c>
      <c r="C380" s="15" t="inlineStr">
        <is>
          <t>Insight (it-2) "Zephaniah"</t>
        </is>
      </c>
      <c r="D380" s="15" t="n">
        <v>1</v>
      </c>
      <c r="E380" s="19" t="inlineStr">
        <is>
          <t>open</t>
        </is>
      </c>
      <c r="F380" s="15" t="n"/>
    </row>
    <row r="381">
      <c r="A381" s="15" t="inlineStr">
        <is>
          <t>1200000682</t>
        </is>
      </c>
      <c r="B381" s="15" t="inlineStr">
        <is>
          <t>Bethel</t>
        </is>
      </c>
      <c r="C381" s="15" t="inlineStr">
        <is>
          <t>Insight on the Scriptures, Vol. 1 (it-1 “Bethel”)</t>
        </is>
      </c>
      <c r="D381" s="15" t="n">
        <v>1</v>
      </c>
      <c r="E381" s="19" t="inlineStr">
        <is>
          <t>open</t>
        </is>
      </c>
      <c r="F381" s="15" t="n"/>
    </row>
    <row r="382">
      <c r="A382" s="15" t="inlineStr">
        <is>
          <t>1200003172</t>
        </is>
      </c>
      <c r="B382" s="15" t="inlineStr">
        <is>
          <t>Nahum</t>
        </is>
      </c>
      <c r="C382" s="15" t="inlineStr">
        <is>
          <t>Insight (it-2) "Nahum"</t>
        </is>
      </c>
      <c r="D382" s="15" t="n">
        <v>1</v>
      </c>
      <c r="E382" s="19" t="inlineStr">
        <is>
          <t>open</t>
        </is>
      </c>
      <c r="F382" s="15" t="n"/>
    </row>
    <row r="383">
      <c r="A383" s="15" t="inlineStr">
        <is>
          <t>1101990086</t>
        </is>
      </c>
      <c r="B383" s="15" t="inlineStr">
        <is>
          <t>Bible Book Number 25—Lamentations</t>
        </is>
      </c>
      <c r="C383" s="15" t="inlineStr">
        <is>
          <t>All Scripture Is Inspired of God and Beneficial (si)</t>
        </is>
      </c>
      <c r="D383" s="15" t="n">
        <v>1</v>
      </c>
      <c r="E383" s="19" t="inlineStr">
        <is>
          <t>open</t>
        </is>
      </c>
      <c r="F383" s="19" t="inlineStr">
        <is>
          <t>open</t>
        </is>
      </c>
    </row>
    <row r="384">
      <c r="A384" s="15" t="inlineStr">
        <is>
          <t>1200001632</t>
        </is>
      </c>
      <c r="B384" s="15" t="inlineStr">
        <is>
          <t>Gedaliah</t>
        </is>
      </c>
      <c r="C384" s="15" t="inlineStr">
        <is>
          <t>Insight (it-1) "Gedaliah"</t>
        </is>
      </c>
      <c r="D384" s="15" t="n">
        <v>1</v>
      </c>
      <c r="E384" s="19" t="inlineStr">
        <is>
          <t>open</t>
        </is>
      </c>
      <c r="F384" s="15" t="n"/>
    </row>
    <row r="385">
      <c r="A385" s="15" t="inlineStr">
        <is>
          <t>1101999025</t>
        </is>
      </c>
      <c r="B385" s="15" t="inlineStr">
        <is>
          <t>Unraveling the Mystery of the Great Tree</t>
        </is>
      </c>
      <c r="C385" s="15" t="inlineStr">
        <is>
          <t>Pay Attention to Daniel's Prophecy! (dp) ch. 6</t>
        </is>
      </c>
      <c r="D385" s="15" t="n">
        <v>1</v>
      </c>
      <c r="E385" s="19" t="inlineStr">
        <is>
          <t>open</t>
        </is>
      </c>
      <c r="F385" s="19" t="inlineStr">
        <is>
          <t>open</t>
        </is>
      </c>
    </row>
    <row r="386">
      <c r="A386" s="15" t="inlineStr">
        <is>
          <t>1102005159</t>
        </is>
      </c>
      <c r="B386" s="15" t="inlineStr">
        <is>
          <t>1914—A Significant Year in Bible Prophecy</t>
        </is>
      </c>
      <c r="C386" s="15" t="inlineStr">
        <is>
          <t>What Does the Bible Really Teach? (bh p. 215-p. 218 par. 1)</t>
        </is>
      </c>
      <c r="D386" s="15" t="n">
        <v>1</v>
      </c>
      <c r="E386" s="19" t="inlineStr">
        <is>
          <t>open</t>
        </is>
      </c>
      <c r="F386" s="19" t="inlineStr">
        <is>
          <t>open</t>
        </is>
      </c>
    </row>
    <row r="387">
      <c r="A387" s="15" t="inlineStr">
        <is>
          <t>1200003287</t>
        </is>
      </c>
      <c r="B387" s="15" t="inlineStr">
        <is>
          <t>Obadiah</t>
        </is>
      </c>
      <c r="C387" s="15" t="inlineStr">
        <is>
          <t>Insight (it-2) "Obadiah"</t>
        </is>
      </c>
      <c r="D387" s="15" t="n">
        <v>1</v>
      </c>
      <c r="E387" s="19" t="inlineStr">
        <is>
          <t>open</t>
        </is>
      </c>
      <c r="F387" s="15" t="n"/>
    </row>
    <row r="388">
      <c r="A388" s="15" t="inlineStr">
        <is>
          <t>1200001258</t>
        </is>
      </c>
      <c r="B388" s="15" t="inlineStr">
        <is>
          <t>Edom</t>
        </is>
      </c>
      <c r="C388" s="15" t="inlineStr">
        <is>
          <t>Insight on the Scriptures, Vol. 1 (it-1 “Edom”)</t>
        </is>
      </c>
      <c r="D388" s="15" t="n">
        <v>1</v>
      </c>
      <c r="E388" s="19" t="inlineStr">
        <is>
          <t>open</t>
        </is>
      </c>
      <c r="F388" s="15" t="n"/>
    </row>
    <row r="389">
      <c r="A389" s="15" t="inlineStr">
        <is>
          <t>1101999031</t>
        </is>
      </c>
      <c r="B389" s="15" t="inlineStr">
        <is>
          <t>Strengthened by a Messenger From God</t>
        </is>
      </c>
      <c r="C389" s="15" t="inlineStr">
        <is>
          <t>Pay Attention to Daniel's Prophecy! (dp) ch. 12</t>
        </is>
      </c>
      <c r="D389" s="15" t="n">
        <v>1</v>
      </c>
      <c r="E389" s="19" t="inlineStr">
        <is>
          <t>open</t>
        </is>
      </c>
      <c r="F389" s="19" t="inlineStr">
        <is>
          <t>open</t>
        </is>
      </c>
    </row>
    <row r="390">
      <c r="A390" s="15" t="inlineStr">
        <is>
          <t>1200001812</t>
        </is>
      </c>
      <c r="B390" s="15" t="inlineStr">
        <is>
          <t>Haggai</t>
        </is>
      </c>
      <c r="C390" s="15" t="inlineStr">
        <is>
          <t>Insight on the Scriptures</t>
        </is>
      </c>
      <c r="D390" s="15" t="n">
        <v>1</v>
      </c>
      <c r="E390" s="19" t="inlineStr">
        <is>
          <t>open</t>
        </is>
      </c>
      <c r="F390" s="15" t="n"/>
    </row>
    <row r="391">
      <c r="A391" s="15" t="inlineStr">
        <is>
          <t>1200001813</t>
        </is>
      </c>
      <c r="B391" s="15" t="inlineStr">
        <is>
          <t>Haggai, Book of</t>
        </is>
      </c>
      <c r="C391" s="15" t="inlineStr">
        <is>
          <t>Insight on the Scriptures</t>
        </is>
      </c>
      <c r="D391" s="15" t="n">
        <v>1</v>
      </c>
      <c r="E391" s="19" t="inlineStr">
        <is>
          <t>open</t>
        </is>
      </c>
      <c r="F391" s="15" t="n"/>
    </row>
    <row r="392">
      <c r="A392" s="15" t="inlineStr">
        <is>
          <t>2006162</t>
        </is>
      </c>
      <c r="B392" s="15" t="inlineStr">
        <is>
          <t>Highlights From the Book of Esther</t>
        </is>
      </c>
      <c r="C392" s="15" t="inlineStr">
        <is>
          <t>The Watchtower 2006 3/1</t>
        </is>
      </c>
      <c r="D392" s="15" t="n">
        <v>1</v>
      </c>
      <c r="E392" s="19" t="inlineStr">
        <is>
          <t>open</t>
        </is>
      </c>
      <c r="F392" s="19" t="inlineStr">
        <is>
          <t>open</t>
        </is>
      </c>
    </row>
    <row r="393">
      <c r="A393" s="15" t="inlineStr">
        <is>
          <t>1200003111</t>
        </is>
      </c>
      <c r="B393" s="15" t="inlineStr">
        <is>
          <t>Mordecai</t>
        </is>
      </c>
      <c r="C393" s="15" t="inlineStr">
        <is>
          <t>Insight on the Scriptures</t>
        </is>
      </c>
      <c r="D393" s="15" t="n">
        <v>1</v>
      </c>
      <c r="E393" s="19" t="inlineStr">
        <is>
          <t>open</t>
        </is>
      </c>
      <c r="F393" s="15" t="n"/>
    </row>
    <row r="394">
      <c r="A394" s="15" t="inlineStr">
        <is>
          <t>1200001430</t>
        </is>
      </c>
      <c r="B394" s="15" t="inlineStr">
        <is>
          <t>Esther</t>
        </is>
      </c>
      <c r="C394" s="15" t="inlineStr">
        <is>
          <t>Insight on the Scriptures</t>
        </is>
      </c>
      <c r="D394" s="15" t="n">
        <v>1</v>
      </c>
      <c r="E394" s="19" t="inlineStr">
        <is>
          <t>open</t>
        </is>
      </c>
      <c r="F394" s="15" t="n"/>
    </row>
    <row r="395">
      <c r="A395" s="15" t="inlineStr">
        <is>
          <t>1200001475</t>
        </is>
      </c>
      <c r="B395" s="15" t="inlineStr">
        <is>
          <t>Ezra</t>
        </is>
      </c>
      <c r="C395" s="15" t="inlineStr">
        <is>
          <t>Insight on the Scriptures</t>
        </is>
      </c>
      <c r="D395" s="15" t="n">
        <v>1</v>
      </c>
      <c r="E395" s="19" t="inlineStr">
        <is>
          <t>open</t>
        </is>
      </c>
      <c r="F395" s="15" t="n"/>
    </row>
    <row r="396">
      <c r="A396" s="15" t="inlineStr">
        <is>
          <t>1101990080</t>
        </is>
      </c>
      <c r="B396" s="15" t="inlineStr">
        <is>
          <t>Bible Book Number 19—Psalms</t>
        </is>
      </c>
      <c r="C396" s="15" t="inlineStr">
        <is>
          <t>All Scripture Is Inspired of God and Beneficial (si)</t>
        </is>
      </c>
      <c r="D396" s="15" t="n">
        <v>1</v>
      </c>
      <c r="E396" s="19" t="inlineStr">
        <is>
          <t>open</t>
        </is>
      </c>
      <c r="F396" s="19" t="inlineStr">
        <is>
          <t>open</t>
        </is>
      </c>
    </row>
    <row r="397">
      <c r="A397" s="15" t="inlineStr">
        <is>
          <t>1200004681</t>
        </is>
      </c>
      <c r="B397" s="15" t="inlineStr">
        <is>
          <t>Zechariah</t>
        </is>
      </c>
      <c r="C397" s="15" t="inlineStr">
        <is>
          <t>Insight on the Scriptures</t>
        </is>
      </c>
      <c r="D397" s="15" t="n">
        <v>1</v>
      </c>
      <c r="E397" s="19" t="inlineStr">
        <is>
          <t>open</t>
        </is>
      </c>
      <c r="F397" s="15" t="n"/>
    </row>
    <row r="398">
      <c r="A398" s="15" t="inlineStr">
        <is>
          <t>1001070232</t>
        </is>
      </c>
      <c r="B398" s="15" t="inlineStr">
        <is>
          <t>B12-A The Final Week of Jesus’ Life on Earth (Part 1)</t>
        </is>
      </c>
      <c r="C398" s="15" t="inlineStr">
        <is>
          <t>NWT Study Edition (nwtsty) App. B12-A</t>
        </is>
      </c>
      <c r="D398" s="15" t="n">
        <v>1</v>
      </c>
      <c r="E398" s="19" t="inlineStr">
        <is>
          <t>open</t>
        </is>
      </c>
      <c r="F398" s="19" t="inlineStr">
        <is>
          <t>open</t>
        </is>
      </c>
    </row>
    <row r="399">
      <c r="A399" s="15" t="inlineStr">
        <is>
          <t>1001070693</t>
        </is>
      </c>
      <c r="B399" s="15" t="inlineStr">
        <is>
          <t>Acts Study Notes—Chapter 4</t>
        </is>
      </c>
      <c r="C399" s="15" t="inlineStr">
        <is>
          <t>NWT Study Edition, Acts study notes</t>
        </is>
      </c>
      <c r="D399" s="15" t="n">
        <v>1</v>
      </c>
      <c r="E399" s="19" t="inlineStr">
        <is>
          <t>open</t>
        </is>
      </c>
      <c r="F399" s="15" t="n"/>
    </row>
    <row r="400">
      <c r="A400" s="15" t="inlineStr">
        <is>
          <t>1200001041</t>
        </is>
      </c>
      <c r="B400" s="15" t="inlineStr">
        <is>
          <t>Cornelius</t>
        </is>
      </c>
      <c r="C400" s="15" t="inlineStr">
        <is>
          <t>Insight (it-1)</t>
        </is>
      </c>
      <c r="D400" s="15" t="n">
        <v>1</v>
      </c>
      <c r="E400" s="19" t="inlineStr">
        <is>
          <t>open</t>
        </is>
      </c>
      <c r="F400" s="15" t="n"/>
    </row>
    <row r="401">
      <c r="A401" s="15" t="inlineStr">
        <is>
          <t>1001070698</t>
        </is>
      </c>
      <c r="B401" s="15" t="inlineStr">
        <is>
          <t>Acts Study Notes—Chapter 9</t>
        </is>
      </c>
      <c r="C401" s="15" t="inlineStr">
        <is>
          <t>NWT Study Edition, Acts study notes</t>
        </is>
      </c>
      <c r="D401" s="15" t="n">
        <v>1</v>
      </c>
      <c r="E401" s="19" t="inlineStr">
        <is>
          <t>open</t>
        </is>
      </c>
      <c r="F401" s="15" t="n"/>
    </row>
    <row r="402">
      <c r="A402" s="15" t="inlineStr">
        <is>
          <t>1001070702</t>
        </is>
      </c>
      <c r="B402" s="15" t="inlineStr">
        <is>
          <t>Acts Study Notes—Chapter 13</t>
        </is>
      </c>
      <c r="C402" s="15" t="inlineStr">
        <is>
          <t>NWT Study Edition, Acts study notes</t>
        </is>
      </c>
      <c r="D402" s="15" t="n">
        <v>1</v>
      </c>
      <c r="E402" s="19" t="inlineStr">
        <is>
          <t>open</t>
        </is>
      </c>
      <c r="F402" s="15" t="n"/>
    </row>
    <row r="403">
      <c r="A403" s="15" t="inlineStr">
        <is>
          <t>1101990109</t>
        </is>
      </c>
      <c r="B403" s="15" t="inlineStr">
        <is>
          <t>Bible Book Number 48—Galatians</t>
        </is>
      </c>
      <c r="C403" s="15" t="inlineStr">
        <is>
          <t>All Scripture Is Inspired of God and Beneficial (si)</t>
        </is>
      </c>
      <c r="D403" s="15" t="n">
        <v>1</v>
      </c>
      <c r="E403" s="19" t="inlineStr">
        <is>
          <t>open</t>
        </is>
      </c>
      <c r="F403" s="19" t="inlineStr">
        <is>
          <t>open</t>
        </is>
      </c>
    </row>
    <row r="404">
      <c r="A404" s="15" t="inlineStr">
        <is>
          <t>1101990113</t>
        </is>
      </c>
      <c r="B404" s="15" t="inlineStr">
        <is>
          <t>Bible Book Number 52—1 Thessalonians</t>
        </is>
      </c>
      <c r="C404" s="15" t="inlineStr">
        <is>
          <t>All Scripture Is Inspired of God and Beneficial (si)</t>
        </is>
      </c>
      <c r="D404" s="15" t="n">
        <v>1</v>
      </c>
      <c r="E404" s="19" t="inlineStr">
        <is>
          <t>open</t>
        </is>
      </c>
      <c r="F404" s="19" t="inlineStr">
        <is>
          <t>open</t>
        </is>
      </c>
    </row>
    <row r="405">
      <c r="A405" s="15" t="inlineStr">
        <is>
          <t>1101990114</t>
        </is>
      </c>
      <c r="B405" s="15" t="inlineStr">
        <is>
          <t>Bible Book Number 53—2 Thessalonians</t>
        </is>
      </c>
      <c r="C405" s="15" t="inlineStr">
        <is>
          <t>All Scripture Is Inspired of God and Beneficial (si)</t>
        </is>
      </c>
      <c r="D405" s="15" t="n">
        <v>1</v>
      </c>
      <c r="E405" s="19" t="inlineStr">
        <is>
          <t>open</t>
        </is>
      </c>
      <c r="F405" s="19" t="inlineStr">
        <is>
          <t>open</t>
        </is>
      </c>
    </row>
    <row r="406">
      <c r="A406" s="15" t="inlineStr">
        <is>
          <t>1101990107</t>
        </is>
      </c>
      <c r="B406" s="15" t="inlineStr">
        <is>
          <t>Bible Book Number 46—1 Corinthians</t>
        </is>
      </c>
      <c r="C406" s="15" t="inlineStr">
        <is>
          <t>All Scripture Is Inspired of God and Beneficial (si)</t>
        </is>
      </c>
      <c r="D406" s="15" t="n">
        <v>1</v>
      </c>
      <c r="E406" s="19" t="inlineStr">
        <is>
          <t>open</t>
        </is>
      </c>
      <c r="F406" s="19" t="inlineStr">
        <is>
          <t>open</t>
        </is>
      </c>
    </row>
    <row r="407">
      <c r="A407" s="15" t="inlineStr">
        <is>
          <t>1101990108</t>
        </is>
      </c>
      <c r="B407" s="15" t="inlineStr">
        <is>
          <t>Bible Book Number 47—2 Corinthians</t>
        </is>
      </c>
      <c r="C407" s="15" t="inlineStr">
        <is>
          <t>All Scripture Is Inspired of God and Beneficial (si)</t>
        </is>
      </c>
      <c r="D407" s="15" t="n">
        <v>1</v>
      </c>
      <c r="E407" s="19" t="inlineStr">
        <is>
          <t>open</t>
        </is>
      </c>
      <c r="F407" s="19" t="inlineStr">
        <is>
          <t>open</t>
        </is>
      </c>
    </row>
    <row r="408">
      <c r="A408" s="15" t="inlineStr">
        <is>
          <t>1101990103</t>
        </is>
      </c>
      <c r="B408" s="15" t="inlineStr">
        <is>
          <t>Bible Book Number 42—Luke</t>
        </is>
      </c>
      <c r="C408" s="15" t="inlineStr">
        <is>
          <t>All Scripture Is Inspired of God and Beneficial (si)</t>
        </is>
      </c>
      <c r="D408" s="15" t="n">
        <v>1</v>
      </c>
      <c r="E408" s="19" t="inlineStr">
        <is>
          <t>open</t>
        </is>
      </c>
      <c r="F408" s="19" t="inlineStr">
        <is>
          <t>open</t>
        </is>
      </c>
    </row>
    <row r="409">
      <c r="A409" s="15" t="inlineStr">
        <is>
          <t>1101990106</t>
        </is>
      </c>
      <c r="B409" s="15" t="inlineStr">
        <is>
          <t>Bible Book Number 45—Romans</t>
        </is>
      </c>
      <c r="C409" s="15" t="inlineStr">
        <is>
          <t>All Scripture Is Inspired of God and Beneficial (si)</t>
        </is>
      </c>
      <c r="D409" s="15" t="n">
        <v>1</v>
      </c>
      <c r="E409" s="19" t="inlineStr">
        <is>
          <t>open</t>
        </is>
      </c>
      <c r="F409" s="19" t="inlineStr">
        <is>
          <t>open</t>
        </is>
      </c>
    </row>
    <row r="410">
      <c r="A410" s="15" t="inlineStr">
        <is>
          <t>1001070712</t>
        </is>
      </c>
      <c r="B410" s="15" t="inlineStr">
        <is>
          <t>Acts Study Notes—Chapter 23</t>
        </is>
      </c>
      <c r="C410" s="15" t="inlineStr">
        <is>
          <t>NWT Study Edition, Acts study notes</t>
        </is>
      </c>
      <c r="D410" s="15" t="n">
        <v>1</v>
      </c>
      <c r="E410" s="19" t="inlineStr">
        <is>
          <t>open</t>
        </is>
      </c>
      <c r="F410" s="15" t="n"/>
    </row>
    <row r="411">
      <c r="A411" s="15" t="inlineStr">
        <is>
          <t>1001061234</t>
        </is>
      </c>
      <c r="B411" s="15" t="inlineStr">
        <is>
          <t>B13 The Spread of Christianity</t>
        </is>
      </c>
      <c r="C411" s="15" t="inlineStr">
        <is>
          <t>New World Translation (nwt) App. B13</t>
        </is>
      </c>
      <c r="D411" s="15" t="n">
        <v>1</v>
      </c>
      <c r="E411" s="19" t="inlineStr">
        <is>
          <t>open</t>
        </is>
      </c>
      <c r="F411" s="19" t="inlineStr">
        <is>
          <t>open</t>
        </is>
      </c>
    </row>
    <row r="412">
      <c r="A412" s="15" t="inlineStr">
        <is>
          <t>1101990110</t>
        </is>
      </c>
      <c r="B412" s="15" t="inlineStr">
        <is>
          <t>Bible Book Number 49—Ephesians</t>
        </is>
      </c>
      <c r="C412" s="15" t="inlineStr">
        <is>
          <t>All Scripture Is Inspired of God and Beneficial (si)</t>
        </is>
      </c>
      <c r="D412" s="15" t="n">
        <v>1</v>
      </c>
      <c r="E412" s="19" t="inlineStr">
        <is>
          <t>open</t>
        </is>
      </c>
      <c r="F412" s="19" t="inlineStr">
        <is>
          <t>open</t>
        </is>
      </c>
    </row>
    <row r="413">
      <c r="A413" s="15" t="inlineStr">
        <is>
          <t>1101990111</t>
        </is>
      </c>
      <c r="B413" s="15" t="inlineStr">
        <is>
          <t>Bible Book Number 50—Philippians</t>
        </is>
      </c>
      <c r="C413" s="15" t="inlineStr">
        <is>
          <t>All Scripture Is Inspired of God and Beneficial (si)</t>
        </is>
      </c>
      <c r="D413" s="15" t="n">
        <v>1</v>
      </c>
      <c r="E413" s="19" t="inlineStr">
        <is>
          <t>open</t>
        </is>
      </c>
      <c r="F413" s="19" t="inlineStr">
        <is>
          <t>open</t>
        </is>
      </c>
    </row>
    <row r="414">
      <c r="A414" s="15" t="inlineStr">
        <is>
          <t>1101990112</t>
        </is>
      </c>
      <c r="B414" s="15" t="inlineStr">
        <is>
          <t>Bible Book Number 51—Colossians</t>
        </is>
      </c>
      <c r="C414" s="15" t="inlineStr">
        <is>
          <t>All Scripture Is Inspired of God and Beneficial (si)</t>
        </is>
      </c>
      <c r="D414" s="15" t="n">
        <v>1</v>
      </c>
      <c r="E414" s="19" t="inlineStr">
        <is>
          <t>open</t>
        </is>
      </c>
      <c r="F414" s="19" t="inlineStr">
        <is>
          <t>open</t>
        </is>
      </c>
    </row>
    <row r="415">
      <c r="A415" s="15" t="inlineStr">
        <is>
          <t>1101990118</t>
        </is>
      </c>
      <c r="B415" s="15" t="inlineStr">
        <is>
          <t>Bible Book Number 57—Philemon</t>
        </is>
      </c>
      <c r="C415" s="15" t="inlineStr">
        <is>
          <t>All Scripture Is Inspired of God and Beneficial (si)</t>
        </is>
      </c>
      <c r="D415" s="15" t="n">
        <v>1</v>
      </c>
      <c r="E415" s="19" t="inlineStr">
        <is>
          <t>open</t>
        </is>
      </c>
      <c r="F415" s="19" t="inlineStr">
        <is>
          <t>open</t>
        </is>
      </c>
    </row>
    <row r="416">
      <c r="A416" s="15" t="inlineStr">
        <is>
          <t>1101990115</t>
        </is>
      </c>
      <c r="B416" s="15" t="inlineStr">
        <is>
          <t>Bible Book Number 54—1 Timothy</t>
        </is>
      </c>
      <c r="C416" s="15" t="inlineStr">
        <is>
          <t>All Scripture Is Inspired of God and Beneficial (si)</t>
        </is>
      </c>
      <c r="D416" s="15" t="n">
        <v>1</v>
      </c>
      <c r="E416" s="19" t="inlineStr">
        <is>
          <t>open</t>
        </is>
      </c>
      <c r="F416" s="19" t="inlineStr">
        <is>
          <t>open</t>
        </is>
      </c>
    </row>
    <row r="417">
      <c r="A417" s="15" t="inlineStr">
        <is>
          <t>1101990117</t>
        </is>
      </c>
      <c r="B417" s="15" t="inlineStr">
        <is>
          <t>Bible Book Number 56—Titus</t>
        </is>
      </c>
      <c r="C417" s="15" t="inlineStr">
        <is>
          <t>All Scripture Is Inspired of God and Beneficial (si)</t>
        </is>
      </c>
      <c r="D417" s="15" t="n">
        <v>1</v>
      </c>
      <c r="E417" s="19" t="inlineStr">
        <is>
          <t>open</t>
        </is>
      </c>
      <c r="F417" s="19" t="inlineStr">
        <is>
          <t>open</t>
        </is>
      </c>
    </row>
    <row r="418">
      <c r="A418" s="15" t="inlineStr">
        <is>
          <t>1101990119</t>
        </is>
      </c>
      <c r="B418" s="15" t="inlineStr">
        <is>
          <t>Bible Book Number 58—Hebrews</t>
        </is>
      </c>
      <c r="C418" s="15" t="inlineStr">
        <is>
          <t>All Scripture Is Inspired of God and Beneficial (si)</t>
        </is>
      </c>
      <c r="D418" s="15" t="n">
        <v>1</v>
      </c>
      <c r="E418" s="19" t="inlineStr">
        <is>
          <t>open</t>
        </is>
      </c>
      <c r="F418" s="19" t="inlineStr">
        <is>
          <t>open</t>
        </is>
      </c>
    </row>
    <row r="419">
      <c r="A419" s="15" t="inlineStr">
        <is>
          <t>1101990121</t>
        </is>
      </c>
      <c r="B419" s="15" t="inlineStr">
        <is>
          <t>Bible Book Number 60—1 Peter</t>
        </is>
      </c>
      <c r="C419" s="15" t="inlineStr">
        <is>
          <t>All Scripture Is Inspired of God and Beneficial (si)</t>
        </is>
      </c>
      <c r="D419" s="15" t="n">
        <v>1</v>
      </c>
      <c r="E419" s="19" t="inlineStr">
        <is>
          <t>open</t>
        </is>
      </c>
      <c r="F419" s="19" t="inlineStr">
        <is>
          <t>open</t>
        </is>
      </c>
    </row>
    <row r="420">
      <c r="A420" s="15" t="inlineStr">
        <is>
          <t>1101990122</t>
        </is>
      </c>
      <c r="B420" s="15" t="inlineStr">
        <is>
          <t>Bible Book Number 61—2 Peter</t>
        </is>
      </c>
      <c r="C420" s="15" t="inlineStr">
        <is>
          <t>All Scripture Is Inspired of God and Beneficial (si)</t>
        </is>
      </c>
      <c r="D420" s="15" t="n">
        <v>1</v>
      </c>
      <c r="E420" s="19" t="inlineStr">
        <is>
          <t>open</t>
        </is>
      </c>
      <c r="F420" s="19" t="inlineStr">
        <is>
          <t>open</t>
        </is>
      </c>
    </row>
    <row r="421">
      <c r="A421" s="15" t="inlineStr">
        <is>
          <t>1986606</t>
        </is>
      </c>
      <c r="B421" s="15" t="inlineStr">
        <is>
          <t>The Christians’ Flight to Pella</t>
        </is>
      </c>
      <c r="C421" s="15" t="inlineStr">
        <is>
          <t>Watchtower 1986 8/15</t>
        </is>
      </c>
      <c r="D421" s="15" t="n">
        <v>1</v>
      </c>
      <c r="E421" s="19" t="inlineStr">
        <is>
          <t>open</t>
        </is>
      </c>
      <c r="F421" s="15" t="n"/>
    </row>
    <row r="422">
      <c r="A422" s="15" t="inlineStr">
        <is>
          <t>1001070691</t>
        </is>
      </c>
      <c r="B422" s="15" t="inlineStr">
        <is>
          <t>Acts Study Notes—Chapter 2</t>
        </is>
      </c>
      <c r="C422" s="15" t="inlineStr">
        <is>
          <t>NWT Study Edition, Acts study notes</t>
        </is>
      </c>
      <c r="D422" s="15" t="n">
        <v>1</v>
      </c>
      <c r="E422" s="19" t="inlineStr">
        <is>
          <t>open</t>
        </is>
      </c>
      <c r="F422" s="15" t="n"/>
    </row>
    <row r="423">
      <c r="A423" s="15" t="inlineStr">
        <is>
          <t>1101990127</t>
        </is>
      </c>
      <c r="B423" s="15" t="inlineStr">
        <is>
          <t>Bible Book Number 66—Revelation</t>
        </is>
      </c>
      <c r="C423" s="15" t="inlineStr">
        <is>
          <t>All Scripture Is Inspired of God and Beneficial (si)</t>
        </is>
      </c>
      <c r="D423" s="15" t="n">
        <v>1</v>
      </c>
      <c r="E423" s="19" t="inlineStr">
        <is>
          <t>open</t>
        </is>
      </c>
      <c r="F423" s="19" t="inlineStr">
        <is>
          <t>open</t>
        </is>
      </c>
    </row>
    <row r="424">
      <c r="A424" s="15" t="inlineStr">
        <is>
          <t>1200003717</t>
        </is>
      </c>
      <c r="B424" s="15" t="inlineStr">
        <is>
          <t>Revelation to John</t>
        </is>
      </c>
      <c r="C424" s="15" t="inlineStr">
        <is>
          <t>Insight (it-2)</t>
        </is>
      </c>
      <c r="D424" s="15" t="n">
        <v>1</v>
      </c>
      <c r="E424" s="19" t="inlineStr">
        <is>
          <t>open</t>
        </is>
      </c>
      <c r="F424" s="15" t="n"/>
    </row>
    <row r="425">
      <c r="A425" s="15" t="inlineStr">
        <is>
          <t>1101989212</t>
        </is>
      </c>
      <c r="B425" s="15" t="inlineStr">
        <is>
          <t>Baptism</t>
        </is>
      </c>
      <c r="C425" s="15" t="inlineStr">
        <is>
          <t>Reasoning From the Scriptures (rs)</t>
        </is>
      </c>
      <c r="D425" s="15" t="n">
        <v>1</v>
      </c>
      <c r="E425" s="19" t="inlineStr">
        <is>
          <t>open</t>
        </is>
      </c>
      <c r="F425" s="19" t="inlineStr">
        <is>
          <t>open</t>
        </is>
      </c>
    </row>
    <row r="426">
      <c r="A426" s="15" t="inlineStr">
        <is>
          <t>1986201</t>
        </is>
      </c>
      <c r="B426" s="15" t="inlineStr">
        <is>
          <t>Should Babies Be Baptized?</t>
        </is>
      </c>
      <c r="C426" s="15" t="inlineStr">
        <is>
          <t>Watchtower 1986 3/15</t>
        </is>
      </c>
      <c r="D426" s="15" t="n">
        <v>1</v>
      </c>
      <c r="E426" s="19" t="inlineStr">
        <is>
          <t>open</t>
        </is>
      </c>
      <c r="F426" s="15" t="n"/>
    </row>
    <row r="427">
      <c r="A427" s="15" t="inlineStr">
        <is>
          <t>102011442</t>
        </is>
      </c>
      <c r="B427" s="15" t="inlineStr">
        <is>
          <t>The Bible Attacked</t>
        </is>
      </c>
      <c r="C427" s="15" t="inlineStr">
        <is>
          <t>Awake! 2011 12</t>
        </is>
      </c>
      <c r="D427" s="15" t="n">
        <v>1</v>
      </c>
      <c r="E427" s="19" t="inlineStr">
        <is>
          <t>open</t>
        </is>
      </c>
      <c r="F427" s="15" t="n"/>
    </row>
    <row r="428">
      <c r="A428" s="15" t="inlineStr">
        <is>
          <t>1997723</t>
        </is>
      </c>
      <c r="B428" s="15" t="inlineStr">
        <is>
          <t>The Word of God Endures Forever</t>
        </is>
      </c>
      <c r="C428" s="15" t="inlineStr">
        <is>
          <t>Watchtower 1997 10/1</t>
        </is>
      </c>
      <c r="D428" s="15" t="n">
        <v>1</v>
      </c>
      <c r="E428" s="19" t="inlineStr">
        <is>
          <t>open</t>
        </is>
      </c>
      <c r="F428" s="19" t="inlineStr">
        <is>
          <t>open</t>
        </is>
      </c>
    </row>
    <row r="429">
      <c r="A429" s="15" t="inlineStr">
        <is>
          <t>2015921</t>
        </is>
      </c>
      <c r="B429" s="15" t="inlineStr">
        <is>
          <t>Jehovah, the God of Communication</t>
        </is>
      </c>
      <c r="C429" s="15" t="inlineStr">
        <is>
          <t>Watchtower (Study) 2015 12/15</t>
        </is>
      </c>
      <c r="D429" s="15" t="n">
        <v>1</v>
      </c>
      <c r="E429" s="19" t="inlineStr">
        <is>
          <t>open</t>
        </is>
      </c>
      <c r="F429" s="19" t="inlineStr">
        <is>
          <t>open</t>
        </is>
      </c>
    </row>
    <row r="430">
      <c r="A430" s="15" t="inlineStr">
        <is>
          <t>1200003778</t>
        </is>
      </c>
      <c r="B430" s="15" t="inlineStr">
        <is>
          <t>Sabbath Day</t>
        </is>
      </c>
      <c r="C430" s="15" t="inlineStr">
        <is>
          <t>Insight (it-2) "Sabbath Day"</t>
        </is>
      </c>
      <c r="D430" s="15" t="n">
        <v>1</v>
      </c>
      <c r="E430" s="19" t="inlineStr">
        <is>
          <t>open</t>
        </is>
      </c>
      <c r="F430" s="15" t="n"/>
    </row>
    <row r="431">
      <c r="A431" s="15" t="inlineStr">
        <is>
          <t>502014219</t>
        </is>
      </c>
      <c r="B431" s="15" t="inlineStr">
        <is>
          <t>What Is the Holy Spirit?</t>
        </is>
      </c>
      <c r="C431" s="15" t="inlineStr">
        <is>
          <t>jw.org Bible Questions Answered</t>
        </is>
      </c>
      <c r="D431" s="15" t="n">
        <v>1</v>
      </c>
      <c r="E431" s="19" t="inlineStr">
        <is>
          <t>open</t>
        </is>
      </c>
      <c r="F431" s="19" t="inlineStr">
        <is>
          <t>open</t>
        </is>
      </c>
    </row>
    <row r="432">
      <c r="A432" s="15" t="inlineStr">
        <is>
          <t>101998086</t>
        </is>
      </c>
      <c r="B432" s="15" t="inlineStr">
        <is>
          <t>The Troubadours—More Than Singers of Love Songs</t>
        </is>
      </c>
      <c r="C432" s="15" t="inlineStr">
        <is>
          <t>Awake! 1998 2/8</t>
        </is>
      </c>
      <c r="D432" s="15" t="n">
        <v>1</v>
      </c>
      <c r="E432" s="19" t="inlineStr">
        <is>
          <t>open</t>
        </is>
      </c>
      <c r="F432" s="19" t="inlineStr">
        <is>
          <t>open</t>
        </is>
      </c>
    </row>
    <row r="433">
      <c r="A433" s="15" t="inlineStr">
        <is>
          <t>1992686</t>
        </is>
      </c>
      <c r="B433" s="15" t="inlineStr">
        <is>
          <t>They Knew God’s Name</t>
        </is>
      </c>
      <c r="C433" s="15" t="inlineStr">
        <is>
          <t>Watchtower 1992 9/15</t>
        </is>
      </c>
      <c r="D433" s="15" t="n">
        <v>1</v>
      </c>
      <c r="E433" s="19" t="inlineStr">
        <is>
          <t>open</t>
        </is>
      </c>
      <c r="F433" s="19" t="inlineStr">
        <is>
          <t>open</t>
        </is>
      </c>
    </row>
    <row r="434">
      <c r="A434" s="15" t="inlineStr">
        <is>
          <t>1102018055</t>
        </is>
      </c>
      <c r="B434" s="15" t="inlineStr">
        <is>
          <t>June</t>
        </is>
      </c>
      <c r="C434" s="15" t="inlineStr">
        <is>
          <t>Examining the Scriptures Daily—2018 (es18 pp. 57-67)</t>
        </is>
      </c>
      <c r="D434" s="15" t="n">
        <v>1</v>
      </c>
      <c r="E434" s="19" t="inlineStr">
        <is>
          <t>open</t>
        </is>
      </c>
      <c r="F434" s="19" t="inlineStr">
        <is>
          <t>open</t>
        </is>
      </c>
    </row>
    <row r="435">
      <c r="A435" s="15" t="inlineStr">
        <is>
          <t>1999084</t>
        </is>
      </c>
      <c r="B435" s="15" t="inlineStr">
        <is>
          <t>Our Treasure in Earthen Vessels</t>
        </is>
      </c>
      <c r="C435" s="15" t="inlineStr">
        <is>
          <t>The Watchtower (w99 2/1 pp. 14-19)</t>
        </is>
      </c>
      <c r="D435" s="15" t="n">
        <v>1</v>
      </c>
      <c r="E435" s="19" t="inlineStr">
        <is>
          <t>open</t>
        </is>
      </c>
      <c r="F435" s="19" t="inlineStr">
        <is>
          <t>open</t>
        </is>
      </c>
    </row>
    <row r="436">
      <c r="A436" s="15" t="inlineStr">
        <is>
          <t>1102014268</t>
        </is>
      </c>
      <c r="B436" s="15" t="inlineStr">
        <is>
          <t>A Letter From the Governing Body</t>
        </is>
      </c>
      <c r="C436" s="15" t="inlineStr">
        <is>
          <t>God’s Kingdom Rules! (kr)</t>
        </is>
      </c>
      <c r="D436" s="15" t="n">
        <v>1</v>
      </c>
      <c r="E436" s="19" t="inlineStr">
        <is>
          <t>open</t>
        </is>
      </c>
      <c r="F436" s="19" t="inlineStr">
        <is>
          <t>open</t>
        </is>
      </c>
    </row>
    <row r="437">
      <c r="A437" s="15" t="inlineStr">
        <is>
          <t>1001070221</t>
        </is>
      </c>
      <c r="B437" s="15" t="inlineStr">
        <is>
          <t>The Message of the Bible</t>
        </is>
      </c>
      <c r="C437" s="15" t="inlineStr">
        <is>
          <t>NWT Study Edition App. B1</t>
        </is>
      </c>
      <c r="D437" s="15" t="n">
        <v>1</v>
      </c>
      <c r="E437" s="19" t="inlineStr">
        <is>
          <t>open</t>
        </is>
      </c>
      <c r="F437" s="19" t="inlineStr">
        <is>
          <t>open</t>
        </is>
      </c>
    </row>
    <row r="438">
      <c r="A438" s="15" t="inlineStr">
        <is>
          <t>1966281</t>
        </is>
      </c>
      <c r="B438" s="15" t="inlineStr">
        <is>
          <t>What Binding Satan the Devil Will Mean for Mankind</t>
        </is>
      </c>
      <c r="C438" s="15" t="inlineStr">
        <is>
          <t>The Watchtower (w66 4/15 pp. 229-242)</t>
        </is>
      </c>
      <c r="D438" s="15" t="n">
        <v>1</v>
      </c>
      <c r="E438" s="19" t="inlineStr">
        <is>
          <t>open</t>
        </is>
      </c>
      <c r="F438" s="15" t="n"/>
    </row>
    <row r="439">
      <c r="A439" s="15" t="inlineStr">
        <is>
          <t>1101988028</t>
        </is>
      </c>
      <c r="B439" s="15" t="inlineStr">
        <is>
          <t>Contending With Two Ferocious Beasts</t>
        </is>
      </c>
      <c r="C439" s="15" t="inlineStr">
        <is>
          <t>Revelation—Its Grand Climax At Hand! (re) ch. 28</t>
        </is>
      </c>
      <c r="D439" s="15" t="n">
        <v>1</v>
      </c>
      <c r="E439" s="19" t="inlineStr">
        <is>
          <t>open</t>
        </is>
      </c>
      <c r="F439" s="19" t="inlineStr">
        <is>
          <t>open</t>
        </is>
      </c>
    </row>
    <row r="440">
      <c r="A440" s="15" t="inlineStr">
        <is>
          <t>2017321</t>
        </is>
      </c>
      <c r="B440" s="15" t="inlineStr">
        <is>
          <t>I Have Benefited From Walking With Wise Ones</t>
        </is>
      </c>
      <c r="C440" s="15" t="inlineStr">
        <is>
          <t>The Watchtower (w17 March pp. 3-7)</t>
        </is>
      </c>
      <c r="D440" s="15" t="n">
        <v>1</v>
      </c>
      <c r="E440" s="19" t="inlineStr">
        <is>
          <t>open</t>
        </is>
      </c>
      <c r="F440" s="19" t="inlineStr">
        <is>
          <t>open</t>
        </is>
      </c>
    </row>
    <row r="441">
      <c r="A441" s="15" t="inlineStr">
        <is>
          <t>2008487</t>
        </is>
      </c>
      <c r="B441" s="15" t="inlineStr">
        <is>
          <t>Why Do Jehovah’s Witnesses Not Go to War?</t>
        </is>
      </c>
      <c r="C441" s="15" t="inlineStr">
        <is>
          <t>The Watchtower (w08 7/1 p. 22)</t>
        </is>
      </c>
      <c r="D441" s="15" t="n">
        <v>1</v>
      </c>
      <c r="E441" s="19" t="inlineStr">
        <is>
          <t>open</t>
        </is>
      </c>
      <c r="F441" s="19" t="inlineStr">
        <is>
          <t>open</t>
        </is>
      </c>
    </row>
    <row r="442">
      <c r="A442" s="15" t="inlineStr">
        <is>
          <t>1101993039</t>
        </is>
      </c>
      <c r="B442" s="15" t="inlineStr">
        <is>
          <t>Testing and Sifting From Within</t>
        </is>
      </c>
      <c r="C442" s="15" t="inlineStr">
        <is>
          <t>Jehovah’s Witnesses—Proclaimers of God’s Kingdom (jv chap. 28 p. 618-p. 641 par. 3)</t>
        </is>
      </c>
      <c r="D442" s="15" t="n">
        <v>1</v>
      </c>
      <c r="E442" s="19" t="inlineStr">
        <is>
          <t>open</t>
        </is>
      </c>
      <c r="F442" s="15" t="n"/>
    </row>
    <row r="443">
      <c r="A443" s="15" t="inlineStr">
        <is>
          <t>2016247</t>
        </is>
      </c>
      <c r="B443" s="15" t="inlineStr">
        <is>
          <t>The Bible Survived Attempts to Alter Its Message</t>
        </is>
      </c>
      <c r="C443" s="15" t="inlineStr">
        <is>
          <t>The Watchtower (public edition) No. 4 2016 (wp16 No. 4 pp. 6-7)</t>
        </is>
      </c>
      <c r="D443" s="15" t="n">
        <v>1</v>
      </c>
      <c r="E443" s="19" t="inlineStr">
        <is>
          <t>open</t>
        </is>
      </c>
      <c r="F443" s="19" t="inlineStr">
        <is>
          <t>open</t>
        </is>
      </c>
    </row>
    <row r="444">
      <c r="A444" s="15" t="inlineStr">
        <is>
          <t>2020167</t>
        </is>
      </c>
      <c r="B444" s="15" t="inlineStr">
        <is>
          <t>Has God’s Written Word Been Changed?</t>
        </is>
      </c>
      <c r="C444" s="15" t="inlineStr">
        <is>
          <t>The Watchtower (public edition) No. 3 2020 (wp20 No. 3 p. 7)</t>
        </is>
      </c>
      <c r="D444" s="15" t="n">
        <v>1</v>
      </c>
      <c r="E444" s="19" t="inlineStr">
        <is>
          <t>open</t>
        </is>
      </c>
      <c r="F444" s="19" t="inlineStr">
        <is>
          <t>open</t>
        </is>
      </c>
    </row>
    <row r="445">
      <c r="A445" s="15" t="inlineStr">
        <is>
          <t>jw.org/news/region/sweden/Sixty-Years-Later-Witnesses-in-Sweden-Reflect-on-Historic-Decision-About-Conscientious-Objection</t>
        </is>
      </c>
      <c r="B445" s="15" t="inlineStr">
        <is>
          <t>Sixty Years Later, Witnesses in Sweden Reflect on Historic Decision About Conscientious Objection</t>
        </is>
      </c>
      <c r="C445" s="15" t="inlineStr">
        <is>
          <t>jw.org Newsroom, Sept. 23, 2026</t>
        </is>
      </c>
      <c r="D445" s="15" t="n">
        <v>1</v>
      </c>
      <c r="E445" s="19" t="inlineStr">
        <is>
          <t>open</t>
        </is>
      </c>
      <c r="F445" s="15" t="n"/>
    </row>
    <row r="446">
      <c r="A446" s="15" t="inlineStr">
        <is>
          <t>301999001</t>
        </is>
      </c>
      <c r="B446" s="15" t="inlineStr">
        <is>
          <t>Malawi</t>
        </is>
      </c>
      <c r="C446" s="15" t="inlineStr">
        <is>
          <t>Yearbook of Jehovah’s Witnesses (yb99 pp. 148-223)</t>
        </is>
      </c>
      <c r="D446" s="15" t="n">
        <v>1</v>
      </c>
      <c r="E446" s="19" t="inlineStr">
        <is>
          <t>open</t>
        </is>
      </c>
      <c r="F446" s="15" t="n"/>
    </row>
    <row r="447">
      <c r="A447" s="15" t="inlineStr">
        <is>
          <t>301995004</t>
        </is>
      </c>
      <c r="B447" s="15" t="inlineStr">
        <is>
          <t>Worldwide Report</t>
        </is>
      </c>
      <c r="C447" s="15" t="inlineStr">
        <is>
          <t>Yearbook of Jehovah’s Witnesses (yb95 pp. 42-64)</t>
        </is>
      </c>
      <c r="D447" s="15" t="n">
        <v>1</v>
      </c>
      <c r="E447" s="19" t="inlineStr">
        <is>
          <t>open</t>
        </is>
      </c>
      <c r="F447" s="15" t="n"/>
    </row>
    <row r="448">
      <c r="A448" s="15" t="inlineStr">
        <is>
          <t>1975047</t>
        </is>
      </c>
      <c r="B448" s="15" t="inlineStr">
        <is>
          <t>Governing Body of Jehovah’s Witnesses Enlarged</t>
        </is>
      </c>
      <c r="C448" s="15" t="inlineStr">
        <is>
          <t>Watchtower 1975 1/15</t>
        </is>
      </c>
      <c r="D448" s="15" t="n">
        <v>1</v>
      </c>
      <c r="E448" s="19" t="inlineStr">
        <is>
          <t>open</t>
        </is>
      </c>
      <c r="F448" s="15" t="n"/>
    </row>
    <row r="449">
      <c r="A449" s="15" t="inlineStr">
        <is>
          <t>1102014257</t>
        </is>
      </c>
      <c r="B449" s="15" t="inlineStr">
        <is>
          <t>How Kingdom Activities Are Financed</t>
        </is>
      </c>
      <c r="C449" s="15" t="inlineStr">
        <is>
          <t>God’s Kingdom Rules! (kr)</t>
        </is>
      </c>
      <c r="D449" s="15" t="n">
        <v>1</v>
      </c>
      <c r="E449" s="19" t="inlineStr">
        <is>
          <t>open</t>
        </is>
      </c>
      <c r="F449" s="19" t="inlineStr">
        <is>
          <t>open</t>
        </is>
      </c>
    </row>
    <row r="450">
      <c r="A450" s="15" t="inlineStr">
        <is>
          <t>1999842</t>
        </is>
      </c>
      <c r="B450" s="15" t="inlineStr">
        <is>
          <t>Dedication of the Watchtower Educational Center</t>
        </is>
      </c>
      <c r="C450" s="15" t="inlineStr">
        <is>
          <t>Watchtower 1999</t>
        </is>
      </c>
      <c r="D450" s="15" t="n">
        <v>1</v>
      </c>
      <c r="E450" s="19" t="inlineStr">
        <is>
          <t>open</t>
        </is>
      </c>
      <c r="F450" s="19" t="inlineStr">
        <is>
          <t>open</t>
        </is>
      </c>
    </row>
    <row r="451">
      <c r="A451" s="15" t="inlineStr">
        <is>
          <t>2011369</t>
        </is>
      </c>
      <c r="B451" s="15" t="inlineStr">
        <is>
          <t>“A Wonderful Overseer and a Dear Friend”</t>
        </is>
      </c>
      <c r="C451" s="15" t="inlineStr">
        <is>
          <t>Watchtower 2011</t>
        </is>
      </c>
      <c r="D451" s="15" t="n">
        <v>1</v>
      </c>
      <c r="E451" s="19" t="inlineStr">
        <is>
          <t>open</t>
        </is>
      </c>
      <c r="F451" s="19" t="inlineStr">
        <is>
          <t>open</t>
        </is>
      </c>
    </row>
    <row r="452">
      <c r="A452" s="15" t="inlineStr">
        <is>
          <t>102012375</t>
        </is>
      </c>
      <c r="B452" s="15" t="inlineStr">
        <is>
          <t>The Bible—A Book of Accurate Prophecy, Part 6</t>
        </is>
      </c>
      <c r="C452" s="15" t="inlineStr">
        <is>
          <t>Awake!, October 2012 (g 10/12)</t>
        </is>
      </c>
      <c r="D452" s="15" t="n">
        <v>1</v>
      </c>
      <c r="E452" s="19" t="inlineStr">
        <is>
          <t>open</t>
        </is>
      </c>
      <c r="F452" s="15" t="n"/>
    </row>
    <row r="453">
      <c r="A453" s="15" t="inlineStr">
        <is>
          <t>jw.org/news/region/global/revised-new-world-translation-20131011</t>
        </is>
      </c>
      <c r="B453" s="15" t="inlineStr">
        <is>
          <t>Revised New World Translation of the Holy Scriptures | JW.ORG News</t>
        </is>
      </c>
      <c r="C453" s="15" t="inlineStr">
        <is>
          <t>jw.org Newsroom, Oct. 11, 2013</t>
        </is>
      </c>
      <c r="D453" s="15" t="n">
        <v>1</v>
      </c>
      <c r="E453" s="19" t="inlineStr">
        <is>
          <t>open</t>
        </is>
      </c>
      <c r="F453" s="15" t="n"/>
    </row>
    <row r="454">
      <c r="A454" s="15" t="inlineStr">
        <is>
          <t>302015055</t>
        </is>
      </c>
      <c r="B454" s="15" t="inlineStr">
        <is>
          <t>The Largest Gathering of Jehovah’s Witnesses</t>
        </is>
      </c>
      <c r="C454" s="15" t="inlineStr">
        <is>
          <t>Yearbook 2015</t>
        </is>
      </c>
      <c r="D454" s="15" t="n">
        <v>1</v>
      </c>
      <c r="E454" s="19" t="inlineStr">
        <is>
          <t>open</t>
        </is>
      </c>
      <c r="F454" s="15" t="n"/>
    </row>
    <row r="455">
      <c r="A455" s="15" t="inlineStr">
        <is>
          <t>jw.org/jehovahs-witnesses/activities/events/annual-meeting-report-2013</t>
        </is>
      </c>
      <c r="B455" s="15" t="inlineStr">
        <is>
          <t>Annual Meeting Report 2013 | Jehovah’s Witnesses</t>
        </is>
      </c>
      <c r="C455" s="15" t="inlineStr">
        <is>
          <t>jw.org Annual Meeting Report 2013</t>
        </is>
      </c>
      <c r="D455" s="15" t="n">
        <v>1</v>
      </c>
      <c r="E455" s="19" t="inlineStr">
        <is>
          <t>open</t>
        </is>
      </c>
      <c r="F455" s="15" t="n"/>
    </row>
    <row r="456">
      <c r="A456" s="15" t="inlineStr">
        <is>
          <t>302015056</t>
        </is>
      </c>
      <c r="B456" s="15" t="inlineStr">
        <is>
          <t>Sri Lanka Branch Dedication</t>
        </is>
      </c>
      <c r="C456" s="15" t="inlineStr">
        <is>
          <t>Yearbook 2015</t>
        </is>
      </c>
      <c r="D456" s="15" t="n">
        <v>1</v>
      </c>
      <c r="E456" s="19" t="inlineStr">
        <is>
          <t>open</t>
        </is>
      </c>
      <c r="F456" s="15" t="n"/>
    </row>
    <row r="457">
      <c r="A457" s="15" t="inlineStr">
        <is>
          <t>jw.org/library/magazines/ws20141215/guy-pierce-governing-body-dies</t>
        </is>
      </c>
      <c r="B457" s="15" t="inlineStr">
        <is>
          <t>He ‘Knew the Way’—Guy Pierce | Simplified</t>
        </is>
      </c>
      <c r="C457" s="15" t="inlineStr">
        <is>
          <t>jw.org</t>
        </is>
      </c>
      <c r="D457" s="15" t="n">
        <v>1</v>
      </c>
      <c r="E457" s="19" t="inlineStr">
        <is>
          <t>open</t>
        </is>
      </c>
      <c r="F457" s="15" t="n"/>
    </row>
    <row r="458">
      <c r="A458" s="15" t="inlineStr">
        <is>
          <t>jw.org/jehovahs-witnesses/activities/events/annual-meeting-report-2014</t>
        </is>
      </c>
      <c r="B458" s="15" t="inlineStr">
        <is>
          <t>Annual Meeting Report 2014 | Jehovah’s Witnesses</t>
        </is>
      </c>
      <c r="C458" s="15" t="inlineStr">
        <is>
          <t>jw.org Annual Meeting Report 2014</t>
        </is>
      </c>
      <c r="D458" s="15" t="n">
        <v>1</v>
      </c>
      <c r="E458" s="19" t="inlineStr">
        <is>
          <t>open</t>
        </is>
      </c>
      <c r="F458" s="19" t="inlineStr">
        <is>
          <t>open</t>
        </is>
      </c>
    </row>
    <row r="459">
      <c r="A459" s="15" t="inlineStr">
        <is>
          <t>302016046</t>
        </is>
      </c>
      <c r="B459" s="15" t="inlineStr">
        <is>
          <t>“We Love JW Broadcasting So Much!”</t>
        </is>
      </c>
      <c r="C459" s="15" t="inlineStr">
        <is>
          <t>Yearbook 2016</t>
        </is>
      </c>
      <c r="D459" s="15" t="n">
        <v>1</v>
      </c>
      <c r="E459" s="19" t="inlineStr">
        <is>
          <t>open</t>
        </is>
      </c>
      <c r="F459" s="15" t="n"/>
    </row>
    <row r="460">
      <c r="A460" s="15" t="inlineStr">
        <is>
          <t>2015202</t>
        </is>
      </c>
      <c r="B460" s="15" t="inlineStr">
        <is>
          <t>“This Is the Way You Approved”</t>
        </is>
      </c>
      <c r="C460" s="15" t="inlineStr">
        <is>
          <t>Watchtower 2015 3/15</t>
        </is>
      </c>
      <c r="D460" s="15" t="n">
        <v>1</v>
      </c>
      <c r="E460" s="19" t="inlineStr">
        <is>
          <t>open</t>
        </is>
      </c>
      <c r="F460" s="19" t="inlineStr">
        <is>
          <t>open</t>
        </is>
      </c>
    </row>
    <row r="461">
      <c r="A461" s="15" t="inlineStr">
        <is>
          <t>302017037</t>
        </is>
      </c>
      <c r="B461" s="15" t="inlineStr">
        <is>
          <t>Giving Priority to the Global Preaching Work</t>
        </is>
      </c>
      <c r="C461" s="15" t="inlineStr">
        <is>
          <t>Yearbook 2017</t>
        </is>
      </c>
      <c r="D461" s="15" t="n">
        <v>1</v>
      </c>
      <c r="E461" s="19" t="inlineStr">
        <is>
          <t>open</t>
        </is>
      </c>
      <c r="F461" s="15" t="n"/>
    </row>
    <row r="462">
      <c r="A462" s="15" t="inlineStr">
        <is>
          <t>302017041</t>
        </is>
      </c>
      <c r="B462" s="15" t="inlineStr">
        <is>
          <t>Branch Dedications</t>
        </is>
      </c>
      <c r="C462" s="15" t="inlineStr">
        <is>
          <t>Yearbook 2017</t>
        </is>
      </c>
      <c r="D462" s="15" t="n">
        <v>1</v>
      </c>
      <c r="E462" s="19" t="inlineStr">
        <is>
          <t>open</t>
        </is>
      </c>
      <c r="F462" s="15" t="n"/>
    </row>
    <row r="463">
      <c r="A463" s="15" t="inlineStr">
        <is>
          <t>jw.org/news/releases/by-region/united-states/open-house-new-world-headquarters-jehovahs-witnesses</t>
        </is>
      </c>
      <c r="B463" s="15" t="inlineStr">
        <is>
          <t>Nearly 400 Attend Open House at New World Headquarters of Jehovah’s Witnesses</t>
        </is>
      </c>
      <c r="C463" s="15" t="inlineStr">
        <is>
          <t>jw.org Newsroom, Apr. 28, 2017</t>
        </is>
      </c>
      <c r="D463" s="15" t="n">
        <v>1</v>
      </c>
      <c r="E463" s="19" t="inlineStr">
        <is>
          <t>open</t>
        </is>
      </c>
      <c r="F463" s="15" t="n"/>
    </row>
    <row r="464">
      <c r="A464" s="15" t="inlineStr">
        <is>
          <t>jw.org/news/region/united-states/open-house-draws-positive-community-response</t>
        </is>
      </c>
      <c r="B464" s="15" t="inlineStr">
        <is>
          <t>Open House at New World Headquarters Draws Positive Community Response</t>
        </is>
      </c>
      <c r="C464" s="15" t="inlineStr">
        <is>
          <t>jw.org Newsroom, May 22, 2017</t>
        </is>
      </c>
      <c r="D464" s="15" t="n">
        <v>1</v>
      </c>
      <c r="E464" s="19" t="inlineStr">
        <is>
          <t>open</t>
        </is>
      </c>
      <c r="F464" s="15" t="n"/>
    </row>
    <row r="465">
      <c r="A465" s="15" t="inlineStr">
        <is>
          <t>jw.org/news/region/russia/supreme-court-confirms-earlier-ruling-to-criminalize-jehovahs-witnesses</t>
        </is>
      </c>
      <c r="B465" s="15" t="inlineStr">
        <is>
          <t>Russia’s Supreme Court Confirms Earlier Ruling to Criminalize Jehovah’s Witnesses</t>
        </is>
      </c>
      <c r="C465" s="15" t="inlineStr">
        <is>
          <t>jw.org Newsroom, July 18, 2017</t>
        </is>
      </c>
      <c r="D465" s="15" t="n">
        <v>1</v>
      </c>
      <c r="E465" s="19" t="inlineStr">
        <is>
          <t>open</t>
        </is>
      </c>
      <c r="F465" s="15" t="n"/>
    </row>
    <row r="466">
      <c r="A466" s="15" t="inlineStr">
        <is>
          <t>jw.org/news/releases/by-region/world/kenneth-cook-governing-body</t>
        </is>
      </c>
      <c r="B466" s="15" t="inlineStr">
        <is>
          <t>Kenneth Cook Appointed to the Governing Body | JW.ORG News</t>
        </is>
      </c>
      <c r="C466" s="15" t="inlineStr">
        <is>
          <t>jw.org Newsroom, Jan. 24, 2018</t>
        </is>
      </c>
      <c r="D466" s="15" t="n">
        <v>1</v>
      </c>
      <c r="E466" s="19" t="inlineStr">
        <is>
          <t>open</t>
        </is>
      </c>
      <c r="F466" s="15" t="n"/>
    </row>
    <row r="467">
      <c r="A467" s="15" t="inlineStr">
        <is>
          <t>jw.org/news/region/south-korea/historic-supreme-court-decision-20181101</t>
        </is>
      </c>
      <c r="B467" s="15" t="inlineStr">
        <is>
          <t>Historic Supreme Court Decision in South Korea | JW.ORG News</t>
        </is>
      </c>
      <c r="C467" s="15" t="inlineStr">
        <is>
          <t>jw.org Newsroom, Nov. 1, 2018</t>
        </is>
      </c>
      <c r="D467" s="15" t="n">
        <v>1</v>
      </c>
      <c r="E467" s="19" t="inlineStr">
        <is>
          <t>open</t>
        </is>
      </c>
      <c r="F467" s="15" t="n"/>
    </row>
    <row r="468">
      <c r="A468" s="15" t="inlineStr">
        <is>
          <t>jw.org/news/region/south-korea/All-Witnesses-Imprisoned-for-Conscientious-Objection-in-South-Korea-Now-Free</t>
        </is>
      </c>
      <c r="B468" s="15" t="inlineStr">
        <is>
          <t>All Witnesses Imprisoned for Conscientious Objection in South Korea Now Free</t>
        </is>
      </c>
      <c r="C468" s="15" t="inlineStr">
        <is>
          <t>jw.org Newsroom, Mar. 7, 2019</t>
        </is>
      </c>
      <c r="D468" s="15" t="n">
        <v>1</v>
      </c>
      <c r="E468" s="19" t="inlineStr">
        <is>
          <t>open</t>
        </is>
      </c>
      <c r="F468" s="15" t="n"/>
    </row>
    <row r="469">
      <c r="A469" s="15" t="inlineStr">
        <is>
          <t>jw.org/news/region/global/2019-Annual-Meeting-Summary</t>
        </is>
      </c>
      <c r="B469" s="15" t="inlineStr">
        <is>
          <t>2019 Annual Meeting Summary</t>
        </is>
      </c>
      <c r="C469" s="15" t="inlineStr">
        <is>
          <t>jw.org Newsroom, Oct. 11, 2019</t>
        </is>
      </c>
      <c r="D469" s="15" t="n">
        <v>1</v>
      </c>
      <c r="E469" s="19" t="inlineStr">
        <is>
          <t>open</t>
        </is>
      </c>
      <c r="F469" s="15" t="n"/>
    </row>
    <row r="470">
      <c r="A470" s="15" t="inlineStr">
        <is>
          <t>jw.org/news/region/global/jw-coronavirus-update-and-response</t>
        </is>
      </c>
      <c r="B470" s="15" t="inlineStr">
        <is>
          <t>Jehovah’s Witnesses—Coronavirus Update and Response</t>
        </is>
      </c>
      <c r="C470" s="15" t="inlineStr">
        <is>
          <t>jw.org Newsroom, Mar. 3, 2020</t>
        </is>
      </c>
      <c r="D470" s="15" t="n">
        <v>1</v>
      </c>
      <c r="E470" s="19" t="inlineStr">
        <is>
          <t>open</t>
        </is>
      </c>
      <c r="F470" s="15" t="n"/>
    </row>
    <row r="471">
      <c r="A471" s="15" t="inlineStr">
        <is>
          <t>jw.org/news/2020-Governing-Body-Update-1</t>
        </is>
      </c>
      <c r="B471" s="15" t="inlineStr">
        <is>
          <t>2020 Governing Body Update #1</t>
        </is>
      </c>
      <c r="C471" s="15" t="inlineStr">
        <is>
          <t>jw.org Newsroom — Governing Body Update</t>
        </is>
      </c>
      <c r="D471" s="15" t="n">
        <v>1</v>
      </c>
      <c r="E471" s="19" t="inlineStr">
        <is>
          <t>open</t>
        </is>
      </c>
      <c r="F471" s="15" t="n"/>
    </row>
    <row r="472">
      <c r="A472" s="15" t="inlineStr">
        <is>
          <t>jw.org/news/2021-Governing-Body-Update-8</t>
        </is>
      </c>
      <c r="B472" s="15" t="inlineStr">
        <is>
          <t>2021 Governing Body Update #8</t>
        </is>
      </c>
      <c r="C472" s="15" t="inlineStr">
        <is>
          <t>jw.org Newsroom — Governing Body Update</t>
        </is>
      </c>
      <c r="D472" s="15" t="n">
        <v>1</v>
      </c>
      <c r="E472" s="19" t="inlineStr">
        <is>
          <t>open</t>
        </is>
      </c>
      <c r="F472" s="19" t="inlineStr">
        <is>
          <t>open</t>
        </is>
      </c>
    </row>
    <row r="473">
      <c r="A473" s="15" t="inlineStr">
        <is>
          <t>jw.org/news/region/global/The-Governing-Body-Announces-That-Some-In-Person-Meetings-Will-Resume-in-Select-Areas</t>
        </is>
      </c>
      <c r="B473" s="15" t="inlineStr">
        <is>
          <t>The Governing Body Announces That Some In-Person Meetings Will Resume in Select Areas</t>
        </is>
      </c>
      <c r="C473" s="15" t="inlineStr">
        <is>
          <t>jw.org Newsroom, Oct. 15, 2021</t>
        </is>
      </c>
      <c r="D473" s="15" t="n">
        <v>1</v>
      </c>
      <c r="E473" s="19" t="inlineStr">
        <is>
          <t>open</t>
        </is>
      </c>
      <c r="F473" s="15" t="n"/>
    </row>
    <row r="474">
      <c r="A474" s="15" t="inlineStr">
        <is>
          <t>jw.org/news/2021-Governing-Body-Update-9</t>
        </is>
      </c>
      <c r="B474" s="15" t="inlineStr">
        <is>
          <t>2021 Governing Body Update #9</t>
        </is>
      </c>
      <c r="C474" s="15" t="inlineStr">
        <is>
          <t>jw.org Newsroom — Governing Body Update</t>
        </is>
      </c>
      <c r="D474" s="15" t="n">
        <v>1</v>
      </c>
      <c r="E474" s="19" t="inlineStr">
        <is>
          <t>open</t>
        </is>
      </c>
      <c r="F474" s="19" t="inlineStr">
        <is>
          <t>open</t>
        </is>
      </c>
    </row>
    <row r="475">
      <c r="A475" s="15" t="inlineStr">
        <is>
          <t>jw.org/news/2022-Governing-Body-Update-3</t>
        </is>
      </c>
      <c r="B475" s="15" t="inlineStr">
        <is>
          <t>2022 Governing Body Update #3</t>
        </is>
      </c>
      <c r="C475" s="15" t="inlineStr">
        <is>
          <t>jw.org Newsroom — Governing Body Update</t>
        </is>
      </c>
      <c r="D475" s="15" t="n">
        <v>1</v>
      </c>
      <c r="E475" s="19" t="inlineStr">
        <is>
          <t>open</t>
        </is>
      </c>
      <c r="F475" s="19" t="inlineStr">
        <is>
          <t>open</t>
        </is>
      </c>
    </row>
    <row r="476">
      <c r="A476" s="15" t="inlineStr">
        <is>
          <t>jw.org/news/region/global/Resuming-Public-Witnessing</t>
        </is>
      </c>
      <c r="B476" s="15" t="inlineStr">
        <is>
          <t>Resuming Public Witnessing</t>
        </is>
      </c>
      <c r="C476" s="15" t="inlineStr">
        <is>
          <t>jw.org Newsroom, June 1, 2022</t>
        </is>
      </c>
      <c r="D476" s="15" t="n">
        <v>1</v>
      </c>
      <c r="E476" s="19" t="inlineStr">
        <is>
          <t>open</t>
        </is>
      </c>
      <c r="F476" s="19" t="inlineStr">
        <is>
          <t>open</t>
        </is>
      </c>
    </row>
    <row r="477">
      <c r="A477" s="15" t="inlineStr">
        <is>
          <t>jw.org/news/region/russia/European-Court-Issues-Landmark-Judgment-Against-Russia-for-Persecuting-Jehovahs-Witnesses</t>
        </is>
      </c>
      <c r="B477" s="15" t="inlineStr">
        <is>
          <t>European Court Issues Landmark Judgment Against Russia for Persecuting Jehovah’s Witnesses</t>
        </is>
      </c>
      <c r="C477" s="15" t="inlineStr">
        <is>
          <t>jw.org Newsroom, June 8, 2022</t>
        </is>
      </c>
      <c r="D477" s="15" t="n">
        <v>1</v>
      </c>
      <c r="E477" s="19" t="inlineStr">
        <is>
          <t>open</t>
        </is>
      </c>
      <c r="F477" s="15" t="n"/>
    </row>
    <row r="478">
      <c r="A478" s="15" t="inlineStr">
        <is>
          <t>jw.org/news/2022-Governing-Body-Update-6</t>
        </is>
      </c>
      <c r="B478" s="15" t="inlineStr">
        <is>
          <t>2022 Governing Body Update #6</t>
        </is>
      </c>
      <c r="C478" s="15" t="inlineStr">
        <is>
          <t>jw.org Newsroom — Governing Body Update</t>
        </is>
      </c>
      <c r="D478" s="15" t="n">
        <v>1</v>
      </c>
      <c r="E478" s="19" t="inlineStr">
        <is>
          <t>open</t>
        </is>
      </c>
      <c r="F478" s="19" t="inlineStr">
        <is>
          <t>open</t>
        </is>
      </c>
    </row>
    <row r="479">
      <c r="A479" s="15" t="inlineStr">
        <is>
          <t>jw.org/news/region/global/Jehovahs-Witnesses-Resume-House-to-House-Ministry</t>
        </is>
      </c>
      <c r="B479" s="15" t="inlineStr">
        <is>
          <t>Jehovah’s Witnesses Resume House-to-House Ministry</t>
        </is>
      </c>
      <c r="C479" s="15" t="inlineStr">
        <is>
          <t>jw.org Newsroom, Sept. 14, 2022</t>
        </is>
      </c>
      <c r="D479" s="15" t="n">
        <v>1</v>
      </c>
      <c r="E479" s="19" t="inlineStr">
        <is>
          <t>open</t>
        </is>
      </c>
      <c r="F479" s="15" t="n"/>
    </row>
    <row r="480">
      <c r="A480" s="15" t="inlineStr">
        <is>
          <t>jw.org/news/region/global/In-Person-Circuit-Assemblies-and-Theocratic-Schools-Resume</t>
        </is>
      </c>
      <c r="B480" s="15" t="inlineStr">
        <is>
          <t>In-Person Circuit Assemblies and Theocratic Schools Resume</t>
        </is>
      </c>
      <c r="C480" s="15" t="inlineStr">
        <is>
          <t>jw.org Newsroom, Feb. 28, 2023</t>
        </is>
      </c>
      <c r="D480" s="15" t="n">
        <v>1</v>
      </c>
      <c r="E480" s="19" t="inlineStr">
        <is>
          <t>open</t>
        </is>
      </c>
      <c r="F480" s="15" t="n"/>
    </row>
    <row r="481">
      <c r="A481" s="15" t="inlineStr">
        <is>
          <t>jw.org/library/books/2023-Service-Year-Report-of-Jehovahs-Witnesses-Worldwide/2023-Grand-Totals</t>
        </is>
      </c>
      <c r="B481" s="15" t="inlineStr">
        <is>
          <t>2023 Grand Totals</t>
        </is>
      </c>
      <c r="C481" s="15" t="inlineStr">
        <is>
          <t>2023 Service Year Report</t>
        </is>
      </c>
      <c r="D481" s="15" t="n">
        <v>1</v>
      </c>
      <c r="E481" s="19" t="inlineStr">
        <is>
          <t>open</t>
        </is>
      </c>
      <c r="F481" s="19" t="inlineStr">
        <is>
          <t>open</t>
        </is>
      </c>
    </row>
    <row r="482">
      <c r="A482" s="15" t="inlineStr">
        <is>
          <t>jw.org/news/2023-Governing-Body-Update-1</t>
        </is>
      </c>
      <c r="B482" s="15" t="inlineStr">
        <is>
          <t>2023 Governing Body Update #1</t>
        </is>
      </c>
      <c r="C482" s="15" t="inlineStr">
        <is>
          <t>jw.org Newsroom — Governing Body Update</t>
        </is>
      </c>
      <c r="D482" s="15" t="n">
        <v>1</v>
      </c>
      <c r="E482" s="19" t="inlineStr">
        <is>
          <t>open</t>
        </is>
      </c>
      <c r="F482" s="19" t="inlineStr">
        <is>
          <t>open</t>
        </is>
      </c>
    </row>
    <row r="483">
      <c r="A483" s="15" t="inlineStr">
        <is>
          <t>jw.org/news/2023-Governing-Body-Update-2</t>
        </is>
      </c>
      <c r="B483" s="15" t="inlineStr">
        <is>
          <t>2023 Governing Body Update #2</t>
        </is>
      </c>
      <c r="C483" s="15" t="inlineStr">
        <is>
          <t>jw.org Newsroom — Governing Body Update</t>
        </is>
      </c>
      <c r="D483" s="15" t="n">
        <v>1</v>
      </c>
      <c r="E483" s="19" t="inlineStr">
        <is>
          <t>open</t>
        </is>
      </c>
      <c r="F483" s="19" t="inlineStr">
        <is>
          <t>open</t>
        </is>
      </c>
    </row>
    <row r="484">
      <c r="A484" s="15" t="inlineStr">
        <is>
          <t>jw.org/news/region/global/Ramapo-Construction-Project-Receives-Major-Approval-to-Proceed</t>
        </is>
      </c>
      <c r="B484" s="15" t="inlineStr">
        <is>
          <t>Ramapo Construction Project Receives Major Approval to Proceed</t>
        </is>
      </c>
      <c r="C484" s="15" t="inlineStr">
        <is>
          <t>jw.org Newsroom, July 3, 2023</t>
        </is>
      </c>
      <c r="D484" s="15" t="n">
        <v>1</v>
      </c>
      <c r="E484" s="19" t="inlineStr">
        <is>
          <t>open</t>
        </is>
      </c>
      <c r="F484" s="15" t="n"/>
    </row>
    <row r="485">
      <c r="A485" s="15" t="inlineStr">
        <is>
          <t>jw.org/news/2023-Governing-Body-Update-7</t>
        </is>
      </c>
      <c r="B485" s="15" t="inlineStr">
        <is>
          <t>2023 Governing Body Update #7</t>
        </is>
      </c>
      <c r="C485" s="15" t="inlineStr">
        <is>
          <t>jw.org Newsroom — Governing Body Update</t>
        </is>
      </c>
      <c r="D485" s="15" t="n">
        <v>1</v>
      </c>
      <c r="E485" s="19" t="inlineStr">
        <is>
          <t>open</t>
        </is>
      </c>
      <c r="F485" s="19" t="inlineStr">
        <is>
          <t>open</t>
        </is>
      </c>
    </row>
    <row r="486">
      <c r="A486" s="15" t="inlineStr">
        <is>
          <t>jw.org/news/2023-Governing-Body-Update-8</t>
        </is>
      </c>
      <c r="B486" s="15" t="inlineStr">
        <is>
          <t>2023 Governing Body Update #8</t>
        </is>
      </c>
      <c r="C486" s="15" t="inlineStr">
        <is>
          <t>jw.org Newsroom — Governing Body Update</t>
        </is>
      </c>
      <c r="D486" s="15" t="n">
        <v>1</v>
      </c>
      <c r="E486" s="19" t="inlineStr">
        <is>
          <t>open</t>
        </is>
      </c>
      <c r="F486" s="19" t="inlineStr">
        <is>
          <t>open</t>
        </is>
      </c>
    </row>
    <row r="487">
      <c r="A487" s="15" t="inlineStr">
        <is>
          <t>jw.org/news/2024-Governing-Body-Update-2</t>
        </is>
      </c>
      <c r="B487" s="15" t="inlineStr">
        <is>
          <t>2024 Governing Body Update #2</t>
        </is>
      </c>
      <c r="C487" s="15" t="inlineStr">
        <is>
          <t>jw.org Newsroom — Governing Body Update</t>
        </is>
      </c>
      <c r="D487" s="15" t="n">
        <v>1</v>
      </c>
      <c r="E487" s="19" t="inlineStr">
        <is>
          <t>open</t>
        </is>
      </c>
      <c r="F487" s="19" t="inlineStr">
        <is>
          <t>open</t>
        </is>
      </c>
    </row>
    <row r="488">
      <c r="A488" s="15" t="inlineStr">
        <is>
          <t>jw.org/news/2024-Governing-Body-Update-3</t>
        </is>
      </c>
      <c r="B488" s="15" t="inlineStr">
        <is>
          <t>2024 Governing Body Update #3</t>
        </is>
      </c>
      <c r="C488" s="15" t="inlineStr">
        <is>
          <t>jw.org Newsroom — Governing Body Update</t>
        </is>
      </c>
      <c r="D488" s="15" t="n">
        <v>1</v>
      </c>
      <c r="E488" s="19" t="inlineStr">
        <is>
          <t>open</t>
        </is>
      </c>
      <c r="F488" s="19" t="inlineStr">
        <is>
          <t>open</t>
        </is>
      </c>
    </row>
    <row r="489">
      <c r="A489" s="15" t="inlineStr">
        <is>
          <t>jw.org/library/magazines/watchtower-study-october-2025/Two-New-Members-of-the-Governing-Body</t>
        </is>
      </c>
      <c r="B489" s="15" t="inlineStr">
        <is>
          <t>Two New Members of the Governing Body | Watchtower</t>
        </is>
      </c>
      <c r="C489" s="15" t="inlineStr">
        <is>
          <t>jw.org</t>
        </is>
      </c>
      <c r="D489" s="15" t="n">
        <v>1</v>
      </c>
      <c r="E489" s="19" t="inlineStr">
        <is>
          <t>open</t>
        </is>
      </c>
      <c r="F489" s="19" t="inlineStr">
        <is>
          <t>open</t>
        </is>
      </c>
    </row>
    <row r="490">
      <c r="A490" s="15" t="inlineStr">
        <is>
          <t>jw.org/news/2024-Governing-Body-Update-7</t>
        </is>
      </c>
      <c r="B490" s="15" t="inlineStr">
        <is>
          <t>2024 Governing Body Update #7</t>
        </is>
      </c>
      <c r="C490" s="15" t="inlineStr">
        <is>
          <t>jw.org Newsroom — Governing Body Update</t>
        </is>
      </c>
      <c r="D490" s="15" t="n">
        <v>1</v>
      </c>
      <c r="E490" s="19" t="inlineStr">
        <is>
          <t>open</t>
        </is>
      </c>
      <c r="F490" s="19" t="inlineStr">
        <is>
          <t>open</t>
        </is>
      </c>
    </row>
    <row r="491">
      <c r="A491" s="15" t="inlineStr">
        <is>
          <t>jw.org/news/region/global/Ramapo-Construction-Update-1</t>
        </is>
      </c>
      <c r="B491" s="15" t="inlineStr">
        <is>
          <t>Ramapo Construction Update #1</t>
        </is>
      </c>
      <c r="C491" s="15" t="inlineStr">
        <is>
          <t>jw.org Newsroom, July 15, 2025</t>
        </is>
      </c>
      <c r="D491" s="15" t="n">
        <v>1</v>
      </c>
      <c r="E491" s="19" t="inlineStr">
        <is>
          <t>open</t>
        </is>
      </c>
      <c r="F491" s="15" t="n"/>
    </row>
    <row r="492">
      <c r="A492" s="15" t="inlineStr">
        <is>
          <t>jw.org/news/2024-Governing-Body-Update-8</t>
        </is>
      </c>
      <c r="B492" s="15" t="inlineStr">
        <is>
          <t>2024 Governing Body Update #8</t>
        </is>
      </c>
      <c r="C492" s="15" t="inlineStr">
        <is>
          <t>jw.org Newsroom — Governing Body Update</t>
        </is>
      </c>
      <c r="D492" s="15" t="n">
        <v>1</v>
      </c>
      <c r="E492" s="19" t="inlineStr">
        <is>
          <t>open</t>
        </is>
      </c>
      <c r="F492" s="19" t="inlineStr">
        <is>
          <t>open</t>
        </is>
      </c>
    </row>
    <row r="493">
      <c r="A493" s="15" t="inlineStr">
        <is>
          <t>jw.org/library/books/2025-Service-Year-Report-of-Jehovahs-Witnesses-Worldwide/2025-Grand-Totals</t>
        </is>
      </c>
      <c r="B493" s="15" t="inlineStr">
        <is>
          <t>2025 Grand Totals</t>
        </is>
      </c>
      <c r="C493" s="15" t="inlineStr">
        <is>
          <t>2025 Service Year Report</t>
        </is>
      </c>
      <c r="D493" s="15" t="n">
        <v>1</v>
      </c>
      <c r="E493" s="19" t="inlineStr">
        <is>
          <t>open</t>
        </is>
      </c>
      <c r="F493" s="19" t="inlineStr">
        <is>
          <t>open</t>
        </is>
      </c>
    </row>
    <row r="494">
      <c r="A494" s="15" t="inlineStr">
        <is>
          <t>jw.org/news/2025-Governing-Body-Update-7</t>
        </is>
      </c>
      <c r="B494" s="15" t="inlineStr">
        <is>
          <t>2025 Governing Body Update #7</t>
        </is>
      </c>
      <c r="C494" s="15" t="inlineStr">
        <is>
          <t>jw.org Newsroom — Governing Body Update</t>
        </is>
      </c>
      <c r="D494" s="15" t="n">
        <v>1</v>
      </c>
      <c r="E494" s="19" t="inlineStr">
        <is>
          <t>open</t>
        </is>
      </c>
      <c r="F494" s="19" t="inlineStr">
        <is>
          <t>open</t>
        </is>
      </c>
    </row>
    <row r="495">
      <c r="A495" s="15" t="inlineStr">
        <is>
          <t>jw.org/news/2025-Governing-Body-Update-1</t>
        </is>
      </c>
      <c r="B495" s="15" t="inlineStr">
        <is>
          <t>2025 Governing Body Update #1</t>
        </is>
      </c>
      <c r="C495" s="15" t="inlineStr">
        <is>
          <t>jw.org Newsroom — Governing Body Update</t>
        </is>
      </c>
      <c r="D495" s="15" t="n">
        <v>1</v>
      </c>
      <c r="E495" s="19" t="inlineStr">
        <is>
          <t>open</t>
        </is>
      </c>
      <c r="F495" s="19" t="inlineStr">
        <is>
          <t>open</t>
        </is>
      </c>
    </row>
    <row r="496">
      <c r="A496" s="15" t="inlineStr">
        <is>
          <t>jw.org/news/2025-Governing-Body-Update-2</t>
        </is>
      </c>
      <c r="B496" s="15" t="inlineStr">
        <is>
          <t>2025 Governing Body Update #2</t>
        </is>
      </c>
      <c r="C496" s="15" t="inlineStr">
        <is>
          <t>jw.org Newsroom — Governing Body Update</t>
        </is>
      </c>
      <c r="D496" s="15" t="n">
        <v>1</v>
      </c>
      <c r="E496" s="19" t="inlineStr">
        <is>
          <t>open</t>
        </is>
      </c>
      <c r="F496" s="19" t="inlineStr">
        <is>
          <t>open</t>
        </is>
      </c>
    </row>
    <row r="497">
      <c r="A497" s="15" t="inlineStr">
        <is>
          <t>jw.org/news/2025-Governing-Body-Update-4</t>
        </is>
      </c>
      <c r="B497" s="15" t="inlineStr">
        <is>
          <t>2025 Governing Body Update #4</t>
        </is>
      </c>
      <c r="C497" s="15" t="inlineStr">
        <is>
          <t>jw.org Newsroom — Governing Body Update</t>
        </is>
      </c>
      <c r="D497" s="15" t="n">
        <v>1</v>
      </c>
      <c r="E497" s="19" t="inlineStr">
        <is>
          <t>open</t>
        </is>
      </c>
      <c r="F497" s="19" t="inlineStr">
        <is>
          <t>open</t>
        </is>
      </c>
    </row>
    <row r="498">
      <c r="A498" s="15" t="inlineStr">
        <is>
          <t>jw.org/news/2025-Governing-Body-Update-5</t>
        </is>
      </c>
      <c r="B498" s="15" t="inlineStr">
        <is>
          <t>2025 Governing Body Update #5</t>
        </is>
      </c>
      <c r="C498" s="15" t="inlineStr">
        <is>
          <t>jw.org Newsroom — Governing Body Update</t>
        </is>
      </c>
      <c r="D498" s="15" t="n">
        <v>1</v>
      </c>
      <c r="E498" s="19" t="inlineStr">
        <is>
          <t>open</t>
        </is>
      </c>
      <c r="F498" s="19" t="inlineStr">
        <is>
          <t>open</t>
        </is>
      </c>
    </row>
    <row r="499">
      <c r="A499" s="15" t="inlineStr">
        <is>
          <t>jw.org/news/2025-Governing-Body-Update-6</t>
        </is>
      </c>
      <c r="B499" s="15" t="inlineStr">
        <is>
          <t>2025 Governing Body Update #6</t>
        </is>
      </c>
      <c r="C499" s="15" t="inlineStr">
        <is>
          <t>jw.org Newsroom — Governing Body Update</t>
        </is>
      </c>
      <c r="D499" s="15" t="n">
        <v>1</v>
      </c>
      <c r="E499" s="19" t="inlineStr">
        <is>
          <t>open</t>
        </is>
      </c>
      <c r="F499" s="19" t="inlineStr">
        <is>
          <t>open</t>
        </is>
      </c>
    </row>
    <row r="500">
      <c r="A500" s="15" t="inlineStr">
        <is>
          <t>jw.org/news/2025-Governing-Body-Update-8</t>
        </is>
      </c>
      <c r="B500" s="15" t="inlineStr">
        <is>
          <t>2025 Governing Body Update #8</t>
        </is>
      </c>
      <c r="C500" s="15" t="inlineStr">
        <is>
          <t>jw.org Newsroom — Governing Body Update</t>
        </is>
      </c>
      <c r="D500" s="15" t="n">
        <v>1</v>
      </c>
      <c r="E500" s="19" t="inlineStr">
        <is>
          <t>open</t>
        </is>
      </c>
      <c r="F500" s="19" t="inlineStr">
        <is>
          <t>open</t>
        </is>
      </c>
    </row>
    <row r="501">
      <c r="A501" s="15" t="inlineStr">
        <is>
          <t>jw.org/news/2026-Governing-Body-Update-1</t>
        </is>
      </c>
      <c r="B501" s="15" t="inlineStr">
        <is>
          <t>2026 Governing Body Update #1</t>
        </is>
      </c>
      <c r="C501" s="15" t="inlineStr">
        <is>
          <t>jw.org Newsroom — Governing Body Update</t>
        </is>
      </c>
      <c r="D501" s="15" t="n">
        <v>1</v>
      </c>
      <c r="E501" s="19" t="inlineStr">
        <is>
          <t>open</t>
        </is>
      </c>
      <c r="F501" s="19" t="inlineStr">
        <is>
          <t>open</t>
        </is>
      </c>
    </row>
    <row r="502">
      <c r="A502" s="15" t="inlineStr">
        <is>
          <t>jw.org/news/2026-Governing-Body-Update-2</t>
        </is>
      </c>
      <c r="B502" s="15" t="inlineStr">
        <is>
          <t>2026 Governing Body Update #2</t>
        </is>
      </c>
      <c r="C502" s="15" t="inlineStr">
        <is>
          <t>jw.org Newsroom — Governing Body Update</t>
        </is>
      </c>
      <c r="D502" s="15" t="n">
        <v>1</v>
      </c>
      <c r="E502" s="19" t="inlineStr">
        <is>
          <t>open</t>
        </is>
      </c>
      <c r="F502" s="19" t="inlineStr">
        <is>
          <t>open</t>
        </is>
      </c>
    </row>
    <row r="503">
      <c r="A503" s="15" t="inlineStr">
        <is>
          <t>jw.org/news/region/global/Door-to-Door-Preaching-Constitutes-for-Jehovahs-Witnesses-an-Essential-Manifestation-of-Their-Religion</t>
        </is>
      </c>
      <c r="B503" s="15" t="inlineStr">
        <is>
          <t>“Door-to-Door Preaching Constitutes, for Jehovah’s Witnesses, an Essential Manifestation of Their Religion”</t>
        </is>
      </c>
      <c r="C503" s="15" t="inlineStr">
        <is>
          <t>jw.org Newsroom, June 19, 2026</t>
        </is>
      </c>
      <c r="D503" s="15" t="n">
        <v>1</v>
      </c>
      <c r="E503" s="19" t="inlineStr">
        <is>
          <t>open</t>
        </is>
      </c>
      <c r="F503" s="15" t="n"/>
    </row>
    <row r="504">
      <c r="A504" s="15" t="inlineStr">
        <is>
          <t>jw.org/news/2026-Governing-Body-Update-4</t>
        </is>
      </c>
      <c r="B504" s="15" t="inlineStr">
        <is>
          <t>2026 Governing Body Update #4</t>
        </is>
      </c>
      <c r="C504" s="15" t="inlineStr">
        <is>
          <t>jw.org Newsroom — Governing Body Update</t>
        </is>
      </c>
      <c r="D504" s="15" t="n">
        <v>1</v>
      </c>
      <c r="E504" s="19" t="inlineStr">
        <is>
          <t>open</t>
        </is>
      </c>
      <c r="F504" s="19" t="inlineStr">
        <is>
          <t>open</t>
        </is>
      </c>
    </row>
    <row r="505">
      <c r="A505" s="15" t="inlineStr">
        <is>
          <t>jw.org/news/region/global/2026-Eternal-Happiness-International-Conventions-Get-Underway-in-Cameroon-and-Romania</t>
        </is>
      </c>
      <c r="B505" s="15" t="inlineStr">
        <is>
          <t>2026 “Eternal Happiness” International Conventions Get Underway in Cameroon and Romania</t>
        </is>
      </c>
      <c r="C505" s="15" t="inlineStr">
        <is>
          <t>jw.org Newsroom, June 15, 2026</t>
        </is>
      </c>
      <c r="D505" s="15" t="n">
        <v>1</v>
      </c>
      <c r="E505" s="19" t="inlineStr">
        <is>
          <t>open</t>
        </is>
      </c>
      <c r="F505" s="15" t="n"/>
    </row>
    <row r="506">
      <c r="A506" s="15" t="inlineStr">
        <is>
          <t>jw.org/news/region/united-states/Witnesses-Purchase-Property-Near-World-Headquarters-in-Warwick-New-York-USA</t>
        </is>
      </c>
      <c r="B506" s="15" t="inlineStr">
        <is>
          <t>Witnesses Purchase Property Near World Headquarters in Warwick, New York, U.S.A.</t>
        </is>
      </c>
      <c r="C506" s="15" t="inlineStr">
        <is>
          <t>jw.org Newsroom, July 3, 2026</t>
        </is>
      </c>
      <c r="D506" s="15" t="n">
        <v>1</v>
      </c>
      <c r="E506" s="19" t="inlineStr">
        <is>
          <t>open</t>
        </is>
      </c>
      <c r="F506" s="19" t="inlineStr">
        <is>
          <t>open</t>
        </is>
      </c>
    </row>
    <row r="507">
      <c r="A507" s="15" t="inlineStr">
        <is>
          <t>jw.org/news/region/ukraine/European-Court-of-Human-Rights-Rules-in-Favor-of-Religious-Tolerance-in-Ukraine</t>
        </is>
      </c>
      <c r="B507" s="15" t="inlineStr">
        <is>
          <t>European Court of Human Rights Rules in Favor of Religious Tolerance in Ukraine</t>
        </is>
      </c>
      <c r="C507" s="15" t="inlineStr">
        <is>
          <t>jw.org Newsroom, Sept. 10, 2026</t>
        </is>
      </c>
      <c r="D507" s="15" t="n">
        <v>1</v>
      </c>
      <c r="E507" s="19" t="inlineStr">
        <is>
          <t>open</t>
        </is>
      </c>
      <c r="F507" s="15" t="n"/>
    </row>
    <row r="508">
      <c r="A508" s="15" t="inlineStr">
        <is>
          <t>jw.org/news/2026-Governing-Body-Update-5</t>
        </is>
      </c>
      <c r="B508" s="15" t="inlineStr">
        <is>
          <t>2026 Governing Body Update #5</t>
        </is>
      </c>
      <c r="C508" s="15" t="inlineStr">
        <is>
          <t>jw.org Newsroom — Governing Body Update</t>
        </is>
      </c>
      <c r="D508" s="15" t="n">
        <v>1</v>
      </c>
      <c r="E508" s="19" t="inlineStr">
        <is>
          <t>open</t>
        </is>
      </c>
      <c r="F508" s="19" t="inlineStr">
        <is>
          <t>open</t>
        </is>
      </c>
    </row>
    <row r="509">
      <c r="A509" s="15" t="inlineStr">
        <is>
          <t>jw.org/news/region/moldova/Jehovahs-Witnesses-Conduct-First-Ever-Special-Preaching-Campaign-in-Moldova</t>
        </is>
      </c>
      <c r="B509" s="15" t="inlineStr">
        <is>
          <t>Jehovah’s Witnesses Conduct First-Ever Special Preaching Campaign in Moldova</t>
        </is>
      </c>
      <c r="C509" s="15" t="inlineStr">
        <is>
          <t>jw.org Newsroom, Sept. 22, 2026</t>
        </is>
      </c>
      <c r="D509" s="15" t="n">
        <v>1</v>
      </c>
      <c r="E509" s="19" t="inlineStr">
        <is>
          <t>open</t>
        </is>
      </c>
      <c r="F509" s="15" t="n"/>
    </row>
    <row r="510">
      <c r="A510" s="15" t="inlineStr">
        <is>
          <t>jw.org/news/2026-Governing-Body-Update-6</t>
        </is>
      </c>
      <c r="B510" s="15" t="inlineStr">
        <is>
          <t>2026 Governing Body Update #6</t>
        </is>
      </c>
      <c r="C510" s="15" t="inlineStr">
        <is>
          <t>jw.org Newsroom — Governing Body Update</t>
        </is>
      </c>
      <c r="D510" s="15" t="n">
        <v>1</v>
      </c>
      <c r="E510" s="19" t="inlineStr">
        <is>
          <t>open</t>
        </is>
      </c>
      <c r="F510" s="19" t="inlineStr">
        <is>
          <t>open</t>
        </is>
      </c>
    </row>
    <row r="511">
      <c r="A511" s="15" t="inlineStr">
        <is>
          <t>1102017175</t>
        </is>
      </c>
      <c r="B511" s="15" t="inlineStr">
        <is>
          <t>“I Will Bring an End to Your Prostitution”</t>
        </is>
      </c>
      <c r="C511" s="15" t="inlineStr">
        <is>
          <t>Pure Worship of Jehovah—Restored At Last! (rr) chap. 15</t>
        </is>
      </c>
      <c r="D511" s="15" t="n">
        <v>1</v>
      </c>
      <c r="E511" s="19" t="inlineStr">
        <is>
          <t>open</t>
        </is>
      </c>
      <c r="F511" s="19" t="inlineStr">
        <is>
          <t>open</t>
        </is>
      </c>
    </row>
    <row r="512">
      <c r="A512" s="15" t="inlineStr">
        <is>
          <t>1200004476</t>
        </is>
      </c>
      <c r="B512" s="15" t="inlineStr">
        <is>
          <t>Tribulation</t>
        </is>
      </c>
      <c r="C512" s="15" t="inlineStr">
        <is>
          <t>Insight (it-2)</t>
        </is>
      </c>
      <c r="D512" s="15" t="n">
        <v>1</v>
      </c>
      <c r="E512" s="19" t="inlineStr">
        <is>
          <t>open</t>
        </is>
      </c>
      <c r="F512" s="15" t="n"/>
    </row>
    <row r="513">
      <c r="A513" s="15" t="inlineStr">
        <is>
          <t>1102017177</t>
        </is>
      </c>
      <c r="B513" s="15" t="inlineStr">
        <is>
          <t>“I Am Against You, O Gog”</t>
        </is>
      </c>
      <c r="C513" s="15" t="inlineStr">
        <is>
          <t>Pure Worship of Jehovah—Restored At Last! (rr) chap. 17</t>
        </is>
      </c>
      <c r="D513" s="15" t="n">
        <v>1</v>
      </c>
      <c r="E513" s="19" t="inlineStr">
        <is>
          <t>open</t>
        </is>
      </c>
      <c r="F513" s="19" t="inlineStr">
        <is>
          <t>open</t>
        </is>
      </c>
    </row>
    <row r="514">
      <c r="A514" s="15" t="inlineStr">
        <is>
          <t>1200001884</t>
        </is>
      </c>
      <c r="B514" s="15" t="inlineStr">
        <is>
          <t>Har–Magedon</t>
        </is>
      </c>
      <c r="C514" s="15" t="inlineStr">
        <is>
          <t>Insight (it-1)</t>
        </is>
      </c>
      <c r="D514" s="15" t="n">
        <v>1</v>
      </c>
      <c r="E514" s="19" t="inlineStr">
        <is>
          <t>open</t>
        </is>
      </c>
      <c r="F514" s="15" t="n"/>
    </row>
    <row r="515">
      <c r="A515" s="15" t="inlineStr">
        <is>
          <t>2022402</t>
        </is>
      </c>
      <c r="B515" s="15" t="inlineStr">
        <is>
          <t>Revelation—What It Means for Your Future</t>
        </is>
      </c>
      <c r="C515" s="15" t="inlineStr">
        <is>
          <t>The Watchtower (Study) May 2022</t>
        </is>
      </c>
      <c r="D515" s="15" t="n">
        <v>1</v>
      </c>
      <c r="E515" s="19" t="inlineStr">
        <is>
          <t>open</t>
        </is>
      </c>
      <c r="F515" s="19" t="inlineStr">
        <is>
          <t>open</t>
        </is>
      </c>
    </row>
    <row r="516">
      <c r="A516" s="15" t="inlineStr">
        <is>
          <t>1200002547</t>
        </is>
      </c>
      <c r="B516" s="15" t="inlineStr">
        <is>
          <t>Judgment Day</t>
        </is>
      </c>
      <c r="C516" s="15" t="inlineStr">
        <is>
          <t>Insight (it-2)</t>
        </is>
      </c>
      <c r="D516" s="15" t="n">
        <v>1</v>
      </c>
      <c r="E516" s="19" t="inlineStr">
        <is>
          <t>open</t>
        </is>
      </c>
      <c r="F516" s="15" t="n"/>
    </row>
  </sheetData>
  <autoFilter ref="A1:F516"/>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E4" r:id="rId4"/>
    <hyperlink xmlns:r="http://schemas.openxmlformats.org/officeDocument/2006/relationships" ref="E5" r:id="rId5"/>
    <hyperlink xmlns:r="http://schemas.openxmlformats.org/officeDocument/2006/relationships" ref="E6" r:id="rId6"/>
    <hyperlink xmlns:r="http://schemas.openxmlformats.org/officeDocument/2006/relationships" ref="E7" r:id="rId7"/>
    <hyperlink xmlns:r="http://schemas.openxmlformats.org/officeDocument/2006/relationships" ref="F7" r:id="rId8"/>
    <hyperlink xmlns:r="http://schemas.openxmlformats.org/officeDocument/2006/relationships" ref="E8" r:id="rId9"/>
    <hyperlink xmlns:r="http://schemas.openxmlformats.org/officeDocument/2006/relationships" ref="E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E12" r:id="rId15"/>
    <hyperlink xmlns:r="http://schemas.openxmlformats.org/officeDocument/2006/relationships" ref="E13" r:id="rId16"/>
    <hyperlink xmlns:r="http://schemas.openxmlformats.org/officeDocument/2006/relationships" ref="F13" r:id="rId17"/>
    <hyperlink xmlns:r="http://schemas.openxmlformats.org/officeDocument/2006/relationships" ref="E14" r:id="rId18"/>
    <hyperlink xmlns:r="http://schemas.openxmlformats.org/officeDocument/2006/relationships" ref="F14" r:id="rId19"/>
    <hyperlink xmlns:r="http://schemas.openxmlformats.org/officeDocument/2006/relationships" ref="E15" r:id="rId20"/>
    <hyperlink xmlns:r="http://schemas.openxmlformats.org/officeDocument/2006/relationships" ref="F15" r:id="rId21"/>
    <hyperlink xmlns:r="http://schemas.openxmlformats.org/officeDocument/2006/relationships" ref="E16" r:id="rId22"/>
    <hyperlink xmlns:r="http://schemas.openxmlformats.org/officeDocument/2006/relationships" ref="E17" r:id="rId23"/>
    <hyperlink xmlns:r="http://schemas.openxmlformats.org/officeDocument/2006/relationships" ref="E18" r:id="rId24"/>
    <hyperlink xmlns:r="http://schemas.openxmlformats.org/officeDocument/2006/relationships" ref="F18" r:id="rId25"/>
    <hyperlink xmlns:r="http://schemas.openxmlformats.org/officeDocument/2006/relationships" ref="E19" r:id="rId26"/>
    <hyperlink xmlns:r="http://schemas.openxmlformats.org/officeDocument/2006/relationships" ref="F19" r:id="rId27"/>
    <hyperlink xmlns:r="http://schemas.openxmlformats.org/officeDocument/2006/relationships" ref="E20" r:id="rId28"/>
    <hyperlink xmlns:r="http://schemas.openxmlformats.org/officeDocument/2006/relationships" ref="F20" r:id="rId29"/>
    <hyperlink xmlns:r="http://schemas.openxmlformats.org/officeDocument/2006/relationships" ref="E21" r:id="rId30"/>
    <hyperlink xmlns:r="http://schemas.openxmlformats.org/officeDocument/2006/relationships" ref="E22" r:id="rId31"/>
    <hyperlink xmlns:r="http://schemas.openxmlformats.org/officeDocument/2006/relationships" ref="F22" r:id="rId32"/>
    <hyperlink xmlns:r="http://schemas.openxmlformats.org/officeDocument/2006/relationships" ref="E23" r:id="rId33"/>
    <hyperlink xmlns:r="http://schemas.openxmlformats.org/officeDocument/2006/relationships" ref="F23" r:id="rId34"/>
    <hyperlink xmlns:r="http://schemas.openxmlformats.org/officeDocument/2006/relationships" ref="E24" r:id="rId35"/>
    <hyperlink xmlns:r="http://schemas.openxmlformats.org/officeDocument/2006/relationships" ref="F24" r:id="rId36"/>
    <hyperlink xmlns:r="http://schemas.openxmlformats.org/officeDocument/2006/relationships" ref="E25" r:id="rId37"/>
    <hyperlink xmlns:r="http://schemas.openxmlformats.org/officeDocument/2006/relationships" ref="E26" r:id="rId38"/>
    <hyperlink xmlns:r="http://schemas.openxmlformats.org/officeDocument/2006/relationships" ref="F26" r:id="rId39"/>
    <hyperlink xmlns:r="http://schemas.openxmlformats.org/officeDocument/2006/relationships" ref="E27" r:id="rId40"/>
    <hyperlink xmlns:r="http://schemas.openxmlformats.org/officeDocument/2006/relationships" ref="F27" r:id="rId41"/>
    <hyperlink xmlns:r="http://schemas.openxmlformats.org/officeDocument/2006/relationships" ref="E28" r:id="rId42"/>
    <hyperlink xmlns:r="http://schemas.openxmlformats.org/officeDocument/2006/relationships" ref="F28" r:id="rId43"/>
    <hyperlink xmlns:r="http://schemas.openxmlformats.org/officeDocument/2006/relationships" ref="E29" r:id="rId44"/>
    <hyperlink xmlns:r="http://schemas.openxmlformats.org/officeDocument/2006/relationships" ref="E30" r:id="rId45"/>
    <hyperlink xmlns:r="http://schemas.openxmlformats.org/officeDocument/2006/relationships" ref="E31" r:id="rId46"/>
    <hyperlink xmlns:r="http://schemas.openxmlformats.org/officeDocument/2006/relationships" ref="F31" r:id="rId47"/>
    <hyperlink xmlns:r="http://schemas.openxmlformats.org/officeDocument/2006/relationships" ref="E32" r:id="rId48"/>
    <hyperlink xmlns:r="http://schemas.openxmlformats.org/officeDocument/2006/relationships" ref="E33" r:id="rId49"/>
    <hyperlink xmlns:r="http://schemas.openxmlformats.org/officeDocument/2006/relationships" ref="F33" r:id="rId50"/>
    <hyperlink xmlns:r="http://schemas.openxmlformats.org/officeDocument/2006/relationships" ref="E34" r:id="rId51"/>
    <hyperlink xmlns:r="http://schemas.openxmlformats.org/officeDocument/2006/relationships" ref="F34" r:id="rId52"/>
    <hyperlink xmlns:r="http://schemas.openxmlformats.org/officeDocument/2006/relationships" ref="E35" r:id="rId53"/>
    <hyperlink xmlns:r="http://schemas.openxmlformats.org/officeDocument/2006/relationships" ref="F35" r:id="rId54"/>
    <hyperlink xmlns:r="http://schemas.openxmlformats.org/officeDocument/2006/relationships" ref="E36" r:id="rId55"/>
    <hyperlink xmlns:r="http://schemas.openxmlformats.org/officeDocument/2006/relationships" ref="E37" r:id="rId56"/>
    <hyperlink xmlns:r="http://schemas.openxmlformats.org/officeDocument/2006/relationships" ref="F37" r:id="rId57"/>
    <hyperlink xmlns:r="http://schemas.openxmlformats.org/officeDocument/2006/relationships" ref="E38" r:id="rId58"/>
    <hyperlink xmlns:r="http://schemas.openxmlformats.org/officeDocument/2006/relationships" ref="E39" r:id="rId59"/>
    <hyperlink xmlns:r="http://schemas.openxmlformats.org/officeDocument/2006/relationships" ref="F39" r:id="rId60"/>
    <hyperlink xmlns:r="http://schemas.openxmlformats.org/officeDocument/2006/relationships" ref="E40" r:id="rId61"/>
    <hyperlink xmlns:r="http://schemas.openxmlformats.org/officeDocument/2006/relationships" ref="F40" r:id="rId62"/>
    <hyperlink xmlns:r="http://schemas.openxmlformats.org/officeDocument/2006/relationships" ref="E41" r:id="rId63"/>
    <hyperlink xmlns:r="http://schemas.openxmlformats.org/officeDocument/2006/relationships" ref="F41" r:id="rId64"/>
    <hyperlink xmlns:r="http://schemas.openxmlformats.org/officeDocument/2006/relationships" ref="E42" r:id="rId65"/>
    <hyperlink xmlns:r="http://schemas.openxmlformats.org/officeDocument/2006/relationships" ref="E43" r:id="rId66"/>
    <hyperlink xmlns:r="http://schemas.openxmlformats.org/officeDocument/2006/relationships" ref="E44" r:id="rId67"/>
    <hyperlink xmlns:r="http://schemas.openxmlformats.org/officeDocument/2006/relationships" ref="E45" r:id="rId68"/>
    <hyperlink xmlns:r="http://schemas.openxmlformats.org/officeDocument/2006/relationships" ref="F45" r:id="rId69"/>
    <hyperlink xmlns:r="http://schemas.openxmlformats.org/officeDocument/2006/relationships" ref="E46" r:id="rId70"/>
    <hyperlink xmlns:r="http://schemas.openxmlformats.org/officeDocument/2006/relationships" ref="F46" r:id="rId71"/>
    <hyperlink xmlns:r="http://schemas.openxmlformats.org/officeDocument/2006/relationships" ref="E47" r:id="rId72"/>
    <hyperlink xmlns:r="http://schemas.openxmlformats.org/officeDocument/2006/relationships" ref="F47" r:id="rId73"/>
    <hyperlink xmlns:r="http://schemas.openxmlformats.org/officeDocument/2006/relationships" ref="E48" r:id="rId74"/>
    <hyperlink xmlns:r="http://schemas.openxmlformats.org/officeDocument/2006/relationships" ref="F48" r:id="rId75"/>
    <hyperlink xmlns:r="http://schemas.openxmlformats.org/officeDocument/2006/relationships" ref="E49" r:id="rId76"/>
    <hyperlink xmlns:r="http://schemas.openxmlformats.org/officeDocument/2006/relationships" ref="F49" r:id="rId77"/>
    <hyperlink xmlns:r="http://schemas.openxmlformats.org/officeDocument/2006/relationships" ref="E50" r:id="rId78"/>
    <hyperlink xmlns:r="http://schemas.openxmlformats.org/officeDocument/2006/relationships" ref="F50" r:id="rId79"/>
    <hyperlink xmlns:r="http://schemas.openxmlformats.org/officeDocument/2006/relationships" ref="E51" r:id="rId80"/>
    <hyperlink xmlns:r="http://schemas.openxmlformats.org/officeDocument/2006/relationships" ref="E52" r:id="rId81"/>
    <hyperlink xmlns:r="http://schemas.openxmlformats.org/officeDocument/2006/relationships" ref="F52" r:id="rId82"/>
    <hyperlink xmlns:r="http://schemas.openxmlformats.org/officeDocument/2006/relationships" ref="E53" r:id="rId83"/>
    <hyperlink xmlns:r="http://schemas.openxmlformats.org/officeDocument/2006/relationships" ref="E54" r:id="rId84"/>
    <hyperlink xmlns:r="http://schemas.openxmlformats.org/officeDocument/2006/relationships" ref="F54" r:id="rId85"/>
    <hyperlink xmlns:r="http://schemas.openxmlformats.org/officeDocument/2006/relationships" ref="E55" r:id="rId86"/>
    <hyperlink xmlns:r="http://schemas.openxmlformats.org/officeDocument/2006/relationships" ref="F55" r:id="rId87"/>
    <hyperlink xmlns:r="http://schemas.openxmlformats.org/officeDocument/2006/relationships" ref="E56" r:id="rId88"/>
    <hyperlink xmlns:r="http://schemas.openxmlformats.org/officeDocument/2006/relationships" ref="E57" r:id="rId89"/>
    <hyperlink xmlns:r="http://schemas.openxmlformats.org/officeDocument/2006/relationships" ref="E58" r:id="rId90"/>
    <hyperlink xmlns:r="http://schemas.openxmlformats.org/officeDocument/2006/relationships" ref="E59" r:id="rId91"/>
    <hyperlink xmlns:r="http://schemas.openxmlformats.org/officeDocument/2006/relationships" ref="F59" r:id="rId92"/>
    <hyperlink xmlns:r="http://schemas.openxmlformats.org/officeDocument/2006/relationships" ref="E60" r:id="rId93"/>
    <hyperlink xmlns:r="http://schemas.openxmlformats.org/officeDocument/2006/relationships" ref="F60" r:id="rId94"/>
    <hyperlink xmlns:r="http://schemas.openxmlformats.org/officeDocument/2006/relationships" ref="E61" r:id="rId95"/>
    <hyperlink xmlns:r="http://schemas.openxmlformats.org/officeDocument/2006/relationships" ref="F61" r:id="rId96"/>
    <hyperlink xmlns:r="http://schemas.openxmlformats.org/officeDocument/2006/relationships" ref="E62" r:id="rId97"/>
    <hyperlink xmlns:r="http://schemas.openxmlformats.org/officeDocument/2006/relationships" ref="E63" r:id="rId98"/>
    <hyperlink xmlns:r="http://schemas.openxmlformats.org/officeDocument/2006/relationships" ref="F63" r:id="rId99"/>
    <hyperlink xmlns:r="http://schemas.openxmlformats.org/officeDocument/2006/relationships" ref="E64" r:id="rId100"/>
    <hyperlink xmlns:r="http://schemas.openxmlformats.org/officeDocument/2006/relationships" ref="E65" r:id="rId101"/>
    <hyperlink xmlns:r="http://schemas.openxmlformats.org/officeDocument/2006/relationships" ref="F65" r:id="rId102"/>
    <hyperlink xmlns:r="http://schemas.openxmlformats.org/officeDocument/2006/relationships" ref="E66" r:id="rId103"/>
    <hyperlink xmlns:r="http://schemas.openxmlformats.org/officeDocument/2006/relationships" ref="F66" r:id="rId104"/>
    <hyperlink xmlns:r="http://schemas.openxmlformats.org/officeDocument/2006/relationships" ref="E67" r:id="rId105"/>
    <hyperlink xmlns:r="http://schemas.openxmlformats.org/officeDocument/2006/relationships" ref="E68" r:id="rId106"/>
    <hyperlink xmlns:r="http://schemas.openxmlformats.org/officeDocument/2006/relationships" ref="E69" r:id="rId107"/>
    <hyperlink xmlns:r="http://schemas.openxmlformats.org/officeDocument/2006/relationships" ref="F69" r:id="rId108"/>
    <hyperlink xmlns:r="http://schemas.openxmlformats.org/officeDocument/2006/relationships" ref="E70" r:id="rId109"/>
    <hyperlink xmlns:r="http://schemas.openxmlformats.org/officeDocument/2006/relationships" ref="E71" r:id="rId110"/>
    <hyperlink xmlns:r="http://schemas.openxmlformats.org/officeDocument/2006/relationships" ref="F71" r:id="rId111"/>
    <hyperlink xmlns:r="http://schemas.openxmlformats.org/officeDocument/2006/relationships" ref="E72" r:id="rId112"/>
    <hyperlink xmlns:r="http://schemas.openxmlformats.org/officeDocument/2006/relationships" ref="F72" r:id="rId113"/>
    <hyperlink xmlns:r="http://schemas.openxmlformats.org/officeDocument/2006/relationships" ref="E73" r:id="rId114"/>
    <hyperlink xmlns:r="http://schemas.openxmlformats.org/officeDocument/2006/relationships" ref="F73" r:id="rId115"/>
    <hyperlink xmlns:r="http://schemas.openxmlformats.org/officeDocument/2006/relationships" ref="E74" r:id="rId116"/>
    <hyperlink xmlns:r="http://schemas.openxmlformats.org/officeDocument/2006/relationships" ref="F74" r:id="rId117"/>
    <hyperlink xmlns:r="http://schemas.openxmlformats.org/officeDocument/2006/relationships" ref="E75" r:id="rId118"/>
    <hyperlink xmlns:r="http://schemas.openxmlformats.org/officeDocument/2006/relationships" ref="F75" r:id="rId119"/>
    <hyperlink xmlns:r="http://schemas.openxmlformats.org/officeDocument/2006/relationships" ref="E76" r:id="rId120"/>
    <hyperlink xmlns:r="http://schemas.openxmlformats.org/officeDocument/2006/relationships" ref="F76" r:id="rId121"/>
    <hyperlink xmlns:r="http://schemas.openxmlformats.org/officeDocument/2006/relationships" ref="E77" r:id="rId122"/>
    <hyperlink xmlns:r="http://schemas.openxmlformats.org/officeDocument/2006/relationships" ref="E78" r:id="rId123"/>
    <hyperlink xmlns:r="http://schemas.openxmlformats.org/officeDocument/2006/relationships" ref="F78" r:id="rId124"/>
    <hyperlink xmlns:r="http://schemas.openxmlformats.org/officeDocument/2006/relationships" ref="E79" r:id="rId125"/>
    <hyperlink xmlns:r="http://schemas.openxmlformats.org/officeDocument/2006/relationships" ref="E80" r:id="rId126"/>
    <hyperlink xmlns:r="http://schemas.openxmlformats.org/officeDocument/2006/relationships" ref="F80" r:id="rId127"/>
    <hyperlink xmlns:r="http://schemas.openxmlformats.org/officeDocument/2006/relationships" ref="E81" r:id="rId128"/>
    <hyperlink xmlns:r="http://schemas.openxmlformats.org/officeDocument/2006/relationships" ref="F81" r:id="rId129"/>
    <hyperlink xmlns:r="http://schemas.openxmlformats.org/officeDocument/2006/relationships" ref="E82" r:id="rId130"/>
    <hyperlink xmlns:r="http://schemas.openxmlformats.org/officeDocument/2006/relationships" ref="F82" r:id="rId131"/>
    <hyperlink xmlns:r="http://schemas.openxmlformats.org/officeDocument/2006/relationships" ref="E83" r:id="rId132"/>
    <hyperlink xmlns:r="http://schemas.openxmlformats.org/officeDocument/2006/relationships" ref="E84" r:id="rId133"/>
    <hyperlink xmlns:r="http://schemas.openxmlformats.org/officeDocument/2006/relationships" ref="F84" r:id="rId134"/>
    <hyperlink xmlns:r="http://schemas.openxmlformats.org/officeDocument/2006/relationships" ref="E85" r:id="rId135"/>
    <hyperlink xmlns:r="http://schemas.openxmlformats.org/officeDocument/2006/relationships" ref="F85" r:id="rId136"/>
    <hyperlink xmlns:r="http://schemas.openxmlformats.org/officeDocument/2006/relationships" ref="E86" r:id="rId137"/>
    <hyperlink xmlns:r="http://schemas.openxmlformats.org/officeDocument/2006/relationships" ref="F86" r:id="rId138"/>
    <hyperlink xmlns:r="http://schemas.openxmlformats.org/officeDocument/2006/relationships" ref="E87" r:id="rId139"/>
    <hyperlink xmlns:r="http://schemas.openxmlformats.org/officeDocument/2006/relationships" ref="E88" r:id="rId140"/>
    <hyperlink xmlns:r="http://schemas.openxmlformats.org/officeDocument/2006/relationships" ref="E89" r:id="rId141"/>
    <hyperlink xmlns:r="http://schemas.openxmlformats.org/officeDocument/2006/relationships" ref="F89" r:id="rId142"/>
    <hyperlink xmlns:r="http://schemas.openxmlformats.org/officeDocument/2006/relationships" ref="E90" r:id="rId143"/>
    <hyperlink xmlns:r="http://schemas.openxmlformats.org/officeDocument/2006/relationships" ref="F90" r:id="rId144"/>
    <hyperlink xmlns:r="http://schemas.openxmlformats.org/officeDocument/2006/relationships" ref="E91" r:id="rId145"/>
    <hyperlink xmlns:r="http://schemas.openxmlformats.org/officeDocument/2006/relationships" ref="E92" r:id="rId146"/>
    <hyperlink xmlns:r="http://schemas.openxmlformats.org/officeDocument/2006/relationships" ref="E93" r:id="rId147"/>
    <hyperlink xmlns:r="http://schemas.openxmlformats.org/officeDocument/2006/relationships" ref="F93" r:id="rId148"/>
    <hyperlink xmlns:r="http://schemas.openxmlformats.org/officeDocument/2006/relationships" ref="E94" r:id="rId149"/>
    <hyperlink xmlns:r="http://schemas.openxmlformats.org/officeDocument/2006/relationships" ref="F94" r:id="rId150"/>
    <hyperlink xmlns:r="http://schemas.openxmlformats.org/officeDocument/2006/relationships" ref="E95" r:id="rId151"/>
    <hyperlink xmlns:r="http://schemas.openxmlformats.org/officeDocument/2006/relationships" ref="F95" r:id="rId152"/>
    <hyperlink xmlns:r="http://schemas.openxmlformats.org/officeDocument/2006/relationships" ref="E96" r:id="rId153"/>
    <hyperlink xmlns:r="http://schemas.openxmlformats.org/officeDocument/2006/relationships" ref="F96" r:id="rId154"/>
    <hyperlink xmlns:r="http://schemas.openxmlformats.org/officeDocument/2006/relationships" ref="E97" r:id="rId155"/>
    <hyperlink xmlns:r="http://schemas.openxmlformats.org/officeDocument/2006/relationships" ref="E98" r:id="rId156"/>
    <hyperlink xmlns:r="http://schemas.openxmlformats.org/officeDocument/2006/relationships" ref="F98" r:id="rId157"/>
    <hyperlink xmlns:r="http://schemas.openxmlformats.org/officeDocument/2006/relationships" ref="E99" r:id="rId158"/>
    <hyperlink xmlns:r="http://schemas.openxmlformats.org/officeDocument/2006/relationships" ref="E100" r:id="rId159"/>
    <hyperlink xmlns:r="http://schemas.openxmlformats.org/officeDocument/2006/relationships" ref="F100" r:id="rId160"/>
    <hyperlink xmlns:r="http://schemas.openxmlformats.org/officeDocument/2006/relationships" ref="E101" r:id="rId161"/>
    <hyperlink xmlns:r="http://schemas.openxmlformats.org/officeDocument/2006/relationships" ref="E102" r:id="rId162"/>
    <hyperlink xmlns:r="http://schemas.openxmlformats.org/officeDocument/2006/relationships" ref="F102" r:id="rId163"/>
    <hyperlink xmlns:r="http://schemas.openxmlformats.org/officeDocument/2006/relationships" ref="E103" r:id="rId164"/>
    <hyperlink xmlns:r="http://schemas.openxmlformats.org/officeDocument/2006/relationships" ref="F103" r:id="rId165"/>
    <hyperlink xmlns:r="http://schemas.openxmlformats.org/officeDocument/2006/relationships" ref="E104" r:id="rId166"/>
    <hyperlink xmlns:r="http://schemas.openxmlformats.org/officeDocument/2006/relationships" ref="E105" r:id="rId167"/>
    <hyperlink xmlns:r="http://schemas.openxmlformats.org/officeDocument/2006/relationships" ref="E106" r:id="rId168"/>
    <hyperlink xmlns:r="http://schemas.openxmlformats.org/officeDocument/2006/relationships" ref="F106" r:id="rId169"/>
    <hyperlink xmlns:r="http://schemas.openxmlformats.org/officeDocument/2006/relationships" ref="E107" r:id="rId170"/>
    <hyperlink xmlns:r="http://schemas.openxmlformats.org/officeDocument/2006/relationships" ref="F107" r:id="rId171"/>
    <hyperlink xmlns:r="http://schemas.openxmlformats.org/officeDocument/2006/relationships" ref="E108" r:id="rId172"/>
    <hyperlink xmlns:r="http://schemas.openxmlformats.org/officeDocument/2006/relationships" ref="E109" r:id="rId173"/>
    <hyperlink xmlns:r="http://schemas.openxmlformats.org/officeDocument/2006/relationships" ref="E110" r:id="rId174"/>
    <hyperlink xmlns:r="http://schemas.openxmlformats.org/officeDocument/2006/relationships" ref="E111" r:id="rId175"/>
    <hyperlink xmlns:r="http://schemas.openxmlformats.org/officeDocument/2006/relationships" ref="F111" r:id="rId176"/>
    <hyperlink xmlns:r="http://schemas.openxmlformats.org/officeDocument/2006/relationships" ref="E112" r:id="rId177"/>
    <hyperlink xmlns:r="http://schemas.openxmlformats.org/officeDocument/2006/relationships" ref="F112" r:id="rId178"/>
    <hyperlink xmlns:r="http://schemas.openxmlformats.org/officeDocument/2006/relationships" ref="E113" r:id="rId179"/>
    <hyperlink xmlns:r="http://schemas.openxmlformats.org/officeDocument/2006/relationships" ref="E114" r:id="rId180"/>
    <hyperlink xmlns:r="http://schemas.openxmlformats.org/officeDocument/2006/relationships" ref="F114" r:id="rId181"/>
    <hyperlink xmlns:r="http://schemas.openxmlformats.org/officeDocument/2006/relationships" ref="E115" r:id="rId182"/>
    <hyperlink xmlns:r="http://schemas.openxmlformats.org/officeDocument/2006/relationships" ref="E116" r:id="rId183"/>
    <hyperlink xmlns:r="http://schemas.openxmlformats.org/officeDocument/2006/relationships" ref="E117" r:id="rId184"/>
    <hyperlink xmlns:r="http://schemas.openxmlformats.org/officeDocument/2006/relationships" ref="E118" r:id="rId185"/>
    <hyperlink xmlns:r="http://schemas.openxmlformats.org/officeDocument/2006/relationships" ref="E119" r:id="rId186"/>
    <hyperlink xmlns:r="http://schemas.openxmlformats.org/officeDocument/2006/relationships" ref="E120" r:id="rId187"/>
    <hyperlink xmlns:r="http://schemas.openxmlformats.org/officeDocument/2006/relationships" ref="E121" r:id="rId188"/>
    <hyperlink xmlns:r="http://schemas.openxmlformats.org/officeDocument/2006/relationships" ref="F121" r:id="rId189"/>
    <hyperlink xmlns:r="http://schemas.openxmlformats.org/officeDocument/2006/relationships" ref="E122" r:id="rId190"/>
    <hyperlink xmlns:r="http://schemas.openxmlformats.org/officeDocument/2006/relationships" ref="E123" r:id="rId191"/>
    <hyperlink xmlns:r="http://schemas.openxmlformats.org/officeDocument/2006/relationships" ref="E124" r:id="rId192"/>
    <hyperlink xmlns:r="http://schemas.openxmlformats.org/officeDocument/2006/relationships" ref="F124" r:id="rId193"/>
    <hyperlink xmlns:r="http://schemas.openxmlformats.org/officeDocument/2006/relationships" ref="E125" r:id="rId194"/>
    <hyperlink xmlns:r="http://schemas.openxmlformats.org/officeDocument/2006/relationships" ref="F125" r:id="rId195"/>
    <hyperlink xmlns:r="http://schemas.openxmlformats.org/officeDocument/2006/relationships" ref="E126" r:id="rId196"/>
    <hyperlink xmlns:r="http://schemas.openxmlformats.org/officeDocument/2006/relationships" ref="E127" r:id="rId197"/>
    <hyperlink xmlns:r="http://schemas.openxmlformats.org/officeDocument/2006/relationships" ref="F127" r:id="rId198"/>
    <hyperlink xmlns:r="http://schemas.openxmlformats.org/officeDocument/2006/relationships" ref="E128" r:id="rId199"/>
    <hyperlink xmlns:r="http://schemas.openxmlformats.org/officeDocument/2006/relationships" ref="F128" r:id="rId200"/>
    <hyperlink xmlns:r="http://schemas.openxmlformats.org/officeDocument/2006/relationships" ref="E129" r:id="rId201"/>
    <hyperlink xmlns:r="http://schemas.openxmlformats.org/officeDocument/2006/relationships" ref="F129" r:id="rId202"/>
    <hyperlink xmlns:r="http://schemas.openxmlformats.org/officeDocument/2006/relationships" ref="E130" r:id="rId203"/>
    <hyperlink xmlns:r="http://schemas.openxmlformats.org/officeDocument/2006/relationships" ref="E131" r:id="rId204"/>
    <hyperlink xmlns:r="http://schemas.openxmlformats.org/officeDocument/2006/relationships" ref="F131" r:id="rId205"/>
    <hyperlink xmlns:r="http://schemas.openxmlformats.org/officeDocument/2006/relationships" ref="E132" r:id="rId206"/>
    <hyperlink xmlns:r="http://schemas.openxmlformats.org/officeDocument/2006/relationships" ref="F132" r:id="rId207"/>
    <hyperlink xmlns:r="http://schemas.openxmlformats.org/officeDocument/2006/relationships" ref="E133" r:id="rId208"/>
    <hyperlink xmlns:r="http://schemas.openxmlformats.org/officeDocument/2006/relationships" ref="F133" r:id="rId209"/>
    <hyperlink xmlns:r="http://schemas.openxmlformats.org/officeDocument/2006/relationships" ref="E134" r:id="rId210"/>
    <hyperlink xmlns:r="http://schemas.openxmlformats.org/officeDocument/2006/relationships" ref="E135" r:id="rId211"/>
    <hyperlink xmlns:r="http://schemas.openxmlformats.org/officeDocument/2006/relationships" ref="F135" r:id="rId212"/>
    <hyperlink xmlns:r="http://schemas.openxmlformats.org/officeDocument/2006/relationships" ref="E136" r:id="rId213"/>
    <hyperlink xmlns:r="http://schemas.openxmlformats.org/officeDocument/2006/relationships" ref="F136" r:id="rId214"/>
    <hyperlink xmlns:r="http://schemas.openxmlformats.org/officeDocument/2006/relationships" ref="E137" r:id="rId215"/>
    <hyperlink xmlns:r="http://schemas.openxmlformats.org/officeDocument/2006/relationships" ref="F137" r:id="rId216"/>
    <hyperlink xmlns:r="http://schemas.openxmlformats.org/officeDocument/2006/relationships" ref="E138" r:id="rId217"/>
    <hyperlink xmlns:r="http://schemas.openxmlformats.org/officeDocument/2006/relationships" ref="E139" r:id="rId218"/>
    <hyperlink xmlns:r="http://schemas.openxmlformats.org/officeDocument/2006/relationships" ref="F139" r:id="rId219"/>
    <hyperlink xmlns:r="http://schemas.openxmlformats.org/officeDocument/2006/relationships" ref="E140" r:id="rId220"/>
    <hyperlink xmlns:r="http://schemas.openxmlformats.org/officeDocument/2006/relationships" ref="E141" r:id="rId221"/>
    <hyperlink xmlns:r="http://schemas.openxmlformats.org/officeDocument/2006/relationships" ref="F141" r:id="rId222"/>
    <hyperlink xmlns:r="http://schemas.openxmlformats.org/officeDocument/2006/relationships" ref="E142" r:id="rId223"/>
    <hyperlink xmlns:r="http://schemas.openxmlformats.org/officeDocument/2006/relationships" ref="F142" r:id="rId224"/>
    <hyperlink xmlns:r="http://schemas.openxmlformats.org/officeDocument/2006/relationships" ref="E143" r:id="rId225"/>
    <hyperlink xmlns:r="http://schemas.openxmlformats.org/officeDocument/2006/relationships" ref="F143" r:id="rId226"/>
    <hyperlink xmlns:r="http://schemas.openxmlformats.org/officeDocument/2006/relationships" ref="E144" r:id="rId227"/>
    <hyperlink xmlns:r="http://schemas.openxmlformats.org/officeDocument/2006/relationships" ref="E145" r:id="rId228"/>
    <hyperlink xmlns:r="http://schemas.openxmlformats.org/officeDocument/2006/relationships" ref="E146" r:id="rId229"/>
    <hyperlink xmlns:r="http://schemas.openxmlformats.org/officeDocument/2006/relationships" ref="F146" r:id="rId230"/>
    <hyperlink xmlns:r="http://schemas.openxmlformats.org/officeDocument/2006/relationships" ref="E147" r:id="rId231"/>
    <hyperlink xmlns:r="http://schemas.openxmlformats.org/officeDocument/2006/relationships" ref="F147" r:id="rId232"/>
    <hyperlink xmlns:r="http://schemas.openxmlformats.org/officeDocument/2006/relationships" ref="E148" r:id="rId233"/>
    <hyperlink xmlns:r="http://schemas.openxmlformats.org/officeDocument/2006/relationships" ref="E149" r:id="rId234"/>
    <hyperlink xmlns:r="http://schemas.openxmlformats.org/officeDocument/2006/relationships" ref="F149" r:id="rId235"/>
    <hyperlink xmlns:r="http://schemas.openxmlformats.org/officeDocument/2006/relationships" ref="E150" r:id="rId236"/>
    <hyperlink xmlns:r="http://schemas.openxmlformats.org/officeDocument/2006/relationships" ref="E151" r:id="rId237"/>
    <hyperlink xmlns:r="http://schemas.openxmlformats.org/officeDocument/2006/relationships" ref="E152" r:id="rId238"/>
    <hyperlink xmlns:r="http://schemas.openxmlformats.org/officeDocument/2006/relationships" ref="E153" r:id="rId239"/>
    <hyperlink xmlns:r="http://schemas.openxmlformats.org/officeDocument/2006/relationships" ref="F153" r:id="rId240"/>
    <hyperlink xmlns:r="http://schemas.openxmlformats.org/officeDocument/2006/relationships" ref="E154" r:id="rId241"/>
    <hyperlink xmlns:r="http://schemas.openxmlformats.org/officeDocument/2006/relationships" ref="E155" r:id="rId242"/>
    <hyperlink xmlns:r="http://schemas.openxmlformats.org/officeDocument/2006/relationships" ref="F155" r:id="rId243"/>
    <hyperlink xmlns:r="http://schemas.openxmlformats.org/officeDocument/2006/relationships" ref="E156" r:id="rId244"/>
    <hyperlink xmlns:r="http://schemas.openxmlformats.org/officeDocument/2006/relationships" ref="F156" r:id="rId245"/>
    <hyperlink xmlns:r="http://schemas.openxmlformats.org/officeDocument/2006/relationships" ref="E157" r:id="rId246"/>
    <hyperlink xmlns:r="http://schemas.openxmlformats.org/officeDocument/2006/relationships" ref="E158" r:id="rId247"/>
    <hyperlink xmlns:r="http://schemas.openxmlformats.org/officeDocument/2006/relationships" ref="E159" r:id="rId248"/>
    <hyperlink xmlns:r="http://schemas.openxmlformats.org/officeDocument/2006/relationships" ref="E160" r:id="rId249"/>
    <hyperlink xmlns:r="http://schemas.openxmlformats.org/officeDocument/2006/relationships" ref="E161" r:id="rId250"/>
    <hyperlink xmlns:r="http://schemas.openxmlformats.org/officeDocument/2006/relationships" ref="E162" r:id="rId251"/>
    <hyperlink xmlns:r="http://schemas.openxmlformats.org/officeDocument/2006/relationships" ref="E163" r:id="rId252"/>
    <hyperlink xmlns:r="http://schemas.openxmlformats.org/officeDocument/2006/relationships" ref="E164" r:id="rId253"/>
    <hyperlink xmlns:r="http://schemas.openxmlformats.org/officeDocument/2006/relationships" ref="E165" r:id="rId254"/>
    <hyperlink xmlns:r="http://schemas.openxmlformats.org/officeDocument/2006/relationships" ref="F165" r:id="rId255"/>
    <hyperlink xmlns:r="http://schemas.openxmlformats.org/officeDocument/2006/relationships" ref="E166" r:id="rId256"/>
    <hyperlink xmlns:r="http://schemas.openxmlformats.org/officeDocument/2006/relationships" ref="E167" r:id="rId257"/>
    <hyperlink xmlns:r="http://schemas.openxmlformats.org/officeDocument/2006/relationships" ref="F167" r:id="rId258"/>
    <hyperlink xmlns:r="http://schemas.openxmlformats.org/officeDocument/2006/relationships" ref="E168" r:id="rId259"/>
    <hyperlink xmlns:r="http://schemas.openxmlformats.org/officeDocument/2006/relationships" ref="F168" r:id="rId260"/>
    <hyperlink xmlns:r="http://schemas.openxmlformats.org/officeDocument/2006/relationships" ref="E169" r:id="rId261"/>
    <hyperlink xmlns:r="http://schemas.openxmlformats.org/officeDocument/2006/relationships" ref="E170" r:id="rId262"/>
    <hyperlink xmlns:r="http://schemas.openxmlformats.org/officeDocument/2006/relationships" ref="E171" r:id="rId263"/>
    <hyperlink xmlns:r="http://schemas.openxmlformats.org/officeDocument/2006/relationships" ref="E172" r:id="rId264"/>
    <hyperlink xmlns:r="http://schemas.openxmlformats.org/officeDocument/2006/relationships" ref="E173" r:id="rId265"/>
    <hyperlink xmlns:r="http://schemas.openxmlformats.org/officeDocument/2006/relationships" ref="E174" r:id="rId266"/>
    <hyperlink xmlns:r="http://schemas.openxmlformats.org/officeDocument/2006/relationships" ref="E175" r:id="rId267"/>
    <hyperlink xmlns:r="http://schemas.openxmlformats.org/officeDocument/2006/relationships" ref="E176" r:id="rId268"/>
    <hyperlink xmlns:r="http://schemas.openxmlformats.org/officeDocument/2006/relationships" ref="F176" r:id="rId269"/>
    <hyperlink xmlns:r="http://schemas.openxmlformats.org/officeDocument/2006/relationships" ref="E177" r:id="rId270"/>
    <hyperlink xmlns:r="http://schemas.openxmlformats.org/officeDocument/2006/relationships" ref="E178" r:id="rId271"/>
    <hyperlink xmlns:r="http://schemas.openxmlformats.org/officeDocument/2006/relationships" ref="E179" r:id="rId272"/>
    <hyperlink xmlns:r="http://schemas.openxmlformats.org/officeDocument/2006/relationships" ref="E180" r:id="rId273"/>
    <hyperlink xmlns:r="http://schemas.openxmlformats.org/officeDocument/2006/relationships" ref="E181" r:id="rId274"/>
    <hyperlink xmlns:r="http://schemas.openxmlformats.org/officeDocument/2006/relationships" ref="E182" r:id="rId275"/>
    <hyperlink xmlns:r="http://schemas.openxmlformats.org/officeDocument/2006/relationships" ref="F182" r:id="rId276"/>
    <hyperlink xmlns:r="http://schemas.openxmlformats.org/officeDocument/2006/relationships" ref="E183" r:id="rId277"/>
    <hyperlink xmlns:r="http://schemas.openxmlformats.org/officeDocument/2006/relationships" ref="F183" r:id="rId278"/>
    <hyperlink xmlns:r="http://schemas.openxmlformats.org/officeDocument/2006/relationships" ref="E184" r:id="rId279"/>
    <hyperlink xmlns:r="http://schemas.openxmlformats.org/officeDocument/2006/relationships" ref="F184" r:id="rId280"/>
    <hyperlink xmlns:r="http://schemas.openxmlformats.org/officeDocument/2006/relationships" ref="E185" r:id="rId281"/>
    <hyperlink xmlns:r="http://schemas.openxmlformats.org/officeDocument/2006/relationships" ref="F185" r:id="rId282"/>
    <hyperlink xmlns:r="http://schemas.openxmlformats.org/officeDocument/2006/relationships" ref="E186" r:id="rId283"/>
    <hyperlink xmlns:r="http://schemas.openxmlformats.org/officeDocument/2006/relationships" ref="F186" r:id="rId284"/>
    <hyperlink xmlns:r="http://schemas.openxmlformats.org/officeDocument/2006/relationships" ref="E187" r:id="rId285"/>
    <hyperlink xmlns:r="http://schemas.openxmlformats.org/officeDocument/2006/relationships" ref="F187" r:id="rId286"/>
    <hyperlink xmlns:r="http://schemas.openxmlformats.org/officeDocument/2006/relationships" ref="E188" r:id="rId287"/>
    <hyperlink xmlns:r="http://schemas.openxmlformats.org/officeDocument/2006/relationships" ref="F188" r:id="rId288"/>
    <hyperlink xmlns:r="http://schemas.openxmlformats.org/officeDocument/2006/relationships" ref="E189" r:id="rId289"/>
    <hyperlink xmlns:r="http://schemas.openxmlformats.org/officeDocument/2006/relationships" ref="E190" r:id="rId290"/>
    <hyperlink xmlns:r="http://schemas.openxmlformats.org/officeDocument/2006/relationships" ref="E191" r:id="rId291"/>
    <hyperlink xmlns:r="http://schemas.openxmlformats.org/officeDocument/2006/relationships" ref="E192" r:id="rId292"/>
    <hyperlink xmlns:r="http://schemas.openxmlformats.org/officeDocument/2006/relationships" ref="E193" r:id="rId293"/>
    <hyperlink xmlns:r="http://schemas.openxmlformats.org/officeDocument/2006/relationships" ref="E194" r:id="rId294"/>
    <hyperlink xmlns:r="http://schemas.openxmlformats.org/officeDocument/2006/relationships" ref="E195" r:id="rId295"/>
    <hyperlink xmlns:r="http://schemas.openxmlformats.org/officeDocument/2006/relationships" ref="E196" r:id="rId296"/>
    <hyperlink xmlns:r="http://schemas.openxmlformats.org/officeDocument/2006/relationships" ref="E197" r:id="rId297"/>
    <hyperlink xmlns:r="http://schemas.openxmlformats.org/officeDocument/2006/relationships" ref="E198" r:id="rId298"/>
    <hyperlink xmlns:r="http://schemas.openxmlformats.org/officeDocument/2006/relationships" ref="E199" r:id="rId299"/>
    <hyperlink xmlns:r="http://schemas.openxmlformats.org/officeDocument/2006/relationships" ref="E200" r:id="rId300"/>
    <hyperlink xmlns:r="http://schemas.openxmlformats.org/officeDocument/2006/relationships" ref="F200" r:id="rId301"/>
    <hyperlink xmlns:r="http://schemas.openxmlformats.org/officeDocument/2006/relationships" ref="E201" r:id="rId302"/>
    <hyperlink xmlns:r="http://schemas.openxmlformats.org/officeDocument/2006/relationships" ref="E202" r:id="rId303"/>
    <hyperlink xmlns:r="http://schemas.openxmlformats.org/officeDocument/2006/relationships" ref="E203" r:id="rId304"/>
    <hyperlink xmlns:r="http://schemas.openxmlformats.org/officeDocument/2006/relationships" ref="F203" r:id="rId305"/>
    <hyperlink xmlns:r="http://schemas.openxmlformats.org/officeDocument/2006/relationships" ref="E204" r:id="rId306"/>
    <hyperlink xmlns:r="http://schemas.openxmlformats.org/officeDocument/2006/relationships" ref="E205" r:id="rId307"/>
    <hyperlink xmlns:r="http://schemas.openxmlformats.org/officeDocument/2006/relationships" ref="F205" r:id="rId308"/>
    <hyperlink xmlns:r="http://schemas.openxmlformats.org/officeDocument/2006/relationships" ref="E206" r:id="rId309"/>
    <hyperlink xmlns:r="http://schemas.openxmlformats.org/officeDocument/2006/relationships" ref="F206" r:id="rId310"/>
    <hyperlink xmlns:r="http://schemas.openxmlformats.org/officeDocument/2006/relationships" ref="E207" r:id="rId311"/>
    <hyperlink xmlns:r="http://schemas.openxmlformats.org/officeDocument/2006/relationships" ref="F207" r:id="rId312"/>
    <hyperlink xmlns:r="http://schemas.openxmlformats.org/officeDocument/2006/relationships" ref="E208" r:id="rId313"/>
    <hyperlink xmlns:r="http://schemas.openxmlformats.org/officeDocument/2006/relationships" ref="F208" r:id="rId314"/>
    <hyperlink xmlns:r="http://schemas.openxmlformats.org/officeDocument/2006/relationships" ref="E209" r:id="rId315"/>
    <hyperlink xmlns:r="http://schemas.openxmlformats.org/officeDocument/2006/relationships" ref="E210" r:id="rId316"/>
    <hyperlink xmlns:r="http://schemas.openxmlformats.org/officeDocument/2006/relationships" ref="F210" r:id="rId317"/>
    <hyperlink xmlns:r="http://schemas.openxmlformats.org/officeDocument/2006/relationships" ref="E211" r:id="rId318"/>
    <hyperlink xmlns:r="http://schemas.openxmlformats.org/officeDocument/2006/relationships" ref="F211" r:id="rId319"/>
    <hyperlink xmlns:r="http://schemas.openxmlformats.org/officeDocument/2006/relationships" ref="E212" r:id="rId320"/>
    <hyperlink xmlns:r="http://schemas.openxmlformats.org/officeDocument/2006/relationships" ref="E213" r:id="rId321"/>
    <hyperlink xmlns:r="http://schemas.openxmlformats.org/officeDocument/2006/relationships" ref="F213" r:id="rId322"/>
    <hyperlink xmlns:r="http://schemas.openxmlformats.org/officeDocument/2006/relationships" ref="E214" r:id="rId323"/>
    <hyperlink xmlns:r="http://schemas.openxmlformats.org/officeDocument/2006/relationships" ref="E215" r:id="rId324"/>
    <hyperlink xmlns:r="http://schemas.openxmlformats.org/officeDocument/2006/relationships" ref="E216" r:id="rId325"/>
    <hyperlink xmlns:r="http://schemas.openxmlformats.org/officeDocument/2006/relationships" ref="E217" r:id="rId326"/>
    <hyperlink xmlns:r="http://schemas.openxmlformats.org/officeDocument/2006/relationships" ref="E218" r:id="rId327"/>
    <hyperlink xmlns:r="http://schemas.openxmlformats.org/officeDocument/2006/relationships" ref="E219" r:id="rId328"/>
    <hyperlink xmlns:r="http://schemas.openxmlformats.org/officeDocument/2006/relationships" ref="E220" r:id="rId329"/>
    <hyperlink xmlns:r="http://schemas.openxmlformats.org/officeDocument/2006/relationships" ref="E221" r:id="rId330"/>
    <hyperlink xmlns:r="http://schemas.openxmlformats.org/officeDocument/2006/relationships" ref="E222" r:id="rId331"/>
    <hyperlink xmlns:r="http://schemas.openxmlformats.org/officeDocument/2006/relationships" ref="E223" r:id="rId332"/>
    <hyperlink xmlns:r="http://schemas.openxmlformats.org/officeDocument/2006/relationships" ref="E224" r:id="rId333"/>
    <hyperlink xmlns:r="http://schemas.openxmlformats.org/officeDocument/2006/relationships" ref="E225" r:id="rId334"/>
    <hyperlink xmlns:r="http://schemas.openxmlformats.org/officeDocument/2006/relationships" ref="F225" r:id="rId335"/>
    <hyperlink xmlns:r="http://schemas.openxmlformats.org/officeDocument/2006/relationships" ref="E226" r:id="rId336"/>
    <hyperlink xmlns:r="http://schemas.openxmlformats.org/officeDocument/2006/relationships" ref="E227" r:id="rId337"/>
    <hyperlink xmlns:r="http://schemas.openxmlformats.org/officeDocument/2006/relationships" ref="E228" r:id="rId338"/>
    <hyperlink xmlns:r="http://schemas.openxmlformats.org/officeDocument/2006/relationships" ref="E229" r:id="rId339"/>
    <hyperlink xmlns:r="http://schemas.openxmlformats.org/officeDocument/2006/relationships" ref="F229" r:id="rId340"/>
    <hyperlink xmlns:r="http://schemas.openxmlformats.org/officeDocument/2006/relationships" ref="E230" r:id="rId341"/>
    <hyperlink xmlns:r="http://schemas.openxmlformats.org/officeDocument/2006/relationships" ref="E231" r:id="rId342"/>
    <hyperlink xmlns:r="http://schemas.openxmlformats.org/officeDocument/2006/relationships" ref="F231" r:id="rId343"/>
    <hyperlink xmlns:r="http://schemas.openxmlformats.org/officeDocument/2006/relationships" ref="E232" r:id="rId344"/>
    <hyperlink xmlns:r="http://schemas.openxmlformats.org/officeDocument/2006/relationships" ref="F232" r:id="rId345"/>
    <hyperlink xmlns:r="http://schemas.openxmlformats.org/officeDocument/2006/relationships" ref="E233" r:id="rId346"/>
    <hyperlink xmlns:r="http://schemas.openxmlformats.org/officeDocument/2006/relationships" ref="E234" r:id="rId347"/>
    <hyperlink xmlns:r="http://schemas.openxmlformats.org/officeDocument/2006/relationships" ref="F234" r:id="rId348"/>
    <hyperlink xmlns:r="http://schemas.openxmlformats.org/officeDocument/2006/relationships" ref="E235" r:id="rId349"/>
    <hyperlink xmlns:r="http://schemas.openxmlformats.org/officeDocument/2006/relationships" ref="F235" r:id="rId350"/>
    <hyperlink xmlns:r="http://schemas.openxmlformats.org/officeDocument/2006/relationships" ref="E236" r:id="rId351"/>
    <hyperlink xmlns:r="http://schemas.openxmlformats.org/officeDocument/2006/relationships" ref="E237" r:id="rId352"/>
    <hyperlink xmlns:r="http://schemas.openxmlformats.org/officeDocument/2006/relationships" ref="F237" r:id="rId353"/>
    <hyperlink xmlns:r="http://schemas.openxmlformats.org/officeDocument/2006/relationships" ref="E238" r:id="rId354"/>
    <hyperlink xmlns:r="http://schemas.openxmlformats.org/officeDocument/2006/relationships" ref="F238" r:id="rId355"/>
    <hyperlink xmlns:r="http://schemas.openxmlformats.org/officeDocument/2006/relationships" ref="E239" r:id="rId356"/>
    <hyperlink xmlns:r="http://schemas.openxmlformats.org/officeDocument/2006/relationships" ref="F239" r:id="rId357"/>
    <hyperlink xmlns:r="http://schemas.openxmlformats.org/officeDocument/2006/relationships" ref="E240" r:id="rId358"/>
    <hyperlink xmlns:r="http://schemas.openxmlformats.org/officeDocument/2006/relationships" ref="E241" r:id="rId359"/>
    <hyperlink xmlns:r="http://schemas.openxmlformats.org/officeDocument/2006/relationships" ref="E242" r:id="rId360"/>
    <hyperlink xmlns:r="http://schemas.openxmlformats.org/officeDocument/2006/relationships" ref="F242" r:id="rId361"/>
    <hyperlink xmlns:r="http://schemas.openxmlformats.org/officeDocument/2006/relationships" ref="E243" r:id="rId362"/>
    <hyperlink xmlns:r="http://schemas.openxmlformats.org/officeDocument/2006/relationships" ref="E244" r:id="rId363"/>
    <hyperlink xmlns:r="http://schemas.openxmlformats.org/officeDocument/2006/relationships" ref="E245" r:id="rId364"/>
    <hyperlink xmlns:r="http://schemas.openxmlformats.org/officeDocument/2006/relationships" ref="E246" r:id="rId365"/>
    <hyperlink xmlns:r="http://schemas.openxmlformats.org/officeDocument/2006/relationships" ref="F246" r:id="rId366"/>
    <hyperlink xmlns:r="http://schemas.openxmlformats.org/officeDocument/2006/relationships" ref="E247" r:id="rId367"/>
    <hyperlink xmlns:r="http://schemas.openxmlformats.org/officeDocument/2006/relationships" ref="F247" r:id="rId368"/>
    <hyperlink xmlns:r="http://schemas.openxmlformats.org/officeDocument/2006/relationships" ref="E248" r:id="rId369"/>
    <hyperlink xmlns:r="http://schemas.openxmlformats.org/officeDocument/2006/relationships" ref="F248" r:id="rId370"/>
    <hyperlink xmlns:r="http://schemas.openxmlformats.org/officeDocument/2006/relationships" ref="E249" r:id="rId371"/>
    <hyperlink xmlns:r="http://schemas.openxmlformats.org/officeDocument/2006/relationships" ref="E250" r:id="rId372"/>
    <hyperlink xmlns:r="http://schemas.openxmlformats.org/officeDocument/2006/relationships" ref="E251" r:id="rId373"/>
    <hyperlink xmlns:r="http://schemas.openxmlformats.org/officeDocument/2006/relationships" ref="F251" r:id="rId374"/>
    <hyperlink xmlns:r="http://schemas.openxmlformats.org/officeDocument/2006/relationships" ref="E252" r:id="rId375"/>
    <hyperlink xmlns:r="http://schemas.openxmlformats.org/officeDocument/2006/relationships" ref="F252" r:id="rId376"/>
    <hyperlink xmlns:r="http://schemas.openxmlformats.org/officeDocument/2006/relationships" ref="E253" r:id="rId377"/>
    <hyperlink xmlns:r="http://schemas.openxmlformats.org/officeDocument/2006/relationships" ref="E254" r:id="rId378"/>
    <hyperlink xmlns:r="http://schemas.openxmlformats.org/officeDocument/2006/relationships" ref="F254" r:id="rId379"/>
    <hyperlink xmlns:r="http://schemas.openxmlformats.org/officeDocument/2006/relationships" ref="E255" r:id="rId380"/>
    <hyperlink xmlns:r="http://schemas.openxmlformats.org/officeDocument/2006/relationships" ref="F255" r:id="rId381"/>
    <hyperlink xmlns:r="http://schemas.openxmlformats.org/officeDocument/2006/relationships" ref="E256" r:id="rId382"/>
    <hyperlink xmlns:r="http://schemas.openxmlformats.org/officeDocument/2006/relationships" ref="F256" r:id="rId383"/>
    <hyperlink xmlns:r="http://schemas.openxmlformats.org/officeDocument/2006/relationships" ref="E257" r:id="rId384"/>
    <hyperlink xmlns:r="http://schemas.openxmlformats.org/officeDocument/2006/relationships" ref="F257" r:id="rId385"/>
    <hyperlink xmlns:r="http://schemas.openxmlformats.org/officeDocument/2006/relationships" ref="E258" r:id="rId386"/>
    <hyperlink xmlns:r="http://schemas.openxmlformats.org/officeDocument/2006/relationships" ref="F258" r:id="rId387"/>
    <hyperlink xmlns:r="http://schemas.openxmlformats.org/officeDocument/2006/relationships" ref="E259" r:id="rId388"/>
    <hyperlink xmlns:r="http://schemas.openxmlformats.org/officeDocument/2006/relationships" ref="E260" r:id="rId389"/>
    <hyperlink xmlns:r="http://schemas.openxmlformats.org/officeDocument/2006/relationships" ref="F260" r:id="rId390"/>
    <hyperlink xmlns:r="http://schemas.openxmlformats.org/officeDocument/2006/relationships" ref="E261" r:id="rId391"/>
    <hyperlink xmlns:r="http://schemas.openxmlformats.org/officeDocument/2006/relationships" ref="E262" r:id="rId392"/>
    <hyperlink xmlns:r="http://schemas.openxmlformats.org/officeDocument/2006/relationships" ref="E263" r:id="rId393"/>
    <hyperlink xmlns:r="http://schemas.openxmlformats.org/officeDocument/2006/relationships" ref="E264" r:id="rId394"/>
    <hyperlink xmlns:r="http://schemas.openxmlformats.org/officeDocument/2006/relationships" ref="F264" r:id="rId395"/>
    <hyperlink xmlns:r="http://schemas.openxmlformats.org/officeDocument/2006/relationships" ref="E265" r:id="rId396"/>
    <hyperlink xmlns:r="http://schemas.openxmlformats.org/officeDocument/2006/relationships" ref="E266" r:id="rId397"/>
    <hyperlink xmlns:r="http://schemas.openxmlformats.org/officeDocument/2006/relationships" ref="E267" r:id="rId398"/>
    <hyperlink xmlns:r="http://schemas.openxmlformats.org/officeDocument/2006/relationships" ref="E268" r:id="rId399"/>
    <hyperlink xmlns:r="http://schemas.openxmlformats.org/officeDocument/2006/relationships" ref="E269" r:id="rId400"/>
    <hyperlink xmlns:r="http://schemas.openxmlformats.org/officeDocument/2006/relationships" ref="E270" r:id="rId401"/>
    <hyperlink xmlns:r="http://schemas.openxmlformats.org/officeDocument/2006/relationships" ref="F270" r:id="rId402"/>
    <hyperlink xmlns:r="http://schemas.openxmlformats.org/officeDocument/2006/relationships" ref="E271" r:id="rId403"/>
    <hyperlink xmlns:r="http://schemas.openxmlformats.org/officeDocument/2006/relationships" ref="E272" r:id="rId404"/>
    <hyperlink xmlns:r="http://schemas.openxmlformats.org/officeDocument/2006/relationships" ref="F272" r:id="rId405"/>
    <hyperlink xmlns:r="http://schemas.openxmlformats.org/officeDocument/2006/relationships" ref="E273" r:id="rId406"/>
    <hyperlink xmlns:r="http://schemas.openxmlformats.org/officeDocument/2006/relationships" ref="F273" r:id="rId407"/>
    <hyperlink xmlns:r="http://schemas.openxmlformats.org/officeDocument/2006/relationships" ref="E274" r:id="rId408"/>
    <hyperlink xmlns:r="http://schemas.openxmlformats.org/officeDocument/2006/relationships" ref="E275" r:id="rId409"/>
    <hyperlink xmlns:r="http://schemas.openxmlformats.org/officeDocument/2006/relationships" ref="E276" r:id="rId410"/>
    <hyperlink xmlns:r="http://schemas.openxmlformats.org/officeDocument/2006/relationships" ref="F276" r:id="rId411"/>
    <hyperlink xmlns:r="http://schemas.openxmlformats.org/officeDocument/2006/relationships" ref="E277" r:id="rId412"/>
    <hyperlink xmlns:r="http://schemas.openxmlformats.org/officeDocument/2006/relationships" ref="E278" r:id="rId413"/>
    <hyperlink xmlns:r="http://schemas.openxmlformats.org/officeDocument/2006/relationships" ref="F278" r:id="rId414"/>
    <hyperlink xmlns:r="http://schemas.openxmlformats.org/officeDocument/2006/relationships" ref="E279" r:id="rId415"/>
    <hyperlink xmlns:r="http://schemas.openxmlformats.org/officeDocument/2006/relationships" ref="E280" r:id="rId416"/>
    <hyperlink xmlns:r="http://schemas.openxmlformats.org/officeDocument/2006/relationships" ref="E281" r:id="rId417"/>
    <hyperlink xmlns:r="http://schemas.openxmlformats.org/officeDocument/2006/relationships" ref="E282" r:id="rId418"/>
    <hyperlink xmlns:r="http://schemas.openxmlformats.org/officeDocument/2006/relationships" ref="F282" r:id="rId419"/>
    <hyperlink xmlns:r="http://schemas.openxmlformats.org/officeDocument/2006/relationships" ref="E283" r:id="rId420"/>
    <hyperlink xmlns:r="http://schemas.openxmlformats.org/officeDocument/2006/relationships" ref="E284" r:id="rId421"/>
    <hyperlink xmlns:r="http://schemas.openxmlformats.org/officeDocument/2006/relationships" ref="E285" r:id="rId422"/>
    <hyperlink xmlns:r="http://schemas.openxmlformats.org/officeDocument/2006/relationships" ref="E286" r:id="rId423"/>
    <hyperlink xmlns:r="http://schemas.openxmlformats.org/officeDocument/2006/relationships" ref="E287" r:id="rId424"/>
    <hyperlink xmlns:r="http://schemas.openxmlformats.org/officeDocument/2006/relationships" ref="E288" r:id="rId425"/>
    <hyperlink xmlns:r="http://schemas.openxmlformats.org/officeDocument/2006/relationships" ref="F288" r:id="rId426"/>
    <hyperlink xmlns:r="http://schemas.openxmlformats.org/officeDocument/2006/relationships" ref="E289" r:id="rId427"/>
    <hyperlink xmlns:r="http://schemas.openxmlformats.org/officeDocument/2006/relationships" ref="F289" r:id="rId428"/>
    <hyperlink xmlns:r="http://schemas.openxmlformats.org/officeDocument/2006/relationships" ref="E290" r:id="rId429"/>
    <hyperlink xmlns:r="http://schemas.openxmlformats.org/officeDocument/2006/relationships" ref="F290" r:id="rId430"/>
    <hyperlink xmlns:r="http://schemas.openxmlformats.org/officeDocument/2006/relationships" ref="E291" r:id="rId431"/>
    <hyperlink xmlns:r="http://schemas.openxmlformats.org/officeDocument/2006/relationships" ref="F291" r:id="rId432"/>
    <hyperlink xmlns:r="http://schemas.openxmlformats.org/officeDocument/2006/relationships" ref="E292" r:id="rId433"/>
    <hyperlink xmlns:r="http://schemas.openxmlformats.org/officeDocument/2006/relationships" ref="E293" r:id="rId434"/>
    <hyperlink xmlns:r="http://schemas.openxmlformats.org/officeDocument/2006/relationships" ref="E294" r:id="rId435"/>
    <hyperlink xmlns:r="http://schemas.openxmlformats.org/officeDocument/2006/relationships" ref="F294" r:id="rId436"/>
    <hyperlink xmlns:r="http://schemas.openxmlformats.org/officeDocument/2006/relationships" ref="E295" r:id="rId437"/>
    <hyperlink xmlns:r="http://schemas.openxmlformats.org/officeDocument/2006/relationships" ref="F295" r:id="rId438"/>
    <hyperlink xmlns:r="http://schemas.openxmlformats.org/officeDocument/2006/relationships" ref="E296" r:id="rId439"/>
    <hyperlink xmlns:r="http://schemas.openxmlformats.org/officeDocument/2006/relationships" ref="F296" r:id="rId440"/>
    <hyperlink xmlns:r="http://schemas.openxmlformats.org/officeDocument/2006/relationships" ref="E297" r:id="rId441"/>
    <hyperlink xmlns:r="http://schemas.openxmlformats.org/officeDocument/2006/relationships" ref="F297" r:id="rId442"/>
    <hyperlink xmlns:r="http://schemas.openxmlformats.org/officeDocument/2006/relationships" ref="E298" r:id="rId443"/>
    <hyperlink xmlns:r="http://schemas.openxmlformats.org/officeDocument/2006/relationships" ref="F298" r:id="rId444"/>
    <hyperlink xmlns:r="http://schemas.openxmlformats.org/officeDocument/2006/relationships" ref="E299" r:id="rId445"/>
    <hyperlink xmlns:r="http://schemas.openxmlformats.org/officeDocument/2006/relationships" ref="E300" r:id="rId446"/>
    <hyperlink xmlns:r="http://schemas.openxmlformats.org/officeDocument/2006/relationships" ref="F300" r:id="rId447"/>
    <hyperlink xmlns:r="http://schemas.openxmlformats.org/officeDocument/2006/relationships" ref="E301" r:id="rId448"/>
    <hyperlink xmlns:r="http://schemas.openxmlformats.org/officeDocument/2006/relationships" ref="F301" r:id="rId449"/>
    <hyperlink xmlns:r="http://schemas.openxmlformats.org/officeDocument/2006/relationships" ref="E302" r:id="rId450"/>
    <hyperlink xmlns:r="http://schemas.openxmlformats.org/officeDocument/2006/relationships" ref="F302" r:id="rId451"/>
    <hyperlink xmlns:r="http://schemas.openxmlformats.org/officeDocument/2006/relationships" ref="E303" r:id="rId452"/>
    <hyperlink xmlns:r="http://schemas.openxmlformats.org/officeDocument/2006/relationships" ref="E304" r:id="rId453"/>
    <hyperlink xmlns:r="http://schemas.openxmlformats.org/officeDocument/2006/relationships" ref="F304" r:id="rId454"/>
    <hyperlink xmlns:r="http://schemas.openxmlformats.org/officeDocument/2006/relationships" ref="E305" r:id="rId455"/>
    <hyperlink xmlns:r="http://schemas.openxmlformats.org/officeDocument/2006/relationships" ref="E306" r:id="rId456"/>
    <hyperlink xmlns:r="http://schemas.openxmlformats.org/officeDocument/2006/relationships" ref="E307" r:id="rId457"/>
    <hyperlink xmlns:r="http://schemas.openxmlformats.org/officeDocument/2006/relationships" ref="F307" r:id="rId458"/>
    <hyperlink xmlns:r="http://schemas.openxmlformats.org/officeDocument/2006/relationships" ref="E308" r:id="rId459"/>
    <hyperlink xmlns:r="http://schemas.openxmlformats.org/officeDocument/2006/relationships" ref="E309" r:id="rId460"/>
    <hyperlink xmlns:r="http://schemas.openxmlformats.org/officeDocument/2006/relationships" ref="F309" r:id="rId461"/>
    <hyperlink xmlns:r="http://schemas.openxmlformats.org/officeDocument/2006/relationships" ref="E310" r:id="rId462"/>
    <hyperlink xmlns:r="http://schemas.openxmlformats.org/officeDocument/2006/relationships" ref="E311" r:id="rId463"/>
    <hyperlink xmlns:r="http://schemas.openxmlformats.org/officeDocument/2006/relationships" ref="E312" r:id="rId464"/>
    <hyperlink xmlns:r="http://schemas.openxmlformats.org/officeDocument/2006/relationships" ref="E313" r:id="rId465"/>
    <hyperlink xmlns:r="http://schemas.openxmlformats.org/officeDocument/2006/relationships" ref="E314" r:id="rId466"/>
    <hyperlink xmlns:r="http://schemas.openxmlformats.org/officeDocument/2006/relationships" ref="E315" r:id="rId467"/>
    <hyperlink xmlns:r="http://schemas.openxmlformats.org/officeDocument/2006/relationships" ref="E316" r:id="rId468"/>
    <hyperlink xmlns:r="http://schemas.openxmlformats.org/officeDocument/2006/relationships" ref="E317" r:id="rId469"/>
    <hyperlink xmlns:r="http://schemas.openxmlformats.org/officeDocument/2006/relationships" ref="E318" r:id="rId470"/>
    <hyperlink xmlns:r="http://schemas.openxmlformats.org/officeDocument/2006/relationships" ref="F318" r:id="rId471"/>
    <hyperlink xmlns:r="http://schemas.openxmlformats.org/officeDocument/2006/relationships" ref="E319" r:id="rId472"/>
    <hyperlink xmlns:r="http://schemas.openxmlformats.org/officeDocument/2006/relationships" ref="E320" r:id="rId473"/>
    <hyperlink xmlns:r="http://schemas.openxmlformats.org/officeDocument/2006/relationships" ref="F320" r:id="rId474"/>
    <hyperlink xmlns:r="http://schemas.openxmlformats.org/officeDocument/2006/relationships" ref="E321" r:id="rId475"/>
    <hyperlink xmlns:r="http://schemas.openxmlformats.org/officeDocument/2006/relationships" ref="E322" r:id="rId476"/>
    <hyperlink xmlns:r="http://schemas.openxmlformats.org/officeDocument/2006/relationships" ref="E323" r:id="rId477"/>
    <hyperlink xmlns:r="http://schemas.openxmlformats.org/officeDocument/2006/relationships" ref="E324" r:id="rId478"/>
    <hyperlink xmlns:r="http://schemas.openxmlformats.org/officeDocument/2006/relationships" ref="F324" r:id="rId479"/>
    <hyperlink xmlns:r="http://schemas.openxmlformats.org/officeDocument/2006/relationships" ref="E325" r:id="rId480"/>
    <hyperlink xmlns:r="http://schemas.openxmlformats.org/officeDocument/2006/relationships" ref="F325" r:id="rId481"/>
    <hyperlink xmlns:r="http://schemas.openxmlformats.org/officeDocument/2006/relationships" ref="E326" r:id="rId482"/>
    <hyperlink xmlns:r="http://schemas.openxmlformats.org/officeDocument/2006/relationships" ref="F326" r:id="rId483"/>
    <hyperlink xmlns:r="http://schemas.openxmlformats.org/officeDocument/2006/relationships" ref="E327" r:id="rId484"/>
    <hyperlink xmlns:r="http://schemas.openxmlformats.org/officeDocument/2006/relationships" ref="E328" r:id="rId485"/>
    <hyperlink xmlns:r="http://schemas.openxmlformats.org/officeDocument/2006/relationships" ref="F328" r:id="rId486"/>
    <hyperlink xmlns:r="http://schemas.openxmlformats.org/officeDocument/2006/relationships" ref="E329" r:id="rId487"/>
    <hyperlink xmlns:r="http://schemas.openxmlformats.org/officeDocument/2006/relationships" ref="E330" r:id="rId488"/>
    <hyperlink xmlns:r="http://schemas.openxmlformats.org/officeDocument/2006/relationships" ref="E331" r:id="rId489"/>
    <hyperlink xmlns:r="http://schemas.openxmlformats.org/officeDocument/2006/relationships" ref="E332" r:id="rId490"/>
    <hyperlink xmlns:r="http://schemas.openxmlformats.org/officeDocument/2006/relationships" ref="E333" r:id="rId491"/>
    <hyperlink xmlns:r="http://schemas.openxmlformats.org/officeDocument/2006/relationships" ref="E334" r:id="rId492"/>
    <hyperlink xmlns:r="http://schemas.openxmlformats.org/officeDocument/2006/relationships" ref="E335" r:id="rId493"/>
    <hyperlink xmlns:r="http://schemas.openxmlformats.org/officeDocument/2006/relationships" ref="E336" r:id="rId494"/>
    <hyperlink xmlns:r="http://schemas.openxmlformats.org/officeDocument/2006/relationships" ref="E337" r:id="rId495"/>
    <hyperlink xmlns:r="http://schemas.openxmlformats.org/officeDocument/2006/relationships" ref="E338" r:id="rId496"/>
    <hyperlink xmlns:r="http://schemas.openxmlformats.org/officeDocument/2006/relationships" ref="E339" r:id="rId497"/>
    <hyperlink xmlns:r="http://schemas.openxmlformats.org/officeDocument/2006/relationships" ref="E340" r:id="rId498"/>
    <hyperlink xmlns:r="http://schemas.openxmlformats.org/officeDocument/2006/relationships" ref="E341" r:id="rId499"/>
    <hyperlink xmlns:r="http://schemas.openxmlformats.org/officeDocument/2006/relationships" ref="E342" r:id="rId500"/>
    <hyperlink xmlns:r="http://schemas.openxmlformats.org/officeDocument/2006/relationships" ref="F342" r:id="rId501"/>
    <hyperlink xmlns:r="http://schemas.openxmlformats.org/officeDocument/2006/relationships" ref="E343" r:id="rId502"/>
    <hyperlink xmlns:r="http://schemas.openxmlformats.org/officeDocument/2006/relationships" ref="F343" r:id="rId503"/>
    <hyperlink xmlns:r="http://schemas.openxmlformats.org/officeDocument/2006/relationships" ref="E344" r:id="rId504"/>
    <hyperlink xmlns:r="http://schemas.openxmlformats.org/officeDocument/2006/relationships" ref="E345" r:id="rId505"/>
    <hyperlink xmlns:r="http://schemas.openxmlformats.org/officeDocument/2006/relationships" ref="F345" r:id="rId506"/>
    <hyperlink xmlns:r="http://schemas.openxmlformats.org/officeDocument/2006/relationships" ref="E346" r:id="rId507"/>
    <hyperlink xmlns:r="http://schemas.openxmlformats.org/officeDocument/2006/relationships" ref="E347" r:id="rId508"/>
    <hyperlink xmlns:r="http://schemas.openxmlformats.org/officeDocument/2006/relationships" ref="E348" r:id="rId509"/>
    <hyperlink xmlns:r="http://schemas.openxmlformats.org/officeDocument/2006/relationships" ref="E349" r:id="rId510"/>
    <hyperlink xmlns:r="http://schemas.openxmlformats.org/officeDocument/2006/relationships" ref="E350" r:id="rId511"/>
    <hyperlink xmlns:r="http://schemas.openxmlformats.org/officeDocument/2006/relationships" ref="F350" r:id="rId512"/>
    <hyperlink xmlns:r="http://schemas.openxmlformats.org/officeDocument/2006/relationships" ref="E351" r:id="rId513"/>
    <hyperlink xmlns:r="http://schemas.openxmlformats.org/officeDocument/2006/relationships" ref="F351" r:id="rId514"/>
    <hyperlink xmlns:r="http://schemas.openxmlformats.org/officeDocument/2006/relationships" ref="E352" r:id="rId515"/>
    <hyperlink xmlns:r="http://schemas.openxmlformats.org/officeDocument/2006/relationships" ref="E353" r:id="rId516"/>
    <hyperlink xmlns:r="http://schemas.openxmlformats.org/officeDocument/2006/relationships" ref="E354" r:id="rId517"/>
    <hyperlink xmlns:r="http://schemas.openxmlformats.org/officeDocument/2006/relationships" ref="E355" r:id="rId518"/>
    <hyperlink xmlns:r="http://schemas.openxmlformats.org/officeDocument/2006/relationships" ref="E356" r:id="rId519"/>
    <hyperlink xmlns:r="http://schemas.openxmlformats.org/officeDocument/2006/relationships" ref="E357" r:id="rId520"/>
    <hyperlink xmlns:r="http://schemas.openxmlformats.org/officeDocument/2006/relationships" ref="E358" r:id="rId521"/>
    <hyperlink xmlns:r="http://schemas.openxmlformats.org/officeDocument/2006/relationships" ref="E359" r:id="rId522"/>
    <hyperlink xmlns:r="http://schemas.openxmlformats.org/officeDocument/2006/relationships" ref="E360" r:id="rId523"/>
    <hyperlink xmlns:r="http://schemas.openxmlformats.org/officeDocument/2006/relationships" ref="E361" r:id="rId524"/>
    <hyperlink xmlns:r="http://schemas.openxmlformats.org/officeDocument/2006/relationships" ref="E362" r:id="rId525"/>
    <hyperlink xmlns:r="http://schemas.openxmlformats.org/officeDocument/2006/relationships" ref="E363" r:id="rId526"/>
    <hyperlink xmlns:r="http://schemas.openxmlformats.org/officeDocument/2006/relationships" ref="E364" r:id="rId527"/>
    <hyperlink xmlns:r="http://schemas.openxmlformats.org/officeDocument/2006/relationships" ref="E365" r:id="rId528"/>
    <hyperlink xmlns:r="http://schemas.openxmlformats.org/officeDocument/2006/relationships" ref="E366" r:id="rId529"/>
    <hyperlink xmlns:r="http://schemas.openxmlformats.org/officeDocument/2006/relationships" ref="E367" r:id="rId530"/>
    <hyperlink xmlns:r="http://schemas.openxmlformats.org/officeDocument/2006/relationships" ref="E368" r:id="rId531"/>
    <hyperlink xmlns:r="http://schemas.openxmlformats.org/officeDocument/2006/relationships" ref="E369" r:id="rId532"/>
    <hyperlink xmlns:r="http://schemas.openxmlformats.org/officeDocument/2006/relationships" ref="F369" r:id="rId533"/>
    <hyperlink xmlns:r="http://schemas.openxmlformats.org/officeDocument/2006/relationships" ref="E370" r:id="rId534"/>
    <hyperlink xmlns:r="http://schemas.openxmlformats.org/officeDocument/2006/relationships" ref="F370" r:id="rId535"/>
    <hyperlink xmlns:r="http://schemas.openxmlformats.org/officeDocument/2006/relationships" ref="E371" r:id="rId536"/>
    <hyperlink xmlns:r="http://schemas.openxmlformats.org/officeDocument/2006/relationships" ref="E372" r:id="rId537"/>
    <hyperlink xmlns:r="http://schemas.openxmlformats.org/officeDocument/2006/relationships" ref="E373" r:id="rId538"/>
    <hyperlink xmlns:r="http://schemas.openxmlformats.org/officeDocument/2006/relationships" ref="E374" r:id="rId539"/>
    <hyperlink xmlns:r="http://schemas.openxmlformats.org/officeDocument/2006/relationships" ref="E375" r:id="rId540"/>
    <hyperlink xmlns:r="http://schemas.openxmlformats.org/officeDocument/2006/relationships" ref="E376" r:id="rId541"/>
    <hyperlink xmlns:r="http://schemas.openxmlformats.org/officeDocument/2006/relationships" ref="F376" r:id="rId542"/>
    <hyperlink xmlns:r="http://schemas.openxmlformats.org/officeDocument/2006/relationships" ref="E377" r:id="rId543"/>
    <hyperlink xmlns:r="http://schemas.openxmlformats.org/officeDocument/2006/relationships" ref="E378" r:id="rId544"/>
    <hyperlink xmlns:r="http://schemas.openxmlformats.org/officeDocument/2006/relationships" ref="E379" r:id="rId545"/>
    <hyperlink xmlns:r="http://schemas.openxmlformats.org/officeDocument/2006/relationships" ref="F379" r:id="rId546"/>
    <hyperlink xmlns:r="http://schemas.openxmlformats.org/officeDocument/2006/relationships" ref="E380" r:id="rId547"/>
    <hyperlink xmlns:r="http://schemas.openxmlformats.org/officeDocument/2006/relationships" ref="E381" r:id="rId548"/>
    <hyperlink xmlns:r="http://schemas.openxmlformats.org/officeDocument/2006/relationships" ref="E382" r:id="rId549"/>
    <hyperlink xmlns:r="http://schemas.openxmlformats.org/officeDocument/2006/relationships" ref="E383" r:id="rId550"/>
    <hyperlink xmlns:r="http://schemas.openxmlformats.org/officeDocument/2006/relationships" ref="F383" r:id="rId551"/>
    <hyperlink xmlns:r="http://schemas.openxmlformats.org/officeDocument/2006/relationships" ref="E384" r:id="rId552"/>
    <hyperlink xmlns:r="http://schemas.openxmlformats.org/officeDocument/2006/relationships" ref="E385" r:id="rId553"/>
    <hyperlink xmlns:r="http://schemas.openxmlformats.org/officeDocument/2006/relationships" ref="F385" r:id="rId554"/>
    <hyperlink xmlns:r="http://schemas.openxmlformats.org/officeDocument/2006/relationships" ref="E386" r:id="rId555"/>
    <hyperlink xmlns:r="http://schemas.openxmlformats.org/officeDocument/2006/relationships" ref="F386" r:id="rId556"/>
    <hyperlink xmlns:r="http://schemas.openxmlformats.org/officeDocument/2006/relationships" ref="E387" r:id="rId557"/>
    <hyperlink xmlns:r="http://schemas.openxmlformats.org/officeDocument/2006/relationships" ref="E388" r:id="rId558"/>
    <hyperlink xmlns:r="http://schemas.openxmlformats.org/officeDocument/2006/relationships" ref="E389" r:id="rId559"/>
    <hyperlink xmlns:r="http://schemas.openxmlformats.org/officeDocument/2006/relationships" ref="F389" r:id="rId560"/>
    <hyperlink xmlns:r="http://schemas.openxmlformats.org/officeDocument/2006/relationships" ref="E390" r:id="rId561"/>
    <hyperlink xmlns:r="http://schemas.openxmlformats.org/officeDocument/2006/relationships" ref="E391" r:id="rId562"/>
    <hyperlink xmlns:r="http://schemas.openxmlformats.org/officeDocument/2006/relationships" ref="E392" r:id="rId563"/>
    <hyperlink xmlns:r="http://schemas.openxmlformats.org/officeDocument/2006/relationships" ref="F392" r:id="rId564"/>
    <hyperlink xmlns:r="http://schemas.openxmlformats.org/officeDocument/2006/relationships" ref="E393" r:id="rId565"/>
    <hyperlink xmlns:r="http://schemas.openxmlformats.org/officeDocument/2006/relationships" ref="E394" r:id="rId566"/>
    <hyperlink xmlns:r="http://schemas.openxmlformats.org/officeDocument/2006/relationships" ref="E395" r:id="rId567"/>
    <hyperlink xmlns:r="http://schemas.openxmlformats.org/officeDocument/2006/relationships" ref="E396" r:id="rId568"/>
    <hyperlink xmlns:r="http://schemas.openxmlformats.org/officeDocument/2006/relationships" ref="F396" r:id="rId569"/>
    <hyperlink xmlns:r="http://schemas.openxmlformats.org/officeDocument/2006/relationships" ref="E397" r:id="rId570"/>
    <hyperlink xmlns:r="http://schemas.openxmlformats.org/officeDocument/2006/relationships" ref="E398" r:id="rId571"/>
    <hyperlink xmlns:r="http://schemas.openxmlformats.org/officeDocument/2006/relationships" ref="F398" r:id="rId572"/>
    <hyperlink xmlns:r="http://schemas.openxmlformats.org/officeDocument/2006/relationships" ref="E399" r:id="rId573"/>
    <hyperlink xmlns:r="http://schemas.openxmlformats.org/officeDocument/2006/relationships" ref="E400" r:id="rId574"/>
    <hyperlink xmlns:r="http://schemas.openxmlformats.org/officeDocument/2006/relationships" ref="E401" r:id="rId575"/>
    <hyperlink xmlns:r="http://schemas.openxmlformats.org/officeDocument/2006/relationships" ref="E402" r:id="rId576"/>
    <hyperlink xmlns:r="http://schemas.openxmlformats.org/officeDocument/2006/relationships" ref="E403" r:id="rId577"/>
    <hyperlink xmlns:r="http://schemas.openxmlformats.org/officeDocument/2006/relationships" ref="F403" r:id="rId578"/>
    <hyperlink xmlns:r="http://schemas.openxmlformats.org/officeDocument/2006/relationships" ref="E404" r:id="rId579"/>
    <hyperlink xmlns:r="http://schemas.openxmlformats.org/officeDocument/2006/relationships" ref="F404" r:id="rId580"/>
    <hyperlink xmlns:r="http://schemas.openxmlformats.org/officeDocument/2006/relationships" ref="E405" r:id="rId581"/>
    <hyperlink xmlns:r="http://schemas.openxmlformats.org/officeDocument/2006/relationships" ref="F405" r:id="rId582"/>
    <hyperlink xmlns:r="http://schemas.openxmlformats.org/officeDocument/2006/relationships" ref="E406" r:id="rId583"/>
    <hyperlink xmlns:r="http://schemas.openxmlformats.org/officeDocument/2006/relationships" ref="F406" r:id="rId584"/>
    <hyperlink xmlns:r="http://schemas.openxmlformats.org/officeDocument/2006/relationships" ref="E407" r:id="rId585"/>
    <hyperlink xmlns:r="http://schemas.openxmlformats.org/officeDocument/2006/relationships" ref="F407" r:id="rId586"/>
    <hyperlink xmlns:r="http://schemas.openxmlformats.org/officeDocument/2006/relationships" ref="E408" r:id="rId587"/>
    <hyperlink xmlns:r="http://schemas.openxmlformats.org/officeDocument/2006/relationships" ref="F408" r:id="rId588"/>
    <hyperlink xmlns:r="http://schemas.openxmlformats.org/officeDocument/2006/relationships" ref="E409" r:id="rId589"/>
    <hyperlink xmlns:r="http://schemas.openxmlformats.org/officeDocument/2006/relationships" ref="F409" r:id="rId590"/>
    <hyperlink xmlns:r="http://schemas.openxmlformats.org/officeDocument/2006/relationships" ref="E410" r:id="rId591"/>
    <hyperlink xmlns:r="http://schemas.openxmlformats.org/officeDocument/2006/relationships" ref="E411" r:id="rId592"/>
    <hyperlink xmlns:r="http://schemas.openxmlformats.org/officeDocument/2006/relationships" ref="F411" r:id="rId593"/>
    <hyperlink xmlns:r="http://schemas.openxmlformats.org/officeDocument/2006/relationships" ref="E412" r:id="rId594"/>
    <hyperlink xmlns:r="http://schemas.openxmlformats.org/officeDocument/2006/relationships" ref="F412" r:id="rId595"/>
    <hyperlink xmlns:r="http://schemas.openxmlformats.org/officeDocument/2006/relationships" ref="E413" r:id="rId596"/>
    <hyperlink xmlns:r="http://schemas.openxmlformats.org/officeDocument/2006/relationships" ref="F413" r:id="rId597"/>
    <hyperlink xmlns:r="http://schemas.openxmlformats.org/officeDocument/2006/relationships" ref="E414" r:id="rId598"/>
    <hyperlink xmlns:r="http://schemas.openxmlformats.org/officeDocument/2006/relationships" ref="F414" r:id="rId599"/>
    <hyperlink xmlns:r="http://schemas.openxmlformats.org/officeDocument/2006/relationships" ref="E415" r:id="rId600"/>
    <hyperlink xmlns:r="http://schemas.openxmlformats.org/officeDocument/2006/relationships" ref="F415" r:id="rId601"/>
    <hyperlink xmlns:r="http://schemas.openxmlformats.org/officeDocument/2006/relationships" ref="E416" r:id="rId602"/>
    <hyperlink xmlns:r="http://schemas.openxmlformats.org/officeDocument/2006/relationships" ref="F416" r:id="rId603"/>
    <hyperlink xmlns:r="http://schemas.openxmlformats.org/officeDocument/2006/relationships" ref="E417" r:id="rId604"/>
    <hyperlink xmlns:r="http://schemas.openxmlformats.org/officeDocument/2006/relationships" ref="F417" r:id="rId605"/>
    <hyperlink xmlns:r="http://schemas.openxmlformats.org/officeDocument/2006/relationships" ref="E418" r:id="rId606"/>
    <hyperlink xmlns:r="http://schemas.openxmlformats.org/officeDocument/2006/relationships" ref="F418" r:id="rId607"/>
    <hyperlink xmlns:r="http://schemas.openxmlformats.org/officeDocument/2006/relationships" ref="E419" r:id="rId608"/>
    <hyperlink xmlns:r="http://schemas.openxmlformats.org/officeDocument/2006/relationships" ref="F419" r:id="rId609"/>
    <hyperlink xmlns:r="http://schemas.openxmlformats.org/officeDocument/2006/relationships" ref="E420" r:id="rId610"/>
    <hyperlink xmlns:r="http://schemas.openxmlformats.org/officeDocument/2006/relationships" ref="F420" r:id="rId611"/>
    <hyperlink xmlns:r="http://schemas.openxmlformats.org/officeDocument/2006/relationships" ref="E421" r:id="rId612"/>
    <hyperlink xmlns:r="http://schemas.openxmlformats.org/officeDocument/2006/relationships" ref="E422" r:id="rId613"/>
    <hyperlink xmlns:r="http://schemas.openxmlformats.org/officeDocument/2006/relationships" ref="E423" r:id="rId614"/>
    <hyperlink xmlns:r="http://schemas.openxmlformats.org/officeDocument/2006/relationships" ref="F423" r:id="rId615"/>
    <hyperlink xmlns:r="http://schemas.openxmlformats.org/officeDocument/2006/relationships" ref="E424" r:id="rId616"/>
    <hyperlink xmlns:r="http://schemas.openxmlformats.org/officeDocument/2006/relationships" ref="E425" r:id="rId617"/>
    <hyperlink xmlns:r="http://schemas.openxmlformats.org/officeDocument/2006/relationships" ref="F425" r:id="rId618"/>
    <hyperlink xmlns:r="http://schemas.openxmlformats.org/officeDocument/2006/relationships" ref="E426" r:id="rId619"/>
    <hyperlink xmlns:r="http://schemas.openxmlformats.org/officeDocument/2006/relationships" ref="E427" r:id="rId620"/>
    <hyperlink xmlns:r="http://schemas.openxmlformats.org/officeDocument/2006/relationships" ref="E428" r:id="rId621"/>
    <hyperlink xmlns:r="http://schemas.openxmlformats.org/officeDocument/2006/relationships" ref="F428" r:id="rId622"/>
    <hyperlink xmlns:r="http://schemas.openxmlformats.org/officeDocument/2006/relationships" ref="E429" r:id="rId623"/>
    <hyperlink xmlns:r="http://schemas.openxmlformats.org/officeDocument/2006/relationships" ref="F429" r:id="rId624"/>
    <hyperlink xmlns:r="http://schemas.openxmlformats.org/officeDocument/2006/relationships" ref="E430" r:id="rId625"/>
    <hyperlink xmlns:r="http://schemas.openxmlformats.org/officeDocument/2006/relationships" ref="E431" r:id="rId626"/>
    <hyperlink xmlns:r="http://schemas.openxmlformats.org/officeDocument/2006/relationships" ref="F431" r:id="rId627"/>
    <hyperlink xmlns:r="http://schemas.openxmlformats.org/officeDocument/2006/relationships" ref="E432" r:id="rId628"/>
    <hyperlink xmlns:r="http://schemas.openxmlformats.org/officeDocument/2006/relationships" ref="F432" r:id="rId629"/>
    <hyperlink xmlns:r="http://schemas.openxmlformats.org/officeDocument/2006/relationships" ref="E433" r:id="rId630"/>
    <hyperlink xmlns:r="http://schemas.openxmlformats.org/officeDocument/2006/relationships" ref="F433" r:id="rId631"/>
    <hyperlink xmlns:r="http://schemas.openxmlformats.org/officeDocument/2006/relationships" ref="E434" r:id="rId632"/>
    <hyperlink xmlns:r="http://schemas.openxmlformats.org/officeDocument/2006/relationships" ref="F434" r:id="rId633"/>
    <hyperlink xmlns:r="http://schemas.openxmlformats.org/officeDocument/2006/relationships" ref="E435" r:id="rId634"/>
    <hyperlink xmlns:r="http://schemas.openxmlformats.org/officeDocument/2006/relationships" ref="F435" r:id="rId635"/>
    <hyperlink xmlns:r="http://schemas.openxmlformats.org/officeDocument/2006/relationships" ref="E436" r:id="rId636"/>
    <hyperlink xmlns:r="http://schemas.openxmlformats.org/officeDocument/2006/relationships" ref="F436" r:id="rId637"/>
    <hyperlink xmlns:r="http://schemas.openxmlformats.org/officeDocument/2006/relationships" ref="E437" r:id="rId638"/>
    <hyperlink xmlns:r="http://schemas.openxmlformats.org/officeDocument/2006/relationships" ref="F437" r:id="rId639"/>
    <hyperlink xmlns:r="http://schemas.openxmlformats.org/officeDocument/2006/relationships" ref="E438" r:id="rId640"/>
    <hyperlink xmlns:r="http://schemas.openxmlformats.org/officeDocument/2006/relationships" ref="E439" r:id="rId641"/>
    <hyperlink xmlns:r="http://schemas.openxmlformats.org/officeDocument/2006/relationships" ref="F439" r:id="rId642"/>
    <hyperlink xmlns:r="http://schemas.openxmlformats.org/officeDocument/2006/relationships" ref="E440" r:id="rId643"/>
    <hyperlink xmlns:r="http://schemas.openxmlformats.org/officeDocument/2006/relationships" ref="F440" r:id="rId644"/>
    <hyperlink xmlns:r="http://schemas.openxmlformats.org/officeDocument/2006/relationships" ref="E441" r:id="rId645"/>
    <hyperlink xmlns:r="http://schemas.openxmlformats.org/officeDocument/2006/relationships" ref="F441" r:id="rId646"/>
    <hyperlink xmlns:r="http://schemas.openxmlformats.org/officeDocument/2006/relationships" ref="E442" r:id="rId647"/>
    <hyperlink xmlns:r="http://schemas.openxmlformats.org/officeDocument/2006/relationships" ref="E443" r:id="rId648"/>
    <hyperlink xmlns:r="http://schemas.openxmlformats.org/officeDocument/2006/relationships" ref="F443" r:id="rId649"/>
    <hyperlink xmlns:r="http://schemas.openxmlformats.org/officeDocument/2006/relationships" ref="E444" r:id="rId650"/>
    <hyperlink xmlns:r="http://schemas.openxmlformats.org/officeDocument/2006/relationships" ref="F444" r:id="rId651"/>
    <hyperlink xmlns:r="http://schemas.openxmlformats.org/officeDocument/2006/relationships" ref="E445" r:id="rId652"/>
    <hyperlink xmlns:r="http://schemas.openxmlformats.org/officeDocument/2006/relationships" ref="E446" r:id="rId653"/>
    <hyperlink xmlns:r="http://schemas.openxmlformats.org/officeDocument/2006/relationships" ref="E447" r:id="rId654"/>
    <hyperlink xmlns:r="http://schemas.openxmlformats.org/officeDocument/2006/relationships" ref="E448" r:id="rId655"/>
    <hyperlink xmlns:r="http://schemas.openxmlformats.org/officeDocument/2006/relationships" ref="E449" r:id="rId656"/>
    <hyperlink xmlns:r="http://schemas.openxmlformats.org/officeDocument/2006/relationships" ref="F449" r:id="rId657"/>
    <hyperlink xmlns:r="http://schemas.openxmlformats.org/officeDocument/2006/relationships" ref="E450" r:id="rId658"/>
    <hyperlink xmlns:r="http://schemas.openxmlformats.org/officeDocument/2006/relationships" ref="F450" r:id="rId659"/>
    <hyperlink xmlns:r="http://schemas.openxmlformats.org/officeDocument/2006/relationships" ref="E451" r:id="rId660"/>
    <hyperlink xmlns:r="http://schemas.openxmlformats.org/officeDocument/2006/relationships" ref="F451" r:id="rId661"/>
    <hyperlink xmlns:r="http://schemas.openxmlformats.org/officeDocument/2006/relationships" ref="E452" r:id="rId662"/>
    <hyperlink xmlns:r="http://schemas.openxmlformats.org/officeDocument/2006/relationships" ref="E453" r:id="rId663"/>
    <hyperlink xmlns:r="http://schemas.openxmlformats.org/officeDocument/2006/relationships" ref="E454" r:id="rId664"/>
    <hyperlink xmlns:r="http://schemas.openxmlformats.org/officeDocument/2006/relationships" ref="E455" r:id="rId665"/>
    <hyperlink xmlns:r="http://schemas.openxmlformats.org/officeDocument/2006/relationships" ref="E456" r:id="rId666"/>
    <hyperlink xmlns:r="http://schemas.openxmlformats.org/officeDocument/2006/relationships" ref="E457" r:id="rId667"/>
    <hyperlink xmlns:r="http://schemas.openxmlformats.org/officeDocument/2006/relationships" ref="E458" r:id="rId668"/>
    <hyperlink xmlns:r="http://schemas.openxmlformats.org/officeDocument/2006/relationships" ref="F458" r:id="rId669"/>
    <hyperlink xmlns:r="http://schemas.openxmlformats.org/officeDocument/2006/relationships" ref="E459" r:id="rId670"/>
    <hyperlink xmlns:r="http://schemas.openxmlformats.org/officeDocument/2006/relationships" ref="E460" r:id="rId671"/>
    <hyperlink xmlns:r="http://schemas.openxmlformats.org/officeDocument/2006/relationships" ref="F460" r:id="rId672"/>
    <hyperlink xmlns:r="http://schemas.openxmlformats.org/officeDocument/2006/relationships" ref="E461" r:id="rId673"/>
    <hyperlink xmlns:r="http://schemas.openxmlformats.org/officeDocument/2006/relationships" ref="E462" r:id="rId674"/>
    <hyperlink xmlns:r="http://schemas.openxmlformats.org/officeDocument/2006/relationships" ref="E463" r:id="rId675"/>
    <hyperlink xmlns:r="http://schemas.openxmlformats.org/officeDocument/2006/relationships" ref="E464" r:id="rId676"/>
    <hyperlink xmlns:r="http://schemas.openxmlformats.org/officeDocument/2006/relationships" ref="E465" r:id="rId677"/>
    <hyperlink xmlns:r="http://schemas.openxmlformats.org/officeDocument/2006/relationships" ref="E466" r:id="rId678"/>
    <hyperlink xmlns:r="http://schemas.openxmlformats.org/officeDocument/2006/relationships" ref="E467" r:id="rId679"/>
    <hyperlink xmlns:r="http://schemas.openxmlformats.org/officeDocument/2006/relationships" ref="E468" r:id="rId680"/>
    <hyperlink xmlns:r="http://schemas.openxmlformats.org/officeDocument/2006/relationships" ref="E469" r:id="rId681"/>
    <hyperlink xmlns:r="http://schemas.openxmlformats.org/officeDocument/2006/relationships" ref="E470" r:id="rId682"/>
    <hyperlink xmlns:r="http://schemas.openxmlformats.org/officeDocument/2006/relationships" ref="E471" r:id="rId683"/>
    <hyperlink xmlns:r="http://schemas.openxmlformats.org/officeDocument/2006/relationships" ref="E472" r:id="rId684"/>
    <hyperlink xmlns:r="http://schemas.openxmlformats.org/officeDocument/2006/relationships" ref="F472" r:id="rId685"/>
    <hyperlink xmlns:r="http://schemas.openxmlformats.org/officeDocument/2006/relationships" ref="E473" r:id="rId686"/>
    <hyperlink xmlns:r="http://schemas.openxmlformats.org/officeDocument/2006/relationships" ref="E474" r:id="rId687"/>
    <hyperlink xmlns:r="http://schemas.openxmlformats.org/officeDocument/2006/relationships" ref="F474" r:id="rId688"/>
    <hyperlink xmlns:r="http://schemas.openxmlformats.org/officeDocument/2006/relationships" ref="E475" r:id="rId689"/>
    <hyperlink xmlns:r="http://schemas.openxmlformats.org/officeDocument/2006/relationships" ref="F475" r:id="rId690"/>
    <hyperlink xmlns:r="http://schemas.openxmlformats.org/officeDocument/2006/relationships" ref="E476" r:id="rId691"/>
    <hyperlink xmlns:r="http://schemas.openxmlformats.org/officeDocument/2006/relationships" ref="F476" r:id="rId692"/>
    <hyperlink xmlns:r="http://schemas.openxmlformats.org/officeDocument/2006/relationships" ref="E477" r:id="rId693"/>
    <hyperlink xmlns:r="http://schemas.openxmlformats.org/officeDocument/2006/relationships" ref="E478" r:id="rId694"/>
    <hyperlink xmlns:r="http://schemas.openxmlformats.org/officeDocument/2006/relationships" ref="F478" r:id="rId695"/>
    <hyperlink xmlns:r="http://schemas.openxmlformats.org/officeDocument/2006/relationships" ref="E479" r:id="rId696"/>
    <hyperlink xmlns:r="http://schemas.openxmlformats.org/officeDocument/2006/relationships" ref="E480" r:id="rId697"/>
    <hyperlink xmlns:r="http://schemas.openxmlformats.org/officeDocument/2006/relationships" ref="E481" r:id="rId698"/>
    <hyperlink xmlns:r="http://schemas.openxmlformats.org/officeDocument/2006/relationships" ref="F481" r:id="rId699"/>
    <hyperlink xmlns:r="http://schemas.openxmlformats.org/officeDocument/2006/relationships" ref="E482" r:id="rId700"/>
    <hyperlink xmlns:r="http://schemas.openxmlformats.org/officeDocument/2006/relationships" ref="F482" r:id="rId701"/>
    <hyperlink xmlns:r="http://schemas.openxmlformats.org/officeDocument/2006/relationships" ref="E483" r:id="rId702"/>
    <hyperlink xmlns:r="http://schemas.openxmlformats.org/officeDocument/2006/relationships" ref="F483" r:id="rId703"/>
    <hyperlink xmlns:r="http://schemas.openxmlformats.org/officeDocument/2006/relationships" ref="E484" r:id="rId704"/>
    <hyperlink xmlns:r="http://schemas.openxmlformats.org/officeDocument/2006/relationships" ref="E485" r:id="rId705"/>
    <hyperlink xmlns:r="http://schemas.openxmlformats.org/officeDocument/2006/relationships" ref="F485" r:id="rId706"/>
    <hyperlink xmlns:r="http://schemas.openxmlformats.org/officeDocument/2006/relationships" ref="E486" r:id="rId707"/>
    <hyperlink xmlns:r="http://schemas.openxmlformats.org/officeDocument/2006/relationships" ref="F486" r:id="rId708"/>
    <hyperlink xmlns:r="http://schemas.openxmlformats.org/officeDocument/2006/relationships" ref="E487" r:id="rId709"/>
    <hyperlink xmlns:r="http://schemas.openxmlformats.org/officeDocument/2006/relationships" ref="F487" r:id="rId710"/>
    <hyperlink xmlns:r="http://schemas.openxmlformats.org/officeDocument/2006/relationships" ref="E488" r:id="rId711"/>
    <hyperlink xmlns:r="http://schemas.openxmlformats.org/officeDocument/2006/relationships" ref="F488" r:id="rId712"/>
    <hyperlink xmlns:r="http://schemas.openxmlformats.org/officeDocument/2006/relationships" ref="E489" r:id="rId713"/>
    <hyperlink xmlns:r="http://schemas.openxmlformats.org/officeDocument/2006/relationships" ref="F489" r:id="rId714"/>
    <hyperlink xmlns:r="http://schemas.openxmlformats.org/officeDocument/2006/relationships" ref="E490" r:id="rId715"/>
    <hyperlink xmlns:r="http://schemas.openxmlformats.org/officeDocument/2006/relationships" ref="F490" r:id="rId716"/>
    <hyperlink xmlns:r="http://schemas.openxmlformats.org/officeDocument/2006/relationships" ref="E491" r:id="rId717"/>
    <hyperlink xmlns:r="http://schemas.openxmlformats.org/officeDocument/2006/relationships" ref="E492" r:id="rId718"/>
    <hyperlink xmlns:r="http://schemas.openxmlformats.org/officeDocument/2006/relationships" ref="F492" r:id="rId719"/>
    <hyperlink xmlns:r="http://schemas.openxmlformats.org/officeDocument/2006/relationships" ref="E493" r:id="rId720"/>
    <hyperlink xmlns:r="http://schemas.openxmlformats.org/officeDocument/2006/relationships" ref="F493" r:id="rId721"/>
    <hyperlink xmlns:r="http://schemas.openxmlformats.org/officeDocument/2006/relationships" ref="E494" r:id="rId722"/>
    <hyperlink xmlns:r="http://schemas.openxmlformats.org/officeDocument/2006/relationships" ref="F494" r:id="rId723"/>
    <hyperlink xmlns:r="http://schemas.openxmlformats.org/officeDocument/2006/relationships" ref="E495" r:id="rId724"/>
    <hyperlink xmlns:r="http://schemas.openxmlformats.org/officeDocument/2006/relationships" ref="F495" r:id="rId725"/>
    <hyperlink xmlns:r="http://schemas.openxmlformats.org/officeDocument/2006/relationships" ref="E496" r:id="rId726"/>
    <hyperlink xmlns:r="http://schemas.openxmlformats.org/officeDocument/2006/relationships" ref="F496" r:id="rId727"/>
    <hyperlink xmlns:r="http://schemas.openxmlformats.org/officeDocument/2006/relationships" ref="E497" r:id="rId728"/>
    <hyperlink xmlns:r="http://schemas.openxmlformats.org/officeDocument/2006/relationships" ref="F497" r:id="rId729"/>
    <hyperlink xmlns:r="http://schemas.openxmlformats.org/officeDocument/2006/relationships" ref="E498" r:id="rId730"/>
    <hyperlink xmlns:r="http://schemas.openxmlformats.org/officeDocument/2006/relationships" ref="F498" r:id="rId731"/>
    <hyperlink xmlns:r="http://schemas.openxmlformats.org/officeDocument/2006/relationships" ref="E499" r:id="rId732"/>
    <hyperlink xmlns:r="http://schemas.openxmlformats.org/officeDocument/2006/relationships" ref="F499" r:id="rId733"/>
    <hyperlink xmlns:r="http://schemas.openxmlformats.org/officeDocument/2006/relationships" ref="E500" r:id="rId734"/>
    <hyperlink xmlns:r="http://schemas.openxmlformats.org/officeDocument/2006/relationships" ref="F500" r:id="rId735"/>
    <hyperlink xmlns:r="http://schemas.openxmlformats.org/officeDocument/2006/relationships" ref="E501" r:id="rId736"/>
    <hyperlink xmlns:r="http://schemas.openxmlformats.org/officeDocument/2006/relationships" ref="F501" r:id="rId737"/>
    <hyperlink xmlns:r="http://schemas.openxmlformats.org/officeDocument/2006/relationships" ref="E502" r:id="rId738"/>
    <hyperlink xmlns:r="http://schemas.openxmlformats.org/officeDocument/2006/relationships" ref="F502" r:id="rId739"/>
    <hyperlink xmlns:r="http://schemas.openxmlformats.org/officeDocument/2006/relationships" ref="E503" r:id="rId740"/>
    <hyperlink xmlns:r="http://schemas.openxmlformats.org/officeDocument/2006/relationships" ref="E504" r:id="rId741"/>
    <hyperlink xmlns:r="http://schemas.openxmlformats.org/officeDocument/2006/relationships" ref="F504" r:id="rId742"/>
    <hyperlink xmlns:r="http://schemas.openxmlformats.org/officeDocument/2006/relationships" ref="E505" r:id="rId743"/>
    <hyperlink xmlns:r="http://schemas.openxmlformats.org/officeDocument/2006/relationships" ref="E506" r:id="rId744"/>
    <hyperlink xmlns:r="http://schemas.openxmlformats.org/officeDocument/2006/relationships" ref="F506" r:id="rId745"/>
    <hyperlink xmlns:r="http://schemas.openxmlformats.org/officeDocument/2006/relationships" ref="E507" r:id="rId746"/>
    <hyperlink xmlns:r="http://schemas.openxmlformats.org/officeDocument/2006/relationships" ref="E508" r:id="rId747"/>
    <hyperlink xmlns:r="http://schemas.openxmlformats.org/officeDocument/2006/relationships" ref="F508" r:id="rId748"/>
    <hyperlink xmlns:r="http://schemas.openxmlformats.org/officeDocument/2006/relationships" ref="E509" r:id="rId749"/>
    <hyperlink xmlns:r="http://schemas.openxmlformats.org/officeDocument/2006/relationships" ref="E510" r:id="rId750"/>
    <hyperlink xmlns:r="http://schemas.openxmlformats.org/officeDocument/2006/relationships" ref="F510" r:id="rId751"/>
    <hyperlink xmlns:r="http://schemas.openxmlformats.org/officeDocument/2006/relationships" ref="E511" r:id="rId752"/>
    <hyperlink xmlns:r="http://schemas.openxmlformats.org/officeDocument/2006/relationships" ref="F511" r:id="rId753"/>
    <hyperlink xmlns:r="http://schemas.openxmlformats.org/officeDocument/2006/relationships" ref="E512" r:id="rId754"/>
    <hyperlink xmlns:r="http://schemas.openxmlformats.org/officeDocument/2006/relationships" ref="E513" r:id="rId755"/>
    <hyperlink xmlns:r="http://schemas.openxmlformats.org/officeDocument/2006/relationships" ref="F513" r:id="rId756"/>
    <hyperlink xmlns:r="http://schemas.openxmlformats.org/officeDocument/2006/relationships" ref="E514" r:id="rId757"/>
    <hyperlink xmlns:r="http://schemas.openxmlformats.org/officeDocument/2006/relationships" ref="E515" r:id="rId758"/>
    <hyperlink xmlns:r="http://schemas.openxmlformats.org/officeDocument/2006/relationships" ref="F515" r:id="rId759"/>
    <hyperlink xmlns:r="http://schemas.openxmlformats.org/officeDocument/2006/relationships" ref="E516" r:id="rId76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6" customWidth="1" min="1" max="1"/>
    <col width="22" customWidth="1" min="2" max="2"/>
    <col width="40" customWidth="1" min="3" max="3"/>
    <col width="10" customWidth="1" min="4" max="4"/>
  </cols>
  <sheetData>
    <row r="1" ht="32" customHeight="1">
      <c r="A1" s="6" t="inlineStr">
        <is>
          <t>Category code</t>
        </is>
      </c>
      <c r="B1" s="6" t="inlineStr">
        <is>
          <t>Band</t>
        </is>
      </c>
      <c r="C1" s="6" t="inlineStr">
        <is>
          <t>Meaning</t>
        </is>
      </c>
      <c r="D1" s="6" t="inlineStr">
        <is>
          <t>Records</t>
        </is>
      </c>
    </row>
    <row r="2">
      <c r="A2" s="15" t="inlineStr">
        <is>
          <t>bible.creation</t>
        </is>
      </c>
      <c r="B2" s="20" t="inlineStr">
        <is>
          <t>Bible</t>
        </is>
      </c>
      <c r="C2" s="15" t="inlineStr">
        <is>
          <t>Creation</t>
        </is>
      </c>
      <c r="D2" s="15">
        <f>COUNTIF(Timeline!$P:$P,A2)</f>
        <v/>
      </c>
    </row>
    <row r="3">
      <c r="A3" s="15" t="inlineStr">
        <is>
          <t>bible.patriarch</t>
        </is>
      </c>
      <c r="B3" s="20" t="inlineStr">
        <is>
          <t>Bible</t>
        </is>
      </c>
      <c r="C3" s="15" t="inlineStr">
        <is>
          <t>Patriarchs (Adam to Joseph)</t>
        </is>
      </c>
      <c r="D3" s="15">
        <f>COUNTIF(Timeline!$P:$P,A3)</f>
        <v/>
      </c>
    </row>
    <row r="4">
      <c r="A4" s="15" t="inlineStr">
        <is>
          <t>bible.covenant</t>
        </is>
      </c>
      <c r="B4" s="20" t="inlineStr">
        <is>
          <t>Bible</t>
        </is>
      </c>
      <c r="C4" s="15" t="inlineStr">
        <is>
          <t>Covenants</t>
        </is>
      </c>
      <c r="D4" s="15">
        <f>COUNTIF(Timeline!$P:$P,A4)</f>
        <v/>
      </c>
    </row>
    <row r="5">
      <c r="A5" s="15" t="inlineStr">
        <is>
          <t>bible.judgment</t>
        </is>
      </c>
      <c r="B5" s="20" t="inlineStr">
        <is>
          <t>Bible</t>
        </is>
      </c>
      <c r="C5" s="15" t="inlineStr">
        <is>
          <t>Divine judgments</t>
        </is>
      </c>
      <c r="D5" s="15">
        <f>COUNTIF(Timeline!$P:$P,A5)</f>
        <v/>
      </c>
    </row>
    <row r="6">
      <c r="A6" s="15" t="inlineStr">
        <is>
          <t>bible.exodus_law</t>
        </is>
      </c>
      <c r="B6" s="20" t="inlineStr">
        <is>
          <t>Bible</t>
        </is>
      </c>
      <c r="C6" s="15" t="inlineStr">
        <is>
          <t>Exodus and the Law</t>
        </is>
      </c>
      <c r="D6" s="15">
        <f>COUNTIF(Timeline!$P:$P,A6)</f>
        <v/>
      </c>
    </row>
    <row r="7">
      <c r="A7" s="15" t="inlineStr">
        <is>
          <t>bible.conquest_judges</t>
        </is>
      </c>
      <c r="B7" s="20" t="inlineStr">
        <is>
          <t>Bible</t>
        </is>
      </c>
      <c r="C7" s="15" t="inlineStr">
        <is>
          <t>Conquest and Judges</t>
        </is>
      </c>
      <c r="D7" s="15">
        <f>COUNTIF(Timeline!$P:$P,A7)</f>
        <v/>
      </c>
    </row>
    <row r="8">
      <c r="A8" s="15" t="inlineStr">
        <is>
          <t>bible.monarchy</t>
        </is>
      </c>
      <c r="B8" s="20" t="inlineStr">
        <is>
          <t>Bible</t>
        </is>
      </c>
      <c r="C8" s="15" t="inlineStr">
        <is>
          <t>Kings of Israel and Judah</t>
        </is>
      </c>
      <c r="D8" s="15">
        <f>COUNTIF(Timeline!$P:$P,A8)</f>
        <v/>
      </c>
    </row>
    <row r="9">
      <c r="A9" s="15" t="inlineStr">
        <is>
          <t>bible.prophet</t>
        </is>
      </c>
      <c r="B9" s="20" t="inlineStr">
        <is>
          <t>Bible</t>
        </is>
      </c>
      <c r="C9" s="15" t="inlineStr">
        <is>
          <t>Prophets</t>
        </is>
      </c>
      <c r="D9" s="15">
        <f>COUNTIF(Timeline!$P:$P,A9)</f>
        <v/>
      </c>
    </row>
    <row r="10">
      <c r="A10" s="15" t="inlineStr">
        <is>
          <t>bible.temple</t>
        </is>
      </c>
      <c r="B10" s="20" t="inlineStr">
        <is>
          <t>Bible</t>
        </is>
      </c>
      <c r="C10" s="15" t="inlineStr">
        <is>
          <t>Temple</t>
        </is>
      </c>
      <c r="D10" s="15">
        <f>COUNTIF(Timeline!$P:$P,A10)</f>
        <v/>
      </c>
    </row>
    <row r="11">
      <c r="A11" s="15" t="inlineStr">
        <is>
          <t>bible.exile_return</t>
        </is>
      </c>
      <c r="B11" s="20" t="inlineStr">
        <is>
          <t>Bible</t>
        </is>
      </c>
      <c r="C11" s="15" t="inlineStr">
        <is>
          <t>Exile and return</t>
        </is>
      </c>
      <c r="D11" s="15">
        <f>COUNTIF(Timeline!$P:$P,A11)</f>
        <v/>
      </c>
    </row>
    <row r="12">
      <c r="A12" s="15" t="inlineStr">
        <is>
          <t>bible.book_writing</t>
        </is>
      </c>
      <c r="B12" s="20" t="inlineStr">
        <is>
          <t>Bible</t>
        </is>
      </c>
      <c r="C12" s="15" t="inlineStr">
        <is>
          <t>Bible books written</t>
        </is>
      </c>
      <c r="D12" s="15">
        <f>COUNTIF(Timeline!$P:$P,A12)</f>
        <v/>
      </c>
    </row>
    <row r="13">
      <c r="A13" s="15" t="inlineStr">
        <is>
          <t>bible.intertestament</t>
        </is>
      </c>
      <c r="B13" s="20" t="inlineStr">
        <is>
          <t>Bible</t>
        </is>
      </c>
      <c r="C13" s="15" t="inlineStr">
        <is>
          <t>Between the Testaments</t>
        </is>
      </c>
      <c r="D13" s="15">
        <f>COUNTIF(Timeline!$P:$P,A13)</f>
        <v/>
      </c>
    </row>
    <row r="14">
      <c r="A14" s="15" t="inlineStr">
        <is>
          <t>bible.jesus</t>
        </is>
      </c>
      <c r="B14" s="20" t="inlineStr">
        <is>
          <t>Bible</t>
        </is>
      </c>
      <c r="C14" s="15" t="inlineStr">
        <is>
          <t>Jesus' life and ministry</t>
        </is>
      </c>
      <c r="D14" s="15">
        <f>COUNTIF(Timeline!$P:$P,A14)</f>
        <v/>
      </c>
    </row>
    <row r="15">
      <c r="A15" s="15" t="inlineStr">
        <is>
          <t>bible.apostolic</t>
        </is>
      </c>
      <c r="B15" s="20" t="inlineStr">
        <is>
          <t>Bible</t>
        </is>
      </c>
      <c r="C15" s="15" t="inlineStr">
        <is>
          <t>Apostles and early congregation</t>
        </is>
      </c>
      <c r="D15" s="15">
        <f>COUNTIF(Timeline!$P:$P,A15)</f>
        <v/>
      </c>
    </row>
    <row r="16">
      <c r="A16" s="15" t="inlineStr">
        <is>
          <t>bible.prophecy_fulfilled</t>
        </is>
      </c>
      <c r="B16" s="20" t="inlineStr">
        <is>
          <t>Bible</t>
        </is>
      </c>
      <c r="C16" s="15" t="inlineStr">
        <is>
          <t>Prophecy fulfilled</t>
        </is>
      </c>
      <c r="D16" s="15">
        <f>COUNTIF(Timeline!$P:$P,A16)</f>
        <v/>
      </c>
    </row>
    <row r="17">
      <c r="A17" s="15" t="inlineStr">
        <is>
          <t>history.apostasy</t>
        </is>
      </c>
      <c r="B17" s="21" t="inlineStr">
        <is>
          <t>Bible &amp; church history</t>
        </is>
      </c>
      <c r="C17" s="15" t="inlineStr">
        <is>
          <t>Apostasy and Christendom</t>
        </is>
      </c>
      <c r="D17" s="15">
        <f>COUNTIF(Timeline!$P:$P,A17)</f>
        <v/>
      </c>
    </row>
    <row r="18">
      <c r="A18" s="15" t="inlineStr">
        <is>
          <t>history.bible_translation</t>
        </is>
      </c>
      <c r="B18" s="21" t="inlineStr">
        <is>
          <t>Bible &amp; church history</t>
        </is>
      </c>
      <c r="C18" s="15" t="inlineStr">
        <is>
          <t>Bible translation</t>
        </is>
      </c>
      <c r="D18" s="15">
        <f>COUNTIF(Timeline!$P:$P,A18)</f>
        <v/>
      </c>
    </row>
    <row r="19">
      <c r="A19" s="15" t="inlineStr">
        <is>
          <t>history.bible_preservation</t>
        </is>
      </c>
      <c r="B19" s="21" t="inlineStr">
        <is>
          <t>Bible &amp; church history</t>
        </is>
      </c>
      <c r="C19" s="15" t="inlineStr">
        <is>
          <t>Bible preservation (manuscripts, canon)</t>
        </is>
      </c>
      <c r="D19" s="15">
        <f>COUNTIF(Timeline!$P:$P,A19)</f>
        <v/>
      </c>
    </row>
    <row r="20">
      <c r="A20" s="15" t="inlineStr">
        <is>
          <t>history.reform</t>
        </is>
      </c>
      <c r="B20" s="21" t="inlineStr">
        <is>
          <t>Bible &amp; church history</t>
        </is>
      </c>
      <c r="C20" s="15" t="inlineStr">
        <is>
          <t>Reformers and reform movements</t>
        </is>
      </c>
      <c r="D20" s="15">
        <f>COUNTIF(Timeline!$P:$P,A20)</f>
        <v/>
      </c>
    </row>
    <row r="21">
      <c r="A21" s="15" t="inlineStr">
        <is>
          <t>history.persecution</t>
        </is>
      </c>
      <c r="B21" s="21" t="inlineStr">
        <is>
          <t>Bible &amp; church history</t>
        </is>
      </c>
      <c r="C21" s="15" t="inlineStr">
        <is>
          <t>Persecution of Bible readers</t>
        </is>
      </c>
      <c r="D21" s="15">
        <f>COUNTIF(Timeline!$P:$P,A21)</f>
        <v/>
      </c>
    </row>
    <row r="22">
      <c r="A22" s="15" t="inlineStr">
        <is>
          <t>jw.organization</t>
        </is>
      </c>
      <c r="B22" s="22" t="inlineStr">
        <is>
          <t>Jehovah's Witnesses</t>
        </is>
      </c>
      <c r="C22" s="15" t="inlineStr">
        <is>
          <t>Organization</t>
        </is>
      </c>
      <c r="D22" s="15">
        <f>COUNTIF(Timeline!$P:$P,A22)</f>
        <v/>
      </c>
    </row>
    <row r="23">
      <c r="A23" s="15" t="inlineStr">
        <is>
          <t>jw.doctrine</t>
        </is>
      </c>
      <c r="B23" s="22" t="inlineStr">
        <is>
          <t>Jehovah's Witnesses</t>
        </is>
      </c>
      <c r="C23" s="15" t="inlineStr">
        <is>
          <t>Beliefs clarified</t>
        </is>
      </c>
      <c r="D23" s="15">
        <f>COUNTIF(Timeline!$P:$P,A23)</f>
        <v/>
      </c>
    </row>
    <row r="24">
      <c r="A24" s="15" t="inlineStr">
        <is>
          <t>jw.publication</t>
        </is>
      </c>
      <c r="B24" s="22" t="inlineStr">
        <is>
          <t>Jehovah's Witnesses</t>
        </is>
      </c>
      <c r="C24" s="15" t="inlineStr">
        <is>
          <t>Publications</t>
        </is>
      </c>
      <c r="D24" s="15">
        <f>COUNTIF(Timeline!$P:$P,A24)</f>
        <v/>
      </c>
    </row>
    <row r="25">
      <c r="A25" s="15" t="inlineStr">
        <is>
          <t>jw.legal</t>
        </is>
      </c>
      <c r="B25" s="22" t="inlineStr">
        <is>
          <t>Jehovah's Witnesses</t>
        </is>
      </c>
      <c r="C25" s="15" t="inlineStr">
        <is>
          <t>Legal cases</t>
        </is>
      </c>
      <c r="D25" s="15">
        <f>COUNTIF(Timeline!$P:$P,A25)</f>
        <v/>
      </c>
    </row>
    <row r="26">
      <c r="A26" s="15" t="inlineStr">
        <is>
          <t>jw.persecution</t>
        </is>
      </c>
      <c r="B26" s="22" t="inlineStr">
        <is>
          <t>Jehovah's Witnesses</t>
        </is>
      </c>
      <c r="C26" s="15" t="inlineStr">
        <is>
          <t>Persecution and bans</t>
        </is>
      </c>
      <c r="D26" s="15">
        <f>COUNTIF(Timeline!$P:$P,A26)</f>
        <v/>
      </c>
    </row>
    <row r="27">
      <c r="A27" s="15" t="inlineStr">
        <is>
          <t>jw.convention</t>
        </is>
      </c>
      <c r="B27" s="22" t="inlineStr">
        <is>
          <t>Jehovah's Witnesses</t>
        </is>
      </c>
      <c r="C27" s="15" t="inlineStr">
        <is>
          <t>Conventions</t>
        </is>
      </c>
      <c r="D27" s="15">
        <f>COUNTIF(Timeline!$P:$P,A27)</f>
        <v/>
      </c>
    </row>
    <row r="28">
      <c r="A28" s="15" t="inlineStr">
        <is>
          <t>jw.construction</t>
        </is>
      </c>
      <c r="B28" s="22" t="inlineStr">
        <is>
          <t>Jehovah's Witnesses</t>
        </is>
      </c>
      <c r="C28" s="15" t="inlineStr">
        <is>
          <t>Construction (Bethel, halls)</t>
        </is>
      </c>
      <c r="D28" s="15">
        <f>COUNTIF(Timeline!$P:$P,A28)</f>
        <v/>
      </c>
    </row>
    <row r="29">
      <c r="A29" s="15" t="inlineStr">
        <is>
          <t>jw.preaching</t>
        </is>
      </c>
      <c r="B29" s="22" t="inlineStr">
        <is>
          <t>Jehovah's Witnesses</t>
        </is>
      </c>
      <c r="C29" s="15" t="inlineStr">
        <is>
          <t>Preaching work</t>
        </is>
      </c>
      <c r="D29" s="15">
        <f>COUNTIF(Timeline!$P:$P,A29)</f>
        <v/>
      </c>
    </row>
    <row r="30">
      <c r="A30" s="15" t="inlineStr">
        <is>
          <t>jw.leadership</t>
        </is>
      </c>
      <c r="B30" s="22" t="inlineStr">
        <is>
          <t>Jehovah's Witnesses</t>
        </is>
      </c>
      <c r="C30" s="15" t="inlineStr">
        <is>
          <t>Leadership</t>
        </is>
      </c>
      <c r="D30" s="15">
        <f>COUNTIF(Timeline!$P:$P,A30)</f>
        <v/>
      </c>
    </row>
    <row r="31">
      <c r="A31" s="15" t="inlineStr">
        <is>
          <t>jw.education</t>
        </is>
      </c>
      <c r="B31" s="22" t="inlineStr">
        <is>
          <t>Jehovah's Witnesses</t>
        </is>
      </c>
      <c r="C31" s="15" t="inlineStr">
        <is>
          <t>Theocratic schools</t>
        </is>
      </c>
      <c r="D31" s="15">
        <f>COUNTIF(Timeline!$P:$P,A31)</f>
        <v/>
      </c>
    </row>
    <row r="32">
      <c r="A32" s="15" t="inlineStr">
        <is>
          <t>jw.relief</t>
        </is>
      </c>
      <c r="B32" s="22" t="inlineStr">
        <is>
          <t>Jehovah's Witnesses</t>
        </is>
      </c>
      <c r="C32" s="15" t="inlineStr">
        <is>
          <t>Disaster relief</t>
        </is>
      </c>
      <c r="D32" s="15">
        <f>COUNTIF(Timeline!$P:$P,A32)</f>
        <v/>
      </c>
    </row>
    <row r="33">
      <c r="A33" s="15" t="inlineStr">
        <is>
          <t>future.prophecy</t>
        </is>
      </c>
      <c r="B33" s="23" t="inlineStr">
        <is>
          <t>Future</t>
        </is>
      </c>
      <c r="C33" s="15" t="inlineStr">
        <is>
          <t>Future prophetic events</t>
        </is>
      </c>
      <c r="D33" s="15">
        <f>COUNTIF(Timeline!$P:$P,A33)</f>
        <v/>
      </c>
    </row>
    <row r="34">
      <c r="C34" s="24" t="inlineStr">
        <is>
          <t>Total</t>
        </is>
      </c>
      <c r="D34" s="24">
        <f>SUM(D2:D33)</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2" customWidth="1" min="2" max="2"/>
  </cols>
  <sheetData>
    <row r="1" ht="32" customHeight="1">
      <c r="A1" s="6" t="inlineStr">
        <is>
          <t>Measure</t>
        </is>
      </c>
      <c r="B1" s="6" t="inlineStr">
        <is>
          <t>Count</t>
        </is>
      </c>
    </row>
    <row r="2">
      <c r="A2" s="15" t="inlineStr">
        <is>
          <t>Records</t>
        </is>
      </c>
      <c r="B2" s="15">
        <f>COUNTA(Timeline!A:A)-1</f>
        <v/>
      </c>
    </row>
    <row r="3">
      <c r="A3" s="15" t="inlineStr">
        <is>
          <t>Points (one moment)</t>
        </is>
      </c>
      <c r="B3" s="15">
        <f>COUNTIF(Timeline!B:B,"Point")</f>
        <v/>
      </c>
    </row>
    <row r="4">
      <c r="A4" s="15" t="inlineStr">
        <is>
          <t>Spans (start to end)</t>
        </is>
      </c>
      <c r="B4" s="15">
        <f>COUNTIF(Timeline!B:B,"Span")</f>
        <v/>
      </c>
    </row>
    <row r="5">
      <c r="A5" s="15" t="inlineStr">
        <is>
          <t>Bible</t>
        </is>
      </c>
      <c r="B5" s="15">
        <f>COUNTIF(Timeline!O:O,"Bible")</f>
        <v/>
      </c>
    </row>
    <row r="6">
      <c r="A6" s="15" t="inlineStr">
        <is>
          <t>Bible &amp; church history</t>
        </is>
      </c>
      <c r="B6" s="15">
        <f>COUNTIF(Timeline!O:O,"Bible &amp; church history")</f>
        <v/>
      </c>
    </row>
    <row r="7">
      <c r="A7" s="15" t="inlineStr">
        <is>
          <t>Jehovah's Witnesses</t>
        </is>
      </c>
      <c r="B7" s="15">
        <f>COUNTIF(Timeline!O:O,"Jehovah's Witnesses")</f>
        <v/>
      </c>
    </row>
    <row r="8">
      <c r="A8" s="15" t="inlineStr">
        <is>
          <t>Future</t>
        </is>
      </c>
      <c r="B8" s="15">
        <f>COUNTIF(Timeline!O:O,"Future")</f>
        <v/>
      </c>
    </row>
    <row r="9">
      <c r="A9" s="15" t="inlineStr">
        <is>
          <t>With Tamil title</t>
        </is>
      </c>
      <c r="B9" s="15">
        <f>COUNTA(Timeline!L:L)-1</f>
        <v/>
      </c>
    </row>
    <row r="10">
      <c r="A10" s="15" t="inlineStr">
        <is>
          <t>With images</t>
        </is>
      </c>
      <c r="B10" s="15">
        <f>COUNTIF(Timeline!AA:AA,"&gt;0")</f>
        <v/>
      </c>
    </row>
    <row r="11">
      <c r="A11" s="15" t="inlineStr">
        <is>
          <t>Where sources differ</t>
        </is>
      </c>
      <c r="B11" s="15">
        <f>COUNTIF(Timeline!AC:AC,"&gt;0")</f>
        <v/>
      </c>
    </row>
    <row r="12">
      <c r="A12" s="15" t="inlineStr">
        <is>
          <t>Uncertain moments (between)</t>
        </is>
      </c>
      <c r="B12" s="15">
        <f>COUNTIF(Timeline!G:G,"Between*")</f>
        <v/>
      </c>
    </row>
    <row r="13">
      <c r="A13" s="15" t="inlineStr">
        <is>
          <t>Marked OK by you</t>
        </is>
      </c>
      <c r="B13" s="15">
        <f>COUNTIF(Timeline!AN:AN,"OK")</f>
        <v/>
      </c>
    </row>
    <row r="14">
      <c r="A14" s="15" t="inlineStr">
        <is>
          <t>Marked Fix by you</t>
        </is>
      </c>
      <c r="B14" s="15">
        <f>COUNTIF(Timeline!AN:AN,"Fix")</f>
        <v/>
      </c>
    </row>
    <row r="15">
      <c r="A15" s="15" t="inlineStr">
        <is>
          <t>Marked Remove by you</t>
        </is>
      </c>
      <c r="B15" s="15">
        <f>COUNTIF(Timeline!AN:AN,"Remove")</f>
        <v/>
      </c>
    </row>
    <row r="16">
      <c r="A16" s="15" t="inlineStr">
        <is>
          <t>New events you added</t>
        </is>
      </c>
      <c r="B16" s="15">
        <f>COUNTA('Add new events'!K3:K202)</f>
        <v/>
      </c>
    </row>
    <row r="18">
      <c r="A18" s="25" t="inlineStr">
        <is>
          <t>Counts are live formulas over the Timeline and Add new events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2026-10-12T10:21:34Z</dcterms:created>
  <dcterms:modified xmlns:dcterms="http://purl.org/dc/terms/" xmlns:xsi="http://www.w3.org/2001/XMLSchema-instance" xsi:type="dcterms:W3CDTF">2026-10-12T10:21:37Z</dcterms:modified>
</cp:coreProperties>
</file>